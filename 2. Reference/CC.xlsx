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comments4.xml" ContentType="application/vnd.openxmlformats-officedocument.spreadsheetml.comments+xml"/>
  <Override PartName="/xl/tables/table3.xml" ContentType="application/vnd.openxmlformats-officedocument.spreadsheetml.table+xml"/>
  <Override PartName="/xl/pivotTables/pivotTable1.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Tool\21.Redo_Portal\2. Reference\"/>
    </mc:Choice>
  </mc:AlternateContent>
  <bookViews>
    <workbookView xWindow="0" yWindow="0" windowWidth="25200" windowHeight="11760" activeTab="3"/>
  </bookViews>
  <sheets>
    <sheet name="2024" sheetId="4" r:id="rId1"/>
    <sheet name="ver 10-CC_650824" sheetId="5" r:id="rId2"/>
    <sheet name="2025" sheetId="6" state="hidden" r:id="rId3"/>
    <sheet name="2025-New" sheetId="9" r:id="rId4"/>
    <sheet name="Danh mục" sheetId="7" r:id="rId5"/>
    <sheet name="BM-01 khiếu nại" sheetId="10" r:id="rId6"/>
    <sheet name="BM 02" sheetId="11" r:id="rId7"/>
  </sheets>
  <definedNames>
    <definedName name="_xlnm._FilterDatabase" localSheetId="0" hidden="1">'2024'!$A$3:$Q$67</definedName>
    <definedName name="_xlnm._FilterDatabase" localSheetId="2" hidden="1">'2025'!$A$3:$U$21</definedName>
    <definedName name="_xlnm._FilterDatabase" localSheetId="1" hidden="1">'ver 10-CC_650824'!$A$3:$Q$100</definedName>
    <definedName name="_xlnm.Print_Area" localSheetId="0">'2024'!$A$1:$M$71</definedName>
    <definedName name="_xlnm.Print_Area" localSheetId="2">'2025'!$A$1:$N$21</definedName>
    <definedName name="_xlnm.Print_Area" localSheetId="3">'2025-New'!$A$1:$P$74</definedName>
    <definedName name="_xlnm.Print_Area" localSheetId="1">'ver 10-CC_650824'!$A$1:$N$105</definedName>
    <definedName name="_xlnm.Print_Titles" localSheetId="0">'2024'!$3:$3</definedName>
    <definedName name="_xlnm.Print_Titles" localSheetId="2">'2025'!$3:$3</definedName>
    <definedName name="_xlnm.Print_Titles" localSheetId="3">'2025-New'!$1:$1</definedName>
    <definedName name="_xlnm.Print_Titles" localSheetId="6">'BM 02'!$4:$4</definedName>
    <definedName name="_xlnm.Print_Titles" localSheetId="1">'ver 10-CC_650824'!$3:$3</definedName>
  </definedNames>
  <calcPr calcId="162913"/>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9" l="1"/>
  <c r="V4" i="9"/>
  <c r="A288" i="9" l="1"/>
  <c r="U288" i="9"/>
  <c r="V288" i="9"/>
  <c r="W288" i="9"/>
  <c r="X288" i="9"/>
  <c r="Z288" i="9"/>
  <c r="AA288" i="9"/>
  <c r="Y287" i="9"/>
  <c r="Y285" i="9"/>
  <c r="Y283" i="9"/>
  <c r="A287" i="9"/>
  <c r="U287" i="9"/>
  <c r="V287" i="9"/>
  <c r="W287" i="9"/>
  <c r="X287" i="9"/>
  <c r="Z287" i="9"/>
  <c r="AA287" i="9"/>
  <c r="A286" i="9" l="1"/>
  <c r="U286" i="9"/>
  <c r="V286" i="9"/>
  <c r="W286" i="9"/>
  <c r="X286" i="9"/>
  <c r="Z286" i="9"/>
  <c r="AA286" i="9"/>
  <c r="U285" i="9" l="1"/>
  <c r="V285" i="9"/>
  <c r="W285" i="9"/>
  <c r="X285" i="9"/>
  <c r="Z285" i="9"/>
  <c r="AA285" i="9"/>
  <c r="A285" i="9"/>
  <c r="A284" i="9"/>
  <c r="U284" i="9"/>
  <c r="V284" i="9"/>
  <c r="W284" i="9"/>
  <c r="X284" i="9"/>
  <c r="Z284" i="9"/>
  <c r="AA284" i="9"/>
  <c r="A283" i="9"/>
  <c r="U283" i="9"/>
  <c r="V283" i="9"/>
  <c r="W283" i="9"/>
  <c r="X283" i="9"/>
  <c r="Z283" i="9"/>
  <c r="AA283" i="9"/>
  <c r="Y281" i="9"/>
  <c r="Y282" i="9"/>
  <c r="Y274" i="9"/>
  <c r="Y275" i="9"/>
  <c r="Y276" i="9"/>
  <c r="Y277" i="9"/>
  <c r="Y278" i="9"/>
  <c r="Y279" i="9"/>
  <c r="Y280" i="9"/>
  <c r="A282" i="9"/>
  <c r="U282" i="9"/>
  <c r="V282" i="9"/>
  <c r="W282" i="9"/>
  <c r="X282" i="9"/>
  <c r="Z282" i="9"/>
  <c r="AA282" i="9"/>
  <c r="A281" i="9"/>
  <c r="U281" i="9"/>
  <c r="V281" i="9"/>
  <c r="W281" i="9"/>
  <c r="X281" i="9"/>
  <c r="Z281" i="9"/>
  <c r="AA281" i="9"/>
  <c r="A280" i="9"/>
  <c r="U280" i="9"/>
  <c r="V280" i="9"/>
  <c r="W280" i="9"/>
  <c r="X280" i="9"/>
  <c r="Z280" i="9"/>
  <c r="AA280" i="9"/>
  <c r="A279" i="9"/>
  <c r="U279" i="9"/>
  <c r="V279" i="9"/>
  <c r="W279" i="9"/>
  <c r="X279" i="9"/>
  <c r="Z279" i="9"/>
  <c r="AA279" i="9"/>
  <c r="A278" i="9"/>
  <c r="U278" i="9"/>
  <c r="V278" i="9"/>
  <c r="W278" i="9"/>
  <c r="X278" i="9"/>
  <c r="Z278" i="9"/>
  <c r="AA278" i="9"/>
  <c r="A277" i="9"/>
  <c r="U277" i="9"/>
  <c r="V277" i="9"/>
  <c r="W277" i="9"/>
  <c r="X277" i="9"/>
  <c r="Z277" i="9"/>
  <c r="AA277" i="9"/>
  <c r="A276" i="9"/>
  <c r="U276" i="9"/>
  <c r="V276" i="9"/>
  <c r="W276" i="9"/>
  <c r="X276" i="9"/>
  <c r="Z276" i="9"/>
  <c r="AA276" i="9"/>
  <c r="A274" i="9"/>
  <c r="U274" i="9"/>
  <c r="V274" i="9"/>
  <c r="W274" i="9"/>
  <c r="X274" i="9"/>
  <c r="Z274" i="9"/>
  <c r="AA274" i="9"/>
  <c r="A275" i="9"/>
  <c r="U275" i="9"/>
  <c r="V275" i="9"/>
  <c r="W275" i="9"/>
  <c r="X275" i="9"/>
  <c r="Z275" i="9"/>
  <c r="AA275"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21" i="9"/>
  <c r="A272" i="9"/>
  <c r="U272" i="9"/>
  <c r="V272" i="9"/>
  <c r="W272" i="9"/>
  <c r="X272" i="9"/>
  <c r="Z272" i="9"/>
  <c r="AA272" i="9"/>
  <c r="A273" i="9"/>
  <c r="U273" i="9"/>
  <c r="V273" i="9"/>
  <c r="W273" i="9"/>
  <c r="X273" i="9"/>
  <c r="Z273" i="9"/>
  <c r="AA273" i="9"/>
  <c r="A271" i="9"/>
  <c r="U271" i="9"/>
  <c r="V271" i="9"/>
  <c r="W271" i="9"/>
  <c r="X271" i="9"/>
  <c r="Z271" i="9"/>
  <c r="AA271" i="9"/>
  <c r="A270" i="9"/>
  <c r="U270" i="9"/>
  <c r="V270" i="9"/>
  <c r="W270" i="9"/>
  <c r="X270" i="9"/>
  <c r="Z270" i="9"/>
  <c r="AA270" i="9"/>
  <c r="A269" i="9"/>
  <c r="U269" i="9"/>
  <c r="V269" i="9"/>
  <c r="W269" i="9"/>
  <c r="X269" i="9"/>
  <c r="Z269" i="9"/>
  <c r="AA269" i="9"/>
  <c r="A268" i="9"/>
  <c r="U268" i="9"/>
  <c r="V268" i="9"/>
  <c r="W268" i="9"/>
  <c r="X268" i="9"/>
  <c r="Z268" i="9"/>
  <c r="AA268" i="9"/>
  <c r="A267" i="9"/>
  <c r="U267" i="9"/>
  <c r="V267" i="9"/>
  <c r="W267" i="9"/>
  <c r="X267" i="9"/>
  <c r="Z267" i="9"/>
  <c r="AA267" i="9"/>
  <c r="A266" i="9"/>
  <c r="U266" i="9"/>
  <c r="V266" i="9"/>
  <c r="W266" i="9"/>
  <c r="X266" i="9"/>
  <c r="Z266" i="9"/>
  <c r="AA266" i="9"/>
  <c r="A265" i="9"/>
  <c r="U265" i="9"/>
  <c r="V265" i="9"/>
  <c r="W265" i="9"/>
  <c r="X265" i="9"/>
  <c r="Z265" i="9"/>
  <c r="AA265" i="9"/>
  <c r="A264" i="9"/>
  <c r="U264" i="9"/>
  <c r="V264" i="9"/>
  <c r="W264" i="9"/>
  <c r="X264" i="9"/>
  <c r="Z264" i="9"/>
  <c r="AA264" i="9"/>
  <c r="A263" i="9"/>
  <c r="U263" i="9"/>
  <c r="V263" i="9"/>
  <c r="W263" i="9"/>
  <c r="X263" i="9"/>
  <c r="Z263" i="9"/>
  <c r="AA263" i="9"/>
  <c r="A262" i="9"/>
  <c r="U262" i="9"/>
  <c r="V262" i="9"/>
  <c r="W262" i="9"/>
  <c r="X262" i="9"/>
  <c r="Z262" i="9"/>
  <c r="AA262" i="9"/>
  <c r="A261" i="9"/>
  <c r="U261" i="9"/>
  <c r="V261" i="9"/>
  <c r="W261" i="9"/>
  <c r="X261" i="9"/>
  <c r="Z261" i="9"/>
  <c r="AA261" i="9"/>
  <c r="A260" i="9"/>
  <c r="U260" i="9"/>
  <c r="V260" i="9"/>
  <c r="W260" i="9"/>
  <c r="X260" i="9"/>
  <c r="Z260" i="9"/>
  <c r="AA260" i="9"/>
  <c r="A259" i="9"/>
  <c r="U259" i="9"/>
  <c r="V259" i="9"/>
  <c r="W259" i="9"/>
  <c r="X259" i="9"/>
  <c r="Z259" i="9"/>
  <c r="AA259" i="9"/>
  <c r="A258" i="9"/>
  <c r="U258" i="9"/>
  <c r="V258" i="9"/>
  <c r="W258" i="9"/>
  <c r="X258" i="9"/>
  <c r="Z258" i="9"/>
  <c r="AA258" i="9"/>
  <c r="A257" i="9"/>
  <c r="U257" i="9"/>
  <c r="V257" i="9"/>
  <c r="W257" i="9"/>
  <c r="X257" i="9"/>
  <c r="Z257" i="9"/>
  <c r="AA257" i="9"/>
  <c r="A256" i="9"/>
  <c r="U256" i="9"/>
  <c r="V256" i="9"/>
  <c r="W256" i="9"/>
  <c r="X256" i="9"/>
  <c r="Z256" i="9"/>
  <c r="AA256" i="9"/>
  <c r="A255" i="9"/>
  <c r="U255" i="9"/>
  <c r="V255" i="9"/>
  <c r="W255" i="9"/>
  <c r="X255" i="9"/>
  <c r="Z255" i="9"/>
  <c r="AA255" i="9"/>
  <c r="A254" i="9"/>
  <c r="U254" i="9"/>
  <c r="V254" i="9"/>
  <c r="W254" i="9"/>
  <c r="X254" i="9"/>
  <c r="Z254" i="9"/>
  <c r="AA254" i="9"/>
  <c r="A253" i="9" l="1"/>
  <c r="U253" i="9"/>
  <c r="V253" i="9"/>
  <c r="W253" i="9"/>
  <c r="X253" i="9"/>
  <c r="Z253" i="9"/>
  <c r="AA253" i="9"/>
  <c r="A252" i="9"/>
  <c r="U252" i="9"/>
  <c r="V252" i="9"/>
  <c r="W252" i="9"/>
  <c r="X252" i="9"/>
  <c r="Z252" i="9"/>
  <c r="AA252" i="9"/>
  <c r="A251" i="9"/>
  <c r="U251" i="9"/>
  <c r="V251" i="9"/>
  <c r="W251" i="9"/>
  <c r="X251" i="9"/>
  <c r="Z251" i="9"/>
  <c r="AA251" i="9"/>
  <c r="A250" i="9"/>
  <c r="U250" i="9"/>
  <c r="V250" i="9"/>
  <c r="W250" i="9"/>
  <c r="X250" i="9"/>
  <c r="Z250" i="9"/>
  <c r="AA250" i="9"/>
  <c r="A249" i="9"/>
  <c r="U249" i="9"/>
  <c r="V249" i="9"/>
  <c r="W249" i="9"/>
  <c r="X249" i="9"/>
  <c r="Z249" i="9"/>
  <c r="AA249" i="9"/>
  <c r="A248" i="9" l="1"/>
  <c r="U248" i="9"/>
  <c r="V248" i="9"/>
  <c r="W248" i="9"/>
  <c r="X248" i="9"/>
  <c r="Z248" i="9"/>
  <c r="AA248" i="9"/>
  <c r="A247" i="9"/>
  <c r="U247" i="9"/>
  <c r="V247" i="9"/>
  <c r="W247" i="9"/>
  <c r="X247" i="9"/>
  <c r="Z247" i="9"/>
  <c r="AA247" i="9"/>
  <c r="A246" i="9"/>
  <c r="U246" i="9"/>
  <c r="V246" i="9"/>
  <c r="W246" i="9"/>
  <c r="X246" i="9"/>
  <c r="Z246" i="9"/>
  <c r="AA246" i="9"/>
  <c r="A245" i="9"/>
  <c r="U245" i="9"/>
  <c r="V245" i="9"/>
  <c r="W245" i="9"/>
  <c r="X245" i="9"/>
  <c r="Z245" i="9"/>
  <c r="AA245" i="9"/>
  <c r="A244" i="9"/>
  <c r="U244" i="9"/>
  <c r="V244" i="9"/>
  <c r="W244" i="9"/>
  <c r="X244" i="9"/>
  <c r="Z244" i="9"/>
  <c r="AA244" i="9"/>
  <c r="A243" i="9"/>
  <c r="U243" i="9"/>
  <c r="V243" i="9"/>
  <c r="W243" i="9"/>
  <c r="X243" i="9"/>
  <c r="Z243" i="9"/>
  <c r="AA243" i="9"/>
  <c r="A242" i="9"/>
  <c r="U242" i="9"/>
  <c r="V242" i="9"/>
  <c r="W242" i="9"/>
  <c r="X242" i="9"/>
  <c r="Z242" i="9"/>
  <c r="AA242" i="9"/>
  <c r="A241" i="9"/>
  <c r="U241" i="9"/>
  <c r="V241" i="9"/>
  <c r="W241" i="9"/>
  <c r="X241" i="9"/>
  <c r="Z241" i="9"/>
  <c r="AA241" i="9"/>
  <c r="A240" i="9" l="1"/>
  <c r="U240" i="9"/>
  <c r="V240" i="9"/>
  <c r="W240" i="9"/>
  <c r="X240" i="9"/>
  <c r="Z240" i="9"/>
  <c r="AA240" i="9"/>
  <c r="A239" i="9" l="1"/>
  <c r="U239" i="9"/>
  <c r="V239" i="9"/>
  <c r="W239" i="9"/>
  <c r="X239" i="9"/>
  <c r="Z239" i="9"/>
  <c r="AA239" i="9"/>
  <c r="A238" i="9"/>
  <c r="U238" i="9"/>
  <c r="V238" i="9"/>
  <c r="W238" i="9"/>
  <c r="X238" i="9"/>
  <c r="Z238" i="9"/>
  <c r="AA238" i="9"/>
  <c r="A237" i="9" l="1"/>
  <c r="U237" i="9"/>
  <c r="V237" i="9"/>
  <c r="W237" i="9"/>
  <c r="X237" i="9"/>
  <c r="Z237" i="9"/>
  <c r="AA237" i="9"/>
  <c r="A236" i="9"/>
  <c r="U236" i="9"/>
  <c r="V236" i="9"/>
  <c r="W236" i="9"/>
  <c r="X236" i="9"/>
  <c r="Z236" i="9"/>
  <c r="AA236" i="9"/>
  <c r="A235" i="9"/>
  <c r="U235" i="9"/>
  <c r="V235" i="9"/>
  <c r="W235" i="9"/>
  <c r="X235" i="9"/>
  <c r="Z235" i="9"/>
  <c r="AA235" i="9"/>
  <c r="A234" i="9" l="1"/>
  <c r="U234" i="9"/>
  <c r="V234" i="9"/>
  <c r="W234" i="9"/>
  <c r="X234" i="9"/>
  <c r="Z234" i="9"/>
  <c r="AA234" i="9"/>
  <c r="A233" i="9"/>
  <c r="U233" i="9"/>
  <c r="V233" i="9"/>
  <c r="W233" i="9"/>
  <c r="X233" i="9"/>
  <c r="Z233" i="9"/>
  <c r="AA233" i="9"/>
  <c r="U5" i="9" l="1"/>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A232" i="9"/>
  <c r="V232" i="9"/>
  <c r="W232" i="9"/>
  <c r="X232" i="9"/>
  <c r="Z232" i="9"/>
  <c r="AA232" i="9"/>
  <c r="A231" i="9"/>
  <c r="V231" i="9"/>
  <c r="W231" i="9"/>
  <c r="X231" i="9"/>
  <c r="Z231" i="9"/>
  <c r="AA231" i="9"/>
  <c r="A230" i="9"/>
  <c r="V230" i="9"/>
  <c r="W230" i="9"/>
  <c r="X230" i="9"/>
  <c r="Z230" i="9"/>
  <c r="AA230" i="9"/>
  <c r="A229" i="9"/>
  <c r="V229" i="9"/>
  <c r="W229" i="9"/>
  <c r="X229" i="9"/>
  <c r="Z229" i="9"/>
  <c r="AA229" i="9"/>
  <c r="AA227" i="9"/>
  <c r="Z227" i="9"/>
  <c r="X227" i="9"/>
  <c r="W227" i="9"/>
  <c r="V227" i="9"/>
  <c r="A227" i="9"/>
  <c r="A228" i="9"/>
  <c r="V228" i="9"/>
  <c r="W228" i="9"/>
  <c r="X228" i="9"/>
  <c r="Z228" i="9"/>
  <c r="AA228" i="9"/>
  <c r="A226" i="9"/>
  <c r="V226" i="9"/>
  <c r="W226" i="9"/>
  <c r="X226" i="9"/>
  <c r="Z226" i="9"/>
  <c r="AA226" i="9"/>
  <c r="A225" i="9"/>
  <c r="V225" i="9"/>
  <c r="W225" i="9"/>
  <c r="X225" i="9"/>
  <c r="Z225" i="9"/>
  <c r="AA225" i="9"/>
  <c r="A224" i="9"/>
  <c r="V224" i="9"/>
  <c r="W224" i="9"/>
  <c r="X224" i="9"/>
  <c r="Z224" i="9"/>
  <c r="AA224" i="9"/>
  <c r="A223" i="9"/>
  <c r="V223" i="9"/>
  <c r="W223" i="9"/>
  <c r="X223" i="9"/>
  <c r="Z223" i="9"/>
  <c r="AA223" i="9"/>
  <c r="A222" i="9"/>
  <c r="V222" i="9"/>
  <c r="W222" i="9"/>
  <c r="X222" i="9"/>
  <c r="Z222" i="9"/>
  <c r="AA222" i="9"/>
  <c r="A221" i="9"/>
  <c r="V221" i="9"/>
  <c r="W221" i="9"/>
  <c r="X221" i="9"/>
  <c r="Z221" i="9"/>
  <c r="AA221" i="9"/>
  <c r="Y209" i="9"/>
  <c r="Y210" i="9"/>
  <c r="Y211" i="9"/>
  <c r="Y212" i="9"/>
  <c r="Y213" i="9"/>
  <c r="Y214" i="9"/>
  <c r="Y215" i="9"/>
  <c r="Y216" i="9"/>
  <c r="Y217" i="9"/>
  <c r="Y218" i="9"/>
  <c r="Y219" i="9"/>
  <c r="Y220" i="9"/>
  <c r="A220" i="9"/>
  <c r="V220" i="9"/>
  <c r="W220" i="9"/>
  <c r="X220" i="9"/>
  <c r="Z220" i="9"/>
  <c r="AA220" i="9"/>
  <c r="A219" i="9"/>
  <c r="V219" i="9"/>
  <c r="W219" i="9"/>
  <c r="X219" i="9"/>
  <c r="Z219" i="9"/>
  <c r="AA219" i="9"/>
  <c r="A218" i="9" l="1"/>
  <c r="V218" i="9"/>
  <c r="W218" i="9"/>
  <c r="X218" i="9"/>
  <c r="Z218" i="9"/>
  <c r="AA218" i="9"/>
  <c r="A217" i="9"/>
  <c r="V217" i="9"/>
  <c r="W217" i="9"/>
  <c r="X217" i="9"/>
  <c r="Z217" i="9"/>
  <c r="AA217" i="9"/>
  <c r="W198" i="9"/>
  <c r="A216" i="9" l="1"/>
  <c r="V216" i="9"/>
  <c r="W216" i="9"/>
  <c r="X216" i="9"/>
  <c r="Z216" i="9"/>
  <c r="AA216" i="9"/>
  <c r="A215" i="9"/>
  <c r="V215" i="9"/>
  <c r="W215" i="9"/>
  <c r="X215" i="9"/>
  <c r="Z215" i="9"/>
  <c r="AA215" i="9"/>
  <c r="A214" i="9" l="1"/>
  <c r="V214" i="9"/>
  <c r="W214" i="9"/>
  <c r="X214" i="9"/>
  <c r="Z214" i="9"/>
  <c r="AA214" i="9"/>
  <c r="A213" i="9"/>
  <c r="V213" i="9"/>
  <c r="W213" i="9"/>
  <c r="X213" i="9"/>
  <c r="Z213" i="9"/>
  <c r="AA213" i="9"/>
  <c r="A212" i="9"/>
  <c r="V212" i="9"/>
  <c r="W212" i="9"/>
  <c r="X212" i="9"/>
  <c r="Z212" i="9"/>
  <c r="AA212" i="9"/>
  <c r="A211" i="9"/>
  <c r="V211" i="9"/>
  <c r="W211" i="9"/>
  <c r="X211" i="9"/>
  <c r="Z211" i="9"/>
  <c r="AA211" i="9"/>
  <c r="A210" i="9"/>
  <c r="V210" i="9"/>
  <c r="W210" i="9"/>
  <c r="X210" i="9"/>
  <c r="Z210" i="9"/>
  <c r="AA210" i="9"/>
  <c r="A209" i="9"/>
  <c r="V209" i="9"/>
  <c r="W209" i="9"/>
  <c r="X209" i="9"/>
  <c r="Z209" i="9"/>
  <c r="AA209" i="9"/>
  <c r="Y4" i="9"/>
  <c r="Y208" i="9" l="1"/>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139" i="9"/>
  <c r="Y123" i="9"/>
  <c r="Y124" i="9"/>
  <c r="Y125" i="9"/>
  <c r="Y126" i="9"/>
  <c r="Y127" i="9"/>
  <c r="Y128" i="9"/>
  <c r="Y129" i="9"/>
  <c r="Y130" i="9"/>
  <c r="Y131" i="9"/>
  <c r="Y132" i="9"/>
  <c r="Y133" i="9"/>
  <c r="Y134" i="9"/>
  <c r="Y135" i="9"/>
  <c r="Y136" i="9"/>
  <c r="Y137" i="9"/>
  <c r="Y138" i="9"/>
  <c r="Y122" i="9"/>
  <c r="Y121" i="9"/>
  <c r="A208" i="9"/>
  <c r="V208" i="9"/>
  <c r="W208" i="9"/>
  <c r="X208" i="9"/>
  <c r="Z208" i="9"/>
  <c r="AA208" i="9"/>
  <c r="A203" i="9"/>
  <c r="A204" i="9"/>
  <c r="A205" i="9"/>
  <c r="A206" i="9"/>
  <c r="A207" i="9"/>
  <c r="V207" i="9"/>
  <c r="W207" i="9"/>
  <c r="X207" i="9"/>
  <c r="Z207" i="9"/>
  <c r="AA207" i="9"/>
  <c r="V206" i="9" l="1"/>
  <c r="W206" i="9"/>
  <c r="X206" i="9"/>
  <c r="Z206" i="9"/>
  <c r="AA206" i="9"/>
  <c r="V205" i="9" l="1"/>
  <c r="W205" i="9"/>
  <c r="X205" i="9"/>
  <c r="Z205" i="9"/>
  <c r="AA205" i="9"/>
  <c r="V204" i="9" l="1"/>
  <c r="W204" i="9"/>
  <c r="X204" i="9"/>
  <c r="Z204" i="9"/>
  <c r="AA204" i="9"/>
  <c r="V203" i="9" l="1"/>
  <c r="W203" i="9"/>
  <c r="X203" i="9"/>
  <c r="Z203" i="9"/>
  <c r="AA203" i="9"/>
  <c r="A202" i="9" l="1"/>
  <c r="V202" i="9"/>
  <c r="W202" i="9"/>
  <c r="X202" i="9"/>
  <c r="Z202" i="9"/>
  <c r="AA202" i="9"/>
  <c r="A201" i="9"/>
  <c r="V201" i="9"/>
  <c r="W201" i="9"/>
  <c r="X201" i="9"/>
  <c r="Z201" i="9"/>
  <c r="AA201" i="9"/>
  <c r="V199" i="9"/>
  <c r="V200" i="9"/>
  <c r="W199" i="9"/>
  <c r="W200" i="9"/>
  <c r="X199" i="9"/>
  <c r="X200" i="9"/>
  <c r="Z199" i="9"/>
  <c r="Z200" i="9"/>
  <c r="AA199" i="9"/>
  <c r="AA200" i="9"/>
  <c r="A199" i="9"/>
  <c r="A200" i="9"/>
  <c r="A198" i="9"/>
  <c r="V198" i="9"/>
  <c r="X198" i="9"/>
  <c r="Z198" i="9"/>
  <c r="AA198" i="9"/>
  <c r="A197" i="9"/>
  <c r="V197" i="9"/>
  <c r="W197" i="9"/>
  <c r="X197" i="9"/>
  <c r="Z197" i="9"/>
  <c r="AA197" i="9"/>
  <c r="A196" i="9"/>
  <c r="V196" i="9"/>
  <c r="W196" i="9"/>
  <c r="X196" i="9"/>
  <c r="Z196" i="9"/>
  <c r="AA196" i="9"/>
  <c r="A195" i="9" l="1"/>
  <c r="V195" i="9"/>
  <c r="W195" i="9"/>
  <c r="X195" i="9"/>
  <c r="Z195" i="9"/>
  <c r="AA195" i="9"/>
  <c r="V194" i="9"/>
  <c r="W194" i="9"/>
  <c r="X194" i="9"/>
  <c r="Z194" i="9"/>
  <c r="AA194" i="9"/>
  <c r="A193" i="9"/>
  <c r="V193" i="9"/>
  <c r="W193" i="9"/>
  <c r="X193" i="9"/>
  <c r="Z193" i="9"/>
  <c r="AA193" i="9"/>
  <c r="A192" i="9"/>
  <c r="V192" i="9"/>
  <c r="W192" i="9"/>
  <c r="X192" i="9"/>
  <c r="Z192" i="9"/>
  <c r="AA192" i="9"/>
  <c r="A191" i="9"/>
  <c r="V191" i="9"/>
  <c r="W191" i="9"/>
  <c r="X191" i="9"/>
  <c r="Z191" i="9"/>
  <c r="AA191" i="9"/>
  <c r="A190" i="9"/>
  <c r="V190" i="9"/>
  <c r="W190" i="9"/>
  <c r="X190" i="9"/>
  <c r="Z190" i="9"/>
  <c r="AA190" i="9"/>
  <c r="A189" i="9"/>
  <c r="V189" i="9"/>
  <c r="W189" i="9"/>
  <c r="X189" i="9"/>
  <c r="Z189" i="9"/>
  <c r="AA189" i="9"/>
  <c r="A188" i="9"/>
  <c r="V188" i="9"/>
  <c r="W188" i="9"/>
  <c r="X188" i="9"/>
  <c r="Z188" i="9"/>
  <c r="AA188" i="9"/>
  <c r="A187" i="9"/>
  <c r="V187" i="9"/>
  <c r="W187" i="9"/>
  <c r="X187" i="9"/>
  <c r="Z187" i="9"/>
  <c r="AA187" i="9"/>
  <c r="A186" i="9"/>
  <c r="V186" i="9"/>
  <c r="W186" i="9"/>
  <c r="X186" i="9"/>
  <c r="Z186" i="9"/>
  <c r="AA186" i="9"/>
  <c r="A185" i="9" l="1"/>
  <c r="V185" i="9"/>
  <c r="W185" i="9"/>
  <c r="X185" i="9"/>
  <c r="Z185" i="9"/>
  <c r="AA185" i="9"/>
  <c r="A184" i="9" l="1"/>
  <c r="V184" i="9"/>
  <c r="W184" i="9"/>
  <c r="X184" i="9"/>
  <c r="Z184" i="9"/>
  <c r="AA184" i="9"/>
  <c r="A183" i="9" l="1"/>
  <c r="V183" i="9"/>
  <c r="W183" i="9"/>
  <c r="X183" i="9"/>
  <c r="Z183" i="9"/>
  <c r="AA183" i="9"/>
  <c r="A182" i="9"/>
  <c r="V182" i="9"/>
  <c r="W182" i="9"/>
  <c r="X182" i="9"/>
  <c r="Z182" i="9"/>
  <c r="AA182" i="9"/>
  <c r="A181" i="9" l="1"/>
  <c r="V181" i="9"/>
  <c r="W181" i="9"/>
  <c r="X181" i="9"/>
  <c r="Z181" i="9"/>
  <c r="AA181" i="9"/>
  <c r="A180" i="9" l="1"/>
  <c r="V180" i="9"/>
  <c r="W180" i="9"/>
  <c r="X180" i="9"/>
  <c r="Z180" i="9"/>
  <c r="AA180" i="9"/>
  <c r="A179" i="9" l="1"/>
  <c r="V179" i="9"/>
  <c r="W179" i="9"/>
  <c r="X179" i="9"/>
  <c r="Z179" i="9"/>
  <c r="AA179" i="9"/>
  <c r="A178" i="9"/>
  <c r="V178" i="9"/>
  <c r="W178" i="9"/>
  <c r="X178" i="9"/>
  <c r="Z178" i="9"/>
  <c r="AA178" i="9"/>
  <c r="A177" i="9" l="1"/>
  <c r="V177" i="9"/>
  <c r="W177" i="9"/>
  <c r="X177" i="9"/>
  <c r="Z177" i="9"/>
  <c r="AA177" i="9"/>
  <c r="AA4" i="9" l="1"/>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X174" i="9" l="1"/>
  <c r="X175" i="9"/>
  <c r="X176" i="9"/>
  <c r="Z174" i="9"/>
  <c r="Z175" i="9"/>
  <c r="Z176" i="9"/>
  <c r="A5" i="9"/>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W176" i="9"/>
  <c r="V176" i="9"/>
  <c r="W175" i="9"/>
  <c r="V175" i="9"/>
  <c r="V174" i="9"/>
  <c r="X4" i="9" l="1"/>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8" i="9"/>
  <c r="X149" i="9"/>
  <c r="X150" i="9"/>
  <c r="X151" i="9"/>
  <c r="X152" i="9"/>
  <c r="X153" i="9"/>
  <c r="X154" i="9"/>
  <c r="X155" i="9"/>
  <c r="X156" i="9"/>
  <c r="X157" i="9"/>
  <c r="X158" i="9"/>
  <c r="X159" i="9"/>
  <c r="X160" i="9"/>
  <c r="X161" i="9"/>
  <c r="X162" i="9"/>
  <c r="X163" i="9"/>
  <c r="X164" i="9"/>
  <c r="X165" i="9"/>
  <c r="X166" i="9"/>
  <c r="X167" i="9"/>
  <c r="X168" i="9"/>
  <c r="X169" i="9"/>
  <c r="X170" i="9"/>
  <c r="X171" i="9"/>
  <c r="X172" i="9"/>
  <c r="X173" i="9"/>
  <c r="W7"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W171" i="9" l="1"/>
  <c r="V171" i="9"/>
  <c r="W170" i="9"/>
  <c r="V170" i="9"/>
  <c r="V169" i="9" l="1"/>
  <c r="W169" i="9"/>
  <c r="V168" i="9" l="1"/>
  <c r="W168" i="9"/>
  <c r="V167" i="9" l="1"/>
  <c r="W167" i="9"/>
  <c r="V166" i="9" l="1"/>
  <c r="W166" i="9"/>
  <c r="V165" i="9"/>
  <c r="W165" i="9"/>
  <c r="V164" i="9"/>
  <c r="W164" i="9"/>
  <c r="V163" i="9" l="1"/>
  <c r="W163" i="9"/>
  <c r="V162" i="9" l="1"/>
  <c r="V161" i="9" l="1"/>
  <c r="W161" i="9"/>
  <c r="V160" i="9" l="1"/>
  <c r="W160" i="9"/>
  <c r="V159" i="9" l="1"/>
  <c r="W159" i="9"/>
  <c r="V158" i="9" l="1"/>
  <c r="W158" i="9"/>
  <c r="V157" i="9" l="1"/>
  <c r="W157" i="9"/>
  <c r="V156" i="9" l="1"/>
  <c r="W156" i="9"/>
  <c r="V155" i="9" l="1"/>
  <c r="W155" i="9"/>
  <c r="V153" i="9" l="1"/>
  <c r="W153" i="9"/>
  <c r="V154" i="9" l="1"/>
  <c r="W154" i="9"/>
  <c r="V152" i="9" l="1"/>
  <c r="W152" i="9"/>
  <c r="V151" i="9"/>
  <c r="W151" i="9"/>
  <c r="V150" i="9"/>
  <c r="W150" i="9"/>
  <c r="V149" i="9" l="1"/>
  <c r="W149" i="9"/>
  <c r="V148" i="9" l="1"/>
  <c r="W148" i="9"/>
  <c r="V147" i="9" l="1"/>
  <c r="W147" i="9"/>
  <c r="V146" i="9" l="1"/>
  <c r="W146" i="9"/>
  <c r="V145" i="9" l="1"/>
  <c r="W145" i="9"/>
  <c r="V144" i="9" l="1"/>
  <c r="W144" i="9"/>
  <c r="V143" i="9" l="1"/>
  <c r="W143" i="9"/>
  <c r="V142" i="9" l="1"/>
  <c r="W142" i="9"/>
  <c r="V141" i="9" l="1"/>
  <c r="W141" i="9"/>
  <c r="V139" i="9" l="1"/>
  <c r="W139" i="9"/>
  <c r="V140" i="9"/>
  <c r="W140" i="9"/>
  <c r="V138" i="9" l="1"/>
  <c r="W138" i="9"/>
  <c r="V137" i="9" l="1"/>
  <c r="W137" i="9"/>
  <c r="V136" i="9"/>
  <c r="W136" i="9"/>
  <c r="V135" i="9" l="1"/>
  <c r="W135" i="9"/>
  <c r="V134" i="9" l="1"/>
  <c r="W134" i="9"/>
  <c r="V133" i="9" l="1"/>
  <c r="W133" i="9"/>
  <c r="V132" i="9" l="1"/>
  <c r="W132" i="9"/>
  <c r="V131" i="9" l="1"/>
  <c r="W131" i="9"/>
  <c r="V130" i="9"/>
  <c r="W130" i="9"/>
  <c r="R4" i="9" l="1"/>
  <c r="V129" i="9" l="1"/>
  <c r="W129" i="9"/>
  <c r="V128" i="9" l="1"/>
  <c r="W128" i="9"/>
  <c r="V127" i="9"/>
  <c r="W127" i="9"/>
  <c r="V126" i="9" l="1"/>
  <c r="W126" i="9"/>
  <c r="V125" i="9" l="1"/>
  <c r="W125" i="9"/>
  <c r="V124" i="9" l="1"/>
  <c r="W124" i="9"/>
  <c r="V123" i="9"/>
  <c r="W123" i="9"/>
  <c r="V122" i="9"/>
  <c r="W122" i="9"/>
  <c r="V121" i="9" l="1"/>
  <c r="W121" i="9"/>
  <c r="Y114" i="9" l="1"/>
  <c r="Y115" i="9"/>
  <c r="Y116" i="9"/>
  <c r="Y117" i="9"/>
  <c r="Y118" i="9"/>
  <c r="Y119" i="9"/>
  <c r="Y120" i="9"/>
  <c r="V120" i="9" l="1"/>
  <c r="W120" i="9"/>
  <c r="V119" i="9" l="1"/>
  <c r="W119" i="9"/>
  <c r="V118" i="9" l="1"/>
  <c r="W118" i="9"/>
  <c r="V117" i="9" l="1"/>
  <c r="W117" i="9"/>
  <c r="V116" i="9" l="1"/>
  <c r="W116" i="9"/>
  <c r="V115" i="9" l="1"/>
  <c r="W115" i="9"/>
  <c r="V114" i="9"/>
  <c r="W114" i="9"/>
  <c r="Y108" i="9" l="1"/>
  <c r="Y109" i="9"/>
  <c r="Y110" i="9"/>
  <c r="Y111" i="9"/>
  <c r="Y112" i="9"/>
  <c r="Y113" i="9"/>
  <c r="Y107" i="9"/>
  <c r="V113" i="9" l="1"/>
  <c r="W113" i="9"/>
  <c r="V112" i="9" l="1"/>
  <c r="W112" i="9"/>
  <c r="V111" i="9" l="1"/>
  <c r="W111" i="9"/>
  <c r="V110" i="9" l="1"/>
  <c r="W110" i="9"/>
  <c r="V109" i="9" l="1"/>
  <c r="W109" i="9"/>
  <c r="V108" i="9" l="1"/>
  <c r="W108" i="9"/>
  <c r="Y105" i="9" l="1"/>
  <c r="Y106" i="9"/>
  <c r="Y101" i="9"/>
  <c r="V107" i="9" l="1"/>
  <c r="W107" i="9"/>
  <c r="V106" i="9" l="1"/>
  <c r="W106" i="9"/>
  <c r="V105" i="9" l="1"/>
  <c r="W105" i="9"/>
  <c r="V104" i="9" l="1"/>
  <c r="W104" i="9"/>
  <c r="V103" i="9"/>
  <c r="W103" i="9"/>
  <c r="Y6" i="9" l="1"/>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2" i="9"/>
  <c r="Y5" i="9"/>
  <c r="V102" i="9" l="1"/>
  <c r="W102" i="9"/>
  <c r="V101" i="9" l="1"/>
  <c r="W101" i="9"/>
  <c r="V100" i="9" l="1"/>
  <c r="W100" i="9"/>
  <c r="V99" i="9" l="1"/>
  <c r="W99" i="9"/>
  <c r="V98" i="9" l="1"/>
  <c r="W98" i="9"/>
  <c r="V95" i="9"/>
  <c r="W95" i="9"/>
  <c r="V97" i="9" l="1"/>
  <c r="W97" i="9"/>
  <c r="V76" i="9" l="1"/>
  <c r="W76" i="9"/>
  <c r="V96" i="9" l="1"/>
  <c r="W96" i="9"/>
  <c r="V94" i="9" l="1"/>
  <c r="W94" i="9"/>
  <c r="V93" i="9" l="1"/>
  <c r="W93" i="9"/>
  <c r="V92" i="9" l="1"/>
  <c r="W92" i="9"/>
  <c r="V91" i="9" l="1"/>
  <c r="W91" i="9"/>
  <c r="V90" i="9" l="1"/>
  <c r="W90" i="9"/>
  <c r="V89" i="9" l="1"/>
  <c r="W89" i="9"/>
  <c r="V87" i="9"/>
  <c r="W87" i="9"/>
  <c r="V88" i="9" l="1"/>
  <c r="W88" i="9"/>
  <c r="V86" i="9"/>
  <c r="W86" i="9"/>
  <c r="V85" i="9" l="1"/>
  <c r="W85" i="9"/>
  <c r="V84" i="9" l="1"/>
  <c r="W84" i="9"/>
  <c r="V83" i="9" l="1"/>
  <c r="W83" i="9"/>
  <c r="V82" i="9"/>
  <c r="W82" i="9"/>
  <c r="W71" i="9" l="1"/>
  <c r="V71" i="9"/>
  <c r="V81" i="9" l="1"/>
  <c r="W81" i="9"/>
  <c r="V80" i="9"/>
  <c r="W80" i="9"/>
  <c r="V79" i="9"/>
  <c r="W79" i="9"/>
  <c r="V78" i="9" l="1"/>
  <c r="W78" i="9"/>
  <c r="V77" i="9" l="1"/>
  <c r="W77" i="9"/>
  <c r="V75" i="9" l="1"/>
  <c r="W75" i="9"/>
  <c r="V74" i="9" l="1"/>
  <c r="W74" i="9"/>
  <c r="V73" i="9" l="1"/>
  <c r="W73" i="9"/>
  <c r="V72" i="9" l="1"/>
  <c r="W72" i="9"/>
  <c r="V70" i="9" l="1"/>
  <c r="W70" i="9"/>
  <c r="V69" i="9" l="1"/>
  <c r="W69" i="9"/>
  <c r="V68" i="9" l="1"/>
  <c r="W68" i="9"/>
  <c r="V67" i="9"/>
  <c r="W67" i="9"/>
  <c r="V66" i="9" l="1"/>
  <c r="W66" i="9"/>
  <c r="V65" i="9" l="1"/>
  <c r="W65" i="9"/>
  <c r="V64" i="9" l="1"/>
  <c r="W64" i="9"/>
  <c r="V63" i="9" l="1"/>
  <c r="W63" i="9"/>
  <c r="V62" i="9" l="1"/>
  <c r="W62" i="9"/>
  <c r="V61" i="9"/>
  <c r="W61" i="9"/>
  <c r="V60" i="9"/>
  <c r="W60" i="9"/>
  <c r="V59" i="9"/>
  <c r="W59" i="9"/>
  <c r="V58" i="9" l="1"/>
  <c r="W58" i="9"/>
  <c r="V57" i="9" l="1"/>
  <c r="W57" i="9"/>
  <c r="V56" i="9" l="1"/>
  <c r="W56" i="9"/>
  <c r="V52" i="9" l="1"/>
  <c r="W52" i="9"/>
  <c r="V53" i="9"/>
  <c r="W53" i="9"/>
  <c r="V54" i="9"/>
  <c r="W54" i="9"/>
  <c r="V55" i="9" l="1"/>
  <c r="W55" i="9"/>
  <c r="V51" i="9" l="1"/>
  <c r="W51" i="9"/>
  <c r="V50" i="9" l="1"/>
  <c r="W50" i="9"/>
  <c r="V49" i="9"/>
  <c r="W49" i="9"/>
  <c r="V48" i="9" l="1"/>
  <c r="W48" i="9"/>
  <c r="V46" i="9" l="1"/>
  <c r="W46" i="9"/>
  <c r="V47" i="9" l="1"/>
  <c r="W47" i="9"/>
  <c r="V45" i="9" l="1"/>
  <c r="W45" i="9"/>
  <c r="V44" i="9" l="1"/>
  <c r="W44" i="9"/>
  <c r="V43" i="9" l="1"/>
  <c r="W43" i="9"/>
  <c r="V42" i="9" l="1"/>
  <c r="W42" i="9"/>
  <c r="V41" i="9" l="1"/>
  <c r="W41" i="9"/>
  <c r="V40" i="9" l="1"/>
  <c r="W40" i="9"/>
  <c r="V39" i="9" l="1"/>
  <c r="W39" i="9"/>
  <c r="V38" i="9"/>
  <c r="W38" i="9"/>
  <c r="V37" i="9" l="1"/>
  <c r="W37" i="9"/>
  <c r="V36" i="9" l="1"/>
  <c r="W36" i="9"/>
  <c r="A44" i="5" l="1"/>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 i="5"/>
  <c r="V35" i="9" l="1"/>
  <c r="W35" i="9"/>
  <c r="V34" i="9" l="1"/>
  <c r="W34" i="9"/>
  <c r="V33" i="9" l="1"/>
  <c r="W33" i="9"/>
  <c r="W23" i="9" l="1"/>
  <c r="V23" i="9"/>
  <c r="W22" i="9"/>
  <c r="V22" i="9"/>
  <c r="V32" i="9" l="1"/>
  <c r="W32" i="9"/>
  <c r="V31" i="9" l="1"/>
  <c r="W31" i="9"/>
  <c r="V20" i="9" l="1"/>
  <c r="V21" i="9"/>
  <c r="W20" i="9"/>
  <c r="W21" i="9"/>
  <c r="V30" i="9" l="1"/>
  <c r="W30" i="9"/>
  <c r="V29" i="9" l="1"/>
  <c r="W29" i="9"/>
  <c r="V28" i="9" l="1"/>
  <c r="W28" i="9"/>
  <c r="V27" i="9" l="1"/>
  <c r="W27" i="9"/>
  <c r="V26" i="9" l="1"/>
  <c r="W26" i="9"/>
  <c r="V5" i="9" l="1"/>
  <c r="W5" i="9"/>
  <c r="V6" i="9"/>
  <c r="W6" i="9"/>
  <c r="V7" i="9"/>
  <c r="V8" i="9"/>
  <c r="W8" i="9"/>
  <c r="V9" i="9"/>
  <c r="W9" i="9"/>
  <c r="V10" i="9"/>
  <c r="W10" i="9"/>
  <c r="V11" i="9"/>
  <c r="W11" i="9"/>
  <c r="V12" i="9"/>
  <c r="W12" i="9"/>
  <c r="V13" i="9"/>
  <c r="W13" i="9"/>
  <c r="V14" i="9"/>
  <c r="W14" i="9"/>
  <c r="V15" i="9"/>
  <c r="W15" i="9"/>
  <c r="V16" i="9"/>
  <c r="W16" i="9"/>
  <c r="V17" i="9"/>
  <c r="W17" i="9"/>
  <c r="V18" i="9"/>
  <c r="W18" i="9"/>
  <c r="V19" i="9"/>
  <c r="W19" i="9"/>
  <c r="V24" i="9"/>
  <c r="W24" i="9"/>
  <c r="V25" i="9"/>
  <c r="W25" i="9"/>
  <c r="A5" i="6"/>
  <c r="A6" i="6"/>
  <c r="A7" i="6"/>
  <c r="A8" i="6"/>
  <c r="A9" i="6"/>
  <c r="A10" i="6"/>
  <c r="A11" i="6"/>
  <c r="A12" i="6"/>
  <c r="A13" i="6"/>
  <c r="A14" i="6"/>
  <c r="A15" i="6"/>
  <c r="A16" i="6"/>
  <c r="A17" i="6"/>
  <c r="A18" i="6"/>
  <c r="A19" i="6"/>
  <c r="A20" i="6"/>
  <c r="A21" i="6"/>
  <c r="A4" i="6"/>
  <c r="U4" i="6"/>
  <c r="T4" i="6"/>
  <c r="T5" i="6" l="1"/>
  <c r="T6" i="6"/>
  <c r="T7" i="6"/>
  <c r="T8" i="6"/>
  <c r="T9" i="6"/>
  <c r="T10" i="6"/>
  <c r="T11" i="6"/>
  <c r="T12" i="6"/>
  <c r="T13" i="6"/>
  <c r="T14" i="6"/>
  <c r="T15" i="6"/>
  <c r="T16" i="6"/>
  <c r="T17" i="6"/>
  <c r="T18" i="6"/>
  <c r="T19" i="6"/>
  <c r="T20" i="6"/>
  <c r="T21" i="6"/>
  <c r="U5" i="6"/>
  <c r="U6" i="6"/>
  <c r="U7" i="6"/>
  <c r="U8" i="6"/>
  <c r="U9" i="6"/>
  <c r="U10" i="6"/>
  <c r="U11" i="6"/>
  <c r="U12" i="6"/>
  <c r="U13" i="6"/>
  <c r="U14" i="6"/>
  <c r="U15" i="6"/>
  <c r="U16" i="6"/>
  <c r="U17" i="6"/>
  <c r="U18" i="6"/>
  <c r="U19" i="6"/>
  <c r="U20" i="6"/>
  <c r="U21" i="6"/>
</calcChain>
</file>

<file path=xl/comments1.xml><?xml version="1.0" encoding="utf-8"?>
<comments xmlns="http://schemas.openxmlformats.org/spreadsheetml/2006/main">
  <authors>
    <author>Phuc, Do Thi Hong</author>
  </authors>
  <commentList>
    <comment ref="G15" authorId="0" shapeId="0">
      <text>
        <r>
          <rPr>
            <b/>
            <sz val="9"/>
            <color indexed="81"/>
            <rFont val="Tahoma"/>
            <family val="2"/>
          </rPr>
          <t>Phuc, Do Thi Hong:</t>
        </r>
        <r>
          <rPr>
            <sz val="9"/>
            <color indexed="81"/>
            <rFont val="Tahoma"/>
            <family val="2"/>
          </rPr>
          <t xml:space="preserve">
Ngày 29/02/2024, khách báo nhầm lô, điều chỉnh lại từ EA2134  ---&gt;EA3159
Đã báo hãng </t>
        </r>
      </text>
    </comment>
    <comment ref="M34" authorId="0" shapeId="0">
      <text>
        <r>
          <rPr>
            <b/>
            <sz val="9"/>
            <color indexed="81"/>
            <rFont val="Tahoma"/>
            <family val="2"/>
          </rPr>
          <t>Phuc, Do Thi Hong:</t>
        </r>
        <r>
          <rPr>
            <sz val="9"/>
            <color indexed="81"/>
            <rFont val="Tahoma"/>
            <family val="2"/>
          </rPr>
          <t xml:space="preserve">
chưa thấy file scan, k tìm dc email để update thông tin</t>
        </r>
      </text>
    </comment>
    <comment ref="G63" authorId="0" shapeId="0">
      <text>
        <r>
          <rPr>
            <b/>
            <sz val="9"/>
            <color indexed="81"/>
            <rFont val="Tahoma"/>
            <family val="2"/>
          </rPr>
          <t>Phuc, Do Thi Hong:</t>
        </r>
        <r>
          <rPr>
            <sz val="9"/>
            <color indexed="81"/>
            <rFont val="Tahoma"/>
            <family val="2"/>
          </rPr>
          <t xml:space="preserve">
thay đổi số lô do khách báo nhầm </t>
        </r>
      </text>
    </comment>
  </commentList>
</comments>
</file>

<file path=xl/comments2.xml><?xml version="1.0" encoding="utf-8"?>
<comments xmlns="http://schemas.openxmlformats.org/spreadsheetml/2006/main">
  <authors>
    <author>Phuc, Do Thi Hong</author>
  </authors>
  <commentList>
    <comment ref="G15" authorId="0" shapeId="0">
      <text>
        <r>
          <rPr>
            <b/>
            <sz val="9"/>
            <color indexed="81"/>
            <rFont val="Tahoma"/>
            <family val="2"/>
          </rPr>
          <t>Phuc, Do Thi Hong:</t>
        </r>
        <r>
          <rPr>
            <sz val="9"/>
            <color indexed="81"/>
            <rFont val="Tahoma"/>
            <family val="2"/>
          </rPr>
          <t xml:space="preserve">
Ngày 29/02/2024, khách báo nhầm lô, điều chỉnh lại từ EA2134  ---&gt;EA3159
Đã báo hãng </t>
        </r>
      </text>
    </comment>
    <comment ref="G63" authorId="0" shapeId="0">
      <text>
        <r>
          <rPr>
            <b/>
            <sz val="9"/>
            <color indexed="81"/>
            <rFont val="Tahoma"/>
            <family val="2"/>
          </rPr>
          <t>Phuc, Do Thi Hong:</t>
        </r>
        <r>
          <rPr>
            <sz val="9"/>
            <color indexed="81"/>
            <rFont val="Tahoma"/>
            <family val="2"/>
          </rPr>
          <t xml:space="preserve">
thay đổi số lô do khách báo nhầm </t>
        </r>
      </text>
    </comment>
  </commentList>
</comments>
</file>

<file path=xl/comments3.xml><?xml version="1.0" encoding="utf-8"?>
<comments xmlns="http://schemas.openxmlformats.org/spreadsheetml/2006/main">
  <authors>
    <author>Thao, Do Thi Thanh</author>
    <author>Khoi, Le Minh</author>
  </authors>
  <commentList>
    <comment ref="R4" authorId="0" shapeId="0">
      <text>
        <r>
          <rPr>
            <b/>
            <sz val="9"/>
            <color indexed="81"/>
            <rFont val="Tahoma"/>
            <family val="2"/>
          </rPr>
          <t>Thao, Do Thi Thanh:</t>
        </r>
        <r>
          <rPr>
            <sz val="9"/>
            <color indexed="81"/>
            <rFont val="Tahoma"/>
            <family val="2"/>
          </rPr>
          <t xml:space="preserve">
test
</t>
        </r>
      </text>
    </comment>
    <comment ref="S4" authorId="0" shapeId="0">
      <text>
        <r>
          <rPr>
            <b/>
            <sz val="9"/>
            <color indexed="81"/>
            <rFont val="Tahoma"/>
            <family val="2"/>
          </rPr>
          <t>Thao, Do Thi Thanh:</t>
        </r>
        <r>
          <rPr>
            <sz val="9"/>
            <color indexed="81"/>
            <rFont val="Tahoma"/>
            <family val="2"/>
          </rPr>
          <t xml:space="preserve">
TEST
</t>
        </r>
      </text>
    </comment>
    <comment ref="R5" authorId="1" shapeId="0">
      <text>
        <r>
          <rPr>
            <b/>
            <sz val="9"/>
            <color indexed="81"/>
            <rFont val="Tahoma"/>
            <family val="2"/>
          </rPr>
          <t>Khoi, Le Minh:</t>
        </r>
        <r>
          <rPr>
            <sz val="9"/>
            <color indexed="81"/>
            <rFont val="Tahoma"/>
            <family val="2"/>
          </rPr>
          <t xml:space="preserve">
TEST</t>
        </r>
      </text>
    </comment>
  </commentList>
</comments>
</file>

<file path=xl/comments4.xml><?xml version="1.0" encoding="utf-8"?>
<comments xmlns="http://schemas.openxmlformats.org/spreadsheetml/2006/main">
  <authors>
    <author>Phuc, Do Thi Hong</author>
  </authors>
  <commentList>
    <comment ref="I65" authorId="0" shapeId="0">
      <text>
        <r>
          <rPr>
            <b/>
            <sz val="9"/>
            <color indexed="81"/>
            <rFont val="Tahoma"/>
            <family val="2"/>
          </rPr>
          <t>Phuc, Do Thi Hong:</t>
        </r>
        <r>
          <rPr>
            <sz val="9"/>
            <color indexed="81"/>
            <rFont val="Tahoma"/>
            <family val="2"/>
          </rPr>
          <t xml:space="preserve">
Ngày 20/06/2025, thay đổi sổ lô do CS thông tin nhầm từ FE3304C-&gt;FE3273C</t>
        </r>
      </text>
    </comment>
    <comment ref="M81" authorId="0" shapeId="0">
      <text>
        <r>
          <rPr>
            <b/>
            <sz val="9"/>
            <color indexed="81"/>
            <rFont val="Tahoma"/>
            <family val="2"/>
          </rPr>
          <t>Phuc, Do Thi Hong:</t>
        </r>
        <r>
          <rPr>
            <sz val="9"/>
            <color indexed="81"/>
            <rFont val="Tahoma"/>
            <family val="2"/>
          </rPr>
          <t xml:space="preserve">
CẬP NHẬT SỐ LƯỢNG TỪ 01 GÓI SANG 06 HỘP
Hàng về kho chỉ có 2 hộp bị lỗi</t>
        </r>
      </text>
    </comment>
  </commentList>
</comments>
</file>

<file path=xl/sharedStrings.xml><?xml version="1.0" encoding="utf-8"?>
<sst xmlns="http://schemas.openxmlformats.org/spreadsheetml/2006/main" count="5794" uniqueCount="2458">
  <si>
    <t xml:space="preserve">STT
No.
</t>
  </si>
  <si>
    <r>
      <t xml:space="preserve">Ngày
</t>
    </r>
    <r>
      <rPr>
        <b/>
        <i/>
        <sz val="11"/>
        <color theme="1"/>
        <rFont val="Tahoma"/>
        <family val="2"/>
      </rPr>
      <t>date</t>
    </r>
  </si>
  <si>
    <t xml:space="preserve">Code 
CC- </t>
  </si>
  <si>
    <r>
      <t xml:space="preserve">Tên khách hàng
</t>
    </r>
    <r>
      <rPr>
        <b/>
        <i/>
        <sz val="11"/>
        <color theme="1"/>
        <rFont val="Tahoma"/>
        <family val="2"/>
      </rPr>
      <t>Customer</t>
    </r>
  </si>
  <si>
    <r>
      <t xml:space="preserve">Địa chỉ
</t>
    </r>
    <r>
      <rPr>
        <b/>
        <i/>
        <sz val="11"/>
        <color theme="1"/>
        <rFont val="Tahoma"/>
        <family val="2"/>
      </rPr>
      <t>address</t>
    </r>
  </si>
  <si>
    <r>
      <t xml:space="preserve">Tên sản phẩm
</t>
    </r>
    <r>
      <rPr>
        <b/>
        <i/>
        <sz val="11"/>
        <color theme="1"/>
        <rFont val="Tahoma"/>
        <family val="2"/>
      </rPr>
      <t>Product name</t>
    </r>
  </si>
  <si>
    <r>
      <t xml:space="preserve">Số Lô
</t>
    </r>
    <r>
      <rPr>
        <b/>
        <i/>
        <sz val="11"/>
        <color theme="1"/>
        <rFont val="Tahoma"/>
        <family val="2"/>
      </rPr>
      <t>batch No.</t>
    </r>
  </si>
  <si>
    <r>
      <t xml:space="preserve">NSX
</t>
    </r>
    <r>
      <rPr>
        <b/>
        <i/>
        <sz val="11"/>
        <color theme="1"/>
        <rFont val="Tahoma"/>
        <family val="2"/>
      </rPr>
      <t>Mfg date</t>
    </r>
  </si>
  <si>
    <r>
      <t xml:space="preserve">HD
</t>
    </r>
    <r>
      <rPr>
        <b/>
        <i/>
        <sz val="11"/>
        <color theme="1"/>
        <rFont val="Tahoma"/>
        <family val="2"/>
      </rPr>
      <t>Exp date</t>
    </r>
  </si>
  <si>
    <r>
      <t xml:space="preserve">Đơn vị tính
</t>
    </r>
    <r>
      <rPr>
        <b/>
        <i/>
        <sz val="11"/>
        <color theme="1"/>
        <rFont val="Tahoma"/>
        <family val="2"/>
      </rPr>
      <t>Unit</t>
    </r>
  </si>
  <si>
    <r>
      <t xml:space="preserve">Số Lượng
</t>
    </r>
    <r>
      <rPr>
        <b/>
        <i/>
        <sz val="11"/>
        <color theme="1"/>
        <rFont val="Tahoma"/>
        <family val="2"/>
      </rPr>
      <t>Quanity</t>
    </r>
  </si>
  <si>
    <r>
      <t xml:space="preserve">Lý do khiếu nại
</t>
    </r>
    <r>
      <rPr>
        <b/>
        <i/>
        <sz val="11"/>
        <color theme="1"/>
        <rFont val="Tahoma"/>
        <family val="2"/>
      </rPr>
      <t>Reason of complaint</t>
    </r>
  </si>
  <si>
    <r>
      <t xml:space="preserve">Tình trạng
</t>
    </r>
    <r>
      <rPr>
        <b/>
        <i/>
        <sz val="11"/>
        <color theme="1"/>
        <rFont val="Tahoma"/>
        <family val="2"/>
      </rPr>
      <t>status</t>
    </r>
  </si>
  <si>
    <t>NA</t>
  </si>
  <si>
    <t>chai</t>
  </si>
  <si>
    <t>Hộp</t>
  </si>
  <si>
    <t>MENACTRA BOX OF 1 VIAL</t>
  </si>
  <si>
    <t>TRUNG TAM TIEM CHUNG VACCINE CHO TRE EM VA NGUOI LON DANAVAC</t>
  </si>
  <si>
    <t>1J5561</t>
  </si>
  <si>
    <t>31/05/2024</t>
  </si>
  <si>
    <t>hộp</t>
  </si>
  <si>
    <t xml:space="preserve">Người lập/ Prepared by
</t>
  </si>
  <si>
    <t>Người duyệt/ Approved by</t>
  </si>
  <si>
    <t>Ký, họ và tên/ Signature, full name</t>
  </si>
  <si>
    <t xml:space="preserve"> </t>
  </si>
  <si>
    <t>Xuất mẫu sang văn phòng hãng</t>
  </si>
  <si>
    <t>VERORAB BOX OF 10 VIALS + 10 SYRINGES</t>
  </si>
  <si>
    <t>Lọ</t>
  </si>
  <si>
    <t>þ</t>
  </si>
  <si>
    <t>LANTUS SOLOSTAR 100IU/ML B/5 PENS X 3ML</t>
  </si>
  <si>
    <t>Bút</t>
  </si>
  <si>
    <t xml:space="preserve">CHI NHANH CONG TY CO PHAN BENH VIEN DA KHOA TAM ANH TP. HO CHI MINH - KHOA DUOC (BVTP) </t>
  </si>
  <si>
    <t>2B PHO QUANG, PHUONG 2, QUAN TAN BINH, TP. HO CHI MINH, VIET NAM</t>
  </si>
  <si>
    <t>Ống</t>
  </si>
  <si>
    <t>PHOSPHALUGEL 12.38G/20G ORGEL SC26 VN</t>
  </si>
  <si>
    <t>TARGOSID 400MG/3ML INJPO VLSX1 VN</t>
  </si>
  <si>
    <t>60-60A PHAN XICH LONG, PHUONG 1, QUAN PHU NHUAN, TP.HO CHI MINH</t>
  </si>
  <si>
    <t>2F8396A</t>
  </si>
  <si>
    <t>01/2025</t>
  </si>
  <si>
    <t>TAVANIC 500MG TABCO BL5 M36 VN</t>
  </si>
  <si>
    <t>HEXAXIM BOX OF 1 PRE-FILLED SYRINGE  + 2 NEEDLES</t>
  </si>
  <si>
    <t>TANG 1, SO 18 L1-5 VSIP II,DUONG SO 3, KCN VIET NAM-SINGAPORE II,HOA PHU, TP THU DAU MOT, BINH DUONG</t>
  </si>
  <si>
    <t>HATLOP-150 (HOP/100VIEN) - EU</t>
  </si>
  <si>
    <t>bút</t>
  </si>
  <si>
    <t xml:space="preserve">TOUJEO SOLOSTAR 450IU B/5 PENS X 1.5ML </t>
  </si>
  <si>
    <t xml:space="preserve">Johnson &amp; Johnson </t>
  </si>
  <si>
    <t>12th Floor, Vietcombank Tower, 5 Me Linh Square, District 1, Ho Chi Minh City, Vietnam</t>
  </si>
  <si>
    <t>CONG TY TNHH DUOC PHAM MEDX</t>
  </si>
  <si>
    <t>Chai</t>
  </si>
  <si>
    <t>AVAXIM 80 U PEDIATRIC BOX OF 1 SYRINGE 0.5ML</t>
  </si>
  <si>
    <t>Vỉ</t>
  </si>
  <si>
    <t>Móp</t>
  </si>
  <si>
    <t>DEPAKINE 200MG TABEC TB40</t>
  </si>
  <si>
    <t>Viên</t>
  </si>
  <si>
    <t>CONG TY CO PHAN Y TE CHAN VAN</t>
  </si>
  <si>
    <t>541/21 SU VAN HANH, PHUONG 13, QUAN TAN BINH, TP. HO CHI MINH</t>
  </si>
  <si>
    <t>3F8891A</t>
  </si>
  <si>
    <t>BENH VIEN QUAN PHU NHUAN</t>
  </si>
  <si>
    <t>274 NGUYEN TRONG TUYEN, PHUONG 8, QUAN PHU NHUAN, TP. HO CHI MINH</t>
  </si>
  <si>
    <t>DEPAKINE CHRONO 500MG TUBE OF 30 TABS VN</t>
  </si>
  <si>
    <t>11 LE DUAN, PHUONG HAI CHAU 1, QUAN HAI CHAU, THANH PHO DA NANG, VIET NAM</t>
  </si>
  <si>
    <t>VAXIGRIP TETRA BOX OF 1 SYR 0.5ML</t>
  </si>
  <si>
    <t>101 PHAN BOI CHAU, PHUONG TAN THANH,THANH PHO TAM KY,TINH QUANG NAM, VIET NAM</t>
  </si>
  <si>
    <t xml:space="preserve">BENH VIEN TAM THAN </t>
  </si>
  <si>
    <t>766 VO VAN KIET, P1, QUAN 5, TP. HCM</t>
  </si>
  <si>
    <t>HỘP</t>
  </si>
  <si>
    <t xml:space="preserve">PHONG TIEM CHUNG TANIMED </t>
  </si>
  <si>
    <t>SO 73, DUONG 30/04, PHUONG 3, TP. TAY NINH, TINH TAY NINH</t>
  </si>
  <si>
    <t>BRUFEN SUSPENSION 60ML</t>
  </si>
  <si>
    <t xml:space="preserve">Khi mở hộp khui ra thì nắp bị nứt </t>
  </si>
  <si>
    <t>CONG TY CO PHAN BENH VIEN MY DUC PHU NHUAN</t>
  </si>
  <si>
    <t>CALCIUM CORBIERE EXTRA 3SUPX10 10ML VN</t>
  </si>
  <si>
    <t>Lon</t>
  </si>
  <si>
    <t>KHOA DUOC BENH VIEN HUNG VUONG</t>
  </si>
  <si>
    <t>128 HONG BANG, QUAN 5, TPHCM</t>
  </si>
  <si>
    <t>TETRAXIM BOX OF 1 SYRINGE 0.5ML</t>
  </si>
  <si>
    <t>129 NGUYEN TRAI, DIEN KHANH, KHANH HOA</t>
  </si>
  <si>
    <t>TRUNG TAM Y TE HUYEN DI LINH</t>
  </si>
  <si>
    <t>KEIKAI (HOP/60VIEN)</t>
  </si>
  <si>
    <t>PHONG KHAM DA KHOA VICTORIA - CONG TY TNHH DUOC PHAM ATIPHARM</t>
  </si>
  <si>
    <t>20 -20 BIS - 22 DINH TIEN HOANG, PHUONG DA KAO, QUAN 1, THANH PHO HO CHI MINH</t>
  </si>
  <si>
    <t>53246XP</t>
  </si>
  <si>
    <t>NHA THUOC PHONG KHAM DA KHOA MINH HAI</t>
  </si>
  <si>
    <t>214 LY THUONG KIET, KHOM 3, PHUONG 6, THANH PHO CA MAU, TINH CA MAU</t>
  </si>
  <si>
    <t>BIỂU MẪU 02/ FORM 02
DANH SÁCH KHIẾU NẠI KHÁCH HÀNG NĂM 2024
LIST OF CUSTOMER COMPLAINTS - YEAR 2024</t>
  </si>
  <si>
    <t>NCC</t>
  </si>
  <si>
    <t>Yêu cầu điều tra</t>
  </si>
  <si>
    <t>CC_010124</t>
  </si>
  <si>
    <t>CHI NHANH HA NOI-CONG TY CO PHAN DUOC PHAM FPT LONG CHAU</t>
  </si>
  <si>
    <t>TO DAN PHO 4, THI TRAN QUANG MINH, HUYEN ME LINH, HA NOI</t>
  </si>
  <si>
    <t>PLENDIL PLUS 5/50 MG PROLONGED-RELEASE TABLET BOTTLE 30'S</t>
  </si>
  <si>
    <t>MANS</t>
  </si>
  <si>
    <t xml:space="preserve">Vỏ ngoài hộp thuốc có lô MANS date 19/10/2024
Bên trong hộp thuốc lại có lô MANC hạn là 16/11/2023  (HẾT HẠN)
</t>
  </si>
  <si>
    <t>- Do hàng mua từ CÔNG TY TNHH THƯƠNG MẠI VÀ DP SANG nên Plan sẽ gửi thông tin cho CÔNG TY TNHH THƯƠNG MẠI VÀ DP SANG về complaint này
- Nhận được phản hồi từ nhà sản xuất ngày 25/01/2024--&gt; Lỗi không từ nhà sản xuất
- Tiến hành đổi trả cho khách
--&gt;Hoàn tất</t>
  </si>
  <si>
    <t>CC_020124</t>
  </si>
  <si>
    <t xml:space="preserve">BENH VIEN TAM THAN   </t>
  </si>
  <si>
    <t>EA3158</t>
  </si>
  <si>
    <t xml:space="preserve">Hộp bị nứt, thuốc bị dính nhau (có đính kèm hình ảnh, video)
</t>
  </si>
  <si>
    <t>- Đã báo hãng
- Nhận được hướng xử lý ngày 08/01/2024
- Ngày 15/01/2024, hàng khiếu nại về kho
--&gt;Hoàn tất</t>
  </si>
  <si>
    <t>CC_030124
HUY</t>
  </si>
  <si>
    <t xml:space="preserve">BENH VIEN VUNG TAU </t>
  </si>
  <si>
    <t>SO 27, DUONG 2/9 PHUONG 11, THANH PHO VUNG TAU, TINH BA RIA VUNG TAU</t>
  </si>
  <si>
    <t>Một bút Lantus Solostar không tiêm được</t>
  </si>
  <si>
    <t>CC_040124-HN</t>
  </si>
  <si>
    <t xml:space="preserve">CONG TY CO PHAN DAU TU DICH VU Y TE THE MEDCARE – CN HAI PHONG </t>
  </si>
  <si>
    <t>TẦNG 3-4 TÒA NHÀ DUY KHÁNH, SỐ 2 LÔ 22, PHƯỜNG ĐÔNG KHÊ, QUẬN NGÔ QUYỀN, HẢI PHÒNG</t>
  </si>
  <si>
    <t xml:space="preserve">Sản phẩm bị lỗi bung nắp </t>
  </si>
  <si>
    <t>CC_050124</t>
  </si>
  <si>
    <t xml:space="preserve">HO KINH DOANH CHERRY SHOP </t>
  </si>
  <si>
    <t>DUONG CHU VAN AN, THON HIEP HOA, XA TAN HAI, THI XA LA GI, TINH BINH THUAN</t>
  </si>
  <si>
    <t>FONTACTIV® COMPLETE (VANILLA 800G)</t>
  </si>
  <si>
    <t>3062-146</t>
  </si>
  <si>
    <t>Sản phẩm bị móp trong thùng nguyên</t>
  </si>
  <si>
    <t>- Báo Plan complaint hãng
- Nhận được hướng xuất mẫu cho hãng ngày 16/01/2024
Ngày 22/01/2024 hàng khiếu nại về kho
--&gt;Hoàn tất</t>
  </si>
  <si>
    <t>CC_060124</t>
  </si>
  <si>
    <t xml:space="preserve">PHONG KHAM DA KHOA VICTORIA - CONG TY TNHH DUOC PHAM ATIPHARM </t>
  </si>
  <si>
    <t>Gửi trả hãng như các khiếu nại trước
---&gt;Hoàn tất</t>
  </si>
  <si>
    <t>CC_070124-HN</t>
  </si>
  <si>
    <t>BENH VIEN K TAN TRIEU</t>
  </si>
  <si>
    <t>30 Đ. CẦU BƯƠU, TÂN TRIỀU, THANH TRÌ, HÀ NỘI</t>
  </si>
  <si>
    <t>ERANFU</t>
  </si>
  <si>
    <t>K230144</t>
  </si>
  <si>
    <t>Lỗi không có kim tiêm</t>
  </si>
  <si>
    <t xml:space="preserve">- Hàng được điều chuyển về kho LH để hủy </t>
  </si>
  <si>
    <t>CC_080124</t>
  </si>
  <si>
    <t>NHA THUOC TAY THANG</t>
  </si>
  <si>
    <t>CC_090224</t>
  </si>
  <si>
    <t xml:space="preserve">KHACH HANG VANG LAI-HCM </t>
  </si>
  <si>
    <t>12 NGUYEN HIEN, P4, QUAN 3, TP.HCM</t>
  </si>
  <si>
    <t>C SCAPE+ SERUM 30ML</t>
  </si>
  <si>
    <t>WG0208</t>
  </si>
  <si>
    <t xml:space="preserve">Tình trạng không đóng nắp chai kỹ, bị rò rỉ dung dịch ướt cả bên trong hộp </t>
  </si>
  <si>
    <t>CC_100224</t>
  </si>
  <si>
    <t>53247XP</t>
  </si>
  <si>
    <t>Khi mở hộp khui ra thì nắp bị nứt</t>
  </si>
  <si>
    <t>CC_110224</t>
  </si>
  <si>
    <t>U7771BC</t>
  </si>
  <si>
    <t>Không có thuốc</t>
  </si>
  <si>
    <t>-Gửi hãng thông tin
- Ngày 19/02/2024, hãng chấp nhận khiếu nại
22/04 mẫu về kho</t>
  </si>
  <si>
    <t>CC_120224</t>
  </si>
  <si>
    <t>EA3159</t>
  </si>
  <si>
    <t>07/2023</t>
  </si>
  <si>
    <t>Trong hộp có 1 viên bị nứt đôi, chỉ phát hiện nửa viên, không phát hiện nửa viên còn lại</t>
  </si>
  <si>
    <t>3F599A</t>
  </si>
  <si>
    <t>Sử dụng bút tiêm Toujeo Solostar với liều 18UI/ngày, dùng kim tiêm Novofine 6 mm, sau khi tiêm thì thấy máu xuất hiện trong uống chứa thuốc, lắc thì máu tan ra hết</t>
  </si>
  <si>
    <t>CC_140224</t>
  </si>
  <si>
    <t xml:space="preserve"> BENH VIEN QUAN 7</t>
  </si>
  <si>
    <t>101 NGUYEN THI THAP, P.TAN PHU, QUAN 7, TPHCM</t>
  </si>
  <si>
    <t>RYZONAL (HOP/60VIEN) - EU</t>
  </si>
  <si>
    <t>Vỉ thuốc bên trong bị móp méo</t>
  </si>
  <si>
    <t>CC_150224
HUY</t>
  </si>
  <si>
    <t xml:space="preserve">3F8891A
</t>
  </si>
  <si>
    <t>02/2023</t>
  </si>
  <si>
    <t xml:space="preserve">Phần bấm của bút tiêm bị kẹt. Đây là bút mới, chưa bấm được nên chưa sử dụng 
(Khách hàng đã biết sử dụng Lantus và đã thực hiện các bước)
</t>
  </si>
  <si>
    <t>CC_160224</t>
  </si>
  <si>
    <t>Khi quét mã QR trên vỏ hộp sản phẩm Hexaxim, không hiển thị được thông tin sản phẩm</t>
  </si>
  <si>
    <t>CC_170324</t>
  </si>
  <si>
    <t>135A Nguyễn Văn Trỗi, Phú Nhuận TPHCM</t>
  </si>
  <si>
    <t>CC_180324</t>
  </si>
  <si>
    <t>1. Dầu gội 50 megumi ngăn ngừa rụng tóc (chai/250ml)
2. Sữa rửa mặt acnes vitamin cleanser rohto (t/50gr)</t>
  </si>
  <si>
    <t>1.LZ01A
2.KZ01</t>
  </si>
  <si>
    <t>1.16/12/2026
2.06/11/2026</t>
  </si>
  <si>
    <t>Chai
Tuýp</t>
  </si>
  <si>
    <t>Sản phẩm bị chảy 
Dính lem từ dầu gội</t>
  </si>
  <si>
    <t>BENH VIEN DA KHOA TAM ANH</t>
  </si>
  <si>
    <t>2B Đ. Phổ Quang, Phường 2, Tân Bình, Thành phố Hồ Chí Minh</t>
  </si>
  <si>
    <t>APIDRA SOLOTAR 300UI/3ML</t>
  </si>
  <si>
    <t>3F869A</t>
  </si>
  <si>
    <t xml:space="preserve">Khách hàng khi sử dụng bút tiêm phát hiện có cặn trắng bên trong ống đựng </t>
  </si>
  <si>
    <t>CC_200324</t>
  </si>
  <si>
    <t>BENH VIEN NHI DONG 2</t>
  </si>
  <si>
    <t>14 Lý Tự Trọng, Bến Nghé, Quận 1, Thành phố Hồ Chí Minh</t>
  </si>
  <si>
    <t>LOVENOX 40MG/0.4ML INJ. B/ 2 SYRINGES VN</t>
  </si>
  <si>
    <t>FS806A</t>
  </si>
  <si>
    <t>Điều kiện bảo quản được in trên nhãn thùng khác với thông tin được in trên hộp 
(Nhãn thùng: dưỡi 25 độ C
Được in trên hộp: không quá 30 độ C)</t>
  </si>
  <si>
    <t>CC_210324</t>
  </si>
  <si>
    <t>PHONG TIEM CHUNG VAC CIN NHAN AN</t>
  </si>
  <si>
    <t>152, Quốc lộ 27, thôn 13, xã Ea Tiêu, huyện Cư Kuin, tỉnh Đắk Lắk</t>
  </si>
  <si>
    <t>W3G601V</t>
  </si>
  <si>
    <t>1 hộp hexaxim bị thiếu lọ thuốc</t>
  </si>
  <si>
    <t>CC_220324-HN</t>
  </si>
  <si>
    <t>ALUMINIUMPHOSPHAT GEL (HOP/20 GOI)</t>
  </si>
  <si>
    <t>19/08/2025</t>
  </si>
  <si>
    <t>Dung dịch thuốc bị rò rỉ thấm ra vỏ hộp</t>
  </si>
  <si>
    <t>CC_230324</t>
  </si>
  <si>
    <t>CONG TY CO PHAN BENH CIEN DA KHOA MY DUC</t>
  </si>
  <si>
    <t>79 Nguyễn Thị Nhỏ, Phường 9, Tân Bình, Thành phố Hồ Chí Minh</t>
  </si>
  <si>
    <t>CALCIUM CORBIERE EXTRA 3SUPX10 5ML VN</t>
  </si>
  <si>
    <t>DVH2160</t>
  </si>
  <si>
    <t xml:space="preserve">1 hộp không có thuốc bên trong </t>
  </si>
  <si>
    <t>NHA THUOC BENH VIEN DA KHOA TAM MINH DUC</t>
  </si>
  <si>
    <t>177 Nguyễn Thái Sơn, Phường 4, Gò Vấp, Thành phố Hồ Chí Minh</t>
  </si>
  <si>
    <t xml:space="preserve">1 bút Lantus không thể bấm xuống được </t>
  </si>
  <si>
    <t>CC_260424-ĐN</t>
  </si>
  <si>
    <t>BENH VIEN DA KHOA KHU VUC BONG SON</t>
  </si>
  <si>
    <t>Số 2699 Quang Trung, phường Bồng Sơn, thị xã Hoài Nhơn, tỉnh Bình Định</t>
  </si>
  <si>
    <t>FORTRAGET</t>
  </si>
  <si>
    <t>058M03</t>
  </si>
  <si>
    <t>27/05/2023</t>
  </si>
  <si>
    <t>27/05/2025</t>
  </si>
  <si>
    <t>Khi viện cấp cho bệnh nhân, test thử thì xịt không ra thuốc</t>
  </si>
  <si>
    <t>CC_270424</t>
  </si>
  <si>
    <t>CONG TY TNHH TRUNG TAM Y KHOA PASTEUR DA LAT</t>
  </si>
  <si>
    <t>Số 16 đường Lê Hồng Phong, phường 4, Thành phố Đà Lạt, Lâm Đồng</t>
  </si>
  <si>
    <t xml:space="preserve">HEXAXIM BOX OF 1 PRE-FILLED SYRINGE  
+ 2 NEEDLES
</t>
  </si>
  <si>
    <t>30/04/2026</t>
  </si>
  <si>
    <t>Bị thiếu bơm tiêm</t>
  </si>
  <si>
    <t>CC_280424</t>
  </si>
  <si>
    <t>HO KINH DOANH PHONG KHAM 30 TRAN NHAT DUAT</t>
  </si>
  <si>
    <t>Số 30 Trần Nhật Duật, phường Tân Lợi, Tp. Buôn Ma Thuột, Đak Lak</t>
  </si>
  <si>
    <t xml:space="preserve">ENTEROGERMINA,4BCFU/5ML,SP,BT20,VN </t>
  </si>
  <si>
    <t>3I154</t>
  </si>
  <si>
    <t>06/2025</t>
  </si>
  <si>
    <t xml:space="preserve">Sản phẩm Enterogermina 4 tỷ bào tử có sự khác thường về mặt cảm quan: màu sắc thuốc ngả màu hơi vàng, có cặn đục màu hơi vàng ở đầu ống thuốc; có cát bụi, nấm mốc bao quanh bên ngoài vỏ ống thuốc và phía trong vỏ hộp.
</t>
  </si>
  <si>
    <t>CC_290424</t>
  </si>
  <si>
    <t>TRUNG TAM Y TE HUYEN XUAN LOC</t>
  </si>
  <si>
    <t>NGA 3 SUOI CAT, XA SUOI CAT, H. XUAN LOC, DONG NAI</t>
  </si>
  <si>
    <t>TOUJEO SOLOSTAR 450IU B/5 PENS X 1.5ML</t>
  </si>
  <si>
    <t>3F817A</t>
  </si>
  <si>
    <t>Bút tiêm bị phồng nút cao su</t>
  </si>
  <si>
    <t>CC_300524</t>
  </si>
  <si>
    <t xml:space="preserve">BENH VIEN UNG BUOU-CO SO 2 </t>
  </si>
  <si>
    <t>SO 12 DUONG 400, KHU PHO 3, PHUONG TAN PHU, THANH PHO THU DUC, TP. HO CHI MINH</t>
  </si>
  <si>
    <t>ZOLADEX 3.6 MG DEPOT 1'S</t>
  </si>
  <si>
    <t>SK762</t>
  </si>
  <si>
    <t xml:space="preserve">Khi bơm thuốc cho bệnh nhân thì phát hiện pít tông ống thuốc không bơm được </t>
  </si>
  <si>
    <t>CC_310524</t>
  </si>
  <si>
    <t>BENH VIEN DA KHOA KHU VUC THU DUC</t>
  </si>
  <si>
    <t>64 LE VAN CHI, PHUONG LINH TRUNG, THANH PHO THU DUC, TP. HO CHI MINH</t>
  </si>
  <si>
    <t>Sản phẩm bị đổi màu</t>
  </si>
  <si>
    <t>CC_320524
HUY</t>
  </si>
  <si>
    <t>TRUNG TAM Y TE HUYEN DON DUONG, LAM DONG</t>
  </si>
  <si>
    <t>46 PHAM NGOC THACH, THANH MY, DON DUONG, LAM DONG</t>
  </si>
  <si>
    <t xml:space="preserve">LANTUS SOLOSTAR 100IU/ML B/5 PENS X 3ML </t>
  </si>
  <si>
    <t>3F9097A</t>
  </si>
  <si>
    <t>Không bấm được</t>
  </si>
  <si>
    <t>CC_330524</t>
  </si>
  <si>
    <t xml:space="preserve">CONG TY TNHH TRUNG TAM Y KHOA PASTEUR DA LAT </t>
  </si>
  <si>
    <t>SO 16 DUONG LE HONG PHONG, PHUONG 4, THANH PHO DA LAT, TINH LAM DONG</t>
  </si>
  <si>
    <t>WELLBABY MULTI-VITAMIN LIQUID (CHAI 150ML)</t>
  </si>
  <si>
    <t>Bị rách vỏ hộp</t>
  </si>
  <si>
    <t>CC_340524</t>
  </si>
  <si>
    <t>BVDK LONG AN</t>
  </si>
  <si>
    <t>211 NGUYEN THONG, PHUONG 3, TP TAN AN , TINH LONG AN</t>
  </si>
  <si>
    <t>2RX28</t>
  </si>
  <si>
    <t>11/2025</t>
  </si>
  <si>
    <t>Sản phẩm bị nứt ngoài vỏ hộp nhựa và thuốc bị chảy, ẩm ướt</t>
  </si>
  <si>
    <t>CC_350524</t>
  </si>
  <si>
    <t>ADACEL BOX OF 1 VIAL</t>
  </si>
  <si>
    <t>2CA07C3</t>
  </si>
  <si>
    <t>Vaccine có mảng trắng và lắc không tan</t>
  </si>
  <si>
    <t>CC_360524</t>
  </si>
  <si>
    <t>BENH VIEN BA RIA VUNG TAU</t>
  </si>
  <si>
    <t>686 DUONG VO VAN KIET, PHUONG LONG TAM, THANH PHO BA RIA, TINH BA RIA VUNG TAU</t>
  </si>
  <si>
    <t>THUC PHAM DINH DUONG Y HOC FORTIMEL PROTEIN (HUONG VANI)</t>
  </si>
  <si>
    <t>111341678
111325237</t>
  </si>
  <si>
    <t>31/01/2024
05/12/2023</t>
  </si>
  <si>
    <t>30/01/2025
04/12/2024</t>
  </si>
  <si>
    <t>Có lẫn 1 chai lô 111325237 trong lốc lô 111341678</t>
  </si>
  <si>
    <t>CC_370524</t>
  </si>
  <si>
    <t>KHOA DUOC BENH VIEN VIET PHAP</t>
  </si>
  <si>
    <t>SO 1 PHUONG MAI - DONG DA - HN</t>
  </si>
  <si>
    <t>111341678</t>
  </si>
  <si>
    <t xml:space="preserve">31/01/2024
</t>
  </si>
  <si>
    <t>30/01/2025</t>
  </si>
  <si>
    <t>Số lô trên chai và lốc khác nhau, nhưng cùng hạn dùng</t>
  </si>
  <si>
    <t>CC_380624</t>
  </si>
  <si>
    <t xml:space="preserve">CÔNG TY TNHH THƯƠNG MẠI VÀ DƯỢC PHẨM SANG </t>
  </si>
  <si>
    <t>11/9 Ngô Quang Huy, Phường Thảo Điền, Tp.Thủ Đức, Tp.Hồ Chí Minh</t>
  </si>
  <si>
    <t>IMOJEV 0.5ML 1DOSE</t>
  </si>
  <si>
    <t>08A2306GA
08A2305GA</t>
  </si>
  <si>
    <t>22/05/2026
15/05/2026</t>
  </si>
  <si>
    <t>Thể tích dung môi dư 0,1ml so với quy định.</t>
  </si>
  <si>
    <t>CC_390624</t>
  </si>
  <si>
    <t>HO KINH DOANH NHA THUOC BINH DAN 3</t>
  </si>
  <si>
    <t>6A, DUONG D400, PHUONG TAN PHU, THANH PHO THU DUC, THANH PHO HO CHI MINH</t>
  </si>
  <si>
    <t>THUC PHAM DINH DUONG Y HOC FORTIMEL PROTEIN (HUONG DAU)</t>
  </si>
  <si>
    <t>Sản phẩm tách lớp, phần nước trong tách lớp, nổi lên trên</t>
  </si>
  <si>
    <t>CC_400624</t>
  </si>
  <si>
    <t>NHA THUOC BENH VIEN DA LIEU</t>
  </si>
  <si>
    <t>12/1 DUONG 3 THANG 2 , P. HUNG LOI, Q. NINH KIEU, TP. CAN THO</t>
  </si>
  <si>
    <t>VCI GLYCOLIC ACID PEEL 70% (SAC 10S)</t>
  </si>
  <si>
    <t>WJ0276</t>
  </si>
  <si>
    <t>1 hộp bị lỗi trong đó có 04 gói chảy dung dịch, 06 gói bị nhăn nhúm</t>
  </si>
  <si>
    <t>CC_410624</t>
  </si>
  <si>
    <t>BENH VIEN THANH PHO THU DUC</t>
  </si>
  <si>
    <t>29 PHU CHAU, PHUONG TAM PHU, THANH PHO THU DUC, THANH PHO HO CHI MINH</t>
  </si>
  <si>
    <t>3F9322A</t>
  </si>
  <si>
    <t>08/2026</t>
  </si>
  <si>
    <t xml:space="preserve">Bút tiêm không vặn theo chiều chỉnh liều và bấm nút để tiêm được
</t>
  </si>
  <si>
    <t>CC_420724</t>
  </si>
  <si>
    <t>PHÒNG TIÊM NGỪA SAM SUM</t>
  </si>
  <si>
    <t>CAN PG 2-11, KHU NHA PHO VINCOM, PHAM NGU LAO, KHOM 3, PHUONG 2, TP.TRA VINH, TINH TRA VINH</t>
  </si>
  <si>
    <t>VAXIGRIP TETRA 0.5ML 1D INJ PS1 M12 (SH)</t>
  </si>
  <si>
    <t>Y3A211V</t>
  </si>
  <si>
    <t>Trong hộp không có bơm kim tiêm</t>
  </si>
  <si>
    <t xml:space="preserve">Ngày 03/07/2024 : nhận được hướng xử lý từ hãng. </t>
  </si>
  <si>
    <t>CC_430724</t>
  </si>
  <si>
    <t>03/2023</t>
  </si>
  <si>
    <t>28/02/2025</t>
  </si>
  <si>
    <t>Bệnh nhân có nhận hộp 5 bút tiêm Apidra, về nhà sử dụng và BN phát hiện có cặn lắng</t>
  </si>
  <si>
    <t>CC_440724</t>
  </si>
  <si>
    <t>Bị lỗi</t>
  </si>
  <si>
    <t>BENH VIEN NGUYEN TRAI</t>
  </si>
  <si>
    <t xml:space="preserve"> 314 NGUYEN TRAI, PHUONG 8, QUAN 5, TP. HO CHI MINH</t>
  </si>
  <si>
    <t>CC_450724</t>
  </si>
  <si>
    <t>BENH VIEN SAN - NHI CA MAU</t>
  </si>
  <si>
    <t>85 LY THUONG KIET, P6, TP CA MAU, TINH CA MAU</t>
  </si>
  <si>
    <t>Y3A211V
Y3A741V</t>
  </si>
  <si>
    <t>Vaccin Vaxigrip Tetra có mũi kim không được sắc bén, nên khi tiêm vào khách hàng cảm giác không được như ý, hơi “sực sực”.</t>
  </si>
  <si>
    <t>Ngày 11/07/2024 : đã email cho hãng
Ngày 12/07/2024: chờ phản hồi từ hãng</t>
  </si>
  <si>
    <t xml:space="preserve">Tình trạng </t>
  </si>
  <si>
    <t>x</t>
  </si>
  <si>
    <t>- khiếu nại lặp lại xử lý như CC_641123</t>
  </si>
  <si>
    <t>CC_250324-HN-HUY</t>
  </si>
  <si>
    <t>-Gửi hãng thông tin
- Chấp nhận đổi hàng cho khách 
- Hướng xử lý và đền bù hãng sẽ thông báo sau. Chi phí đền bù ban đầu sẽ charge vào chi phí công ty
---&gt;Hoàn tất</t>
  </si>
  <si>
    <t xml:space="preserve">-Gửi hãng thông tin
- Nhận được hướng xử lý 20/02/2024
- Ngày 29/02/2024, hàng khiếu nại về kho, phát hiện số lô lọ và số lô trên hộp không khớp với nhau. Lý do khách báo nhầm lô. Báo email cho hãng cập nhật thông tin
---&gt;Hoàn tất
</t>
  </si>
  <si>
    <t>-Gửi hãng thông tin ngày 19/02/2024
- Hãng chấp nhận khiếu nại 
03/04/2024: Hủy khiếu nại do khách đồng ý thu hồi mẫu, và cũng không yêu cầu đổi hàng 
---&gt;Hoàn tất</t>
  </si>
  <si>
    <t>CC_130224-HUY</t>
  </si>
  <si>
    <t xml:space="preserve">03/04/2024 : nhận được hướng xử lý từ hãng và nhận công văn giải trình
---&gt; Hoàn tất
</t>
  </si>
  <si>
    <t>- Đã báo hãng ngày 29/02/2024
- Nhận được câu trả lời từ hãng ngày 29/02/2024
--&gt; Hoàn tất</t>
  </si>
  <si>
    <t>- Báo Plan complaint hãng
- Đổi hàng cho khách 
- 21/03/2024: Hàng về kho
--&gt; Hoàn tất</t>
  </si>
  <si>
    <t>- Đổi hàng cho khách
- 18/03/2024: Hàng về kho
--&gt; Hoàn tất</t>
  </si>
  <si>
    <t>CC_190324-HUY</t>
  </si>
  <si>
    <t>- Đã báo hãng ngày 15/03/2024
- Nhận được hướng xử lí ngày 19/03/2024
-02/04/2024: Bệnh viện xác nhận hủy ca khiếu nại này và không hỗ trợ thu mẫu 
---&gt; Hoàn tất</t>
  </si>
  <si>
    <t>- Đã báo hãng ngày 25/03/2024
- Nhận được công văn phản hồi ngày 25/03/2024 và đã thông tin ngay cho khách hàng
- Khách hàng yêu cầu thêm công văn (gửi bản giấy)
--&gt; Hoàn tất</t>
  </si>
  <si>
    <t>29/03/2024:Đã báo hãng
01/04/2024: Nhận được mail hãng yêu cầu gửi mẫu 1 hộp về hãng
--&gt; Hoàn tất</t>
  </si>
  <si>
    <t>- Đã báo hãng ngày 28/03/2024
- Nhận được hướng xử lí ngày 01/04/2024 (đổi hàng và thu mẫu về VP Sanofi)
--&gt; Hoàn tất</t>
  </si>
  <si>
    <t>29/03/2024: Đã báo hãng
04/04/2024: Nhà thuốc đã kiểm tra và test lại thì bút Lantus đã sử dụng được bình thường, trước đây do lỗi bệnh nhân sử dụng kim bị cong đầu dưới, sau khi thay kim khác thì bút hoạt động tốt
---&gt; Hủy khiếu nại
---&gt; Hoàn tất</t>
  </si>
  <si>
    <t>CC_240324
HUY</t>
  </si>
  <si>
    <t>- Gửi thông tin cho hãng ngày 27/02/2024
--&gt; Hủy khiếu nại do khách không cung cấp được các chứng từ liên quan
--&gt; Hoàn tất</t>
  </si>
  <si>
    <t>- Đã báo hãng
- Hãng không chấp nhận khiếu nại do kim novofine 31g 6mm không nằm trong danh sách kim tiêm tương thích với Lantus Solostar
- Ngày 16/01/2024, sau khi trao đổi, thu mẫu của khách gửi nhà máy điều tra, sau khi có kết quả điều tra từ nhà máy mới tiến hành đền bù với khách
Nhận được hướng xử lý ngày 11/01/2024
--&gt; Hủy khiếu nại do khách không thể cung cấp chứng từ theo yêu cầu
--&gt; Hoàn tất</t>
  </si>
  <si>
    <t>Khách hàng hủy khiếu nại do không chờ được thời gian điều tra
---&gt; Hoàn tất</t>
  </si>
  <si>
    <t>01/04/2024: đã báo hãng
01/04/2024: Nhận được hướng xử lý ngày (đổi hàng cho khách và thu hồi mẫu về vp hãng )
--&gt; Hoàn tất</t>
  </si>
  <si>
    <t>12/04/2024: đã báo hãng
12/04/2024: Nhận hướng xử lý (đổi hàng cho khách + mẫu thu về sẽ trả Sanofi theo đợt)--&gt; Hoàn tất</t>
  </si>
  <si>
    <t>19/04/2024: hãng gửi thông tin HĐ và xác nhận khiếu nại về chất lượng
20/04/2024: mail CS hướng xử lý (thu mẫu về vp sanofi + đổi hàng cho khách)
09/05/2024: nhập kho
--&gt; Hoàn tất</t>
  </si>
  <si>
    <t>23/04/2024: đã báo hãng
26/04/2024: Nhận hướng xử lý (đổi hàng cho khách + mẫu thu về sẽ trả Sanofi theo đợt)
--&gt; Hoàn tất</t>
  </si>
  <si>
    <t>04/05/2024: đã báo hãng
07/05/2024: Nhận hướng xử lý ( đổi hàng cho khách + mẫu thu về sẽ trả AZ theo đợt)
10/05/2024: Nhập kho
--&gt; Hoàn tất</t>
  </si>
  <si>
    <t>14/05/2024: đã báo hãng
28/05/2024: nhận hướng xử lý từ hãng (thu hồi + gửi mẫu về vp Sanofi)
30/05/2024: khách hủy khiếu nại do không còn yêu cầu hỗ trợ đổi trả hàng
--&gt; Hoàn tất</t>
  </si>
  <si>
    <t>17/05/2024: đã báo hãng VE
20/05/2024: nhận hướng xử lý từ hãng (đổi hàng + nhập kho damage chờ xử lý)
27/05/2024: nhập kho
---&gt; Hoàn tất</t>
  </si>
  <si>
    <t>21/05/2024: đã báo hãng + nhận khiếu nại
27/05/2024: hãng báo thu mẫu về vp Sanofi   
18/06/2024: nhập kho--&gt; Hoàn tất</t>
  </si>
  <si>
    <t>21/05/2024: đã báo hãng + nhận hướng xử lý (đổi hàng + trả hàng theo đợt)
18/06/2024: nhập kho --&gt; Hoàn tất</t>
  </si>
  <si>
    <t xml:space="preserve">11/06/2024: đã báo hãng Danone
17/06/2024: đổi hàng cho khách trước
27/06/2024: nhập kho--&gt; Hoàn tất
</t>
  </si>
  <si>
    <t>11/06/2024: đã báo hãng Hyphens
12/06/2024: nhận hướng xử lý từ hãng (đổi hàng cấn trừ công nợ)
21/06/2024: nhập kho--&gt; Hoàn tất</t>
  </si>
  <si>
    <t>Ngày 05/07/2024: Sau khi liên hệ bệnh viện thì nhận được thông tin bệnh viện đã nhận được đền bù từ trình dược hãng, mẫu khiếu nại sẽ được trình dược hãng gửi về nhà máy để điều tra nguyên nhân. Do đó Hoàng Đức không tiến hành đền bù và đóng case khiếu nại 
--&gt; Hoàn tất</t>
  </si>
  <si>
    <t>Ngày 11/07/2024 : đã email cho hãng
Ngày 12/07/2024: hãng chấp nhận khiếu nại và xin thu mẫu kim tiêm để điều tra nguyên nhân 
Ngày 18/07/2024: chưa nhận được câu trả lời từ khách, đã thông tin cho hãng và khách đang thu thập mẫu kim tiêm</t>
  </si>
  <si>
    <t>04/06/2024: đã báo hãng Danone
21/06/2024: nhận phản hồi từ hãng 
--&gt; Hoàn tất</t>
  </si>
  <si>
    <t>04/06/2024: đã báo hãng Danone
21/06/2024: nhận phản hồi từ hãng
--&gt; Hoàn tất</t>
  </si>
  <si>
    <t>19/07/2024</t>
  </si>
  <si>
    <t>CC_480724</t>
  </si>
  <si>
    <t>CC_460724</t>
  </si>
  <si>
    <t>CC_470724</t>
  </si>
  <si>
    <t>Có dấu hiệu bị xì và tràn dung dịch bên trong</t>
  </si>
  <si>
    <t>gói</t>
  </si>
  <si>
    <t>2 NGUYEN THONG - QUAN 3</t>
  </si>
  <si>
    <t>PHONG KHAM DA KHOA VICTORIA HEALTHCARE  - CONG TY TNHH INTERSHOP</t>
  </si>
  <si>
    <t>11 chai (trong đó lỗi 8 chai - 3 chai chưa khui)
Khi mở hộp khui ra thì nắp bị nứt</t>
  </si>
  <si>
    <t>Khiếu nại lặp lại CC_641123
--&gt; Hoàn tất</t>
  </si>
  <si>
    <t>W3G845V</t>
  </si>
  <si>
    <t>1 hộp Hexaxim không có lọ thuốc bên trong</t>
  </si>
  <si>
    <t xml:space="preserve">CONG TY CO PHAN KHAM CHUA BENH MINH DUC </t>
  </si>
  <si>
    <t>333D DOAN HOANG MINH, P6, TP. BEN TRE, TINH BEN TRE</t>
  </si>
  <si>
    <t xml:space="preserve">06/05/2024: đã báo hãng
03/07/2024: gửi mail chờ phản hồi từ KH
19/07/2024: KH chưa rep, mail remind
19/07/2024: Sau khi email đến hãng nhận được thông tin như sau" ca này Sanofi không đổi trả/ đền bù vì không có lỗi sản phẩm.Sanofi cũng đã hoàn tất điều tra và đóng khiếu nại theo quy trình nội bộ và phù hợp với luật định."
Và Hoàng Đức cũng đã cố gắng liên hệ khách nhưng không nhận được phản hồi nào thêm
Do đó QA sẽ close case này
---&gt; Hoàn tất </t>
  </si>
  <si>
    <t>CC_490724</t>
  </si>
  <si>
    <t>TRUNG TAM KIEM SOAT BENH TAT TINH QUANG NGAI</t>
  </si>
  <si>
    <t>Không có thuốc và toa</t>
  </si>
  <si>
    <t>28/06/2024: nhận khiếu nại từ bệnh viện
01/07/2024: hãng đưa hướng dẫn sử dụng bút và nhờ khách hàng test lại.
01/07/2024: BV chưa liên hệ đc với bệnh nhân
11/7/2024 CS đã liên hệ lại với chị Thủy qua call center, chị Thủy có phản hồi bệnh nhân vẫn chưa quay lại bệnh viện (từ lần liên hệ trước 1/7/2024) nên những thông tin bên dưới chị Thủy chưa phản hồi cho Hoàng Đức được. Chị Thủy đồng ý tạm close case này, nếu bệnh nhân quay lại và có thông tin bên BV sẽ phản hồi cho bên Hoàng Đức. 
11/07/2024, nhận được email từ CS của gigamed rằng bệnh nhân chưa được hỗ trợ về việc đổi trả . QA HĐ phản hồi cách sử dụng bút tiêm và yêu cầu bệnh nhận nếu muốn hỗ trợ hãy quay lại bệnh viện 
22/07/2024, Hoàng Đức vẫn chưa nhận được bất kỳ phản hồi nào từ bệnh nhân --&gt; do đó Hoàng Đức đóng case theo yêu cầu của bệnh viện
---&gt; Hoàn tất</t>
  </si>
  <si>
    <t>SO 64 BUI THI XUAN, THANH PHO QUANG NGAI, TINH QUANG NGAI</t>
  </si>
  <si>
    <t>CC_500724</t>
  </si>
  <si>
    <t>BENH VIEN QUAN Y 7B</t>
  </si>
  <si>
    <t>DUONG NGUYEN AI QUOC, P. TAN TIEN, TP. BIEN HOA, TINH DONG NAI</t>
  </si>
  <si>
    <t>U7978AO</t>
  </si>
  <si>
    <t>1 hộp Menactra lượng vaccine trong lọ không đủ 0.5ml</t>
  </si>
  <si>
    <t>Ngày 23/07/2024: email cho hãng
Ngày 24/07/2024: nhận được hướng xử lý từ hãng, chấp nhận khiếu nại, thu mẫu xuất sang văn phòng hãng</t>
  </si>
  <si>
    <t>ngày 19/07/2024 : email cho hãng và nhận được hướng xử lý, chấp nhận khiếu nại</t>
  </si>
  <si>
    <t>Ngày 22/07/2024: email cho hãng và nhận được hướng xử lý, chấp nhận khiếu nại</t>
  </si>
  <si>
    <t>CC_510724</t>
  </si>
  <si>
    <t>CC_520724-ĐN</t>
  </si>
  <si>
    <t>NHA THUOC BENH VIEN PHUC HOI CHUC NANG DIEU TRI BENH NGHE NGHIEP</t>
  </si>
  <si>
    <t>313 AU DUONG LAN, PHUONG 2, QUAN 8, THANH PHO HO CHI MINH</t>
  </si>
  <si>
    <t>THUC PHAM DINH DUONG Y HOC FORTIMEL PROTEIN (HUONG DAU)
THUC PHAM DINH DUONG Y HOC FORTIMEL PROTEIN (HUONG VANI)</t>
  </si>
  <si>
    <t>111361948
111364284</t>
  </si>
  <si>
    <t>26/03/2025
28/03/2025</t>
  </si>
  <si>
    <t>BS TRAN ANH THU</t>
  </si>
  <si>
    <t>66 CAO SON PHAO, PHUONG HOA AN, QUAN CAM LE, TP DA NANG</t>
  </si>
  <si>
    <t>PAPILOCARE (21 CANNULAS X 5ML)</t>
  </si>
  <si>
    <t>W0291</t>
  </si>
  <si>
    <t>Hàng BES29104 của BS TRAN ANH THU được đặt vào 22/7 và giao hàng vào 8h sáng ngày 24/7, khi nhận hàng BS kiểm tra ngoại quan không thấy vấn đề gì, nhưng đến chiều tối 25/7 khách hàng mở hộp ra kiểm tra thì phát hiện bên trong hộp có rất nhiều kiến và kiến làm tổ. (Ảnh đính kèm)</t>
  </si>
  <si>
    <t>Hàng khách đã khui và đồng kiểm, phát hiện sai lô nên không nhận
THUC PHAM DINH DUONG Y HOC FORTIMEL PROTEIN (HUONG DAU) trên chứng từ lô 111361948 date 26/03/2025, trên bao bì lô 11H4085
THUC PHAM DINH DUONG Y HOC FORTIMEL PROTEIN (HUONG VANI) trên chứng từ lô 111364284 date 28/03/2025, trên bao bì lô 15W4087 (hình ảnh đính kèm)</t>
  </si>
  <si>
    <t xml:space="preserve">06/06/2024: đã báo Sanofi
03/07/2024: chờ phản hồi email từ hãng
26/07/2024: nhận được phản hồi từ nhà máy SNF
29/07/2024: khách confirm đã nhận thông tin 
---&gt; Hoàn tất
</t>
  </si>
  <si>
    <t>Chưa có hướng xử lý với hàng hư tại chi nhánh và Long Hậu</t>
  </si>
  <si>
    <t>- Đã báo hãng ngày 26/03/2024
- Nhận được hướng xử lí ngày 26/03/2024 (đổi hàng và thu mẫu về VP Sanofi)
- Xuất mẫu cho hãng ngày 30/07/2024
--&gt; Hoàn tất</t>
  </si>
  <si>
    <t>CC_530724-HN</t>
  </si>
  <si>
    <t>CONG TY CO PHAN DAU TU DICH VU Y TE THE MEDCARE – CN HAI PHONG</t>
  </si>
  <si>
    <t>CHAI</t>
  </si>
  <si>
    <t>Ngày 15/07/2024 : email đến hãng
Ngày 18/07/2024: nhận được hướng xử lý đổi hàng cho khách
Ngày 19/07/2024: gửi email điều tra tại kho 
Ngày 30/07/2024: Hàng đã được nhập trả 
Ngày 05/08/2024: remind gửi email hãng hỏi hướng xử lý</t>
  </si>
  <si>
    <t xml:space="preserve"> Đây là khiếu nại lặp lại CC_370524
---&gt; Hoàn tất</t>
  </si>
  <si>
    <t xml:space="preserve">Khiếu nại lặp lại CC_641123
</t>
  </si>
  <si>
    <t>HEXAXIM BOX OF 1 PRE-FILLED SYRINGE + 2 NEEDLES</t>
  </si>
  <si>
    <t>CONG TY CO PHAN KHAM CHUA BENH MINH DUC</t>
  </si>
  <si>
    <t>CC_540824</t>
  </si>
  <si>
    <t>CC_550824</t>
  </si>
  <si>
    <t>CONG TY TNHH BENH VIEN DA KHOA PHUONG CHI</t>
  </si>
  <si>
    <t>Vào lúc 10 giờ 13’ ngày 05/08/2024: sau khi người nhà của bé Vy Ngọc Phúc kiểm tra vỏ hộp vắc xin Hexaxim 0.5ml gồm các thông tin: tên vắc xin, hạn sử dụng và bao bì vẫn còn được niêm phong, điều dưỡng Dương Hồng Nhiên (CBCT tiêm chủng) tiến hành mở vỏ hộp và lấy vỉ chứa bút tiêm vắc xin ra bên ngoài. Khi mở màng bao vỉ chứa bút tiêm được một nửa, điều dưỡng Nhiên mới phát hiện nút cao su của bút tiêm vắc xin đã bị bung ra ngoài và nằm bên cạnh bút tiêm. Vắc xin đã bị chảy ra 01 phần trong vỉ và phần còn lại trong bút tiêm (hình đính kèm).</t>
  </si>
  <si>
    <t>CC_560824</t>
  </si>
  <si>
    <t>ESO-DR 20 (HOP/ 1 LO/ 30 VIEN)</t>
  </si>
  <si>
    <t>NHA THUOC THIEN KIM</t>
  </si>
  <si>
    <t>Q12 CU XA VINH HOI, NGUYEN HUU HAO, PHUONG 6, QUAN 4, THANH PHO HO CHI MINH</t>
  </si>
  <si>
    <t>THUA DAT SO 172.TO BAN DO DHC 20-6,DUONG DX76,KHU PHO 2, PHUONG DINH HOA, THANH PHO THU DAU MOT</t>
  </si>
  <si>
    <t>CC_570824-HN</t>
  </si>
  <si>
    <t>HO KINH DOANH MEHEAL</t>
  </si>
  <si>
    <t>SO 221 PHO TRAN THAI TONG, TO 3, PHUONG TRAN HUNG DAO, THANH PHO THAI BINH, TINH THAI BINH</t>
  </si>
  <si>
    <t>240071, 240072</t>
  </si>
  <si>
    <t>16/01/2027, 16/01/2027</t>
  </si>
  <si>
    <t>9 hộp gồm (1 hộp lô 240071 và 8 hộp lô 240072)</t>
  </si>
  <si>
    <t>Viên thuốc bị biến dạng, co lại</t>
  </si>
  <si>
    <t>Viên bị gãy</t>
  </si>
  <si>
    <t xml:space="preserve"> E231092</t>
  </si>
  <si>
    <t>CC_580824</t>
  </si>
  <si>
    <t>Khu 10, Di Linh, Lâm Đồng</t>
  </si>
  <si>
    <t>CC_590824</t>
  </si>
  <si>
    <t>DUNG DICH NHO MAT V.ROHTO DRYEYE 13 ML</t>
  </si>
  <si>
    <t>CC_600824</t>
  </si>
  <si>
    <t>CONG TY CO PHAN BENH VIEN DA KHOA HOAN MY DA LAT</t>
  </si>
  <si>
    <t>DOI LONG THO, P10, TP DA LAT, TINH LAM DONG</t>
  </si>
  <si>
    <t>do phần đệm cao su chỗ gắn kim vào dày hơn bình thường nên kim không xuyên qua được, không bơm thuốc ra được</t>
  </si>
  <si>
    <t>FA01</t>
  </si>
  <si>
    <t>Bị lỗi không có thuốc trong bút</t>
  </si>
  <si>
    <t xml:space="preserve">3F882A </t>
  </si>
  <si>
    <t>CC_610824</t>
  </si>
  <si>
    <t>PHONG KHAM DA KHOA SAI GON-BAO LOC(NHA THUOC SAI GON – BAO LOC)</t>
  </si>
  <si>
    <t>RINOFIL SYRUP 2.5MG/5ML BT 15ML B/1</t>
  </si>
  <si>
    <t>Truy xuất lịch sử đơn hàng không bán cho khách lô này, tuy nhiên lô này Hoàng Đức có phân phối
---&gt; Không thể tiến hành đền bù cho khách
Không đầy đủ chứng từ nếu có đền bù hoàn trả vì HĐ không bán cho TTYT lô này
TTYT không cung cấp thêm hình ảnh. Do đó, Hoàng Đức và Hãng không có bất kỳ thông tin nào để điều tra cũng như hỗ trợ cho khách</t>
  </si>
  <si>
    <t>Chai thuốc bị chảy nước</t>
  </si>
  <si>
    <t>Ngày 19/08/2024: email CS xin thêm thông tin và báo email cho Planning</t>
  </si>
  <si>
    <t>CC_620824</t>
  </si>
  <si>
    <t xml:space="preserve"> W3G845V</t>
  </si>
  <si>
    <t>1 hộp Hexaxim không có lọ thuốc bên trong. 
Vì đây là trường hợp lỗi thứ 3 trong cùng 1 đơn hàng nên khách hàng yêu cầu công ty phải có hướng kiểm tra hàng và có công văn thu hồi nguyên lô.</t>
  </si>
  <si>
    <t>- Báo email cho hãng
- Lỗi lặp lại lần 3 (CC_480724,CC_540824)
- đền bù cho khách và hãng sẽ gửi câu trả lời sau khi hoàn tất điều tra từ nhà sản xuất</t>
  </si>
  <si>
    <t>CC_630824</t>
  </si>
  <si>
    <t>BENH VIEN DA NANG</t>
  </si>
  <si>
    <t>124 HAI PHONG, PHUONG THACH THANG, QUAN HAI CHAU, TP. DA NANG</t>
  </si>
  <si>
    <t>3R98A</t>
  </si>
  <si>
    <t>Quy cách 5 viên/hộp nhưng vỉ trên chỉ có 4 viên</t>
  </si>
  <si>
    <t>- Báo email cho hãng và nhận được hướng xử lý</t>
  </si>
  <si>
    <t>C230270</t>
  </si>
  <si>
    <t>30A TRAN QUOC TOAN, PHUONG B-LAO, TP BAO LOC, TINH LAM DON</t>
  </si>
  <si>
    <t>CC_640824-ĐN</t>
  </si>
  <si>
    <t xml:space="preserve"> VERORAB BOX OF 10 VIALS</t>
  </si>
  <si>
    <t xml:space="preserve">W1C342V
</t>
  </si>
  <si>
    <t>liều</t>
  </si>
  <si>
    <t>piston của kim dung môi bị tuột ra, gây chảy dung môi ra ngoài</t>
  </si>
  <si>
    <t>Ngày 05/08/2024: gửi email cho hãng
Ngày 06/08/2024: khách yêu cầu trả lời, hãng đã thông tin đến nhà máy chờ trả lời
Ngày 23/08/2024: hãng gửi công văn xác nhận k ảnh hưởng chất lượng sản phẩm</t>
  </si>
  <si>
    <t>Nguyên nhân khiếu nại/ Cause of complaint</t>
  </si>
  <si>
    <t>CC_650824</t>
  </si>
  <si>
    <t>HO KINH DOANH QUAY THUOC HONG YEN</t>
  </si>
  <si>
    <t xml:space="preserve">Tách lớp
Báo hãng
A Huy KDD đồng ý đền bù cho khách
</t>
  </si>
  <si>
    <t>29/07/2024: QA ĐN gửi email cho Plan để fw đến hãng
---&gt; Hoàn tất</t>
  </si>
  <si>
    <t>Ngày 05/08/2024: gửi email cho hãng
Ngày 06/08/2024: khách yêu cầu trả lời, hãng đã thông tin đến nhà máy chờ trả lời
Ngày 23/08/2024: hãng gửi công văn xác nhận k ảnh hưởng chất lượng sản phẩm
---&gt; Hoàn tất</t>
  </si>
  <si>
    <t>- Ngày 08/08/2024, báo email cho hãng và nhận được hướng xử lý đổi hàng cho khách, hàng khiếu nại thu về cho vào khu vực chờ hủy
---&gt; Hoàn tất</t>
  </si>
  <si>
    <t>- Đã điều tra tại kho Long Hậu không phát hiện móp
- hình ảnh khách gửi thùng không bị móp
- yêu cầu khách gửi camera unbox hàng ngày 12/08/2024
- Vì quan hệ khách hàng nên kho đồng ý hỗ trợ đổi hàng cho khách---&gt; Hoàn tất</t>
  </si>
  <si>
    <t>Ngày 14/08/2024: hãng yêu cầu cung cấp dữ liệu nhiệt độ
Ngày 15/08/2024: Thu hồi 2 mẫu về cho hãng điều tra ---&gt; Hoàn tất</t>
  </si>
  <si>
    <t>Nhận được hướng xử lý từ hãng
Ngày 16/08/2024 thay đổi số lô do khách báo nhầm lô 
---&gt; Hoàn tất</t>
  </si>
  <si>
    <t>- Báo email cho hãng và nhận được hướng xử lý
---&gt; Hoàn tất</t>
  </si>
  <si>
    <t>Khiếu nại lặp lại CC_641123
---&gt; Hoàn tất</t>
  </si>
  <si>
    <t>- Báo email đến hãng và nhận được hướng xử lý
xuất mẫu sang văn phòng hãng 
06/09/2024: nhận và xuất mẫu cho hãng
---&gt; Hoàn tất</t>
  </si>
  <si>
    <t>CC_660924-ĐN</t>
  </si>
  <si>
    <t>CONG TY CO PHAN BENH VIEN DA KHOA THAI BINH DUONG</t>
  </si>
  <si>
    <t>Bóp cứng không xuống thuốc được</t>
  </si>
  <si>
    <t>SO 84, TO 04, AP LONG DINH, XA LONG DIEN A, HUYEN CHO MOI, TINH AN GIANG</t>
  </si>
  <si>
    <t>6 PHAN DINH PHUNG, PHUONG TAN AN, THANH PHO HOI AN, TINH QUANG NAM</t>
  </si>
  <si>
    <t>Ngày 15/07/2024 : email đến hãng
Ngày 18/07/2024: nhận được hướng xử lý đổi hàng cho khách
Ngày 19/07/2024: gửi email điều tra tại kho 
Ngày 30/07/2024: Hàng đã được nhập trả 
Ngày 05/08/2024: remind gửi email hãng hỏi hướng xử lý
Ngày 11/09/2024: hãng gửi điều tra và chuyển hủy tất cả sản phẩm lỗi</t>
  </si>
  <si>
    <t>CC_670924-ĐN</t>
  </si>
  <si>
    <t>CONG TY CO PHAN BENH VIEN DA KHOA MINH THIEN</t>
  </si>
  <si>
    <t>MAGRAX (HOP/100VIEN) - EU</t>
  </si>
  <si>
    <t>thuốc bị phai màu</t>
  </si>
  <si>
    <t>CC_680924-HCM</t>
  </si>
  <si>
    <t>CONG TY TNHH PHUNG HUNG</t>
  </si>
  <si>
    <t>268 DUONG 3/4, TO DAN PHO THUAN THANH, P. CAM THUAN, CAM RANH, TINH KHANH HOA</t>
  </si>
  <si>
    <t>SAN PHAM XUA MUOI DANG XIT CHO BE TU 6 THANG TUOI (REMOS BABY SPRAY) 70ML</t>
  </si>
  <si>
    <t>GA02</t>
  </si>
  <si>
    <t>1 chai bị lỗi chảy nước dẫn đến ướt thùng</t>
  </si>
  <si>
    <t>Lỗi từ nhà sản xuất</t>
  </si>
  <si>
    <t>Không rõ nguyên nhân do khách hàng không cung cấp đầy đủ thông tin</t>
  </si>
  <si>
    <t>CC_690924-HCM</t>
  </si>
  <si>
    <t>NHA THUOC PHUONG KHANH</t>
  </si>
  <si>
    <t>SO 46, DUONG NGO GIA TU, PHUONG MY LONG, THANH PHO LONG XUYEN, TINH AN GIANG</t>
  </si>
  <si>
    <t>ZIEGLER (HOP/100VIEN) - EU</t>
  </si>
  <si>
    <t>Theo thông tin từ TDV báo trước đó nhà thuốc có bán cho khách thì khách sử dụng phát hiện ra viên nang mềm hơn so với bình thường ( bình thường là viên nang cứng). Nhà thuốc có thử mở hộp khác kiểm tra thì khi cầm vào thấy viên nang có mềm nhưng không bị chảy. Nhà thuốc muốn hỏi tình trạng thuốc như vậy có bị lỗi không ?</t>
  </si>
  <si>
    <t xml:space="preserve">Ngày 11/07/2024 : đã email cho hãng
Ngày 12/07/2024: chờ phản hồi từ hãng
Ngày12/08/2024: nhận được phản hồi
do sai sót trong quá trình ép vỉ
---&gt; Hoàn tất </t>
  </si>
  <si>
    <t xml:space="preserve">Ngày 03/07/2024 : nhận được hướng xử lý từ hãng.
---&gt; Hoàn tất </t>
  </si>
  <si>
    <t>-Gửi hãng thông tin
- Ngày 19/02/2024, hãng chấp nhận khiếu nại
22/04 mẫu về kho
---&gt; Hoàn tất</t>
  </si>
  <si>
    <t>Ngày 11/07/2024 : đã email cho hãng
Ngày 12/07/2024: hãng chấp nhận khiếu nại và xin thu mẫu kim tiêm để điều tra nguyên nhân 
Ngày 18/07/2024: chưa nhận được câu trả lời từ khách, đã thông tin cho hãng và khách đang thu thập mẫu kim tiêm
---&gt; Hoàn tất</t>
  </si>
  <si>
    <t>ngày 19/07/2024 : email cho hãng và nhận được hướng xử lý, chấp nhận khiếu nại
---&gt; Hoàn tất</t>
  </si>
  <si>
    <t>Ngày 22/07/2024: email cho hãng và nhận được hướng xử lý, chấp nhận khiếu nại
---&gt; Hoàn tất</t>
  </si>
  <si>
    <t>Ngày 23/07/2024: email cho hãng
Ngày 24/07/2024: nhận được hướng xử lý từ hãng, chấp nhận khiếu nại, thu mẫu xuất sang văn phòng hãng
---&gt; Hoàn tất</t>
  </si>
  <si>
    <t>- Báo email đến hãng và nhận được hướng xử lý
xuất mẫu sang văn phòng hãng 
---&gt; Hoàn tất</t>
  </si>
  <si>
    <t>- Đã điều tra tại kho Long Hậu không phát hiện móp
- hình ảnh khách gửi thùng không bị móp
- yêu cầu khách gửi camera unbox hàng ngày 12/08/2024
- Vì quan hệ khách hàng nên kho đồng ý hỗ trợ đổi hàng cho khách
---&gt; Hoàn tất</t>
  </si>
  <si>
    <t>Truy xuất lịch sử đơn hàng không bán cho khách lô này, tuy nhiên lô này Hoàng Đức có phân phối
---&gt; Không thể tiến hành đền bù cho khách
Không đầy đủ chứng từ nếu có đền bù hoàn trả vì HĐ không bán cho TTYT lô này
TTYT không cung cấp thêm hình ảnh. Do đó, Hoàng Đức và Hãng không có bất kỳ thông tin nào để điều tra cũng như hỗ trợ cho khách
---&gt; Hoàn tất</t>
  </si>
  <si>
    <t>Ngày 19/08/2024: email CS xin thêm thông tin và báo email cho Planning
đồng ý đền bù, xuất mẫu cho hãng
Ngày 12/09/2024 xuất mẫu cho hãng
---&gt; Hoàn tất</t>
  </si>
  <si>
    <t>- Báo email cho hãng
- Lỗi lặp lại lần 3 (CC_480724,CC_540824)
- đền bù cho khách và hãng sẽ gửi câu trả lời sau khi hoàn tất điều tra từ nhà sản xuất
Hãng gửi công văn xác nhận chất lượng ngày 28/08/2024
---&gt; Hoàn tất</t>
  </si>
  <si>
    <t>Hoàn tất do khách không cung cấp đủ chứng từ thông tin để hỗ trợ khách---&gt; Hoàn tất</t>
  </si>
  <si>
    <t>TRUNG TAM Y TE HUYEN TAN PHU</t>
  </si>
  <si>
    <t>Nhận được hướng xử lý từ hãng
Ngày 16/08/2024 thay đổi số lô do khách báo nhầm lô 
Ngày 07/10/2024 xuất mẫu sang hãng
---&gt; Hoàn tất</t>
  </si>
  <si>
    <t xml:space="preserve">VERORAB BOX OF 10 VIALS + 10 SYRINGES
</t>
  </si>
  <si>
    <t>THI TRAN TAN PHU, HUYEN TAN PHU, TINH DONG NAI</t>
  </si>
  <si>
    <t>W1C342V</t>
  </si>
  <si>
    <t>LỌ</t>
  </si>
  <si>
    <t>Lọ bột đông khô vỡ</t>
  </si>
  <si>
    <t>Đồng ý đền bù cho khách
Ngày 08/10/2024 hàng khiếu nại về kho
---&gt; Hoàn tất</t>
  </si>
  <si>
    <t>CC_711024-HCM</t>
  </si>
  <si>
    <t>FUGACAR (CHOCO) 500MG TAB. B/1</t>
  </si>
  <si>
    <t>2383023
(shipper case no. 101)</t>
  </si>
  <si>
    <t>THÙNG</t>
  </si>
  <si>
    <t>Thiếu 2 hộp trong thùng nguyên</t>
  </si>
  <si>
    <t>SPA CC BEAUTY</t>
  </si>
  <si>
    <t>223/25 NGUYEN TIEU LA, PHUONG 8, QUAN 10, TPHCM</t>
  </si>
  <si>
    <t>QUICK RECOVERY CREAM 15G</t>
  </si>
  <si>
    <t>WK0315</t>
  </si>
  <si>
    <t>CC_721024-HCM</t>
  </si>
  <si>
    <t>CC_731024-HCM</t>
  </si>
  <si>
    <t>4F9B94A</t>
  </si>
  <si>
    <t>BENH VIEN DA KHOA HOAN MY SAI GON</t>
  </si>
  <si>
    <t>BÚT</t>
  </si>
  <si>
    <t>Không phải lỗi từ Hoàng Đức</t>
  </si>
  <si>
    <t>Dán tem cũ, dính bẩn, hộp bị hở, khách không bán được</t>
  </si>
  <si>
    <t>Không do Hoàng Đức nhưng vẫn đổi hàng cho khách</t>
  </si>
  <si>
    <t>Ngày 12/10/2024, khoa Dược có tiếp nhận 2 cây Lantus từ bệnh nhân, 2 cây này bệnh nhân đã lãnh toa Ngoại trú từ khoa Dược vào ngày 10/10/2024. Tình trạng khi khoa Dược nhận và phản hồi từ bệnh nhân là:  Bút tiêm không vặn được, rất cứng và không lên thuốc</t>
  </si>
  <si>
    <t>Khởi phát điều tra nguyên nhân
Đã gửi cho hãng ngày 15/10/2024
Hoàn tất 22/10/2024</t>
  </si>
  <si>
    <t>Đã gửi cho hãng ngày 16/10/2024
Đã nhận hàng ngày 22/10/2024
---&gt; Hoàn tất</t>
  </si>
  <si>
    <t>Người lập/ Prepare by</t>
  </si>
  <si>
    <t>CC_701024-HCM
HUY</t>
  </si>
  <si>
    <t>Ngày 04/10/2024 nhận được hướng xử lý từ hãng, chấp nhận đền bù cho khách.---&gt; Hoàn tất
Ngày 23/10/2024 khách hủy khiếu nại</t>
  </si>
  <si>
    <t>CC_741024-HCM</t>
  </si>
  <si>
    <t>BENH VIEN PHU SAN THANH PHO CAN THO</t>
  </si>
  <si>
    <t xml:space="preserve">106 CACH MANG THANG TAM, PHUONG CAI KHE, QUAN NINH KIEU, THANH PHO CAN THO
</t>
  </si>
  <si>
    <t xml:space="preserve"> X3D131V</t>
  </si>
  <si>
    <t xml:space="preserve">Không có thuốc bên trong </t>
  </si>
  <si>
    <t>TRUNG TAM Y TE THANH PHO LONG XUYEN</t>
  </si>
  <si>
    <t>DOLUTEGRAVIR, LAMIVUDINE AND TENOFOVIR DISOPROXIL FUMARATE TABLETS 50/300/300MG (HOP/1 LO 30 VIEN)</t>
  </si>
  <si>
    <t xml:space="preserve"> 09 HAI THUONG LAN ONG, PHUONG MY XUYEN, THANH PHO LONG XUYEN, TINH AN GIANG</t>
  </si>
  <si>
    <t>E243664</t>
  </si>
  <si>
    <t>Khi nhân viên y tế mở hộp thấy hộp nhẹ, lắc thử thì không nghe tiếng thuốc bên trong. Nhân viên có mở thử 1 hộp thuốc khác kiểm tra thì thấy hộp nặng và lắc nghe tiếng kêu.</t>
  </si>
  <si>
    <t>CC_751024-HCM</t>
  </si>
  <si>
    <t>CC_761024-HCM</t>
  </si>
  <si>
    <t>BENH VIEN QUAN DAN Y MIEN DONG (KHOA DUOC)</t>
  </si>
  <si>
    <t>50 LE VAN VIET, KHU PHO 2, PHUONG HIEP PHU, THANH PHO THU DUC, TP. HO CHI MINH</t>
  </si>
  <si>
    <t>Thiếu số lượng trong thùng nguyên</t>
  </si>
  <si>
    <t>CC_771024-HCM</t>
  </si>
  <si>
    <t>Không có thuốc bên trong . 
Do cùng 1 đơn hàng nhưng lại bị lỗi liên tục 2 trường hợp giống nhau nên khách nhờ xem lại lô hàng này có bị vấn đề gì không</t>
  </si>
  <si>
    <t>CC_781124-HCM</t>
  </si>
  <si>
    <t>CONG TY TNHH NGOC LINH QB</t>
  </si>
  <si>
    <t>VAXIGRIP TETRA 0.5ML 1D INJ PS1 M12 (SH)
VAXIGRIP TETRA 0.5ML 1D INJ PS1 M12 (NH)</t>
  </si>
  <si>
    <t>Vaxigrip SH và vaxigrip NH khác gì nhau?
Nếu mũi 1 tiêm SH thì mũi 2 tiêm NH được không? (mũi tiêm cách 1 tháng)</t>
  </si>
  <si>
    <t>TO DAN PHO 14, PHUONG BAC LY, THANH PHO DONG HOI, QUANG BINH</t>
  </si>
  <si>
    <t>CC_791124-ĐN</t>
  </si>
  <si>
    <t>Đã nhận được email rằng khách nhầm lẫn ngày 06/11/2024---&gt; Hoàn tất</t>
  </si>
  <si>
    <t>Ngày 28/10/2024: gửi email cho hãng nhưng hãng không nhận được email, ngày 31/10/2024, email lại cho hãng
Đã nhận được hướng xử lý từ khách 31/10/2024
---&gt; Hoàn tất</t>
  </si>
  <si>
    <t>Do khách nhầm lẫn giữa thùng nguyên và thùng lẻ</t>
  </si>
  <si>
    <t>CC_801124-ĐN</t>
  </si>
  <si>
    <t>CC_811124-HCM</t>
  </si>
  <si>
    <t xml:space="preserve">TRUNG TAM KIEM SOAT BENH TAT TINH KHANH HOA </t>
  </si>
  <si>
    <t>31 LE THANH PHUONG, PHUONG VAN THANG, THANH PHO NHA TRANG, TINH KHANH HOA</t>
  </si>
  <si>
    <t>E243666</t>
  </si>
  <si>
    <t>Nắp thuốc bị ẩm mốc</t>
  </si>
  <si>
    <t>06 Phan Đình Phùng, Phường Tân An, Thành phố Hội An, Tỉnh Quảng Nam, Việt Nam</t>
  </si>
  <si>
    <t>TOUJEO SOLOSTAR 450IU B/5 PENSX1.5ML</t>
  </si>
  <si>
    <t>4F039A</t>
  </si>
  <si>
    <t>01</t>
  </si>
  <si>
    <t>CÔNG TY CỔ PHẦN BỆNH VIỆN ĐA KHOA MINH THIỆN</t>
  </si>
  <si>
    <t>Bút tiêm bị lỗi không có thuốc</t>
  </si>
  <si>
    <t>Hãng đồng ý khiếu nại, thu mẫu về văn phòng hãng 
--&gt; hoàn tất</t>
  </si>
  <si>
    <t xml:space="preserve">BỆNH VIỆN SẢN – NHI TỈNH QUẢNG NGÃI </t>
  </si>
  <si>
    <t>184 Hùng Vương, P Trần Phú, TP Quảng Ngãi, tỉnh Quảng Ngãi</t>
  </si>
  <si>
    <t xml:space="preserve">CUROSURF 120MG/1,5ML (H/1LO X 1,5ML) </t>
  </si>
  <si>
    <t>03/06/2024</t>
  </si>
  <si>
    <t>Không có lỗi</t>
  </si>
  <si>
    <t>Trên hộp thuốc chỉ ghi HSD: 12/2025, mà trên hoá đơn thể hiện hạn dùng 03/12/2025</t>
  </si>
  <si>
    <t>CC_821124-HCM</t>
  </si>
  <si>
    <t xml:space="preserve"> CONG TY TNHH BENH VIEN QUOC TE TAM TRI HONG NGU
</t>
  </si>
  <si>
    <t>SO 12 NGUYEN TAT THANH, KDT BO DONG, PHUONG AN THANH, THANH PHO HONG NGU, TINH DONG THAP, VIET NAM</t>
  </si>
  <si>
    <t>NO-SPA 40MG/2ML INJ AM25 VN</t>
  </si>
  <si>
    <t>HC051A</t>
  </si>
  <si>
    <t>CC_831124-HCM</t>
  </si>
  <si>
    <t>4F9676A</t>
  </si>
  <si>
    <t>CC_841124-HCM</t>
  </si>
  <si>
    <t>TYPHIM VI BOX OF 1 SYRINGE 0.5ML</t>
  </si>
  <si>
    <t>W2B301V</t>
  </si>
  <si>
    <t xml:space="preserve">Ngày 23/10/2024 : email đến hãng
Ngày 24/10/2024: nhận được hướng xử lý từ hãng, không thu mẫu
Ngày 28/10/2024: nhận được thông tin cùng 1 đơn hàng nhưng lại có thêm 1 hộp không có thuốc, báo email cho hãng
--&gt; hoàn tất
</t>
  </si>
  <si>
    <t>Ngày 16/10/2024, email đến hãng
Ngày 18//10/2024, CS vẫn chưa  nhận thêm thông tin cho việc hỗ trợ điều tra
Ngày 21/10/2024, CS nhận được phản hồi từ khách. Và gửi hướng dẫn sử dụng đúng kim cho khách
Chấp nhận đền bù cho khách 
---&gt; Hoàn tất</t>
  </si>
  <si>
    <t>Do khách sử dụng sai kim theo khuyến cáo</t>
  </si>
  <si>
    <t>Lỗi do khách bảo quản không đúng</t>
  </si>
  <si>
    <t>3R/2-43R/4 HO VAN HUE, PHUONG 9, Q. PHU NHUAN, HO CHI MINH</t>
  </si>
  <si>
    <t>Dựa vào điều tra tại kho và đơn vị vận chuyển, không xác định lỗi từ Hoàng Đức</t>
  </si>
  <si>
    <t xml:space="preserve">Nguyên nhân do lô hàng này bị ướt trong quá trình nhập khẩu có thể là nguy cơ gây nên khiếu nại này </t>
  </si>
  <si>
    <t>Ngày 11/11/2024, email cho hãng 
Ngày 13/11/2024, remind hãng và nhận được phản hồi. Hãng đã thông tin cho nhà máy và vì hàng có seal nên không ảnh hưởng chất lượng thuốc bên trong
---&gt; Hoàn tất</t>
  </si>
  <si>
    <t>Thuốc bị vỡ</t>
  </si>
  <si>
    <t>Lôĩ từ nhà sản xuất</t>
  </si>
  <si>
    <t>CC_851124-HCM</t>
  </si>
  <si>
    <t>CONG TY CO PHAN VACXIN VIET NAM – CHI NHANH THANH PHO HO CHI MINH</t>
  </si>
  <si>
    <t>14 hộp vaccine Vaxigrip, trong đó có 12 hộp lệch nắp hộp, 1 hộp móp hộp nặng, 1 hộp lệch nắp, bị hở (hình ảnh đính kèm) </t>
  </si>
  <si>
    <t>Y3A723V</t>
  </si>
  <si>
    <t>- Ngày 08/08/2024, báo email cho hãng và nhận được hướng xử lý đổi hàng cho khách, hàng khiếu nại thu về cho vào khu vực chờ hủy
--&gt; Hoàn tất</t>
  </si>
  <si>
    <t>- Hàng được điều chuyển về kho LH để hủy 
--&gt; Hoàn tất</t>
  </si>
  <si>
    <t>BẢO MẬT THÔNG TIN CÁ NHÂN</t>
  </si>
  <si>
    <t>gửi email xin hướng dẫn từ hãng ( "MedInfo, Sanofipasteur /VN" &lt;Sanofipasteur.MedInfo@sanofi.com&gt;)
--&gt; Hoàn tất</t>
  </si>
  <si>
    <t>Đã email cho khách để giải thích và email cho hãng để thông báo vào ngày 05/11/2024
--&gt; Hoàn tất</t>
  </si>
  <si>
    <t>198 Đ. HOÀNG VĂN THỤ, PHƯỜNG 9, PHÚ NHUẬN, HỒ CHÍ MINH</t>
  </si>
  <si>
    <t xml:space="preserve">VAXIGRIP TETRA 0.5ML </t>
  </si>
  <si>
    <t>Việc viên nang bị mềm hơn so với bình thường không ảnh hưởng chất lượng sản phẩm (file công văn giải trình từ hãng)</t>
  </si>
  <si>
    <t>Đang cung cấp hồ sơ cho hãng để điều tra nguyên nhân
Ngày 15/10/2024, nhận 1 mẫu khiếu nại và chuyển đến nhà máy để điều tra
Ngày 15/11/2024, nhận được công văn giải trình từ hãng--&gt; Hoàn tất</t>
  </si>
  <si>
    <t>CC_861124-HCM</t>
  </si>
  <si>
    <t>CONG TY CO PHAN PHONG KHAM DA KHOA HONG DUC CA MAU</t>
  </si>
  <si>
    <t>277-297 LY THUONG KIET, KHOM 2, PHUONG 6, THANH PHO CA MAU, TINH CA MAU, VIET NAM</t>
  </si>
  <si>
    <t>PIASCLEDINE TAB 15'S</t>
  </si>
  <si>
    <t>N221</t>
  </si>
  <si>
    <t>Bị chảy trên vỉ thuốc</t>
  </si>
  <si>
    <t xml:space="preserve">Ngày 28/10/2024: gửi email cho hãng
Ngày 29/10/2024: đổi hàng cho khách, hàng khiếu nại chuyển hủy theo yêu cầu từ hãng
--&gt; hoàn tất
</t>
  </si>
  <si>
    <t>CC_871124-HCM</t>
  </si>
  <si>
    <t>Không tìm được nguyên nhân do 
khách không cung cấp được hình ảnh khiếu nại và kiểm tra hàng tồn tại kho không phát hiện lỗi như khiếu nại</t>
  </si>
  <si>
    <t>Tiến hành điều tra hàng tồn tại kho
19/11/2024: email close case
--&gt; Hoàn tất</t>
  </si>
  <si>
    <t>Do lỗi từ khách hàng vì hãng qua hỗ trợ kiểm tra đầu kim và thay đầu kim mới thì bút đã sử dụng được bình thường</t>
  </si>
  <si>
    <t>Ngày 13/11/2024: email cho hãng
Ngày 13/11/2024: gửi email cho khách xin thêm thông tin và kèm hướng dẫn sử dụng bút
Ngày 19/11/2024: nhận được thông tin hãng qua hỗ trợ kiểm tra đầu kim và thay đầu kim mới thì bút đã sử dụng được bình thường
---&gt; Hoàn tất</t>
  </si>
  <si>
    <t>Ngày 12/11/2024, gửi khách điều tra tại kho, nhờ khách cung cấp thêm thông tin để hỗ trợ khách
Ngày 14/11/2024, nhận được thông tin khách không có hình ảnh để bổ sung---&gt; thương lượng với khách lưu ý những lần kiểm hàng sau, do không đủ chứng cứ để tiến hành đền bù cho khách
--&gt; Hoàn tất</t>
  </si>
  <si>
    <t>31/03/2027</t>
  </si>
  <si>
    <t>HO KINH DOANH TRUNG TAM TIEM CHUNG VAC XIN DINH QUAN</t>
  </si>
  <si>
    <t>X3D131V</t>
  </si>
  <si>
    <t xml:space="preserve">SN 93, PHO 6, AP 3, XA PHU VINH, HUYEN DINH QUAN, TINH DONG NAI
</t>
  </si>
  <si>
    <t>Không có thuốc bên trong</t>
  </si>
  <si>
    <t>CC_881124-HCM</t>
  </si>
  <si>
    <t xml:space="preserve">Đã email cho hãng và chờ điều tra
Ngày 05/11/2024: nhận được công văn giải thích từ hãng và gửi đến khách
--&gt; Hoàn tất
</t>
  </si>
  <si>
    <t xml:space="preserve">- Đền bù cho khách theo yêu cầu KDD
- Đã gửi complaint cho hãng ngày 30/08/2024
- Đã remind nhiều lần mà hãng vẫn chưa trả lời
</t>
  </si>
  <si>
    <t>BENH VIEN DA KHOA MY DUC</t>
  </si>
  <si>
    <t>Ngày 16/11/2024, Bệnh viện có nhận phản hồi từ 1 khách hàng đến tiêm ngừa cho bé tại BV, khách có tiến hành kiểm tra mã vạch trên hộp thuốc và tờ HDSD của Vaccin Avaxim 0,5ml (Sanofi-Pháp) để kiểm tra thông tin nơi nhập, đơn vị cung cấp thì không xuất hiện 2 thông tin cần kiểm, do đó khách hàng nghi ngờ về nguồn gốc xuất xứ của vắc xin. Để giải đáp thắc mắc về mục tiêu xuất hiện mã vạch trên hộp thuốc, thông tin kê toa đến người bệnh, Bệnh viện gửi công văn yêu cầu làm rõ (file đính kèm), nhờ công ty cung cấp thông tin như nội dung yêu cầu.</t>
  </si>
  <si>
    <t>CC_891124-HCM</t>
  </si>
  <si>
    <t>Ngày 19/11/2024: email thông tin đến hãng
Ngày 19/11/2024: hãng chấp nhận khiếu nại, không thu mẫu---&gt; Hoàn tất</t>
  </si>
  <si>
    <t>25/11/2024</t>
  </si>
  <si>
    <t>CC_901124-HCM</t>
  </si>
  <si>
    <t xml:space="preserve"> HO KINH DOANH TRUNG TAM TIEM CHUNG VAC XIN DINH QUAN</t>
  </si>
  <si>
    <t>CC_911124-HCM</t>
  </si>
  <si>
    <t>PHONG KHAM NOI TONG HOP PHUC PHU</t>
  </si>
  <si>
    <t>Ngày 25 /11/2024: email thông tin đến hãng
Ngày 25/11/2024: hãng chấp nhận khiếu nại, không thu mẫu---&gt; Hoàn tất</t>
  </si>
  <si>
    <t>SO 1904, DUONG QUOC LO 14, AP 3, XA TAN THANH, TP DONG XOAI, TINH BINH PHUOC</t>
  </si>
  <si>
    <t>X3D112V</t>
  </si>
  <si>
    <t>Bị vỡ</t>
  </si>
  <si>
    <t>HC082A</t>
  </si>
  <si>
    <t>04 NUI THANH, PHUONG 13, QUAN TAN BINH, TP HO CHI MINH</t>
  </si>
  <si>
    <t>Ngày 25/11/2024: email thông tin đến hãng
Ngày 25/11/2024: hãng chấp nhận khiếu nại, không thu mẫu---&gt; Hoàn tất
Khiếu nại lần 2 trên cùng 1 đơn hàng (CC_871124-HCM)</t>
  </si>
  <si>
    <t>14/11/2024: email thông tin đến hãng
27/11/2024: Hãng đưa hướng xử lý, chấp nhận khiếu nại và tiến hành đền bù với khách
---&gt; Hoàn tất</t>
  </si>
  <si>
    <t>Ngày 25/11/2024: email thông tin đến hãng
Ngày 25/11/2024: hãng chấp nhận khiếu nại, không thu mẫu---&gt; Hoàn tất
Đang chờ CS cung cấp thêm thông tin
03/12/2024: nhận được phản hồi từ khách"Khách báo vẫn có chèn lót, khi đồng kiểm không có dấu hiệu bất thường gì, thùng và hộp khô, chỉ khi khui ra sử dụng mới phát hiện ống thuốc bể"</t>
  </si>
  <si>
    <t>nhận thông tin đồng ý qua call zalo</t>
  </si>
  <si>
    <t>HÌNH THỨC NHẬN</t>
  </si>
  <si>
    <t>CC_921224-HCM</t>
  </si>
  <si>
    <t>NIXKI-20</t>
  </si>
  <si>
    <t>Davipharm (Dat Vi Phu Pharmaceutical JSC)</t>
  </si>
  <si>
    <t>D17 street, My Phuoc 1, Ben Cat Binh Duong, Vietnam</t>
  </si>
  <si>
    <t>CC_931224-HCM</t>
  </si>
  <si>
    <t>KHOA DUOC BENH VIEN QUAN Y 175</t>
  </si>
  <si>
    <t xml:space="preserve"> 786 NGUYEN KIEM, PHUONG 3, QUAN GO VAP, THANH PHO HO CHI MINH</t>
  </si>
  <si>
    <t>DIAMISU-70+30 100IU/ML INJ</t>
  </si>
  <si>
    <t>269PA7</t>
  </si>
  <si>
    <t>Lỗi không đến từ Hoàng Đức</t>
  </si>
  <si>
    <t>Điều tra khiếu nại khách hàng số C-020-24 Viên dinh vỉ đối với sản phẩm NIXKI-20 lô 223510
Nha thuoc Le Minh Nhan
Address: Tổ 10, Ấp Mương Đào, Xã Vân Khánh Đông, Huyện An Minh, Tỉnh Kiên Giang, Việt Nam</t>
  </si>
  <si>
    <t>Ngày 13/12/2024: đã gửi email điều tra nguyên nhân đến hãng
--&gt; Hoàn tất</t>
  </si>
  <si>
    <t>lọ bị vỡ</t>
  </si>
  <si>
    <t>Ngày 12/12/2024, nhận được hướng xử lý từ hãng, đền bù cho khách
--&gt; Hoàn tất</t>
  </si>
  <si>
    <t>call</t>
  </si>
  <si>
    <t>CC_941224-HCM</t>
  </si>
  <si>
    <t>NHA THUOC TAY ANH TOAN</t>
  </si>
  <si>
    <t>FAIRENCE T-COMPLEX 30G (HOP/ 1 TUYP)</t>
  </si>
  <si>
    <t>004 LO D MAC THIEN TICH, PHUONG 11, QUAN 5,TPHCM</t>
  </si>
  <si>
    <t>Đổi màu- nhận được thông tin từ trình dược hãng</t>
  </si>
  <si>
    <t>CC_951224-HN</t>
  </si>
  <si>
    <t>Ngày 03/01/2025 tại Kho Ngoại trú BHYT ghi nhận 1 cây bút không vặn chỉnh liều được</t>
  </si>
  <si>
    <t>Đã nhận được giải thích từ hãng ngày 25/11/2024
Đang chờ ký công văn
--&gt; hoàn tất nhận công văn ngày 02/01/2025</t>
  </si>
  <si>
    <t>FPT LONG CHÂU</t>
  </si>
  <si>
    <t>TDP 4 - TT.Quang Minh - Mê Linh - Hà Nội</t>
  </si>
  <si>
    <t>PARIET 20MG</t>
  </si>
  <si>
    <t>44A35P</t>
  </si>
  <si>
    <t>Bị móp</t>
  </si>
  <si>
    <t>CC_020125-HCM</t>
  </si>
  <si>
    <t>CC_010125-HCM
HUY</t>
  </si>
  <si>
    <t>Ngày 03/01/2025, nhận được hướng xử lý từ hãng
Ngày 03/01/2025, Khách hàng hủy khiếu nại ("Sau khi khoa kiểm tra lại bút Toujeo, thì đó là bút của bệnh nhân đem từ nhà lên chứ không phải của Bệnh viện phát. Nên em xin thông tin lại cho công ty. Trường hợp này không cần phải giải quyết gi nữa ạ. Em cảm ơn chị đã hỗ trợ")
--&gt; Hoàn tất</t>
  </si>
  <si>
    <t>CC_030125-HCM</t>
  </si>
  <si>
    <t>TRUNG TAM Y TE QUAN 1</t>
  </si>
  <si>
    <t>SO 2 DANG TAT, PHUONG TAN DINH, QUAN 1, TP.HCM</t>
  </si>
  <si>
    <t>Đang chờ CS xin thêm thông tin. Đồng ý đổi hàng cho khách. Hàng khiếu nại thu về xuất mẫu cho hãng
--&gt; Hoàn tất</t>
  </si>
  <si>
    <t>BENH VIEN PHAM NGOC THACH</t>
  </si>
  <si>
    <t>120 HONG BANG, PHUONG 12, QUAN 5, TP. HO CHI MINH</t>
  </si>
  <si>
    <t>BEPRASAN 20MG (H/VI/ 10V)</t>
  </si>
  <si>
    <t>NU6864</t>
  </si>
  <si>
    <t>NTBV báo phát hiện tình trạng lỗi khi đang cấp phát thuốc theo toa của bác sĩ, mở hộp thuốc thì thấy vỉ thuốc bị rách</t>
  </si>
  <si>
    <t>CC_040125-HCM</t>
  </si>
  <si>
    <t>CONG TY CO PHAN Y KHOA BAC SY GIA DINH</t>
  </si>
  <si>
    <t>73 NGUYEN HUU THO,PHUONG HOA THUAN TAY,QUAN HAI CHAU,THANH PHO DA NANG VIET NAM</t>
  </si>
  <si>
    <t>BENH VIEN PHAP VIET</t>
  </si>
  <si>
    <t>BENH VIEN DA KHOA TINH TRA VINH</t>
  </si>
  <si>
    <t>Không có thông tin trên ống thuốc</t>
  </si>
  <si>
    <t>1 bút  xoay thể tích không được, 1 bút xoay được nhưng bấm không ra thuốc</t>
  </si>
  <si>
    <t>CC_070125-HCM</t>
  </si>
  <si>
    <t xml:space="preserve">BENH VIEN DA KHOA TINH BINH THUAN </t>
  </si>
  <si>
    <t>DUONG TRUONG CHINH, PHUONG PHU TAI, TP PHAN THIET, TINH BINH THUAN</t>
  </si>
  <si>
    <t xml:space="preserve">LANTUS SOLOSTAR 100IU/ML B/5 PENS X 3ML
</t>
  </si>
  <si>
    <t>4F9694A</t>
  </si>
  <si>
    <t>BV báo bút tiêm cấp cho bệnh nhân sử dụng, vặn chỉnh liều được nhưng bấm rất cứng và không ra thuốc.</t>
  </si>
  <si>
    <t>Chấp nhận đổi hàng cho khách, hàng lỗi thu về chuyển sang khu vực chờ hủy theo xác nhận từ Phòng Kinh Doanh Dược
--&gt; Hoàn tất</t>
  </si>
  <si>
    <t>Ngày 12/12 BN mua 28 bơm về chích và cả 28 bơm đều bị rỉ như vậy
Có thể BN nhận lô JS044A vì từ đầu tháng 10 đến 20/12/24, FV đang sử dụng lô này. BN ko nhớ rõ lô chỉ báo bị tương tự lô trước.
·         Ngày 9/1 BN mua tiếp 28 bơm lô JS045A ,BN chích tiếp 2 bơm đều bị rỉ, trả lại FV 26 bơm
·         Số lô JS045A, hạn dung: 31/12/2025, số hd: 212738 (27/12/24)
·         Số lượng còn lại: 81 hộp
·         BN người nước ngoài
·         FV đã đổi lại lô mới nhất cho BN JS371A, hạn dung: 30/6/2026. Đến thời điểm hiện tại không thấy BN phản ánh</t>
  </si>
  <si>
    <t>JS045A</t>
  </si>
  <si>
    <t>06 Nguyen Luong Bang Street, Phu My Hung, District 7, Ho Chi Minh City, Vietnam</t>
  </si>
  <si>
    <t>hình ảnh Zalo</t>
  </si>
  <si>
    <t xml:space="preserve"> TTYT báo lỗi nắp thuốc bị ố vàng, trong đó có 2 lọ bị bung màng bọc lộ phần bông gòn với 1 lọ TTYT mở ra để kiểm tra chất lượng thuốc như hình đính kèm</t>
  </si>
  <si>
    <t xml:space="preserve">Hộp </t>
  </si>
  <si>
    <t>EVH2311</t>
  </si>
  <si>
    <t xml:space="preserve"> 08/04/2026</t>
  </si>
  <si>
    <t>ống</t>
  </si>
  <si>
    <t>SO 399, DUONG NGUYEN DANG, KHOM 10, PHUONG 7, THANH PHO TRA VINH, TINH TRA VINH</t>
  </si>
  <si>
    <t>CC_080125-HCM</t>
  </si>
  <si>
    <t>JS044A</t>
  </si>
  <si>
    <t>Ngày 15/01/2025, gửi email cho hãng
Ngày 16/01/2025. nhận được thông tin từu khách, báo hãng và hãng đồng ý đền bù cho khách, hàng thu về xuất sang văn phòng hãng</t>
  </si>
  <si>
    <t>Hãng chấp nhận đền bù, Xuất mẫu sang văn phòng hãng
Ngày 17/01/2025, Khách hủy khiếu nại do không muốn cung cấp hồ sơ chứng từ cho việc hủy
--&gt; Hoàn tất</t>
  </si>
  <si>
    <t>CC_050125-ĐN
HUY</t>
  </si>
  <si>
    <t xml:space="preserve">Ngày 20/01/2025, nhận được thông tin, chấp nhận đổi hàng cho khách và hàng khiếu nại cho vào khu vực chờ xử lý, chờ quyết định của hãng
</t>
  </si>
  <si>
    <t>CC_090125-HCM</t>
  </si>
  <si>
    <t>E243694</t>
  </si>
  <si>
    <t>TRUNG TAM Y TE THANH PHO BIEN HOA</t>
  </si>
  <si>
    <t>98/487 DUONG PHAM VAN THUAN, P. TAN MAI, TP. BIEN HOA, TINH DONG NAI</t>
  </si>
  <si>
    <t>CC_100125-HCM</t>
  </si>
  <si>
    <t>BENH VIEN PHAP VIET (CTTNHH YTE VIEN DONG VN)</t>
  </si>
  <si>
    <t>MIRGY 100MG CAPS 10'S</t>
  </si>
  <si>
    <t>Trong quá trình soạn thuốc cho bệnh nhân, phát hiện hộp Gabapentin (MIRGY) cap 100mg còn kín nguyên vẹn nhưng không có thuốc bên trong</t>
  </si>
  <si>
    <t>TTYT báo thuốc cấp cho bệnh nhận sử dụng thì bệnh nhân phát hiện báo viên thuốc màu xanh không phải màu cam như bình thường</t>
  </si>
  <si>
    <t>6 NGUYEN LUONG BANG, PHUONG TAN PHU,DO THI MOI NAM TP, QUAN 7, TP HCM</t>
  </si>
  <si>
    <t>373C07</t>
  </si>
  <si>
    <t>CC_060125-HCM
HUY</t>
  </si>
  <si>
    <t xml:space="preserve">Không phát sinh lỗi từ Hoàng Đức và không tìm được nguyên nhân do khách không cung cấp đủ thông tin </t>
  </si>
  <si>
    <t xml:space="preserve">Đang điều tra nguyên nhân
Điều tra trong quá trình kiểm nhập, bảo quản, vận chuyển không phát hiện lỗi như khiếu nại
Đang yêu cầu khách cung cấp thêm thông tin
Giữ mối quan hệ, đổi hàng cho khách, vì lỗi nhỏ không ảnh hưởng chất lượng sản phẩm nên hàng trả về nhập kho bán </t>
  </si>
  <si>
    <t>Không xác định được nguyên nhân</t>
  </si>
  <si>
    <t>CONG TY CO PHAN BENH VIEN DAI HOC Y DUOC-HOANG ANH GIA LAI</t>
  </si>
  <si>
    <t xml:space="preserve">Khoa nhi nói pha nước vào vacxin verorab màu không trong hơi đục và dẻo. </t>
  </si>
  <si>
    <t>Ngày 14/01/2025, gửi email cho hãng
Hãng nhận khiếu nại nhưng vẫn đang đợi thêm thông tin điều tra từ phía khách hàng
Ngày 06/02/2025, khách hủy khiếu nại
--&gt; Hoàn tất</t>
  </si>
  <si>
    <t>BENH VIEN THONG NHAT </t>
  </si>
  <si>
    <t>CC_120225-HCM</t>
  </si>
  <si>
    <t>1 LY THUONG KIET, PHUONG 7, QUAN TAN BINH, TP. HO CHI MINH</t>
  </si>
  <si>
    <t>TEGRUCIL-1 (HOP/100VIEN) - EU</t>
  </si>
  <si>
    <t>CC_130225-HCM</t>
  </si>
  <si>
    <t>238 LE DUAN, P.TRA BA,TP.PLEIKU,TINH GIA LAI</t>
  </si>
  <si>
    <t>Ngày 11/02/2025, gửi email đến hãng và hãng nhận thông tin, đang chờ fb từ hãng</t>
  </si>
  <si>
    <t>CONG TY CO PHAN BENH VIEN MY PHUOC</t>
  </si>
  <si>
    <t>Tháng 9/2024 Viện kiểm nghiệm thuốc TP.HCM có thực hiện lấy mẫu thuốc Tegrucil-1, số lô 241600.
Đến tháng 02/2025 Bệnh viện Thống Nhất có nhận được kết quả mẫu thuốc không đạt yêu cầu chất lượng theo quy định (file đính kèm).
Hiện nay, lô thuốc trên đã sử dụng hết và bệnh viện đang tồn 2.790 viên Tegrucil-1, số lô 243474.
Yêu cầu công ty kiểm tra chất lượng và phản hồi lại bằng văn bản lô thuốc số 243474 để bệnh viện tiếp tục sử dụng</t>
  </si>
  <si>
    <t xml:space="preserve">THUA DAT SO 2292, TO BAN DO SO 58, DUONG TC3, TO 6, KHU PHO 3, PHUONG MY PHUOC, THANH PHO BEN CAT, TINH BINH DUONG, VIET NAM </t>
  </si>
  <si>
    <t>1 hộp vaccine vaxigrip bị nghẹt pitton không đẩy lên được</t>
  </si>
  <si>
    <t>Y4A171V</t>
  </si>
  <si>
    <t>W1C561V</t>
  </si>
  <si>
    <t>TRUNG TAM TIEM CHUNG VAC XIN NINH HOA</t>
  </si>
  <si>
    <t>594 - 596 TRAN QUY CAP, TO DAN PHO 1, PHUONG NINH HIEP, THI XA NINH HOA, TINH KHANH HOA</t>
  </si>
  <si>
    <t xml:space="preserve"> VERORAB 0.5ML 10D INJ VL10+P10 M36 H VN</t>
  </si>
  <si>
    <t>CC_140225-HCM</t>
  </si>
  <si>
    <t>X1D421V</t>
  </si>
  <si>
    <t>1 hộp vaccine Verorab không bơm nước pha vào lọ được và phần kim bị gỉ sét </t>
  </si>
  <si>
    <t>zalo</t>
  </si>
  <si>
    <t>CC_150225-HCM</t>
  </si>
  <si>
    <t>Zuellig Viet Nam</t>
  </si>
  <si>
    <t>08A2306GA</t>
  </si>
  <si>
    <t>Trong đợt nhận hàng IMOJEV vừa qua từ Hoàng Đức, kho ZPV có phát hiện một trường hợp hàng bị hư hỏng (hộp bị móp) được ghi nhận như hình ảnh và biên bản đính kèm</t>
  </si>
  <si>
    <t>7-9 Đường Số 8, Tân Tạo A, Bình Tân, Hồ Chí Minh</t>
  </si>
  <si>
    <t>14/02/2025 báo email cho hãng
17/02/2025 hãng chấp nhận khiếu nại và tiến hành thu hồi xuất sang văn phòng hãng
--&gt; Hoàn tất</t>
  </si>
  <si>
    <t>11/02/2025 báo email cho hãng và nhận được hướng xử lý
12/02/2025 nhận được thông tin số lô và hạn dùng sản phẩm khiếu nại
--&gt; Hoàn tất</t>
  </si>
  <si>
    <t>Hãng chấp nhận đền bù, xuất mẫu sang văn phòng hãng
Ngày 10/02/2024, nhập kho và xuất mẫu trả hãng
--&gt; Hoàn tất</t>
  </si>
  <si>
    <t>Tương tự case CC_040125-HCM
--&gt;Hoàn tất</t>
  </si>
  <si>
    <t>OSPAMOX 500MG TAB 10'S</t>
  </si>
  <si>
    <t>LO 2.11H, DUONG SO 6, KHU CONG NGHIEP TRA NOC II, PHUONG PHUOC THOI, QUAN O MON, THANH PHO CAN THO</t>
  </si>
  <si>
    <t>00523</t>
  </si>
  <si>
    <t>CC_160225-HCM</t>
  </si>
  <si>
    <t>CONG TY CO PHAN DUOC PHAM AN KHANG PHARMA</t>
  </si>
  <si>
    <t xml:space="preserve">Sản phẩm bị lỗi thiếu số lượng trong vỉ </t>
  </si>
  <si>
    <t>Xin thêm thông tin từ khách, viên được phát hiện trong cấp lẻ cho bệnh nhân (BV giao cho bệnh nhân 1 hộp chẵn và 1 hộp lẻ)
Đang đợi thông tin phản hồi của hãng
Ngày 20/02/2025, hãng gửi công văn 
Ngày 21/02/2025, mail cho CS để thông tin đến khách
--&gt; Hoàn tất</t>
  </si>
  <si>
    <t>Thu 10 hộp xuất sang văn phòng hãng, Khách yêu cầu thu luôn 81 hộp-&gt; hãng đồng ý và tiến hành thu về
Đã hoàn thành xuất mẫu sang hãng ngày 04/02/2025
Ngày 26/02/2025, nhận được kết quả điều tra của hãng và đã gửi email đến khách
--&gt; Hoàn tất</t>
  </si>
  <si>
    <t xml:space="preserve">27/02/2025, nhận được xác nhận từ team kinh doanh đổi hàng cho khách
03/03/2025 báo email complaint với nhà sản xuất
</t>
  </si>
  <si>
    <t>19/02/2025 báo email cho hãng
20/02/2025 nhận được phản hồi từ hãng. Không ảnh hưởng chất lượng nên hàng bán bình thường (móp nhẹ)</t>
  </si>
  <si>
    <t>10/02/2025 báo email sang hãng, nhận được hướng xử lý từ hãng
Ngày 13/02/2025, CS thông tin số lô
--&gt; Hoàn tất
Ngày 06/03/2025, khách hủy khiếu nại, do không cung cấp được chứng từ cho việc đền bù</t>
  </si>
  <si>
    <t>CC_110225-HCM
HUY</t>
  </si>
  <si>
    <t>13/11/2024: email cho hãng
14/11/2024: nhận được thông tin từ hãng chấp nhận khiếu nại, chờ công văn chính thức từ hãng
03/01/2025: đã nhận được công văn giải thích từ hãng</t>
  </si>
  <si>
    <t>CC_170325-HN</t>
  </si>
  <si>
    <t>BENH VIEN DA KHOA PHUONG DONG</t>
  </si>
  <si>
    <t xml:space="preserve">SO 9, PHO VIEN, PHUONG CO NHUE 2, QUAN BAC TU LIEM , HA NOI </t>
  </si>
  <si>
    <t xml:space="preserve"> PODOXRED 500MG (H/1 LO)</t>
  </si>
  <si>
    <t>H240904</t>
  </si>
  <si>
    <t>lọ thuốc bị thủng đáy và bột bị rơi ra ngoài (hình ảnh đính kèm)</t>
  </si>
  <si>
    <t>Nhận được email từ CS rằng hãng đồng ý đền bù 12/03/2025</t>
  </si>
  <si>
    <t>CC_180325-HN</t>
  </si>
  <si>
    <t>CONG TY DUOC PHAM HA NOI</t>
  </si>
  <si>
    <t>Depakine 200mg TABEC TB40 – SPAIN</t>
  </si>
  <si>
    <t>Depakine Solution 200mg BTLX40ml VN tổng số lượng 2.000 hộp ở hóa đơn 23438 số lượng 1.000 hộp và hóa đơn 23463 số lượng 1.000 hộp cùng lô ELB03419 hạn dùng 04/2027 có 01 hộp bị móp méo trong kiện nguyên.
Depakine 200mg TABEC TB40 – SPAIN hóa đơn 23464 số lượng 1.720 hộp lô 4R983 hạn dùng 05/2027 có 07 hộp bị móp méo trong kiện nguyên</t>
  </si>
  <si>
    <t xml:space="preserve">ELB03419
4R983 </t>
  </si>
  <si>
    <t>NGÀY NHẬN</t>
  </si>
  <si>
    <t>FIXED EXP</t>
  </si>
  <si>
    <t>FIXED IMPORT</t>
  </si>
  <si>
    <t>Hành động</t>
  </si>
  <si>
    <t>Xuất mẫu theo đợt</t>
  </si>
  <si>
    <t>Chờ hủy</t>
  </si>
  <si>
    <t>XUẤT MẪU NGAY</t>
  </si>
  <si>
    <t>XÁC NHẬN TỪ HÃNG</t>
  </si>
  <si>
    <t>Tên sản phẩm
Product name</t>
  </si>
  <si>
    <t>Số Lô
batch No.</t>
  </si>
  <si>
    <t>Số Lượng
Quanity</t>
  </si>
  <si>
    <t>Đơn vị tính
Unit</t>
  </si>
  <si>
    <t>Tên khách hàng
Customer</t>
  </si>
  <si>
    <t>Ngày
date</t>
  </si>
  <si>
    <t>Địa chỉ
address</t>
  </si>
  <si>
    <t>NSX
Mfg date</t>
  </si>
  <si>
    <t>HD
Exp date</t>
  </si>
  <si>
    <t>Lý do khiếu nại
Reason of complaint</t>
  </si>
  <si>
    <t>STT
No.</t>
  </si>
  <si>
    <t>XUẤT MẪU NGAY NHẬN</t>
  </si>
  <si>
    <t>Chờ xử lý</t>
  </si>
  <si>
    <t>Trả lời câu hỏi</t>
  </si>
  <si>
    <t>Chuyển bán</t>
  </si>
  <si>
    <t>HỦY KHIẾU NẠI</t>
  </si>
  <si>
    <t xml:space="preserve">
NHẬP SỐ KHIẾU NẠI</t>
  </si>
  <si>
    <t>B1: Nhập ngày nhập kho ở sheet "2025-New"</t>
  </si>
  <si>
    <t>B2: Bấm Refresh ở bản bên</t>
  </si>
  <si>
    <t>B3: Lọc số CC ở cột "nhập số khiếu nại"</t>
  </si>
  <si>
    <t>B4: bấm lưu file này</t>
  </si>
  <si>
    <t>B5: mở file Word "2.IN BIỂU MẪU KHIẾU NẠI". Lưu ý: bấm "yes" khi mở file Word</t>
  </si>
  <si>
    <t>B6: In 2 nhãn khiếu nại, bỏ bên trong thùng và dán bên ngoài</t>
  </si>
  <si>
    <t>TRUNG TAM Y TE HUYEN DAM RONG</t>
  </si>
  <si>
    <t>THON 1, RO MEN, HUYEN DAM RONG, TINH LAM DONG</t>
  </si>
  <si>
    <t>HC410A</t>
  </si>
  <si>
    <t xml:space="preserve">Bị vỡ </t>
  </si>
  <si>
    <t>CC_200325-HCM</t>
  </si>
  <si>
    <t>HO KINH DOANH  TIEM CHUNG VAC – XIN DICH VU TNT - NINH HOA</t>
  </si>
  <si>
    <t>543 TRAN QUY CAP TDP 2, PHUONG NINH HIEP, THI XA NINH HOA, TINH KHANH HOA</t>
  </si>
  <si>
    <t>Y1A082V</t>
  </si>
  <si>
    <t>Khi chuẩn bị sử dụng thuốc cho khách hàng, 1 bơm tiêm chứa dung môi bị cứng không thể thực hiện các thao tác tiếp theo được</t>
  </si>
  <si>
    <t>Ngày 18/03/2025, nhận được email hướng xử lý từ hãng</t>
  </si>
  <si>
    <t>email</t>
  </si>
  <si>
    <t xml:space="preserve">NHA THUOC TAY HAI </t>
  </si>
  <si>
    <t>SO 40 NGU CAU 1, AN THUONG, HOAI DUC, HA NOI</t>
  </si>
  <si>
    <t>J231007</t>
  </si>
  <si>
    <t>Ngày 17/03/2025, báo email cho CS xin thêm thông tin
Ngày 18/03/2025, remind CS</t>
  </si>
  <si>
    <t>Ngày 17/03/2025, báo email cho khách, kho, GSDP xin thêm thông tin cho điều tra nguyên nhân
Ngày 20/03/2025, báo email cho khách đồng ý đổi hàng cho khách, vì hàng móp nhẹ, không ảnh hưởng chất lượng sản phẩm bên trong. 
Hàng khiếu nại thu về sẽ xem xét cho việc release</t>
  </si>
  <si>
    <t>ELB03419
4R983</t>
  </si>
  <si>
    <t>04/2027
05/2027</t>
  </si>
  <si>
    <t>CC_210325-HN</t>
  </si>
  <si>
    <t xml:space="preserve"> KHOA DUOC BENH VIEN QUAN Y 175 </t>
  </si>
  <si>
    <t>FAS3705</t>
  </si>
  <si>
    <t>lọ thuốc bị nứt</t>
  </si>
  <si>
    <t>CC_220325-HCM</t>
  </si>
  <si>
    <t>Ngày 24/03/2025, nhận được hướng xử lý của hãng, hãng đồng ý khiếu nại</t>
  </si>
  <si>
    <t xml:space="preserve">27/02/2025, nhận được xác nhận từ team kinh doanh đổi hàng cho khách
03/03/2025 báo email complaint với nhà sản xuất
18/03/2025 vẫn chưa nhận được phản hồi từ hãng
21/03/2025, nhận được email từ nhà máy, đồng ý đền bù cho khách và sẽ xuất trả mẫu cho nhà máy để điều tra nguyên nhân
</t>
  </si>
  <si>
    <t>CC_230325-HCM</t>
  </si>
  <si>
    <t>CONG TY CO PHAN DAU TU BENH VIEN XUYEN A – CN VINH LONG</t>
  </si>
  <si>
    <t>SO 68E – DUONG PHAM HUNG – TO 69 – KHOM 2 – PHUONG 9 – TP VINH LONG – TINH VINH LONG</t>
  </si>
  <si>
    <t>CODODAMED 75MG (HOP/ 56 VIEN)</t>
  </si>
  <si>
    <t>07/2020</t>
  </si>
  <si>
    <t>VỈ</t>
  </si>
  <si>
    <t>Trong 7 vỉ đó. Có khoảng 10 viên bị đổ hoạt chất ra ngoài nang (mỗi vỉ bị 1 hoặc 2 viên)
Bv chỉ lưu lại vỉ lỗi chứ không có chừa cả hộp, mỗi hộp bị 1 vỉ</t>
  </si>
  <si>
    <t>170 Đ. LA THÀNH, CHỢ DỪA, ĐỐNG ĐA, HÀ NỘI</t>
  </si>
  <si>
    <t>02623</t>
  </si>
  <si>
    <t>01523</t>
  </si>
  <si>
    <t>CC_240325-HCM</t>
  </si>
  <si>
    <t xml:space="preserve">BENH VIEN NGUYEN TRAI </t>
  </si>
  <si>
    <t>314 NGUYEN TRAI, PHUONG 7, QUAN 5, THANH PHO HO CHI MINH</t>
  </si>
  <si>
    <t>SN173</t>
  </si>
  <si>
    <t>Báo phát hiện đầu kim bị thụt vào trong không sử dụng được cho bệnh nhân</t>
  </si>
  <si>
    <t>CC_250325-HCM</t>
  </si>
  <si>
    <t xml:space="preserve">02623 
</t>
  </si>
  <si>
    <t>HEXAXIM BOX OF 1 PRE-FILLED SYRINGE  + 2 NEEDLES</t>
  </si>
  <si>
    <t>W3B234V</t>
  </si>
  <si>
    <t>KH cá nhân đã tiêm 3 mũi vaccine HEXAXIM BOX OF 1 PRE-FILLED SYRINGE  + 2 NEEDLES, mũi gần nhất tiêm đầu tháng 2/2024 ( thông tin sản phẩm : Số lô: w3b234v; Hạn dùng Tháng 11/2025; Ngày Sản xuất 03/12/2021
KH tìm hiểu trên internet thông tin thường vaccine có HSD 3 năm nhưng trên vỏ hộp để HSD 4 năm, hiện KH lo lắng cần giải đáp thắc mắc hiện mặt hàng HEXAXIM có HSD 3 năm hay 4 năm</t>
  </si>
  <si>
    <t>Thắc mắc của khách hàng về hạn dùng</t>
  </si>
  <si>
    <t>12917535</t>
  </si>
  <si>
    <t>hình ảnh</t>
  </si>
  <si>
    <t>CC_260325-HCM</t>
  </si>
  <si>
    <t xml:space="preserve"> TRUNG TAM Y TE THI XA DUYEN HAI</t>
  </si>
  <si>
    <t>KHOM 3, PHUONG 1, THI XA DUYEN HAI, TINH TRA VINH</t>
  </si>
  <si>
    <t>INSUNOVA -G PEN (HOP/1 BUT TIEM NAP SAN 3ML DUNG DICH THUOC )</t>
  </si>
  <si>
    <t>BF24002924</t>
  </si>
  <si>
    <t>Báo thông tin thuốc bị kẹt không vặn chỉnh liều được</t>
  </si>
  <si>
    <t>CC_190325-HCM
HUY</t>
  </si>
  <si>
    <t>Ngày 28/03/2025 nhận được hướng xử lý của hãng, chấp nhận khiếu nại, và xuất mẫu khiếu nại trả hãng
Ngày 01/04/2025, nhận được thông tin đổi số lượng khiếu nại từ 05 sang 01 bút</t>
  </si>
  <si>
    <t>Ống dung môi của Verorab bị lỗi, phần kim phía trong lòng ống màu vàng vàng và pít Tông bị cứng không đẩy lên được</t>
  </si>
  <si>
    <t>CC_270425-HCM</t>
  </si>
  <si>
    <t>Ngày 21/03/2025, báo email cho Plan để làm việc với nhà cung cấp
Ngày 24/03/2025, nhờ CS xin thêm thông tin để Plan báo hãng
Ngày 27/03/2025, nhận được thông tin và đã phản hồi cho cho Plan
Ngày 04/04/2025, nhận được hướng xử lý từ hãng, chấp nhận đền bù cho khách</t>
  </si>
  <si>
    <t>X</t>
  </si>
  <si>
    <t>CC_280425-ĐN</t>
  </si>
  <si>
    <t>CÔNG TY CP Y KHOA GIA DINH</t>
  </si>
  <si>
    <t>DAVYCA 75MG (HOP/28VIEN) - EU</t>
  </si>
  <si>
    <t>242116</t>
  </si>
  <si>
    <t>Bị lỗi đổ bột</t>
  </si>
  <si>
    <t>Ngày 04/04/2025, báo email cho hãng</t>
  </si>
  <si>
    <t>Ngày 03/04/2025, báo email cho hãng
Ngày 08/04/2025, nhận được hướng xử lý đổi hàng cho khách từ hãng
--&gt; Hoàn tất</t>
  </si>
  <si>
    <t>Ngày 28/03/2025 nhận được câu trả lời để giải đáp thắc mắc cho khách
--&gt; Hoàn tất</t>
  </si>
  <si>
    <t>Ngày 27/03/2025 báo email cho hãng
Ngày 01/04/2025 nhận được email từ hãng chấp nhận khiếu nại và xuất mẫu khiếu nại về nhà máy
--&gt; Hoàn tất</t>
  </si>
  <si>
    <t>Ngày 14/08/2024: hãng yêu cầu cung cấp dữ liệu nhiệt độ
Ngày 15/08/2024: Thu hồi 2 mẫu về cho hãng điều tra
Ngày 07/10/2024 : nhận được thư giải trình của hãng- lỗi không đến từ hãng
--&gt; Hoàn tất</t>
  </si>
  <si>
    <t>BIỂU MẪU 02/ FORM 02
DANH SÁCH KHIẾU NẠI KHÁCH HÀNG NĂM 2025
LIST OF CUSTOMER COMPLAINTS - YEAR 2025</t>
  </si>
  <si>
    <t>73 Nguyễn Hữu Thọ, Đà Nẵng</t>
  </si>
  <si>
    <t>CC_290425-ĐN</t>
  </si>
  <si>
    <t xml:space="preserve">CONG TY TNHH DUOC PHAM MEDX </t>
  </si>
  <si>
    <t>ALUMINIUM PHOSPHAT GEL</t>
  </si>
  <si>
    <t>223475</t>
  </si>
  <si>
    <t>CONG TY CO PHAN Y TE AMVGROUP</t>
  </si>
  <si>
    <t>167B LE VAN LUONG, AP 5, XA PHUOC KIEN, HUYEN NHA BE, THANH PHO HO CHI MINH</t>
  </si>
  <si>
    <t>X3H271V</t>
  </si>
  <si>
    <t>1 hộp vaccine avaxim không có lọ thuốc bên trong</t>
  </si>
  <si>
    <t>CC_300425-ĐN</t>
  </si>
  <si>
    <t>ZALO</t>
  </si>
  <si>
    <t>CC_310425-HN</t>
  </si>
  <si>
    <t>BVĐK Phương Đông</t>
  </si>
  <si>
    <t>Số 9 Phố Viên, Cổ Nhuế 2, Bắc Từ Liêm, HN</t>
  </si>
  <si>
    <t>BV Đại Học Y Hà Nội</t>
  </si>
  <si>
    <t>Redditux 500</t>
  </si>
  <si>
    <t>CC_330425-HN</t>
  </si>
  <si>
    <t>CC_320425-HCM</t>
  </si>
  <si>
    <t>KHOA DUOC BV BINH DAN</t>
  </si>
  <si>
    <t>SN795</t>
  </si>
  <si>
    <t>CC_340425-HCM</t>
  </si>
  <si>
    <t xml:space="preserve">27/02/2025, nhận được xác nhận từ team kinh doanh đổi hàng cho khách
03/03/2025 báo email complaint với nhà sản xuất
18/03/2025 vẫn chưa nhận được phản hồi từ hãng
21/03/2025, nhận được email từ nhà máy, đồng ý đền bù cho khách và sẽ xuất trả mẫu cho nhà máy để điều tra nguyên nhân
Ngày 15/04/2025 nhận được công văn giải thích của nhà máy, lỗi không xuất phát từ quá trình sản xuất, đóng gói giao nhận
</t>
  </si>
  <si>
    <t>Lỗi không xuất phát từ quá trình sản xuất, đóng gói giao nhận</t>
  </si>
  <si>
    <t>INSUNOVA 30/70 (BIPHASIC) (HOP/1 LO 10ML)</t>
  </si>
  <si>
    <t>BF24002915</t>
  </si>
  <si>
    <t>BENH VIEN THONG NHAT</t>
  </si>
  <si>
    <t> 1 LY THUONG KIET, PHUONG 7, QUAN TAN BINH, TP. HO CHI MINH</t>
  </si>
  <si>
    <t>Trong quá trình cấp phát cho bệnh nhân, kho phát hiện có 01 lọ Insunova bị bể ( hình đính kèm), BV nhờ Công ty xem xét có phương án bù 01 lọ cho bệnh viện gửi lại thuốc cho bệnh nhân</t>
  </si>
  <si>
    <t>Vitamin D3 Ocean Health</t>
  </si>
  <si>
    <t>VN0302</t>
  </si>
  <si>
    <t>371 DIEN BIEN PHU,QUAN 3</t>
  </si>
  <si>
    <t>Khoa Dược Bệnh viện Đại Học Y Hà Nội hôm nay có phản ánh về 1 lọ thuốc Redditux500 của Dr Reddy’s có hiện tượng như sau:
Bệnh nhân mua thuốc này lúc khoảng 10h ngày 15/4/2025 với số lượng 2 lọ (Kèm đơn như trong email). Trước đó 2 lọ bảo quản ngăn mát 2-8 độ như nhau. Thuốc được lĩnh về bệnh phòng để truyền cho bệnh nhân.
Khoảng 10h30 điều dưỡng rút thuốc để truyền thì thấy hiện tượng 1 lọ thuốc bị đông đá. Điều dưỡng mô tả như sau: Do bề mặt lọ thuốc đọng nước nên điều dưỡng không phát hiện ra bị đông đá. Hút được 1/2 thì phát hiện bị đông đá. Họ chưa từng gặp tình huống này bao giờ. Hiện tại 1 nửa lọ đó đang được bảo quản lại tại vị trí ban đầu.
Bệnh viện có báo trực tiếp cho nhân viên công ty (Nguyễn Văn Trường) phản ánh về lọ thuốc này. Viện đang đề nghị công ty hỗ trợ đổi cho bệnh viện 01 lọ thuốc mới cho bệnh viện.</t>
  </si>
  <si>
    <t>N240505A</t>
  </si>
  <si>
    <t>08/2024</t>
  </si>
  <si>
    <t>CC_350425-HCM</t>
  </si>
  <si>
    <t>HC084A</t>
  </si>
  <si>
    <t>BV báo khi mở ra thì đã thấy bơm rời làm 2 phần, lò xo vẫn còn nguyên ( hình đính kèm). BV yêu cầu công ty đổi 1 bơm khác</t>
  </si>
  <si>
    <t>SO 1 PHO TON THAT TUNG, PHUONG KIM LIEN, QUAN DONG DA, THANH PHO HA NOI</t>
  </si>
  <si>
    <t>Nhận được hướng xử lý từ hãng ngày 16/04/2025</t>
  </si>
  <si>
    <t>Khách Hàng của BV đã mua 1 lọ Vitamin D3 Ocean Health với số lô: VN0302
Nhưng do KH quét mã vạch không tìm kiếm và check được thông tin sản phẩm nên KH đã nghi ngờ BV bán hàng giả.
Mặc dù đội ngũ BV đã giải thích cặn kẽ, đưa ra các thông tin hoá đơn nhập hàng đầy đủ từ Cty Hoàng Đức, thông tin số công bố hợp lệ. Nhưng KH vẫn chưa thật sự tin tưởng và yên tâm về sản phẩm nhập khẩu này.
BV mong muốn đc sự tham vấn và hỗ trợ thêm từ Công Ty để có thêm thông tin giải đáp, minh chứng cho sự uy tín của Bệnh Viện.</t>
  </si>
  <si>
    <t>Thắc mắc của khách hàng về mã vạch</t>
  </si>
  <si>
    <t>bệnh nhân bị ngứa dọc đường tiêm. 
Bệnh viện yêu cầu trả lời</t>
  </si>
  <si>
    <t>CC_360425-HCM
NOI BO</t>
  </si>
  <si>
    <t>FEROGLOBIN B12 CAPSULES (H/30 VIEN)</t>
  </si>
  <si>
    <t>FW2418PA</t>
  </si>
  <si>
    <t>Lỗi do Hoàng Đức</t>
  </si>
  <si>
    <t xml:space="preserve">
16/04/2025, báo email cho hãng và đang nhờ CS xin thêm thông tin
Ngày 24/4/2025, hãng đồng ý khiếu nại, tiến hành đền bù cho khách, thu mẫu khiếu nại trả hãng</t>
  </si>
  <si>
    <t>CC_370425-HCM</t>
  </si>
  <si>
    <t>CHI NHANH CONG TY CO PHAN BENH VIEN DA KHOA TAM ANH</t>
  </si>
  <si>
    <t>CORDARONE 200mg</t>
  </si>
  <si>
    <t>FA3060</t>
  </si>
  <si>
    <t>Hãng hướng dẫn trả lời 15/04/2025
--&gt; Hoàn tất</t>
  </si>
  <si>
    <t>Ngày 15/04/2025, báo email cho hãng và nhận được hướng xử lý. Chấp nhận 
--&gt; Hoàn tất</t>
  </si>
  <si>
    <t xml:space="preserve"> Lô C2-7, đường 15, khu công nghiệp Hoà Cầm, P. Hoà Thọ Tây, Q. Cẩm Lệ, TP Đà Nẵng</t>
  </si>
  <si>
    <t>02 gói bị chảy nước</t>
  </si>
  <si>
    <t xml:space="preserve">Ngày 20/01/2025, nhận được thông tin, chấp nhận đổi hàng cho khách và hàng khiếu nại cho vào khu vực chờ xử lý, chờ quyết định của hãng
--&gt; Hoàn tất
</t>
  </si>
  <si>
    <t>Ngày 25/03/2025, báo cho Plan
Xin thêm thông tin hình ảnh
Ngày 04/04/2025, DAVI yêu cầu điều tra nguyên nhân
21/04/2025, nhận được thông tin từ nhà máy DAVI không do DAVI nhập khẩu nên đóng case
22/04/2025, SALE DAVI sẽ làm việc trực tiếp với bệnh viện
05/05/2025, bệnh viện đã được Sale liên hệ</t>
  </si>
  <si>
    <t>Không chấp nhận khiếu nại</t>
  </si>
  <si>
    <t>CONG TY CO PHAN DUOC PHAM FPT LONG CHAU</t>
  </si>
  <si>
    <t>ATASART H TAB 28'S</t>
  </si>
  <si>
    <t>LO L-1, DUONG N2, KCN HUU THANH, XA HUU THANH, HUYEN DUC HOA, TINH LONG AN</t>
  </si>
  <si>
    <t>CC_380525-HCM</t>
  </si>
  <si>
    <t>230T03</t>
  </si>
  <si>
    <t>Đơn hàng giao tới kiểm tra có 1 hộp ATASART H không có thông tin lô date như hình đính kèm mail, yêu cầu công ty đổi hàng</t>
  </si>
  <si>
    <t>Không đạt cảm quan, vỉ thuốc bị vệt hằng bột ẩm, phân rả vài hạt trên thanh vỉ. Bên cạnh đó có 3 viên bị bể trong vỉ</t>
  </si>
  <si>
    <t>CC_390525-HCM</t>
  </si>
  <si>
    <t>Hãng đồng ý nhận hàng khiếu nại về để điều tra nguyên nhân-&gt; đang đợi thông tin từ CS
Ngày 22/04/2025, khách không yêu cầu đền bù
--&gt; Hoàn tất</t>
  </si>
  <si>
    <t>ALUMINIUM PHOSPHAT GEL (HOP/20GOI)</t>
  </si>
  <si>
    <t>230825</t>
  </si>
  <si>
    <t>CC_400525-HCM</t>
  </si>
  <si>
    <t xml:space="preserve">CONG TY CO PHAN BENH VIEN DA KHOA HOAN MY DA LAT </t>
  </si>
  <si>
    <t>Bệnh nhân phản hồi vặn lên tới mức 4 UI bị cứng</t>
  </si>
  <si>
    <t>Hãng chấp nhận đền bù cho khách, hàng khiếu nại thu về cho vào khu vực chờ xử lý, chờ hướng xử lý từ hãng</t>
  </si>
  <si>
    <t>CC_410525-HCM</t>
  </si>
  <si>
    <t>Phòng khám Menhealth phản hồi là đã bán 2 hộp Androgel cho bệnh nhân mang từ VN về Úc mở hộp ra thấy 1 hộp bình thường, 1 hộp có 16 gói không có thuốc (gói thuốc hở như hình) 14 tube còn lại cảm quan thấy bình thường. Gần đây các đơn hàng Androgel cảm quan hầu như đơn nào cũng sẽ có hộp bị tróc keo dán phần nắp vỏ ngoài (trước đó rất ít gặp)</t>
  </si>
  <si>
    <t>7B/31 THANH THAI, PHUONG 14, QUAN 10, THANH PHO HO CHI MINH</t>
  </si>
  <si>
    <t>ANDROGEL GEL 50MG 30'S</t>
  </si>
  <si>
    <t>82152</t>
  </si>
  <si>
    <t>05/05/2025, gửi email cho hãng và nhận được hướng xử lý đền bù cho khách
Hãng chấp nhận đền bù cho khách, hàng khiếu nại thu về xuất sang văn phòng hãng</t>
  </si>
  <si>
    <t>CC_420525-HCM</t>
  </si>
  <si>
    <t>TTYT HUYEN PHU TAN</t>
  </si>
  <si>
    <t>123 HAI THUONG LAN ONG, KHOM THUONG 2, PHU MY, PHU TAN, AN GIANG</t>
  </si>
  <si>
    <t>Tháng 4 có đặt đơn hàng NO-SPA 40mg/2ml khi nhận hàng có đồng kiểm bên ngoại hộp. Nhưng nay kiểm kho phát hiện bể 3 ống như hình đính kèm</t>
  </si>
  <si>
    <t>CC_430525-HCM</t>
  </si>
  <si>
    <t>TRUNG TAM Y TE QUAN 5</t>
  </si>
  <si>
    <t>DOLUTEGAVIR, LAMIVUDINE ,TENOFOVIR 50/300/300mg</t>
  </si>
  <si>
    <t>42A NGUYEN TRAI, PHUONG 11, QUAN 5, TP. HO CHI MINH</t>
  </si>
  <si>
    <t>Nhờ Công Ty xem tình hình về sản xuất thuốc DOLUTEGAVIR, LAMIVUDINE ,TENOFOVIR 50/300/300mg bị mất 1/2 viên.
Trong lúc cấp phát cho bệnh nhân thì phát hiện thuốc trong lọ bị mất 1/2 viên đồng thời bệnh nhân cũng phản ánh về việc thuốc chỉ có 1/2 viên trong lọ.
Tình hình bị mất thuốc như thế sẽ ảnh hưởng đến việc khoa Dược đền thuốc.</t>
  </si>
  <si>
    <t xml:space="preserve">NHA THUOC TAY TRA ANH  DUY - TRUNG TAM MEN 'S HEALTH </t>
  </si>
  <si>
    <t>Nixki</t>
  </si>
  <si>
    <t>CC_440525-ĐN</t>
  </si>
  <si>
    <t>1 hộp sản phẩm ALUMINIUM bị chảy dính ra ngoài hộp, kiểm tra bên trong có 1 gói rách lỗ to và 4 gói rách lỗ nhỏ
Ngày 19/05/2025, nhận được yêu cầu điều tra từ DAVI</t>
  </si>
  <si>
    <t>Lỗi không xuất phát từ quá trình đóng gói giao nhận</t>
  </si>
  <si>
    <t>Ngày 11/02/2025, gửi email đến hãng và hãng nhận thông tin, đang chờ fb từ hãng
Ngày 21/05/2025, hãng gửi email đồng ý thu về toàn bộ các lô còn tồn tại BV</t>
  </si>
  <si>
    <t>CC_450525-HCM</t>
  </si>
  <si>
    <t xml:space="preserve"> BENH VIEN UNG BUOU</t>
  </si>
  <si>
    <t>ZOLADEX 10.8 MG DEPOT 1'S</t>
  </si>
  <si>
    <t>SS879</t>
  </si>
  <si>
    <t>BV báo có một lọ Zoladex 10.8 bị lỗi không đẩy pittong xuống được như hình đính kèm, BV báo nhờ hỗ trợ đổi một lọ mới</t>
  </si>
  <si>
    <t>230463</t>
  </si>
  <si>
    <t>231492</t>
  </si>
  <si>
    <t>222693</t>
  </si>
  <si>
    <t>223510</t>
  </si>
  <si>
    <t>Bị đổi màu và vỉ thuốc bị móp</t>
  </si>
  <si>
    <t>CC_460525-HCM</t>
  </si>
  <si>
    <t>TAGRISSO PA TAB 80MG BL 3X10 EA VN</t>
  </si>
  <si>
    <t>FMDF</t>
  </si>
  <si>
    <t>Về việc sản phẩm cùng lot date nhưng hộp lại khác màu</t>
  </si>
  <si>
    <t>Ngày 22/05/2025, báo email cho hãng
Ngày 26/05/2025, hãng thông tin không ảnh hưởng chất lượng và khách cũng không cần trả lời bằng công văn</t>
  </si>
  <si>
    <t xml:space="preserve"> Ngày 16/05/2025 CS liên hệ khách xin thêm thông tin
Ngày 19/05/2025, nhận được phản hồi từ hãng không chấp nhận khiếu nại vì lỗi không đến từ hãng
Ngày 23/05/2025, khách không cung cấp được thông tin lỗi từ Hoàng Đức nên không tiến hành đổi cho khách
--&gt; Hoàn tất</t>
  </si>
  <si>
    <t>BENH VIEN DA KHOA CAM PHA</t>
  </si>
  <si>
    <t>Có phản ánh có 1 bút Insunova G-pen bị lỗi.</t>
  </si>
  <si>
    <t>Ngày 16/05/2025, báo email cho hãng
Ngày 27/05/2025, nhắc mail hãng</t>
  </si>
  <si>
    <t>Nhận được thông tin email từ hãng thu mẫu khiếu nại và xuất sang hãng để phục vụ điều tra
Ngày 19/05/2025, nhận được email yêu cầu điều tra tại kho và vận chuyển 
26/05/2025, gửi báo cáo điều tra cho DAVI</t>
  </si>
  <si>
    <t>371 DUONG TRAN PHU, PHUONG CAM THANH, TP. CAM PHA, TINH QUANG NINH</t>
  </si>
  <si>
    <t>CC_480525-HCM</t>
  </si>
  <si>
    <t>FORLAX 10G 20SACH VN</t>
  </si>
  <si>
    <t xml:space="preserve"> 
C55238</t>
  </si>
  <si>
    <t>Bị móp rách</t>
  </si>
  <si>
    <t>Check lịch sử đơn hàng không do Hoàng Đức xuất bán</t>
  </si>
  <si>
    <t>CC_470525-HCM
HUY</t>
  </si>
  <si>
    <t>BF24003310</t>
  </si>
  <si>
    <t>Ngày 15/05/2025, liên hệ khách xin thêm thông tin
Ngày 16/05/2025, hãng chấp nhận khiếu nại và đền bù cho khách
Ngày 20/05/2025, chờ confirm từ hãng
Ngày 27/05/2025, hãng đồng ý đền bù, tuy nhiên không có hàng khiếu nại về kho cần kế toán hướng dẫn về việc đảm bảo inventory hàng 
Ngày 30/05/2025, hãng đồng ý không thu hàng khiếu nại từ khách, sẽ tiến hành hình thức write off (hủy hàng khiếu nại)để cân đối tồn kho
--&gt; Hoàn tất</t>
  </si>
  <si>
    <t>CC_490525-HCM</t>
  </si>
  <si>
    <t>CC_500525-HCM</t>
  </si>
  <si>
    <t>CC_510525-HCM</t>
  </si>
  <si>
    <t>CC_520525-HCM</t>
  </si>
  <si>
    <t>CC_530525-HCM</t>
  </si>
  <si>
    <t>TYPHIM VI 25MCG</t>
  </si>
  <si>
    <t>X2A452V</t>
  </si>
  <si>
    <t>Khi kiểm tra cảm quan thì phát hiện không có bơm tiêm chứa vắc xin bên trong hộp. Hộp vắc xin còn nguyên vẹn và đã khui seal để kiểm tra cảm quan</t>
  </si>
  <si>
    <t>AVAXIM 80U PEDIATRIC</t>
  </si>
  <si>
    <t>+ Khi kiểm tra cảm quan thì phát hiện không có bơm tiêm chứa vắc xin bên trong hộp.     
+ Hộp vắc xin còn nguyên vẹn và đã khui seal để kiểm tra cảm quan.</t>
  </si>
  <si>
    <t>+ Khi kiểm tra cảm quan thì phát hiện không có bơm tiêm chứa vắc xin bên trong khay nhựa PVC
+ Hộp vắc xin còn nguyên vẹn và đã khui seal để kiểm tra cảm quan</t>
  </si>
  <si>
    <t>VERORAB 0.5ML</t>
  </si>
  <si>
    <t>Khi kiểm tra cảm quan thì phát hiện nhãn dán trên lọ bột đông khô bị lỗi</t>
  </si>
  <si>
    <t>TAVANIC 500MG</t>
  </si>
  <si>
    <t>PHARMACITY</t>
  </si>
  <si>
    <t>CS nhận được thông tin khách hàng của chuỗi Pharmacity mua Viên nén Tavanic 500mg điều trị nhiễm khuẩn (1 vỉ x 5 viên), thắc mắc tại sao 1 hộp có ghi thông tin công ty nhập khẩu, 1 hộp thì không có thông tin. (Hình ảnh đính kèm)
-          Hộp lô 4MF4A không ghi thông tin công ty nhập khẩu
-          Hộp lô 4ND3A có ghi thông tin nhập khẩu</t>
  </si>
  <si>
    <t xml:space="preserve"> 4MF4A</t>
  </si>
  <si>
    <t>04/2024</t>
  </si>
  <si>
    <t>Đã nhận được câu trả lời từ hãng--&gt; Hoàn tất</t>
  </si>
  <si>
    <t>248 NO TRANG LONG, P12, Q BINH THANH, TP. HO CHI MINH</t>
  </si>
  <si>
    <t>CC_540625-HCM</t>
  </si>
  <si>
    <t>NHA THUOC PHAM HUU CHI</t>
  </si>
  <si>
    <t>Khách hàng phản hồi chai thuốc không xịt ra được</t>
  </si>
  <si>
    <t>B07850</t>
  </si>
  <si>
    <t>SỐ 243 ĐƯỜNG LÊ TRUNG ĐỊNH, TỔ 6, PHƯỜNG TRẦN HƯNG ĐẠO, TP.QUẢNG NGÃI, T. QUẢNG NGÃI</t>
  </si>
  <si>
    <t>13 THUAN KIEU, PHUONG 12, QUAN 5</t>
  </si>
  <si>
    <t>EASYEF HOP/1 BO 10ML (BOM TIEM CHUA 1ML DUNG DICH THUOC + LO CHUA 9ML DUNG MOI)</t>
  </si>
  <si>
    <t>CC_550625-HCM</t>
  </si>
  <si>
    <t>STERIMAR BLOCKED NOSE BABY 50 ML</t>
  </si>
  <si>
    <t>SỐ 21 ĐƯỜNG D1 KHU CHẾ XUẤT TÂN THUẬN - Q.7- TP. HCM</t>
  </si>
  <si>
    <t>Kho ODN Quận 7</t>
  </si>
  <si>
    <t>CC_560625-HN</t>
  </si>
  <si>
    <t>Winduza</t>
  </si>
  <si>
    <t>H250330</t>
  </si>
  <si>
    <t>Lỗi không xuất phát từ quá trình bảo quản và vận chuyển</t>
  </si>
  <si>
    <t>Ngày 30/05/2025, báo email cho hãng
Chấp nhận đền bù cho khách-&gt; hoàn tất</t>
  </si>
  <si>
    <t>Hàng bị móp</t>
  </si>
  <si>
    <t>Email</t>
  </si>
  <si>
    <t>Có cặn sau khi hoàn nguyên</t>
  </si>
  <si>
    <t>5 P. PHẠM VĂN BẠCH, YÊN HOÀ, CẦU GIẤY, HÀ NỘI</t>
  </si>
  <si>
    <t>Viện Huyết học Truyền Máu Trung ương</t>
  </si>
  <si>
    <t>CC_580625-HCM</t>
  </si>
  <si>
    <t>CC_570625-HN</t>
  </si>
  <si>
    <t>ZOLADEX 3.6 MG DEPOT 1'S </t>
  </si>
  <si>
    <t>Ngày 09/09/2024, Hoàng Đức nhận được sự cố tiêm khi tiêm sản phẩm ZOLADEX 3.6 MG DEPOT 1'S  (mô tả như file đính kèm) của CN004928 - BENH VIEN UNG BUOU HUNG VIET, cần công văn phản hồi về chất lượng sản phẩm</t>
  </si>
  <si>
    <t>Bệnh viện K có đặt hàng Redditux 100 vào ngày 9/6/2025 với số lượng 100 hộp. Ngày 10/6/2025 khoa Dược bệnh viện có nhận hàng và phát hiện 1 lọ thuốc Redditux100  bên ngoài vỏ hộp bị lỗi (Hình ảnh như trong video).
Bệnh viện đề nghị công ty thu hồi hộp lỗi này và đổi cho bệnh viện 01 hộp mới.</t>
  </si>
  <si>
    <t>Lỗi do đơn vị vận chuyển</t>
  </si>
  <si>
    <t>Đền bù cho khách và thu mẫu khiếu nại
Ngày 19/05/2025, nhận được email yêu cầu điều tra tại kho và vận chuyển 
19/06/2025, nhận được công văn trả lời từ DAVI
--&gt; Hoàn tất</t>
  </si>
  <si>
    <t>FE3273C</t>
  </si>
  <si>
    <t>CC_590625-HCM</t>
  </si>
  <si>
    <t>+ Khi kiểm tra cảm quan thì phát hiện màng nhựa trên khay nhựa chứa bơm tiêm vắc xin bị hở. + Bơm tiêm chứa vắc xin vẫn còn nằm trong khay nhựa. Hộp vắc xin còn nguyên vẹn và đã khui seal để kiểm tra cảm quan.</t>
  </si>
  <si>
    <t>TETRAXIM</t>
  </si>
  <si>
    <t>W3H384V</t>
  </si>
  <si>
    <t>29/04/2025, hãng chấp nhận khiếu nại và chuyển mẫu khiếu nại về hãng
05/05/2025, nhận được thêm thông tin từ khách và đã chuyển thông tin này cho hãng
Ngày 07/05/2025, gửi email xác nhận số lượng và tình trạng lỗi
07/05/2025-16/05/2025: cung cấp thêm thông tin cho hãng điều tra
14/05/2025, không cần xuất mẫu về văn phòng hãng
16/05/2025, xác nhận số lượng đền bù là 20 hộp
18/06/2025, hàng khiếu nại về kho
--&gt; Hoàn tất</t>
  </si>
  <si>
    <t xml:space="preserve">Ngày 29/05/2025, báo email cho các bộ phận liên quan điều tra
Ngày 09/06/2025, báo email cho CS rằng không đủ căn cứ để đền bù cho khách
</t>
  </si>
  <si>
    <t>CC_600625-ĐN</t>
  </si>
  <si>
    <t>THON LA THO, XA DIEN HOA, THI XA DIEN BAN, TINH QUANG NAM</t>
  </si>
  <si>
    <t>QUAY THUOC SO 182 THUOC CONG TY CO PHAN THUONG MAI DUOC –SAM NGOC LINH QUANG NAM</t>
  </si>
  <si>
    <t>CC_610625-HCM</t>
  </si>
  <si>
    <t>CONG TY CO PHAN BENH VIEN DA KHOA HOAN MY SAI GON</t>
  </si>
  <si>
    <t>4F119A</t>
  </si>
  <si>
    <t>Ngày 30/05/2025, báo email cho hãng
Đang chờ khách cung cấp chứng từ hóa đơn 
Khách hàng không cung cấp chứng từ, nên không khiếu nại nữa
-&gt; hoàn tất</t>
  </si>
  <si>
    <t>Ngày 20/05/2025, đã báo hãng
Ngày 26/06/2025, nhận được công văn trả lời từ hãng
Tiến hành đền bù cho khách
--&gt; Hoàn tất</t>
  </si>
  <si>
    <t>Ngày 27/06/2025, đã nhận được công văn giải trình về chất lượng sản phẩm từ bộ phận QA AZ
Ngày 26/06/2025, Hoàng Đức gửi đến Bộ phận thông tin Y Khoa của AZ để xin thêm thông tin giải đáp cho khách hàng</t>
  </si>
  <si>
    <t>BENH VIEN UNG BUOU HUNG VIET</t>
  </si>
  <si>
    <t>SO NHA 34, PHO DAI CO VIET, PHUONG LE DAI HANH, QUAN HAI BA TRUNG, THANH PHO HA NOI</t>
  </si>
  <si>
    <t>NHÀ THUỐC DŨNG LOAN</t>
  </si>
  <si>
    <t>CC_630625-ĐN</t>
  </si>
  <si>
    <t>Ngày 23/06/2025, gửi email cho hãng và nhận được phản hồi chấp nhận đền bù cho khách</t>
  </si>
  <si>
    <t>Bệnh nhân nhận bút ngày 23/06/2025 đến ngày 25/06/2025 bệnh nhân mang bút đến qua kiểm tra thì bút bị cứng không đẩy thuốc ra ngoài được. Bệnh nhân sử dụng kim: Kim tiêm Insulin Novofine, 31 G, Cái (Novo Nordisk, Denmark)</t>
  </si>
  <si>
    <t>Ngày 26/06/2025, gửi mail cho hãng và chấp nhận đền bù, tuy nhiên bên hãng cần thêm thông tin hình ảnh lô sản phẩm
Liên hệ với khách xin thêm thông tin và chính sách bảo mật thông tin cá nhân</t>
  </si>
  <si>
    <t>HO KINH DOANH PHONG KHAM NHI VA TIEM NGUA DICH VU KHANH LINH</t>
  </si>
  <si>
    <t>52 DUONG MAC DINH CHI, KHOM 1, PHUONG 1, THANH PHO SOC TRANG, TINH SOC TRANG</t>
  </si>
  <si>
    <t>VERORAB 0.5ML 10D INJ VL10+P10 M36 H VN</t>
  </si>
  <si>
    <t xml:space="preserve"> Y1A171V</t>
  </si>
  <si>
    <t>1 hộp vaccine Verorab bị thiếu 1 ống nước</t>
  </si>
  <si>
    <t>X2A561V</t>
  </si>
  <si>
    <t>TYPHIM Vi</t>
  </si>
  <si>
    <t>Hãng đồng ý đền bù cho khách
30/06/2025 khách cancel  case do không cung cấp chứng từ theo quy trình xử lý khiếu nại 
--&gt; Hoàn tất</t>
  </si>
  <si>
    <t>CC_640725-HCM</t>
  </si>
  <si>
    <t>Ngày 02/07/2025, hãng yêu cầu gửi điều tra</t>
  </si>
  <si>
    <t>NGUYEN LUONG BANG, PHUONG TAN PHU,DO THI MOI NAM TP, QUAN 7, TP HCM</t>
  </si>
  <si>
    <t>PAXUS PM (HOP/1 LO)</t>
  </si>
  <si>
    <t>GP32512</t>
  </si>
  <si>
    <t>Hãng chấp nhận khiếu nại, tiến hành đền bù cho khách 
--&gt; Hoàn tất</t>
  </si>
  <si>
    <t>HỘ KINH DOANH DỊCH VỤ VẮC XIN NGƯỜI LỚN VÀ TRẺ EM</t>
  </si>
  <si>
    <t>03/2025</t>
  </si>
  <si>
    <t>BENH VIEN K</t>
  </si>
  <si>
    <t>115 TRAN HUNG DAO, PHUONG CAM PHO, THANH PHO HOI AN, TINH QUANG NAM</t>
  </si>
  <si>
    <t>CC_650725-HCM</t>
  </si>
  <si>
    <t>KHOA DUOC BENH VIEN NHI DONG 2 </t>
  </si>
  <si>
    <t>14 LY TU TRONG - PHUONG BEN NGHE - QUAN 1 – TP. HO CHI MINH</t>
  </si>
  <si>
    <t>528028</t>
  </si>
  <si>
    <t>Gói</t>
  </si>
  <si>
    <t>Sản phẩm sau khi hoàn nguyên bị đục</t>
  </si>
  <si>
    <t>Lỗi không có thuốc bên trong hộp (hình ảnh và video đính kèm)</t>
  </si>
  <si>
    <t>KAM nhận thông tin và trực tiếp vào khoa ghi nhận có khoảng 3 túi Phosphalugel bị bục đáy, thuốc tràn ra ngoài đã khô dính không thể sử dụng được</t>
  </si>
  <si>
    <t>CC_660725-HCM</t>
  </si>
  <si>
    <t xml:space="preserve">NHA THUOC THANH QUI </t>
  </si>
  <si>
    <t xml:space="preserve"> 28 DIEN BIEN PHU, KHOM 3, PHUONG 2, THANH PHO TRA VINH, TINH TRA VINH</t>
  </si>
  <si>
    <t>OSPAMOX 500MG TAB 10'S (NQ)</t>
  </si>
  <si>
    <t>040D002</t>
  </si>
  <si>
    <t>Khách hàng báo có 1 vỉ không có viên thuốc bên trong</t>
  </si>
  <si>
    <t>vỉ</t>
  </si>
  <si>
    <t>Nhận được email đồng ý đền bù cho khách và gửi mẫu về nhà máy điều tra</t>
  </si>
  <si>
    <t>CC_670725-HCM</t>
  </si>
  <si>
    <t>CC_680725-HN</t>
  </si>
  <si>
    <t xml:space="preserve">DAU GOI CHONG GAU (SELSUN ANTI-DANDRUFF SHAMPOO WITH SELENIUM SULFIDE) 50ML </t>
  </si>
  <si>
    <t>CB24</t>
  </si>
  <si>
    <t>Khách hàng báo có 2 hộp DAU GOI CHONG GAU (SELSUN ANTI-DANDRUFF SHAMPOO WITH SELENIUM SULFIDE) 50ML bị móp và có kiến</t>
  </si>
  <si>
    <t>DEPAKINE SOLUTION 200MG BTLX40ML VN</t>
  </si>
  <si>
    <t>ELB04510</t>
  </si>
  <si>
    <t>Khách hàng phản ánh có 1 lọ không có dung dịch bên trong</t>
  </si>
  <si>
    <t>CC_690725-HCM</t>
  </si>
  <si>
    <t xml:space="preserve"> LO SO CN20-1A, SO 93 DUONG HUU NGHI, KHU CONG NGHIEP, DO THI VA DICH VU VSIP BAC NINH, XA DAI DONG, HA NOI</t>
  </si>
  <si>
    <t>C56397</t>
  </si>
  <si>
    <t>223509</t>
  </si>
  <si>
    <t>sản phẩm có tình trạng ướt viên thuốc và dính vỉ </t>
  </si>
  <si>
    <t xml:space="preserve">QUAY 504 HAPU </t>
  </si>
  <si>
    <t>SO 1 NGUYEN HUY TUONG – THANH XUAN – HA NOI</t>
  </si>
  <si>
    <t>CC_700725-HN</t>
  </si>
  <si>
    <t xml:space="preserve"> 040D003</t>
  </si>
  <si>
    <t>Khách hàng báo có 2 vỉ OSPAMOX 500MG bị bong như hình. Tại thời điểm nhận hàng, khách chỉ đồng kiểm, khui thùng và kiểm hàng tổng quan, không check từng vỉ nên chưa thấy lỗi, hôm nay mang ra dán giá bán mới phát hiện.</t>
  </si>
  <si>
    <t>CC_710725-HN</t>
  </si>
  <si>
    <t xml:space="preserve"> MILGAMMA N INJ 2ML 5'S</t>
  </si>
  <si>
    <t>40429E</t>
  </si>
  <si>
    <t>KH phản ánh về tình trạng hàng Milgamma N và có yêu cầu công ty vào bv để tiến hành đồng kiểm tra chất lượng sản phẩm. Đồng thời có phương án hỗ trợ thay thế hàng cho bv nếu sản phẩm kiểm tra không đạt.</t>
  </si>
  <si>
    <t xml:space="preserve"> 
31/03/2027</t>
  </si>
  <si>
    <t>lọ</t>
  </si>
  <si>
    <t>VIEN Y HOC PHONG KHONG – KHONG QUAN</t>
  </si>
  <si>
    <t>SO 255 DUONG TRUONG CHINH, PHUONG KHUONG MAI, QUAN THANH XUAN, THANH PHO HA NOI</t>
  </si>
  <si>
    <t>Hãng chấp nhận đền bù
Đang đợi thông tin từ CS để hỗ trợ hãng điều tra nguyên nhân</t>
  </si>
  <si>
    <t>Hãng đồng ý chuyển hủy và đền bù cho khách
-&gt; Hoàn tất</t>
  </si>
  <si>
    <t>18/07/2025, báo email cho hãng
Đồng ý đền bù cho khách</t>
  </si>
  <si>
    <t>Hãng đồng ý đền bù cho khách
thu hàng lỗi vào khu vực chờ xử lý để chờ kết quả điều tra nguyên nhân từ nhà máy</t>
  </si>
  <si>
    <t>Chưa có nhãn phụ trên sản phẩm</t>
  </si>
  <si>
    <t>Ngày 14/05/2025, Đã thu được 1798/2688 hộp về kho tổng của Long Châu. Trong đó có 73hộp không đạt cảm quan chuyển về kho Long Hậu
Ngày 27/05/2025, hàng đã đưa về kho và đang kiểm 
Ngày 03/07/2025, đã thu 141 /890 hộp dán nhãn. Trong đó có 66 hộp không đạt cảm quan chuyển về kho Long Hậu, phần còn lại release bán</t>
  </si>
  <si>
    <t>CC_720725-HCM</t>
  </si>
  <si>
    <t>NHA THUOC HOANG LIEM 1</t>
  </si>
  <si>
    <t>248 BS YERSIN, TO 10, KHU PHO 2, PHUONG HIEP THANH, THANH PHO THU DAU MOT, TINH BINH DUONG </t>
  </si>
  <si>
    <t>DEPAKINE CHRONO 500MG TUBE OF 30 TABS VN, DEPAKINE 200MG TABEC TB40 và DEPAKINE SOLUTION 200MG BTLX40ML VN</t>
  </si>
  <si>
    <t>NHA THUOC HOANG LIEM 1 ( 248 BS YERSIN, TO 10, KHU PHO 2, PHUONG HIEP THANH, THANH PHO THU DAU MOT, TINH BINH DUONG ) có thắc mắc về vấn đề liên quan đến mặt hàng DEPAKINE CHRONO 500MG TUBE OF 30 TABS VN, DEPAKINE 200MG TABEC TB40 và DEPAKINE SOLUTION 200MG BTLX40ML VN
Các sản phẩm trên có thuộc danh mục thuốc cần kiểm soát đặc biệt không?
Các sản phẩm trên có cần bán theo đơn bác sĩ không?
Điều kiện bảo quản cho các sản phẩm trên như thế nào? Cần lưu ý điều gì khi bảo quản?</t>
  </si>
  <si>
    <t>22/07/2025, nhận được câu trả lời từ hãng</t>
  </si>
  <si>
    <t>CC_730725-HCM</t>
  </si>
  <si>
    <t>CONG TY TNHH DUOC PHAM DONAPHARM</t>
  </si>
  <si>
    <t>Hiện tại phía khách hàng phản ánh bình xịt Fortraget khi sử dụng xịt thì chỉ sử dụng được 1 lần, tới lần xịt thứ 2 thì không xịt được, phải đợi một lúc lâu mới xịt được tiếp, hơi của bình xịt bị yếu, bác sĩ bảo không ra đủ liều.
Hiện tại nhờ công ty đổi lại 5 bình</t>
  </si>
  <si>
    <t>BÌNH</t>
  </si>
  <si>
    <t>CC_740725-HCM</t>
  </si>
  <si>
    <t>CC_750725-HN</t>
  </si>
  <si>
    <t>24/07/2025 hãng đồng ý đền bù cho khách</t>
  </si>
  <si>
    <t>THUOC NHO MAT (V.ROHTO VITAMIN) 13 ML</t>
  </si>
  <si>
    <t>THUOC NHO MAT (NEW V-ROHTO) 13ML</t>
  </si>
  <si>
    <t>DIA DIEM KINH DOANH CONG TY CO PHAN THUONG MAI DUOC VUONG - KHO HANG HOA HO CHI MINH</t>
  </si>
  <si>
    <t>LA11B</t>
  </si>
  <si>
    <t>JA03-3</t>
  </si>
  <si>
    <t>sản phẩm bị lỗi không thể vặn nắp được</t>
  </si>
  <si>
    <t>CC_760725-HCM</t>
  </si>
  <si>
    <t>Thông tin từ bác sĩ H, hiện đang công tác tại khoa Nội tiết BV Thống Nhất HCM. Có 1 bệnh nhân ĐTĐ tip 2 hiện đang điều trị với thuốc uống, tuy nhiên vì HbA1c còn cao &gt;9% =&gt; BS có chỉ định sản phẩm Toujeo của SNF ngày 24/07. Sau khi tiêm BN xuất hiện tình trạng ngứa da ngoài vị trí tiêm + sốt nhẹ. Ngày 25/7 tình trạng ngứa nặng hơn và vẫn còn sốt. BS có phản hồi đến TDV SNF đang phụ trách địa bàn Thống Nhất.</t>
  </si>
  <si>
    <t>C1A, KHU PHO 7, PHUONG BINH DA (KHU PHO 3, PHUONG TAM HOA CU ),THANH PHO BIEN HOA, TINH DONG NAI</t>
  </si>
  <si>
    <t>TANG 2, SO 16 NGO 773 DUONG GIAI PHONG, PHUONG GIAP BAT, QUAN HOANG MAI, THANH PHO HA NOI</t>
  </si>
  <si>
    <t>CONG TY TNHH CAREACE</t>
  </si>
  <si>
    <t>107M03</t>
  </si>
  <si>
    <t>Chai Sterimar block nose bb bị lỗi không như hình ảnh</t>
  </si>
  <si>
    <t>FE4048</t>
  </si>
  <si>
    <t>02/2024</t>
  </si>
  <si>
    <t>E245330</t>
  </si>
  <si>
    <t>Hộp chưa khui seal nhưng khi cầm lên thấy nhẹ. TTYT có quay clip so sánh hộp lỗi và hộp nguyên khác</t>
  </si>
  <si>
    <t>TRUNG TAM Y TE KHU VUC THOT NOT</t>
  </si>
  <si>
    <t>CC_770725-HCM</t>
  </si>
  <si>
    <t>QUOC LO 91, KHU VUC PHUNG THANH 1, P.THOT NOT, Q.THOT NOT, TP.CAN THO</t>
  </si>
  <si>
    <t xml:space="preserve">Báo CS kiểm tra lịch sử đơn hàng
13/06/2025, Hàng đã được Hoàng Đức thu về
Chưa nhận được email hướng xử lý từ hãng
Xuất sang hãng điều tra nguyên nhân
</t>
  </si>
  <si>
    <t>N250204A</t>
  </si>
  <si>
    <t>Đã báo hãng
Hãng đồng ý đền bù 
-&gt; Hoàn tất</t>
  </si>
  <si>
    <t>FORTRANS 4SACH VN</t>
  </si>
  <si>
    <t>14A TAN THOI NHAT 8, PHUONG TAN THOI NHAT, QUAN 12, THANH PHO HO CHI MINH</t>
  </si>
  <si>
    <t>Không</t>
  </si>
  <si>
    <t>mail</t>
  </si>
  <si>
    <t>CC_780725-HCM</t>
  </si>
  <si>
    <t>Có dị vật bên trong lọ</t>
  </si>
  <si>
    <t>CC_790725-HN</t>
  </si>
  <si>
    <t>SO 30 CAU BUOU, TAN TRIEU, THANH TRI, HA NOI</t>
  </si>
  <si>
    <t>Sau khi được cấp phát ngày 28/7/2025, tối cùng ngày bệnh nhân đã xịt 1 lần. Đến sáng ngày 29/7/2025 thì không sử dụng được nữa</t>
  </si>
  <si>
    <t>09/07/2025: báo email cho hãng
10/07/2025: Chấp nhận đền bù cho khách
23/07/2025: hãng yêu cầu cung cấp thêm thông tin hình ảnh
31/07/2025: cung cấp hình ảnh cho hãng và hãng chấp nhận khiếu nại
01/08/2025: khách không cần đền bù đổi trả
--&gt; Hoàn tất</t>
  </si>
  <si>
    <t>CC_800825-HCM</t>
  </si>
  <si>
    <t>SO 263 TRAN QUOC TOAN, PHUONG B’LAO, TP. BAO LOC, TINH LAM DONG</t>
  </si>
  <si>
    <t xml:space="preserve">BENH VIEN II LAM DONG </t>
  </si>
  <si>
    <t>24 viên Magrax bị đổi màu như hình đính kèm</t>
  </si>
  <si>
    <t>230963</t>
  </si>
  <si>
    <t>viên</t>
  </si>
  <si>
    <t>không</t>
  </si>
  <si>
    <t>Đang xin thêm thông tin để điều tra nguyên nhân
28/07/2025 gửi email cho hãng,
29/07/2025, hãng đồng ý khiếu nại, đang chờ CS hoàn tất các chứng từ liên quan, hàng khiếu nại sẽ chuyển sang văn phòng hãng
--&gt; Hoàn tất</t>
  </si>
  <si>
    <t xml:space="preserve">09/06/2025, báo email cho CS xin thêm thông tin từ khách
Sau khi điều tra lỗi do đơn vị vận chuyển
Tiến hành thu hồi lỗi về và đổi cho khách,
Hướng xử lý với hàng bị lỗi đang chờ thông tin từ đơn vị vận chuyển
15/07 nhắc mail cho đơn vị vận chuyển về việc hàng bị lỗi,
Lỗi móp không ảnh hưởng sản phẩm bên trong chuyển bán chỉ định
--&gt; hoàn tất
</t>
  </si>
  <si>
    <t>CC_810825-HCM</t>
  </si>
  <si>
    <t> NHA THUOC KIM NGAN</t>
  </si>
  <si>
    <t>10 LY THUONG KIET, KHOM 7, PHUONG 6, TP CA MAU, TINH CA MAU</t>
  </si>
  <si>
    <t>NIXKI-20 (HOP/100VIEN) - EU</t>
  </si>
  <si>
    <t>Bị nổ viên + dính vỉ</t>
  </si>
  <si>
    <t>Hãng chấp nhận đền bù cho khách, hàng khiếu nại thu về cho vào khu vực chờ xử lý, xuất trả hãng theo đợt
Về phía khách, hãng sẽ làm việc trực tiếp
Hàng đã được hãng tới trực tiếp bệnh viện để lấy
--&gt; Hoàn tất
07/08/2025, hãng báo đền bù thêm cho khách 05 lọ nhưng không có mẫu thu về chỉ làm trên chứng từ hóa đơn</t>
  </si>
  <si>
    <t>CC_820825-HN</t>
  </si>
  <si>
    <t>GP32461</t>
  </si>
  <si>
    <t>64 HAI BA TRUNG, PHUONG LE HONG PHONG, TP THAI BINH, THAI BINH</t>
  </si>
  <si>
    <t>NHA THUOC TAY HOAN ( PK NOI SOI TAI MUI HONG)</t>
  </si>
  <si>
    <t>FE3274</t>
  </si>
  <si>
    <t>Nhận được thông tin chấp nhận đền bù cho hãng</t>
  </si>
  <si>
    <t>CC_830825-HCM</t>
  </si>
  <si>
    <t>HC620A</t>
  </si>
  <si>
    <t> Bệnh viện cho biết khi nhận hàng chỉ đồng kiểm bên ngoài, cảm quan hộp bình thường, đến khi sử dụng và mở ra kiểm hàng mới thấy bể 2 ống</t>
  </si>
  <si>
    <t>13/08/2025, hãng đồng ý đền bù cho khách</t>
  </si>
  <si>
    <t>CC_840825-HN</t>
  </si>
  <si>
    <t>SO 55, NGO 54 NGUYEN CHI THANH ( PHONG 1, TANG 1 : MUON MB) P. LANG THUONG, Q. DONG DA, TP HA NOI</t>
  </si>
  <si>
    <t>HO KINH DOANH NHA THUOC GIA HUY NCT</t>
  </si>
  <si>
    <t>STERIMAR NOSE HYGIENE BABY 50 ML</t>
  </si>
  <si>
    <t>FE4024B</t>
  </si>
  <si>
    <t xml:space="preserve">Sản phẩm bị lỗi vòi xịt </t>
  </si>
  <si>
    <t>13/08/2025: Báo email cho hãng
13/08/2025: hãng từ chối đền bù do không đủ căn cứ để xác định lỗi từ hãng
13/08/2025: yêu cầu khách cung cấp thêm chứng cứ để điều tra nguyên nhân, đồng thời dựa vào những thông tin của khách cung cấp, lỗi không xuất phát từ Hoàng Đức</t>
  </si>
  <si>
    <t>Đã gửi email cho hãng và hãng đồng ý đổi ngang, phía Hoàng Đức đang check với các bộ phận liên quan cho việc đổi trả</t>
  </si>
  <si>
    <t xml:space="preserve">Hàng bị dính vỏ hộp với nhau </t>
  </si>
  <si>
    <t>Nhận được yêu cầu đổi hàng từ hãng
01/08/2025: Báo email cho hãng
03/08/2025: hãng chấp nhận thu về ở điều kiện thường
--&gt; hoàn tất</t>
  </si>
  <si>
    <t>31/07/2025 : báo email cho hãng
03/08/2025: hãng chấp nhận đền bù
CS làm việc với khách để thu hàng khiếu nại</t>
  </si>
  <si>
    <t>25/07/2025 báo email cho hãng
29/07/2025, nhận được hướng xử lý của hãng: chấp nhận đền bù cho khách và chuyển hủy mẫu khiếu nại
--&gt; Hoàn tất</t>
  </si>
  <si>
    <t>Đã báo email cho CS để liên hệ khách xin thông tin
SNF không chấp nhận đây là case khiếu nại
30/07/2025: Hoàng Đức close case
--&gt; Hoàn tất</t>
  </si>
  <si>
    <t>Khi kiểm tra cảm quan thì phát hiện màng nhựa PVC chứa bơm tiêm vắc xin bị hở. Hộp vắc xin còn nguyên vẹn và đã khui seal để kiểm tra cảm quan</t>
  </si>
  <si>
    <t>HEXAXIM BOX OF 1 PRE-FILLED SYRINGE  + 2 NEEDLES</t>
  </si>
  <si>
    <t>X3C204V</t>
  </si>
  <si>
    <t>CC_850825-HCM</t>
  </si>
  <si>
    <t>CC_860825-HCM</t>
  </si>
  <si>
    <t>CC_870825-HCM</t>
  </si>
  <si>
    <t>CONG TY CP Y TE THANH THANH PHAT - DIA DIEM KINH DOANH THANH PHAT TAN CHAU</t>
  </si>
  <si>
    <t>CHI NHANH CONG TY TRACH NHIEM HUU HAN THUONG MAI – DICH VU MY MY – BENH VIEN QUOC TE MY</t>
  </si>
  <si>
    <t>Y1B67D1</t>
  </si>
  <si>
    <t xml:space="preserve">30/04/2027    </t>
  </si>
  <si>
    <t>Vào ngày 31/07/2025, khi điều dưỡng đang tiến hành pha thuốc để thực hiện cho người bệnh theo y lệnh của Bác sỹ thì nhận thấy trong lúc rút thuốc, miếng cao su ở nắp lọ vắc-xin bị dính vào đầu kim, gây cản trở dòng thuốc. Do áp lực nghẹt miếng cao su, dưới lực kéo, pit-tông của xy-lanh bị đẩy bật ra, làm thuốc bị tràn và đổ ra ngoài. Lọ vắc xin này có số lô là Y1A26 và hạn sử dụng là 01/2027.
Ngày hôm đó, điều dưỡng này cũng thực hiện thao tác pha thuốc và thực hiện trên 2 người bệnh khác, nhưng không xảy ra vấn đề gì.
Từ trước đến nay, Bệnh viện chúng tôi vẫn luôn sử dụng sản phẩm vắc xin Verorab 0.5mL và chưa từng xảy ra sự cố như vậy.
Do đây là sự cố vỡ ống dẫn vắc xin nên sau khi xảy ra thì xy lanh và lọ vắc xin đều được đem huỷ, không giữ lại. Chúng tôi chỉ còn giữ hình ảnh lọ vắc xin (hình đính kèm công văn).</t>
  </si>
  <si>
    <t>SO 6, DUONG BAC NAM 3, PHUONG BINH TRUNG, THANH PHO HO CHI MINH, VIET NAM</t>
  </si>
  <si>
    <t>TO 1, AP LONG THANH B, PHUONG LONG THANH, THI XA TAN CHAU, TINH AN GIANG</t>
  </si>
  <si>
    <t>1 hộp vaccine Typhim không có lọ thuốc bên trong</t>
  </si>
  <si>
    <t>Chấp nhận nhưng không có mẫu khiếu nại thu về</t>
  </si>
  <si>
    <t>Xuất mẫu ngay khi nhận</t>
  </si>
  <si>
    <t>Hủy khiếu nại</t>
  </si>
  <si>
    <t>Điều tra nguyên nhân tại kho và đơn vị vận chuyển: không phát hiện bất thường để xảy ra lỗi như khiếu nại
Đã nhắc mail khách nhiều lần nhưng chưa phản hồi, đợi đến 30/07/2025 nếu khách không phản hồi thì close case
Vẫn không liên hệ được khách để xin thông tin
--&gt; Hủy do khách không cung cấp được thông tin để điều tra</t>
  </si>
  <si>
    <t>Nhận được thông tin email từ hãng. Hàng khiếu nại thu về đúng điều kiện bảo quản
Hàng khiếu nại được thu hồi từ Hà Nội- hold tại kho Hà Nội
29/04/2025, hàng về kho chi nhánh HN
Ngày 19/05/2025, hãng gửi email yêu cầu cung cấp thêm thông tin
11/06/2025, hãng đồng ý chuyển hủy
--&gt; Hoàn tất</t>
  </si>
  <si>
    <t>CONG TY TNHH BENH VIEN DA KHOA PHUONG CHI / ĐC: THUA DAT SO 172.TO BAN DO DHC 20-6,DUONG DX76,KHU PHO 2, PHUONG DINH HOA, THANH PHO THU DAU MOT, TINH BINH DUONG</t>
  </si>
  <si>
    <t>ALFA – LIPOGAMMA 600 ORAL BOX/30'S</t>
  </si>
  <si>
    <t>CC_880825-HCM</t>
  </si>
  <si>
    <t xml:space="preserve">P:\7. LONG HAU\7. CAC THEO DOI TRONG QUA TRINH\5. COMPLAINT\NAM </t>
  </si>
  <si>
    <t xml:space="preserve">\\hd.domain\hoangducdfs\TAILIEUPHONG-HD\P.QA\7. LONG HAU\7. CAC THEO DOI TRONG QUA TRINH\5. COMPLAINT\NAM </t>
  </si>
  <si>
    <t>Link</t>
  </si>
  <si>
    <t xml:space="preserve">INSUNOVA -G PEN (HOP/1 BUT TIEM NAP SAN 3ML DUNG DICH THUOC )
</t>
  </si>
  <si>
    <t>CC_890825-HCM</t>
  </si>
  <si>
    <t>BF24003328</t>
  </si>
  <si>
    <t>Bút không đẩy ra được</t>
  </si>
  <si>
    <t>Bút bị cứng vặn không được</t>
  </si>
  <si>
    <t>BENH VIEN DA KHOA TINH BINH THUAN</t>
  </si>
  <si>
    <t>CONG TY CO PHAN DUOC PHAM AN KHANG PHARMA( DONG THAP )</t>
  </si>
  <si>
    <t xml:space="preserve"> THUA DAT SO 1403, TO BAN DO SO 7, THI TRAN MY THO, HUYEN CAO LANH, TINH DONG THAP</t>
  </si>
  <si>
    <t>405785</t>
  </si>
  <si>
    <t>Sản phẩm bị lỗi hỏng vỉ nhôm. Nhưng vỏ hộp còn nguyên vẹn, không móp.</t>
  </si>
  <si>
    <t>Mail, File</t>
  </si>
  <si>
    <t>Ngày 18/08/2025 báo email cho hãng
25/08/2025, báo email cho hãng thêm thông tin</t>
  </si>
  <si>
    <t>Ngày 15/08/2025, báo email cho hãng, và chấp nhận khiếu nại. Tuy nhiên khách không có nhu cầu đền bù
--&gt; Hoàn tất</t>
  </si>
  <si>
    <t>BENH VIEN DA KHOA TINH KIEN GIANG</t>
  </si>
  <si>
    <t> 13 NAM KY KHOI NGHIA, PHUONG AN HOA, THANH PHO RACH GIA, TINH KIEN GIANG</t>
  </si>
  <si>
    <t>Bút có 1 ống bị trồi cái đầu tròn tròn như bị lỗi bệnh nhân không tiêm được nên trả hàng</t>
  </si>
  <si>
    <t>03/2024</t>
  </si>
  <si>
    <t>CC_910825-HCM</t>
  </si>
  <si>
    <t>CONG TY CO PHAN Y TE CV HEALTH 24</t>
  </si>
  <si>
    <t>5DA24D1G</t>
  </si>
  <si>
    <t>CC_920825-HCM</t>
  </si>
  <si>
    <t>1212 LE DUC THO, PHUONG 13, QUAN GO VAP, THANH PHO HO CHI MINH</t>
  </si>
  <si>
    <t>25/08/2025, báo email cho hãng
26/08/2025: liên hệ khách xin thêm thông tin
29/08/2025: khách cancel xử lý nội bộ
--&gt; hoàn tất</t>
  </si>
  <si>
    <t>HO KINH DOANH NHA THUOC MINH ANH HOSPITAL</t>
  </si>
  <si>
    <t>42 DUONG SO 1B, PHUONG BINH TRI DONG B, QUAN BINH TAN, THANH PHO HO CHI MINH</t>
  </si>
  <si>
    <t>29/08/2025; báo email cho hãng</t>
  </si>
  <si>
    <t>1 hộp vaccine Vaxigrip (bị bung nắp lò xo)</t>
  </si>
  <si>
    <t>26/08/2025, báo hãng và đồng ý đền bù cho khách</t>
  </si>
  <si>
    <t>CC_900825-HCM-HUY</t>
  </si>
  <si>
    <t>CC_620625-HCM-HUY</t>
  </si>
  <si>
    <t>CONG TY CO PHAN BENH VIEN DA KHOA MY DUC</t>
  </si>
  <si>
    <t xml:space="preserve"> 04 NUI THANH, PHUONG 13, QUAN TAN BINH, TP HO CHI MINH</t>
  </si>
  <si>
    <t>FVH1013</t>
  </si>
  <si>
    <t>Khách hàng báo có 1 ống thuốc bị gãy đầu ống (trong hôp 30 ống</t>
  </si>
  <si>
    <t>CC_940925-HCM</t>
  </si>
  <si>
    <t>Nút vặn xoay liều bị cứng, không xoay được đến liều sử dụng 15 UI. Bệnh nhân đã dùng bút này nhiều lần. Bút bị sự cố là bút mới, chỉ mới lắp kim và chưa tiêm. Kim sử dụng là kim mới. Em có thử thay kim và cũng không vặn được đến liều 15 UI</t>
  </si>
  <si>
    <t>CC_950925-HCM</t>
  </si>
  <si>
    <t>KHOA DUOC BENH VIEN TRUNG VUONG</t>
  </si>
  <si>
    <t>CC_960925-HN</t>
  </si>
  <si>
    <t>ZOLADEX 3.6 MG DEPOT 1'S - UNITED KINGDOM</t>
  </si>
  <si>
    <t>BENH VIEN UNG BUOU HA NOI</t>
  </si>
  <si>
    <t>ST259</t>
  </si>
  <si>
    <t>Lỗi trong bơm không có thuốc</t>
  </si>
  <si>
    <t>CC_970925-HCM</t>
  </si>
  <si>
    <t>BENH VIEN UNG BUOU</t>
  </si>
  <si>
    <t>ST849</t>
  </si>
  <si>
    <t>CC_980925-HCM</t>
  </si>
  <si>
    <t>Dầu gội chống gàu selsun 1% rohto</t>
  </si>
  <si>
    <t>DB11A</t>
  </si>
  <si>
    <t>09/09/2025:Báo mail cho hãng
Hãng đồng ý đền bù
Tuy nhiên khách không cung cấp đủ thông tin nên hủy khiếu nại</t>
  </si>
  <si>
    <t>CC_930925-HCM-HUY</t>
  </si>
  <si>
    <t>GAS0846</t>
  </si>
  <si>
    <t>Chấp nhận đổi hàng cho khách
--&gt; Hoàn tất</t>
  </si>
  <si>
    <t>Hãng đồng ý đền bù và xuất mẫu để hãng điều tra
--&gt; Hoàn tất</t>
  </si>
  <si>
    <t>Bị mờ lô date</t>
  </si>
  <si>
    <t>266 LÝ THƯỜNG KIỆT, PHƯỜNG DIÊN HỒNG, THÀNH PHỐ HỒ CHÍ MINH</t>
  </si>
  <si>
    <t>42A THANH NHÀN, PHƯỜNG BẠCH MAI, THÀNH PHỐ HÀ NỘI</t>
  </si>
  <si>
    <t>QUAY THUOC THIEN NGOC</t>
  </si>
  <si>
    <t>TO 11, AP 4, XA LAM SAN, HUYEN CAM MY, TINH DONG NAI</t>
  </si>
  <si>
    <t>CC_990925-HCM</t>
  </si>
  <si>
    <t xml:space="preserve">OSTEOCARE (H/30 VIEN) </t>
  </si>
  <si>
    <t>CC_1000925-HN</t>
  </si>
  <si>
    <t>4P77A</t>
  </si>
  <si>
    <t>QUAY 441 HAPU</t>
  </si>
  <si>
    <t>QUAY 441 HAPU – SO 1 NGUYEN HUY TUONG – THANH XUAN – HA NOI</t>
  </si>
  <si>
    <t xml:space="preserve"> vỉ thuốc chỉ có 4 viên ( quy cách 1 vỉ có 5 viên)</t>
  </si>
  <si>
    <t>NHA THUOC BENH VIEN NHAN DAN 115</t>
  </si>
  <si>
    <t>khui hộp thuốc thì phát hiện bị lỗi nắp như hình đính kèm</t>
  </si>
  <si>
    <t xml:space="preserve">22/08/2025, báo email cho hãng
25/08/2025 hãng email sẽ liên hệ khách
24/09/2025 nhận được thông tin chấp nhận đền bù </t>
  </si>
  <si>
    <t>527 SƯ VẠN HẠNH, PHƯỜNG HÒA HƯNG, THÀNH PHỐ HỒ CHÍ MINH, VIỆT NAM</t>
  </si>
  <si>
    <t>23/09/2025, khách hủy case, xử lý nội bộ</t>
  </si>
  <si>
    <t>CC_1010925-HCM-HUY</t>
  </si>
  <si>
    <t>CC_1020925-HN</t>
  </si>
  <si>
    <t>CONG TY TNHH DUOC PHAM DA PHUC</t>
  </si>
  <si>
    <t>THON 5, XA PHU CAT, HUYEN QUOC OAI, THANH PHO HA NOI</t>
  </si>
  <si>
    <t>OSPAMOX 500MG</t>
  </si>
  <si>
    <t>040D003</t>
  </si>
  <si>
    <t>2 viên thuốc bị mốc trong 2 vỉ</t>
  </si>
  <si>
    <t>Khui hộp nguyên ra thì nắp hộp đang trong tình trạng như hình đính kèm</t>
  </si>
  <si>
    <t>Bị lỗi ko có pittong</t>
  </si>
  <si>
    <t>11/09/2025 đã thông tin số lô và số lượng cho hãng
hãng đồng ý đền bù cho khách
--&gt; Hoàn tất</t>
  </si>
  <si>
    <t>CC_1030925-HCM</t>
  </si>
  <si>
    <t>Khi kiểm tra cảm quan thì phát hiện kim tiêm bị rỉ sét</t>
  </si>
  <si>
    <t>25/09/2025 báo email cho hãng</t>
  </si>
  <si>
    <t>CC_1040925-HN</t>
  </si>
  <si>
    <t>QUAY 320</t>
  </si>
  <si>
    <t>QUAY 320, TANG 3, TOA NHA 24T1, SO 1 NGUYEN HUY TUONG</t>
  </si>
  <si>
    <t>FE3299C</t>
  </si>
  <si>
    <t>Vòi chai bị kẹt, không ấn xuống được (Hình ảnh và video đính kèm).</t>
  </si>
  <si>
    <t>OT2312P</t>
  </si>
  <si>
    <t>Viên bị nứt. Khách báo do trước đó đã bán hết cho khách rồi nên bây giờ chỉ còn lại 1 hộp. Khi khách mở 1 hộp này ra thì thấy tầm 5 6 viên bị nứt như hình. Và khách có thông tin thêm sản phẩm này trước đây khách uống thì thấy bình thường nhưng bây giờ uống vào lại thấy bột bột không giống như trước.</t>
  </si>
  <si>
    <t>Đang yêu cầu cung cấp thêm thông tin để điều tra
Hãng đồng ý đền bù, hàng khiếu nại xuất sang văn phòng hãng
--&gt; Hoàn tất</t>
  </si>
  <si>
    <t>CC_1050925-HCM</t>
  </si>
  <si>
    <t>COFIDEC TAB 20.S</t>
  </si>
  <si>
    <t>BENH VIEN Y HOC CO TRUYEN</t>
  </si>
  <si>
    <t>179-187 NAM KY KHOI NGHIA, PHUONG VO THI SAU, QUAN 3, TP. HO CHI MINH</t>
  </si>
  <si>
    <t>PD7990</t>
  </si>
  <si>
    <t>lỗi vỉ, bọc nhôm thuốc bị hở như hình đính kèm</t>
  </si>
  <si>
    <t>26/09/2025, báo mail cho hãng
-&gt; Hãng đổi hàng cho khách và cho vào công nợ T9, hàng lỗi xuất vp hãng
--&gt; Hoàn tất</t>
  </si>
  <si>
    <t>23/09/2025, mail báo hãng
-&gt; Hãng chấp nhận khiếu nại và đền bù cho khách
-&gt; Hoàn tất</t>
  </si>
  <si>
    <t>12/09/2025 mail báo hãng
-&gt; Hãng yêu cầu thu hàng lỗi về nhà máy để điều tra và chấp nhận khiếu nại
-&gt; Hoàn tất</t>
  </si>
  <si>
    <t>CC_1061025-ĐN</t>
  </si>
  <si>
    <t>BENH VIEN DA KHOA TRUNG TAM TINH GIA LAI</t>
  </si>
  <si>
    <t>SO 106 NGUYEN HUE, PHUONG TRAN PHU, THANH PHO QUY NHON, TINH BINH DINH, VIET NAM</t>
  </si>
  <si>
    <t>4F176A</t>
  </si>
  <si>
    <t>Khách hàng báo lỗi 1 bút không vặn lên được</t>
  </si>
  <si>
    <t>4F05HP</t>
  </si>
  <si>
    <t>3 chai bị đổ ướt ra ngoài</t>
  </si>
  <si>
    <t>CC_1081025-HN</t>
  </si>
  <si>
    <t>CC_1091025-HCM</t>
  </si>
  <si>
    <t>ALVORI 200MG (HOP/3 VI X 10 VIEN)</t>
  </si>
  <si>
    <t>1405498</t>
  </si>
  <si>
    <t xml:space="preserve"> Bệnh Viện việt pháp khi boc lẻ hộp thuốc cấp phát bệnh nhân nội thấy 1 vỉ (8/10 viên ) Alvori vỡ viên như hình bên . Hiên tại 2 viên lành không bị vỡ vỏ viên đã được bênh viện sử dụng cho bênh nhân</t>
  </si>
  <si>
    <t xml:space="preserve">CONG TY TNHH BENH VIEN VIET PHAP HA NOI </t>
  </si>
  <si>
    <t>SO 1 PHO PHUONG MAI, PHUONG KIM LIEN, THANH PHO HA NOI</t>
  </si>
  <si>
    <t>1 hộp vaccine Typhim bị tụt Pít tông</t>
  </si>
  <si>
    <t>02/10/2025, Báo email cho hãng</t>
  </si>
  <si>
    <t>yes</t>
  </si>
  <si>
    <t>8/54/131 TRAN PHU, PHUONG PHUOC VINH, QUAN THUAN HOA, THANH PHO HUE</t>
  </si>
  <si>
    <t>HO KINH DOANH LE THI THUY NGA</t>
  </si>
  <si>
    <t>T3 ACNE BODY WASH 200ML</t>
  </si>
  <si>
    <t>FORTRAGET INHALER 200MCG+6MCG</t>
  </si>
  <si>
    <t>117M03</t>
  </si>
  <si>
    <t>Bình dạng xịt không ra thuốc</t>
  </si>
  <si>
    <t>BENH VIEN DA KHOA XANH PON</t>
  </si>
  <si>
    <t>12 CHU VAN AN, PHƯỜNG BA ĐÌNH, THÀNH PHỐ HÀ NỘI</t>
  </si>
  <si>
    <t>PANFOR SR-750 750MG</t>
  </si>
  <si>
    <t>A08902508</t>
  </si>
  <si>
    <t>CC_1111025-HN</t>
  </si>
  <si>
    <t>No</t>
  </si>
  <si>
    <t>Mail</t>
  </si>
  <si>
    <t>02/10/2025: báo email cho bp Kinh doanh:  khách đã nhận và đồng kiểm hàng với nhân viên giao hàng. Do đó, nếu công ty xác nhận giải quyết đổi cho khách thì kho ĐN mới thực hiện thủ tục đổi hàng.</t>
  </si>
  <si>
    <t>CC_1101025-HCM-HUY</t>
  </si>
  <si>
    <t>30/09/2025 Báo email cho hãng
06/10/2025 Nhận được email từ hãng, đồng ý đền bù cho khách và sẽ tiến hành điều tra trong vòng 60 ngày</t>
  </si>
  <si>
    <t>CC_1071025-ĐN-HUY</t>
  </si>
  <si>
    <t>CC_1121025-HCM</t>
  </si>
  <si>
    <t>CONG TY TNHH Y KHOA SAI GON KIEN TUONG</t>
  </si>
  <si>
    <t>252 QUOC LO 62, KHU PHO 3, PHUONG 1, THI XA KIEN TUONG, TINH LONG AN, VIET NAM</t>
  </si>
  <si>
    <t>ALENTA 10MG TAB 10'S</t>
  </si>
  <si>
    <t>113T23</t>
  </si>
  <si>
    <t> Khách hàng khui hàng bán tại chỗ sau khi nhận thì phát hiện 10 hộp chỉ có 9 vỉ, 1 hộp không có vỉ thuốc bên trong (hình ảnh đính kèm)</t>
  </si>
  <si>
    <t>02/10/2025, xin thêm thông tin chứng minh lỗi từ HĐ hoặc NSX
07/10/2025, khách báo không có thông tin nào thêm, và báo email cho hãng</t>
  </si>
  <si>
    <t>CC_1131025-HCM</t>
  </si>
  <si>
    <t>NHA THUOC MINH QUI</t>
  </si>
  <si>
    <t>040D008</t>
  </si>
  <si>
    <t>Nhà thuốc phát hiện có 1 viên/ vỉ bị bột trắng khi lấy ra bán cho khách như hình đính kèm</t>
  </si>
  <si>
    <t>09/2023</t>
  </si>
  <si>
    <t>Báo email cho hãng 
Nhận được hướng xử lý chấp nhận đền bù, hàng khiếu nại thu về chuyển vào khu vực chờ hủy
--&gt; Hoàn tất</t>
  </si>
  <si>
    <t>CC_1141025-HCM</t>
  </si>
  <si>
    <t>07/10/2025 báo email cho hãng
hãng đồng ý đền bù cho khách</t>
  </si>
  <si>
    <t>TL 854, ẤP TÂN LẬP, XÃ TÂN NHUẬN ĐÔNG, ĐỒNG THÁP</t>
  </si>
  <si>
    <t>C56395</t>
  </si>
  <si>
    <t>CC_1151025-HCM</t>
  </si>
  <si>
    <t>CC_1161025-HCM-HUY</t>
  </si>
  <si>
    <t>Y1B68D1</t>
  </si>
  <si>
    <t>Khi thực hiện thao tác đuổi khí thì phát hiện pittong bị cứng không đẩy được</t>
  </si>
  <si>
    <t>09/10/2025, báo email cho hãng và tiến hành đền bù</t>
  </si>
  <si>
    <t>CALCIUM CORBIERE EXTRA</t>
  </si>
  <si>
    <t>PHONG KHAM DA KHOA - CONG TY CO PHAN DINH DUONG NUTRIHOME - CHI NHANH THANH PHO HO CHI MINH</t>
  </si>
  <si>
    <t>198 HOANG VAN THU, PHUONG 9, QUAN PHU NHUAN, THANH PHO HO CHI MINH</t>
  </si>
  <si>
    <t>FVH1673</t>
  </si>
  <si>
    <t>ỐNG</t>
  </si>
  <si>
    <t>Bị gãy đầu trong hộp nguyên</t>
  </si>
  <si>
    <t>Khách hủy khiếu nại</t>
  </si>
  <si>
    <t xml:space="preserve">Số khiếu nại: COMP-VN-2025-135 (1 gói lỗi)
Hãng chấp nhận đền bù
09/09/2025, nhận được trả lời của hãng về khiếu nại
--&gt; Hoàn tất
18/09/2025: hãng đồng ý đền bù 06 hộp
07/10/2025: hàng về kho có 2 lô bị lỗi 
- C56397: 02 hộp (01 hộp 4 gói + 1 hộp 1 gói) trong đó có 04 gói bị lỗi.
- C56395:  04 hộp (16 gói) trong đó có 09 gói bị lỗi
Do đó, hãng điều chỉnh như sau: COMP-VN-2025-152: 12 gói lỗi (9 gói lô C56395 + 3 gói lô C56397)
</t>
  </si>
  <si>
    <t>Bị lủng trong hộp còn seal. Trong đó có 09/16 gói bị lỗi</t>
  </si>
  <si>
    <t xml:space="preserve">Bị lủng trong hộp còn seal. </t>
  </si>
  <si>
    <t>CC_1171025-HN</t>
  </si>
  <si>
    <t>CC_1181025-HCM</t>
  </si>
  <si>
    <t>CC_1191025-HCM</t>
  </si>
  <si>
    <t>Bệnh viện báo có 1 bơm đẩy hết pittong mà thuốc không ra được</t>
  </si>
  <si>
    <t>CC_1201025-HCM</t>
  </si>
  <si>
    <t>BENH VIEN DA KHOA TRUNG UONG CAN THO</t>
  </si>
  <si>
    <t>SO 315 DUONG NGUYEN VAN LINH, P. AN KHANH, Q. NINH KIEU, TP. CAN THO</t>
  </si>
  <si>
    <t xml:space="preserve"> TOUJEO SOLOSTAR 450IU B/5 PENS X 1.5ML</t>
  </si>
  <si>
    <t>4F257A</t>
  </si>
  <si>
    <t>Bệnh viện báo khi mới khui bút mới thì thấy bên trong chỉ còn phân nửa thuốc</t>
  </si>
  <si>
    <t>CC_1211025-HCM</t>
  </si>
  <si>
    <t>SILYGAMMA</t>
  </si>
  <si>
    <t>CC_1221025-HN</t>
  </si>
  <si>
    <t>BỆNH VIỆN TÂM ANH</t>
  </si>
  <si>
    <t>441094</t>
  </si>
  <si>
    <t>Bị lỗi bao bì màu đỏ</t>
  </si>
  <si>
    <t>DAU GOI NGAN RUNG TOC (50 MEGUMI HAIR FALL CONTROL SHAMPOO) 250ML</t>
  </si>
  <si>
    <t>HB01A</t>
  </si>
  <si>
    <t xml:space="preserve">Bị lỗi nắp </t>
  </si>
  <si>
    <t>QUAY THUOC SO 18</t>
  </si>
  <si>
    <t>10/10 vỉ có viên bị vỡ (cậ nhật 15/10 tổng 250 viên)</t>
  </si>
  <si>
    <t>CC_1231025-HN</t>
  </si>
  <si>
    <t>Trình dược đã trao đổi với khách và close khiếu nại</t>
  </si>
  <si>
    <t>10/2024</t>
  </si>
  <si>
    <t>09/2027</t>
  </si>
  <si>
    <t>STERIMAR BLOCKED NOSE BABY 50 ML</t>
  </si>
  <si>
    <t>HỘ KINH DOANH NHÀ THUỐC GIA HUY NCT - PHẠM THỊ PHƯỢNG</t>
  </si>
  <si>
    <t>FE4051</t>
  </si>
  <si>
    <t>Bị lỗi vòi xịt</t>
  </si>
  <si>
    <t>CC_1241025-ĐN</t>
  </si>
  <si>
    <t>BỆNH VIỆN UNG BƯỚU ĐÀ NẴNG</t>
  </si>
  <si>
    <t>ABIRATRED 250MG 120'S</t>
  </si>
  <si>
    <t>H2500727</t>
  </si>
  <si>
    <t xml:space="preserve"> trong lọ có 1 viên không nguyên vẹn chỉ có 1 nửa</t>
  </si>
  <si>
    <t>Đường Hoàng Thị Loan, phường Hoà Khánh, TP Đà Nẵng</t>
  </si>
  <si>
    <t>NO</t>
  </si>
  <si>
    <t>17/10/2025, hãng đồng ý đền bù cho khách
27/10/2025. khách thu hồi khiếu nại, tự xử lý nội bộ</t>
  </si>
  <si>
    <t>23/10/2025, báo mail cho hãng
27/10/2025, hãng đồng ý khiếu nại, hàng lỗi chuyển về VP Rohto</t>
  </si>
  <si>
    <t>25/09/2025, báo mail hãng
29/09/2025, hãng chấp nhận đền bù, hàng lỗi thu về trả hãng
23/10/2025, CS báo đi thu hồi hàng, ko còn 2 vỉ lỗi, không thu hồi hàng nữa
--&gt; Đóng khiếu nại</t>
  </si>
  <si>
    <t>CC_1251025-HCM</t>
  </si>
  <si>
    <t>SO 02, DUONG LE QUOC HUNG, PHUONG 13, QUAN 4, THANH PHO HO CHI MINH</t>
  </si>
  <si>
    <t xml:space="preserve">TRUNG TAM Y TE KHU VUC XOM CHIEU </t>
  </si>
  <si>
    <t>E250808</t>
  </si>
  <si>
    <t>sản phẩm nguyên seal nhưng không có thuốc bên trong hộp</t>
  </si>
  <si>
    <t>CC_1261025-HN</t>
  </si>
  <si>
    <t>CÔNG TY TNHH BỆNH VIỆN ĐKTN AN SINH - PHÚC TRƯỜNG MINH</t>
  </si>
  <si>
    <t>8 CHAU VAN LIEM, PHUONG PHU DO, QUAN NAM TU LIEM, THANH PHO HA NOI, VIET NAM</t>
  </si>
  <si>
    <t>4ND3A</t>
  </si>
  <si>
    <t>05/2024</t>
  </si>
  <si>
    <t>04/2027</t>
  </si>
  <si>
    <t>bị lỗi quy cách đóng gói (quy cách hộp 5 viên nhưng viện mở hộp ra bị thiếu 2 viên, viện đã sử dụng cấp phát 1 viên, còn 2 viên chưa sử dụng</t>
  </si>
  <si>
    <t>CC_1271125-HN</t>
  </si>
  <si>
    <t>CC_1281125-HCM</t>
  </si>
  <si>
    <t>HO KINH DOANH NGUYEN THI DIEP</t>
  </si>
  <si>
    <t>ĐC: SN 211, DUONG DINH TIEN HOANG, PHO 9, PHUONG DONG THANH, THANH PHO NINH BINH, TINH NINH BINH</t>
  </si>
  <si>
    <t>FE4097</t>
  </si>
  <si>
    <t>Lỗi vòi xịt</t>
  </si>
  <si>
    <t>ĐC: SO 55, NGO 54 NGUYEN CHI THANH ( PHONG 1, TANG 1 : MUON MB) P. LANG THUONG, Q. DONG DA, TP HA NOI</t>
  </si>
  <si>
    <t>THON THUONG BI, XA YET KIEU, HUYEN GIA LOC, TINH HAI DUONG</t>
  </si>
  <si>
    <t>CONG TY TNHH Y TE DAI PHUOC</t>
  </si>
  <si>
    <t>829 - 829A - 831 - 833 DUONG 3/2, PHUONG 7, QUAN 11, THANH PHO HO CHI MINH, VIET NAM</t>
  </si>
  <si>
    <t>ACEMUC KIDS 200MG 1G_SC30_VN</t>
  </si>
  <si>
    <t>FVH0032</t>
  </si>
  <si>
    <t>Khách hàng báo có 4 hộp có gói thuốc bên trong hàn không kín (đã cung cấp hình ảnh cho TDV)</t>
  </si>
  <si>
    <t>Không xuất phát từ bảo quản, phân phối đến khách</t>
  </si>
  <si>
    <t xml:space="preserve">14/10/2025 Báo email cho hãng
</t>
  </si>
  <si>
    <t>CC_1291125-HCM</t>
  </si>
  <si>
    <t>CONG TY CP DUOC PHAM MEDX</t>
  </si>
  <si>
    <t xml:space="preserve"> SILYGAMMA 150MG 100'S</t>
  </si>
  <si>
    <t>464835</t>
  </si>
  <si>
    <t>thuốc bị nứt viên theo hình đính kèm mail</t>
  </si>
  <si>
    <t>Không phải lỗi, chỉ là vết giữa viên và PVC</t>
  </si>
  <si>
    <t>EASYEF 0.005% DAEWOONG 10ML</t>
  </si>
  <si>
    <t>Bình xịt Easyef vẫn còn dung dịch thuốc bên trong nhưng không xịt được</t>
  </si>
  <si>
    <t>14/10/2025, báo email cho hãng
đang chờ confirm của SC -AZ</t>
  </si>
  <si>
    <t>CC_1301125-HCM</t>
  </si>
  <si>
    <t>CC_1311125-HCM</t>
  </si>
  <si>
    <t>STAMLO-T (HOP/ 28 VIEN)</t>
  </si>
  <si>
    <t>02/10/2025 báo mail cho hãng
-&gt; Hãng xác nhận đổi 1h nguyên cho khách, hộp có vỉ bị vỡ thu về trả hãng (2 vỉ nguyên + 3 viên vỡ)
-&gt; Hoàn tất</t>
  </si>
  <si>
    <t>06/10/2025, báo email cho hãng
24/10/2025, hãng xác nhận đổi 03 hộp cho khách, thu về 150 viên trả hãng</t>
  </si>
  <si>
    <t>10/10 báo mail cho hãng
04/11/2025, hãng đồng ý đổi hàng, trừ vào công nợ tháng</t>
  </si>
  <si>
    <t>23/10/2025, báo mail cho hãng
04/11/2025, hãng đồng ý đổi hàng, trừ vào công nợ tháng</t>
  </si>
  <si>
    <t>29/10/2025, báo mail cho hãng
-&gt; hãng chấp nhận khiếu nại, làm biên bản giảm trừ tiền 2 viên thiếu
11/11/2025: viện không đồng ý làm điều chỉnh hóa đơn và thống nhất đóng khiếu nại không xử lý thêm</t>
  </si>
  <si>
    <t>03/10/2025, báo mail cho hãng
-&gt; 04/11/2025 hãng đồng ý đổi hàng, trừ công nợ tháng</t>
  </si>
  <si>
    <t>CC_1321125-HCM</t>
  </si>
  <si>
    <t>V2500577</t>
  </si>
  <si>
    <t>Nhà thuốc ghi nhận trong quá trình cấp phát thuốc cho KH có 1 hộp STAMLO- T (40mg + 5mg) bị lỗi rách vỉ (hình ảnh đính kèm)</t>
  </si>
  <si>
    <t>Đã báo hãng, đang chờ CS xin thêm thông tin
14/11/2025, nhận thêm thông tin từu CS</t>
  </si>
  <si>
    <t>AA520</t>
  </si>
  <si>
    <t>1 hộp bị lỗi 1 viên</t>
  </si>
  <si>
    <t xml:space="preserve">CONG TY TNHH COLUMBIA ASIA BINH DUONG </t>
  </si>
  <si>
    <t>KHU PHO HOA LAN, PHUONG THUAN GIAO, THANH PHO THUAN AN, TINH BINH DUONG</t>
  </si>
  <si>
    <t>có</t>
  </si>
  <si>
    <t>Sale hãng làm việc với khách
Đồng ý đền bù cho khách (17/11/2025)</t>
  </si>
  <si>
    <t>CC_1331125-HCM</t>
  </si>
  <si>
    <t>PHONG KHAM TU VAN VA DIEU TRI DU PHONG BS TRAN DUY THUAN</t>
  </si>
  <si>
    <t>Y1B69D2</t>
  </si>
  <si>
    <t>67 NGUYEN THAI HOC, PHUONG 3, TP TUY HOA, TINH PHU YEN</t>
  </si>
  <si>
    <t>1 lọ vaccine verorab có kết tủa màu vàng</t>
  </si>
  <si>
    <t>CC_1341125-HCM</t>
  </si>
  <si>
    <t>31 THUAN KIEU, PHUONG 12, QUAN 5, THANH PHO HO CHI MINH</t>
  </si>
  <si>
    <t>DIA DIEM KINH DOANH SO 02 - CONG TY TNHH GOOD PHARMA NGOC TUYET </t>
  </si>
  <si>
    <t>B07946</t>
  </si>
  <si>
    <t>Khách hàng sử dụng bình xịt Easyef vẫn còn dung dịch thuốc bên trong nhưng không xịt được</t>
  </si>
  <si>
    <t>CONG TY CO PHAN DUOC PHAM CHO THUOC TOT</t>
  </si>
  <si>
    <t>CC_1351125-HCM</t>
  </si>
  <si>
    <t>040D015</t>
  </si>
  <si>
    <t xml:space="preserve"> 10 DUONG TAN THOI NHAT 08, KHU PHO 5, PHUONG TAN THOI NHAT, QUAN 12, THANH PHO HO CHI MINH</t>
  </si>
  <si>
    <t>1 vỉ ospamox bị lỗi như hình ảnh đính kèm</t>
  </si>
  <si>
    <t>CC_1361125-HCM</t>
  </si>
  <si>
    <t>TRUNG TAM KIEM SOAT BENH TAT TIEN GIANG</t>
  </si>
  <si>
    <t>E250782</t>
  </si>
  <si>
    <t xml:space="preserve"> SO 316, QUOC LO 1A,TO 22, AP LONG HUNG, XA PHUOC THANH, THANH PHO MY THO, TINH TIEN GIANG</t>
  </si>
  <si>
    <t>Không có hộp thuốc bên trong</t>
  </si>
  <si>
    <t>CC_1371125-HCM</t>
  </si>
  <si>
    <t>CC_1381125-HCM</t>
  </si>
  <si>
    <t xml:space="preserve"> (HOP 60 GOI) DAU GOI CHONG GAU (SELSUN ANTI-DANDRUFF SHAMPOO WITH SELENIUM SULFIDE ) GOI 5ML</t>
  </si>
  <si>
    <t>IB03C</t>
  </si>
  <si>
    <t>Mờ lô date</t>
  </si>
  <si>
    <t>X3C471V</t>
  </si>
  <si>
    <t xml:space="preserve">X3C204V
</t>
  </si>
  <si>
    <t xml:space="preserve">31/01/2027
</t>
  </si>
  <si>
    <t>Thông tin vỏ hộp hàng lỗi bị mốc, có nhiều chấm đen</t>
  </si>
  <si>
    <t>08/10/2025, báo email cho hãng
Ngày 07/10/2025, hàng lỗi khiếu nại số CC_690725-HCM về kho, phát hiện có 2 lô
- C56397: 02 hộp (01 hộp 4 gói + 1 hộp 1 gói) trong đó có 04 gói bị lỗi.
- C56395:  04 hộp (16 gói) trong đó có 09 gói bị lỗi
Do đó, hãng điều chỉnh như sau: COMP-VN-2025-152: 12 gói lỗi (9 gói lô C56395 + 3 gói lô C56397)
Nhận được thông tin chuyển hủy ngày 02/12/2025
--&gt; Hoàn tất</t>
  </si>
  <si>
    <t>BENH VIEN DA KHOA TP CAN THO</t>
  </si>
  <si>
    <t>Bút không có thuốc bên trong</t>
  </si>
  <si>
    <t>Báo hãng và xin hướng xử lý
Hãng chấp nhận khiếu nại, tiến hành đền bù cho khách 
--&gt; Hoàn tất</t>
  </si>
  <si>
    <t>SỐ 04 ĐƯỜNG CHÂU VĂN LIÊM,PHƯỜNG NINH KIỀU,TP CẦN THƠ</t>
  </si>
  <si>
    <t>07/10/2025: hãng đồng ý khiếu nại
23/10/2025: CS liên hệ nhưng khách vẫn chưa đồng ý thực hiện thủ tục đền bù
10/11/2025: close case, không thu hồi được mẫu khiếu nại. Lý do: không hoàn tất được chứng từ; Hoàng Đức đã cố gắng liên hệ nhưng khách không phản hồi</t>
  </si>
  <si>
    <t>24/10/2025: hãng yc thu hồi lọ khiếu nại và đổi hàng cho khách
28/10/2025: gửi BC khiếu nại cho hãng
04/11/2025: gửi trả lời các câu hỏi cho hãng
06/11/2025: hàng rời kho ĐN về kho LH
26/11/2025: XNK báo không thể xuất mẫu về ẤN ĐỘ
03/12/2025: Hãng xác nhận chuyển huỷ mẫu</t>
  </si>
  <si>
    <t>CC_1401225-HCM</t>
  </si>
  <si>
    <t>NHA THUOC TU NHAN 48 PHAN CHU TRINH</t>
  </si>
  <si>
    <t>SOLIQUA 300IU/+ INJ SOLO3 PEA M24 XC</t>
  </si>
  <si>
    <t xml:space="preserve">48 PHAN CHU TRINH, PHUONG THANH CONG, THANH PHO BUON MA THUOT, TINH DAK LAK </t>
  </si>
  <si>
    <t>4F304A</t>
  </si>
  <si>
    <t>Khách hàng báo có 1 bút tiêm SOLIQUA SOLO INJ 300IU B/3 pensx3ML M24 từ KH lẻ phản ánh bút mua về bị kẹt không tiêm ra thuốc</t>
  </si>
  <si>
    <t>CC_1391225-HCM-HUY</t>
  </si>
  <si>
    <t>Bên hãng đã làm việc với khách
Hãng đồng ý đền bù và xuất mẫu để hãng điều tra
--&gt; Hoàn tất</t>
  </si>
  <si>
    <t>CC_1411225-HCM</t>
  </si>
  <si>
    <t>10 DUONG TAN THOI NHAT 08, KHU PHO 5, PHUONG TAN THOI NHAT, QUAN 12, THANH PHO HO CHI MINH</t>
  </si>
  <si>
    <t>040D019</t>
  </si>
  <si>
    <t xml:space="preserve"> 01/07/2029</t>
  </si>
  <si>
    <t xml:space="preserve">Bị bong </t>
  </si>
  <si>
    <t xml:space="preserve">Báo hãng và xin hướng xử lý
</t>
  </si>
  <si>
    <t>CC_1421225-HN</t>
  </si>
  <si>
    <t>QUAY 335 TOA NHA HAPU</t>
  </si>
  <si>
    <t>1 NGUYEN HUY TUONG - THANH XUAN - HN</t>
  </si>
  <si>
    <t>1 vỉ thuốc không rách nhưng có 1 viên bị bung thuốc ra</t>
  </si>
  <si>
    <t>CC_1431225-HCM</t>
  </si>
  <si>
    <t>SAN PHAM XUA MUOI REMOS SA CHANH 150ML</t>
  </si>
  <si>
    <t>IB05</t>
  </si>
  <si>
    <t>Medx kiểm tra phát hiện có 1 chai bị chảy nước như hình đính kèm mail</t>
  </si>
  <si>
    <t>CC_1441225-HCM</t>
  </si>
  <si>
    <t>BENH VIEN DA KHOA BUU DIEN - CO SO 1</t>
  </si>
  <si>
    <t>LO B9 THANH THAI, P15, QUAN 10, TPHCM</t>
  </si>
  <si>
    <t>OZZY-40 (HOP/30 VIEN) - EU</t>
  </si>
  <si>
    <t>252449</t>
  </si>
  <si>
    <t>Trong quá trình cấp phát thuốc, bệnh viện phát hiện 1 hộp thuốc Ozzy - 40 (Quy cách trên bao bì: Hộp 30 viên), tuy nhiên thực tế đóng gói hộp chỉ có 2 vỉ x 10 viên (Hình đính kèm)</t>
  </si>
  <si>
    <t>CC_1451225-HCM</t>
  </si>
  <si>
    <t>TANAKAN 40MG 30TABS VN</t>
  </si>
  <si>
    <t>D51988</t>
  </si>
  <si>
    <t>báo lỗi vỉ bên trong bị cắt dập, hộp ngoài vẫn nguyên vẹn</t>
  </si>
  <si>
    <t>CONG TY CO PHAN Y KHOA HANO</t>
  </si>
  <si>
    <t>CC_1461225-HN</t>
  </si>
  <si>
    <t>1 bơm lỗi không bơm được do không bật được đầu kim lên để tiêm</t>
  </si>
  <si>
    <t>BENH VIEN DA KHOA QUOC TE S.I.S CAN THO - CHI NHANH CONG TY CO PHAN DAU TU Y TE VIET CUONG</t>
  </si>
  <si>
    <t>397, NGUYEN VAN CU, PHUONG AN BINH, QUAN NINH KIEU, THANH PHO CAN THO, VIET NAM</t>
  </si>
  <si>
    <t>GAS1287</t>
  </si>
  <si>
    <t>Khi khui hộp thuốc thì phát hiện bị lỗi nắp như hình đính kèm</t>
  </si>
  <si>
    <t>CC_1481225-HCM</t>
  </si>
  <si>
    <t>CC_1491225-HCM</t>
  </si>
  <si>
    <t>CC_1501225-HCM</t>
  </si>
  <si>
    <t>Báo email cho hãng 
Chấp nhận đền bù cho khách</t>
  </si>
  <si>
    <t>HEXAXIM</t>
  </si>
  <si>
    <t>TYPHIM</t>
  </si>
  <si>
    <t>Vẫn chưa nhận được câu trả lời của hãng
Đã nhận được hướng xử lý</t>
  </si>
  <si>
    <t>CC_1511225-HCM</t>
  </si>
  <si>
    <t>PERGLIM M-2 (HOP/5 VI X 20 VIEN)</t>
  </si>
  <si>
    <t xml:space="preserve"> F99 VO THI SAU, F.THONG NHAT, TP.BIEN HOA, TINH DONG NAI</t>
  </si>
  <si>
    <t xml:space="preserve"> CONG TY CO PHAN BENH VIEN THUAN MY ITO DONG NAI</t>
  </si>
  <si>
    <t>A08922506</t>
  </si>
  <si>
    <t>Báo email cho hãng 
BV báo do cuối năm xử lý nhiều việc, vì phần xử lý chứng từ mất nhiều thời gian nên viện sẽ tự xử lý nội bộ hộp lỗi này
--&gt; Hoàn tất</t>
  </si>
  <si>
    <t>CC_1471225-HCM-HUY</t>
  </si>
  <si>
    <t>BVDK DONG NAI</t>
  </si>
  <si>
    <t>SO 02, DUONG DONG KHOI, PHUONG BINH DA, THANH PHO BIEN HOA, TINH DONG NAI</t>
  </si>
  <si>
    <t>V2501712</t>
  </si>
  <si>
    <t>Bệnh viện báo có 1 vỉ thuốc bị bong viên thuốc bên trong</t>
  </si>
  <si>
    <t>CHI NHÁNH CÔNG TY CỔ PHẦN BỆNH VIỆN ĐA KHOA QUỐC TẾ VINMEC - BỆNH VIỆN ĐA KHOA QUỐC TẾ VINMEC TIMES CITY</t>
  </si>
  <si>
    <t>01/2024</t>
  </si>
  <si>
    <t>SO 458 MINH KHAI, PHUONG VINH TUY, QUAN HAI BA TRUNG, THANH PHO HA NOI</t>
  </si>
  <si>
    <t>CC_1521225-HN</t>
  </si>
  <si>
    <t>24/12/2025, báo email cho hãng
-&gt; hãng đồng ý đổi hàng cho khách, trừ vào công nợ T12/2025</t>
  </si>
  <si>
    <t>CC_1531225-HCM</t>
  </si>
  <si>
    <t>FE3274B</t>
  </si>
  <si>
    <t>Medx báo chai xịt bị lỗi vòi xịt như video đính kèm</t>
  </si>
  <si>
    <t>PHONG TIEM CHUNG VAC XIN QUANG TRI</t>
  </si>
  <si>
    <t>X3C231V</t>
  </si>
  <si>
    <t>bao bì bị mốc</t>
  </si>
  <si>
    <t>8 LÊ LỢI, PHƯỜNG NAM ĐÔNG HÀ, TỈNH QUẢNG TRỊ, VIỆT NAM</t>
  </si>
  <si>
    <t>CC_1541225-HN</t>
  </si>
  <si>
    <t>BỆNH VIỆN NHIỆT ĐỚI TRUNG ƯƠNG</t>
  </si>
  <si>
    <t>DOLUTEGRAVIR, LAMIVUDINE AND TENOFOVIR DISOPROXIL FUMARATE T ABLETS 50/300/300MG (HOP/1 LO 30 VIEN)</t>
  </si>
  <si>
    <t>Hộp không có lọ thuốc bên trong</t>
  </si>
  <si>
    <t>E250327</t>
  </si>
  <si>
    <t>Bị lỗi vỉ</t>
  </si>
  <si>
    <t>CC_1551225-HCM</t>
  </si>
  <si>
    <t>CC_1561225-HCM</t>
  </si>
  <si>
    <t xml:space="preserve"> 
MENQUADFI 0.5ML 1D INJSU VL1 VN</t>
  </si>
  <si>
    <t>U8534AA</t>
  </si>
  <si>
    <t>U8464AD</t>
  </si>
  <si>
    <t>Sau khi thực hiện mở hộp vắc xin để kiểm tra cảm quan thì phát hiện nắp cao su trên lọ bị rơi ra ngoài
Hộp vắc xin còn nguyên vẹn và đã khui seal để kiểm tra cảm quan</t>
  </si>
  <si>
    <t>+ Khi kiểm tra cảm quan vắc xin thì phát hiện có chấm đen bên trong lọ
+ Hộp vắc xin còn nguyên vẹn và đã khui seal để kiểm tra cảm quan</t>
  </si>
  <si>
    <t>THON BAU, XA KIM CHUNG, HUYEN DONG ANH, THANH PHO HA NOI</t>
  </si>
  <si>
    <t xml:space="preserve">E250693A
</t>
  </si>
  <si>
    <t xml:space="preserve">13/02/2027
</t>
  </si>
  <si>
    <t>08/12/2025, gửi mail báo hãng
-&gt; 09/12/2025, hãng chấp nhận đền bù, hàng lỗi thu về trả hãng</t>
  </si>
  <si>
    <t>SO 17 TT6A KHU DO THI TAY NAM HO LINH DAM, PHUONG HOANG LIET, QUAN HOANG MAI, THANH PHO HA NOI</t>
  </si>
  <si>
    <t>Báo email cho hãng 
-&gt; 15/12 QA hãng chấp nhận khiếu nại, chờ xác nhận chi phí để thu hồi hàng
-&gt; 31/12, hãng xác nhận thu hồi hàng khiếu nại</t>
  </si>
  <si>
    <t>Báo email cho hãng 
Chấp nhận đền bù cho khách
--&gt; Hoàn tất</t>
  </si>
  <si>
    <t>Báo email cho hãng
05/01/2025 Chấp nhận đền bù cho khách. Hàng khiếu nại thu về cho vào khu vực chờ xử lý
--&gt; Hoàn tất</t>
  </si>
  <si>
    <t>Hãng đồng ý đền bù, hàng cho vào khu vực chờ hủy
--&gt; Hoàn tất</t>
  </si>
  <si>
    <t>Báo email cho hãng. Code:COMP-VN-2025-199.
Chấp nhận đền bù cho khách</t>
  </si>
  <si>
    <t>CC_010126-HCM</t>
  </si>
  <si>
    <t>CONG TY CO PHAN BENH VIEN TIM TAM DUC</t>
  </si>
  <si>
    <t>CC_030126-HCM</t>
  </si>
  <si>
    <t>MAGNE B6 CORBIERE BL5X10 VN</t>
  </si>
  <si>
    <t>04 NGUYEN LUONG BANG, PHUONG TAN PHU, QUAN 7, TP HO CHI MINH ( LAU 1 )</t>
  </si>
  <si>
    <t>FVH2654</t>
  </si>
  <si>
    <t>Theo như BV báo trong vỉ thuốc có xuất hiện bóng khí li ti, khi có ánh sáng chiếu vào thì sẽ nhìn thấy rõ hiện tượng này ( hình ảnh và video có đính kèm mail )</t>
  </si>
  <si>
    <t xml:space="preserve">
Báo email cho hãng
Hãng chấp nhận khiếu nại, tiến hành đền bù cho khách 
--&gt; Hoàn tất</t>
  </si>
  <si>
    <t>CONG TY CO PHAN BENH VIEN DA KHOA TAM ANH</t>
  </si>
  <si>
    <t>108 HOANG NHU TIEP, PHUONG BO DE, QUAN LONG BIEN, THANH PHO HA NOI</t>
  </si>
  <si>
    <t>STERIMAR BLOCKED NOSE BABY 50ML</t>
  </si>
  <si>
    <t>Năm</t>
  </si>
  <si>
    <t>FIXED Mft.</t>
  </si>
  <si>
    <t>CC_020126-HN</t>
  </si>
  <si>
    <t>Khi thực hiện bơm dung môi vào lọ bột đông khô thì phát hiện pittong bị cứng không đẩy được dung môi vào lọ bột đông khô</t>
  </si>
  <si>
    <t>CHI NHÁNH</t>
  </si>
  <si>
    <t>CC_040126-HCM</t>
  </si>
  <si>
    <t>FVH2821</t>
  </si>
  <si>
    <t>13/01/2026, Hoàng Đức có giao 1 đơn hàng (lô FVH2821), khi kiểm tra vẫn phát hiện tình trạng lỗi tương tự với lô FVH2654. Và do viện cần thuốc để cấp phát nên đã nhận đơn hàng này. 
Viện có yêu cầu cung cấp Công văn giải thích nếu như trong trường hợp không phải lỗi do thuốc mà do bao bì (vì viện có bóc thử 1 vỉ lỗi ra thì thấy viên thuốc bình thường)</t>
  </si>
  <si>
    <t>Báo email cho hãng 
Nhận được công văn giải trình từ hãng, đồng ý đền bù và chuyển hàng khiếu nại thu về trả hãng
--&gt; hoàn tất</t>
  </si>
  <si>
    <t>Điều tra nguyên nhân tại kho và đơn vị vận chuyển: không phát hiện bất thường để xảy ra lỗi như khiếu nại,  chấp nhận đền bù cho khách 
-&gt; Hoàn tất</t>
  </si>
  <si>
    <t>CC_050126-ĐN</t>
  </si>
  <si>
    <t>CONG AN THANH PHO DA NANG</t>
  </si>
  <si>
    <t>22 PHAN LANG 8, PHUONG AN KHE, QUAN THANH KHE, THANH PHO DA NANG</t>
  </si>
  <si>
    <t>ENTEROGERMINA,4BCFU/5ML,SP,BT20,VN</t>
  </si>
  <si>
    <t>CC_060126-HCM</t>
  </si>
  <si>
    <t>DAPTOMRED</t>
  </si>
  <si>
    <t>CC_070126-HCM</t>
  </si>
  <si>
    <t>SILYGAMMA 150MG</t>
  </si>
  <si>
    <t>468659A</t>
  </si>
  <si>
    <t>K250095</t>
  </si>
  <si>
    <t>03/10/2025, Báo email cho CS xin thêm thông tin
Sau khi kiểm tra khách xác nhận không phát sinh lỗi nên hủy khiếu nại
--&gt; Hoàn tất</t>
  </si>
  <si>
    <t>CC_080126-HCM</t>
  </si>
  <si>
    <t>BENH VIEN 22 – 12</t>
  </si>
  <si>
    <t>34/4 NGUYEN THIEN THUAT, PHUONG TAN TIEN, THANH PHO NHA TRANG, TINH KHANH HOA</t>
  </si>
  <si>
    <t>STAMLO-T 80/5MG (HOP/28 VIEN)</t>
  </si>
  <si>
    <t>V2502056</t>
  </si>
  <si>
    <t>Viên bị lỗi</t>
  </si>
  <si>
    <t>Bị lỗi màng nhôm</t>
  </si>
  <si>
    <t xml:space="preserve">Đầu ống thuốc trong vỉ bị xỉn màu, thuốc có dấu hiệu nổi bọt khí ở đáy ống </t>
  </si>
  <si>
    <t>Không phải lỗi, Hãng giải thích: hiện tượng đầu ống xỉn màu là do lắng đọng của các bào tử Bacillus clausii. Khi lắc lên, bào tử phân tán sẽ không còn nhìn thấy tình trạng này. Do bào tử đọng ở phía đầu ống nên có thể sẽ hơi khó để phân tán hoàn toàn. Phần bọt khí nhìn thấy là do trong ống đóng vẫn còn khoảng không nên phần khí này có thể là do lượng không khí còn sót khi lắc ống.</t>
  </si>
  <si>
    <t>4I277</t>
  </si>
  <si>
    <t>CC_090126-HCM</t>
  </si>
  <si>
    <t>CC_100126-HCM</t>
  </si>
  <si>
    <t>NHA THUOC GIANG NAM</t>
  </si>
  <si>
    <t>14A-16 TRAN PHU, PHUONG VINH THANH, THANH PHO RACH GIA, TINH KIEN GIANG</t>
  </si>
  <si>
    <t>STAMLO 5</t>
  </si>
  <si>
    <t>10/2025</t>
  </si>
  <si>
    <t>B2503423</t>
  </si>
  <si>
    <t>hỘP</t>
  </si>
  <si>
    <t>có mùi lạ, nghị ngờ thuốc giả</t>
  </si>
  <si>
    <t>Lỗi không xuất phát từ quá trình bảo quản và vận chuyển của đơn vị phân phối, và không xuất phát từ nhà sản xuất</t>
  </si>
  <si>
    <t>Hàng không chấp nhận khiếu nại dựa vào email phản hồi ngày 16/01/2026
--&gt; Hoàn tất</t>
  </si>
  <si>
    <t>BENH VIEN DA KHOA THU DUC</t>
  </si>
  <si>
    <t>29 PHU CHAU, PHUONG TAM BINH, THANH PHO HO CHI MINH</t>
  </si>
  <si>
    <t>4F283A</t>
  </si>
  <si>
    <t>bệnh nhân sử dụng bút bị kẹt không tiêm ra thuốc, dù đã thử thay đổi kim tiêm,
Phía đơn vị BV yêu cầu tiến hành đổi trả bút lỗi này để bệnh nhân sử dụng</t>
  </si>
  <si>
    <t>08/2025</t>
  </si>
  <si>
    <t>BENH VIEN HUNG VUONG</t>
  </si>
  <si>
    <t>CC_110126-HCM</t>
  </si>
  <si>
    <t>128 HONG BANG, PHUONG 12, QUAN 5, THANH PHO HO CHI MINH</t>
  </si>
  <si>
    <t>Hexaxim bị lỗi Pittong rớt ra ngoài, nút cao su chặn thuốc vẫn còn trong ống.(chi tiết file đính kèm)</t>
  </si>
  <si>
    <t xml:space="preserve"> VIEN HUYET HOC TRUYEN MAU TRUNG UONG</t>
  </si>
  <si>
    <t>CC_120126-HN</t>
  </si>
  <si>
    <t xml:space="preserve"> PHUONG YEN HOA, QUAN CAU GIAY, HA NOI</t>
  </si>
  <si>
    <t>H250517</t>
  </si>
  <si>
    <t>WINDUZA (H/1 LO)</t>
  </si>
  <si>
    <t xml:space="preserve">31/05/2027
</t>
  </si>
  <si>
    <t>đề nghị cần đổi 1 lọ Winduza SO 1418299 do độ tan không đồng đều (chưa biết chính xác lí do gì)</t>
  </si>
  <si>
    <t>CC_130126-HN</t>
  </si>
  <si>
    <t>N250148A</t>
  </si>
  <si>
    <t>DUONG NGUYEN QUYEN, PHUONG VO CUONG, THANH PHO BAC NINH, TINH BAC NINH</t>
  </si>
  <si>
    <t>Lọ thuốc đông đá 1 phần</t>
  </si>
  <si>
    <t>X3C194V</t>
  </si>
  <si>
    <t>CC_140226-HN</t>
  </si>
  <si>
    <t xml:space="preserve">FMDS
</t>
  </si>
  <si>
    <t>nghi ngờ sản phẩm không chính hãng, sản phẩm không có tem nhập khẩu, chất lượng in tệ
nghi ngờ về nguồn gốc và yêu cầu chứng minh nguồn gốc của thuốc, chứng minh sản phẩm nhập chính hãng</t>
  </si>
  <si>
    <t>CONG TY CO PHAN BENH VIEN DA KHOA SAI GON HOI AN</t>
  </si>
  <si>
    <t>có 1 cây Soliqua bị lỗi không bơm thuốc lên được</t>
  </si>
  <si>
    <t>07/2024</t>
  </si>
  <si>
    <t>Sau khi trao đổi, Bệnh viện thông tin lại như sau: Sau khi bệnh viện thay đổi mũi tiêm thì hiện tại thuốc đã xuống được, xác định là lỗi kim nên không cần đổi bút cho bệnh viện nữa. --&gt; BÁO HÃNG CLOSE CASE</t>
  </si>
  <si>
    <t>6 PHAN DINH PHUNG, PHUONG HOI AN TAY, THANH PHO DA NANG</t>
  </si>
  <si>
    <t>CC_160226-HCM</t>
  </si>
  <si>
    <t xml:space="preserve"> FORLAX 10G 20SACH VN</t>
  </si>
  <si>
    <t>D52436</t>
  </si>
  <si>
    <t>Viện vừa khui hộp nguyên FORLAX thì có gói bị rách (có hình ảnh đính kèm trong mail)</t>
  </si>
  <si>
    <t>Báo mail cho hãng
-&gt;04/02/2026, hãng phản hồi thông tin, 05/02/2026 QA gửi thông tin cho CS để phản hồi khách hàng
-&gt;12/02/2026 đã gửi công văn phản hồi cho khách hàng
-&gt;23/02/2026 hãng xác nhận phương án hàng trả về</t>
  </si>
  <si>
    <t>Báo email cho hãng
Ngày 23/02/2026 nhận được phản hồi từ hãng</t>
  </si>
  <si>
    <t>Lỗi không xuất phát từ Hoàng Đức và nhà sản xuất</t>
  </si>
  <si>
    <t>Lỗi không xuất phát từ Hoàng Đức</t>
  </si>
  <si>
    <t>CC_170226-HCM</t>
  </si>
  <si>
    <t>BENH VIEN PHONG-DA LIEU TRUNG UONG QUY HOA</t>
  </si>
  <si>
    <t>PHUONG GHENH RANG, THANH PHO QUY NHON, TINH BINH DINH</t>
  </si>
  <si>
    <t xml:space="preserve">Yêu cầu gửi giấy tiếp nhận của Cục về nội dung công bố giá của sản phẩm Beyfortus, do khách không thấy trên cổng dịch vụ công. </t>
  </si>
  <si>
    <t>BEYFORTUS</t>
  </si>
  <si>
    <t>Không phải lỗi nhà sản xuất, do vật tư sử dụng của BV</t>
  </si>
  <si>
    <t>CC_180226-ĐN</t>
  </si>
  <si>
    <t>khi khách hàng vào phòng tiêm, nhân viên y tế đã lấy lọ Verorab để tư vấn và chuẩn bị pha tiêm theo đúng quy trình. Tuy nhiên, khi đưa kim tiêm vào ống sạc thuốc để tiến hành pha, kim tiêm bất ngờ rơi ra khỏi ống sạc, làm dung môi đổ ra ngoài và không thể tiếp tục sử dụng.
Qua kiểm tra ban đầu, chúng tôi nghi ngờ phần đốc kim có thể đã bị lỗi trước khi pha tiêm. Do phần này trong suốt nên rất khó quan sát bằng mắt thường, dẫn đến nhân viên không phát hiện bất thường trước khi thao tác. Đây là sự cố ngoài ý muốn và trong suốt thời gian sử dụng sản phẩm trước đây, chúng tôi chưa từng gặp tình huống tương tự.
Sự việc không chỉ gây hao hụt thuốc (vắc xin) mà còn ảnh hưởng đến quy trình chuyên môn và tâm lý khách hàng tại thời điểm xảy ra sự cố.
Vì vậy, chúng tôi kính đề nghị Quý Công ty/Quý Nhà phân phối xem xét hỗ trợ hoàn lại cho bệnh viện 01 lọ Verorab mới tương ứng với sản phẩm bị hỏng nêu trên</t>
  </si>
  <si>
    <t>1</t>
  </si>
  <si>
    <t>VERORAB</t>
  </si>
  <si>
    <t>BENH VIEN SAN -NHI TINH QUANG NGAI</t>
  </si>
  <si>
    <t>BENH VIEN DAI HOC Y DUOC THANH PHO HO CHI MINH (CO SO 1 – NHA THUOC)</t>
  </si>
  <si>
    <t xml:space="preserve">	
215 HONG BANG, PHUONG 11, QUAN 5, TPHCM</t>
  </si>
  <si>
    <t>GAS2950</t>
  </si>
  <si>
    <t>13/06/2025</t>
  </si>
  <si>
    <t>184 HUNG VUONG, P. TRAN PHU, TP QUANG NGAI, TINH QUANG NGAI</t>
  </si>
  <si>
    <t>CC_190226-HCM-HUY</t>
  </si>
  <si>
    <t>Đã báo hãng và chấp nhận đền bù
--&gt; hoàn tất
26/02/2026 khách hủy khiếu nại và không cần đền bù</t>
  </si>
  <si>
    <t>CC_200226-HCM</t>
  </si>
  <si>
    <t>Bệnh viện Hùng Vương Gia Lai xin phản hồi chất lượng của sản phẩm Toujeo
Bình thường bệnh nhân sẽ dùng được hơn 1 tháng, tuy nhiên mới 10 ngày thì thuốc hết .</t>
  </si>
  <si>
    <t>CONG TY TNHH BENH VIEN HUNG VUONG GIA LAI</t>
  </si>
  <si>
    <t>236A LE DUAN, PHUONG TRA BA, THANH PHO PLEIKU, TINH GIA LAI, VIET NAM</t>
  </si>
  <si>
    <t>03/09/2024</t>
  </si>
  <si>
    <t>báo mail cho hãng
-&gt; Hãng báo đổi hàng cho viện, hàng thu về chuyển chờ hủy</t>
  </si>
  <si>
    <t>REDDITUX 100MG (H/1LO X 10ML)</t>
  </si>
  <si>
    <t>BENH VIEN DA KHOA TINH BAC NINH</t>
  </si>
  <si>
    <t>Y1C38D1</t>
  </si>
  <si>
    <t>12/07/2024</t>
  </si>
  <si>
    <t>Có</t>
  </si>
  <si>
    <t>CC_210226-ĐN</t>
  </si>
  <si>
    <t>2 Phan Đình Phùng, Phường Hải Châu, TP Đà Nẵng</t>
  </si>
  <si>
    <t>09/10/2023</t>
  </si>
  <si>
    <t>Đã báo hãng và chấp nhận đền bù. Thu mẫu gửi hãng theo đợt
--&gt; hoàn tất</t>
  </si>
  <si>
    <t>Yes</t>
  </si>
  <si>
    <t>1 hộp vaccine Avaxim không có lọ thuốc bên trong</t>
  </si>
  <si>
    <t>CC_220326-HCM</t>
  </si>
  <si>
    <t>Hoàng Đức nhận được phản ánh từ khách hàng báo người nhà có uống 1 ống Calcium Corbière (mua ở Nhà thuốc số 2 tại khu vực của khách - không nói rõ địa chỉ) thì nhận thấy ống thuốc có vị chua và đắng, không giống mọi khi thường dùng. Khách cần kiểm tra vị này có đúng thực tế hay không do nghi ngại thuốc có vấn đề chất lượng</t>
  </si>
  <si>
    <t xml:space="preserve">CONG TY CP DUOC - TBYT DA NANG - DIA DIEM KINH DOANH TRUNG TAM TIEM CHUNG VA DICH VU Y TE NEOVITA </t>
  </si>
  <si>
    <t>KHÁCH LẺ (DUYÊN)</t>
  </si>
  <si>
    <t>FVH2704</t>
  </si>
  <si>
    <t>04/11/2027</t>
  </si>
  <si>
    <t>BỆNH VIỆN QUÂN ĐỘI 108</t>
  </si>
  <si>
    <t>TEMOTERO 20 (HOP/ 5 VIEN)</t>
  </si>
  <si>
    <t>FE250337A</t>
  </si>
  <si>
    <t>Viên thuốc bị vỡ</t>
  </si>
  <si>
    <t>16/05/2025</t>
  </si>
  <si>
    <t>CC_230326-HN</t>
  </si>
  <si>
    <t>SO 1 TRAN HUNG DAO, QUAN HAI BA TRUNG, THANH PHO HA NOI</t>
  </si>
  <si>
    <t>CORBIERE CALCIUM PLUS 3SUPx10 10ML_VN</t>
  </si>
  <si>
    <t>251765</t>
  </si>
  <si>
    <t>Zhekof</t>
  </si>
  <si>
    <t>Bv có phản ánh có 3 vỉ thuốc bị bong góc dập nên bị hở</t>
  </si>
  <si>
    <t>3</t>
  </si>
  <si>
    <t xml:space="preserve">BENH VIEN DA KHOA KHU VUC CU CHI </t>
  </si>
  <si>
    <t>9A NGUYEN VAN HOAI, AP BAU TRE 2, XA TAN AN HOI, HUYEN CU CHI, TP. HO CHI MINH</t>
  </si>
  <si>
    <t>CC_250326-HCM</t>
  </si>
  <si>
    <t xml:space="preserve"> Y1C38D1</t>
  </si>
  <si>
    <t>Khi thực hiện rút nút cao su thì phát hiện đầu kim tiêm bị gãy</t>
  </si>
  <si>
    <t>13/09/2025</t>
  </si>
  <si>
    <t>CC_260326-ĐN</t>
  </si>
  <si>
    <t xml:space="preserve"> TRUNG TAM Y TE QUAN SON TRA</t>
  </si>
  <si>
    <t>BF25004331</t>
  </si>
  <si>
    <t>1 bút bị lỗi không bấm được</t>
  </si>
  <si>
    <t>30/08/2025</t>
  </si>
  <si>
    <t>SILYGAMMA 150MG 100'S</t>
  </si>
  <si>
    <t>471618</t>
  </si>
  <si>
    <t>Khách hàng báo viên thuốc bị vỡ, đổi màu như hình đính kèm</t>
  </si>
  <si>
    <t>09/2025</t>
  </si>
  <si>
    <t>CC_280326-HCM</t>
  </si>
  <si>
    <t>B2503424</t>
  </si>
  <si>
    <t>Tình trạng viên tan rã có mùi hôi nồng:
Bệnh nhân uống vào không có tác dụng điều trị hạ huyết áp</t>
  </si>
  <si>
    <t>Công ty Trung Sơn Alpha Cần Thơ</t>
  </si>
  <si>
    <t>1118 NGO QUYEN, PHUONG AN HAI, THANH PHO DA NANG</t>
  </si>
  <si>
    <t>2</t>
  </si>
  <si>
    <t>Đã báo hãng và chấp nhận đền bù
--&gt; hoàn tất</t>
  </si>
  <si>
    <t>CC_270326-HCM
HUY</t>
  </si>
  <si>
    <t xml:space="preserve">
Báo email cho hãng
Cần thu hồi hàng lỗi để điều tra 
30/01/2026, hàng lỗi về kho
26/03/2026, hãng gửi điều tra, hàng khiếu nại chuyển hủy
--&gt; Hoàn tất
</t>
  </si>
  <si>
    <t>TANG 4 TOA NHA TRUNG SON, 12 MAI CHI THO, KDC 586, PHUONG PHU THU, QUAN CAI RANG, THANH PHO CAN THO</t>
  </si>
  <si>
    <t>CC_290326-HCM</t>
  </si>
  <si>
    <t>CONG TY CO PHAN DUOC PHAM AN KHANG PHARMA</t>
  </si>
  <si>
    <t>SAN PHAM XUA MUOI REMOS SA CHANH 70ML</t>
  </si>
  <si>
    <t>JB03</t>
  </si>
  <si>
    <t xml:space="preserve">
Báo email cho hãng
Hãng chấp nhận khiếu nại, tiến hành đền bù cho khách 
Đã nhận được email từ hãng đồng ý chuyển hủy ngày 30/03/2026
--&gt; Hoàn tất</t>
  </si>
  <si>
    <t>CÔNG TY CỔ PHẦN BỆNH VIỆN ĐA KHOA TÂM ANH</t>
  </si>
  <si>
    <t>IC622A</t>
  </si>
  <si>
    <t>Khi giao hàng, viện chỉ đồng kiểm với giao hàng về số lượng hàng hóa, không phát hiện lỗi tại thời điểm giao hàng, có ký nhận hóa đơn. Hôm qua (30/3) khi viện dỡ thuốc ra khỏi thùng để xếp thì phát hiện ra có 1 hộp bị ướt ngoài vỏ hộp, mở ra kiểm tra thì phát hiện có ống bị vỡ và ố vàng</t>
  </si>
  <si>
    <t>CC_300326-HN</t>
  </si>
  <si>
    <t>BỆNH VIỆN QUỐC TẾ SẢN - NHI HẢI PHÒNG</t>
  </si>
  <si>
    <t>IC538A</t>
  </si>
  <si>
    <t>Khi giao hàng, viện chỉ đồng kiểm với giao hàng về số lượng hàng hóa, không phát hiện lỗi tại thời điểm giao hàng, có ký nhận hóa đơn. Đơn giao thành công 10/03, 1 tuần sau (17/3) viện sử dụng hàng có phát hiện ra hàng bị vỡ (ảnh đính kèm). Đơn khi giao cho viện đóng trong 1 kiện lẻ, không cùng với hàng khác.</t>
  </si>
  <si>
    <t>CC_310426-HN</t>
  </si>
  <si>
    <t>124 NGUYEN DUC CANH, PHUONG CAT DAI, QUẠN LE CHAN, THANH PHO HAI PHONG</t>
  </si>
  <si>
    <t>PHONG KHAM CHUYEN KHOA MAT DR. THU HA</t>
  </si>
  <si>
    <t>LIPOSIC EYE GEL 0.2%</t>
  </si>
  <si>
    <t>2486</t>
  </si>
  <si>
    <t xml:space="preserve">Sản phẩm khi bán cho bệnh nhân còn nguyên nhưng khi bệnh nhân mở ra để sử dụng thì phát hiện tuýp thuốc bị rách </t>
  </si>
  <si>
    <t>CC_320426-HN</t>
  </si>
  <si>
    <t>CC_330426-HN</t>
  </si>
  <si>
    <t>KHOA DƯỢC BỆNH VIỆN K</t>
  </si>
  <si>
    <t>ZOLADEX INJ 3.6MG SS 1X1 EA VN</t>
  </si>
  <si>
    <t>SW869</t>
  </si>
  <si>
    <t>viện sử dụng thuốc thì phát hiện 1 bơm bị gãy kim</t>
  </si>
  <si>
    <t>bị chảy nước</t>
  </si>
  <si>
    <t>Đã nhận được thông tin từ khách và báo hãng ngày 26/03/2026
30/03 khách không cung cấp thông tin, tự xử lý nội bộ 
-&gt; Hoàn tất</t>
  </si>
  <si>
    <t>no</t>
  </si>
  <si>
    <t>CÔNG TY TNHH DƯỢC PHẨM MED-PHARMA</t>
  </si>
  <si>
    <t xml:space="preserve">Vỉ thuốc bị rách bao bạc </t>
  </si>
  <si>
    <t>471619</t>
  </si>
  <si>
    <t>TANG M, TÒA 278 PHO THUY KHUE, PHUONG THUY KHUE, QUAN TAY HO, THANH PHO HA NOI</t>
  </si>
  <si>
    <t>CC_340426-HN</t>
  </si>
  <si>
    <t>CC_350426-HCM</t>
  </si>
  <si>
    <t>01/09/2025</t>
  </si>
  <si>
    <t>02</t>
  </si>
  <si>
    <t>Khi thực hiện rút nút cao su thì phát hiện đầu kim tiêm bị gãy (file đính kèm)</t>
  </si>
  <si>
    <t>Đã báo hãng, đang chờ CS xin thêm thông tin
30/03/2026 QA chưa nhận được thông tin từ khách
Hoàn tất do khách không cung cấp thông tin mặc dù CS đã cố gắng liên hệ</t>
  </si>
  <si>
    <t>CC_240326-HCM
HUY</t>
  </si>
  <si>
    <t>Đã báo hãng
Hãng đồng ý tiếp nhận khiếu nai, và đền bù cho khách
-&gt; Hoàn tất</t>
  </si>
  <si>
    <t>SO 30, CAU BUOU, TAN TRIEU, THANH TRI, HA NOI</t>
  </si>
  <si>
    <t>SO 80 NGUYEN BAC, XA TU HIEP, HUYEN THANH TRI, THANH PHO HA NOI</t>
  </si>
  <si>
    <t>CC_360426-HCM</t>
  </si>
  <si>
    <t>BENH VIEN TINH NINH THUAN</t>
  </si>
  <si>
    <t xml:space="preserve"> DUONG NGUYEN VAN CU, PHUONG VAN HAI, TP PHAN RANG-THAP CHAM, TINH NINH THUAN</t>
  </si>
  <si>
    <t>BF25004028</t>
  </si>
  <si>
    <t>CC_370426-HCM</t>
  </si>
  <si>
    <t>BF25004575</t>
  </si>
  <si>
    <t>03</t>
  </si>
  <si>
    <t>do cứng bút, không vặn tiêm được. Nhân viên y tế đã có thao tác các bước kiểm tra tại thời điểm tiếp nhận và xác nhận lỗi nên đã đổi bút khác cho bệnh nhận</t>
  </si>
  <si>
    <t>29/08/2025</t>
  </si>
  <si>
    <t>CC_380426-HCM</t>
  </si>
  <si>
    <t xml:space="preserve"> HO KINH DOANH PHONG TIEM CHUNG VAC XIN PASTEUR-PHONG KHAM NOI</t>
  </si>
  <si>
    <t>170 XO VIET NGHE TINH, PHUONG THANH CONG, THANH PHO BUON MA THUOT, TINH DAK LAKTHANH PHO BUON MA THUOT</t>
  </si>
  <si>
    <t xml:space="preserve">Vào ngày 5/4/2026 phòng tiêm có lấy 1 kim tiêm có chứa dung môi bị lỗi . Khi nhân viên rút đầu kim ra là đã thấy kim còn gắn vào thân ống kim . Và chúng tôi thấy đầu gắn kim đã bị lỗi </t>
  </si>
  <si>
    <t>CC_390426-HCM</t>
  </si>
  <si>
    <t>CONG TY CO PHAN BENH VIEN DA KHOA CHAU THANH NAM TAN UYEN</t>
  </si>
  <si>
    <t>68 DUONG DT 746, KP TAN BINH, PHUONG TAN HIEP, THANH PHO TAN UYEN, TINH BINH DUONG, VIET NAM</t>
  </si>
  <si>
    <t>Loại kim tương thích cho Lantus</t>
  </si>
  <si>
    <t>CC_400426-HCM</t>
  </si>
  <si>
    <t>18 NO TRANG LONG, PHUONG TAN TIEN, TP BUON ME THUOT, TINH DAKLAK</t>
  </si>
  <si>
    <t>NHA THUOC TAN THAI BINH</t>
  </si>
  <si>
    <t>CC_410426-HCM</t>
  </si>
  <si>
    <t>GAS5052</t>
  </si>
  <si>
    <t>Viên bị hư</t>
  </si>
  <si>
    <t>Không có thuốc trong vỉ</t>
  </si>
  <si>
    <t>HO KINH DOANH NHA THUOC MINH KHUE 1</t>
  </si>
  <si>
    <t>STERIMAR NOSE HYGIENE BABY 50ML</t>
  </si>
  <si>
    <t>FE4024C</t>
  </si>
  <si>
    <t>Gãy, lỗi vòi xịt</t>
  </si>
  <si>
    <t>CC_420426-HN</t>
  </si>
  <si>
    <t>SO 360A, DUONG HOANG QUOC VIET, PHUONG VU NINH, TINH BAC NINH</t>
  </si>
  <si>
    <t>469T13</t>
  </si>
  <si>
    <t>04/12/2024</t>
  </si>
  <si>
    <t>786 NGUYEN KIEM, PHUONG 3, QUAN GO VAP, THANH PHO HO CHI MINH</t>
  </si>
  <si>
    <t>Đã gửi email cho hãng
Đã nhận được câu trả lời từ hãng ngày 10/04/2026
--&gt; hoàn tất</t>
  </si>
  <si>
    <t>Lantus Solostar</t>
  </si>
  <si>
    <t>Đã gửi email cho hãng
Hãng đồng ý đền bù cho khách
--&gt; Hoàn tất</t>
  </si>
  <si>
    <t>03/04/2026 đã báo hãng
10/04/2026 hãng đồng ý đền bù cho khách
--&gt; Hoàn tất</t>
  </si>
  <si>
    <t>Lỗi 1 phần do bao bì cấp 1 nhạy cảm với độ ẩm cao, 1 phần có thể do điều kiện bảo quản từ khách</t>
  </si>
  <si>
    <t>- 20/06/2025, hàng khiếu nại về kho
- 17/07/2025, khách cung cấp thông tin không có video kiểm hàng
Đồng ý đền bù cho khách
--&gt; Hoàn tất</t>
  </si>
  <si>
    <t>Ngày 22/05/2025, báo email cho hãng
27/05/2025, nhắc mail hãng
--&gt; hoàn tất</t>
  </si>
  <si>
    <t>Đã gửi email cho hãng
Hãng đồng ý khiếu nại
--&gt; Hoàn tất</t>
  </si>
  <si>
    <t>GETZGLIM 4MG TAB 20'S</t>
  </si>
  <si>
    <t>Đã gửi email cho hãng
Hãng đồng ý đền bù, hàng khiếu nại thu về cho vào khu vực chờ xử lý
Khách không còn giữ mẫu khiếu nại, nên không thể đền bù c</t>
  </si>
  <si>
    <t>CC_430426-HCM</t>
  </si>
  <si>
    <t>KHOA DUOC BENH VIEN NHAN DAN 115</t>
  </si>
  <si>
    <t xml:space="preserve">LOVENOX 40MG/0.4ML INJ. B/ 2 SYRINGES VN </t>
  </si>
  <si>
    <t>KS061A</t>
  </si>
  <si>
    <t>Không có bơm tiêm</t>
  </si>
  <si>
    <t>527 SU VAN HANH, P12, QUAN 10, TPHCM</t>
  </si>
  <si>
    <t>04/02/2025</t>
  </si>
  <si>
    <t>CC_440426-HN</t>
  </si>
  <si>
    <t>31/05/2027</t>
  </si>
  <si>
    <t>CONG TY CO PHAN UPHARMA</t>
  </si>
  <si>
    <t xml:space="preserve"> TOA NHA VINH QUANG GROUP, LO DX, KDT TAY NAM HO LINH DAM, PHUONG HOANG LIET, QUAN HOANG MAI, THANH PHO HA
NOI</t>
  </si>
  <si>
    <t>428593</t>
  </si>
  <si>
    <t>06/2024</t>
  </si>
  <si>
    <t>viên bị vỡ</t>
  </si>
  <si>
    <t>Đã gửi mail cho hãng
-&gt; Hãng báo đổi hàng và trừ công nợ tháng 4</t>
  </si>
  <si>
    <t>CC_450426-HCM</t>
  </si>
  <si>
    <t>Trong quá trình sử dụng sản phẩm thuốc CISPLATIN INJECTION 50MG/50ML (Cisplatin 1mg) và tham khảo qua tờ Hướng dẫn sử dụng của thuốc, Bệnh viện có thắc mắc kính nhờ quý công ty giải đáp như sau:
Về điều kiện bảo quản: Do đặc thù là bệnh viện nhi, trong một số trường hợp bệnh nhi không sử dụng hết toàn bộ thể tích thuốc đã pha loãng, vậy xin quý công ty cho biết Dung dịch sau pha loãng với dung môi có thể bảo quản trong bao lâu và ở điều kiện như thế nào?
Để chúng tôi có thể hoàn thành công việc trong thời hạn quy định, xin Quý công ty vui lòng phản hồi nội dung tư vấn bằng văn bản chính thức và cung cấp các kết quả nghiên cứu/ tài liệu làm căn cứ khoa học (nếu có) cho các nội dung tư vấn liên quan đến vấn đề trên trước 16h00 ngày 24/04/2026.</t>
  </si>
  <si>
    <t>CISPLATIN INJECTION 50MG/50ML</t>
  </si>
  <si>
    <t>20/04/2026 khách phản hồi sản phẩm lúc phát hiện vẫn còn seal
số lượng khiếu nại confirm là 04 ống (2 hộp)
Hãng đồng ý đền bù cho khách
--&gt;Hoàn tất</t>
  </si>
  <si>
    <t xml:space="preserve">BENH VIEN NHI DONG THANH PHO </t>
  </si>
  <si>
    <t>SO 15 DUONG VO TRAN CHI, XA TAN KIEN, HUYEN BINH CHANH, TP.HCM</t>
  </si>
  <si>
    <t>BENH VIEN DA KHOA VUNG TAY NGUYEN</t>
  </si>
  <si>
    <t>CC_460426-HCM</t>
  </si>
  <si>
    <t>BF25006236</t>
  </si>
  <si>
    <t>SO 184 TRAN QUY CAP, PHUONG TU AN, THANH PHO BUON MA THUOT, TINH DAK LAK</t>
  </si>
  <si>
    <t>20/09/2025</t>
  </si>
  <si>
    <t>Hỏng nút vặn</t>
  </si>
  <si>
    <t>Thắc mắc của khách hàng về điều kiện bảo quản</t>
  </si>
  <si>
    <t>CC_470426-HCM</t>
  </si>
  <si>
    <t>KHOA DUOC BV BINH DAN  /</t>
  </si>
  <si>
    <t xml:space="preserve"> 371 DIEN BIEN PHU,QUAN 3</t>
  </si>
  <si>
    <t>ZOLADEX INJ 10.8 MG SS 1X1 EA VN</t>
  </si>
  <si>
    <t>SX572</t>
  </si>
  <si>
    <t>16/06/2025</t>
  </si>
  <si>
    <t>Viện báo lỗi 1 bút Zoladex 10.8mg do khi mở bao bì chứa bút đã thấy bút bung ra</t>
  </si>
  <si>
    <t>Đã gửi email cho hãng
10/04/2026, hãng cần thêm video để điều tra nhưng khách từ chối cung cấp mặc dù Hoàng Đức đã cố gắng 
Hãng đồng ý đền bù
--&gt; Hoàn tất</t>
  </si>
  <si>
    <t>Tình trạng/ Status</t>
  </si>
  <si>
    <t>CC_480426-ĐN</t>
  </si>
  <si>
    <t>01/04/2026, gửi mail báo hãng
-&gt; 03/04/2026 hãng phản hồi cần thu mẫu về nhà máy kiểm tra
-&gt; 10/04/2026 hãng đồng ý thu hàng về, và gửi yêu cầu lấy mẫu sau</t>
  </si>
  <si>
    <t>CÔNG TY CP Y KHOA BS GIA ĐÌNH</t>
  </si>
  <si>
    <t>73 Nguyễn Hữu Thọ, Phường Hoà Cường, TP Đà Nẵng</t>
  </si>
  <si>
    <t xml:space="preserve"> không vặn liều được, bút Bệnh nhân chưa dùng lần nào về mở lần đầu tiên để tiêm thì bị lỗi</t>
  </si>
  <si>
    <t>Đã gửi email cho hãng
Hãng gửi câu trả lời tuy nhiên chưa có công văn
Ngày 04/05/2026: hãng gửi công văn</t>
  </si>
  <si>
    <t>Hãng đồng ý đền bù cho khách
--&gt; Hoàn tất</t>
  </si>
  <si>
    <t>Báo email cho hãng
Hãng xác nhận đổi hàng cho khách
--&gt; Hoàn tất</t>
  </si>
  <si>
    <t xml:space="preserve">
Báo email cho hãng
Hãng ghi nhận khiếu nại
--&gt; Hoàn tất</t>
  </si>
  <si>
    <t>Báo email cho hãng
Hãng không chấp nhận khiếu nại
--&gt; Hoàn tất</t>
  </si>
  <si>
    <t>Lỗi không xuất phát từ quá trình bảo quản và vận chuyển của Hoàng Đức</t>
  </si>
  <si>
    <t>Đã báo hãng và hãng đã gửi thông tin
--&gt; hoàn tất</t>
  </si>
  <si>
    <t>Đã báo hãng, hãng chấp nhận khiếu nại
Thu mẫu gửi về văn phòng cho hãng
 --&gt; hoàn tất</t>
  </si>
  <si>
    <t>Đã báo hãng và xin hướng xử lý
Hãng đồng ý đền bù cho khách, hàng khiếu nại thu về xuất sang hãng
Đã xuất mẫu, chờ nhà máy phản hồi
22/04/2026 hãng gửi kết quả điều tra không có bất thường trong quá trình sản xuất
--&gt; Hoàn tất</t>
  </si>
  <si>
    <t>Đã báo email cho hãng
Nhận được câu trả lời từ hãng. Không có vấn đề liên quan chất lượng
--&gt; hoàn tất</t>
  </si>
  <si>
    <t>19/3/2026, gửi mail bão hãng
24/03/2026: Hãng đồng ý đổi hàng mới cho khách, mẫu khiếu nại trả hãng theo đợt
25/03/2026: BV báo khách đã lấy bút, nên huỷ khiếu nại
--&gt; hoàn tất</t>
  </si>
  <si>
    <t>Đã báo hãng
Ngày 26/03/2026 khách báo hủy khiếu nại, xử lý nội bộ
--&gt; hoàn tất</t>
  </si>
  <si>
    <t>Lỗi không xuất phát từ quá trình bảo quản và vận chuyển của Hoàng Đức và nhà sản xuất</t>
  </si>
  <si>
    <t>01/04/2026, gửi mail báo hãng
-&gt; 02/04/2026, nhận được thông tin phản hồi từ hãng
-&gt; 07/04/2026 close case do khách không cung cấp được thêm thông tin lỗi từ Hoàng Đức
--&gt; Hoàn tất</t>
  </si>
  <si>
    <t>01/04/2026, gửi mail báo hãng
-&gt; Hãng báo đổi hàng cho khách, cấn trừ công nợ vào tháng 4
--&gt;Hoàn tất</t>
  </si>
  <si>
    <t>28/04/2026: gửi mail cho hãng
29/04/2026: hãng chấp nhận khiếu nại, hàng khiếu nại thu về xuất trả hãng theo đợt
--&gt; Hoàn tất</t>
  </si>
  <si>
    <t>Viện đang kiểm tra và làm thủ tục khi nào xong sẽ báo lại 
04/02/2026, viện báo yêu cầu đổi hàng, và HĐ gửi thông tin cho hãng
-&gt; hàng về kho hãng báo hold chờ hướng xử lý từ nhà máy -&gt; hãng xác nhận chuyển hủy
-&gt; Hoàn tất</t>
  </si>
  <si>
    <t>Hãng yêu cầu đổi hàng cho khách và thu hàng khiếu nại về điều tra 
-&gt; 04/02/2026 hàng thu hồi về đến kho, hãng báo hold chờ hướng xử lý từ nhà máy -&gt; hãng xác nhận chuyển hủy
-&gt; Hoàn tất</t>
  </si>
  <si>
    <t>10/03/2026, gửi mail báo hãng
-&gt; 11/03/2026, hãng báo đổi hàng cho khách
-&gt; hãng xác nhận chuyển hủy
--&gt; hoàn tất</t>
  </si>
  <si>
    <t>03/04/2026, gửi mail báo hãng
-&gt; 08/04/2026, hãng xác nhận đổi trả nguyên hộp cho khách
-&gt; Hãng xác nhận hàng lỗi chuyển hủy
-&gt; Hoàn tất</t>
  </si>
  <si>
    <t>CC_490526-HCM</t>
  </si>
  <si>
    <t>X3C222V</t>
  </si>
  <si>
    <t>Trong lúc điều dưỡng đuổi bọt khí thì nòng kim bị lỏng, không hít, dẫn đến tình trạng bị tuột vắc xin ra ngoài (bị tuột Pitong ra ngoài)</t>
  </si>
  <si>
    <t>Đã gửi mail cho hãng
-&gt; 05/05/2026, Hãng đồng ý đổi hàng cho khách, hàng khiếu nại thu về chờ xử lý từ hãng
-&gt; 13/05/2026, CS thông tin khách báo không cần đổi hàng nữa -&gt; Đóng case
--&gt; Hoàn tất</t>
  </si>
  <si>
    <t>Ticket</t>
  </si>
  <si>
    <t>TT65125</t>
  </si>
  <si>
    <t>SO 236 HOA BINH, PHUONG HIEP TAN, QUAN TAN PHU, THÀNH PHỐ HỒ CHÍ MINH</t>
  </si>
  <si>
    <t>15/02/2023</t>
  </si>
  <si>
    <t>Đã gửi mail cho hãng và hãng đồng ý khiếu nại
--&gt; hoàn tất</t>
  </si>
  <si>
    <t>CC_500526-HCM</t>
  </si>
  <si>
    <t>TT66053</t>
  </si>
  <si>
    <t>CC_510526-HCM</t>
  </si>
  <si>
    <t>Khi thực hiện đuổi khí thì phát hiện pittong bị cứng và không đuổi khí được</t>
  </si>
  <si>
    <t>Đã báo email cho hãng</t>
  </si>
  <si>
    <t>CC_520526-HCM</t>
  </si>
  <si>
    <t>NHA THUOC THIEN HAU 1</t>
  </si>
  <si>
    <t>130 TAY HOA, PHUONG PHUOC LONG A, QUAN 9, TP HCM</t>
  </si>
  <si>
    <t>TT67817</t>
  </si>
  <si>
    <t>FLEMING 625MG B/100</t>
  </si>
  <si>
    <t>A50537</t>
  </si>
  <si>
    <t>Khách báo mở sản phẩm ra thì bị phồng rộp hết các hộp thuốc như hình đính kèm.</t>
  </si>
  <si>
    <t>29/05/2025</t>
  </si>
  <si>
    <t>Đã báo email cho hãng
Hãng chấp nhận khiếu nại
--&gt; Hoàn tất</t>
  </si>
  <si>
    <t>TT58073</t>
  </si>
  <si>
    <t>CC_530526-HCM</t>
  </si>
  <si>
    <t xml:space="preserve">TRUNG TAM Y TE HUYEN THOAI SON </t>
  </si>
  <si>
    <t>AP TRUNG BINH, XA THOAI GIANG, HUYEN THOAI SON, TINH AN GIANG</t>
  </si>
  <si>
    <t>TT68079</t>
  </si>
  <si>
    <t>CC_540526-HCM</t>
  </si>
  <si>
    <t>BF24007365</t>
  </si>
  <si>
    <t>1 bút lỗi bị cứng không điều chỉnh liều</t>
  </si>
  <si>
    <t>CC_550526-HCM</t>
  </si>
  <si>
    <t>CC_570526-HCM</t>
  </si>
  <si>
    <t>GVH0294</t>
  </si>
  <si>
    <t>01 viên dính giấy bạc bên trong, vỡ</t>
  </si>
  <si>
    <t>VIÊN</t>
  </si>
  <si>
    <t>CONG TY TNHH BENH VIEN MEDIC CA MAU</t>
  </si>
  <si>
    <t>320 TRAN HUNG DAO, KHOM 2, PHUONG TAN THANH, THANH PHO CA MAU, TINH CA MAU</t>
  </si>
  <si>
    <t>5R961</t>
  </si>
  <si>
    <t>TT68635</t>
  </si>
  <si>
    <t>Thân chai bị nứt và thuốc bị chảy dính viên lại với nhau</t>
  </si>
  <si>
    <t>04/01/2025</t>
  </si>
  <si>
    <t>26/02/2026</t>
  </si>
  <si>
    <t xml:space="preserve"> TT68975</t>
  </si>
  <si>
    <t>NHA THUOC HA THANH PHARMACY</t>
  </si>
  <si>
    <t>882 DUONG TRAN HUNG DAO, PHUONG DONG DA, THANH PHO QUY NHON, TINH BINH DINH</t>
  </si>
  <si>
    <t>A50252</t>
  </si>
  <si>
    <t>TT68645</t>
  </si>
  <si>
    <t>CC_560526-HN</t>
  </si>
  <si>
    <t>20/03/2025</t>
  </si>
  <si>
    <t>80</t>
  </si>
  <si>
    <t>bị phồng</t>
  </si>
  <si>
    <t xml:space="preserve">CONG TY CO PHAN BENH VIEN DA KHOA TAM ANH </t>
  </si>
  <si>
    <t>Đã báo email cho 
Hãng đồng ý đổi hàng cho khách</t>
  </si>
  <si>
    <t xml:space="preserve">
Hãng chấp nhận khiếu nại
Đã gửi thông tin cập nhật đến hãng</t>
  </si>
  <si>
    <t>2 bút bị phình đầu bơm tiêm, không gắn đầu kim được</t>
  </si>
  <si>
    <t>CHI NHANH CONG TY CO PHAN BENH VIEN DA KHOA QUOC TE VINMEC</t>
  </si>
  <si>
    <t>THUC PHAM BAO VE SUC KHOE OCEAN HEALTH VITAMIN D3 1000IU</t>
  </si>
  <si>
    <t>SC0073</t>
  </si>
  <si>
    <t>Ngày 23/5/2026 DS mở seal hộp thuốc ra và phát hiện gói hút ẩm bị lỗi không còn nguyên vẹn, các hạt hút ẩm bị rơi ra khỏi túi nilong và trộn lẫn với thuốc</t>
  </si>
  <si>
    <t>590</t>
  </si>
  <si>
    <t>CC_590526-HCM</t>
  </si>
  <si>
    <t>720A DIEN BIEN PHU, PHUONG 22, QUAN BINH THANH, THANH PHO HO CHI MINH, VIET NAM</t>
  </si>
  <si>
    <t>TT69450</t>
  </si>
  <si>
    <t>Đã mail cho hãng, hãng đồng ý đền bù cho khách, hàng khiếu nại thu về xuất về văn phòng hãng
--&gt; Hoàn tất</t>
  </si>
  <si>
    <t>14/02/2026</t>
  </si>
  <si>
    <t>THÁNG</t>
  </si>
  <si>
    <t>CC_600626-HN</t>
  </si>
  <si>
    <t>A08922533</t>
  </si>
  <si>
    <t>07/11/2027</t>
  </si>
  <si>
    <t>Khách báo có vẻ như bị mốc, viên màu trắng có đốm vàng</t>
  </si>
  <si>
    <t>CC_610626-ĐN</t>
  </si>
  <si>
    <t>TT70480</t>
  </si>
  <si>
    <t>BENH VIEN PHU SAN - NHI DA NANG</t>
  </si>
  <si>
    <t>Y3C19D1</t>
  </si>
  <si>
    <t xml:space="preserve"> 29/02/2028</t>
  </si>
  <si>
    <t>1 liều vaccine hexaxim bị tuột Pitong ra ngoài</t>
  </si>
  <si>
    <t>CC_150226-ĐN-HUY</t>
  </si>
  <si>
    <t>NHA THUOC THANH TUNG</t>
  </si>
  <si>
    <t>TO DAN PHO TRUNG CHINH, PHUONG HAI HOA, THI XA NGHI SON, TINH THANH HOA</t>
  </si>
  <si>
    <t>NEXIUM MUPS TAB 40MG BL 2X7 EA VN</t>
  </si>
  <si>
    <t>ZRWL</t>
  </si>
  <si>
    <t>BN tới mua tại NT báo màu bên NT nhạt hơn, BN báo uống hàng của NT bị dị ứng ngứa</t>
  </si>
  <si>
    <t>TT70693</t>
  </si>
  <si>
    <t>CC_580526-ĐN-HUY</t>
  </si>
  <si>
    <t>HuỶ khiếu nại</t>
  </si>
  <si>
    <t>Không rõ nguyên nhân</t>
  </si>
  <si>
    <t>28/05: gửi email hỏi thêm thông tin
01/06: gửi email hỏi thêm thông tin
03/06: Email báo hãng huỷ case:
HĐ đã cố gắng liên hệ với khách hàng nhiều lần từ ngày nhận được khiếu nại để làm rõ thông tin nhưng không nhận được phản hồi của khách.
Do đó, HĐ xin được huỷ khiếu nại với lý do "không liên lạc được".
Nếu khách hàng chủ động liên hệ lại, khiếu nại sẽ được xử lý như một trường hợp tiếp nhận mới.</t>
  </si>
  <si>
    <t xml:space="preserve"> Số 402 đường Lê Văn Hiến, Phường Ngũ Hành Sơn, Thành phố Đà Nẵng</t>
  </si>
  <si>
    <t>CC_630626-HCM</t>
  </si>
  <si>
    <t>TT70580</t>
  </si>
  <si>
    <t>HO KINH DOANH TRUNG TAM TIEM CHUNG TNT NINH HOA</t>
  </si>
  <si>
    <t>báo cáo về việc vắc xin bị lỗi như sau: sáng hôm nay (3/6/2026) khi lấy vắc xin Hexaxim ra để tiêm cho khách thì phát hiện ống xi lanh chứa vắc xin có lượng thuốc ít hơn bình thường (hình ảnh gửi kèm) và có dấu hiệu thuốc bị chảy ra khay nhựa (chứa xi lanh)</t>
  </si>
  <si>
    <t xml:space="preserve"> Y3E09D1</t>
  </si>
  <si>
    <t>04/08/2025</t>
  </si>
  <si>
    <t>02/03/2024</t>
  </si>
  <si>
    <t>08/11/2025</t>
  </si>
  <si>
    <t>20/05/2024</t>
  </si>
  <si>
    <t>43 TRAN QUY CAP TDP 2, PHUONG NINH HIEP, THI XA NINH HOA, TINH KHANH HOA</t>
  </si>
  <si>
    <t>Hãng chấp nhận khiếu nại, tiến hành đền bù cho khách; thu mẫu định kỳ
--&gt; Hoàn tất</t>
  </si>
  <si>
    <t>CC_640626-HCM</t>
  </si>
  <si>
    <t>TT70972</t>
  </si>
  <si>
    <t xml:space="preserve">	THUOC NHO MAT (V.ROHTO VITAMIN) 13 ML</t>
  </si>
  <si>
    <t>CC01</t>
  </si>
  <si>
    <t>có dị vật bên trong</t>
  </si>
  <si>
    <t>13/03/2026</t>
  </si>
  <si>
    <t>CÔNG TY CỔ PHẦN DƯỢC PHẨM THIẾT BỊ Y TẾ HÀ NỘI</t>
  </si>
  <si>
    <t>SỐ 2, PHỐ HÀNG BÀI, PHƯỜNG CỬA NAM, THÀNH PHỐ HÀ NỘI</t>
  </si>
  <si>
    <t xml:space="preserve"> FLB04368</t>
  </si>
  <si>
    <t>05</t>
  </si>
  <si>
    <t>Ngày 04/06/2026, Kho Công ty Hapharco có nhận hàng từ Chi nhánh công ty TNHH Dược phẩm và trang thiết bị Hoàng Đức 200 hộp Depakine  200mg/ml lô FLB04368 (tương đương 4 kiện nguyên) theo hóa đơn 00071180 ( ngày 2/6/2026).
Trong quá trình kiểm nhập 100% số hàng hóa, phát hiện tổng 05 hộp Depakine  200mg/ml lô FLB04368 bị rách vỏ trong 02 kiện nguyên.</t>
  </si>
  <si>
    <t>CC_650626-HN</t>
  </si>
  <si>
    <t>Không có thông tin</t>
  </si>
  <si>
    <t>Đã báo email cho hãng
Hãng đồng ý khiếu nại
--&gt; hoàn tất</t>
  </si>
  <si>
    <t>(HOP 60 GOI) DAU GOI CHONG GAU (SELSUN ANTI-DANDRUFF SHAMPOO WITH SELENIUM SULFIDE ) GOI 5ML</t>
  </si>
  <si>
    <t>bị mờ thông tin lô date trên vỏ hộp</t>
  </si>
  <si>
    <t>CC20</t>
  </si>
  <si>
    <t>NHA THUOC HUYEN TRAM</t>
  </si>
  <si>
    <t>59 DUONG B6, TO 13, PHUONG NAM CUONG, TP. LAO CAI</t>
  </si>
  <si>
    <t>040D037</t>
  </si>
  <si>
    <t>viên thuốc bị bong bên trong vỉ như hình đính kèm</t>
  </si>
  <si>
    <t>28/07/2025</t>
  </si>
  <si>
    <t>CC_670626-HN</t>
  </si>
  <si>
    <t>CÔNG TY TNHH MEDLATEC VIỆT NAM</t>
  </si>
  <si>
    <t>SỐ 42 ‑ 44, PHỐ NGHĨA DŨNG, PHƯỜNG HỒNG HÀ, THÀNH PHỐ HÀ NỘI, VIỆT NAM</t>
  </si>
  <si>
    <t>PANFOR SR-500 (HOP/5 VI X 20 VIEN)</t>
  </si>
  <si>
    <t>A0882501</t>
  </si>
  <si>
    <t>PANFOR SR-750 (HOP/10 VI X 10 VIEN)</t>
  </si>
  <si>
    <t>PANFOR SR-1000 (HOP/5 VI X 20 VIEN)</t>
  </si>
  <si>
    <t>A08902517</t>
  </si>
  <si>
    <t>18000</t>
  </si>
  <si>
    <t>4400</t>
  </si>
  <si>
    <t>A08902516</t>
  </si>
  <si>
    <t>10000</t>
  </si>
  <si>
    <t>08892602</t>
  </si>
  <si>
    <t>3000</t>
  </si>
  <si>
    <t xml:space="preserve"> thuốc bị bong phần bột ở viên nén</t>
  </si>
  <si>
    <t>Hãng chấp nhận khiếu nại
-&gt; Hàng lỗi về gửi về địa chỉ hãng cung cấp. Kiểm tra hàng về kho đốm vàng có thể là bột thuốc của mặt màu vàng dính lên</t>
  </si>
  <si>
    <t>TT71362</t>
  </si>
  <si>
    <t>KHOA DUOC BENH VIEN DA LIEU</t>
  </si>
  <si>
    <t>CC_720626-HCM</t>
  </si>
  <si>
    <t>02 NGUYEN THONG, PHUONG VO THI SAU, QUAN 3, THANH PHO HO CHI MINH, VIET NAM</t>
  </si>
  <si>
    <t>E50801</t>
  </si>
  <si>
    <t>hộp có tem niêm phong 2 đầu, khi mở hộp ra thấy dung dịch trong chai chảy ra nắp lọ và chảy ra hộp như ảnh đính kèm</t>
  </si>
  <si>
    <t>18/08/2025</t>
  </si>
  <si>
    <t>TT72892</t>
  </si>
  <si>
    <t>TT42067</t>
  </si>
  <si>
    <t xml:space="preserve">
Báo email cho hãng
Hãng chấp nhận khiếu nại, tiến hành đền bù cho khách 
Phía CS không xin được thêm thông tin hình ảnh do đó hàng về kho sẽ chụp để lưu thông tin.
--&gt; Hoàn tất
12/06/2026 CS thông tin, khách không cung cấp hồ sơ để tiến hành đền bù</t>
  </si>
  <si>
    <t>CONG TY DUOC PHAM TUAN PHUONG</t>
  </si>
  <si>
    <t>CC_730626-HCM</t>
  </si>
  <si>
    <t>KIOT D3-D4- 134/1 TO HIEN THANH- P. 15</t>
  </si>
  <si>
    <t>APROVEL 300MG TAB B/ 2BLS X 14 VN</t>
  </si>
  <si>
    <t>GA3670</t>
  </si>
  <si>
    <t>hộp thuốc không có số lô và số date.</t>
  </si>
  <si>
    <t>TT73075</t>
  </si>
  <si>
    <t>CC_750626-HCM</t>
  </si>
  <si>
    <t>Đã báo email cho hãng
-&gt; 11/06/2026 hãng chấp nhận khiếu nại
-&gt; 15/06/2026 khách báo đóng case không đổi hàng</t>
  </si>
  <si>
    <t>TRAM Y TE PHUONG BINH LOI TRUNG</t>
  </si>
  <si>
    <t xml:space="preserve"> Y1D95D1</t>
  </si>
  <si>
    <t>99/6 NO TRANG LONG, PHUONG 11, QUAN BINH THANH, THANH PHO HO CHI MINH</t>
  </si>
  <si>
    <t>TT73978</t>
  </si>
  <si>
    <t>TT62570</t>
  </si>
  <si>
    <t>TT53077</t>
  </si>
  <si>
    <t>TT48288</t>
  </si>
  <si>
    <t>TT47928</t>
  </si>
  <si>
    <t>TT44700</t>
  </si>
  <si>
    <t>TT73159</t>
  </si>
  <si>
    <t>TTYT PHONG ĐIỀN</t>
  </si>
  <si>
    <t>23 ĐẶNG VĂN HÒA, PHƯỜNG PHONG ĐIỀN, THÀNH PHỐ HUẾ</t>
  </si>
  <si>
    <t>IC438A</t>
  </si>
  <si>
    <t>36</t>
  </si>
  <si>
    <t>hộp còn nguyên nhìn bên ngoài không bị chảy nước hay ố vàng nhưng bên trong các ống thuốc lại bị bể</t>
  </si>
  <si>
    <t>BENH VIEN DAI HOC Y HA NOI – KHO 1(QUAY THUOC BENH VIEN)</t>
  </si>
  <si>
    <t>SO 37 , PHO HAI BA TRUNG, PHUONG TRANG TIEN, QUAN HOAN KIEM, THANH PHO HA NOI</t>
  </si>
  <si>
    <t>STERIMAR SENSITIVE NOSE 50 ML</t>
  </si>
  <si>
    <t>FE4046C</t>
  </si>
  <si>
    <t>NHA THUOC BENH VIEN HUU NGHI VIET NAM-CUBA</t>
  </si>
  <si>
    <t>CC_760626-HN</t>
  </si>
  <si>
    <t>CC_770626-HN</t>
  </si>
  <si>
    <t>SO 1 PHO TON THAT TUNG, PHUONG TRUNG TU, QUAN DONG DA, THANH PHO HA NOI</t>
  </si>
  <si>
    <t>Đã báo email cho hãng
Hãng đồng ý khiếu nại
--&gt; hoàn tất
Ngày 23.06:  TT Phong Điền thông tin số hàng bị bể đã được thu dọn và không còn sản phẩm để hoàn trả. Do đó, TT phản hồi không thực hiện bồi hoàn cho trường hợp này.</t>
  </si>
  <si>
    <t>HÃNG</t>
  </si>
  <si>
    <t>HY</t>
  </si>
  <si>
    <t>SA</t>
  </si>
  <si>
    <t>OPELLA</t>
  </si>
  <si>
    <t>MG</t>
  </si>
  <si>
    <t>SD</t>
  </si>
  <si>
    <t>RH</t>
  </si>
  <si>
    <t>AZ</t>
  </si>
  <si>
    <t>PD</t>
  </si>
  <si>
    <t>HT</t>
  </si>
  <si>
    <t>WO</t>
  </si>
  <si>
    <t>GZ</t>
  </si>
  <si>
    <t>RD</t>
  </si>
  <si>
    <t>DV</t>
  </si>
  <si>
    <t>MY</t>
  </si>
  <si>
    <t>NV</t>
  </si>
  <si>
    <t>TT47237</t>
  </si>
  <si>
    <t>Đã báo hãng và xin hướng xử lý
25/02/2026 hãng đồng ý đền bù, 
Đang chờ điều tra từ nhà máy, hàng đang hold 
Số khiếu nại :COMP-VN-2026-021.</t>
  </si>
  <si>
    <t>Thiếu 1 lọ trong hộp nguyên seal</t>
  </si>
  <si>
    <t xml:space="preserve">Đã báo email cho hãng
Hãng đồng ý khiếu nại để hỗ trợ khách
--&gt; hoàn tất
</t>
  </si>
  <si>
    <t>CC_740626-ĐN HUY</t>
  </si>
  <si>
    <t>TANG 3, SO 164 PHAN VAN TRI, PHUONG 12, QUAN BINH THANH, TP HO CHI MINH</t>
  </si>
  <si>
    <t>BENH VIEN DA KHOA HONG NGOC - PHUC TRUONG MINH</t>
  </si>
  <si>
    <t>5I133</t>
  </si>
  <si>
    <t>CHƯA NHẬP NGÀY</t>
  </si>
  <si>
    <t>17/03/2026</t>
  </si>
  <si>
    <t>TT77473</t>
  </si>
  <si>
    <t>BENH VIEN UNG BUOU DA NANG</t>
  </si>
  <si>
    <t>XENETIX 300 (HOP/10 LO x 100ML)</t>
  </si>
  <si>
    <t>DUONG HOANG THI LOAN, TO 28, PHUONG HOA MINH, QUAN LIEN CHIEU, THANH PHO DA NANG, VIET NAM.</t>
  </si>
  <si>
    <t>CC_790626-ĐN</t>
  </si>
  <si>
    <t>24WC0573</t>
  </si>
  <si>
    <t>Do có phản ứng ADR nên khách yêu cầu đổi trả</t>
  </si>
  <si>
    <t>1130</t>
  </si>
  <si>
    <t>CC_800726-HCM</t>
  </si>
  <si>
    <t>CC_810726-ĐN</t>
  </si>
  <si>
    <t>TT77126</t>
  </si>
  <si>
    <t>BỆNH VIỆN ĐA KHOA QUỐC TẾ VINMEC ĐÀ NẴNG</t>
  </si>
  <si>
    <t>Y1D48D1</t>
  </si>
  <si>
    <t xml:space="preserve">1 lọ bột đông khô bị vỡ </t>
  </si>
  <si>
    <t>ĐƯỜNG 30 THÁNG 4, KHU DÂN CƯ SỐ 4 NGUYỄN TRI PHƯƠNG, PHƯỜNG HÒA CƯỜNG, THÀNH PHỐ ĐÀ NẴNG, VIỆT NAM</t>
  </si>
  <si>
    <t>TT77505</t>
  </si>
  <si>
    <t>TT77281</t>
  </si>
  <si>
    <t>BENH VIEN DA KHOA BA RIA</t>
  </si>
  <si>
    <t>700</t>
  </si>
  <si>
    <t>IMEX</t>
  </si>
  <si>
    <t>AB</t>
  </si>
  <si>
    <t>VE</t>
  </si>
  <si>
    <t>BS</t>
  </si>
  <si>
    <t>WW</t>
  </si>
  <si>
    <t>Đã email cho hãng và nhận được thông tin chờ hướng xử lý từ nhà máy
Chờ phản hồi từ hãng
01/07/26 hãng đồng ý đền bù cho khách, hàng khiếu nại thu về xuất trả hãng
--&gt; hoàn tất</t>
  </si>
  <si>
    <t>CC_830726-HCM</t>
  </si>
  <si>
    <t>Sau khi pha khoảng 01 tiếng 30 phút sau quan sát bằng cảm quan phát hiện bơm tiêm 50ml chứa thuốc iritero 33mg tương đương 1.65ml và Glucose 5% vđ 50ml những bọt li ti quanh thành và đáy bơm tiêm, dung dịch bị đục hơn so với khi vừa mới pha.</t>
  </si>
  <si>
    <t>IRITERO 40MG/2ML (HOP/1 LO)</t>
  </si>
  <si>
    <t>O250469F</t>
  </si>
  <si>
    <t>Đang liên hệ khách để xin thêm thông tin</t>
  </si>
  <si>
    <t>Đã báo email cho hãng
-&gt; cần xin thêm thông tin gửi hãng -&gt; khách không cung cấp được thông tin và báo đóng case</t>
  </si>
  <si>
    <t>Ống thuốc lỗi như hình ảnh đính kèm (ống thuốc bên trong có vẩn đục)</t>
  </si>
  <si>
    <t>CC_780626-HN HUY</t>
  </si>
  <si>
    <t>Người lập/ Prepared by</t>
  </si>
  <si>
    <t>CC_840726-HCM</t>
  </si>
  <si>
    <t xml:space="preserve"> TT78987</t>
  </si>
  <si>
    <t xml:space="preserve">CONG TY CO PHAN BENH VIEN DA KHOA TAM TRI CAO LANH   </t>
  </si>
  <si>
    <t>SO 1, DUONG LE THI RIENG, PHUONG 1, THANH PHO CAO LANH, TINH DONG THAP, VIET NAM</t>
  </si>
  <si>
    <t>RYZONAL (HOP/60VIEN)</t>
  </si>
  <si>
    <t>260135</t>
  </si>
  <si>
    <t>Đã báo hãng, đang liên hệ khách xin thêm thông tin</t>
  </si>
  <si>
    <t>Bị lỗi vỉ trong hộp nguyên</t>
  </si>
  <si>
    <t>CC_850726-HCM</t>
  </si>
  <si>
    <t>CC_860726-HCM</t>
  </si>
  <si>
    <t xml:space="preserve">	
TYPHIM VI BOX OF 1 SYRINGE 0.5ML</t>
  </si>
  <si>
    <t>5PA86D2</t>
  </si>
  <si>
    <t>Khi thực hiện kiểm tra cảm quan thì phát hiện Pittong bị vỡ và tem dán trên bơm tiêm bị rách</t>
  </si>
  <si>
    <t>Đã báo email cho hãng
-&gt; liên hệ với khách vài lần nhưng chưa có phản hồi, đến 18/06 có thông tin thì gửi cập nhật cho hãng
-&gt; khách không có yêu cầu gì và đồng ý đóng case</t>
  </si>
  <si>
    <t>CC_620626-HN HUY</t>
  </si>
  <si>
    <t>CC_870726-HN</t>
  </si>
  <si>
    <t>TETRAXIM 0.5ML 1D INJ PS1 M36 VN</t>
  </si>
  <si>
    <t>Y3G09D1</t>
  </si>
  <si>
    <t>CONG TY TNHH Y KHOA TAM PHUC BINH DUONG</t>
  </si>
  <si>
    <t>2hộp vaccine Tetraxim bị dính vào nhau (hình ảnh đính kèm)</t>
  </si>
  <si>
    <t xml:space="preserve"> TT80235</t>
  </si>
  <si>
    <t>THUA DAT SO 44, TO BAN DO SO 27, TO 1, KHU PHO LONG BINH, PHUONG KHANH BINH, THANH PHO TAN UYEN, TIN</t>
  </si>
  <si>
    <t>5I197</t>
  </si>
  <si>
    <t xml:space="preserve">Mất nhãn </t>
  </si>
  <si>
    <t>Nhận được thông tin từ hãng, đồng ý đền bù chẵn hộp cho khách</t>
  </si>
  <si>
    <t>TT79521</t>
  </si>
  <si>
    <t>BV QUÂN DÂN Y TRÀ VINH</t>
  </si>
  <si>
    <t xml:space="preserve">Bút bị lỗi </t>
  </si>
  <si>
    <t>TT81488</t>
  </si>
  <si>
    <t>CONG TY CO PHAN BENH VIEN DA KHOA TU NHAN AN SINH</t>
  </si>
  <si>
    <t xml:space="preserve"> 10 TRAN HUY LIEU, PHUONG 11, QUAN PHU NHUAN, TP. HO CHI MINH</t>
  </si>
  <si>
    <t>APTAMIL PROFUTURA CESARBIOTIK 1 INFANT FORMULA 380G</t>
  </si>
  <si>
    <t xml:space="preserve"> 2028.03.09</t>
  </si>
  <si>
    <t>DE</t>
  </si>
  <si>
    <t>TT81119</t>
  </si>
  <si>
    <t>SO 124 DUONG NGUYEN DUC CANH, PHUONG AN BIEN, QUAN LE CHAN, THANH PHO HAI PHONG, VIET NAM</t>
  </si>
  <si>
    <t>15/02/2024</t>
  </si>
  <si>
    <t>16/02/2026</t>
  </si>
  <si>
    <t>11/02/2026</t>
  </si>
  <si>
    <t>Hủy khiếu nại do hàng được từ chối nhận tại thời điểm giao nên sẽ ghi nhận vào BBSC (BBSC.HCM-0260-0526)</t>
  </si>
  <si>
    <t>CC_660626-HCM HUY</t>
  </si>
  <si>
    <t xml:space="preserve">BENH VIEN DA KHOA QUOC TE HAI PHONG </t>
  </si>
  <si>
    <t>BF25009336</t>
  </si>
  <si>
    <t>219 NGUYEN THI MINH KHAI, NGUYET HOA,VINH LONG</t>
  </si>
  <si>
    <t>Đã báo email cho hãng
Sau khi điều tra, phía khách không cung cấp được chứng cứ lỗi từ phía Hoàng Đức và nhà sản xuất nên từ chối khiếu nại
--&gt; Hoàn tất</t>
  </si>
  <si>
    <t>6F0601A</t>
  </si>
  <si>
    <t xml:space="preserve"> CONG TY TNHH MTV BENH VIEN DAI HOC NAM CAN THO </t>
  </si>
  <si>
    <t>168, DUONG SONG HANH QUOC LO 1A, KHU DAN CU HONG LOAN, PHUONG HUNG THANH, QUAN CAI RANG, TP. CAN THO</t>
  </si>
  <si>
    <t>Bút bị lỗi bơm không ra thuốc</t>
  </si>
  <si>
    <t>TT82627</t>
  </si>
  <si>
    <t>Đã báo email cho hãng -&gt; điều tra tại kho ghi nhận 65h rách kho Hưng Yên và 19h rách kho Long Hậu
-&gt; gửi 2 hộp lỗi nặng về hãng điều tra</t>
  </si>
  <si>
    <t>CC_910726-HCM HUY</t>
  </si>
  <si>
    <t>Sau khi khách làm theo hướng dẫn của sử dụng bút, bút đã sử dụng được nên khách hủy khiếu nại
--&gt; hoàn tất</t>
  </si>
  <si>
    <t>BENH VIEN DA KHOA LAM DONG</t>
  </si>
  <si>
    <t>01 PHAM NGOC THACH, PHUONG 6, TP DA LAT, TINH LAM DONG</t>
  </si>
  <si>
    <t>CC_920726-HCM</t>
  </si>
  <si>
    <t>ST</t>
  </si>
  <si>
    <t xml:space="preserve">Không phải lỗi vì sau khi khách làm theo hướng dẫn, bút đã sử dụng được </t>
  </si>
  <si>
    <t>Bị chảy nước</t>
  </si>
  <si>
    <t>SANTE LUTAX 15 +VITAMIN &amp; MINERAL 90S VN</t>
  </si>
  <si>
    <t>LA5028</t>
  </si>
  <si>
    <t>31/10/2024</t>
  </si>
  <si>
    <t>Santen nhận được khiếu nại như sau:
Nhà thuốc Bệnh viện Mắt Sài Gòn, 77 Nguyễn Du, phường Hai Bà Trưng, Hà Nội. Người liên hệ: Vũ Ngân Giang– 0943923419
Thông tin khiếu nại: Bệnh nhân khám ngày 17/7, mở hộp vào 18/7. BN khám và mua thuốc tại Bệnh viện Mắt Sài Gòn – Hà Nội (Nguyễn Du), lưu trữ tại nhà. Khi mua sản phẩm không có biểu hiện gì, nhưng lúc BN mở ra thấy tổ kiến trong hộp giấy (thuốc trong túi nhôm vẫn nguyên vẹn).
Sản phẩm được phân phối qua Chân Tâm</t>
  </si>
  <si>
    <t>TT82301</t>
  </si>
  <si>
    <t>Liên hệ khách xin thêm thông tin vì điều tra tại kho và vận chuyển không ghi nhận bất thường gây lỗi như khiếu nại
Đã liên hệ khách nhiều lần nhưng không nhận được thông tin
--&gt; Hoàn tất</t>
  </si>
  <si>
    <t>U1A BẠCH MÃ, PHƯỜNG HÒA HƯNG, THÀNH PHỐ HỒ CHÍ MINH</t>
  </si>
  <si>
    <t>CÔNG TY CỔ PHẦN DƯỢC PHẨM CHÂN TÂM</t>
  </si>
  <si>
    <t>CC_940726-HCM</t>
  </si>
  <si>
    <t>TT84061</t>
  </si>
  <si>
    <t>TRUNG TAM Y TE SON HOA</t>
  </si>
  <si>
    <t>67 NGUYEN CHI THANH, TT CUNG SON, SON HOA, PHU YEN</t>
  </si>
  <si>
    <t>CORDARONE 150MG/3ML INJ B/6 AMPS VN</t>
  </si>
  <si>
    <t xml:space="preserve">5J4234 </t>
  </si>
  <si>
    <t>phản ánh có dùng CORDARONE chung với nước biển thì có hiện tượng sủi bọt</t>
  </si>
  <si>
    <t>TT83590</t>
  </si>
  <si>
    <t>Đã báo email cho hãng
hãng đồng ý đền bù
28/07/26 , khách không yêu cầu đền bù</t>
  </si>
  <si>
    <t>Đã báo email cho hãng
hãng đồng ý đền bù
28/07/26 , khách không yêu cầu đền bù, xử lý nội bộ
---&gt; báo hãng và hoàn tất case</t>
  </si>
  <si>
    <t>CC_890726-HCM HUY</t>
  </si>
  <si>
    <t>Báo email cho hãng 
Hãng đồng ý khiếu nại
--&gt; hoàn tất</t>
  </si>
  <si>
    <t>CC_950726-ĐN</t>
  </si>
  <si>
    <t>TT85221</t>
  </si>
  <si>
    <t>CÔNG TY CỔ PHẦN Y KHOA BÁC SĨ GIA ĐÌNH</t>
  </si>
  <si>
    <t>73 NGUYỄN HỮU THỌ, PHƯỜNG HÒA THUẬN TÂY, QUẬN HẢI CHÂU, THÀNH PHỐ ĐÀ NẴNG, VIỆT NAM</t>
  </si>
  <si>
    <t>AB731</t>
  </si>
  <si>
    <t>hộp thuốc có 1 viên bị đổi màu</t>
  </si>
  <si>
    <t>TT85314</t>
  </si>
  <si>
    <t>BENH VIEN DA KHOA PHU YEN</t>
  </si>
  <si>
    <t>15 NGUYEN HUU THO, PHUONG 9, TP. TUY HOA, TINH PHU YEN</t>
  </si>
  <si>
    <t>5F535A</t>
  </si>
  <si>
    <t>Không có thuốc bên trong bút tiêm</t>
  </si>
  <si>
    <t>TT85396</t>
  </si>
  <si>
    <t>BV Bình Dân có phản hồi về việc sản phẩm Fortrans bị rách túi như trên hình.
Nhà thuốc báo đã có 4-5 hộp, mỗi hộp 1-2 gói.</t>
  </si>
  <si>
    <t>Báo email cho hãng 
Hãng đồng ý khiếu nại. Mẫu khiếu nại bảo quản khu biệt trữ chờ quyết định của hãng
--&gt; hoàn tất</t>
  </si>
  <si>
    <t xml:space="preserve">HO KINH DOANH NHA THUOC TAM ANH </t>
  </si>
  <si>
    <t>LO 1.03 AN BINH PLAZA, SO 97 PHO TRAN BINH, PHUONG MY DINH 2, QUAN NAM TU LIEM, THANH PHO HA NOI</t>
  </si>
  <si>
    <t>TT86978</t>
  </si>
  <si>
    <t>OSTEOCARE LIQUID 200ML</t>
  </si>
  <si>
    <t>Dung dịch bị đặc</t>
  </si>
  <si>
    <t>60139</t>
  </si>
  <si>
    <t>BENH VIEN BINH DAN _ NHA THUOC BENH VIEN BINH DAN</t>
  </si>
  <si>
    <t>371 DIEN BIEN PHU, P4, QUAN 3, TP HCM</t>
  </si>
  <si>
    <t>E03274</t>
  </si>
  <si>
    <t xml:space="preserve"> 31/12/2027</t>
  </si>
  <si>
    <t>TẦNG 3, SỐ 164 PHAN VĂN TRỊ, PHƯỜNG BÌNH THẠNH, THÀNH PHỐ HCM</t>
  </si>
  <si>
    <t>OSPAMOX 500MG TAB 10.S (NQ)</t>
  </si>
  <si>
    <t>040D038</t>
  </si>
  <si>
    <t>bị lỗi mốc</t>
  </si>
  <si>
    <t>CC_990826-ĐN</t>
  </si>
  <si>
    <t>Khách hàng TRUNG TÂM KIỂM SOÁT BỆNH TẬT ĐÀ NẴNG có khiếu nại về việc: Thông tin Lô sản xuất trên vỏ hộp và bơm tiêm khác nhau. Hiện khách đang yêu cầu giải thích về sự sai khác trên. Thông tin cụ thể sản phẩm:
Tetraxim: Lô trên bơm tiêm (Y3D98); Số lô trên vỏ hộp (Y3D98D1)
Avaxim: Lô trên bơm tiêm (Y3G10); Số lô trên vỏ hộp (Y3G10D1)</t>
  </si>
  <si>
    <t>TRUNG TAM KIEM SOAT BENH TAT DA NANG</t>
  </si>
  <si>
    <t>TETRAXIM 0.5ML 1D INJ PS1 M36 VN
AVAXIM 80U PEDIATRIC</t>
  </si>
  <si>
    <t xml:space="preserve">07/08/2026 Hãng đã trả lời </t>
  </si>
  <si>
    <t xml:space="preserve">Báo email cho hãng 
Hãng đồng ý khiếu nại
--&gt; hoàn tất
Hủy khiếu nại do khách không còn giữ mẫu khiếu nại--&gt; không thể đền bù </t>
  </si>
  <si>
    <t>CC_960726-HCM HUY</t>
  </si>
  <si>
    <t>CC_1000826-HN</t>
  </si>
  <si>
    <t>Nhận được thông tin từ Santen
27/07/2026: nhận được phản hồi từ Chân Tâm
10/08 : hãng đồng ý close case do bên Chân Tâm không đồng ý việc đền bù cho khách vì lỗi không thuốc Chân Tâm
--&gt; hoàn tất</t>
  </si>
  <si>
    <t>CC_930726-HN HUY</t>
  </si>
  <si>
    <t>Báo email hãng
-&gt; Hãng đồng ý đền bù, hàng lỗi thu về trả hãng</t>
  </si>
  <si>
    <t>Báo email cho hãng
-&gt; hãng đồng ý đổi hàng
-&gt; không còn mẫu khiếu nại không thể đền bù cho khách</t>
  </si>
  <si>
    <t>CC_980826-HN HUY</t>
  </si>
  <si>
    <t>Tetraxim: Y3D98D1; Avaxim: Y3G10D1</t>
  </si>
  <si>
    <t>Tetraxim: 22/03/2024; Avaxim: 25/08/2024</t>
  </si>
  <si>
    <t>Tetraxim: 28/02/2027; Avaxim: 31/07/2027</t>
  </si>
  <si>
    <t>118 LE DINH LY, PPHUONG THANH KHE, TP DA NANG</t>
  </si>
  <si>
    <t>Báo email cho hãng
Có phát sinh ADR (sai sót sử dụng thuốc)--&gt; số PV:  PV_170726
Hãng từ chối khiếu nại, tuy nhiên vì sản phẩm tự doanh để duy trì mối quan hệ sẽ hỗ trợ cho khách</t>
  </si>
  <si>
    <t>CC_1010826-HCM</t>
  </si>
  <si>
    <t>TT88307</t>
  </si>
  <si>
    <t>CHI NHANH CONG TY CO PHAN BENH VIEN DA KHOA TAM ANH TP. HO CHI MINH - KHOA DUOC</t>
  </si>
  <si>
    <t>FENOSUP LIDOSE 160mg</t>
  </si>
  <si>
    <t>25G02</t>
  </si>
  <si>
    <t>lỗi dập vỉ</t>
  </si>
  <si>
    <t>CC_1020826-HCM</t>
  </si>
  <si>
    <t>NHÀ THUỐC MINH KHANG PHARMACY</t>
  </si>
  <si>
    <t>KIOT SO 01, 21/17 DUONG LE THI TRUNG, KHU PHO BINH PHUOC A, PHUONG BINH CHUAN, THANH PHO THUAN AN, TINH BINH DUONG</t>
  </si>
  <si>
    <t>Lăn khử mùi hương thảo (REFRE NATURAL ROSEMARY) 40ML</t>
  </si>
  <si>
    <t>FC01</t>
  </si>
  <si>
    <t>Chai bị nứt</t>
  </si>
  <si>
    <t>TT87518</t>
  </si>
  <si>
    <t>CC_1030826-HCM</t>
  </si>
  <si>
    <t>CC_1040826-HCM</t>
  </si>
  <si>
    <t>CC_1050826-HCM</t>
  </si>
  <si>
    <t>Y1D95D1</t>
  </si>
  <si>
    <t xml:space="preserve">TYPHIM VI 25MCG </t>
  </si>
  <si>
    <t>5PA19D4</t>
  </si>
  <si>
    <t>Khi thực hiện kiểm tra cảm quan thì phát hiện Pittong bị gãy</t>
  </si>
  <si>
    <t>CC_1060826-HCM</t>
  </si>
  <si>
    <t>Khi kiểm tra cảm quan thì phát hiện cạnh trên thân bơm tiêm chứa dung môi bị vỡ</t>
  </si>
  <si>
    <t>Khi thực hiện đuổi khí thì phát hiện pittong bị cứng, không đuổi được khí</t>
  </si>
  <si>
    <t>TT89243</t>
  </si>
  <si>
    <t>Báo email cho hãng 
Số khiếu nại: COMP-VN-2026-128.
--&gt; hoàn tất, khách hủy case</t>
  </si>
  <si>
    <t>CC_970726-HCM HUY</t>
  </si>
  <si>
    <t>số khiếu nại :SCCM-012
Báo email cho hãng
Hãng chấp nhận khiếu nại và đền bù cho khách
--&gt; Hoàn tất</t>
  </si>
  <si>
    <t xml:space="preserve">CC_900726-HCM </t>
  </si>
  <si>
    <t>CC_880726-HCM</t>
  </si>
  <si>
    <t>Đã báo email cho hãng. Số PV_090626, PV_100626, PV_110626
Hãng đồng ý khiếu nại
--&gt; hoàn tất</t>
  </si>
  <si>
    <t>Đã báo email cho hãng
Hãng đồng ý khiếu nại
--&gt; hoàn tất
ngày 20/08/2026: Hoàng Đức nhận thông tin khách hủy khiếu nại, không yêu cầu đền bù</t>
  </si>
  <si>
    <t>CC_820726-HCM HUY</t>
  </si>
  <si>
    <t>Đã báo email cho hãng
-&gt; Nhà máy đang điều tra và sẽ phản hồi sau
-&gt; Hãng phản hồi tình trạng do đặc tính sản phẩm không phải lỗi
-&gt; Huỷ khiếu nại</t>
  </si>
  <si>
    <t>Không phải lỗi sản phẩm</t>
  </si>
  <si>
    <t>CC_680626-HN HUY</t>
  </si>
  <si>
    <t>CC_690626-HN HUY</t>
  </si>
  <si>
    <t>CC_700626-HN HUY</t>
  </si>
  <si>
    <t>CC_710626-HN HUY</t>
  </si>
  <si>
    <t>CC_1070826-HN</t>
  </si>
  <si>
    <t>Bơm</t>
  </si>
  <si>
    <t>Ngày 20/08/2026 viện có lấy hàng ra để sử dung thì  có 1 bơm Zoladex 3.6 lỗi “khi rút cái đỏ ra thì kim tự rơi ra luôn”</t>
  </si>
  <si>
    <t>BENH VIEN DK QUOC TE THU CUC - CN CONG TY CP Y KHOA &amp; THAM MY THU CUC</t>
  </si>
  <si>
    <t>286,288,290,292,294 THUY KHUE, PHUONG BUOI, QUAN TAY HO, THANH PHO HA NOI</t>
  </si>
  <si>
    <t>JC046A</t>
  </si>
  <si>
    <t>Sau khi nhận hàng kho thuốc có vận chuyển thùng thuốc ra kho lẻ để xếp lên tủ thì phát hiện dưới đáy thùng các hộp nospa 40mg dạng ống đều bị ngả màu vàng, vỏ hộp ẩm ( có hình ảnh đi kèm)</t>
  </si>
  <si>
    <t>CC_1080826-HN</t>
  </si>
  <si>
    <t>6</t>
  </si>
  <si>
    <t>CÔNG TY CỔ PHẦN BÁC SĨ Y KHOA GIA ĐÌNH</t>
  </si>
  <si>
    <t>GVH1466</t>
  </si>
  <si>
    <t>01 vỉ chứa 01 viên bị lỗi</t>
  </si>
  <si>
    <t>Báo email cho hãng (The case ID: QE-294063)</t>
  </si>
  <si>
    <t>CC_1100826-HCM</t>
  </si>
  <si>
    <t>TT91505</t>
  </si>
  <si>
    <t>GVH1415</t>
  </si>
  <si>
    <t xml:space="preserve"> 29/11/2027</t>
  </si>
  <si>
    <t>Trong hộp mới có 1 ống thuốc bị bể đầu chảy thuốc ướt ngoài vỉ (1 ống).
-Hình ảnh bên ngoài của hộp thuốc: không có dấu hiệu bất thường, vị trí ống bể: ở đầu vỉ, tại vị trí bể có dấu hiệu bị ướt rồi khô lại, trong ống vẫn còn nửa ống thuốc.</t>
  </si>
  <si>
    <t>CALCIUM CORBIERE EXTRA 3SUPx10 10ML VN (NEW)</t>
  </si>
  <si>
    <t>Báo email cho hãng
Hãng đồng ý đền bù cho khách chẵn hộp
--&gt; Hoàn tất</t>
  </si>
  <si>
    <t>Điện thoại</t>
  </si>
  <si>
    <t>CC_1110826-HCM</t>
  </si>
  <si>
    <t>BENH VIEN DAI HOC Y DUOC THANH PHO HO CHI MINH – CO SO 1 (KHOA DUOC)</t>
  </si>
  <si>
    <t>5F583A</t>
  </si>
  <si>
    <t>11/10/2024</t>
  </si>
  <si>
    <t>Khi mở hộp thuốc (còn nguyên niêm phong) để cấp phát cho người bệnh, bệnh viện phát hiện 1 bút thuốc không có nắp (đính kèm hình ảnh) do đó bệnh viện đã biệt trữ 1 hộp 3 bút và cấp phát hộp thuốc khác cho người bệnh.</t>
  </si>
  <si>
    <t>TT90231</t>
  </si>
  <si>
    <t>Báo email cho hãng
Hãng đồng ý đền bù cho khách chẵn hộp; xuất mẫu ngay nhận về văn phòng hãng
25/08/2026: CS liên hệ thu mẫu, bổ sung các chứng từ liên quan đền bù hàng hoá; nhưng khách báo: BV không trả vỉ thuốc lỗi, BV tự xử lý. --&gt; Hoàn tất; HUỶ KHIẾU NẠI</t>
  </si>
  <si>
    <t>CC_1090826-ĐN-HUY</t>
  </si>
  <si>
    <t>gửi mail báo hãng, đề nghị khách hàng cung cấp thêm chứng cứ chứng minh lỗi xuất phát từ Hoàng Đức
-&gt; CS trao đổi với khách và khách đồng ý đóng case</t>
  </si>
  <si>
    <t>215 HONG BANG, PHUONG 11, QUAN 5, TPHCM</t>
  </si>
  <si>
    <t>TT91967</t>
  </si>
  <si>
    <t>CC_1120926-HCM</t>
  </si>
  <si>
    <t>TT588</t>
  </si>
  <si>
    <t xml:space="preserve">BENH VIEN HUNG VUONG </t>
  </si>
  <si>
    <t>SX228</t>
  </si>
  <si>
    <t>mặt vát kim bị lệch</t>
  </si>
  <si>
    <t>CC_1130926-HCM</t>
  </si>
  <si>
    <t>TT1038</t>
  </si>
  <si>
    <t>NHA THUOC THIEN PHUOC</t>
  </si>
  <si>
    <t>SO 29 THUAN KIEU, PHUONG 12, QUAN 5, TP.HCM</t>
  </si>
  <si>
    <t>B07845</t>
  </si>
  <si>
    <t>Khách hàng vừa nhận hàng ngày 27/08/2026, nhưng mới chỉ sử dụng được 3 lần xịt đã bị tắt vòi, không sử dụng được nữa</t>
  </si>
  <si>
    <t xml:space="preserve">HO KINH DOANH NHA THUOC KIM PHUONG   </t>
  </si>
  <si>
    <t>CC_1140926-HCM</t>
  </si>
  <si>
    <t>THUC PHAM BAO VE SUC KHOE BLOSSOMY PREMIUM THAO DUOC - HOP 10 CHAI X 50ML</t>
  </si>
  <si>
    <t>010625</t>
  </si>
  <si>
    <t>Khách khiếu nại bị vỡ 1 chai. Khách báo khi mở hàng vẫn còn nguyên seal bán cho khách mở ra mới thấy chai đã bị bể khô dưới đáy và hộp bên ngoài vẫn nguyên vẹn</t>
  </si>
  <si>
    <t>Đã báo mail cho hãng, chờ xác nhận</t>
  </si>
  <si>
    <t>Số khiếu nại : SCCM-016
Đã báo hãng</t>
  </si>
  <si>
    <t>TT1728</t>
  </si>
  <si>
    <t>SO 147, KHU PHO PHU TRUONG, THI TRAN PHU LONG, HUYEN HAM THUAN BAC, TINH BINH THUAN</t>
  </si>
  <si>
    <t>Báo email cho hãng
Liên hệ khách để xin thêm thông tin
Hãng đồng ý đổi hàng
--&gt; Hoàn tất</t>
  </si>
  <si>
    <t>BIỂU MẪU 02/ FORM 02
DANH SÁCH KHIẾU NẠI KHÁCH HÀNG 2025 (OPELLA)
LIST OF CUSTOMER COMPLAINTS 2025 (OPELLA)</t>
  </si>
  <si>
    <t>Hãng chấp nhận đền bù, Xuất mẫu sang văn phòng hãng
Ngày 17/01/2025, Khách hủy khiếu nại do không muốn cung cấp hồ sơ chứng từ cho việc hủy
--&gt; Hoàn tất; HỦY KHIẾU NẠI</t>
  </si>
  <si>
    <t>CC_050125-ĐN</t>
  </si>
  <si>
    <t>CC_190325-HCM</t>
  </si>
  <si>
    <t>Ngày 17/03/2025, báo email cho CS xin thêm thông tin
Ngày 18/03/2025, remind CS
27/03/2025, khách hủy khiếu nại, không cần đền bù
--&gt; Hoàn tất; HỦY KHIẾU NẠI</t>
  </si>
  <si>
    <t>09/09/2025:Báo mail cho hãng
Hãng đồng ý đền bù
Tuy nhiên khách không cung cấp đủ thông tin nên hủy khiếu nại
--&gt; Hoàn tất; HỦY KHIẾU NẠI</t>
  </si>
  <si>
    <t>CC_930925-HCM</t>
  </si>
  <si>
    <t>Khách hủy khiếu nại
--&gt; Hoàn tất; HỦY KHIẾU NẠI</t>
  </si>
  <si>
    <t>CC_1161025-HCM</t>
  </si>
  <si>
    <t xml:space="preserve">14/10/2025 Báo email cho hãng
--&gt; Hoàn tất
</t>
  </si>
  <si>
    <t xml:space="preserve">Lỗi không xuất phát từ Hoàng Đức và nhà sản xuất </t>
  </si>
  <si>
    <t xml:space="preserve"> Ngày 16/05/2025 CS liên hệ khách xin thêm thông tin
Ngày 19/05/2025, nhận được phản hồi từ hãng không chấp nhận khiếu nại vì lỗi không đến từ nhà sản xuất
Ngày 23/05/2025, khách không cung cấp được thông tin lỗi từ Hoàng Đức nên không tiến hành đổi cho khách
--&gt; Hoàn tất</t>
  </si>
  <si>
    <t>13/08/2025: Báo email cho hãng
13/08/2025: hãng từ chối đền bù do không đủ căn cứ để xác định lỗi từ hãng
13/08/2025: yêu cầu khách cung cấp thêm chứng cứ để điều tra nguyên nhân, đồng thời dựa vào những thông tin của khách cung cấp, lỗi không xuất phát từ Hoàng Đức
--&gt; Hoàn tất; HỦY KHIẾU NẠI</t>
  </si>
  <si>
    <t>(blank)</t>
  </si>
  <si>
    <t>30/09/2027</t>
  </si>
  <si>
    <t>10/05/2025</t>
  </si>
  <si>
    <t>10/05/2027</t>
  </si>
  <si>
    <t>02/10/2024</t>
  </si>
  <si>
    <t>01/10/2026</t>
  </si>
  <si>
    <t>30/06/2025</t>
  </si>
  <si>
    <t>30/06/2027</t>
  </si>
  <si>
    <t>Đã báo hãng, khách không cung cấp đủ chứng cứ để xác minh lỗi xuất phát từ hãng--&gt; từ chối khiếu nại
Đã hoàn tất; HỦY KHIẾU NẠI</t>
  </si>
  <si>
    <t xml:space="preserve">Lỗi không xuất phát từ quá trình bảo quản và vận chuyển của Hoàng Đức </t>
  </si>
  <si>
    <t>Số khiếu nại:  QE-296927
Đã báo hãng
Đang chờ CS xin thêm hình ảnh lỗi
Hãng đã cung cấp thông tin hình ảnh, tuy nhiên đang chờ SC confirm việc đổi trả</t>
  </si>
  <si>
    <t>CC_1140926-HCM
HUY</t>
  </si>
  <si>
    <t>CC_1150926-HCM</t>
  </si>
  <si>
    <t>BỆNH VIỆN UNG BƯỚU TP. CẦN THƠ</t>
  </si>
  <si>
    <t>REDDITUX 500MG (H/1LO X 50ML)</t>
  </si>
  <si>
    <t>N260069A</t>
  </si>
  <si>
    <t>Ngày giao thành công: 08/09/2026
Khách hàng phản ánh khi mở hộp để cấp phát cho phòng pha chế thì phát hiện 01 lọ bị vỡ phần đáy, trong khi vỏ hộp vẫn khô.</t>
  </si>
  <si>
    <t>04 CHAU VAN LIEM, PHUONG TAN AN, QUAN NINH KIEU, TP. CAN THO</t>
  </si>
  <si>
    <t>01/2026</t>
  </si>
  <si>
    <t xml:space="preserve">Đang báo CS xin thêm thông tin để xác định lỗi.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</si>
</sst>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0"/>
  </numFmts>
  <fonts count="8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VNI-Times"/>
    </font>
    <font>
      <sz val="8"/>
      <color theme="1"/>
      <name val="Arial"/>
      <family val="2"/>
    </font>
    <font>
      <b/>
      <sz val="12"/>
      <color theme="1"/>
      <name val="Tahoma"/>
      <family val="2"/>
    </font>
    <font>
      <sz val="10"/>
      <color theme="1"/>
      <name val="Arial"/>
      <family val="2"/>
    </font>
    <font>
      <b/>
      <sz val="8"/>
      <color theme="1"/>
      <name val="Arial"/>
      <family val="2"/>
    </font>
    <font>
      <sz val="12"/>
      <color theme="1"/>
      <name val="Tahoma"/>
      <family val="2"/>
    </font>
    <font>
      <i/>
      <sz val="11"/>
      <color theme="1"/>
      <name val="Tahoma"/>
      <family val="2"/>
    </font>
    <font>
      <sz val="11"/>
      <color theme="1"/>
      <name val="Tahoma"/>
      <family val="2"/>
    </font>
    <font>
      <b/>
      <sz val="11"/>
      <color theme="1"/>
      <name val="Tahoma"/>
      <family val="2"/>
    </font>
    <font>
      <b/>
      <i/>
      <sz val="11"/>
      <color theme="1"/>
      <name val="Tahoma"/>
      <family val="2"/>
    </font>
    <font>
      <sz val="11"/>
      <color theme="1"/>
      <name val="Wingdings"/>
      <charset val="2"/>
    </font>
    <font>
      <sz val="11"/>
      <color rgb="FF000000"/>
      <name val="Tahoma"/>
      <family val="2"/>
    </font>
    <font>
      <sz val="11"/>
      <color rgb="FFFF0000"/>
      <name val="Tahoma"/>
      <family val="2"/>
    </font>
    <font>
      <sz val="11"/>
      <color rgb="FFFF0000"/>
      <name val="Wingdings"/>
      <charset val="2"/>
    </font>
    <font>
      <sz val="9"/>
      <color indexed="81"/>
      <name val="Tahoma"/>
      <family val="2"/>
    </font>
    <font>
      <b/>
      <sz val="9"/>
      <color indexed="81"/>
      <name val="Tahoma"/>
      <family val="2"/>
    </font>
    <font>
      <sz val="11"/>
      <name val="Tahoma"/>
      <family val="2"/>
    </font>
    <font>
      <b/>
      <sz val="11"/>
      <color theme="1"/>
      <name val="Arial"/>
      <family val="2"/>
    </font>
    <font>
      <sz val="11"/>
      <color theme="1"/>
      <name val="Arial"/>
      <family val="2"/>
    </font>
    <font>
      <sz val="11"/>
      <color rgb="FFFF0000"/>
      <name val="Arial"/>
      <family val="2"/>
    </font>
    <font>
      <sz val="11"/>
      <color theme="9" tint="-0.249977111117893"/>
      <name val="Tahoma"/>
      <family val="2"/>
    </font>
    <font>
      <sz val="11"/>
      <color theme="9" tint="-0.249977111117893"/>
      <name val="Wingdings"/>
      <charset val="2"/>
    </font>
    <font>
      <sz val="11"/>
      <color theme="9" tint="-0.249977111117893"/>
      <name val="Arial"/>
      <family val="2"/>
    </font>
    <font>
      <sz val="11"/>
      <color theme="3" tint="0.39997558519241921"/>
      <name val="Tahoma"/>
      <family val="2"/>
    </font>
    <font>
      <sz val="8"/>
      <color theme="1"/>
      <name val="Tahoma"/>
      <family val="2"/>
    </font>
    <font>
      <sz val="10"/>
      <color theme="1"/>
      <name val="Tahoma"/>
      <family val="2"/>
    </font>
    <font>
      <b/>
      <sz val="8"/>
      <color theme="1"/>
      <name val="Tahoma"/>
      <family val="2"/>
    </font>
    <font>
      <sz val="10"/>
      <name val="Tahoma"/>
      <family val="2"/>
    </font>
    <font>
      <b/>
      <sz val="10"/>
      <name val="Arial"/>
      <family val="2"/>
    </font>
    <font>
      <sz val="10"/>
      <color theme="3"/>
      <name val="Arial"/>
      <family val="2"/>
    </font>
    <font>
      <b/>
      <sz val="10"/>
      <name val="Tahoma"/>
      <family val="2"/>
    </font>
    <font>
      <sz val="10"/>
      <name val="Arial"/>
      <family val="2"/>
    </font>
    <font>
      <sz val="10"/>
      <color rgb="FFC00000"/>
      <name val="Arial"/>
      <family val="2"/>
    </font>
    <font>
      <sz val="10"/>
      <color rgb="FFFF0000"/>
      <name val="Arial"/>
      <family val="2"/>
    </font>
    <font>
      <b/>
      <sz val="10"/>
      <color theme="1"/>
      <name val="Arial"/>
      <family val="2"/>
    </font>
    <font>
      <b/>
      <sz val="10"/>
      <color theme="3"/>
      <name val="Arial"/>
      <family val="2"/>
    </font>
    <font>
      <sz val="10"/>
      <color theme="9" tint="-0.249977111117893"/>
      <name val="Tahoma"/>
      <family val="2"/>
    </font>
    <font>
      <sz val="10"/>
      <color theme="1"/>
      <name val="Tahoma"/>
      <family val="2"/>
    </font>
    <font>
      <sz val="10"/>
      <color theme="1"/>
      <name val="Tahoma"/>
      <family val="2"/>
    </font>
    <font>
      <u/>
      <sz val="10"/>
      <color theme="10"/>
      <name val="Arial"/>
      <family val="2"/>
    </font>
    <font>
      <b/>
      <sz val="10"/>
      <name val="Arial"/>
      <family val="2"/>
    </font>
    <font>
      <sz val="10"/>
      <color theme="1"/>
      <name val="Tahoma"/>
      <family val="2"/>
    </font>
    <font>
      <sz val="10"/>
      <color theme="1"/>
      <name val="Tahoma"/>
      <family val="2"/>
    </font>
    <font>
      <sz val="10"/>
      <color theme="1"/>
      <name val="Tahoma"/>
      <family val="2"/>
    </font>
    <font>
      <sz val="10"/>
      <color theme="1"/>
      <name val="Tahoma"/>
      <family val="2"/>
    </font>
    <font>
      <sz val="10"/>
      <color theme="1"/>
      <name val="Tahoma"/>
      <family val="2"/>
    </font>
    <font>
      <sz val="10"/>
      <color theme="1"/>
      <name val="Tahoma"/>
      <family val="2"/>
    </font>
    <font>
      <b/>
      <sz val="10"/>
      <color theme="1"/>
      <name val="Tahoma"/>
      <family val="2"/>
    </font>
    <font>
      <b/>
      <sz val="10"/>
      <name val="Arial"/>
      <family val="2"/>
    </font>
    <font>
      <sz val="10"/>
      <color theme="1"/>
      <name val="Tahoma"/>
      <family val="2"/>
    </font>
    <font>
      <sz val="10"/>
      <color theme="1"/>
      <name val="Tahoma"/>
      <family val="2"/>
    </font>
    <font>
      <sz val="10"/>
      <color theme="1"/>
      <name val="Tahoma"/>
      <family val="2"/>
    </font>
    <font>
      <b/>
      <sz val="10"/>
      <name val="Arial"/>
      <family val="2"/>
    </font>
    <font>
      <sz val="10"/>
      <color theme="1"/>
      <name val="Tahoma"/>
      <family val="2"/>
    </font>
    <font>
      <u/>
      <sz val="10"/>
      <color theme="1"/>
      <name val="Arial"/>
      <family val="2"/>
    </font>
    <font>
      <sz val="10"/>
      <color theme="10"/>
      <name val="Arial"/>
      <family val="2"/>
    </font>
    <font>
      <b/>
      <sz val="10"/>
      <color theme="1"/>
      <name val="Arial"/>
      <family val="2"/>
    </font>
    <font>
      <sz val="10"/>
      <color theme="1"/>
      <name val="Tahoma"/>
      <family val="2"/>
    </font>
    <font>
      <b/>
      <sz val="10"/>
      <color theme="1"/>
      <name val="Arial"/>
      <family val="2"/>
    </font>
    <font>
      <sz val="10"/>
      <color theme="1"/>
      <name val="Tahoma"/>
      <family val="2"/>
    </font>
    <font>
      <b/>
      <sz val="10"/>
      <color theme="1"/>
      <name val="Arial"/>
      <family val="2"/>
    </font>
    <font>
      <sz val="10"/>
      <color theme="1"/>
      <name val="Tahoma"/>
      <family val="2"/>
    </font>
    <font>
      <b/>
      <sz val="10"/>
      <color theme="1"/>
      <name val="Arial"/>
      <family val="2"/>
    </font>
    <font>
      <b/>
      <sz val="10"/>
      <color theme="1"/>
      <name val="Arial"/>
      <family val="2"/>
    </font>
    <font>
      <sz val="10"/>
      <color theme="1"/>
      <name val="Tahoma"/>
      <family val="2"/>
    </font>
    <font>
      <sz val="10"/>
      <color theme="1"/>
      <name val="Tahoma"/>
      <family val="2"/>
    </font>
    <font>
      <b/>
      <sz val="10"/>
      <color theme="1"/>
      <name val="Arial"/>
      <family val="2"/>
    </font>
    <font>
      <sz val="10"/>
      <color theme="1"/>
      <name val="Tahoma"/>
      <family val="2"/>
    </font>
    <font>
      <b/>
      <sz val="10"/>
      <color theme="1"/>
      <name val="Arial"/>
      <family val="2"/>
    </font>
    <font>
      <sz val="10"/>
      <color rgb="FFC00000"/>
      <name val="Tahoma"/>
      <family val="2"/>
    </font>
    <font>
      <b/>
      <sz val="10"/>
      <color rgb="FFC00000"/>
      <name val="Arial"/>
      <family val="2"/>
    </font>
    <font>
      <sz val="10"/>
      <color theme="1"/>
      <name val="Tahoma"/>
      <family val="2"/>
    </font>
    <font>
      <b/>
      <sz val="10"/>
      <color theme="1"/>
      <name val="Arial"/>
      <family val="2"/>
    </font>
    <font>
      <sz val="10"/>
      <color theme="1"/>
      <name val="Tahoma"/>
      <family val="2"/>
    </font>
    <font>
      <sz val="10"/>
      <color theme="1"/>
      <name val="Tahoma"/>
      <family val="2"/>
    </font>
    <font>
      <b/>
      <sz val="10"/>
      <color theme="1"/>
      <name val="Arial"/>
      <family val="2"/>
    </font>
    <font>
      <u/>
      <sz val="10"/>
      <color rgb="FFC00000"/>
      <name val="Arial"/>
      <family val="2"/>
    </font>
    <font>
      <sz val="10"/>
      <color theme="1"/>
      <name val="Tahoma"/>
      <family val="2"/>
    </font>
    <font>
      <b/>
      <sz val="10"/>
      <color theme="1"/>
      <name val="Arial"/>
      <family val="2"/>
    </font>
    <font>
      <sz val="10"/>
      <color theme="1"/>
      <name val="Tahoma"/>
      <family val="2"/>
    </font>
    <font>
      <b/>
      <sz val="10"/>
      <color theme="1"/>
      <name val="Arial"/>
      <family val="2"/>
    </font>
    <font>
      <sz val="10"/>
      <color theme="1"/>
      <name val="Tahoma"/>
    </font>
    <font>
      <b/>
      <sz val="10"/>
      <color theme="1"/>
      <name val="Arial"/>
    </font>
  </fonts>
  <fills count="14">
    <fill>
      <patternFill patternType="none"/>
    </fill>
    <fill>
      <patternFill patternType="gray125"/>
    </fill>
    <fill>
      <patternFill patternType="solid">
        <fgColor rgb="FF99CCFF"/>
        <bgColor indexed="64"/>
      </patternFill>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79998168889431442"/>
        <bgColor theme="4"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style="thin">
        <color rgb="FF000000"/>
      </top>
      <bottom/>
      <diagonal/>
    </border>
    <border>
      <left/>
      <right/>
      <top/>
      <bottom style="thin">
        <color indexed="64"/>
      </bottom>
      <diagonal/>
    </border>
    <border>
      <left/>
      <right/>
      <top style="thin">
        <color indexed="64"/>
      </top>
      <bottom style="thin">
        <color indexed="64"/>
      </bottom>
      <diagonal/>
    </border>
  </borders>
  <cellStyleXfs count="7">
    <xf numFmtId="0" fontId="0" fillId="0" borderId="0"/>
    <xf numFmtId="0" fontId="4" fillId="0" borderId="0"/>
    <xf numFmtId="0" fontId="4" fillId="0" borderId="0"/>
    <xf numFmtId="0" fontId="3" fillId="0" borderId="0"/>
    <xf numFmtId="0" fontId="2" fillId="0" borderId="0"/>
    <xf numFmtId="0" fontId="1" fillId="0" borderId="0"/>
    <xf numFmtId="0" fontId="43" fillId="0" borderId="0" applyNumberFormat="0" applyFill="0" applyBorder="0" applyAlignment="0" applyProtection="0"/>
  </cellStyleXfs>
  <cellXfs count="739">
    <xf numFmtId="0" fontId="0" fillId="0" borderId="0" xfId="0"/>
    <xf numFmtId="0" fontId="7" fillId="0" borderId="0" xfId="0" applyFont="1" applyAlignment="1">
      <alignment horizontal="center" vertical="center"/>
    </xf>
    <xf numFmtId="0" fontId="7" fillId="0" borderId="0" xfId="0" applyFont="1"/>
    <xf numFmtId="0" fontId="5" fillId="0" borderId="0" xfId="1" applyFont="1"/>
    <xf numFmtId="0" fontId="5" fillId="0" borderId="0" xfId="1" applyFont="1" applyAlignment="1">
      <alignment horizontal="center" vertical="center"/>
    </xf>
    <xf numFmtId="0" fontId="8" fillId="0" borderId="0" xfId="1" applyFont="1" applyAlignment="1">
      <alignment horizontal="center" vertical="center"/>
    </xf>
    <xf numFmtId="0" fontId="8" fillId="0" borderId="0" xfId="1" applyFont="1" applyAlignment="1">
      <alignment horizontal="center" vertical="center" wrapText="1"/>
    </xf>
    <xf numFmtId="0" fontId="7" fillId="0" borderId="0" xfId="0" applyFont="1" applyAlignment="1">
      <alignment wrapText="1"/>
    </xf>
    <xf numFmtId="0" fontId="7" fillId="0" borderId="0" xfId="0" applyFont="1" applyAlignment="1">
      <alignment horizontal="left"/>
    </xf>
    <xf numFmtId="0" fontId="9" fillId="0" borderId="0" xfId="0" applyFont="1"/>
    <xf numFmtId="0" fontId="9" fillId="0" borderId="0" xfId="0" applyFont="1" applyAlignment="1">
      <alignment wrapText="1"/>
    </xf>
    <xf numFmtId="0" fontId="9" fillId="0" borderId="0" xfId="0" applyFont="1" applyAlignment="1">
      <alignment horizontal="center"/>
    </xf>
    <xf numFmtId="0" fontId="7" fillId="0" borderId="0" xfId="0" applyFont="1" applyAlignment="1">
      <alignment horizontal="center"/>
    </xf>
    <xf numFmtId="0" fontId="10" fillId="0" borderId="0" xfId="0" applyFont="1"/>
    <xf numFmtId="0" fontId="11" fillId="0" borderId="0" xfId="0" applyFont="1" applyAlignment="1">
      <alignment horizontal="left"/>
    </xf>
    <xf numFmtId="0" fontId="11" fillId="0" borderId="0" xfId="0" applyFont="1"/>
    <xf numFmtId="0" fontId="11" fillId="0" borderId="0" xfId="0" applyFont="1" applyAlignment="1">
      <alignment horizontal="center" vertical="center"/>
    </xf>
    <xf numFmtId="0" fontId="12" fillId="2" borderId="1" xfId="2" applyFont="1" applyFill="1" applyBorder="1" applyAlignment="1">
      <alignment horizontal="center" vertical="center" wrapText="1"/>
    </xf>
    <xf numFmtId="0" fontId="12" fillId="2" borderId="1" xfId="2" applyFont="1" applyFill="1" applyBorder="1" applyAlignment="1">
      <alignment horizontal="left" vertical="center" wrapText="1"/>
    </xf>
    <xf numFmtId="0" fontId="12" fillId="2" borderId="1" xfId="0" applyFont="1" applyFill="1" applyBorder="1" applyAlignment="1">
      <alignment horizontal="center" vertical="center" wrapText="1"/>
    </xf>
    <xf numFmtId="0" fontId="11" fillId="0" borderId="1" xfId="2" quotePrefix="1" applyFont="1" applyBorder="1" applyAlignment="1">
      <alignment horizontal="center" vertical="center" wrapText="1"/>
    </xf>
    <xf numFmtId="0" fontId="11" fillId="0" borderId="1" xfId="0" quotePrefix="1" applyFont="1" applyBorder="1" applyAlignment="1">
      <alignment horizontal="left" vertical="center" wrapText="1"/>
    </xf>
    <xf numFmtId="0" fontId="11" fillId="0" borderId="1" xfId="2" applyFont="1" applyBorder="1" applyAlignment="1">
      <alignment horizontal="left" vertical="center" wrapText="1"/>
    </xf>
    <xf numFmtId="0" fontId="11" fillId="0" borderId="1" xfId="0" applyFont="1" applyBorder="1" applyAlignment="1">
      <alignment horizontal="left" vertical="center" wrapText="1"/>
    </xf>
    <xf numFmtId="0" fontId="11" fillId="0" borderId="1" xfId="0" quotePrefix="1" applyFont="1" applyBorder="1" applyAlignment="1">
      <alignment horizontal="center" vertical="center" wrapText="1"/>
    </xf>
    <xf numFmtId="14" fontId="11" fillId="0" borderId="1" xfId="0" quotePrefix="1" applyNumberFormat="1" applyFont="1" applyBorder="1" applyAlignment="1">
      <alignment horizontal="center" vertical="center" wrapText="1"/>
    </xf>
    <xf numFmtId="14" fontId="11" fillId="0" borderId="1" xfId="2" quotePrefix="1" applyNumberFormat="1" applyFont="1" applyBorder="1" applyAlignment="1">
      <alignment horizontal="center" vertical="center" wrapText="1"/>
    </xf>
    <xf numFmtId="0" fontId="11" fillId="0" borderId="1" xfId="2" applyFont="1" applyBorder="1" applyAlignment="1">
      <alignment horizontal="center" vertical="center" wrapText="1"/>
    </xf>
    <xf numFmtId="0" fontId="11" fillId="0" borderId="1" xfId="0" applyFont="1" applyBorder="1" applyAlignment="1">
      <alignment vertical="center" wrapText="1"/>
    </xf>
    <xf numFmtId="0" fontId="11" fillId="0" borderId="0" xfId="0" applyFont="1" applyAlignment="1">
      <alignment wrapText="1"/>
    </xf>
    <xf numFmtId="0" fontId="12" fillId="0" borderId="0" xfId="0" applyFont="1"/>
    <xf numFmtId="0" fontId="12" fillId="0" borderId="0" xfId="0" applyFont="1" applyAlignment="1">
      <alignment horizontal="left"/>
    </xf>
    <xf numFmtId="0" fontId="12" fillId="0" borderId="0" xfId="0" applyFont="1" applyAlignment="1">
      <alignment wrapText="1"/>
    </xf>
    <xf numFmtId="0" fontId="12" fillId="0" borderId="0" xfId="0" applyFont="1" applyAlignment="1">
      <alignment horizontal="center" vertical="center" wrapText="1"/>
    </xf>
    <xf numFmtId="0" fontId="11" fillId="0" borderId="1" xfId="0" applyFont="1" applyBorder="1" applyAlignment="1">
      <alignment horizontal="left" vertical="top" wrapText="1"/>
    </xf>
    <xf numFmtId="1" fontId="5" fillId="0" borderId="0" xfId="1" applyNumberFormat="1" applyFont="1"/>
    <xf numFmtId="1" fontId="12" fillId="2" borderId="1" xfId="2" applyNumberFormat="1" applyFont="1" applyFill="1" applyBorder="1" applyAlignment="1">
      <alignment horizontal="center" vertical="center" wrapText="1"/>
    </xf>
    <xf numFmtId="1" fontId="11" fillId="0" borderId="0" xfId="2" quotePrefix="1" applyNumberFormat="1" applyFont="1" applyAlignment="1">
      <alignment horizontal="center" vertical="center" wrapText="1"/>
    </xf>
    <xf numFmtId="1" fontId="7" fillId="0" borderId="0" xfId="0" applyNumberFormat="1" applyFont="1"/>
    <xf numFmtId="0" fontId="11" fillId="0" borderId="1" xfId="0" quotePrefix="1" applyFont="1" applyBorder="1" applyAlignment="1">
      <alignment horizontal="left" vertical="top" wrapText="1"/>
    </xf>
    <xf numFmtId="0" fontId="11" fillId="0" borderId="1" xfId="0" quotePrefix="1" applyFont="1" applyBorder="1" applyAlignment="1">
      <alignment vertical="center" wrapText="1"/>
    </xf>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17" fontId="11" fillId="0" borderId="1" xfId="0" quotePrefix="1" applyNumberFormat="1" applyFont="1" applyBorder="1" applyAlignment="1">
      <alignment horizontal="center" vertical="center" wrapText="1"/>
    </xf>
    <xf numFmtId="0" fontId="14" fillId="0" borderId="0" xfId="0" applyFont="1" applyAlignment="1">
      <alignment horizontal="center" vertical="center" wrapText="1"/>
    </xf>
    <xf numFmtId="17" fontId="11" fillId="0" borderId="3" xfId="0" quotePrefix="1" applyNumberFormat="1" applyFont="1" applyBorder="1" applyAlignment="1">
      <alignment horizontal="center" vertical="center" wrapText="1"/>
    </xf>
    <xf numFmtId="14" fontId="11" fillId="0" borderId="3" xfId="0" quotePrefix="1"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49" fontId="8" fillId="0" borderId="0" xfId="1" applyNumberFormat="1" applyFont="1" applyAlignment="1">
      <alignment horizontal="center" vertical="center"/>
    </xf>
    <xf numFmtId="49" fontId="12" fillId="2" borderId="1" xfId="2" applyNumberFormat="1" applyFont="1" applyFill="1" applyBorder="1" applyAlignment="1">
      <alignment horizontal="center" vertical="center" wrapText="1"/>
    </xf>
    <xf numFmtId="49" fontId="11" fillId="0" borderId="1" xfId="0" quotePrefix="1" applyNumberFormat="1" applyFont="1" applyBorder="1" applyAlignment="1">
      <alignment horizontal="left" vertical="top" wrapText="1"/>
    </xf>
    <xf numFmtId="49" fontId="11" fillId="0" borderId="0" xfId="0" applyNumberFormat="1" applyFont="1" applyAlignment="1">
      <alignment horizontal="center" vertical="center"/>
    </xf>
    <xf numFmtId="49" fontId="11" fillId="0" borderId="0" xfId="0" applyNumberFormat="1" applyFont="1"/>
    <xf numFmtId="49" fontId="7" fillId="0" borderId="0" xfId="0" applyNumberFormat="1" applyFont="1"/>
    <xf numFmtId="14" fontId="8" fillId="0" borderId="0" xfId="1" applyNumberFormat="1" applyFont="1" applyAlignment="1">
      <alignment horizontal="center" vertical="center"/>
    </xf>
    <xf numFmtId="14" fontId="12" fillId="2" borderId="1" xfId="0" applyNumberFormat="1" applyFont="1" applyFill="1" applyBorder="1" applyAlignment="1">
      <alignment horizontal="center" vertical="center" wrapText="1"/>
    </xf>
    <xf numFmtId="14" fontId="12" fillId="0" borderId="0" xfId="0" applyNumberFormat="1" applyFont="1" applyAlignment="1">
      <alignment horizontal="center" vertical="center" wrapText="1"/>
    </xf>
    <xf numFmtId="14" fontId="9" fillId="0" borderId="0" xfId="0" applyNumberFormat="1" applyFont="1" applyAlignment="1">
      <alignment horizontal="center"/>
    </xf>
    <xf numFmtId="14" fontId="7" fillId="0" borderId="0" xfId="0" applyNumberFormat="1" applyFont="1" applyAlignment="1">
      <alignment horizontal="center"/>
    </xf>
    <xf numFmtId="14" fontId="11" fillId="0" borderId="0" xfId="2" quotePrefix="1" applyNumberFormat="1" applyFont="1" applyAlignment="1">
      <alignment horizontal="center" vertical="center" wrapText="1"/>
    </xf>
    <xf numFmtId="0" fontId="11" fillId="0" borderId="0" xfId="0" quotePrefix="1" applyFont="1" applyAlignment="1">
      <alignment horizontal="center" vertical="center" wrapText="1"/>
    </xf>
    <xf numFmtId="0" fontId="11" fillId="0" borderId="0" xfId="2" applyFont="1" applyAlignment="1">
      <alignment horizontal="center" vertical="center" wrapText="1"/>
    </xf>
    <xf numFmtId="14" fontId="11" fillId="0" borderId="0" xfId="0" quotePrefix="1" applyNumberFormat="1" applyFont="1" applyAlignment="1">
      <alignment horizontal="center" vertical="center" wrapText="1"/>
    </xf>
    <xf numFmtId="0" fontId="14" fillId="0" borderId="3" xfId="0" applyFont="1" applyBorder="1" applyAlignment="1">
      <alignment horizontal="center" vertical="center" wrapText="1"/>
    </xf>
    <xf numFmtId="49" fontId="8" fillId="0" borderId="0" xfId="1" applyNumberFormat="1" applyFont="1" applyAlignment="1">
      <alignment horizontal="justify" vertical="center"/>
    </xf>
    <xf numFmtId="49" fontId="11" fillId="0" borderId="1" xfId="0" quotePrefix="1" applyNumberFormat="1" applyFont="1" applyBorder="1" applyAlignment="1">
      <alignment vertical="center" wrapText="1"/>
    </xf>
    <xf numFmtId="49" fontId="9" fillId="0" borderId="0" xfId="0" applyNumberFormat="1" applyFont="1"/>
    <xf numFmtId="0" fontId="17" fillId="0" borderId="1" xfId="0" applyFont="1" applyBorder="1" applyAlignment="1">
      <alignment horizontal="center" vertical="center" wrapText="1"/>
    </xf>
    <xf numFmtId="0" fontId="16" fillId="0" borderId="0" xfId="0" applyFont="1" applyAlignment="1">
      <alignment wrapText="1"/>
    </xf>
    <xf numFmtId="49" fontId="11" fillId="0" borderId="0" xfId="0" quotePrefix="1" applyNumberFormat="1" applyFont="1" applyAlignment="1">
      <alignment horizontal="left" vertical="top" wrapText="1"/>
    </xf>
    <xf numFmtId="49" fontId="12" fillId="0" borderId="0" xfId="0" applyNumberFormat="1" applyFont="1"/>
    <xf numFmtId="14" fontId="16" fillId="0" borderId="1" xfId="2" quotePrefix="1" applyNumberFormat="1" applyFont="1" applyBorder="1" applyAlignment="1">
      <alignment horizontal="center" vertical="center" wrapText="1"/>
    </xf>
    <xf numFmtId="0" fontId="16" fillId="0" borderId="1" xfId="0" applyFont="1" applyBorder="1" applyAlignment="1">
      <alignment horizontal="center" vertical="center" wrapText="1"/>
    </xf>
    <xf numFmtId="49" fontId="16" fillId="0" borderId="1" xfId="0" quotePrefix="1" applyNumberFormat="1" applyFont="1" applyBorder="1" applyAlignment="1">
      <alignment horizontal="left" vertical="top" wrapText="1"/>
    </xf>
    <xf numFmtId="0" fontId="17" fillId="0" borderId="0" xfId="0" applyFont="1" applyAlignment="1">
      <alignment horizontal="center" vertical="center" wrapText="1"/>
    </xf>
    <xf numFmtId="0" fontId="11" fillId="0" borderId="1" xfId="0" applyFont="1" applyBorder="1" applyAlignment="1">
      <alignment wrapText="1"/>
    </xf>
    <xf numFmtId="14" fontId="11" fillId="0" borderId="0" xfId="2" quotePrefix="1" applyNumberFormat="1" applyFont="1" applyAlignment="1">
      <alignment horizontal="left" vertical="center" wrapText="1"/>
    </xf>
    <xf numFmtId="0" fontId="11" fillId="0" borderId="0" xfId="0" quotePrefix="1" applyFont="1" applyAlignment="1">
      <alignment horizontal="left" vertical="center" wrapText="1"/>
    </xf>
    <xf numFmtId="0" fontId="11" fillId="0" borderId="0" xfId="2" applyFont="1" applyAlignment="1">
      <alignment horizontal="left" vertical="center" wrapText="1"/>
    </xf>
    <xf numFmtId="0" fontId="11" fillId="0" borderId="0" xfId="0" applyFont="1" applyAlignment="1">
      <alignment horizontal="left" vertical="center" wrapText="1"/>
    </xf>
    <xf numFmtId="0" fontId="11" fillId="0" borderId="0" xfId="2" quotePrefix="1" applyFont="1" applyAlignment="1">
      <alignment horizontal="center" vertical="center" wrapText="1"/>
    </xf>
    <xf numFmtId="49" fontId="11" fillId="0" borderId="0" xfId="0" quotePrefix="1" applyNumberFormat="1" applyFont="1" applyAlignment="1">
      <alignment vertical="center" wrapText="1"/>
    </xf>
    <xf numFmtId="0" fontId="8" fillId="0" borderId="0" xfId="1" applyFont="1" applyAlignment="1">
      <alignment horizontal="left" vertical="center"/>
    </xf>
    <xf numFmtId="0" fontId="13" fillId="0" borderId="0" xfId="0" applyFont="1" applyAlignment="1">
      <alignment horizontal="left"/>
    </xf>
    <xf numFmtId="0" fontId="9" fillId="0" borderId="0" xfId="0" applyFont="1" applyAlignment="1">
      <alignment horizontal="left"/>
    </xf>
    <xf numFmtId="14" fontId="11" fillId="0" borderId="1" xfId="2" quotePrefix="1" applyNumberFormat="1" applyFont="1" applyBorder="1" applyAlignment="1">
      <alignment vertical="center" wrapText="1"/>
    </xf>
    <xf numFmtId="0" fontId="11" fillId="0" borderId="1" xfId="2" applyFont="1" applyBorder="1" applyAlignment="1">
      <alignment vertical="center" wrapText="1"/>
    </xf>
    <xf numFmtId="0" fontId="12" fillId="0" borderId="1" xfId="0" applyFont="1" applyBorder="1" applyAlignment="1">
      <alignment vertical="center"/>
    </xf>
    <xf numFmtId="0" fontId="16" fillId="0" borderId="1" xfId="0" applyFont="1" applyBorder="1" applyAlignment="1">
      <alignment wrapText="1"/>
    </xf>
    <xf numFmtId="0" fontId="11" fillId="0" borderId="1" xfId="2" applyFont="1" applyBorder="1" applyAlignment="1">
      <alignment horizontal="left" vertical="top" wrapText="1"/>
    </xf>
    <xf numFmtId="0" fontId="14" fillId="0" borderId="0" xfId="0" applyFont="1" applyAlignment="1">
      <alignment horizontal="center" vertical="top" wrapText="1"/>
    </xf>
    <xf numFmtId="0" fontId="11" fillId="0" borderId="0" xfId="0" applyFont="1" applyAlignment="1">
      <alignment vertical="top" wrapText="1"/>
    </xf>
    <xf numFmtId="14" fontId="11" fillId="0" borderId="1" xfId="2" quotePrefix="1" applyNumberFormat="1" applyFont="1" applyBorder="1" applyAlignment="1">
      <alignment horizontal="left" vertical="top" wrapText="1"/>
    </xf>
    <xf numFmtId="49" fontId="11" fillId="0" borderId="1" xfId="0" quotePrefix="1" applyNumberFormat="1" applyFont="1" applyBorder="1" applyAlignment="1">
      <alignment vertical="top" wrapText="1"/>
    </xf>
    <xf numFmtId="14" fontId="16" fillId="0" borderId="1" xfId="2" quotePrefix="1" applyNumberFormat="1" applyFont="1" applyBorder="1" applyAlignment="1">
      <alignment horizontal="left" vertical="top" wrapText="1"/>
    </xf>
    <xf numFmtId="0" fontId="16" fillId="0" borderId="1" xfId="2" applyFont="1" applyBorder="1" applyAlignment="1">
      <alignment horizontal="left" vertical="top" wrapText="1"/>
    </xf>
    <xf numFmtId="0" fontId="16" fillId="0" borderId="1" xfId="0" applyFont="1" applyBorder="1" applyAlignment="1">
      <alignment horizontal="left" vertical="top" wrapText="1"/>
    </xf>
    <xf numFmtId="0" fontId="16" fillId="0" borderId="1" xfId="0" quotePrefix="1" applyFont="1" applyBorder="1" applyAlignment="1">
      <alignment horizontal="left" vertical="top" wrapText="1"/>
    </xf>
    <xf numFmtId="1" fontId="11" fillId="0" borderId="1" xfId="2" quotePrefix="1" applyNumberFormat="1" applyFont="1" applyBorder="1" applyAlignment="1">
      <alignment horizontal="left" vertical="top" wrapText="1"/>
    </xf>
    <xf numFmtId="14" fontId="11" fillId="0" borderId="1" xfId="0" quotePrefix="1" applyNumberFormat="1" applyFont="1" applyBorder="1" applyAlignment="1">
      <alignment horizontal="left" vertical="top" wrapText="1"/>
    </xf>
    <xf numFmtId="0" fontId="11" fillId="0" borderId="1" xfId="2" quotePrefix="1" applyFont="1" applyBorder="1" applyAlignment="1">
      <alignment horizontal="left" vertical="top" wrapText="1"/>
    </xf>
    <xf numFmtId="1" fontId="16" fillId="0" borderId="1" xfId="2" quotePrefix="1" applyNumberFormat="1" applyFont="1" applyBorder="1" applyAlignment="1">
      <alignment horizontal="left" vertical="top" wrapText="1"/>
    </xf>
    <xf numFmtId="14" fontId="16" fillId="0" borderId="1" xfId="0" quotePrefix="1" applyNumberFormat="1" applyFont="1" applyBorder="1" applyAlignment="1">
      <alignment horizontal="left" vertical="top" wrapText="1"/>
    </xf>
    <xf numFmtId="0" fontId="16" fillId="0" borderId="1" xfId="2" quotePrefix="1" applyFont="1" applyBorder="1" applyAlignment="1">
      <alignment horizontal="left" vertical="top" wrapText="1"/>
    </xf>
    <xf numFmtId="0" fontId="20" fillId="0" borderId="1" xfId="0" applyFont="1" applyBorder="1" applyAlignment="1">
      <alignment horizontal="left" vertical="top" wrapText="1"/>
    </xf>
    <xf numFmtId="0" fontId="20" fillId="0" borderId="1" xfId="0" applyFont="1" applyBorder="1" applyAlignment="1">
      <alignment horizontal="left" vertical="top"/>
    </xf>
    <xf numFmtId="17" fontId="11" fillId="0" borderId="1" xfId="0" quotePrefix="1" applyNumberFormat="1" applyFont="1" applyBorder="1" applyAlignment="1">
      <alignment horizontal="left" vertical="top" wrapText="1"/>
    </xf>
    <xf numFmtId="14" fontId="20" fillId="0" borderId="1" xfId="0" quotePrefix="1" applyNumberFormat="1" applyFont="1" applyBorder="1" applyAlignment="1">
      <alignment horizontal="left" vertical="top"/>
    </xf>
    <xf numFmtId="0" fontId="17" fillId="0" borderId="2" xfId="0" applyFont="1" applyBorder="1" applyAlignment="1">
      <alignment horizontal="center" vertical="center" wrapText="1"/>
    </xf>
    <xf numFmtId="14" fontId="16" fillId="0" borderId="1" xfId="0" quotePrefix="1" applyNumberFormat="1" applyFont="1" applyBorder="1" applyAlignment="1">
      <alignment horizontal="left" vertical="top"/>
    </xf>
    <xf numFmtId="49" fontId="16" fillId="0" borderId="1" xfId="0" quotePrefix="1" applyNumberFormat="1" applyFont="1" applyBorder="1" applyAlignment="1">
      <alignment vertical="top" wrapText="1"/>
    </xf>
    <xf numFmtId="0" fontId="17" fillId="4" borderId="2" xfId="0" applyFont="1" applyFill="1" applyBorder="1" applyAlignment="1">
      <alignment horizontal="center" vertical="center" wrapText="1"/>
    </xf>
    <xf numFmtId="0" fontId="16" fillId="4" borderId="0" xfId="0" applyFont="1" applyFill="1" applyAlignment="1">
      <alignment wrapText="1"/>
    </xf>
    <xf numFmtId="1" fontId="11" fillId="4" borderId="1" xfId="2" quotePrefix="1" applyNumberFormat="1" applyFont="1" applyFill="1" applyBorder="1" applyAlignment="1">
      <alignment horizontal="left" vertical="top" wrapText="1"/>
    </xf>
    <xf numFmtId="14" fontId="11" fillId="4" borderId="1" xfId="2" quotePrefix="1" applyNumberFormat="1" applyFont="1" applyFill="1" applyBorder="1" applyAlignment="1">
      <alignment horizontal="left" vertical="top" wrapText="1"/>
    </xf>
    <xf numFmtId="0" fontId="11" fillId="4" borderId="1" xfId="0" quotePrefix="1" applyFont="1" applyFill="1" applyBorder="1" applyAlignment="1">
      <alignment horizontal="left" vertical="top" wrapText="1"/>
    </xf>
    <xf numFmtId="0" fontId="11" fillId="4" borderId="1" xfId="2" applyFont="1" applyFill="1" applyBorder="1" applyAlignment="1">
      <alignment horizontal="left" vertical="top" wrapText="1"/>
    </xf>
    <xf numFmtId="0" fontId="11" fillId="4" borderId="1" xfId="0" applyFont="1" applyFill="1" applyBorder="1" applyAlignment="1">
      <alignment horizontal="left" vertical="top" wrapText="1"/>
    </xf>
    <xf numFmtId="14" fontId="11" fillId="4" borderId="1" xfId="0" quotePrefix="1" applyNumberFormat="1" applyFont="1" applyFill="1" applyBorder="1" applyAlignment="1">
      <alignment horizontal="left" vertical="top" wrapText="1"/>
    </xf>
    <xf numFmtId="0" fontId="11" fillId="4" borderId="1" xfId="2" quotePrefix="1" applyFont="1" applyFill="1" applyBorder="1" applyAlignment="1">
      <alignment horizontal="left" vertical="top" wrapText="1"/>
    </xf>
    <xf numFmtId="49" fontId="11" fillId="4" borderId="1" xfId="0" quotePrefix="1" applyNumberFormat="1" applyFont="1" applyFill="1" applyBorder="1" applyAlignment="1">
      <alignment horizontal="left" vertical="top" wrapText="1"/>
    </xf>
    <xf numFmtId="1" fontId="20" fillId="4" borderId="1" xfId="2" quotePrefix="1" applyNumberFormat="1" applyFont="1" applyFill="1" applyBorder="1" applyAlignment="1">
      <alignment horizontal="left" vertical="top" wrapText="1"/>
    </xf>
    <xf numFmtId="0" fontId="20" fillId="4" borderId="1" xfId="2" applyFont="1" applyFill="1" applyBorder="1" applyAlignment="1">
      <alignment horizontal="left" vertical="top" wrapText="1"/>
    </xf>
    <xf numFmtId="0" fontId="20" fillId="4" borderId="1" xfId="0" applyFont="1" applyFill="1" applyBorder="1" applyAlignment="1">
      <alignment horizontal="left" vertical="top" wrapText="1"/>
    </xf>
    <xf numFmtId="1" fontId="11" fillId="0" borderId="0" xfId="2" quotePrefix="1" applyNumberFormat="1" applyFont="1" applyAlignment="1">
      <alignment horizontal="left" vertical="top" wrapText="1"/>
    </xf>
    <xf numFmtId="14" fontId="11" fillId="0" borderId="3" xfId="2" quotePrefix="1" applyNumberFormat="1" applyFont="1" applyBorder="1" applyAlignment="1">
      <alignment horizontal="left" vertical="top" wrapText="1"/>
    </xf>
    <xf numFmtId="0" fontId="11" fillId="0" borderId="3" xfId="0" quotePrefix="1" applyFont="1" applyBorder="1" applyAlignment="1">
      <alignment horizontal="left" vertical="top" wrapText="1"/>
    </xf>
    <xf numFmtId="0" fontId="20" fillId="0" borderId="3" xfId="0" applyFont="1" applyBorder="1" applyAlignment="1">
      <alignment horizontal="left" vertical="top" wrapText="1"/>
    </xf>
    <xf numFmtId="0" fontId="11" fillId="0" borderId="3" xfId="0" applyFont="1" applyBorder="1" applyAlignment="1">
      <alignment horizontal="left" vertical="top" wrapText="1"/>
    </xf>
    <xf numFmtId="0" fontId="11" fillId="0" borderId="3" xfId="2" applyFont="1" applyBorder="1" applyAlignment="1">
      <alignment horizontal="left" vertical="top" wrapText="1"/>
    </xf>
    <xf numFmtId="14" fontId="20" fillId="0" borderId="3" xfId="0" quotePrefix="1" applyNumberFormat="1" applyFont="1" applyBorder="1" applyAlignment="1">
      <alignment horizontal="left" vertical="top"/>
    </xf>
    <xf numFmtId="49" fontId="11" fillId="0" borderId="3" xfId="0" quotePrefix="1" applyNumberFormat="1" applyFont="1" applyBorder="1" applyAlignment="1">
      <alignment vertical="top" wrapText="1"/>
    </xf>
    <xf numFmtId="14" fontId="11" fillId="0" borderId="8" xfId="2" quotePrefix="1" applyNumberFormat="1" applyFont="1" applyBorder="1" applyAlignment="1">
      <alignment horizontal="center" vertical="center" wrapText="1"/>
    </xf>
    <xf numFmtId="0" fontId="11" fillId="0" borderId="8" xfId="0" quotePrefix="1" applyFont="1" applyBorder="1" applyAlignment="1">
      <alignment horizontal="center" vertical="center" wrapText="1"/>
    </xf>
    <xf numFmtId="0" fontId="20" fillId="4" borderId="3" xfId="2" applyFont="1" applyFill="1" applyBorder="1" applyAlignment="1">
      <alignment horizontal="left" vertical="top" wrapText="1"/>
    </xf>
    <xf numFmtId="0" fontId="20" fillId="4" borderId="3" xfId="0" applyFont="1" applyFill="1" applyBorder="1" applyAlignment="1">
      <alignment horizontal="left" vertical="top" wrapText="1"/>
    </xf>
    <xf numFmtId="17" fontId="11" fillId="0" borderId="8" xfId="0" quotePrefix="1" applyNumberFormat="1" applyFont="1" applyBorder="1" applyAlignment="1">
      <alignment horizontal="center" vertical="center" wrapText="1"/>
    </xf>
    <xf numFmtId="14" fontId="11" fillId="0" borderId="8" xfId="0" quotePrefix="1" applyNumberFormat="1" applyFont="1" applyBorder="1" applyAlignment="1">
      <alignment horizontal="center" vertical="center" wrapText="1"/>
    </xf>
    <xf numFmtId="0" fontId="11" fillId="0" borderId="8" xfId="0" quotePrefix="1" applyFont="1" applyBorder="1" applyAlignment="1">
      <alignment horizontal="left" vertical="center" wrapText="1"/>
    </xf>
    <xf numFmtId="0" fontId="20" fillId="0" borderId="8" xfId="0" applyFont="1" applyBorder="1" applyAlignment="1">
      <alignment vertical="center" wrapText="1"/>
    </xf>
    <xf numFmtId="49" fontId="11" fillId="0" borderId="8" xfId="0" quotePrefix="1" applyNumberFormat="1" applyFont="1" applyBorder="1" applyAlignment="1">
      <alignment horizontal="left" vertical="top" wrapText="1"/>
    </xf>
    <xf numFmtId="0" fontId="14" fillId="0" borderId="8" xfId="0" applyFont="1" applyBorder="1" applyAlignment="1">
      <alignment horizontal="center" vertical="center" wrapText="1"/>
    </xf>
    <xf numFmtId="0" fontId="11" fillId="0" borderId="8" xfId="0" applyFont="1" applyBorder="1" applyAlignment="1">
      <alignment wrapText="1"/>
    </xf>
    <xf numFmtId="0" fontId="20" fillId="0" borderId="1" xfId="0" applyFont="1" applyBorder="1" applyAlignment="1">
      <alignment vertical="center" wrapText="1"/>
    </xf>
    <xf numFmtId="0" fontId="21" fillId="2" borderId="1" xfId="2" applyFont="1" applyFill="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horizontal="center" vertical="center"/>
    </xf>
    <xf numFmtId="14" fontId="16" fillId="4" borderId="1" xfId="2" quotePrefix="1" applyNumberFormat="1" applyFont="1" applyFill="1" applyBorder="1" applyAlignment="1">
      <alignment horizontal="left" vertical="top" wrapText="1"/>
    </xf>
    <xf numFmtId="0" fontId="16" fillId="4" borderId="1" xfId="0" quotePrefix="1" applyFont="1" applyFill="1" applyBorder="1" applyAlignment="1">
      <alignment horizontal="left" vertical="top" wrapText="1"/>
    </xf>
    <xf numFmtId="0" fontId="16" fillId="4" borderId="1" xfId="2" applyFont="1" applyFill="1" applyBorder="1" applyAlignment="1">
      <alignment horizontal="left" vertical="top" wrapText="1"/>
    </xf>
    <xf numFmtId="0" fontId="16" fillId="4" borderId="1" xfId="0" applyFont="1" applyFill="1" applyBorder="1" applyAlignment="1">
      <alignment horizontal="left" vertical="top" wrapText="1"/>
    </xf>
    <xf numFmtId="14" fontId="16" fillId="4" borderId="1" xfId="0" quotePrefix="1" applyNumberFormat="1" applyFont="1" applyFill="1" applyBorder="1" applyAlignment="1">
      <alignment horizontal="left" vertical="top" wrapText="1"/>
    </xf>
    <xf numFmtId="49" fontId="16" fillId="4" borderId="1" xfId="0" quotePrefix="1" applyNumberFormat="1" applyFont="1" applyFill="1" applyBorder="1" applyAlignment="1">
      <alignment vertical="top" wrapText="1"/>
    </xf>
    <xf numFmtId="14" fontId="20" fillId="4" borderId="1" xfId="0" quotePrefix="1" applyNumberFormat="1" applyFont="1" applyFill="1" applyBorder="1" applyAlignment="1">
      <alignment horizontal="left" vertical="top" wrapText="1"/>
    </xf>
    <xf numFmtId="49" fontId="11" fillId="4" borderId="1" xfId="0" quotePrefix="1" applyNumberFormat="1" applyFont="1" applyFill="1" applyBorder="1" applyAlignment="1">
      <alignment vertical="top" wrapText="1"/>
    </xf>
    <xf numFmtId="0" fontId="14" fillId="4" borderId="0" xfId="0" applyFont="1" applyFill="1" applyAlignment="1">
      <alignment horizontal="center" vertical="top" wrapText="1"/>
    </xf>
    <xf numFmtId="0" fontId="22" fillId="4" borderId="1" xfId="0" applyFont="1" applyFill="1" applyBorder="1" applyAlignment="1">
      <alignment horizontal="center" vertical="center" wrapText="1"/>
    </xf>
    <xf numFmtId="0" fontId="11" fillId="4" borderId="0" xfId="0" applyFont="1" applyFill="1" applyAlignment="1">
      <alignment vertical="top" wrapText="1"/>
    </xf>
    <xf numFmtId="14" fontId="20" fillId="0" borderId="1" xfId="0" quotePrefix="1" applyNumberFormat="1" applyFont="1" applyBorder="1" applyAlignment="1">
      <alignment horizontal="left" vertical="top" wrapText="1"/>
    </xf>
    <xf numFmtId="14" fontId="11" fillId="0" borderId="3" xfId="2" quotePrefix="1" applyNumberFormat="1" applyFont="1" applyBorder="1" applyAlignment="1">
      <alignment horizontal="center" vertical="center" wrapText="1"/>
    </xf>
    <xf numFmtId="0" fontId="11" fillId="0" borderId="3" xfId="0" quotePrefix="1" applyFont="1" applyBorder="1" applyAlignment="1">
      <alignment horizontal="center" vertical="center" wrapText="1"/>
    </xf>
    <xf numFmtId="0" fontId="11" fillId="0" borderId="3" xfId="0" quotePrefix="1" applyFont="1" applyBorder="1" applyAlignment="1">
      <alignment horizontal="left" vertical="center" wrapText="1"/>
    </xf>
    <xf numFmtId="0" fontId="20" fillId="0" borderId="3" xfId="0" applyFont="1" applyBorder="1" applyAlignment="1">
      <alignment vertical="center" wrapText="1"/>
    </xf>
    <xf numFmtId="49" fontId="11" fillId="0" borderId="3" xfId="0" quotePrefix="1" applyNumberFormat="1" applyFont="1" applyBorder="1" applyAlignment="1">
      <alignment horizontal="left" vertical="top" wrapText="1"/>
    </xf>
    <xf numFmtId="0" fontId="22" fillId="0" borderId="2" xfId="0" applyFont="1" applyBorder="1" applyAlignment="1">
      <alignment horizontal="center" vertical="center" wrapText="1"/>
    </xf>
    <xf numFmtId="1" fontId="24" fillId="0" borderId="0" xfId="2" quotePrefix="1" applyNumberFormat="1" applyFont="1" applyAlignment="1">
      <alignment horizontal="center" vertical="center" wrapText="1"/>
    </xf>
    <xf numFmtId="14" fontId="24" fillId="0" borderId="1" xfId="2" quotePrefix="1" applyNumberFormat="1" applyFont="1" applyBorder="1" applyAlignment="1">
      <alignment horizontal="center" vertical="center" wrapText="1"/>
    </xf>
    <xf numFmtId="0" fontId="24" fillId="0" borderId="1" xfId="0" quotePrefix="1" applyFont="1" applyBorder="1" applyAlignment="1">
      <alignment horizontal="center" vertical="center" wrapText="1"/>
    </xf>
    <xf numFmtId="0" fontId="24" fillId="4" borderId="1" xfId="2" applyFont="1" applyFill="1" applyBorder="1" applyAlignment="1">
      <alignment horizontal="left" vertical="top" wrapText="1"/>
    </xf>
    <xf numFmtId="0" fontId="24" fillId="4" borderId="1" xfId="0" applyFont="1" applyFill="1" applyBorder="1" applyAlignment="1">
      <alignment horizontal="left" vertical="top" wrapText="1"/>
    </xf>
    <xf numFmtId="17" fontId="24" fillId="0" borderId="1" xfId="0" quotePrefix="1" applyNumberFormat="1" applyFont="1" applyBorder="1" applyAlignment="1">
      <alignment horizontal="center" vertical="center" wrapText="1"/>
    </xf>
    <xf numFmtId="14" fontId="24" fillId="0" borderId="1" xfId="0" quotePrefix="1" applyNumberFormat="1" applyFont="1" applyBorder="1" applyAlignment="1">
      <alignment horizontal="center" vertical="center" wrapText="1"/>
    </xf>
    <xf numFmtId="0" fontId="24" fillId="0" borderId="1" xfId="0" quotePrefix="1" applyFont="1" applyBorder="1" applyAlignment="1">
      <alignment horizontal="left" vertical="center" wrapText="1"/>
    </xf>
    <xf numFmtId="0" fontId="24" fillId="0" borderId="1" xfId="0" applyFont="1" applyBorder="1" applyAlignment="1">
      <alignment vertical="center" wrapText="1"/>
    </xf>
    <xf numFmtId="49" fontId="24" fillId="0" borderId="1" xfId="0" quotePrefix="1" applyNumberFormat="1" applyFont="1" applyBorder="1" applyAlignment="1">
      <alignment horizontal="left" vertical="top" wrapText="1"/>
    </xf>
    <xf numFmtId="0" fontId="25" fillId="0" borderId="1" xfId="0" applyFont="1" applyBorder="1" applyAlignment="1">
      <alignment horizontal="center" vertical="center" wrapText="1"/>
    </xf>
    <xf numFmtId="0" fontId="26" fillId="0" borderId="0" xfId="0" applyFont="1" applyAlignment="1">
      <alignment horizontal="center" vertical="center" wrapText="1"/>
    </xf>
    <xf numFmtId="0" fontId="24" fillId="0" borderId="0" xfId="0" applyFont="1" applyAlignment="1">
      <alignment wrapText="1"/>
    </xf>
    <xf numFmtId="0" fontId="20" fillId="4" borderId="0" xfId="2" applyFont="1" applyFill="1" applyAlignment="1">
      <alignment horizontal="left" vertical="top" wrapText="1"/>
    </xf>
    <xf numFmtId="0" fontId="20" fillId="4" borderId="0" xfId="0" applyFont="1" applyFill="1" applyAlignment="1">
      <alignment horizontal="left" vertical="top" wrapText="1"/>
    </xf>
    <xf numFmtId="17" fontId="11" fillId="0" borderId="0" xfId="0" quotePrefix="1" applyNumberFormat="1" applyFont="1" applyAlignment="1">
      <alignment horizontal="center" vertical="center" wrapText="1"/>
    </xf>
    <xf numFmtId="0" fontId="20" fillId="0" borderId="1" xfId="0" quotePrefix="1" applyFont="1" applyBorder="1" applyAlignment="1">
      <alignment vertical="center" wrapText="1"/>
    </xf>
    <xf numFmtId="0" fontId="11" fillId="5" borderId="0" xfId="0" applyFont="1" applyFill="1" applyAlignment="1">
      <alignment wrapText="1"/>
    </xf>
    <xf numFmtId="0" fontId="16" fillId="0" borderId="1" xfId="0" quotePrefix="1" applyFont="1" applyBorder="1" applyAlignment="1">
      <alignment horizontal="center" vertical="center" wrapText="1"/>
    </xf>
    <xf numFmtId="0" fontId="16" fillId="0" borderId="1" xfId="0" quotePrefix="1" applyFont="1" applyBorder="1" applyAlignment="1">
      <alignment horizontal="left" vertical="center" wrapText="1"/>
    </xf>
    <xf numFmtId="17" fontId="16" fillId="0" borderId="1" xfId="0" quotePrefix="1" applyNumberFormat="1" applyFont="1" applyBorder="1" applyAlignment="1">
      <alignment horizontal="center" vertical="center" wrapText="1"/>
    </xf>
    <xf numFmtId="14" fontId="16" fillId="0" borderId="1" xfId="0" quotePrefix="1" applyNumberFormat="1" applyFont="1" applyBorder="1" applyAlignment="1">
      <alignment horizontal="center" vertical="center" wrapText="1"/>
    </xf>
    <xf numFmtId="14" fontId="11" fillId="0" borderId="0" xfId="0" applyNumberFormat="1" applyFont="1"/>
    <xf numFmtId="0" fontId="20" fillId="0" borderId="1" xfId="2" applyFont="1" applyBorder="1" applyAlignment="1">
      <alignment horizontal="left" vertical="top" wrapText="1"/>
    </xf>
    <xf numFmtId="0" fontId="15" fillId="0" borderId="1" xfId="0" applyFont="1" applyBorder="1" applyAlignment="1">
      <alignment horizontal="left" vertical="top" wrapText="1"/>
    </xf>
    <xf numFmtId="14" fontId="11" fillId="0" borderId="1" xfId="3" applyNumberFormat="1" applyFont="1" applyBorder="1" applyAlignment="1">
      <alignment horizontal="center" vertical="center" wrapText="1"/>
    </xf>
    <xf numFmtId="0" fontId="11" fillId="0" borderId="1" xfId="3" applyFont="1" applyBorder="1" applyAlignment="1">
      <alignment horizontal="center" vertical="center" wrapText="1"/>
    </xf>
    <xf numFmtId="0" fontId="11" fillId="0" borderId="1" xfId="3" applyFont="1" applyBorder="1" applyAlignment="1">
      <alignment horizontal="left" vertical="center" wrapText="1"/>
    </xf>
    <xf numFmtId="14" fontId="11" fillId="0" borderId="1" xfId="3" quotePrefix="1" applyNumberFormat="1" applyFont="1" applyBorder="1" applyAlignment="1">
      <alignment horizontal="center" vertical="center" wrapText="1"/>
    </xf>
    <xf numFmtId="0" fontId="11" fillId="0" borderId="1" xfId="3" quotePrefix="1" applyFont="1" applyBorder="1" applyAlignment="1">
      <alignment horizontal="center" vertical="center" wrapText="1"/>
    </xf>
    <xf numFmtId="0" fontId="11" fillId="0" borderId="1" xfId="3" quotePrefix="1" applyFont="1" applyBorder="1" applyAlignment="1">
      <alignment horizontal="left" vertical="center" wrapText="1"/>
    </xf>
    <xf numFmtId="0" fontId="20" fillId="0" borderId="1" xfId="3" quotePrefix="1" applyFont="1" applyBorder="1" applyAlignment="1">
      <alignment horizontal="left" vertical="center" wrapText="1"/>
    </xf>
    <xf numFmtId="0" fontId="20" fillId="0" borderId="1" xfId="3" applyFont="1" applyBorder="1" applyAlignment="1">
      <alignment horizontal="left" vertical="top" wrapText="1"/>
    </xf>
    <xf numFmtId="14"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0" fontId="11" fillId="0" borderId="3" xfId="3" applyFont="1" applyBorder="1" applyAlignment="1">
      <alignment horizontal="left" vertical="center" wrapText="1"/>
    </xf>
    <xf numFmtId="14" fontId="11" fillId="0" borderId="3" xfId="3" quotePrefix="1" applyNumberFormat="1" applyFont="1" applyBorder="1" applyAlignment="1">
      <alignment horizontal="center" vertical="center" wrapText="1"/>
    </xf>
    <xf numFmtId="0" fontId="11" fillId="0" borderId="3" xfId="3" quotePrefix="1" applyFont="1" applyBorder="1" applyAlignment="1">
      <alignment horizontal="center" vertical="center" wrapText="1"/>
    </xf>
    <xf numFmtId="0" fontId="11" fillId="0" borderId="3" xfId="3" quotePrefix="1" applyFont="1" applyBorder="1" applyAlignment="1">
      <alignment horizontal="left" vertical="center" wrapText="1"/>
    </xf>
    <xf numFmtId="0" fontId="20" fillId="0" borderId="3" xfId="3" quotePrefix="1" applyFont="1" applyBorder="1" applyAlignment="1">
      <alignment horizontal="left" vertical="center" wrapText="1"/>
    </xf>
    <xf numFmtId="0" fontId="20" fillId="0" borderId="3" xfId="3" applyFont="1" applyBorder="1" applyAlignment="1">
      <alignment horizontal="left" vertical="center" wrapText="1"/>
    </xf>
    <xf numFmtId="14" fontId="16" fillId="6" borderId="1" xfId="2" quotePrefix="1" applyNumberFormat="1" applyFont="1" applyFill="1" applyBorder="1" applyAlignment="1">
      <alignment horizontal="center" vertical="center" wrapText="1"/>
    </xf>
    <xf numFmtId="0" fontId="11" fillId="6" borderId="1" xfId="0" quotePrefix="1" applyFont="1" applyFill="1" applyBorder="1" applyAlignment="1">
      <alignment horizontal="center" vertical="center" wrapText="1"/>
    </xf>
    <xf numFmtId="0" fontId="20" fillId="6" borderId="1" xfId="2" applyFont="1" applyFill="1" applyBorder="1" applyAlignment="1">
      <alignment horizontal="left" vertical="top" wrapText="1"/>
    </xf>
    <xf numFmtId="0" fontId="20" fillId="6" borderId="1" xfId="0" applyFont="1" applyFill="1" applyBorder="1" applyAlignment="1">
      <alignment horizontal="left" vertical="top" wrapText="1"/>
    </xf>
    <xf numFmtId="0" fontId="11" fillId="6" borderId="1" xfId="0" quotePrefix="1" applyFont="1" applyFill="1" applyBorder="1" applyAlignment="1">
      <alignment horizontal="left" vertical="center" wrapText="1"/>
    </xf>
    <xf numFmtId="17" fontId="11" fillId="6" borderId="1" xfId="0" quotePrefix="1" applyNumberFormat="1" applyFont="1" applyFill="1" applyBorder="1" applyAlignment="1">
      <alignment horizontal="center" vertical="center" wrapText="1"/>
    </xf>
    <xf numFmtId="14" fontId="11" fillId="6" borderId="1" xfId="0" quotePrefix="1" applyNumberFormat="1" applyFont="1" applyFill="1" applyBorder="1" applyAlignment="1">
      <alignment horizontal="center" vertical="center" wrapText="1"/>
    </xf>
    <xf numFmtId="0" fontId="20" fillId="6" borderId="1" xfId="0" applyFont="1" applyFill="1" applyBorder="1" applyAlignment="1">
      <alignment vertical="center" wrapText="1"/>
    </xf>
    <xf numFmtId="49" fontId="11" fillId="6" borderId="1" xfId="0" quotePrefix="1" applyNumberFormat="1" applyFont="1" applyFill="1" applyBorder="1" applyAlignment="1">
      <alignment horizontal="left" vertical="top" wrapText="1"/>
    </xf>
    <xf numFmtId="0" fontId="14" fillId="6" borderId="2" xfId="0" applyFont="1" applyFill="1" applyBorder="1" applyAlignment="1">
      <alignment horizontal="center" vertical="center" wrapText="1"/>
    </xf>
    <xf numFmtId="0" fontId="11" fillId="6" borderId="0" xfId="0" applyFont="1" applyFill="1" applyAlignment="1">
      <alignment wrapText="1"/>
    </xf>
    <xf numFmtId="0" fontId="12" fillId="0" borderId="1" xfId="0" applyFont="1" applyBorder="1" applyAlignment="1">
      <alignment horizontal="center" vertical="center" wrapText="1"/>
    </xf>
    <xf numFmtId="0" fontId="16" fillId="4" borderId="0" xfId="0" applyFont="1" applyFill="1" applyAlignment="1">
      <alignment horizontal="center" vertical="center" wrapText="1"/>
    </xf>
    <xf numFmtId="0" fontId="16" fillId="0" borderId="0" xfId="0" applyFont="1" applyAlignment="1">
      <alignment horizontal="center" vertical="center" wrapText="1"/>
    </xf>
    <xf numFmtId="0" fontId="11" fillId="4" borderId="0" xfId="0" applyFont="1" applyFill="1" applyAlignment="1">
      <alignment horizontal="center" vertical="center" wrapText="1"/>
    </xf>
    <xf numFmtId="0" fontId="11" fillId="0" borderId="8" xfId="0" applyFont="1" applyBorder="1" applyAlignment="1">
      <alignment horizontal="center" vertical="center" wrapText="1"/>
    </xf>
    <xf numFmtId="0" fontId="24" fillId="0" borderId="0" xfId="0" applyFont="1" applyAlignment="1">
      <alignment horizontal="center" vertical="center" wrapText="1"/>
    </xf>
    <xf numFmtId="0" fontId="11" fillId="6" borderId="0" xfId="0" applyFont="1" applyFill="1" applyAlignment="1">
      <alignment horizontal="center" vertical="center" wrapText="1"/>
    </xf>
    <xf numFmtId="0" fontId="11" fillId="5" borderId="0" xfId="0" applyFont="1" applyFill="1" applyAlignment="1">
      <alignment horizontal="center" vertical="center" wrapText="1"/>
    </xf>
    <xf numFmtId="49" fontId="7" fillId="0" borderId="0" xfId="0" applyNumberFormat="1" applyFont="1" applyAlignment="1">
      <alignment horizontal="center" vertical="center"/>
    </xf>
    <xf numFmtId="0" fontId="15" fillId="0" borderId="1" xfId="0" applyFont="1" applyBorder="1" applyAlignment="1">
      <alignment horizontal="left" vertical="center" wrapText="1"/>
    </xf>
    <xf numFmtId="0" fontId="15" fillId="0" borderId="0" xfId="0" applyFont="1" applyAlignment="1">
      <alignment wrapText="1"/>
    </xf>
    <xf numFmtId="0" fontId="12" fillId="0" borderId="1" xfId="0" applyFont="1" applyBorder="1" applyAlignment="1">
      <alignment vertical="center" wrapText="1"/>
    </xf>
    <xf numFmtId="0" fontId="29" fillId="0" borderId="0" xfId="0" applyFont="1" applyAlignment="1">
      <alignment horizontal="center" vertical="center"/>
    </xf>
    <xf numFmtId="0" fontId="28" fillId="0" borderId="0" xfId="1" applyFont="1" applyAlignment="1">
      <alignment horizontal="center" vertical="center"/>
    </xf>
    <xf numFmtId="0" fontId="30" fillId="0" borderId="0" xfId="1" applyFont="1" applyAlignment="1">
      <alignment horizontal="left" vertical="center"/>
    </xf>
    <xf numFmtId="0" fontId="30" fillId="0" borderId="0" xfId="1" applyFont="1" applyAlignment="1">
      <alignment horizontal="center" vertical="center"/>
    </xf>
    <xf numFmtId="0" fontId="30" fillId="0" borderId="0" xfId="1" applyFont="1" applyAlignment="1">
      <alignment horizontal="center" vertical="center" wrapText="1"/>
    </xf>
    <xf numFmtId="14" fontId="30" fillId="0" borderId="0" xfId="1" applyNumberFormat="1" applyFont="1" applyAlignment="1">
      <alignment horizontal="center" vertical="center"/>
    </xf>
    <xf numFmtId="1" fontId="30" fillId="0" borderId="0" xfId="1" applyNumberFormat="1" applyFont="1" applyAlignment="1">
      <alignment horizontal="center" vertical="center"/>
    </xf>
    <xf numFmtId="49" fontId="30" fillId="0" borderId="0" xfId="1" applyNumberFormat="1" applyFont="1" applyAlignment="1">
      <alignment horizontal="justify" vertical="center"/>
    </xf>
    <xf numFmtId="49" fontId="30" fillId="0" borderId="0" xfId="1" applyNumberFormat="1" applyFont="1" applyAlignment="1">
      <alignment horizontal="center" vertical="center"/>
    </xf>
    <xf numFmtId="49" fontId="29" fillId="0" borderId="0" xfId="0" applyNumberFormat="1" applyFont="1" applyAlignment="1">
      <alignment horizontal="center" vertical="center"/>
    </xf>
    <xf numFmtId="0" fontId="29" fillId="0" borderId="0" xfId="0" applyFont="1" applyAlignment="1">
      <alignment vertical="center"/>
    </xf>
    <xf numFmtId="0" fontId="28" fillId="0" borderId="0" xfId="1" applyFont="1" applyAlignment="1">
      <alignment vertical="center"/>
    </xf>
    <xf numFmtId="49" fontId="29" fillId="0" borderId="0" xfId="0" applyNumberFormat="1" applyFont="1" applyAlignment="1">
      <alignment vertical="center"/>
    </xf>
    <xf numFmtId="0" fontId="11" fillId="0" borderId="0" xfId="0" applyFont="1" applyAlignment="1">
      <alignment vertical="center"/>
    </xf>
    <xf numFmtId="1" fontId="28" fillId="0" borderId="0" xfId="1" applyNumberFormat="1" applyFont="1" applyAlignment="1">
      <alignment vertical="center"/>
    </xf>
    <xf numFmtId="0" fontId="27" fillId="0" borderId="0" xfId="0" applyFont="1" applyAlignment="1">
      <alignment vertical="center"/>
    </xf>
    <xf numFmtId="0" fontId="16" fillId="0" borderId="0" xfId="0" applyFont="1" applyAlignment="1">
      <alignment vertical="center"/>
    </xf>
    <xf numFmtId="1" fontId="29" fillId="0" borderId="0" xfId="0" applyNumberFormat="1" applyFont="1" applyAlignment="1">
      <alignment vertical="center"/>
    </xf>
    <xf numFmtId="0" fontId="29" fillId="0" borderId="0" xfId="0" applyFont="1" applyAlignment="1">
      <alignment vertical="center" wrapText="1"/>
    </xf>
    <xf numFmtId="0" fontId="29" fillId="0" borderId="0" xfId="0" applyFont="1" applyAlignment="1">
      <alignment horizontal="left" vertical="center"/>
    </xf>
    <xf numFmtId="14" fontId="29" fillId="0" borderId="0" xfId="0" applyNumberFormat="1" applyFont="1" applyAlignment="1">
      <alignment horizontal="center" vertical="center"/>
    </xf>
    <xf numFmtId="1" fontId="29" fillId="0" borderId="0" xfId="0" applyNumberFormat="1" applyFont="1" applyAlignment="1">
      <alignment horizontal="center" vertical="center"/>
    </xf>
    <xf numFmtId="0" fontId="11" fillId="9" borderId="9" xfId="0" applyFont="1" applyFill="1" applyBorder="1" applyAlignment="1">
      <alignment vertical="center" wrapText="1"/>
    </xf>
    <xf numFmtId="14" fontId="11" fillId="3" borderId="9" xfId="0" applyNumberFormat="1" applyFont="1" applyFill="1" applyBorder="1" applyAlignment="1">
      <alignment vertical="center"/>
    </xf>
    <xf numFmtId="1" fontId="12" fillId="2" borderId="0" xfId="2" applyNumberFormat="1" applyFont="1" applyFill="1" applyAlignment="1">
      <alignment horizontal="center" vertical="center" wrapText="1"/>
    </xf>
    <xf numFmtId="0" fontId="12" fillId="2" borderId="10" xfId="2" applyFont="1" applyFill="1" applyBorder="1" applyAlignment="1">
      <alignment horizontal="center" vertical="center" wrapText="1"/>
    </xf>
    <xf numFmtId="14" fontId="12" fillId="2" borderId="10"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1" fontId="12" fillId="2" borderId="10" xfId="2" applyNumberFormat="1" applyFont="1" applyFill="1" applyBorder="1" applyAlignment="1">
      <alignment horizontal="center" vertical="center" wrapText="1"/>
    </xf>
    <xf numFmtId="49" fontId="12" fillId="2" borderId="10" xfId="2" applyNumberFormat="1"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7" borderId="10" xfId="0" applyFont="1" applyFill="1" applyBorder="1" applyAlignment="1">
      <alignment horizontal="center" vertical="center" wrapText="1"/>
    </xf>
    <xf numFmtId="49" fontId="29" fillId="0" borderId="0" xfId="0" applyNumberFormat="1" applyFont="1" applyAlignment="1">
      <alignment vertical="center" wrapText="1"/>
    </xf>
    <xf numFmtId="0" fontId="16" fillId="0" borderId="9" xfId="2" applyFont="1" applyBorder="1" applyAlignment="1">
      <alignment horizontal="left" vertical="center" wrapText="1"/>
    </xf>
    <xf numFmtId="0" fontId="16" fillId="0" borderId="9" xfId="2" applyFont="1" applyBorder="1" applyAlignment="1">
      <alignment horizontal="center" vertical="center" wrapText="1"/>
    </xf>
    <xf numFmtId="14" fontId="16" fillId="0" borderId="9" xfId="0" applyNumberFormat="1" applyFont="1" applyBorder="1" applyAlignment="1">
      <alignment horizontal="center" vertical="center" wrapText="1"/>
    </xf>
    <xf numFmtId="0" fontId="16" fillId="0" borderId="9" xfId="0" applyFont="1" applyBorder="1" applyAlignment="1">
      <alignment horizontal="center" vertical="center" wrapText="1"/>
    </xf>
    <xf numFmtId="1" fontId="16" fillId="0" borderId="9" xfId="2" applyNumberFormat="1" applyFont="1" applyBorder="1" applyAlignment="1">
      <alignment horizontal="center" vertical="center" wrapText="1"/>
    </xf>
    <xf numFmtId="49" fontId="16" fillId="0" borderId="9" xfId="2" applyNumberFormat="1" applyFont="1" applyBorder="1" applyAlignment="1">
      <alignment horizontal="center" vertical="center" wrapText="1"/>
    </xf>
    <xf numFmtId="49" fontId="16" fillId="0" borderId="9" xfId="2" applyNumberFormat="1" applyFont="1" applyBorder="1" applyAlignment="1">
      <alignment horizontal="left" vertical="center" wrapText="1"/>
    </xf>
    <xf numFmtId="0" fontId="11" fillId="0" borderId="9" xfId="2" applyFont="1" applyBorder="1" applyAlignment="1">
      <alignment horizontal="center" vertical="center" wrapText="1"/>
    </xf>
    <xf numFmtId="0" fontId="11" fillId="0" borderId="9" xfId="0" applyFont="1" applyBorder="1" applyAlignment="1">
      <alignment horizontal="center" vertical="center" wrapText="1"/>
    </xf>
    <xf numFmtId="0" fontId="11" fillId="0" borderId="9" xfId="0" applyFont="1" applyBorder="1" applyAlignment="1">
      <alignment vertical="center" wrapText="1"/>
    </xf>
    <xf numFmtId="0" fontId="11" fillId="0" borderId="9" xfId="0" applyFont="1" applyBorder="1" applyAlignment="1">
      <alignment vertical="center"/>
    </xf>
    <xf numFmtId="0" fontId="11" fillId="0" borderId="9" xfId="2" applyFont="1" applyBorder="1" applyAlignment="1">
      <alignment horizontal="left" vertical="center" wrapText="1"/>
    </xf>
    <xf numFmtId="14" fontId="11" fillId="0" borderId="9" xfId="0" applyNumberFormat="1" applyFont="1" applyBorder="1" applyAlignment="1">
      <alignment horizontal="center" vertical="center" wrapText="1"/>
    </xf>
    <xf numFmtId="1" fontId="11" fillId="0" borderId="9" xfId="2" applyNumberFormat="1" applyFont="1" applyBorder="1" applyAlignment="1">
      <alignment horizontal="center" vertical="center" wrapText="1"/>
    </xf>
    <xf numFmtId="49" fontId="11" fillId="0" borderId="9" xfId="2" applyNumberFormat="1" applyFont="1" applyBorder="1" applyAlignment="1">
      <alignment horizontal="center" vertical="center" wrapText="1"/>
    </xf>
    <xf numFmtId="49" fontId="11" fillId="0" borderId="9" xfId="2" applyNumberFormat="1" applyFont="1" applyBorder="1" applyAlignment="1">
      <alignment horizontal="left" vertical="center" wrapText="1"/>
    </xf>
    <xf numFmtId="0" fontId="27" fillId="0" borderId="9" xfId="2" applyFont="1" applyBorder="1" applyAlignment="1">
      <alignment horizontal="center" vertical="center" wrapText="1"/>
    </xf>
    <xf numFmtId="14" fontId="27" fillId="0" borderId="9" xfId="2" applyNumberFormat="1" applyFont="1" applyBorder="1" applyAlignment="1">
      <alignment horizontal="center" vertical="center" wrapText="1"/>
    </xf>
    <xf numFmtId="14" fontId="27" fillId="0" borderId="9" xfId="0" applyNumberFormat="1" applyFont="1" applyBorder="1" applyAlignment="1">
      <alignment horizontal="center" vertical="center" wrapText="1"/>
    </xf>
    <xf numFmtId="0" fontId="27" fillId="0" borderId="9" xfId="0" applyFont="1" applyBorder="1" applyAlignment="1">
      <alignment horizontal="center" vertical="center" wrapText="1"/>
    </xf>
    <xf numFmtId="1" fontId="27" fillId="0" borderId="9" xfId="2" applyNumberFormat="1" applyFont="1" applyBorder="1" applyAlignment="1">
      <alignment horizontal="center" vertical="center" wrapText="1"/>
    </xf>
    <xf numFmtId="49" fontId="27" fillId="0" borderId="9" xfId="2" applyNumberFormat="1" applyFont="1" applyBorder="1" applyAlignment="1">
      <alignment horizontal="left" vertical="center" wrapText="1"/>
    </xf>
    <xf numFmtId="0" fontId="27" fillId="0" borderId="9" xfId="0" applyFont="1" applyBorder="1" applyAlignment="1">
      <alignment vertical="center" wrapText="1"/>
    </xf>
    <xf numFmtId="0" fontId="27" fillId="0" borderId="9" xfId="0" applyFont="1" applyBorder="1" applyAlignment="1">
      <alignment vertical="center"/>
    </xf>
    <xf numFmtId="14" fontId="11" fillId="0" borderId="9" xfId="2" applyNumberFormat="1" applyFont="1" applyBorder="1" applyAlignment="1">
      <alignment horizontal="center" vertical="center" wrapText="1"/>
    </xf>
    <xf numFmtId="14" fontId="16" fillId="0" borderId="9" xfId="2" applyNumberFormat="1" applyFont="1" applyBorder="1" applyAlignment="1">
      <alignment horizontal="center" vertical="center" wrapText="1"/>
    </xf>
    <xf numFmtId="0" fontId="16" fillId="0" borderId="9" xfId="0" applyFont="1" applyBorder="1" applyAlignment="1">
      <alignment vertical="center" wrapText="1"/>
    </xf>
    <xf numFmtId="0" fontId="16" fillId="0" borderId="9" xfId="0" applyFont="1" applyBorder="1" applyAlignment="1">
      <alignment vertical="center"/>
    </xf>
    <xf numFmtId="0" fontId="11" fillId="3" borderId="9" xfId="0" applyFont="1" applyFill="1" applyBorder="1" applyAlignment="1">
      <alignment vertical="center"/>
    </xf>
    <xf numFmtId="0" fontId="27" fillId="0" borderId="9" xfId="2" applyFont="1" applyBorder="1" applyAlignment="1">
      <alignment horizontal="left" vertical="center" wrapText="1"/>
    </xf>
    <xf numFmtId="1" fontId="11" fillId="0" borderId="6" xfId="2" applyNumberFormat="1" applyFont="1" applyBorder="1" applyAlignment="1">
      <alignment horizontal="center" vertical="center" wrapText="1"/>
    </xf>
    <xf numFmtId="1" fontId="11" fillId="0" borderId="5" xfId="2" applyNumberFormat="1" applyFont="1" applyBorder="1" applyAlignment="1">
      <alignment horizontal="center" vertical="center" wrapText="1"/>
    </xf>
    <xf numFmtId="14" fontId="11" fillId="0" borderId="5" xfId="2" applyNumberFormat="1" applyFont="1" applyBorder="1" applyAlignment="1">
      <alignment horizontal="center" vertical="center" wrapText="1"/>
    </xf>
    <xf numFmtId="0" fontId="11" fillId="0" borderId="5" xfId="2" applyFont="1" applyBorder="1" applyAlignment="1">
      <alignment horizontal="left" vertical="center" wrapText="1"/>
    </xf>
    <xf numFmtId="0" fontId="11" fillId="0" borderId="5" xfId="0" applyFont="1" applyBorder="1" applyAlignment="1">
      <alignment vertical="center" wrapText="1"/>
    </xf>
    <xf numFmtId="0" fontId="11" fillId="0" borderId="5" xfId="2" applyFont="1" applyBorder="1" applyAlignment="1">
      <alignment horizontal="center" vertical="center" wrapText="1"/>
    </xf>
    <xf numFmtId="49" fontId="11" fillId="0" borderId="5" xfId="2" applyNumberFormat="1" applyFont="1" applyBorder="1" applyAlignment="1">
      <alignment horizontal="left" vertical="center" wrapText="1"/>
    </xf>
    <xf numFmtId="0" fontId="11" fillId="0" borderId="5" xfId="0" applyFont="1" applyBorder="1" applyAlignment="1">
      <alignment horizontal="center" vertical="center" wrapText="1"/>
    </xf>
    <xf numFmtId="0" fontId="11" fillId="0" borderId="5" xfId="0" applyFont="1" applyBorder="1" applyAlignment="1">
      <alignment vertical="center"/>
    </xf>
    <xf numFmtId="0" fontId="11" fillId="9" borderId="5" xfId="0" applyFont="1" applyFill="1" applyBorder="1" applyAlignment="1">
      <alignment vertical="center" wrapText="1"/>
    </xf>
    <xf numFmtId="0" fontId="0" fillId="0" borderId="0" xfId="0" applyAlignment="1">
      <alignment horizontal="center" vertical="center"/>
    </xf>
    <xf numFmtId="0" fontId="0" fillId="0" borderId="0" xfId="0" pivotButton="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0" borderId="0" xfId="0" pivotButton="1" applyAlignment="1">
      <alignment horizontal="center" vertical="center"/>
    </xf>
    <xf numFmtId="0" fontId="36" fillId="0" borderId="0" xfId="0" applyFont="1" applyAlignment="1">
      <alignment horizontal="left" vertical="center" wrapText="1"/>
    </xf>
    <xf numFmtId="0" fontId="36" fillId="0" borderId="0" xfId="0" applyFont="1" applyAlignment="1">
      <alignment horizontal="left" vertical="center"/>
    </xf>
    <xf numFmtId="0" fontId="36" fillId="0" borderId="0" xfId="0" applyFont="1"/>
    <xf numFmtId="0" fontId="11" fillId="0" borderId="1" xfId="0" quotePrefix="1" applyFont="1" applyBorder="1" applyAlignment="1">
      <alignment vertical="top" wrapText="1"/>
    </xf>
    <xf numFmtId="0" fontId="14" fillId="0" borderId="13" xfId="0" applyFont="1" applyBorder="1" applyAlignment="1">
      <alignment horizontal="center" vertical="center" wrapText="1"/>
    </xf>
    <xf numFmtId="1" fontId="11" fillId="0" borderId="3" xfId="2" quotePrefix="1" applyNumberFormat="1" applyFont="1" applyBorder="1" applyAlignment="1">
      <alignment horizontal="left" vertical="top" wrapText="1"/>
    </xf>
    <xf numFmtId="0" fontId="0" fillId="0" borderId="0" xfId="0" pivotButton="1"/>
    <xf numFmtId="14" fontId="0" fillId="0" borderId="0" xfId="0" applyNumberFormat="1"/>
    <xf numFmtId="0" fontId="31" fillId="0" borderId="15" xfId="0" applyFont="1" applyBorder="1"/>
    <xf numFmtId="0" fontId="35" fillId="0" borderId="15" xfId="0" applyFont="1" applyBorder="1"/>
    <xf numFmtId="0" fontId="31" fillId="0" borderId="0" xfId="0" applyFont="1"/>
    <xf numFmtId="0" fontId="34" fillId="11" borderId="14" xfId="0" applyFont="1" applyFill="1" applyBorder="1" applyAlignment="1">
      <alignment horizontal="center"/>
    </xf>
    <xf numFmtId="0" fontId="6" fillId="0" borderId="15" xfId="1" applyFont="1" applyBorder="1" applyAlignment="1" applyProtection="1">
      <alignment vertical="center" wrapText="1"/>
      <protection locked="0"/>
    </xf>
    <xf numFmtId="0" fontId="6" fillId="0" borderId="2" xfId="1" applyFont="1" applyBorder="1" applyAlignment="1" applyProtection="1">
      <alignment vertical="center" wrapText="1"/>
      <protection locked="0"/>
    </xf>
    <xf numFmtId="0" fontId="7" fillId="0" borderId="0" xfId="0" applyFont="1" applyAlignment="1" applyProtection="1">
      <alignment horizontal="center" vertical="center"/>
      <protection locked="0"/>
    </xf>
    <xf numFmtId="0" fontId="7" fillId="0" borderId="0" xfId="0" applyFont="1" applyProtection="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14" fontId="0" fillId="0" borderId="0" xfId="0" applyNumberFormat="1" applyAlignment="1" applyProtection="1">
      <alignment vertical="center"/>
      <protection locked="0"/>
    </xf>
    <xf numFmtId="0" fontId="32" fillId="0" borderId="4" xfId="0" applyFont="1" applyBorder="1" applyAlignment="1" applyProtection="1">
      <alignment horizontal="center" vertical="center" wrapText="1"/>
      <protection locked="0"/>
    </xf>
    <xf numFmtId="0" fontId="32" fillId="11" borderId="4" xfId="0" applyFont="1" applyFill="1" applyBorder="1" applyAlignment="1" applyProtection="1">
      <alignment horizontal="center" vertical="center" wrapText="1"/>
      <protection locked="0"/>
    </xf>
    <xf numFmtId="0" fontId="32" fillId="3" borderId="4" xfId="0" applyFont="1" applyFill="1" applyBorder="1" applyAlignment="1" applyProtection="1">
      <alignment horizontal="center" vertical="center" wrapText="1"/>
      <protection locked="0"/>
    </xf>
    <xf numFmtId="14" fontId="32" fillId="3" borderId="4" xfId="0" applyNumberFormat="1" applyFont="1" applyFill="1" applyBorder="1" applyAlignment="1" applyProtection="1">
      <alignment horizontal="center" vertical="center" wrapText="1"/>
      <protection locked="0"/>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wrapText="1"/>
      <protection locked="0"/>
    </xf>
    <xf numFmtId="0" fontId="35" fillId="0" borderId="1" xfId="0" applyFont="1" applyBorder="1" applyAlignment="1" applyProtection="1">
      <alignment vertical="center"/>
      <protection locked="0"/>
    </xf>
    <xf numFmtId="0" fontId="35" fillId="0" borderId="1" xfId="0" applyFont="1" applyBorder="1" applyAlignment="1" applyProtection="1">
      <alignment vertical="center" wrapText="1"/>
      <protection locked="0"/>
    </xf>
    <xf numFmtId="14" fontId="35" fillId="0" borderId="1" xfId="0" applyNumberFormat="1" applyFont="1" applyBorder="1" applyAlignment="1" applyProtection="1">
      <alignment vertical="center"/>
      <protection locked="0"/>
    </xf>
    <xf numFmtId="0" fontId="33" fillId="0" borderId="1" xfId="0" applyFont="1" applyBorder="1" applyAlignment="1" applyProtection="1">
      <alignment vertical="center"/>
      <protection locked="0"/>
    </xf>
    <xf numFmtId="0" fontId="33" fillId="0" borderId="1" xfId="0" applyFont="1" applyBorder="1" applyAlignment="1" applyProtection="1">
      <alignment vertical="center" wrapText="1"/>
      <protection locked="0"/>
    </xf>
    <xf numFmtId="14" fontId="7" fillId="0" borderId="1" xfId="0" applyNumberFormat="1" applyFont="1" applyBorder="1" applyAlignment="1" applyProtection="1">
      <alignment vertical="center"/>
      <protection locked="0"/>
    </xf>
    <xf numFmtId="0" fontId="35" fillId="0" borderId="1" xfId="0" applyFont="1" applyBorder="1" applyAlignment="1" applyProtection="1">
      <alignment horizontal="right" vertical="center" wrapText="1"/>
      <protection locked="0"/>
    </xf>
    <xf numFmtId="0" fontId="35" fillId="0" borderId="3" xfId="0" applyFont="1" applyBorder="1" applyAlignment="1" applyProtection="1">
      <alignment vertical="center"/>
      <protection locked="0"/>
    </xf>
    <xf numFmtId="0" fontId="35" fillId="0" borderId="3" xfId="0" applyFont="1" applyBorder="1" applyAlignment="1" applyProtection="1">
      <alignment vertical="center" wrapText="1"/>
      <protection locked="0"/>
    </xf>
    <xf numFmtId="14" fontId="35" fillId="0" borderId="3" xfId="0" applyNumberFormat="1" applyFont="1" applyBorder="1" applyAlignment="1" applyProtection="1">
      <alignment vertical="center"/>
      <protection locked="0"/>
    </xf>
    <xf numFmtId="0" fontId="35" fillId="0" borderId="3" xfId="0" applyFont="1" applyBorder="1" applyAlignment="1" applyProtection="1">
      <alignment horizontal="right" vertical="center"/>
      <protection locked="0"/>
    </xf>
    <xf numFmtId="0" fontId="35" fillId="0" borderId="3" xfId="0" applyFont="1" applyBorder="1" applyAlignment="1" applyProtection="1">
      <alignment vertical="top" wrapText="1"/>
      <protection locked="0"/>
    </xf>
    <xf numFmtId="0" fontId="7" fillId="0" borderId="3" xfId="0" applyFont="1" applyBorder="1" applyAlignment="1" applyProtection="1">
      <alignment vertical="center" wrapText="1"/>
      <protection locked="0"/>
    </xf>
    <xf numFmtId="0" fontId="7" fillId="0" borderId="3" xfId="0" applyFont="1" applyBorder="1" applyAlignment="1" applyProtection="1">
      <alignment vertical="center"/>
      <protection locked="0"/>
    </xf>
    <xf numFmtId="14" fontId="7" fillId="0" borderId="3" xfId="0" applyNumberFormat="1" applyFont="1" applyBorder="1" applyAlignment="1" applyProtection="1">
      <alignment vertical="center"/>
      <protection locked="0"/>
    </xf>
    <xf numFmtId="49" fontId="35" fillId="0" borderId="1" xfId="0" applyNumberFormat="1" applyFont="1" applyBorder="1" applyAlignment="1" applyProtection="1">
      <alignment horizontal="left" vertical="center"/>
      <protection locked="0"/>
    </xf>
    <xf numFmtId="0" fontId="35" fillId="0" borderId="3" xfId="0" quotePrefix="1" applyFont="1" applyBorder="1" applyAlignment="1" applyProtection="1">
      <alignment vertical="center" wrapText="1"/>
      <protection locked="0"/>
    </xf>
    <xf numFmtId="49" fontId="32" fillId="0" borderId="1" xfId="0" applyNumberFormat="1" applyFont="1" applyBorder="1" applyAlignment="1" applyProtection="1">
      <alignment horizontal="left" vertical="center"/>
      <protection locked="0"/>
    </xf>
    <xf numFmtId="0" fontId="0" fillId="0" borderId="3" xfId="0" applyBorder="1" applyAlignment="1" applyProtection="1">
      <alignment vertical="center"/>
      <protection locked="0"/>
    </xf>
    <xf numFmtId="0" fontId="0" fillId="0" borderId="3" xfId="0" applyBorder="1" applyAlignment="1" applyProtection="1">
      <alignment vertical="center" wrapText="1"/>
      <protection locked="0"/>
    </xf>
    <xf numFmtId="14" fontId="0" fillId="0" borderId="3" xfId="0" applyNumberFormat="1" applyBorder="1" applyAlignment="1" applyProtection="1">
      <alignment vertical="center"/>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14" fontId="0" fillId="0" borderId="1" xfId="0" applyNumberFormat="1" applyBorder="1" applyAlignment="1" applyProtection="1">
      <alignment vertical="center"/>
      <protection locked="0"/>
    </xf>
    <xf numFmtId="0" fontId="32" fillId="10" borderId="4" xfId="0" applyFont="1" applyFill="1" applyBorder="1" applyAlignment="1" applyProtection="1">
      <alignment horizontal="center" vertical="center" wrapText="1"/>
      <protection locked="0"/>
    </xf>
    <xf numFmtId="0" fontId="32" fillId="10" borderId="12" xfId="0" applyFont="1" applyFill="1" applyBorder="1" applyAlignment="1" applyProtection="1">
      <alignment horizontal="center" vertical="center" wrapText="1"/>
      <protection locked="0"/>
    </xf>
    <xf numFmtId="0" fontId="32" fillId="3" borderId="14" xfId="0" applyFont="1" applyFill="1" applyBorder="1" applyAlignment="1" applyProtection="1">
      <alignment horizontal="center" vertical="center" wrapText="1"/>
      <protection locked="0"/>
    </xf>
    <xf numFmtId="0" fontId="32" fillId="0" borderId="0" xfId="0" applyFont="1" applyAlignment="1" applyProtection="1">
      <alignment horizontal="center" vertical="center" wrapText="1"/>
      <protection locked="0"/>
    </xf>
    <xf numFmtId="49" fontId="38" fillId="0" borderId="1" xfId="0" applyNumberFormat="1" applyFont="1" applyBorder="1" applyAlignment="1" applyProtection="1">
      <alignment horizontal="left" vertical="center"/>
      <protection locked="0"/>
    </xf>
    <xf numFmtId="0" fontId="29" fillId="9" borderId="1" xfId="0" applyFont="1" applyFill="1" applyBorder="1" applyAlignment="1" applyProtection="1">
      <alignment vertical="center" wrapText="1"/>
      <protection locked="0"/>
    </xf>
    <xf numFmtId="0" fontId="29" fillId="9" borderId="5" xfId="0" applyFont="1" applyFill="1" applyBorder="1" applyAlignment="1" applyProtection="1">
      <alignment vertical="center" wrapText="1"/>
      <protection locked="0"/>
    </xf>
    <xf numFmtId="0" fontId="43" fillId="0" borderId="0" xfId="6" applyAlignment="1" applyProtection="1">
      <alignment vertical="center"/>
      <protection locked="0"/>
    </xf>
    <xf numFmtId="0" fontId="35" fillId="0" borderId="0" xfId="0" applyFont="1" applyAlignment="1" applyProtection="1">
      <alignment vertical="center"/>
      <protection locked="0"/>
    </xf>
    <xf numFmtId="49" fontId="39" fillId="0" borderId="1" xfId="0" applyNumberFormat="1" applyFont="1" applyBorder="1" applyAlignment="1" applyProtection="1">
      <alignment horizontal="left" vertical="center"/>
      <protection locked="0"/>
    </xf>
    <xf numFmtId="0" fontId="7" fillId="0" borderId="0" xfId="0" applyFont="1" applyAlignment="1" applyProtection="1">
      <alignment vertical="center"/>
      <protection locked="0"/>
    </xf>
    <xf numFmtId="49" fontId="32" fillId="0" borderId="1" xfId="0" applyNumberFormat="1" applyFont="1" applyBorder="1" applyAlignment="1" applyProtection="1">
      <alignment horizontal="left" vertical="center" wrapText="1"/>
      <protection locked="0"/>
    </xf>
    <xf numFmtId="14" fontId="35" fillId="0" borderId="1" xfId="0" applyNumberFormat="1" applyFont="1" applyBorder="1" applyAlignment="1" applyProtection="1">
      <alignment vertical="center" wrapText="1"/>
      <protection locked="0"/>
    </xf>
    <xf numFmtId="49" fontId="32" fillId="0" borderId="3" xfId="0" applyNumberFormat="1" applyFont="1" applyBorder="1" applyAlignment="1" applyProtection="1">
      <alignment horizontal="left" vertical="center" wrapText="1"/>
      <protection locked="0"/>
    </xf>
    <xf numFmtId="14" fontId="35" fillId="0" borderId="3" xfId="0" applyNumberFormat="1" applyFont="1" applyBorder="1" applyAlignment="1" applyProtection="1">
      <alignment vertical="center" wrapText="1"/>
      <protection locked="0"/>
    </xf>
    <xf numFmtId="0" fontId="29" fillId="9" borderId="3" xfId="0" applyFont="1" applyFill="1" applyBorder="1" applyAlignment="1" applyProtection="1">
      <alignment vertical="center" wrapText="1"/>
      <protection locked="0"/>
    </xf>
    <xf numFmtId="0" fontId="29" fillId="9" borderId="9" xfId="0" applyFont="1" applyFill="1" applyBorder="1" applyAlignment="1" applyProtection="1">
      <alignment vertical="center" wrapText="1"/>
      <protection locked="0"/>
    </xf>
    <xf numFmtId="49" fontId="32" fillId="0" borderId="2" xfId="0" applyNumberFormat="1" applyFont="1" applyBorder="1" applyAlignment="1" applyProtection="1">
      <alignment horizontal="left" vertical="center"/>
      <protection locked="0"/>
    </xf>
    <xf numFmtId="49" fontId="32" fillId="0" borderId="7" xfId="0" applyNumberFormat="1" applyFont="1" applyBorder="1" applyAlignment="1" applyProtection="1">
      <alignment horizontal="left" vertical="center"/>
      <protection locked="0"/>
    </xf>
    <xf numFmtId="0" fontId="29" fillId="0" borderId="3" xfId="0" applyFont="1" applyBorder="1" applyAlignment="1" applyProtection="1">
      <alignment vertical="center" wrapText="1"/>
      <protection locked="0"/>
    </xf>
    <xf numFmtId="0" fontId="29" fillId="0" borderId="9" xfId="0" applyFont="1" applyBorder="1" applyAlignment="1" applyProtection="1">
      <alignment vertical="center" wrapText="1"/>
      <protection locked="0"/>
    </xf>
    <xf numFmtId="2" fontId="35" fillId="0" borderId="3" xfId="0" quotePrefix="1" applyNumberFormat="1" applyFont="1" applyBorder="1" applyAlignment="1" applyProtection="1">
      <alignment horizontal="right" vertical="center"/>
      <protection locked="0"/>
    </xf>
    <xf numFmtId="0" fontId="40" fillId="9" borderId="3" xfId="0" applyFont="1" applyFill="1" applyBorder="1" applyAlignment="1" applyProtection="1">
      <alignment vertical="center" wrapText="1"/>
      <protection locked="0"/>
    </xf>
    <xf numFmtId="0" fontId="40" fillId="9" borderId="9" xfId="0" applyFont="1" applyFill="1" applyBorder="1" applyAlignment="1" applyProtection="1">
      <alignment vertical="center" wrapText="1"/>
      <protection locked="0"/>
    </xf>
    <xf numFmtId="0" fontId="41" fillId="9" borderId="3" xfId="0" applyFont="1" applyFill="1" applyBorder="1" applyAlignment="1" applyProtection="1">
      <alignment vertical="center" wrapText="1"/>
      <protection locked="0"/>
    </xf>
    <xf numFmtId="0" fontId="41" fillId="9" borderId="9" xfId="0" applyFont="1" applyFill="1" applyBorder="1" applyAlignment="1" applyProtection="1">
      <alignment vertical="center" wrapText="1"/>
      <protection locked="0"/>
    </xf>
    <xf numFmtId="0" fontId="41" fillId="9" borderId="1" xfId="0" applyFont="1" applyFill="1" applyBorder="1" applyAlignment="1" applyProtection="1">
      <alignment vertical="center" wrapText="1"/>
      <protection locked="0"/>
    </xf>
    <xf numFmtId="0" fontId="41" fillId="9" borderId="5" xfId="0" applyFont="1" applyFill="1" applyBorder="1" applyAlignment="1" applyProtection="1">
      <alignment vertical="center" wrapText="1"/>
      <protection locked="0"/>
    </xf>
    <xf numFmtId="0" fontId="42" fillId="9" borderId="3" xfId="0" applyFont="1" applyFill="1" applyBorder="1" applyAlignment="1" applyProtection="1">
      <alignment vertical="center" wrapText="1"/>
      <protection locked="0"/>
    </xf>
    <xf numFmtId="0" fontId="42" fillId="9" borderId="9" xfId="0" applyFont="1" applyFill="1" applyBorder="1" applyAlignment="1" applyProtection="1">
      <alignment vertical="center" wrapText="1"/>
      <protection locked="0"/>
    </xf>
    <xf numFmtId="17" fontId="0" fillId="0" borderId="1" xfId="0" quotePrefix="1" applyNumberFormat="1" applyBorder="1" applyAlignment="1" applyProtection="1">
      <alignment horizontal="right" vertical="center"/>
      <protection locked="0"/>
    </xf>
    <xf numFmtId="0" fontId="45" fillId="9" borderId="3" xfId="0" applyFont="1" applyFill="1" applyBorder="1" applyAlignment="1" applyProtection="1">
      <alignment vertical="center" wrapText="1"/>
      <protection locked="0"/>
    </xf>
    <xf numFmtId="0" fontId="45" fillId="9" borderId="9" xfId="0" applyFont="1" applyFill="1" applyBorder="1" applyAlignment="1" applyProtection="1">
      <alignment vertical="center" wrapText="1"/>
      <protection locked="0"/>
    </xf>
    <xf numFmtId="0" fontId="32" fillId="0" borderId="0" xfId="0" applyFont="1" applyAlignment="1" applyProtection="1">
      <alignment horizontal="left" vertical="center"/>
      <protection locked="0"/>
    </xf>
    <xf numFmtId="0" fontId="6" fillId="0" borderId="15" xfId="1" applyFont="1" applyBorder="1" applyAlignment="1" applyProtection="1">
      <alignment horizontal="center" vertical="center" wrapText="1"/>
      <protection locked="0"/>
    </xf>
    <xf numFmtId="0" fontId="5" fillId="0" borderId="5" xfId="1" applyFont="1" applyBorder="1"/>
    <xf numFmtId="0" fontId="5" fillId="0" borderId="2" xfId="1" applyFont="1" applyBorder="1"/>
    <xf numFmtId="0" fontId="6" fillId="0" borderId="5" xfId="1" applyFont="1" applyBorder="1" applyAlignment="1">
      <alignment horizontal="center" vertical="center" wrapText="1"/>
    </xf>
    <xf numFmtId="0" fontId="6" fillId="0" borderId="15" xfId="1" applyFont="1" applyBorder="1" applyAlignment="1">
      <alignment horizontal="center" vertical="center" wrapText="1"/>
    </xf>
    <xf numFmtId="0" fontId="32" fillId="0" borderId="11" xfId="0" applyFont="1" applyBorder="1" applyAlignment="1">
      <alignment horizontal="center" vertical="center" wrapText="1"/>
    </xf>
    <xf numFmtId="0" fontId="32" fillId="0" borderId="4" xfId="0" applyFont="1" applyBorder="1" applyAlignment="1">
      <alignment horizontal="center" vertical="center" wrapText="1"/>
    </xf>
    <xf numFmtId="1" fontId="29" fillId="0" borderId="2" xfId="2" applyNumberFormat="1" applyFont="1" applyBorder="1" applyAlignment="1">
      <alignment horizontal="center" vertical="center" wrapText="1"/>
    </xf>
    <xf numFmtId="0" fontId="38" fillId="0" borderId="1" xfId="0" applyFont="1" applyBorder="1" applyAlignment="1">
      <alignment vertical="center" wrapText="1"/>
    </xf>
    <xf numFmtId="0" fontId="7" fillId="0" borderId="1" xfId="0" applyFont="1" applyBorder="1" applyAlignment="1">
      <alignment vertical="center" wrapText="1"/>
    </xf>
    <xf numFmtId="0" fontId="32" fillId="0" borderId="1" xfId="0" applyFont="1" applyBorder="1" applyAlignment="1">
      <alignment vertical="center" wrapText="1"/>
    </xf>
    <xf numFmtId="0" fontId="35" fillId="0" borderId="1" xfId="0" applyFont="1" applyBorder="1" applyAlignment="1">
      <alignment vertical="center" wrapText="1"/>
    </xf>
    <xf numFmtId="0" fontId="39" fillId="0" borderId="1" xfId="0" applyFont="1" applyBorder="1" applyAlignment="1">
      <alignment vertical="center" wrapText="1"/>
    </xf>
    <xf numFmtId="0" fontId="33" fillId="0" borderId="1" xfId="0" applyFont="1" applyBorder="1" applyAlignment="1">
      <alignment vertical="center" wrapText="1"/>
    </xf>
    <xf numFmtId="0" fontId="35" fillId="0" borderId="2" xfId="0" applyFont="1" applyBorder="1" applyAlignment="1">
      <alignment vertical="center" wrapText="1"/>
    </xf>
    <xf numFmtId="0" fontId="35" fillId="0" borderId="5" xfId="0" applyFont="1" applyBorder="1" applyAlignment="1">
      <alignment vertical="center" wrapText="1"/>
    </xf>
    <xf numFmtId="0" fontId="32" fillId="0" borderId="3" xfId="0" applyFont="1" applyBorder="1" applyAlignment="1">
      <alignment vertical="center" wrapText="1"/>
    </xf>
    <xf numFmtId="0" fontId="35" fillId="0" borderId="3" xfId="0" applyFont="1" applyBorder="1" applyAlignment="1">
      <alignment vertical="center" wrapText="1"/>
    </xf>
    <xf numFmtId="0" fontId="35" fillId="0" borderId="7" xfId="0" applyFont="1" applyBorder="1" applyAlignment="1">
      <alignment vertical="center" wrapText="1"/>
    </xf>
    <xf numFmtId="0" fontId="35" fillId="0" borderId="9" xfId="0" applyFont="1" applyBorder="1" applyAlignment="1">
      <alignment vertical="center" wrapText="1"/>
    </xf>
    <xf numFmtId="0" fontId="32" fillId="0" borderId="9" xfId="0" applyFont="1" applyBorder="1" applyAlignment="1">
      <alignment vertical="center" wrapText="1"/>
    </xf>
    <xf numFmtId="0" fontId="38" fillId="0" borderId="3" xfId="0" applyFont="1" applyBorder="1" applyAlignment="1">
      <alignment vertical="center" wrapText="1"/>
    </xf>
    <xf numFmtId="0" fontId="7" fillId="0" borderId="7" xfId="0" applyFont="1" applyBorder="1" applyAlignment="1">
      <alignment vertical="center" wrapText="1"/>
    </xf>
    <xf numFmtId="0" fontId="7" fillId="0" borderId="9" xfId="0" applyFont="1" applyBorder="1" applyAlignment="1">
      <alignment vertical="center" wrapText="1"/>
    </xf>
    <xf numFmtId="0" fontId="37" fillId="0" borderId="7" xfId="0" applyFont="1"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1" xfId="0" applyBorder="1" applyAlignment="1">
      <alignment vertical="center" wrapText="1"/>
    </xf>
    <xf numFmtId="0" fontId="7" fillId="0" borderId="5" xfId="0" applyFont="1" applyBorder="1" applyAlignment="1">
      <alignment vertical="center" wrapText="1"/>
    </xf>
    <xf numFmtId="0" fontId="0" fillId="0" borderId="7" xfId="0" applyBorder="1" applyAlignment="1">
      <alignment horizontal="left" vertical="center" wrapText="1"/>
    </xf>
    <xf numFmtId="0" fontId="44" fillId="0" borderId="1" xfId="0" applyFont="1" applyBorder="1" applyAlignment="1">
      <alignment vertical="center" wrapText="1"/>
    </xf>
    <xf numFmtId="0" fontId="32" fillId="0" borderId="0" xfId="0" applyFont="1" applyAlignment="1">
      <alignment vertical="center" wrapText="1"/>
    </xf>
    <xf numFmtId="0" fontId="0" fillId="0" borderId="0" xfId="0" applyAlignment="1">
      <alignment vertical="center" wrapText="1"/>
    </xf>
    <xf numFmtId="0" fontId="46" fillId="9" borderId="3" xfId="0" applyFont="1" applyFill="1" applyBorder="1" applyAlignment="1" applyProtection="1">
      <alignment vertical="center" wrapText="1"/>
      <protection locked="0"/>
    </xf>
    <xf numFmtId="0" fontId="46" fillId="9" borderId="9" xfId="0" applyFont="1" applyFill="1" applyBorder="1" applyAlignment="1" applyProtection="1">
      <alignment vertical="center" wrapText="1"/>
      <protection locked="0"/>
    </xf>
    <xf numFmtId="0" fontId="47" fillId="9" borderId="3" xfId="0" applyFont="1" applyFill="1" applyBorder="1" applyAlignment="1" applyProtection="1">
      <alignment vertical="center" wrapText="1"/>
      <protection locked="0"/>
    </xf>
    <xf numFmtId="0" fontId="47" fillId="9" borderId="9" xfId="0" applyFont="1" applyFill="1" applyBorder="1" applyAlignment="1" applyProtection="1">
      <alignment vertical="center" wrapText="1"/>
      <protection locked="0"/>
    </xf>
    <xf numFmtId="49" fontId="32" fillId="0" borderId="3" xfId="0" applyNumberFormat="1" applyFont="1" applyBorder="1" applyAlignment="1" applyProtection="1">
      <alignment horizontal="left" vertical="center"/>
      <protection locked="0"/>
    </xf>
    <xf numFmtId="0" fontId="48" fillId="9" borderId="3" xfId="0" applyFont="1" applyFill="1" applyBorder="1" applyAlignment="1" applyProtection="1">
      <alignment vertical="center" wrapText="1"/>
      <protection locked="0"/>
    </xf>
    <xf numFmtId="0" fontId="48" fillId="9" borderId="9" xfId="0" applyFont="1" applyFill="1" applyBorder="1" applyAlignment="1" applyProtection="1">
      <alignment vertical="center" wrapText="1"/>
      <protection locked="0"/>
    </xf>
    <xf numFmtId="0" fontId="35" fillId="0" borderId="3" xfId="0" quotePrefix="1" applyFont="1" applyBorder="1" applyAlignment="1" applyProtection="1">
      <alignment horizontal="right" vertical="center"/>
      <protection locked="0"/>
    </xf>
    <xf numFmtId="0" fontId="48" fillId="9" borderId="1" xfId="0" applyFont="1" applyFill="1" applyBorder="1" applyAlignment="1" applyProtection="1">
      <alignment vertical="center" wrapText="1"/>
      <protection locked="0"/>
    </xf>
    <xf numFmtId="0" fontId="48" fillId="9" borderId="5" xfId="0" applyFont="1" applyFill="1" applyBorder="1" applyAlignment="1" applyProtection="1">
      <alignment vertical="center" wrapText="1"/>
      <protection locked="0"/>
    </xf>
    <xf numFmtId="0" fontId="43" fillId="0" borderId="0" xfId="6" applyFill="1" applyAlignment="1" applyProtection="1">
      <alignment vertical="center"/>
      <protection locked="0"/>
    </xf>
    <xf numFmtId="0" fontId="49" fillId="9" borderId="3" xfId="0" applyFont="1" applyFill="1" applyBorder="1" applyAlignment="1" applyProtection="1">
      <alignment vertical="center" wrapText="1"/>
      <protection locked="0"/>
    </xf>
    <xf numFmtId="0" fontId="49" fillId="9" borderId="9" xfId="0" applyFont="1" applyFill="1" applyBorder="1" applyAlignment="1" applyProtection="1">
      <alignment vertical="center" wrapText="1"/>
      <protection locked="0"/>
    </xf>
    <xf numFmtId="0" fontId="0" fillId="0" borderId="5" xfId="0" applyBorder="1" applyAlignment="1">
      <alignment vertical="center" wrapText="1"/>
    </xf>
    <xf numFmtId="49" fontId="35" fillId="0" borderId="7" xfId="0" applyNumberFormat="1" applyFont="1" applyBorder="1" applyAlignment="1" applyProtection="1">
      <alignment horizontal="right" vertical="center"/>
      <protection locked="0"/>
    </xf>
    <xf numFmtId="14" fontId="35" fillId="0" borderId="3" xfId="0" quotePrefix="1" applyNumberFormat="1" applyFont="1" applyBorder="1" applyAlignment="1" applyProtection="1">
      <alignment horizontal="right" vertical="center"/>
      <protection locked="0"/>
    </xf>
    <xf numFmtId="0" fontId="32" fillId="0" borderId="5" xfId="0" applyFont="1" applyBorder="1" applyAlignment="1">
      <alignment vertical="center" wrapText="1"/>
    </xf>
    <xf numFmtId="0" fontId="29" fillId="0" borderId="1" xfId="0" applyFont="1" applyBorder="1" applyAlignment="1" applyProtection="1">
      <alignment vertical="center" wrapText="1"/>
      <protection locked="0"/>
    </xf>
    <xf numFmtId="0" fontId="29" fillId="0" borderId="5" xfId="0" applyFont="1" applyBorder="1" applyAlignment="1" applyProtection="1">
      <alignment vertical="center" wrapText="1"/>
      <protection locked="0"/>
    </xf>
    <xf numFmtId="0" fontId="50" fillId="9" borderId="3" xfId="0" applyFont="1" applyFill="1" applyBorder="1" applyAlignment="1" applyProtection="1">
      <alignment vertical="center" wrapText="1"/>
      <protection locked="0"/>
    </xf>
    <xf numFmtId="0" fontId="50" fillId="9" borderId="9" xfId="0" applyFont="1" applyFill="1" applyBorder="1" applyAlignment="1" applyProtection="1">
      <alignment vertical="center" wrapText="1"/>
      <protection locked="0"/>
    </xf>
    <xf numFmtId="0" fontId="6" fillId="0" borderId="15" xfId="1" applyFont="1" applyBorder="1" applyAlignment="1" applyProtection="1">
      <alignment horizontal="right" vertical="center" wrapText="1"/>
      <protection locked="0"/>
    </xf>
    <xf numFmtId="0" fontId="7" fillId="0" borderId="1" xfId="0" applyFont="1" applyBorder="1" applyAlignment="1" applyProtection="1">
      <alignment horizontal="right" vertical="center"/>
      <protection locked="0"/>
    </xf>
    <xf numFmtId="0" fontId="35" fillId="0" borderId="1" xfId="0" applyFont="1" applyBorder="1" applyAlignment="1" applyProtection="1">
      <alignment horizontal="right" vertical="center"/>
      <protection locked="0"/>
    </xf>
    <xf numFmtId="0" fontId="33" fillId="0" borderId="1" xfId="0" applyFont="1" applyBorder="1" applyAlignment="1" applyProtection="1">
      <alignment horizontal="right" vertical="center"/>
      <protection locked="0"/>
    </xf>
    <xf numFmtId="0" fontId="35" fillId="0" borderId="2" xfId="0" applyFont="1" applyBorder="1" applyAlignment="1" applyProtection="1">
      <alignment horizontal="right" vertical="center"/>
      <protection locked="0"/>
    </xf>
    <xf numFmtId="14" fontId="35" fillId="0" borderId="7" xfId="0" applyNumberFormat="1" applyFont="1" applyBorder="1" applyAlignment="1" applyProtection="1">
      <alignment horizontal="right" vertical="center"/>
      <protection locked="0"/>
    </xf>
    <xf numFmtId="17" fontId="35" fillId="0" borderId="7" xfId="0" quotePrefix="1" applyNumberFormat="1" applyFont="1" applyBorder="1" applyAlignment="1" applyProtection="1">
      <alignment horizontal="right" vertical="center"/>
      <protection locked="0"/>
    </xf>
    <xf numFmtId="14" fontId="35" fillId="0" borderId="3" xfId="0" applyNumberFormat="1" applyFont="1" applyBorder="1" applyAlignment="1" applyProtection="1">
      <alignment horizontal="right" vertical="center"/>
      <protection locked="0"/>
    </xf>
    <xf numFmtId="14" fontId="35" fillId="0" borderId="1" xfId="0" applyNumberFormat="1" applyFont="1" applyBorder="1" applyAlignment="1" applyProtection="1">
      <alignment horizontal="right" vertical="center"/>
      <protection locked="0"/>
    </xf>
    <xf numFmtId="17" fontId="7" fillId="0" borderId="1" xfId="0" quotePrefix="1" applyNumberFormat="1" applyFont="1" applyBorder="1" applyAlignment="1" applyProtection="1">
      <alignment horizontal="right" vertical="center"/>
      <protection locked="0"/>
    </xf>
    <xf numFmtId="49" fontId="35" fillId="0" borderId="1" xfId="0" applyNumberFormat="1" applyFont="1" applyBorder="1" applyAlignment="1" applyProtection="1">
      <alignment horizontal="right" vertical="center"/>
      <protection locked="0"/>
    </xf>
    <xf numFmtId="17" fontId="35" fillId="0" borderId="1" xfId="0" quotePrefix="1" applyNumberFormat="1" applyFont="1" applyBorder="1" applyAlignment="1" applyProtection="1">
      <alignment horizontal="right" vertical="center"/>
      <protection locked="0"/>
    </xf>
    <xf numFmtId="49" fontId="32" fillId="0" borderId="1" xfId="0" applyNumberFormat="1" applyFont="1" applyBorder="1" applyAlignment="1" applyProtection="1">
      <alignment horizontal="right" vertical="center"/>
      <protection locked="0"/>
    </xf>
    <xf numFmtId="14" fontId="35" fillId="0" borderId="1" xfId="0" quotePrefix="1" applyNumberFormat="1" applyFont="1" applyBorder="1" applyAlignment="1" applyProtection="1">
      <alignment horizontal="right" vertical="center"/>
      <protection locked="0"/>
    </xf>
    <xf numFmtId="14" fontId="0" fillId="0" borderId="1" xfId="0" applyNumberFormat="1" applyBorder="1" applyAlignment="1" applyProtection="1">
      <alignment horizontal="right" vertical="center"/>
      <protection locked="0"/>
    </xf>
    <xf numFmtId="14" fontId="0" fillId="0" borderId="3" xfId="0" applyNumberFormat="1" applyBorder="1" applyAlignment="1" applyProtection="1">
      <alignment horizontal="right" vertical="center"/>
      <protection locked="0"/>
    </xf>
    <xf numFmtId="0" fontId="0" fillId="0" borderId="1" xfId="0" applyBorder="1" applyAlignment="1" applyProtection="1">
      <alignment horizontal="right" vertical="center"/>
      <protection locked="0"/>
    </xf>
    <xf numFmtId="0" fontId="0" fillId="0" borderId="3" xfId="0" applyBorder="1" applyAlignment="1" applyProtection="1">
      <alignment horizontal="right" vertical="center"/>
      <protection locked="0"/>
    </xf>
    <xf numFmtId="0" fontId="0" fillId="0" borderId="3" xfId="0" quotePrefix="1" applyBorder="1" applyAlignment="1" applyProtection="1">
      <alignment horizontal="right" vertical="center"/>
      <protection locked="0"/>
    </xf>
    <xf numFmtId="14" fontId="7" fillId="0" borderId="1" xfId="0" applyNumberFormat="1" applyFont="1" applyBorder="1" applyAlignment="1" applyProtection="1">
      <alignment horizontal="right" vertical="center"/>
      <protection locked="0"/>
    </xf>
    <xf numFmtId="49" fontId="32" fillId="0" borderId="7" xfId="0" applyNumberFormat="1" applyFont="1" applyBorder="1" applyAlignment="1" applyProtection="1">
      <alignment horizontal="right" vertical="center"/>
      <protection locked="0"/>
    </xf>
    <xf numFmtId="0" fontId="7" fillId="0" borderId="0" xfId="0" applyFont="1" applyAlignment="1">
      <alignment horizontal="right" wrapText="1"/>
    </xf>
    <xf numFmtId="0" fontId="0" fillId="0" borderId="0" xfId="0" applyAlignment="1" applyProtection="1">
      <alignment horizontal="right" vertical="center"/>
      <protection locked="0"/>
    </xf>
    <xf numFmtId="14" fontId="0" fillId="0" borderId="0" xfId="0" applyNumberFormat="1" applyAlignment="1" applyProtection="1">
      <alignment horizontal="right" vertical="center"/>
      <protection locked="0"/>
    </xf>
    <xf numFmtId="0" fontId="29" fillId="0" borderId="7" xfId="0" applyFont="1" applyBorder="1" applyAlignment="1">
      <alignment vertical="center" wrapText="1"/>
    </xf>
    <xf numFmtId="0" fontId="29" fillId="0" borderId="9" xfId="0" applyFont="1" applyBorder="1" applyAlignment="1">
      <alignment vertical="center" wrapText="1"/>
    </xf>
    <xf numFmtId="0" fontId="29" fillId="0" borderId="3" xfId="0" applyFont="1" applyBorder="1" applyAlignment="1" applyProtection="1">
      <alignment vertical="center"/>
      <protection locked="0"/>
    </xf>
    <xf numFmtId="49" fontId="29" fillId="0" borderId="3" xfId="0" applyNumberFormat="1" applyFont="1" applyBorder="1" applyAlignment="1" applyProtection="1">
      <alignment vertical="center" wrapText="1"/>
      <protection locked="0"/>
    </xf>
    <xf numFmtId="14" fontId="29" fillId="0" borderId="3" xfId="0" applyNumberFormat="1" applyFont="1" applyBorder="1" applyAlignment="1" applyProtection="1">
      <alignment horizontal="right" vertical="center"/>
      <protection locked="0"/>
    </xf>
    <xf numFmtId="0" fontId="51" fillId="0" borderId="1" xfId="0" applyFont="1" applyBorder="1" applyAlignment="1">
      <alignment vertical="center" wrapText="1"/>
    </xf>
    <xf numFmtId="49" fontId="52" fillId="0" borderId="1" xfId="0" applyNumberFormat="1" applyFont="1" applyBorder="1" applyAlignment="1" applyProtection="1">
      <alignment horizontal="left" vertical="center"/>
      <protection locked="0"/>
    </xf>
    <xf numFmtId="0" fontId="29" fillId="0" borderId="1" xfId="0" applyFont="1" applyBorder="1" applyAlignment="1" applyProtection="1">
      <alignment horizontal="right" vertical="center"/>
      <protection locked="0"/>
    </xf>
    <xf numFmtId="14" fontId="29" fillId="0" borderId="1" xfId="0" applyNumberFormat="1" applyFont="1" applyBorder="1" applyAlignment="1" applyProtection="1">
      <alignment horizontal="right" vertical="center"/>
      <protection locked="0"/>
    </xf>
    <xf numFmtId="0" fontId="50" fillId="9" borderId="1" xfId="0" applyFont="1" applyFill="1" applyBorder="1" applyAlignment="1" applyProtection="1">
      <alignment vertical="center" wrapText="1"/>
      <protection locked="0"/>
    </xf>
    <xf numFmtId="0" fontId="50" fillId="9" borderId="5" xfId="0" applyFont="1" applyFill="1" applyBorder="1" applyAlignment="1" applyProtection="1">
      <alignment vertical="center" wrapText="1"/>
      <protection locked="0"/>
    </xf>
    <xf numFmtId="0" fontId="29" fillId="0" borderId="1" xfId="0" applyFont="1" applyBorder="1" applyAlignment="1" applyProtection="1">
      <alignment vertical="center"/>
      <protection locked="0"/>
    </xf>
    <xf numFmtId="49" fontId="29" fillId="0" borderId="1" xfId="0" applyNumberFormat="1" applyFont="1" applyBorder="1" applyAlignment="1" applyProtection="1">
      <alignment vertical="center" wrapText="1"/>
      <protection locked="0"/>
    </xf>
    <xf numFmtId="0" fontId="51" fillId="0" borderId="9" xfId="0" applyFont="1" applyBorder="1" applyAlignment="1">
      <alignment vertical="center" wrapText="1"/>
    </xf>
    <xf numFmtId="0" fontId="53" fillId="9" borderId="3" xfId="0" applyFont="1" applyFill="1" applyBorder="1" applyAlignment="1" applyProtection="1">
      <alignment vertical="center" wrapText="1"/>
      <protection locked="0"/>
    </xf>
    <xf numFmtId="0" fontId="53" fillId="9" borderId="9" xfId="0" applyFont="1" applyFill="1" applyBorder="1" applyAlignment="1" applyProtection="1">
      <alignment vertical="center" wrapText="1"/>
      <protection locked="0"/>
    </xf>
    <xf numFmtId="0" fontId="29" fillId="0" borderId="1" xfId="0" applyFont="1" applyBorder="1" applyAlignment="1">
      <alignment vertical="center" wrapText="1"/>
    </xf>
    <xf numFmtId="14" fontId="29" fillId="0" borderId="1" xfId="0" quotePrefix="1" applyNumberFormat="1" applyFont="1" applyBorder="1" applyAlignment="1" applyProtection="1">
      <alignment horizontal="right" vertical="center"/>
      <protection locked="0"/>
    </xf>
    <xf numFmtId="14" fontId="29" fillId="0" borderId="3" xfId="0" quotePrefix="1" applyNumberFormat="1" applyFont="1" applyBorder="1" applyAlignment="1" applyProtection="1">
      <alignment horizontal="right" vertical="center"/>
      <protection locked="0"/>
    </xf>
    <xf numFmtId="0" fontId="53" fillId="9" borderId="1" xfId="0" applyFont="1" applyFill="1" applyBorder="1" applyAlignment="1" applyProtection="1">
      <alignment vertical="center" wrapText="1"/>
      <protection locked="0"/>
    </xf>
    <xf numFmtId="49" fontId="38" fillId="0" borderId="7" xfId="0" applyNumberFormat="1" applyFont="1" applyBorder="1" applyAlignment="1" applyProtection="1">
      <alignment horizontal="left" vertical="center"/>
      <protection locked="0"/>
    </xf>
    <xf numFmtId="14" fontId="7" fillId="0" borderId="3" xfId="0" applyNumberFormat="1" applyFont="1" applyBorder="1" applyAlignment="1" applyProtection="1">
      <alignment horizontal="right" vertical="center"/>
      <protection locked="0"/>
    </xf>
    <xf numFmtId="0" fontId="32" fillId="0" borderId="14" xfId="0" applyFont="1" applyBorder="1" applyAlignment="1" applyProtection="1">
      <alignment horizontal="center" vertical="center" wrapText="1"/>
      <protection locked="0"/>
    </xf>
    <xf numFmtId="0" fontId="29" fillId="9" borderId="0" xfId="0" applyFont="1" applyFill="1" applyAlignment="1" applyProtection="1">
      <alignment vertical="center" wrapText="1"/>
      <protection locked="0"/>
    </xf>
    <xf numFmtId="0" fontId="29" fillId="0" borderId="0" xfId="0" applyFont="1" applyAlignment="1" applyProtection="1">
      <alignment vertical="center" wrapText="1"/>
      <protection locked="0"/>
    </xf>
    <xf numFmtId="0" fontId="40" fillId="9" borderId="0" xfId="0" applyFont="1" applyFill="1" applyAlignment="1" applyProtection="1">
      <alignment vertical="center" wrapText="1"/>
      <protection locked="0"/>
    </xf>
    <xf numFmtId="0" fontId="41" fillId="9" borderId="0" xfId="0" applyFont="1" applyFill="1" applyAlignment="1" applyProtection="1">
      <alignment vertical="center" wrapText="1"/>
      <protection locked="0"/>
    </xf>
    <xf numFmtId="0" fontId="42" fillId="9" borderId="0" xfId="0" applyFont="1" applyFill="1" applyAlignment="1" applyProtection="1">
      <alignment vertical="center" wrapText="1"/>
      <protection locked="0"/>
    </xf>
    <xf numFmtId="0" fontId="45" fillId="9" borderId="0" xfId="0" applyFont="1" applyFill="1" applyAlignment="1" applyProtection="1">
      <alignment vertical="center" wrapText="1"/>
      <protection locked="0"/>
    </xf>
    <xf numFmtId="0" fontId="46" fillId="9" borderId="0" xfId="0" applyFont="1" applyFill="1" applyAlignment="1" applyProtection="1">
      <alignment vertical="center" wrapText="1"/>
      <protection locked="0"/>
    </xf>
    <xf numFmtId="0" fontId="47" fillId="9" borderId="0" xfId="0" applyFont="1" applyFill="1" applyAlignment="1" applyProtection="1">
      <alignment vertical="center" wrapText="1"/>
      <protection locked="0"/>
    </xf>
    <xf numFmtId="0" fontId="48" fillId="9" borderId="0" xfId="0" applyFont="1" applyFill="1" applyAlignment="1" applyProtection="1">
      <alignment vertical="center" wrapText="1"/>
      <protection locked="0"/>
    </xf>
    <xf numFmtId="0" fontId="49" fillId="9" borderId="0" xfId="0" applyFont="1" applyFill="1" applyAlignment="1" applyProtection="1">
      <alignment vertical="center" wrapText="1"/>
      <protection locked="0"/>
    </xf>
    <xf numFmtId="0" fontId="50" fillId="9" borderId="0" xfId="0" applyFont="1" applyFill="1" applyAlignment="1" applyProtection="1">
      <alignment vertical="center" wrapText="1"/>
      <protection locked="0"/>
    </xf>
    <xf numFmtId="0" fontId="53" fillId="9" borderId="0" xfId="0" applyFont="1" applyFill="1" applyAlignment="1" applyProtection="1">
      <alignment vertical="center" wrapText="1"/>
      <protection locked="0"/>
    </xf>
    <xf numFmtId="0" fontId="29" fillId="0" borderId="2" xfId="0" applyFont="1" applyBorder="1" applyAlignment="1">
      <alignment vertical="center" wrapText="1"/>
    </xf>
    <xf numFmtId="49" fontId="38" fillId="0" borderId="2" xfId="0" applyNumberFormat="1" applyFont="1" applyBorder="1" applyAlignment="1" applyProtection="1">
      <alignment horizontal="left" vertical="center"/>
      <protection locked="0"/>
    </xf>
    <xf numFmtId="0" fontId="29" fillId="9" borderId="1" xfId="6" applyNumberFormat="1" applyFont="1" applyFill="1" applyBorder="1" applyAlignment="1" applyProtection="1">
      <alignment vertical="center" wrapText="1"/>
      <protection locked="0"/>
    </xf>
    <xf numFmtId="0" fontId="29" fillId="9" borderId="3" xfId="6" applyNumberFormat="1" applyFont="1" applyFill="1" applyBorder="1" applyAlignment="1" applyProtection="1">
      <alignment vertical="center" wrapText="1"/>
      <protection locked="0"/>
    </xf>
    <xf numFmtId="1" fontId="54" fillId="0" borderId="7" xfId="2" applyNumberFormat="1" applyFont="1" applyBorder="1" applyAlignment="1">
      <alignment horizontal="center" vertical="center" wrapText="1"/>
    </xf>
    <xf numFmtId="0" fontId="54" fillId="9" borderId="3" xfId="0" applyFont="1" applyFill="1" applyBorder="1" applyAlignment="1" applyProtection="1">
      <alignment vertical="center" wrapText="1"/>
      <protection locked="0"/>
    </xf>
    <xf numFmtId="0" fontId="54" fillId="9" borderId="9" xfId="0" applyFont="1" applyFill="1" applyBorder="1" applyAlignment="1" applyProtection="1">
      <alignment vertical="center" wrapText="1"/>
      <protection locked="0"/>
    </xf>
    <xf numFmtId="0" fontId="54" fillId="9" borderId="3" xfId="6" applyNumberFormat="1" applyFont="1" applyFill="1" applyBorder="1" applyAlignment="1" applyProtection="1">
      <alignment vertical="center" wrapText="1"/>
      <protection locked="0"/>
    </xf>
    <xf numFmtId="14" fontId="53" fillId="9" borderId="9" xfId="0" applyNumberFormat="1" applyFont="1" applyFill="1" applyBorder="1" applyAlignment="1" applyProtection="1">
      <alignment vertical="center" wrapText="1"/>
      <protection locked="0"/>
    </xf>
    <xf numFmtId="14" fontId="7" fillId="0" borderId="3" xfId="0" quotePrefix="1" applyNumberFormat="1" applyFont="1" applyBorder="1" applyAlignment="1" applyProtection="1">
      <alignment horizontal="right" vertical="center"/>
      <protection locked="0"/>
    </xf>
    <xf numFmtId="164" fontId="7" fillId="0" borderId="9" xfId="0" applyNumberFormat="1" applyFont="1" applyBorder="1" applyAlignment="1">
      <alignment vertical="center"/>
    </xf>
    <xf numFmtId="49" fontId="38" fillId="0" borderId="1" xfId="0" applyNumberFormat="1" applyFont="1" applyBorder="1" applyAlignment="1" applyProtection="1">
      <alignment horizontal="left" vertical="center" wrapText="1"/>
      <protection locked="0"/>
    </xf>
    <xf numFmtId="14" fontId="7" fillId="0" borderId="1" xfId="0" quotePrefix="1" applyNumberFormat="1" applyFont="1" applyBorder="1" applyAlignment="1" applyProtection="1">
      <alignment horizontal="right" vertical="center"/>
      <protection locked="0"/>
    </xf>
    <xf numFmtId="164" fontId="5" fillId="0" borderId="15" xfId="1" applyNumberFormat="1" applyFont="1" applyBorder="1"/>
    <xf numFmtId="164" fontId="32" fillId="0" borderId="4" xfId="0" applyNumberFormat="1" applyFont="1" applyBorder="1" applyAlignment="1">
      <alignment horizontal="center" vertical="center" wrapText="1"/>
    </xf>
    <xf numFmtId="164" fontId="7" fillId="0" borderId="0" xfId="0" applyNumberFormat="1" applyFont="1"/>
    <xf numFmtId="164" fontId="0" fillId="0" borderId="0" xfId="0" applyNumberFormat="1" applyAlignment="1">
      <alignment vertical="center"/>
    </xf>
    <xf numFmtId="14" fontId="53" fillId="9" borderId="1" xfId="0" applyNumberFormat="1" applyFont="1" applyFill="1" applyBorder="1" applyAlignment="1" applyProtection="1">
      <alignment vertical="center" wrapText="1"/>
      <protection locked="0"/>
    </xf>
    <xf numFmtId="14" fontId="29" fillId="9" borderId="5" xfId="0" applyNumberFormat="1" applyFont="1" applyFill="1" applyBorder="1" applyAlignment="1" applyProtection="1">
      <alignment vertical="center" wrapText="1"/>
      <protection locked="0"/>
    </xf>
    <xf numFmtId="164" fontId="6" fillId="0" borderId="15" xfId="1" applyNumberFormat="1" applyFont="1" applyBorder="1" applyAlignment="1" applyProtection="1">
      <alignment horizontal="right" vertical="center" wrapText="1"/>
      <protection locked="0"/>
    </xf>
    <xf numFmtId="164" fontId="32" fillId="0" borderId="4" xfId="0" applyNumberFormat="1" applyFont="1" applyBorder="1" applyAlignment="1" applyProtection="1">
      <alignment horizontal="right" vertical="center" wrapText="1"/>
      <protection locked="0"/>
    </xf>
    <xf numFmtId="164" fontId="7" fillId="0" borderId="1" xfId="0" applyNumberFormat="1" applyFont="1" applyBorder="1" applyAlignment="1" applyProtection="1">
      <alignment horizontal="right" vertical="center"/>
      <protection locked="0"/>
    </xf>
    <xf numFmtId="164" fontId="35" fillId="0" borderId="1" xfId="0" applyNumberFormat="1" applyFont="1" applyBorder="1" applyAlignment="1" applyProtection="1">
      <alignment horizontal="right" vertical="center"/>
      <protection locked="0"/>
    </xf>
    <xf numFmtId="164" fontId="33" fillId="0" borderId="1" xfId="0" applyNumberFormat="1" applyFont="1" applyBorder="1" applyAlignment="1" applyProtection="1">
      <alignment horizontal="right" vertical="center"/>
      <protection locked="0"/>
    </xf>
    <xf numFmtId="164" fontId="35" fillId="0" borderId="1" xfId="0" applyNumberFormat="1" applyFont="1" applyBorder="1" applyAlignment="1" applyProtection="1">
      <alignment horizontal="right" vertical="center" wrapText="1"/>
      <protection locked="0"/>
    </xf>
    <xf numFmtId="164" fontId="35" fillId="0" borderId="3" xfId="0" applyNumberFormat="1" applyFont="1" applyBorder="1" applyAlignment="1" applyProtection="1">
      <alignment horizontal="right" vertical="center" wrapText="1"/>
      <protection locked="0"/>
    </xf>
    <xf numFmtId="164" fontId="35" fillId="0" borderId="3" xfId="0" applyNumberFormat="1" applyFont="1" applyBorder="1" applyAlignment="1" applyProtection="1">
      <alignment horizontal="right" vertical="center"/>
      <protection locked="0"/>
    </xf>
    <xf numFmtId="164" fontId="32" fillId="0" borderId="1" xfId="0" applyNumberFormat="1" applyFont="1" applyBorder="1" applyAlignment="1" applyProtection="1">
      <alignment horizontal="right" vertical="center"/>
      <protection locked="0"/>
    </xf>
    <xf numFmtId="164" fontId="0" fillId="0" borderId="1" xfId="0" applyNumberFormat="1" applyBorder="1" applyAlignment="1" applyProtection="1">
      <alignment horizontal="right" vertical="center"/>
      <protection locked="0"/>
    </xf>
    <xf numFmtId="164" fontId="0" fillId="0" borderId="3" xfId="0" applyNumberFormat="1" applyBorder="1" applyAlignment="1" applyProtection="1">
      <alignment horizontal="right" vertical="center"/>
      <protection locked="0"/>
    </xf>
    <xf numFmtId="164" fontId="0" fillId="0" borderId="3" xfId="0" applyNumberFormat="1" applyBorder="1" applyAlignment="1" applyProtection="1">
      <alignment horizontal="right" vertical="center" wrapText="1"/>
      <protection locked="0"/>
    </xf>
    <xf numFmtId="164" fontId="32" fillId="0" borderId="7" xfId="0" applyNumberFormat="1" applyFont="1" applyBorder="1" applyAlignment="1" applyProtection="1">
      <alignment horizontal="right" vertical="center"/>
      <protection locked="0"/>
    </xf>
    <xf numFmtId="164" fontId="0" fillId="0" borderId="1" xfId="0" applyNumberFormat="1" applyBorder="1" applyAlignment="1" applyProtection="1">
      <alignment horizontal="right" vertical="center" wrapText="1"/>
      <protection locked="0"/>
    </xf>
    <xf numFmtId="164" fontId="35" fillId="0" borderId="7" xfId="0" applyNumberFormat="1" applyFont="1" applyBorder="1" applyAlignment="1" applyProtection="1">
      <alignment horizontal="right" vertical="center"/>
      <protection locked="0"/>
    </xf>
    <xf numFmtId="164" fontId="35" fillId="0" borderId="3" xfId="0" quotePrefix="1" applyNumberFormat="1" applyFont="1" applyBorder="1" applyAlignment="1" applyProtection="1">
      <alignment horizontal="right" vertical="center"/>
      <protection locked="0"/>
    </xf>
    <xf numFmtId="164" fontId="35" fillId="0" borderId="1" xfId="0" quotePrefix="1" applyNumberFormat="1" applyFont="1" applyBorder="1" applyAlignment="1" applyProtection="1">
      <alignment horizontal="right" vertical="center"/>
      <protection locked="0"/>
    </xf>
    <xf numFmtId="164" fontId="29" fillId="0" borderId="1" xfId="0" applyNumberFormat="1" applyFont="1" applyBorder="1" applyAlignment="1" applyProtection="1">
      <alignment horizontal="right" vertical="center"/>
      <protection locked="0"/>
    </xf>
    <xf numFmtId="164" fontId="29" fillId="0" borderId="3" xfId="0" applyNumberFormat="1" applyFont="1" applyBorder="1" applyAlignment="1" applyProtection="1">
      <alignment horizontal="right" vertical="center"/>
      <protection locked="0"/>
    </xf>
    <xf numFmtId="164" fontId="29" fillId="0" borderId="3" xfId="0" applyNumberFormat="1" applyFont="1" applyBorder="1" applyAlignment="1" applyProtection="1">
      <alignment horizontal="right" vertical="center" wrapText="1"/>
      <protection locked="0"/>
    </xf>
    <xf numFmtId="164" fontId="29" fillId="0" borderId="1" xfId="0" applyNumberFormat="1" applyFont="1" applyBorder="1" applyAlignment="1" applyProtection="1">
      <alignment horizontal="right" vertical="center" wrapText="1"/>
      <protection locked="0"/>
    </xf>
    <xf numFmtId="164" fontId="7" fillId="0" borderId="3" xfId="0" applyNumberFormat="1" applyFont="1" applyBorder="1" applyAlignment="1" applyProtection="1">
      <alignment horizontal="right" vertical="center"/>
      <protection locked="0"/>
    </xf>
    <xf numFmtId="164" fontId="7" fillId="0" borderId="3" xfId="0" applyNumberFormat="1" applyFont="1" applyBorder="1" applyAlignment="1" applyProtection="1">
      <alignment horizontal="right" vertical="center" wrapText="1"/>
      <protection locked="0"/>
    </xf>
    <xf numFmtId="164" fontId="7" fillId="0" borderId="3" xfId="0" quotePrefix="1" applyNumberFormat="1" applyFont="1" applyBorder="1" applyAlignment="1" applyProtection="1">
      <alignment horizontal="right" vertical="center"/>
      <protection locked="0"/>
    </xf>
    <xf numFmtId="164" fontId="7" fillId="0" borderId="1" xfId="0" quotePrefix="1" applyNumberFormat="1" applyFont="1" applyBorder="1" applyAlignment="1" applyProtection="1">
      <alignment horizontal="right" vertical="center"/>
      <protection locked="0"/>
    </xf>
    <xf numFmtId="164" fontId="7" fillId="0" borderId="0" xfId="0" applyNumberFormat="1" applyFont="1" applyAlignment="1">
      <alignment horizontal="right"/>
    </xf>
    <xf numFmtId="164" fontId="0" fillId="0" borderId="0" xfId="0" applyNumberFormat="1" applyAlignment="1" applyProtection="1">
      <alignment horizontal="right" vertical="center"/>
      <protection locked="0"/>
    </xf>
    <xf numFmtId="49" fontId="38" fillId="0" borderId="3" xfId="0" applyNumberFormat="1" applyFont="1" applyBorder="1" applyAlignment="1" applyProtection="1">
      <alignment horizontal="right" vertical="center"/>
      <protection locked="0"/>
    </xf>
    <xf numFmtId="164" fontId="38" fillId="0" borderId="3" xfId="0" applyNumberFormat="1" applyFont="1" applyBorder="1" applyAlignment="1" applyProtection="1">
      <alignment horizontal="right" vertical="center"/>
      <protection locked="0"/>
    </xf>
    <xf numFmtId="49" fontId="38" fillId="0" borderId="3" xfId="0" applyNumberFormat="1" applyFont="1" applyBorder="1" applyAlignment="1" applyProtection="1">
      <alignment vertical="center"/>
      <protection locked="0"/>
    </xf>
    <xf numFmtId="49" fontId="38" fillId="0" borderId="1" xfId="0" applyNumberFormat="1" applyFont="1" applyBorder="1" applyAlignment="1" applyProtection="1">
      <alignment horizontal="right" vertical="center"/>
      <protection locked="0"/>
    </xf>
    <xf numFmtId="164" fontId="38" fillId="0" borderId="1" xfId="0" applyNumberFormat="1" applyFont="1" applyBorder="1" applyAlignment="1" applyProtection="1">
      <alignment horizontal="right" vertical="center"/>
      <protection locked="0"/>
    </xf>
    <xf numFmtId="49" fontId="38" fillId="0" borderId="1" xfId="0" applyNumberFormat="1" applyFont="1" applyBorder="1" applyAlignment="1" applyProtection="1">
      <alignment vertical="center"/>
      <protection locked="0"/>
    </xf>
    <xf numFmtId="164" fontId="7" fillId="0" borderId="1" xfId="0" applyNumberFormat="1" applyFont="1" applyBorder="1" applyAlignment="1">
      <alignment vertical="center"/>
    </xf>
    <xf numFmtId="1" fontId="55" fillId="0" borderId="7" xfId="2" applyNumberFormat="1" applyFont="1" applyBorder="1" applyAlignment="1">
      <alignment horizontal="center" vertical="center" wrapText="1"/>
    </xf>
    <xf numFmtId="0" fontId="55" fillId="9" borderId="3" xfId="0" applyFont="1" applyFill="1" applyBorder="1" applyAlignment="1" applyProtection="1">
      <alignment vertical="center" wrapText="1"/>
      <protection locked="0"/>
    </xf>
    <xf numFmtId="0" fontId="55" fillId="9" borderId="9" xfId="0" applyFont="1" applyFill="1" applyBorder="1" applyAlignment="1" applyProtection="1">
      <alignment vertical="center" wrapText="1"/>
      <protection locked="0"/>
    </xf>
    <xf numFmtId="0" fontId="55" fillId="9" borderId="3" xfId="6" applyNumberFormat="1" applyFont="1" applyFill="1" applyBorder="1" applyAlignment="1" applyProtection="1">
      <alignment vertical="center" wrapText="1"/>
      <protection locked="0"/>
    </xf>
    <xf numFmtId="164" fontId="7" fillId="0" borderId="5" xfId="0" applyNumberFormat="1" applyFont="1" applyBorder="1" applyAlignment="1">
      <alignment vertical="center"/>
    </xf>
    <xf numFmtId="0" fontId="55" fillId="9" borderId="1" xfId="0" applyFont="1" applyFill="1" applyBorder="1" applyAlignment="1" applyProtection="1">
      <alignment vertical="center" wrapText="1"/>
      <protection locked="0"/>
    </xf>
    <xf numFmtId="0" fontId="55" fillId="9" borderId="5" xfId="0" applyFont="1" applyFill="1" applyBorder="1" applyAlignment="1" applyProtection="1">
      <alignment vertical="center" wrapText="1"/>
      <protection locked="0"/>
    </xf>
    <xf numFmtId="0" fontId="55" fillId="9" borderId="1" xfId="6" applyNumberFormat="1" applyFont="1" applyFill="1" applyBorder="1" applyAlignment="1" applyProtection="1">
      <alignment vertical="center" wrapText="1"/>
      <protection locked="0"/>
    </xf>
    <xf numFmtId="49" fontId="38" fillId="0" borderId="1" xfId="0" applyNumberFormat="1" applyFont="1" applyBorder="1" applyAlignment="1" applyProtection="1">
      <alignment horizontal="right" vertical="center" wrapText="1"/>
      <protection locked="0"/>
    </xf>
    <xf numFmtId="0" fontId="56" fillId="0" borderId="1" xfId="0" applyFont="1" applyBorder="1" applyAlignment="1">
      <alignment vertical="center" wrapText="1"/>
    </xf>
    <xf numFmtId="1" fontId="57" fillId="0" borderId="7" xfId="2" applyNumberFormat="1" applyFont="1" applyBorder="1" applyAlignment="1">
      <alignment horizontal="center" vertical="center" wrapText="1"/>
    </xf>
    <xf numFmtId="0" fontId="57" fillId="9" borderId="3" xfId="0" applyFont="1" applyFill="1" applyBorder="1" applyAlignment="1" applyProtection="1">
      <alignment vertical="center" wrapText="1"/>
      <protection locked="0"/>
    </xf>
    <xf numFmtId="0" fontId="57" fillId="9" borderId="9" xfId="0" applyFont="1" applyFill="1" applyBorder="1" applyAlignment="1" applyProtection="1">
      <alignment vertical="center" wrapText="1"/>
      <protection locked="0"/>
    </xf>
    <xf numFmtId="0" fontId="57" fillId="9" borderId="3" xfId="6" applyNumberFormat="1" applyFont="1" applyFill="1" applyBorder="1" applyAlignment="1" applyProtection="1">
      <alignment vertical="center" wrapText="1"/>
      <protection locked="0"/>
    </xf>
    <xf numFmtId="49" fontId="32" fillId="0" borderId="3" xfId="0" applyNumberFormat="1" applyFont="1" applyBorder="1" applyAlignment="1" applyProtection="1">
      <alignment horizontal="right" vertical="center"/>
      <protection locked="0"/>
    </xf>
    <xf numFmtId="164" fontId="32" fillId="0" borderId="3" xfId="0" applyNumberFormat="1" applyFont="1" applyBorder="1" applyAlignment="1" applyProtection="1">
      <alignment horizontal="right" vertical="center"/>
      <protection locked="0"/>
    </xf>
    <xf numFmtId="49" fontId="32" fillId="0" borderId="3" xfId="0" applyNumberFormat="1" applyFont="1" applyBorder="1" applyAlignment="1" applyProtection="1">
      <alignment vertical="center"/>
      <protection locked="0"/>
    </xf>
    <xf numFmtId="1" fontId="29" fillId="0" borderId="7" xfId="2" applyNumberFormat="1" applyFont="1" applyBorder="1" applyAlignment="1">
      <alignment horizontal="center" vertical="center" wrapText="1"/>
    </xf>
    <xf numFmtId="49" fontId="32" fillId="0" borderId="3" xfId="0" quotePrefix="1" applyNumberFormat="1" applyFont="1" applyBorder="1" applyAlignment="1" applyProtection="1">
      <alignment horizontal="right" vertical="center"/>
      <protection locked="0"/>
    </xf>
    <xf numFmtId="0" fontId="29" fillId="13" borderId="3" xfId="0" applyFont="1" applyFill="1" applyBorder="1" applyAlignment="1" applyProtection="1">
      <alignment vertical="center" wrapText="1"/>
      <protection locked="0"/>
    </xf>
    <xf numFmtId="0" fontId="29" fillId="13" borderId="9" xfId="0" applyFont="1" applyFill="1" applyBorder="1" applyAlignment="1" applyProtection="1">
      <alignment vertical="center" wrapText="1"/>
      <protection locked="0"/>
    </xf>
    <xf numFmtId="0" fontId="29" fillId="13" borderId="3" xfId="6" applyNumberFormat="1" applyFont="1" applyFill="1" applyBorder="1" applyAlignment="1" applyProtection="1">
      <alignment vertical="center" wrapText="1"/>
      <protection locked="0"/>
    </xf>
    <xf numFmtId="0" fontId="7" fillId="12" borderId="0" xfId="0" applyFont="1" applyFill="1" applyAlignment="1" applyProtection="1">
      <alignment vertical="center"/>
      <protection locked="0"/>
    </xf>
    <xf numFmtId="14" fontId="0" fillId="0" borderId="0" xfId="0" pivotButton="1" applyNumberFormat="1"/>
    <xf numFmtId="164" fontId="7" fillId="0" borderId="9" xfId="0" applyNumberFormat="1" applyFont="1" applyBorder="1" applyAlignment="1">
      <alignment horizontal="right" vertical="center"/>
    </xf>
    <xf numFmtId="2" fontId="0" fillId="0" borderId="0" xfId="0" applyNumberFormat="1" applyAlignment="1" applyProtection="1">
      <alignment vertical="center"/>
      <protection locked="0"/>
    </xf>
    <xf numFmtId="49" fontId="38" fillId="0" borderId="1" xfId="0" quotePrefix="1" applyNumberFormat="1" applyFont="1" applyBorder="1" applyAlignment="1" applyProtection="1">
      <alignment horizontal="right" vertical="center"/>
      <protection locked="0"/>
    </xf>
    <xf numFmtId="0" fontId="58" fillId="0" borderId="0" xfId="6" applyFont="1" applyFill="1" applyAlignment="1" applyProtection="1">
      <alignment vertical="center"/>
      <protection locked="0"/>
    </xf>
    <xf numFmtId="0" fontId="59" fillId="0" borderId="0" xfId="6" applyFont="1" applyBorder="1" applyAlignment="1" applyProtection="1">
      <alignment vertical="center"/>
      <protection locked="0"/>
    </xf>
    <xf numFmtId="0" fontId="5" fillId="0" borderId="15" xfId="1" applyFont="1" applyBorder="1"/>
    <xf numFmtId="0" fontId="32" fillId="0" borderId="2" xfId="0" applyFont="1" applyBorder="1" applyAlignment="1">
      <alignment vertical="center" wrapText="1"/>
    </xf>
    <xf numFmtId="0" fontId="32" fillId="0" borderId="7" xfId="0" applyFont="1" applyBorder="1" applyAlignment="1">
      <alignment vertical="center" wrapText="1"/>
    </xf>
    <xf numFmtId="0" fontId="38" fillId="0" borderId="7" xfId="0" applyFont="1" applyBorder="1" applyAlignment="1">
      <alignment vertical="center" wrapText="1"/>
    </xf>
    <xf numFmtId="0" fontId="38" fillId="0" borderId="2" xfId="0" applyFont="1" applyBorder="1" applyAlignment="1">
      <alignment vertical="center" wrapText="1"/>
    </xf>
    <xf numFmtId="49" fontId="7" fillId="0" borderId="3" xfId="0" quotePrefix="1" applyNumberFormat="1" applyFont="1" applyBorder="1" applyAlignment="1" applyProtection="1">
      <alignment horizontal="right" vertical="center"/>
      <protection locked="0"/>
    </xf>
    <xf numFmtId="1" fontId="29" fillId="0" borderId="1" xfId="2" applyNumberFormat="1" applyFont="1" applyBorder="1" applyAlignment="1">
      <alignment horizontal="center" vertical="center" wrapText="1"/>
    </xf>
    <xf numFmtId="0" fontId="60" fillId="0" borderId="7" xfId="0" applyFont="1" applyBorder="1" applyAlignment="1">
      <alignment vertical="center" wrapText="1"/>
    </xf>
    <xf numFmtId="49" fontId="7" fillId="0" borderId="1" xfId="0" quotePrefix="1" applyNumberFormat="1" applyFont="1" applyBorder="1" applyAlignment="1" applyProtection="1">
      <alignment horizontal="right" vertical="center"/>
      <protection locked="0"/>
    </xf>
    <xf numFmtId="165" fontId="35" fillId="0" borderId="1" xfId="0" applyNumberFormat="1" applyFont="1" applyBorder="1" applyAlignment="1" applyProtection="1">
      <alignment vertical="center"/>
      <protection locked="0"/>
    </xf>
    <xf numFmtId="0" fontId="62" fillId="0" borderId="7" xfId="0" applyFont="1" applyBorder="1" applyAlignment="1">
      <alignment vertical="center" wrapText="1"/>
    </xf>
    <xf numFmtId="1" fontId="61" fillId="0" borderId="7" xfId="2" applyNumberFormat="1" applyFont="1" applyBorder="1" applyAlignment="1">
      <alignment horizontal="center" vertical="center" wrapText="1"/>
    </xf>
    <xf numFmtId="0" fontId="61" fillId="9" borderId="3" xfId="0" applyFont="1" applyFill="1" applyBorder="1" applyAlignment="1" applyProtection="1">
      <alignment vertical="center" wrapText="1"/>
      <protection locked="0"/>
    </xf>
    <xf numFmtId="0" fontId="61" fillId="9" borderId="9" xfId="0" applyFont="1" applyFill="1" applyBorder="1" applyAlignment="1" applyProtection="1">
      <alignment vertical="center" wrapText="1"/>
      <protection locked="0"/>
    </xf>
    <xf numFmtId="0" fontId="61" fillId="9" borderId="3" xfId="6" applyNumberFormat="1" applyFont="1" applyFill="1" applyBorder="1" applyAlignment="1" applyProtection="1">
      <alignment vertical="center" wrapText="1"/>
      <protection locked="0"/>
    </xf>
    <xf numFmtId="0" fontId="32" fillId="0" borderId="1" xfId="0" applyFont="1" applyBorder="1" applyAlignment="1">
      <alignment vertical="center"/>
    </xf>
    <xf numFmtId="0" fontId="64" fillId="0" borderId="7" xfId="0" applyFont="1" applyBorder="1" applyAlignment="1">
      <alignment vertical="center" wrapText="1"/>
    </xf>
    <xf numFmtId="1" fontId="63" fillId="0" borderId="7" xfId="2" applyNumberFormat="1" applyFont="1" applyBorder="1" applyAlignment="1">
      <alignment horizontal="center" vertical="center" wrapText="1"/>
    </xf>
    <xf numFmtId="0" fontId="63" fillId="9" borderId="3" xfId="0" applyFont="1" applyFill="1" applyBorder="1" applyAlignment="1" applyProtection="1">
      <alignment vertical="center" wrapText="1"/>
      <protection locked="0"/>
    </xf>
    <xf numFmtId="0" fontId="63" fillId="9" borderId="9" xfId="0" applyFont="1" applyFill="1" applyBorder="1" applyAlignment="1" applyProtection="1">
      <alignment vertical="center" wrapText="1"/>
      <protection locked="0"/>
    </xf>
    <xf numFmtId="0" fontId="63" fillId="9" borderId="3" xfId="6" applyNumberFormat="1" applyFont="1" applyFill="1" applyBorder="1" applyAlignment="1" applyProtection="1">
      <alignment vertical="center" wrapText="1"/>
      <protection locked="0"/>
    </xf>
    <xf numFmtId="0" fontId="66" fillId="0" borderId="7" xfId="0" applyFont="1" applyBorder="1" applyAlignment="1">
      <alignment vertical="center" wrapText="1"/>
    </xf>
    <xf numFmtId="1" fontId="65" fillId="0" borderId="7" xfId="2" applyNumberFormat="1" applyFont="1" applyBorder="1" applyAlignment="1">
      <alignment horizontal="center" vertical="center" wrapText="1"/>
    </xf>
    <xf numFmtId="0" fontId="65" fillId="9" borderId="3" xfId="0" applyFont="1" applyFill="1" applyBorder="1" applyAlignment="1" applyProtection="1">
      <alignment vertical="center" wrapText="1"/>
      <protection locked="0"/>
    </xf>
    <xf numFmtId="0" fontId="65" fillId="9" borderId="9" xfId="0" applyFont="1" applyFill="1" applyBorder="1" applyAlignment="1" applyProtection="1">
      <alignment vertical="center" wrapText="1"/>
      <protection locked="0"/>
    </xf>
    <xf numFmtId="0" fontId="65" fillId="9" borderId="3" xfId="6" applyNumberFormat="1" applyFont="1" applyFill="1" applyBorder="1" applyAlignment="1" applyProtection="1">
      <alignment vertical="center" wrapText="1"/>
      <protection locked="0"/>
    </xf>
    <xf numFmtId="0" fontId="67" fillId="0" borderId="7" xfId="0" applyFont="1" applyBorder="1" applyAlignment="1">
      <alignment vertical="center" wrapText="1"/>
    </xf>
    <xf numFmtId="1" fontId="68" fillId="0" borderId="7" xfId="2" applyNumberFormat="1" applyFont="1" applyBorder="1" applyAlignment="1">
      <alignment horizontal="center" vertical="center" wrapText="1"/>
    </xf>
    <xf numFmtId="0" fontId="68" fillId="9" borderId="3" xfId="0" applyFont="1" applyFill="1" applyBorder="1" applyAlignment="1" applyProtection="1">
      <alignment vertical="center" wrapText="1"/>
      <protection locked="0"/>
    </xf>
    <xf numFmtId="0" fontId="68" fillId="9" borderId="9" xfId="0" applyFont="1" applyFill="1" applyBorder="1" applyAlignment="1" applyProtection="1">
      <alignment vertical="center" wrapText="1"/>
      <protection locked="0"/>
    </xf>
    <xf numFmtId="0" fontId="68" fillId="9" borderId="3" xfId="6" applyNumberFormat="1" applyFont="1" applyFill="1" applyBorder="1" applyAlignment="1" applyProtection="1">
      <alignment vertical="center" wrapText="1"/>
      <protection locked="0"/>
    </xf>
    <xf numFmtId="0" fontId="70" fillId="0" borderId="7" xfId="0" applyFont="1" applyBorder="1" applyAlignment="1">
      <alignment vertical="center" wrapText="1"/>
    </xf>
    <xf numFmtId="1" fontId="69" fillId="0" borderId="7" xfId="2" applyNumberFormat="1" applyFont="1" applyBorder="1" applyAlignment="1">
      <alignment horizontal="center" vertical="center" wrapText="1"/>
    </xf>
    <xf numFmtId="0" fontId="69" fillId="9" borderId="3" xfId="0" applyFont="1" applyFill="1" applyBorder="1" applyAlignment="1" applyProtection="1">
      <alignment vertical="center" wrapText="1"/>
      <protection locked="0"/>
    </xf>
    <xf numFmtId="0" fontId="69" fillId="9" borderId="9" xfId="0" applyFont="1" applyFill="1" applyBorder="1" applyAlignment="1" applyProtection="1">
      <alignment vertical="center" wrapText="1"/>
      <protection locked="0"/>
    </xf>
    <xf numFmtId="0" fontId="69" fillId="9" borderId="3" xfId="6" applyNumberFormat="1" applyFont="1" applyFill="1" applyBorder="1" applyAlignment="1" applyProtection="1">
      <alignment vertical="center" wrapText="1"/>
      <protection locked="0"/>
    </xf>
    <xf numFmtId="1" fontId="29" fillId="0" borderId="6" xfId="2" applyNumberFormat="1" applyFont="1" applyBorder="1" applyAlignment="1">
      <alignment horizontal="center" vertical="center" wrapText="1"/>
    </xf>
    <xf numFmtId="1" fontId="69" fillId="0" borderId="6" xfId="2" applyNumberFormat="1" applyFont="1" applyBorder="1" applyAlignment="1">
      <alignment horizontal="center" vertical="center" wrapText="1"/>
    </xf>
    <xf numFmtId="49" fontId="38" fillId="0" borderId="3" xfId="0" quotePrefix="1" applyNumberFormat="1" applyFont="1" applyBorder="1" applyAlignment="1" applyProtection="1">
      <alignment vertical="center"/>
      <protection locked="0"/>
    </xf>
    <xf numFmtId="1" fontId="71" fillId="0" borderId="6" xfId="2" applyNumberFormat="1" applyFont="1" applyBorder="1" applyAlignment="1">
      <alignment horizontal="center" vertical="center" wrapText="1"/>
    </xf>
    <xf numFmtId="0" fontId="72" fillId="0" borderId="7" xfId="0" applyFont="1" applyBorder="1" applyAlignment="1">
      <alignment vertical="center" wrapText="1"/>
    </xf>
    <xf numFmtId="1" fontId="71" fillId="0" borderId="7" xfId="2" applyNumberFormat="1" applyFont="1" applyBorder="1" applyAlignment="1">
      <alignment horizontal="center" vertical="center" wrapText="1"/>
    </xf>
    <xf numFmtId="0" fontId="71" fillId="9" borderId="3" xfId="0" applyFont="1" applyFill="1" applyBorder="1" applyAlignment="1" applyProtection="1">
      <alignment vertical="center" wrapText="1"/>
      <protection locked="0"/>
    </xf>
    <xf numFmtId="0" fontId="71" fillId="9" borderId="9" xfId="0" applyFont="1" applyFill="1" applyBorder="1" applyAlignment="1" applyProtection="1">
      <alignment vertical="center" wrapText="1"/>
      <protection locked="0"/>
    </xf>
    <xf numFmtId="0" fontId="71" fillId="9" borderId="3" xfId="6" applyNumberFormat="1" applyFont="1" applyFill="1" applyBorder="1" applyAlignment="1" applyProtection="1">
      <alignment vertical="center" wrapText="1"/>
      <protection locked="0"/>
    </xf>
    <xf numFmtId="1" fontId="73" fillId="0" borderId="7" xfId="2" applyNumberFormat="1" applyFont="1" applyBorder="1" applyAlignment="1">
      <alignment horizontal="center" vertical="center" wrapText="1"/>
    </xf>
    <xf numFmtId="1" fontId="73" fillId="0" borderId="6" xfId="2" applyNumberFormat="1" applyFont="1" applyBorder="1" applyAlignment="1">
      <alignment horizontal="center" vertical="center" wrapText="1"/>
    </xf>
    <xf numFmtId="164" fontId="36" fillId="0" borderId="9" xfId="0" applyNumberFormat="1" applyFont="1" applyBorder="1" applyAlignment="1">
      <alignment vertical="center"/>
    </xf>
    <xf numFmtId="0" fontId="74" fillId="0" borderId="3" xfId="0" applyFont="1" applyBorder="1" applyAlignment="1">
      <alignment vertical="center" wrapText="1"/>
    </xf>
    <xf numFmtId="0" fontId="74" fillId="0" borderId="7" xfId="0" applyFont="1" applyBorder="1" applyAlignment="1">
      <alignment vertical="center" wrapText="1"/>
    </xf>
    <xf numFmtId="0" fontId="73" fillId="0" borderId="9" xfId="0" applyFont="1" applyBorder="1" applyAlignment="1">
      <alignment vertical="center" wrapText="1"/>
    </xf>
    <xf numFmtId="0" fontId="74" fillId="0" borderId="9" xfId="0" applyFont="1" applyBorder="1" applyAlignment="1">
      <alignment vertical="center" wrapText="1"/>
    </xf>
    <xf numFmtId="49" fontId="74" fillId="0" borderId="7" xfId="0" applyNumberFormat="1" applyFont="1" applyBorder="1" applyAlignment="1" applyProtection="1">
      <alignment horizontal="left" vertical="center"/>
      <protection locked="0"/>
    </xf>
    <xf numFmtId="14" fontId="36" fillId="0" borderId="3" xfId="0" quotePrefix="1" applyNumberFormat="1" applyFont="1" applyBorder="1" applyAlignment="1" applyProtection="1">
      <alignment horizontal="right" vertical="center"/>
      <protection locked="0"/>
    </xf>
    <xf numFmtId="164" fontId="36" fillId="0" borderId="3" xfId="0" quotePrefix="1" applyNumberFormat="1" applyFont="1" applyBorder="1" applyAlignment="1" applyProtection="1">
      <alignment horizontal="right" vertical="center"/>
      <protection locked="0"/>
    </xf>
    <xf numFmtId="0" fontId="36" fillId="0" borderId="3" xfId="0" applyFont="1" applyBorder="1" applyAlignment="1" applyProtection="1">
      <alignment vertical="center"/>
      <protection locked="0"/>
    </xf>
    <xf numFmtId="49" fontId="74" fillId="0" borderId="3" xfId="0" applyNumberFormat="1" applyFont="1" applyBorder="1" applyAlignment="1" applyProtection="1">
      <alignment vertical="center"/>
      <protection locked="0"/>
    </xf>
    <xf numFmtId="0" fontId="36" fillId="0" borderId="3" xfId="0" applyFont="1" applyBorder="1" applyAlignment="1" applyProtection="1">
      <alignment vertical="center" wrapText="1"/>
      <protection locked="0"/>
    </xf>
    <xf numFmtId="14" fontId="36" fillId="0" borderId="3" xfId="0" applyNumberFormat="1" applyFont="1" applyBorder="1" applyAlignment="1" applyProtection="1">
      <alignment vertical="center"/>
      <protection locked="0"/>
    </xf>
    <xf numFmtId="0" fontId="73" fillId="9" borderId="3" xfId="0" applyFont="1" applyFill="1" applyBorder="1" applyAlignment="1" applyProtection="1">
      <alignment vertical="center" wrapText="1"/>
      <protection locked="0"/>
    </xf>
    <xf numFmtId="0" fontId="73" fillId="9" borderId="9" xfId="0" applyFont="1" applyFill="1" applyBorder="1" applyAlignment="1" applyProtection="1">
      <alignment vertical="center" wrapText="1"/>
      <protection locked="0"/>
    </xf>
    <xf numFmtId="0" fontId="73" fillId="9" borderId="3" xfId="6" applyNumberFormat="1" applyFont="1" applyFill="1" applyBorder="1" applyAlignment="1" applyProtection="1">
      <alignment vertical="center" wrapText="1"/>
      <protection locked="0"/>
    </xf>
    <xf numFmtId="0" fontId="36" fillId="0" borderId="0" xfId="0" applyFont="1" applyAlignment="1" applyProtection="1">
      <alignment vertical="center"/>
      <protection locked="0"/>
    </xf>
    <xf numFmtId="0" fontId="29" fillId="0" borderId="0" xfId="0" applyFont="1" applyAlignment="1" applyProtection="1">
      <alignment vertical="top"/>
      <protection locked="0"/>
    </xf>
    <xf numFmtId="0" fontId="34" fillId="0" borderId="1" xfId="0" applyFont="1" applyBorder="1" applyAlignment="1">
      <alignment horizontal="center" vertical="top" wrapText="1"/>
    </xf>
    <xf numFmtId="164" fontId="34" fillId="0" borderId="1" xfId="0" applyNumberFormat="1" applyFont="1" applyBorder="1" applyAlignment="1">
      <alignment horizontal="center" vertical="top" wrapText="1"/>
    </xf>
    <xf numFmtId="0" fontId="34" fillId="0" borderId="1" xfId="0" applyFont="1" applyBorder="1" applyAlignment="1" applyProtection="1">
      <alignment horizontal="center" vertical="top" wrapText="1"/>
      <protection locked="0"/>
    </xf>
    <xf numFmtId="164" fontId="34" fillId="0" borderId="1" xfId="0" applyNumberFormat="1" applyFont="1" applyBorder="1" applyAlignment="1" applyProtection="1">
      <alignment horizontal="center" vertical="top" wrapText="1"/>
      <protection locked="0"/>
    </xf>
    <xf numFmtId="0" fontId="34" fillId="0" borderId="0" xfId="0" applyFont="1" applyAlignment="1" applyProtection="1">
      <alignment horizontal="center" vertical="top" wrapText="1"/>
      <protection locked="0"/>
    </xf>
    <xf numFmtId="0" fontId="31" fillId="0" borderId="0" xfId="0" applyFont="1" applyAlignment="1">
      <alignment vertical="top"/>
    </xf>
    <xf numFmtId="0" fontId="31" fillId="0" borderId="1" xfId="0" applyFont="1" applyBorder="1" applyAlignment="1">
      <alignment vertical="top"/>
    </xf>
    <xf numFmtId="49" fontId="38" fillId="0" borderId="7" xfId="0" applyNumberFormat="1" applyFont="1" applyBorder="1" applyAlignment="1" applyProtection="1">
      <alignment horizontal="left" vertical="center" wrapText="1"/>
      <protection locked="0"/>
    </xf>
    <xf numFmtId="0" fontId="73" fillId="0" borderId="7" xfId="0" applyFont="1" applyBorder="1" applyAlignment="1">
      <alignment vertical="center" wrapText="1"/>
    </xf>
    <xf numFmtId="0" fontId="36" fillId="0" borderId="9" xfId="0" applyFont="1" applyBorder="1" applyAlignment="1">
      <alignment vertical="center" wrapText="1"/>
    </xf>
    <xf numFmtId="49" fontId="74" fillId="0" borderId="1" xfId="0" applyNumberFormat="1" applyFont="1" applyBorder="1" applyAlignment="1" applyProtection="1">
      <alignment horizontal="left" vertical="center"/>
      <protection locked="0"/>
    </xf>
    <xf numFmtId="49" fontId="36" fillId="0" borderId="3" xfId="0" quotePrefix="1" applyNumberFormat="1" applyFont="1" applyBorder="1" applyAlignment="1" applyProtection="1">
      <alignment horizontal="right" vertical="center"/>
      <protection locked="0"/>
    </xf>
    <xf numFmtId="1" fontId="75" fillId="0" borderId="6" xfId="2" applyNumberFormat="1" applyFont="1" applyBorder="1" applyAlignment="1">
      <alignment horizontal="center" vertical="center" wrapText="1"/>
    </xf>
    <xf numFmtId="0" fontId="76" fillId="0" borderId="7" xfId="0" applyFont="1" applyBorder="1" applyAlignment="1">
      <alignment vertical="center" wrapText="1"/>
    </xf>
    <xf numFmtId="1" fontId="75" fillId="0" borderId="7" xfId="2" applyNumberFormat="1" applyFont="1" applyBorder="1" applyAlignment="1">
      <alignment horizontal="center" vertical="center" wrapText="1"/>
    </xf>
    <xf numFmtId="0" fontId="75" fillId="9" borderId="3" xfId="0" applyFont="1" applyFill="1" applyBorder="1" applyAlignment="1" applyProtection="1">
      <alignment vertical="center" wrapText="1"/>
      <protection locked="0"/>
    </xf>
    <xf numFmtId="0" fontId="75" fillId="9" borderId="9" xfId="0" applyFont="1" applyFill="1" applyBorder="1" applyAlignment="1" applyProtection="1">
      <alignment vertical="center" wrapText="1"/>
      <protection locked="0"/>
    </xf>
    <xf numFmtId="0" fontId="75" fillId="9" borderId="3" xfId="6" applyNumberFormat="1" applyFont="1" applyFill="1" applyBorder="1" applyAlignment="1" applyProtection="1">
      <alignment vertical="center" wrapText="1"/>
      <protection locked="0"/>
    </xf>
    <xf numFmtId="1" fontId="77" fillId="0" borderId="2" xfId="2" applyNumberFormat="1" applyFont="1" applyBorder="1" applyAlignment="1">
      <alignment horizontal="center" vertical="center" wrapText="1"/>
    </xf>
    <xf numFmtId="1" fontId="77" fillId="0" borderId="6" xfId="2" applyNumberFormat="1" applyFont="1" applyBorder="1" applyAlignment="1">
      <alignment horizontal="center" vertical="center" wrapText="1"/>
    </xf>
    <xf numFmtId="0" fontId="77" fillId="9" borderId="1" xfId="0" applyFont="1" applyFill="1" applyBorder="1" applyAlignment="1" applyProtection="1">
      <alignment vertical="center" wrapText="1"/>
      <protection locked="0"/>
    </xf>
    <xf numFmtId="0" fontId="77" fillId="9" borderId="5" xfId="0" applyFont="1" applyFill="1" applyBorder="1" applyAlignment="1" applyProtection="1">
      <alignment vertical="center" wrapText="1"/>
      <protection locked="0"/>
    </xf>
    <xf numFmtId="0" fontId="77" fillId="9" borderId="1" xfId="6" applyNumberFormat="1" applyFont="1" applyFill="1" applyBorder="1" applyAlignment="1" applyProtection="1">
      <alignment vertical="center" wrapText="1"/>
      <protection locked="0"/>
    </xf>
    <xf numFmtId="49" fontId="38" fillId="0" borderId="2" xfId="0" applyNumberFormat="1" applyFont="1" applyBorder="1" applyAlignment="1" applyProtection="1">
      <alignment horizontal="left" vertical="center" wrapText="1"/>
      <protection locked="0"/>
    </xf>
    <xf numFmtId="1" fontId="78" fillId="0" borderId="2" xfId="2" applyNumberFormat="1" applyFont="1" applyBorder="1" applyAlignment="1">
      <alignment horizontal="center" vertical="center" wrapText="1"/>
    </xf>
    <xf numFmtId="1" fontId="78" fillId="0" borderId="6" xfId="2" applyNumberFormat="1" applyFont="1" applyBorder="1" applyAlignment="1">
      <alignment horizontal="center" vertical="center" wrapText="1"/>
    </xf>
    <xf numFmtId="0" fontId="79" fillId="0" borderId="7" xfId="0" applyFont="1" applyBorder="1" applyAlignment="1">
      <alignment vertical="center" wrapText="1"/>
    </xf>
    <xf numFmtId="49" fontId="38" fillId="0" borderId="1" xfId="0" quotePrefix="1" applyNumberFormat="1" applyFont="1" applyBorder="1" applyAlignment="1" applyProtection="1">
      <alignment vertical="center"/>
      <protection locked="0"/>
    </xf>
    <xf numFmtId="0" fontId="78" fillId="9" borderId="1" xfId="0" applyFont="1" applyFill="1" applyBorder="1" applyAlignment="1" applyProtection="1">
      <alignment vertical="center" wrapText="1"/>
      <protection locked="0"/>
    </xf>
    <xf numFmtId="0" fontId="78" fillId="9" borderId="5" xfId="0" applyFont="1" applyFill="1" applyBorder="1" applyAlignment="1" applyProtection="1">
      <alignment vertical="center" wrapText="1"/>
      <protection locked="0"/>
    </xf>
    <xf numFmtId="0" fontId="78" fillId="9" borderId="1" xfId="6" applyNumberFormat="1" applyFont="1" applyFill="1" applyBorder="1" applyAlignment="1" applyProtection="1">
      <alignment vertical="center" wrapText="1"/>
      <protection locked="0"/>
    </xf>
    <xf numFmtId="1" fontId="78" fillId="0" borderId="7" xfId="2" applyNumberFormat="1" applyFont="1" applyBorder="1" applyAlignment="1">
      <alignment horizontal="center" vertical="center" wrapText="1"/>
    </xf>
    <xf numFmtId="0" fontId="78" fillId="9" borderId="3" xfId="0" applyFont="1" applyFill="1" applyBorder="1" applyAlignment="1" applyProtection="1">
      <alignment vertical="center" wrapText="1"/>
      <protection locked="0"/>
    </xf>
    <xf numFmtId="0" fontId="78" fillId="9" borderId="9" xfId="0" applyFont="1" applyFill="1" applyBorder="1" applyAlignment="1" applyProtection="1">
      <alignment vertical="center" wrapText="1"/>
      <protection locked="0"/>
    </xf>
    <xf numFmtId="0" fontId="78" fillId="9" borderId="3" xfId="6" applyNumberFormat="1" applyFont="1" applyFill="1" applyBorder="1" applyAlignment="1" applyProtection="1">
      <alignment vertical="center" wrapText="1"/>
      <protection locked="0"/>
    </xf>
    <xf numFmtId="164" fontId="36" fillId="0" borderId="1" xfId="0" quotePrefix="1" applyNumberFormat="1" applyFont="1" applyBorder="1" applyAlignment="1" applyProtection="1">
      <alignment horizontal="right" vertical="center"/>
      <protection locked="0"/>
    </xf>
    <xf numFmtId="0" fontId="80" fillId="0" borderId="0" xfId="6" applyFont="1" applyAlignment="1" applyProtection="1">
      <alignment vertical="center"/>
      <protection locked="0"/>
    </xf>
    <xf numFmtId="0" fontId="74" fillId="0" borderId="1" xfId="0" applyFont="1" applyBorder="1" applyAlignment="1">
      <alignment vertical="center" wrapText="1"/>
    </xf>
    <xf numFmtId="1" fontId="78" fillId="0" borderId="0" xfId="2" applyNumberFormat="1" applyFont="1" applyAlignment="1">
      <alignment horizontal="center" vertical="center" wrapText="1"/>
    </xf>
    <xf numFmtId="164" fontId="7" fillId="0" borderId="0" xfId="0" applyNumberFormat="1" applyFont="1" applyAlignment="1">
      <alignment vertical="center"/>
    </xf>
    <xf numFmtId="0" fontId="38" fillId="0" borderId="0" xfId="0" applyFont="1" applyAlignment="1">
      <alignment vertical="center" wrapText="1"/>
    </xf>
    <xf numFmtId="0" fontId="79" fillId="0" borderId="0" xfId="0" applyFont="1" applyAlignment="1">
      <alignment vertical="center" wrapText="1"/>
    </xf>
    <xf numFmtId="49" fontId="38" fillId="0" borderId="0" xfId="0" applyNumberFormat="1" applyFont="1" applyAlignment="1" applyProtection="1">
      <alignment horizontal="left" vertical="center"/>
      <protection locked="0"/>
    </xf>
    <xf numFmtId="14" fontId="35" fillId="0" borderId="0" xfId="0" quotePrefix="1" applyNumberFormat="1" applyFont="1" applyAlignment="1" applyProtection="1">
      <alignment horizontal="right" vertical="center"/>
      <protection locked="0"/>
    </xf>
    <xf numFmtId="49" fontId="38" fillId="0" borderId="0" xfId="0" quotePrefix="1" applyNumberFormat="1" applyFont="1" applyAlignment="1" applyProtection="1">
      <alignment vertical="center"/>
      <protection locked="0"/>
    </xf>
    <xf numFmtId="0" fontId="7" fillId="0" borderId="0" xfId="0" applyFont="1" applyAlignment="1" applyProtection="1">
      <alignment vertical="center" wrapText="1"/>
      <protection locked="0"/>
    </xf>
    <xf numFmtId="0" fontId="35" fillId="0" borderId="0" xfId="0" applyFont="1" applyAlignment="1" applyProtection="1">
      <alignment vertical="center" wrapText="1"/>
      <protection locked="0"/>
    </xf>
    <xf numFmtId="14" fontId="35" fillId="0" borderId="0" xfId="0" applyNumberFormat="1" applyFont="1" applyAlignment="1" applyProtection="1">
      <alignment vertical="center"/>
      <protection locked="0"/>
    </xf>
    <xf numFmtId="0" fontId="78" fillId="9" borderId="0" xfId="0" applyFont="1" applyFill="1" applyAlignment="1" applyProtection="1">
      <alignment vertical="center" wrapText="1"/>
      <protection locked="0"/>
    </xf>
    <xf numFmtId="0" fontId="78" fillId="9" borderId="0" xfId="6" applyNumberFormat="1" applyFont="1" applyFill="1" applyBorder="1" applyAlignment="1" applyProtection="1">
      <alignment vertical="center" wrapText="1"/>
      <protection locked="0"/>
    </xf>
    <xf numFmtId="1" fontId="81" fillId="0" borderId="6" xfId="2" applyNumberFormat="1" applyFont="1" applyBorder="1" applyAlignment="1">
      <alignment horizontal="center" vertical="center" wrapText="1"/>
    </xf>
    <xf numFmtId="1" fontId="81" fillId="0" borderId="7" xfId="2" applyNumberFormat="1" applyFont="1" applyBorder="1" applyAlignment="1">
      <alignment horizontal="center" vertical="center" wrapText="1"/>
    </xf>
    <xf numFmtId="0" fontId="81" fillId="9" borderId="3" xfId="0" applyFont="1" applyFill="1" applyBorder="1" applyAlignment="1" applyProtection="1">
      <alignment vertical="center" wrapText="1"/>
      <protection locked="0"/>
    </xf>
    <xf numFmtId="0" fontId="81" fillId="9" borderId="9" xfId="0" applyFont="1" applyFill="1" applyBorder="1" applyAlignment="1" applyProtection="1">
      <alignment vertical="center" wrapText="1"/>
      <protection locked="0"/>
    </xf>
    <xf numFmtId="0" fontId="81" fillId="9" borderId="3" xfId="6" applyNumberFormat="1" applyFont="1" applyFill="1" applyBorder="1" applyAlignment="1" applyProtection="1">
      <alignment vertical="center" wrapText="1"/>
      <protection locked="0"/>
    </xf>
    <xf numFmtId="1" fontId="81" fillId="0" borderId="0" xfId="2" applyNumberFormat="1" applyFont="1" applyAlignment="1">
      <alignment horizontal="center" vertical="center" wrapText="1"/>
    </xf>
    <xf numFmtId="0" fontId="82" fillId="0" borderId="0" xfId="0" applyFont="1" applyAlignment="1">
      <alignment vertical="center" wrapText="1"/>
    </xf>
    <xf numFmtId="164" fontId="35" fillId="0" borderId="0" xfId="0" quotePrefix="1" applyNumberFormat="1" applyFont="1" applyAlignment="1" applyProtection="1">
      <alignment horizontal="right" vertical="center"/>
      <protection locked="0"/>
    </xf>
    <xf numFmtId="0" fontId="81" fillId="9" borderId="0" xfId="0" applyFont="1" applyFill="1" applyAlignment="1" applyProtection="1">
      <alignment vertical="center" wrapText="1"/>
      <protection locked="0"/>
    </xf>
    <xf numFmtId="0" fontId="81" fillId="9" borderId="0" xfId="6" applyNumberFormat="1" applyFont="1" applyFill="1" applyBorder="1" applyAlignment="1" applyProtection="1">
      <alignment vertical="center" wrapText="1"/>
      <protection locked="0"/>
    </xf>
    <xf numFmtId="0" fontId="29" fillId="0" borderId="5" xfId="0" applyFont="1" applyBorder="1" applyAlignment="1">
      <alignment vertical="center" wrapText="1"/>
    </xf>
    <xf numFmtId="1" fontId="83" fillId="0" borderId="6" xfId="2" applyNumberFormat="1" applyFont="1" applyBorder="1" applyAlignment="1">
      <alignment horizontal="center" vertical="center" wrapText="1"/>
    </xf>
    <xf numFmtId="0" fontId="84" fillId="0" borderId="7" xfId="0" applyFont="1" applyBorder="1" applyAlignment="1">
      <alignment vertical="center" wrapText="1"/>
    </xf>
    <xf numFmtId="1" fontId="83" fillId="0" borderId="7" xfId="2" applyNumberFormat="1" applyFont="1" applyBorder="1" applyAlignment="1">
      <alignment horizontal="center" vertical="center" wrapText="1"/>
    </xf>
    <xf numFmtId="0" fontId="83" fillId="9" borderId="3" xfId="0" applyFont="1" applyFill="1" applyBorder="1" applyAlignment="1" applyProtection="1">
      <alignment vertical="center" wrapText="1"/>
      <protection locked="0"/>
    </xf>
    <xf numFmtId="0" fontId="83" fillId="9" borderId="9" xfId="0" applyFont="1" applyFill="1" applyBorder="1" applyAlignment="1" applyProtection="1">
      <alignment vertical="center" wrapText="1"/>
      <protection locked="0"/>
    </xf>
    <xf numFmtId="0" fontId="83" fillId="9" borderId="3" xfId="6" applyNumberFormat="1" applyFont="1" applyFill="1" applyBorder="1" applyAlignment="1" applyProtection="1">
      <alignment vertical="center" wrapText="1"/>
      <protection locked="0"/>
    </xf>
    <xf numFmtId="1" fontId="85" fillId="0" borderId="6" xfId="2" applyNumberFormat="1" applyFont="1" applyBorder="1" applyAlignment="1">
      <alignment horizontal="center" vertical="center" wrapText="1"/>
    </xf>
    <xf numFmtId="0" fontId="86" fillId="0" borderId="7" xfId="0" applyFont="1" applyBorder="1" applyAlignment="1">
      <alignment vertical="center" wrapText="1"/>
    </xf>
    <xf numFmtId="1" fontId="85" fillId="0" borderId="7" xfId="2" applyNumberFormat="1" applyFont="1" applyBorder="1" applyAlignment="1">
      <alignment horizontal="center" vertical="center" wrapText="1"/>
    </xf>
    <xf numFmtId="0" fontId="85" fillId="9" borderId="3" xfId="0" applyFont="1" applyFill="1" applyBorder="1" applyAlignment="1" applyProtection="1">
      <alignment vertical="center" wrapText="1"/>
      <protection locked="0"/>
    </xf>
    <xf numFmtId="0" fontId="85" fillId="9" borderId="9" xfId="0" applyFont="1" applyFill="1" applyBorder="1" applyAlignment="1" applyProtection="1">
      <alignment vertical="center" wrapText="1"/>
      <protection locked="0"/>
    </xf>
    <xf numFmtId="0" fontId="85" fillId="9" borderId="3" xfId="6" applyNumberFormat="1" applyFont="1" applyFill="1" applyBorder="1" applyAlignment="1" applyProtection="1">
      <alignment vertical="center" wrapText="1"/>
      <protection locked="0"/>
    </xf>
    <xf numFmtId="0" fontId="5" fillId="0" borderId="1" xfId="1" applyFont="1" applyBorder="1" applyAlignment="1">
      <alignment horizontal="center"/>
    </xf>
    <xf numFmtId="0" fontId="6" fillId="0" borderId="1" xfId="1" applyFont="1" applyBorder="1" applyAlignment="1">
      <alignment horizontal="center" vertical="center" wrapText="1"/>
    </xf>
    <xf numFmtId="0" fontId="5" fillId="0" borderId="0" xfId="1" applyFont="1" applyAlignment="1">
      <alignment horizontal="left" vertical="center"/>
    </xf>
    <xf numFmtId="0" fontId="5" fillId="0" borderId="1" xfId="1" applyFont="1" applyBorder="1"/>
    <xf numFmtId="0" fontId="5" fillId="0" borderId="0" xfId="1" applyFont="1" applyAlignment="1">
      <alignment vertical="center"/>
    </xf>
    <xf numFmtId="0" fontId="28" fillId="0" borderId="1" xfId="1" applyFont="1" applyBorder="1" applyAlignment="1">
      <alignment horizontal="center" vertical="center"/>
    </xf>
    <xf numFmtId="0" fontId="28" fillId="0" borderId="0" xfId="1" applyFont="1" applyAlignment="1">
      <alignment horizontal="left" vertical="center"/>
    </xf>
    <xf numFmtId="0" fontId="12" fillId="0" borderId="5" xfId="1" applyFont="1" applyBorder="1" applyAlignment="1">
      <alignment horizontal="center" vertical="top" wrapText="1"/>
    </xf>
    <xf numFmtId="0" fontId="12" fillId="0" borderId="15" xfId="1" applyFont="1" applyBorder="1" applyAlignment="1">
      <alignment horizontal="center" vertical="top" wrapText="1"/>
    </xf>
    <xf numFmtId="0" fontId="12" fillId="0" borderId="2" xfId="1" applyFont="1" applyBorder="1" applyAlignment="1">
      <alignment horizontal="center" vertical="top" wrapText="1"/>
    </xf>
    <xf numFmtId="0" fontId="29" fillId="0" borderId="5" xfId="1" applyFont="1" applyBorder="1" applyAlignment="1">
      <alignment horizontal="center" vertical="top"/>
    </xf>
    <xf numFmtId="0" fontId="29" fillId="0" borderId="15" xfId="1" applyFont="1" applyBorder="1" applyAlignment="1">
      <alignment horizontal="center" vertical="top"/>
    </xf>
    <xf numFmtId="0" fontId="29" fillId="0" borderId="2" xfId="1" applyFont="1" applyBorder="1" applyAlignment="1">
      <alignment horizontal="center" vertical="top"/>
    </xf>
  </cellXfs>
  <cellStyles count="7">
    <cellStyle name="Hyperlink" xfId="6" builtinId="8"/>
    <cellStyle name="Normal" xfId="0" builtinId="0"/>
    <cellStyle name="Normal 2" xfId="3"/>
    <cellStyle name="Normal 2 2" xfId="4"/>
    <cellStyle name="Normal 3" xfId="5"/>
    <cellStyle name="Normal_CUSTOMER COMPLAINT 2008" xfId="1"/>
    <cellStyle name="Normal_Sheet1" xfId="2"/>
  </cellStyles>
  <dxfs count="175">
    <dxf>
      <numFmt numFmtId="19" formatCode="dd/mm/yyyy"/>
    </dxf>
    <dxf>
      <numFmt numFmtId="19" formatCode="dd/mm/yyyy"/>
    </dxf>
    <dxf>
      <numFmt numFmtId="19" formatCode="dd/mm/yyyy"/>
    </dxf>
    <dxf>
      <numFmt numFmtId="19" formatCode="dd/mm/yyyy"/>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fill>
        <patternFill patternType="solid">
          <bgColor rgb="FFFFFF00"/>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color rgb="FF9C0006"/>
      </font>
      <fill>
        <patternFill>
          <bgColor rgb="FFFFC7CE"/>
        </patternFill>
      </fill>
    </dxf>
    <dxf>
      <font>
        <color rgb="FF9C0006"/>
      </font>
      <fill>
        <patternFill>
          <bgColor rgb="FFFFC7CE"/>
        </patternFill>
      </fill>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0"/>
        <color auto="1"/>
        <name val="Tahoma"/>
        <scheme val="none"/>
      </font>
      <fill>
        <patternFill patternType="solid">
          <fgColor indexed="64"/>
          <bgColor theme="8" tint="0.59999389629810485"/>
        </patternFill>
      </fill>
      <alignment horizontal="center" vertical="bottom" textRotation="0" wrapText="0" indent="0" justifyLastLine="0" shrinkToFit="0" readingOrder="0"/>
    </dxf>
    <dxf>
      <font>
        <strike val="0"/>
        <outline val="0"/>
        <shadow val="0"/>
        <u val="none"/>
        <vertAlign val="baseline"/>
        <sz val="10"/>
      </font>
      <numFmt numFmtId="0" formatCode="General"/>
      <alignment vertical="center" textRotation="0" indent="0" justifyLastLine="0" shrinkToFit="0" readingOrder="0"/>
      <protection locked="0" hidden="0"/>
    </dxf>
    <dxf>
      <font>
        <strike val="0"/>
        <outline val="0"/>
        <shadow val="0"/>
        <u val="none"/>
        <vertAlign val="baseline"/>
        <sz val="10"/>
      </font>
      <numFmt numFmtId="0" formatCode="General"/>
      <alignment vertical="center" textRotation="0" indent="0" justifyLastLine="0" shrinkToFit="0" readingOrder="0"/>
      <protection locked="0" hidden="0"/>
    </dxf>
    <dxf>
      <font>
        <strike val="0"/>
        <outline val="0"/>
        <shadow val="0"/>
        <u val="none"/>
        <vertAlign val="baseline"/>
        <sz val="10"/>
      </font>
      <alignment vertical="center" textRotation="0" indent="0" justifyLastLine="0" shrinkToFit="0" readingOrder="0"/>
      <protection locked="0" hidden="0"/>
    </dxf>
    <dxf>
      <font>
        <b val="0"/>
        <i val="0"/>
        <strike val="0"/>
        <condense val="0"/>
        <extend val="0"/>
        <outline val="0"/>
        <shadow val="0"/>
        <u val="none"/>
        <vertAlign val="baseline"/>
        <sz val="10"/>
        <color theme="1"/>
        <name val="Tahoma"/>
        <scheme val="none"/>
      </font>
      <numFmt numFmtId="0" formatCode="General"/>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Tahoma"/>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protection locked="0" hidden="0"/>
    </dxf>
    <dxf>
      <font>
        <strike val="0"/>
        <outline val="0"/>
        <shadow val="0"/>
        <u val="none"/>
        <vertAlign val="baseline"/>
        <sz val="10"/>
      </font>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numFmt numFmtId="164" formatCode="dd\/mm\/yyyy"/>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0"/>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strike val="0"/>
        <outline val="0"/>
        <shadow val="0"/>
        <u val="none"/>
        <vertAlign val="baseline"/>
        <sz val="10"/>
      </font>
      <numFmt numFmtId="30" formatCode="@"/>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strike val="0"/>
        <outline val="0"/>
        <shadow val="0"/>
        <u val="none"/>
        <vertAlign val="baseline"/>
        <sz val="10"/>
      </font>
      <alignment horizontal="general" vertical="center" textRotation="0" wrapText="1" indent="0" justifyLastLine="0" shrinkToFit="0" readingOrder="0"/>
      <border diagonalUp="0" diagonalDown="0">
        <left style="thin">
          <color indexed="64"/>
        </left>
        <right/>
        <top style="thin">
          <color indexed="64"/>
        </top>
        <bottom style="thin">
          <color indexed="64"/>
        </bottom>
      </border>
      <protection locked="1" hidden="0"/>
    </dxf>
    <dxf>
      <font>
        <strike val="0"/>
        <outline val="0"/>
        <shadow val="0"/>
        <u val="none"/>
        <vertAlign val="baseline"/>
        <sz val="10"/>
      </font>
      <alignment horizontal="general" vertical="center" textRotation="0" wrapText="1" indent="0" justifyLastLine="0" shrinkToFit="0" readingOrder="0"/>
      <border diagonalUp="0" diagonalDown="0">
        <left style="thin">
          <color indexed="64"/>
        </left>
        <right/>
        <top style="thin">
          <color indexed="64"/>
        </top>
        <bottom style="thin">
          <color indexed="64"/>
        </bottom>
      </border>
      <protection locked="1" hidden="0"/>
    </dxf>
    <dxf>
      <font>
        <strike val="0"/>
        <outline val="0"/>
        <shadow val="0"/>
        <u val="none"/>
        <vertAlign val="baseline"/>
        <sz val="10"/>
      </font>
      <alignment horizontal="general"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right style="thin">
          <color indexed="64"/>
        </right>
        <top style="thin">
          <color indexed="64"/>
        </top>
        <bottom/>
        <vertical/>
        <horizontal/>
      </border>
    </dxf>
    <dxf>
      <font>
        <b/>
        <strike val="0"/>
        <outline val="0"/>
        <shadow val="0"/>
        <u val="none"/>
        <vertAlign val="baseline"/>
        <sz val="10"/>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strike val="0"/>
        <outline val="0"/>
        <shadow val="0"/>
        <u val="none"/>
        <vertAlign val="baseline"/>
        <sz val="10"/>
      </font>
      <numFmt numFmtId="164" formatCode="dd\/mm\/yyyy"/>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0"/>
        <color theme="1"/>
        <name val="Tahoma"/>
        <scheme val="none"/>
      </font>
      <numFmt numFmtId="1" formatCode="0"/>
      <alignment horizontal="center" vertical="center" textRotation="0" wrapText="1"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0"/>
        <color theme="1"/>
        <name val="Tahoma"/>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font>
      <alignment vertical="center" textRotation="0" indent="0" justifyLastLine="0" shrinkToFit="0" readingOrder="0"/>
      <protection locked="0" hidden="0"/>
    </dxf>
    <dxf>
      <border outline="0">
        <bottom style="thin">
          <color indexed="64"/>
        </bottom>
      </border>
    </dxf>
    <dxf>
      <alignment vertical="center" textRotation="0" indent="0" justifyLastLine="0" shrinkToFit="0" readingOrder="0"/>
      <protection locked="0" hidden="0"/>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ont>
        <color rgb="FFC00000"/>
      </font>
    </dxf>
    <dxf>
      <font>
        <color rgb="FFC00000"/>
      </font>
    </dxf>
    <dxf>
      <fill>
        <patternFill>
          <bgColor theme="5" tint="0.59996337778862885"/>
        </patternFill>
      </fill>
    </dxf>
    <dxf>
      <fill>
        <patternFill>
          <bgColor rgb="FFFFFF99"/>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ill>
        <patternFill>
          <bgColor rgb="FFFFFF99"/>
        </patternFill>
      </fill>
    </dxf>
    <dxf>
      <font>
        <color rgb="FFC00000"/>
      </font>
    </dxf>
    <dxf>
      <fill>
        <patternFill>
          <bgColor theme="5" tint="0.59996337778862885"/>
        </patternFill>
      </fill>
    </dxf>
    <dxf>
      <font>
        <color rgb="FFC00000"/>
      </font>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ont>
        <color rgb="FFC00000"/>
      </font>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ont>
        <color rgb="FFC00000"/>
      </font>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ont>
        <color rgb="FFC00000"/>
      </font>
    </dxf>
    <dxf>
      <font>
        <b val="0"/>
        <i val="0"/>
        <strike val="0"/>
        <condense val="0"/>
        <extend val="0"/>
        <outline val="0"/>
        <shadow val="0"/>
        <u val="none"/>
        <vertAlign val="baseline"/>
        <sz val="11"/>
        <color theme="1"/>
        <name val="Tahoma"/>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Tahoma"/>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rder>
    </dxf>
    <dxf>
      <font>
        <color rgb="FF9C0006"/>
      </font>
      <fill>
        <patternFill>
          <bgColor rgb="FFFFC7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FFC00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47625</xdr:rowOff>
    </xdr:from>
    <xdr:to>
      <xdr:col>2</xdr:col>
      <xdr:colOff>371475</xdr:colOff>
      <xdr:row>0</xdr:row>
      <xdr:rowOff>590550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16063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47625</xdr:rowOff>
    </xdr:from>
    <xdr:to>
      <xdr:col>2</xdr:col>
      <xdr:colOff>371475</xdr:colOff>
      <xdr:row>0</xdr:row>
      <xdr:rowOff>590550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165163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47625</xdr:rowOff>
    </xdr:from>
    <xdr:to>
      <xdr:col>2</xdr:col>
      <xdr:colOff>371475</xdr:colOff>
      <xdr:row>0</xdr:row>
      <xdr:rowOff>590550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1651635" cy="535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0</xdr:rowOff>
    </xdr:from>
    <xdr:to>
      <xdr:col>3</xdr:col>
      <xdr:colOff>800100</xdr:colOff>
      <xdr:row>0</xdr:row>
      <xdr:rowOff>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2009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306721</xdr:colOff>
      <xdr:row>0</xdr:row>
      <xdr:rowOff>53788</xdr:rowOff>
    </xdr:from>
    <xdr:to>
      <xdr:col>3</xdr:col>
      <xdr:colOff>1222482</xdr:colOff>
      <xdr:row>0</xdr:row>
      <xdr:rowOff>558613</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250" y="53788"/>
          <a:ext cx="187498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136338</xdr:rowOff>
    </xdr:from>
    <xdr:to>
      <xdr:col>2</xdr:col>
      <xdr:colOff>368300</xdr:colOff>
      <xdr:row>0</xdr:row>
      <xdr:rowOff>641163</xdr:rowOff>
    </xdr:to>
    <xdr:pic>
      <xdr:nvPicPr>
        <xdr:cNvPr id="2" name="Picture 1">
          <a:extLst>
            <a:ext uri="{FF2B5EF4-FFF2-40B4-BE49-F238E27FC236}">
              <a16:creationId xmlns:a16="http://schemas.microsoft.com/office/drawing/2014/main" id="{532EA11D-E520-4D4F-8B97-B3FB188B79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36338"/>
          <a:ext cx="12001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huc, Do Thi Hong" refreshedDate="46274.589933564814" createdVersion="4" refreshedVersion="8" minRefreshableVersion="3" recordCount="284">
  <cacheSource type="worksheet">
    <worksheetSource name="Table2"/>
  </cacheSource>
  <cacheFields count="27">
    <cacheField name="STT_x000a_No." numFmtId="1">
      <sharedItems containsSemiMixedTypes="0" containsString="0" containsNumber="1" containsInteger="1" minValue="1" maxValue="283"/>
    </cacheField>
    <cacheField name="HÃNG" numFmtId="1">
      <sharedItems/>
    </cacheField>
    <cacheField name="Ngày_x000a_date" numFmtId="164">
      <sharedItems containsSemiMixedTypes="0" containsNonDate="0" containsDate="1" containsString="0" minDate="2025-01-03T00:00:00" maxDate="2026-09-08T00:00:00" count="196">
        <d v="2025-01-03T00:00:00"/>
        <d v="2025-01-08T00:00:00"/>
        <d v="2025-01-09T00:00:00"/>
        <d v="2025-01-13T00:00:00"/>
        <d v="2025-01-14T00:00:00"/>
        <d v="2025-01-15T00:00:00"/>
        <d v="2025-01-20T00:00:00"/>
        <d v="2025-01-24T00:00:00"/>
        <d v="2025-02-07T00:00:00"/>
        <d v="2025-02-10T00:00:00"/>
        <d v="2025-02-11T00:00:00"/>
        <d v="2025-02-13T00:00:00"/>
        <d v="2025-02-19T00:00:00"/>
        <d v="2025-02-27T00:00:00"/>
        <d v="2025-03-12T00:00:00"/>
        <d v="2025-03-13T00:00:00"/>
        <d v="2025-03-17T00:00:00"/>
        <d v="2025-03-21T00:00:00"/>
        <d v="2025-03-27T00:00:00"/>
        <d v="2025-03-28T00:00:00"/>
        <d v="2025-04-03T00:00:00"/>
        <d v="2025-04-04T00:00:00"/>
        <d v="2025-04-14T00:00:00"/>
        <d v="2025-04-15T00:00:00"/>
        <d v="2025-04-17T00:00:00"/>
        <d v="2025-04-21T00:00:00"/>
        <d v="2025-04-24T00:00:00"/>
        <d v="2025-05-05T00:00:00"/>
        <d v="2025-05-08T00:00:00"/>
        <d v="2025-05-14T00:00:00"/>
        <d v="2025-05-15T00:00:00"/>
        <d v="2025-05-20T00:00:00"/>
        <d v="2025-05-22T00:00:00"/>
        <d v="2025-05-26T00:00:00"/>
        <d v="2025-05-28T00:00:00"/>
        <d v="2025-05-30T00:00:00"/>
        <d v="2025-06-05T00:00:00"/>
        <d v="2025-06-09T00:00:00"/>
        <d v="2025-06-12T00:00:00"/>
        <d v="2025-06-13T00:00:00"/>
        <d v="2025-06-20T00:00:00"/>
        <d v="2025-06-24T00:00:00"/>
        <d v="2025-06-25T00:00:00"/>
        <d v="2025-06-27T00:00:00"/>
        <d v="2025-06-30T00:00:00"/>
        <d v="2025-07-01T00:00:00"/>
        <d v="2025-07-09T00:00:00"/>
        <d v="2025-07-11T00:00:00"/>
        <d v="2025-07-15T00:00:00"/>
        <d v="2025-07-16T00:00:00"/>
        <d v="2025-07-18T00:00:00"/>
        <d v="2025-07-21T00:00:00"/>
        <d v="2025-07-22T00:00:00"/>
        <d v="2025-07-23T00:00:00"/>
        <d v="2025-07-24T00:00:00"/>
        <d v="2025-07-25T00:00:00"/>
        <d v="2025-07-30T00:00:00"/>
        <d v="2025-07-31T00:00:00"/>
        <d v="2025-08-05T00:00:00"/>
        <d v="2025-08-07T00:00:00"/>
        <d v="2025-08-11T00:00:00"/>
        <d v="2025-08-13T00:00:00"/>
        <d v="2025-08-14T00:00:00"/>
        <d v="2025-08-15T00:00:00"/>
        <d v="2025-08-18T00:00:00"/>
        <d v="2025-08-22T00:00:00"/>
        <d v="2025-08-25T00:00:00"/>
        <d v="2025-08-26T00:00:00"/>
        <d v="2025-08-28T00:00:00"/>
        <d v="2025-09-09T00:00:00"/>
        <d v="2025-09-10T00:00:00"/>
        <d v="2025-09-11T00:00:00"/>
        <d v="2025-09-12T00:00:00"/>
        <d v="2025-09-15T00:00:00"/>
        <d v="2025-09-18T00:00:00"/>
        <d v="2025-09-22T00:00:00"/>
        <d v="2025-09-23T00:00:00"/>
        <d v="2025-09-24T00:00:00"/>
        <d v="2025-09-25T00:00:00"/>
        <d v="2025-09-26T00:00:00"/>
        <d v="2025-09-30T00:00:00"/>
        <d v="2025-10-01T00:00:00"/>
        <d v="2025-10-02T00:00:00"/>
        <d v="2025-10-03T00:00:00"/>
        <d v="2025-10-06T00:00:00"/>
        <d v="2025-10-07T00:00:00"/>
        <d v="2025-10-09T00:00:00"/>
        <d v="2025-10-10T00:00:00"/>
        <d v="2025-10-13T00:00:00"/>
        <d v="2025-10-14T00:00:00"/>
        <d v="2025-10-17T00:00:00"/>
        <d v="2025-10-22T00:00:00"/>
        <d v="2025-10-23T00:00:00"/>
        <d v="2025-10-24T00:00:00"/>
        <d v="2025-10-27T00:00:00"/>
        <d v="2025-10-28T00:00:00"/>
        <d v="2025-11-03T00:00:00"/>
        <d v="2025-11-04T00:00:00"/>
        <d v="2025-11-06T00:00:00"/>
        <d v="2025-11-10T00:00:00"/>
        <d v="2025-11-12T00:00:00"/>
        <d v="2025-11-18T00:00:00"/>
        <d v="2025-11-20T00:00:00"/>
        <d v="2025-11-26T00:00:00"/>
        <d v="2025-12-03T00:00:00"/>
        <d v="2025-12-05T00:00:00"/>
        <d v="2025-12-08T00:00:00"/>
        <d v="2025-12-09T00:00:00"/>
        <d v="2025-12-11T00:00:00"/>
        <d v="2025-12-12T00:00:00"/>
        <d v="2025-12-19T00:00:00"/>
        <d v="2025-12-22T00:00:00"/>
        <d v="2025-12-24T00:00:00"/>
        <d v="2025-12-25T00:00:00"/>
        <d v="2025-12-26T00:00:00"/>
        <d v="2026-01-08T00:00:00"/>
        <d v="2026-01-09T00:00:00"/>
        <d v="2026-01-13T00:00:00"/>
        <d v="2026-01-14T00:00:00"/>
        <d v="2026-01-19T00:00:00"/>
        <d v="2026-01-20T00:00:00"/>
        <d v="2026-01-22T00:00:00"/>
        <d v="2026-01-23T00:00:00"/>
        <d v="2026-01-26T00:00:00"/>
        <d v="2026-01-29T00:00:00"/>
        <d v="2026-02-03T00:00:00"/>
        <d v="2026-02-04T00:00:00"/>
        <d v="2026-02-23T00:00:00"/>
        <d v="2026-02-24T00:00:00"/>
        <d v="2026-02-26T00:00:00"/>
        <d v="2026-02-27T00:00:00"/>
        <d v="2026-03-06T00:00:00"/>
        <d v="2026-03-10T00:00:00"/>
        <d v="2026-03-16T00:00:00"/>
        <d v="2026-03-17T00:00:00"/>
        <d v="2026-03-19T00:00:00"/>
        <d v="2026-03-23T00:00:00"/>
        <d v="2026-03-27T00:00:00"/>
        <d v="2026-03-31T00:00:00"/>
        <d v="2026-04-01T00:00:00"/>
        <d v="2026-04-03T00:00:00"/>
        <d v="2026-04-07T00:00:00"/>
        <d v="2026-04-08T00:00:00"/>
        <d v="2026-04-13T00:00:00"/>
        <d v="2026-04-16T00:00:00"/>
        <d v="2026-04-17T00:00:00"/>
        <d v="2026-04-22T00:00:00"/>
        <d v="2026-04-23T00:00:00"/>
        <d v="2026-04-24T00:00:00"/>
        <d v="2026-04-28T00:00:00"/>
        <d v="2026-05-12T00:00:00"/>
        <d v="2026-05-14T00:00:00"/>
        <d v="2026-05-21T00:00:00"/>
        <d v="2026-05-22T00:00:00"/>
        <d v="2026-05-25T00:00:00"/>
        <d v="2026-05-27T00:00:00"/>
        <d v="2026-05-28T00:00:00"/>
        <d v="2026-06-01T00:00:00"/>
        <d v="2026-06-02T00:00:00"/>
        <d v="2026-06-03T00:00:00"/>
        <d v="2026-06-04T00:00:00"/>
        <d v="2026-06-05T00:00:00"/>
        <d v="2026-06-08T00:00:00"/>
        <d v="2026-06-09T00:00:00"/>
        <d v="2026-06-11T00:00:00"/>
        <d v="2026-06-12T00:00:00"/>
        <d v="2026-06-15T00:00:00"/>
        <d v="2026-06-16T00:00:00"/>
        <d v="2026-06-18T00:00:00"/>
        <d v="2026-06-24T00:00:00"/>
        <d v="2026-06-30T00:00:00"/>
        <d v="2026-07-01T00:00:00"/>
        <d v="2026-07-03T00:00:00"/>
        <d v="2026-07-06T00:00:00"/>
        <d v="2026-07-08T00:00:00"/>
        <d v="2026-07-10T00:00:00"/>
        <d v="2026-07-15T00:00:00"/>
        <d v="2026-07-16T00:00:00"/>
        <d v="2026-07-21T00:00:00"/>
        <d v="2026-07-22T00:00:00"/>
        <d v="2026-07-23T00:00:00"/>
        <d v="2026-07-27T00:00:00"/>
        <d v="2026-07-30T00:00:00"/>
        <d v="2026-07-31T00:00:00"/>
        <d v="2026-08-06T00:00:00"/>
        <d v="2026-08-07T00:00:00"/>
        <d v="2026-08-10T00:00:00"/>
        <d v="2026-08-12T00:00:00"/>
        <d v="2026-08-14T00:00:00"/>
        <d v="2026-08-20T00:00:00"/>
        <d v="2026-08-21T00:00:00"/>
        <d v="2026-08-24T00:00:00"/>
        <d v="2026-08-25T00:00:00"/>
        <d v="2026-09-03T00:00:00"/>
        <d v="2026-09-04T00:00:00"/>
        <d v="2026-09-07T00:00:00"/>
      </sharedItems>
    </cacheField>
    <cacheField name="Code _x000a_CC- " numFmtId="0">
      <sharedItems containsBlank="1" count="298">
        <s v="CC_010125-HCM_x000a_HUY"/>
        <s v="CC_020125-HCM"/>
        <s v="CC_030125-HCM"/>
        <s v="CC_040125-HCM"/>
        <s v="CC_050125-ĐN_x000a_HUY"/>
        <s v="CC_060125-HCM_x000a_HUY"/>
        <s v="CC_070125-HCM"/>
        <s v="CC_080125-HCM"/>
        <s v="CC_090125-HCM"/>
        <s v="CC_100125-HCM"/>
        <s v="CC_110225-HCM_x000a_HUY"/>
        <s v="CC_120225-HCM"/>
        <s v="CC_130225-HCM"/>
        <s v="CC_140225-HCM"/>
        <s v="CC_150225-HCM"/>
        <s v="CC_160225-HCM"/>
        <s v="CC_170325-HN"/>
        <s v="CC_180325-HN"/>
        <s v="CC_190325-HCM_x000a_HUY"/>
        <s v="CC_200325-HCM"/>
        <s v="CC_210325-HN"/>
        <s v="CC_220325-HCM"/>
        <s v="CC_230325-HCM"/>
        <s v="CC_240325-HCM"/>
        <s v="CC_250325-HCM"/>
        <s v="CC_260325-HCM"/>
        <s v="CC_270425-HCM"/>
        <s v="CC_280425-ĐN"/>
        <s v="CC_290425-ĐN"/>
        <s v="CC_300425-ĐN"/>
        <s v="CC_310425-HN"/>
        <s v="CC_320425-HCM"/>
        <s v="CC_330425-HN"/>
        <s v="CC_340425-HCM"/>
        <s v="CC_350425-HCM"/>
        <s v="CC_360425-HCM_x000a_NOI BO"/>
        <s v="CC_370425-HCM"/>
        <s v="CC_380525-HCM"/>
        <s v="CC_390525-HCM"/>
        <s v="CC_400525-HCM"/>
        <s v="CC_410525-HCM"/>
        <s v="CC_420525-HCM"/>
        <s v="CC_430525-HCM"/>
        <s v="CC_440525-ĐN"/>
        <s v="CC_450525-HCM"/>
        <s v="CC_460525-HCM"/>
        <s v="CC_470525-HCM_x000a_HUY"/>
        <s v="CC_480525-HCM"/>
        <s v="CC_490525-HCM"/>
        <s v="CC_500525-HCM"/>
        <s v="CC_510525-HCM"/>
        <s v="CC_520525-HCM"/>
        <s v="CC_530525-HCM"/>
        <s v="CC_540625-HCM"/>
        <s v="CC_550625-HCM"/>
        <s v="CC_560625-HN"/>
        <s v="CC_570625-HN"/>
        <s v="CC_580625-HCM"/>
        <s v="CC_590625-HCM"/>
        <s v="CC_600625-ĐN"/>
        <s v="CC_610625-HCM"/>
        <s v="CC_620625-HCM-HUY"/>
        <s v="CC_630625-ĐN"/>
        <s v="CC_640725-HCM"/>
        <s v="CC_650725-HCM"/>
        <s v="CC_660725-HCM"/>
        <s v="CC_670725-HCM"/>
        <s v="CC_680725-HN"/>
        <s v="CC_690725-HCM"/>
        <s v="CC_700725-HN"/>
        <s v="CC_710725-HN"/>
        <s v="CC_720725-HCM"/>
        <s v="CC_730725-HCM"/>
        <s v="CC_740725-HCM"/>
        <s v="CC_750725-HN"/>
        <s v="CC_760725-HCM"/>
        <s v="CC_770725-HCM"/>
        <s v="CC_780725-HCM"/>
        <s v="CC_790725-HN"/>
        <s v="CC_800825-HCM"/>
        <s v="CC_810825-HCM"/>
        <s v="CC_820825-HN"/>
        <s v="CC_830825-HCM"/>
        <s v="CC_840825-HN"/>
        <s v="CC_850825-HCM"/>
        <s v="CC_860825-HCM"/>
        <s v="CC_870825-HCM"/>
        <s v="CC_880825-HCM"/>
        <s v="CC_890825-HCM"/>
        <s v="CC_900825-HCM-HUY"/>
        <s v="CC_910825-HCM"/>
        <s v="CC_920825-HCM"/>
        <s v="CC_930925-HCM-HUY"/>
        <s v="CC_940925-HCM"/>
        <s v="CC_950925-HCM"/>
        <s v="CC_960925-HN"/>
        <s v="CC_970925-HCM"/>
        <s v="CC_980925-HCM"/>
        <s v="CC_990925-HCM"/>
        <s v="CC_1000925-HN"/>
        <s v="CC_1010925-HCM-HUY"/>
        <s v="CC_1020925-HN"/>
        <s v="CC_1030925-HCM"/>
        <s v="CC_1040925-HN"/>
        <s v="CC_1050925-HCM"/>
        <s v="CC_1061025-ĐN"/>
        <s v="CC_1071025-ĐN-HUY"/>
        <s v="CC_1081025-HN"/>
        <s v="CC_1091025-HCM"/>
        <s v="CC_1101025-HCM-HUY"/>
        <s v="CC_1111025-HN"/>
        <s v="CC_1121025-HCM"/>
        <s v="CC_1131025-HCM"/>
        <s v="CC_1141025-HCM"/>
        <s v="CC_1151025-HCM"/>
        <s v="CC_1161025-HCM-HUY"/>
        <s v="CC_1171025-HN"/>
        <s v="CC_1181025-HCM"/>
        <s v="CC_1191025-HCM"/>
        <s v="CC_1201025-HCM"/>
        <s v="CC_1211025-HCM"/>
        <s v="CC_1221025-HN"/>
        <s v="CC_1231025-HN"/>
        <s v="CC_1241025-ĐN"/>
        <s v="CC_1251025-HCM"/>
        <s v="CC_1261025-HN"/>
        <s v="CC_1271125-HN"/>
        <s v="CC_1281125-HCM"/>
        <s v="CC_1291125-HCM"/>
        <s v="CC_1301125-HCM"/>
        <s v="CC_1311125-HCM"/>
        <s v="CC_1321125-HCM"/>
        <s v="CC_1331125-HCM"/>
        <s v="CC_1341125-HCM"/>
        <s v="CC_1351125-HCM"/>
        <s v="CC_1361125-HCM"/>
        <s v="CC_1371125-HCM"/>
        <s v="CC_1381125-HCM"/>
        <s v="CC_1391225-HCM-HUY"/>
        <s v="CC_1401225-HCM"/>
        <s v="CC_1411225-HCM"/>
        <s v="CC_1421225-HN"/>
        <s v="CC_1431225-HCM"/>
        <s v="CC_1441225-HCM"/>
        <s v="CC_1451225-HCM"/>
        <s v="CC_1461225-HN"/>
        <s v="CC_1471225-HCM-HUY"/>
        <s v="CC_1481225-HCM"/>
        <s v="CC_1491225-HCM"/>
        <s v="CC_1501225-HCM"/>
        <s v="CC_1511225-HCM"/>
        <s v="CC_1521225-HN"/>
        <s v="CC_1531225-HCM"/>
        <s v="CC_1541225-HN"/>
        <s v="CC_1551225-HCM"/>
        <s v="CC_1561225-HCM"/>
        <s v="CC_010126-HCM"/>
        <s v="CC_020126-HN"/>
        <s v="CC_030126-HCM"/>
        <s v="CC_040126-HCM"/>
        <s v="CC_050126-ĐN"/>
        <s v="CC_060126-HCM"/>
        <s v="CC_070126-HCM"/>
        <s v="CC_080126-HCM"/>
        <s v="CC_090126-HCM"/>
        <s v="CC_100126-HCM"/>
        <s v="CC_110126-HCM"/>
        <s v="CC_120126-HN"/>
        <s v="CC_130126-HN"/>
        <s v="CC_140226-HN"/>
        <s v="CC_150226-ĐN-HUY"/>
        <s v="CC_160226-HCM"/>
        <s v="CC_170226-HCM"/>
        <s v="CC_180226-ĐN"/>
        <s v="CC_190226-HCM-HUY"/>
        <s v="CC_200226-HCM"/>
        <s v="CC_210226-ĐN"/>
        <s v="CC_220326-HCM"/>
        <s v="CC_230326-HN"/>
        <s v="CC_240326-HCM_x000a_HUY"/>
        <s v="CC_250326-HCM"/>
        <s v="CC_260326-ĐN"/>
        <s v="CC_270326-HCM_x000a_HUY"/>
        <s v="CC_280326-HCM"/>
        <s v="CC_290326-HCM"/>
        <s v="CC_300326-HN"/>
        <s v="CC_310426-HN"/>
        <s v="CC_320426-HN"/>
        <s v="CC_330426-HN"/>
        <s v="CC_340426-HN"/>
        <s v="CC_350426-HCM"/>
        <s v="CC_360426-HCM"/>
        <s v="CC_370426-HCM"/>
        <s v="CC_380426-HCM"/>
        <s v="CC_390426-HCM"/>
        <s v="CC_400426-HCM"/>
        <s v="CC_410426-HCM"/>
        <s v="CC_420426-HN"/>
        <s v="CC_430426-HCM"/>
        <s v="CC_440426-HN"/>
        <s v="CC_450426-HCM"/>
        <s v="CC_460426-HCM"/>
        <s v="CC_470426-HCM"/>
        <s v="CC_480426-ĐN"/>
        <s v="CC_490526-HCM"/>
        <s v="CC_500526-HCM"/>
        <s v="CC_510526-HCM"/>
        <s v="CC_520526-HCM"/>
        <s v="CC_530526-HCM"/>
        <s v="CC_540526-HCM"/>
        <s v="CC_550526-HCM"/>
        <s v="CC_560526-HN"/>
        <s v="CC_570526-HCM"/>
        <s v="CC_580526-ĐN-HUY"/>
        <s v="CC_590526-HCM"/>
        <s v="CC_600626-HN"/>
        <s v="CC_610626-ĐN"/>
        <s v="CC_620626-HN HUY"/>
        <s v="CC_630626-HCM"/>
        <s v="CC_640626-HCM"/>
        <s v="CC_650626-HN"/>
        <s v="CC_660626-HCM HUY"/>
        <s v="CC_670626-HN"/>
        <s v="CC_680626-HN HUY"/>
        <s v="CC_690626-HN HUY"/>
        <s v="CC_700626-HN HUY"/>
        <s v="CC_710626-HN HUY"/>
        <s v="CC_720626-HCM"/>
        <s v="CC_730626-HCM"/>
        <s v="CC_740626-ĐN HUY"/>
        <s v="CC_750626-HCM"/>
        <s v="CC_760626-HN"/>
        <s v="CC_770626-HN"/>
        <s v="CC_780626-HN HUY"/>
        <s v="CC_790626-ĐN"/>
        <s v="CC_800726-HCM"/>
        <s v="CC_810726-ĐN"/>
        <s v="CC_820726-HCM HUY"/>
        <s v="CC_830726-HCM"/>
        <s v="CC_840726-HCM"/>
        <s v="CC_850726-HCM"/>
        <s v="CC_860726-HCM"/>
        <s v="CC_870726-HN"/>
        <s v="CC_880726-HCM"/>
        <s v="CC_890726-HCM HUY"/>
        <s v="CC_900726-HCM "/>
        <s v="CC_910726-HCM HUY"/>
        <s v="CC_920726-HCM"/>
        <s v="CC_930726-HN HUY"/>
        <s v="CC_940726-HCM"/>
        <s v="CC_950726-ĐN"/>
        <s v="CC_960726-HCM HUY"/>
        <s v="CC_970726-HCM HUY"/>
        <s v="CC_980826-HN HUY"/>
        <s v="CC_990826-ĐN"/>
        <s v="CC_1000826-HN"/>
        <s v="CC_1010826-HCM"/>
        <s v="CC_1020826-HCM"/>
        <s v="CC_1030826-HCM"/>
        <s v="CC_1040826-HCM"/>
        <s v="CC_1050826-HCM"/>
        <s v="CC_1060826-HCM"/>
        <s v="CC_1070826-HN"/>
        <s v="CC_1080826-HN"/>
        <s v="CC_1090826-ĐN-HUY"/>
        <s v="CC_1100826-HCM"/>
        <s v="CC_1110826-HCM"/>
        <s v="CC_1120926-HCM"/>
        <s v="CC_1130926-HCM"/>
        <s v="CC_1140926-HCM"/>
        <m u="1"/>
        <s v="CC_1391125-HCM" u="1"/>
        <s v="CC_890726-HCM" u="1"/>
        <s v="CC_820726-HCM" u="1"/>
        <s v="CC_1101025-HCM" u="1"/>
        <s v="CC_240326-HCM" u="1"/>
        <s v="CC_930726-HN" u="1"/>
        <s v="CC_970726-HCM" u="1"/>
        <s v="CC_580526-ĐN" u="1"/>
        <s v="CC_930925-HCM" u="1"/>
        <s v="CC_900726-HCM" u="1"/>
        <s v="CC_960726-HCM" u="1"/>
        <s v="CC_1090826-ĐN" u="1"/>
        <s v="CC_690626-HN" u="1"/>
        <s v="CC_780626-HN" u="1"/>
        <s v="CC_620626-HN" u="1"/>
        <s v="CC_660626-HCM" u="1"/>
        <s v="CC_710626-HN" u="1"/>
        <s v="CC_680626-HN" u="1"/>
        <s v="CC_270326-HCM" u="1"/>
        <s v="CC_620625-HCM_x000a_HUY" u="1"/>
        <s v="CC_740626-ĐN" u="1"/>
        <s v="CC_190325-HCM" u="1"/>
        <s v="CC_700626-HN" u="1"/>
        <s v="CC_900726-HCM HUY" u="1"/>
        <s v="CC_1071025-ĐN" u="1"/>
        <s v="CC_880726-HCM HUY" u="1"/>
        <s v="CC_150226-ĐN" u="1"/>
      </sharedItems>
    </cacheField>
    <cacheField name="Ticket" numFmtId="0">
      <sharedItems containsBlank="1"/>
    </cacheField>
    <cacheField name="Tên khách hàng_x000a_Customer" numFmtId="0">
      <sharedItems containsBlank="1" count="208">
        <s v="CONG TY CO PHAN BENH VIEN DA KHOA HOAN MY DA LAT"/>
        <s v="BENH VIEN PHAM NGOC THACH"/>
        <s v="TRUNG TAM Y TE QUAN 1"/>
        <s v="BENH VIEN PHAP VIET"/>
        <s v="CONG TY CO PHAN Y KHOA BAC SY GIA DINH"/>
        <s v="BENH VIEN DA KHOA TINH TRA VINH"/>
        <s v="BENH VIEN DA KHOA TINH BINH THUAN "/>
        <s v="TRUNG TAM Y TE THANH PHO BIEN HOA"/>
        <s v="BENH VIEN PHAP VIET (CTTNHH YTE VIEN DONG VN)"/>
        <s v="CONG TY CO PHAN BENH VIEN DAI HOC Y DUOC-HOANG ANH GIA LAI"/>
        <s v="BENH VIEN THONG NHAT "/>
        <s v="CONG TY CO PHAN BENH VIEN MY PHUOC"/>
        <s v="TRUNG TAM TIEM CHUNG VAC XIN NINH HOA"/>
        <s v="Zuellig Viet Nam"/>
        <s v="CONG TY CO PHAN DUOC PHAM AN KHANG PHARMA"/>
        <s v="BENH VIEN DA KHOA PHUONG DONG"/>
        <s v="CONG TY DUOC PHAM HA NOI"/>
        <s v="TRUNG TAM Y TE HUYEN DAM RONG"/>
        <s v="HO KINH DOANH  TIEM CHUNG VAC – XIN DICH VU TNT - NINH HOA"/>
        <s v="NHA THUOC TAY HAI "/>
        <s v=" KHOA DUOC BENH VIEN QUAN Y 175 "/>
        <s v="CONG TY CO PHAN DAU TU BENH VIEN XUYEN A – CN VINH LONG"/>
        <s v="BENH VIEN NGUYEN TRAI "/>
        <s v=" TRUNG TAM Y TE THI XA DUYEN HAI"/>
        <s v="CÔNG TY CP Y KHOA GIA DINH"/>
        <s v="CONG TY TNHH DUOC PHAM MEDX "/>
        <s v="CONG TY CO PHAN Y TE AMVGROUP"/>
        <s v="BV Đại Học Y Hà Nội"/>
        <s v="KHOA DUOC BV BINH DAN"/>
        <s v="BVĐK Phương Đông"/>
        <s v="BENH VIEN THONG NHAT"/>
        <s v="CHI NHANH HA NOI-CONG TY CO PHAN DUOC PHAM FPT LONG CHAU"/>
        <s v="CHI NHANH CONG TY CO PHAN BENH VIEN DA KHOA TAM ANH"/>
        <s v="CONG TY CO PHAN DUOC PHAM FPT LONG CHAU"/>
        <s v="CONG TY CO PHAN BENH VIEN DA KHOA HOAN MY DA LAT "/>
        <s v="CONG TY TNHH DUOC PHAM MEDX"/>
        <s v="NHA THUOC TAY TRA ANH  DUY - TRUNG TAM MEN 'S HEALTH "/>
        <s v="TTYT HUYEN PHU TAN"/>
        <s v="TRUNG TAM Y TE QUAN 5"/>
        <s v="NHÀ THUỐC DŨNG LOAN"/>
        <s v=" BENH VIEN UNG BUOU"/>
        <s v="BENH VIEN DA KHOA CAM PHA"/>
        <s v="PHARMACITY"/>
        <s v="NHA THUOC PHAM HUU CHI"/>
        <s v="Kho ODN Quận 7"/>
        <s v="Viện Huyết học Truyền Máu Trung ương"/>
        <s v="BENH VIEN K"/>
        <s v="BENH VIEN UNG BUOU HUNG VIET"/>
        <s v="QUAY THUOC SO 182 THUOC CONG TY CO PHAN THUONG MAI DUOC –SAM NGOC LINH QUANG NAM"/>
        <s v="CONG TY CO PHAN BENH VIEN DA KHOA HOAN MY SAI GON"/>
        <s v="HO KINH DOANH PHONG KHAM NHI VA TIEM NGUA DICH VU KHANH LINH"/>
        <s v="HỘ KINH DOANH DỊCH VỤ VẮC XIN NGƯỜI LỚN VÀ TRẺ EM"/>
        <s v="KHOA DUOC BENH VIEN NHI DONG 2 "/>
        <s v="NHA THUOC THANH QUI "/>
        <s v="QUAY 504 HAPU "/>
        <s v="VIEN Y HOC PHONG KHONG – KHONG QUAN"/>
        <s v="NHA THUOC HOANG LIEM 1"/>
        <s v="CONG TY TNHH DUOC PHAM DONAPHARM"/>
        <s v="DIA DIEM KINH DOANH CONG TY CO PHAN THUONG MAI DUOC VUONG - KHO HANG HOA HO CHI MINH"/>
        <s v="CONG TY TNHH CAREACE"/>
        <s v="TRUNG TAM Y TE KHU VUC THOT NOT"/>
        <s v="BENH VIEN II LAM DONG "/>
        <s v=" NHA THUOC KIM NGAN"/>
        <s v="NHA THUOC TAY HOAN ( PK NOI SOI TAI MUI HONG)"/>
        <s v="CONG TY TNHH BENH VIEN DA KHOA PHUONG CHI"/>
        <s v="HO KINH DOANH NHA THUOC GIA HUY NCT"/>
        <s v="CHI NHANH CONG TY TRACH NHIEM HUU HAN THUONG MAI – DICH VU MY MY – BENH VIEN QUOC TE MY"/>
        <s v="CONG TY CP Y TE THANH THANH PHAT - DIA DIEM KINH DOANH THANH PHAT TAN CHAU"/>
        <s v="CONG TY CO PHAN DUOC PHAM AN KHANG PHARMA( DONG THAP )"/>
        <s v="BENH VIEN DA KHOA TINH BINH THUAN"/>
        <s v="BENH VIEN DA KHOA TINH KIEN GIANG"/>
        <s v="CONG TY CO PHAN Y TE CV HEALTH 24"/>
        <s v="HO KINH DOANH NHA THUOC MINH ANH HOSPITAL"/>
        <s v="CONG TY CO PHAN BENH VIEN DA KHOA MY DUC"/>
        <s v="KHOA DUOC BENH VIEN TRUNG VUONG"/>
        <s v="BENH VIEN UNG BUOU HA NOI"/>
        <s v="BENH VIEN UNG BUOU"/>
        <s v="QUAY THUOC THIEN NGOC"/>
        <s v="QUAY 441 HAPU"/>
        <s v="NHA THUOC BENH VIEN NHAN DAN 115"/>
        <s v="CONG TY TNHH DUOC PHAM DA PHUC"/>
        <s v="QUAY 320"/>
        <s v="BENH VIEN Y HOC CO TRUYEN"/>
        <s v="BENH VIEN DA KHOA TRUNG TAM TINH GIA LAI"/>
        <s v="HO KINH DOANH LE THI THUY NGA"/>
        <s v="CONG TY TNHH BENH VIEN VIET PHAP HA NOI "/>
        <s v="CONG TY CO PHAN Y TE CHAN VAN"/>
        <s v="BENH VIEN DA KHOA XANH PON"/>
        <s v="CONG TY TNHH Y KHOA SAI GON KIEN TUONG"/>
        <s v="NHA THUOC MINH QUI"/>
        <s v="PHONG KHAM DA KHOA - CONG TY CO PHAN DINH DUONG NUTRIHOME - CHI NHANH THANH PHO HO CHI MINH"/>
        <s v="BENH VIEN DA KHOA TRUNG UONG CAN THO"/>
        <s v="BỆNH VIỆN TÂM ANH"/>
        <s v="QUAY THUOC SO 18"/>
        <s v="HỘ KINH DOANH NHÀ THUỐC GIA HUY NCT - PHẠM THỊ PHƯỢNG"/>
        <s v="BỆNH VIỆN UNG BƯỚU ĐÀ NẴNG"/>
        <s v="TRUNG TAM Y TE KHU VUC XOM CHIEU "/>
        <s v="CÔNG TY TNHH BỆNH VIỆN ĐKTN AN SINH - PHÚC TRƯỜNG MINH"/>
        <s v="HO KINH DOANH NGUYEN THI DIEP"/>
        <s v="CONG TY TNHH Y TE DAI PHUOC"/>
        <s v="CONG TY CP DUOC PHAM MEDX"/>
        <s v="CONG TY CO PHAN BENH VIEN DA KHOA TAM ANH"/>
        <s v="CONG TY TNHH COLUMBIA ASIA BINH DUONG "/>
        <s v="PHONG KHAM TU VAN VA DIEU TRI DU PHONG BS TRAN DUY THUAN"/>
        <s v="DIA DIEM KINH DOANH SO 02 - CONG TY TNHH GOOD PHARMA NGOC TUYET "/>
        <s v="CONG TY CO PHAN DUOC PHAM CHO THUOC TOT"/>
        <s v="TRUNG TAM KIEM SOAT BENH TAT TIEN GIANG"/>
        <s v="BENH VIEN DA KHOA TP CAN THO"/>
        <s v="NHA THUOC TU NHAN 48 PHAN CHU TRINH"/>
        <s v="QUAY 335 TOA NHA HAPU"/>
        <s v="BENH VIEN DA KHOA BUU DIEN - CO SO 1"/>
        <s v="CONG TY CO PHAN Y KHOA HANO"/>
        <s v="BENH VIEN DA KHOA QUOC TE S.I.S CAN THO - CHI NHANH CONG TY CO PHAN DAU TU Y TE VIET CUONG"/>
        <s v="BVDK DONG NAI"/>
        <s v="PHONG TIEM CHUNG VAC XIN QUANG TRI"/>
        <s v=" CONG TY CO PHAN BENH VIEN THUAN MY ITO DONG NAI"/>
        <s v="CHI NHÁNH CÔNG TY CỔ PHẦN BỆNH VIỆN ĐA KHOA QUỐC TẾ VINMEC - BỆNH VIỆN ĐA KHOA QUỐC TẾ VINMEC TIMES CITY"/>
        <s v="BỆNH VIỆN NHIỆT ĐỚI TRUNG ƯƠNG"/>
        <s v="CONG TY CO PHAN BENH VIEN TIM TAM DUC"/>
        <s v="CONG AN THANH PHO DA NANG"/>
        <s v="BENH VIEN 22 – 12"/>
        <s v="NHA THUOC GIANG NAM"/>
        <s v="BENH VIEN DA KHOA THU DUC"/>
        <s v="BENH VIEN HUNG VUONG"/>
        <s v=" VIEN HUYET HOC TRUYEN MAU TRUNG UONG"/>
        <s v="BENH VIEN DA KHOA TINH BAC NINH"/>
        <s v="CONG TY CO PHAN BENH VIEN DA KHOA SAI GON HOI AN"/>
        <s v="BENH VIEN PHONG-DA LIEU TRUNG UONG QUY HOA"/>
        <s v="BENH VIEN SAN -NHI TINH QUANG NGAI"/>
        <s v="BENH VIEN DAI HOC Y DUOC THANH PHO HO CHI MINH (CO SO 1 – NHA THUOC)"/>
        <s v="CONG TY TNHH BENH VIEN HUNG VUONG GIA LAI"/>
        <s v="CONG TY CP DUOC - TBYT DA NANG - DIA DIEM KINH DOANH TRUNG TAM TIEM CHUNG VA DICH VU Y TE NEOVITA "/>
        <s v="KHÁCH LẺ (DUYÊN)"/>
        <s v="BỆNH VIỆN QUÂN ĐỘI 108"/>
        <s v="BENH VIEN DA KHOA KHU VUC CU CHI "/>
        <s v=" TRUNG TAM Y TE QUAN SON TRA"/>
        <s v="Công ty Trung Sơn Alpha Cần Thơ"/>
        <s v="CONG TY CO PHAN DUOC PHAM AN KHANG PHARMA"/>
        <s v="CÔNG TY CỔ PHẦN BỆNH VIỆN ĐA KHOA TÂM ANH"/>
        <s v="BỆNH VIỆN QUỐC TẾ SẢN - NHI HẢI PHÒNG"/>
        <s v="PHONG KHAM CHUYEN KHOA MAT DR. THU HA"/>
        <s v="KHOA DƯỢC BỆNH VIỆN K"/>
        <s v="CÔNG TY TNHH DƯỢC PHẨM MED-PHARMA"/>
        <s v="BENH VIEN TINH NINH THUAN"/>
        <s v=" HO KINH DOANH PHONG TIEM CHUNG VAC XIN PASTEUR-PHONG KHAM NOI"/>
        <s v="CONG TY CO PHAN BENH VIEN DA KHOA CHAU THANH NAM TAN UYEN"/>
        <s v="NHA THUOC TAN THAI BINH"/>
        <s v="KHOA DUOC BENH VIEN QUAN Y 175"/>
        <s v="HO KINH DOANH NHA THUOC MINH KHUE 1"/>
        <s v="KHOA DUOC BENH VIEN NHAN DAN 115"/>
        <s v="CONG TY CO PHAN UPHARMA"/>
        <s v="BENH VIEN NHI DONG THANH PHO "/>
        <s v="BENH VIEN DA KHOA VUNG TAY NGUYEN"/>
        <s v="KHOA DUOC BV BINH DAN  /"/>
        <s v="CÔNG TY CP Y KHOA BS GIA ĐÌNH"/>
        <s v="NHA THUOC THIEN HAU 1"/>
        <s v="TRUNG TAM Y TE HUYEN THOAI SON "/>
        <s v="CONG TY CO PHAN BENH VIEN DA KHOA TAM ANH "/>
        <s v="CONG TY TNHH BENH VIEN MEDIC CA MAU"/>
        <s v="NHA THUOC HA THANH PHARMACY"/>
        <s v="CHI NHANH CONG TY CO PHAN BENH VIEN DA KHOA QUOC TE VINMEC"/>
        <s v="BENH VIEN PHU SAN - NHI DA NANG"/>
        <s v="NHA THUOC THANH TUNG"/>
        <s v="HO KINH DOANH TRUNG TAM TIEM CHUNG TNT NINH HOA"/>
        <s v="CÔNG TY CỔ PHẦN DƯỢC PHẨM THIẾT BỊ Y TẾ HÀ NỘI"/>
        <s v="NHA THUOC HUYEN TRAM"/>
        <s v="CÔNG TY TNHH MEDLATEC VIỆT NAM"/>
        <s v="KHOA DUOC BENH VIEN DA LIEU"/>
        <s v="CONG TY DUOC PHAM TUAN PHUONG"/>
        <s v="TTYT PHONG ĐIỀN"/>
        <s v="TRAM Y TE PHUONG BINH LOI TRUNG"/>
        <s v="BENH VIEN DAI HOC Y HA NOI – KHO 1(QUAY THUOC BENH VIEN)"/>
        <s v="NHA THUOC BENH VIEN HUU NGHI VIET NAM-CUBA"/>
        <s v="BENH VIEN DA KHOA HONG NGOC - PHUC TRUONG MINH"/>
        <s v="BENH VIEN UNG BUOU DA NANG"/>
        <s v="BỆNH VIỆN ĐA KHOA QUỐC TẾ VINMEC ĐÀ NẴNG"/>
        <s v="BENH VIEN DA KHOA BA RIA"/>
        <s v="CONG TY CO PHAN BENH VIEN DA KHOA TAM TRI CAO LANH   "/>
        <s v="BENH VIEN DA KHOA QUOC TE HAI PHONG "/>
        <s v="CONG TY TNHH Y KHOA TAM PHUC BINH DUONG"/>
        <s v="BV QUÂN DÂN Y TRÀ VINH"/>
        <s v="CONG TY CO PHAN BENH VIEN DA KHOA TU NHAN AN SINH"/>
        <s v=" CONG TY TNHH MTV BENH VIEN DAI HOC NAM CAN THO "/>
        <s v="BENH VIEN DA KHOA LAM DONG"/>
        <s v="CÔNG TY CỔ PHẦN DƯỢC PHẨM CHÂN TÂM"/>
        <s v="TRUNG TAM Y TE SON HOA"/>
        <s v="CÔNG TY CỔ PHẦN Y KHOA BÁC SĨ GIA ĐÌNH"/>
        <s v="BENH VIEN DA KHOA PHU YEN"/>
        <s v="BENH VIEN BINH DAN _ NHA THUOC BENH VIEN BINH DAN"/>
        <s v="HO KINH DOANH NHA THUOC TAM ANH "/>
        <s v="TRUNG TAM KIEM SOAT BENH TAT DA NANG"/>
        <s v="NHÀ THUỐC MINH KHANG PHARMACY"/>
        <s v="CHI NHANH CONG TY CO PHAN BENH VIEN DA KHOA TAM ANH TP. HO CHI MINH - KHOA DUOC"/>
        <s v="BENH VIEN DK QUOC TE THU CUC - CN CONG TY CP Y KHOA &amp; THAM MY THU CUC"/>
        <s v="CÔNG TY CỔ PHẦN BÁC SĨ Y KHOA GIA ĐÌNH"/>
        <s v="BENH VIEN DAI HOC Y DUOC THANH PHO HO CHI MINH – CO SO 1 (KHOA DUOC)"/>
        <s v="BENH VIEN HUNG VUONG "/>
        <s v="NHA THUOC THIEN PHUOC"/>
        <s v="HO KINH DOANH NHA THUOC KIM PHUONG   "/>
        <m u="1"/>
        <s v="BV QUỐC TẾ SẢN NHI HẢI PHÒNG" u="1"/>
        <s v="CHAN TAM" u="1"/>
        <s v="NT Dũng Loan " u="1"/>
        <s v="ONG TY CP DUOC - TBYT DA NANG - DIA DIEM KINH DOANH TRUNG TAM TIEM CHUNG VA DICH VU Y TE NEOVITA " u="1"/>
        <s v="BV NHI DONG THANH PHO" u="1"/>
        <s v="BV DK BAC NINH" u="1"/>
        <s v="CONG TY CP DUOC PHAM MEDX( GH CHI NHANH HN)" u="1"/>
        <s v="NHA THUOC BINH DAN" u="1"/>
      </sharedItems>
    </cacheField>
    <cacheField name="Địa chỉ_x000a_address" numFmtId="0">
      <sharedItems containsBlank="1" count="196">
        <s v="DOI LONG THO, P10, TP DA LAT, TINH LAM DONG"/>
        <s v="120 HONG BANG, PHUONG 12, QUAN 5, TP. HO CHI MINH"/>
        <s v="SO 2 DANG TAT, PHUONG TAN DINH, QUAN 1, TP.HCM"/>
        <s v="06 Nguyen Luong Bang Street, Phu My Hung, District 7, Ho Chi Minh City, Vietnam"/>
        <s v="73 NGUYEN HUU THO,PHUONG HOA THUAN TAY,QUAN HAI CHAU,THANH PHO DA NANG VIET NAM"/>
        <s v="SO 399, DUONG NGUYEN DANG, KHOM 10, PHUONG 7, THANH PHO TRA VINH, TINH TRA VINH"/>
        <s v="DUONG TRUONG CHINH, PHUONG PHU TAI, TP PHAN THIET, TINH BINH THUAN"/>
        <s v="6 NGUYEN LUONG BANG, PHUONG TAN PHU,DO THI MOI NAM TP, QUAN 7, TP HCM"/>
        <s v="98/487 DUONG PHAM VAN THUAN, P. TAN MAI, TP. BIEN HOA, TINH DONG NAI"/>
        <s v="238 LE DUAN, P.TRA BA,TP.PLEIKU,TINH GIA LAI"/>
        <s v="1 LY THUONG KIET, PHUONG 7, QUAN TAN BINH, TP. HO CHI MINH"/>
        <s v="THUA DAT SO 2292, TO BAN DO SO 58, DUONG TC3, TO 6, KHU PHO 3, PHUONG MY PHUOC, THANH PHO BEN CAT, TINH BINH DUONG, VIET NAM "/>
        <s v="594 - 596 TRAN QUY CAP, TO DAN PHO 1, PHUONG NINH HIEP, THI XA NINH HOA, TINH KHANH HOA"/>
        <s v="7-9 Đường Số 8, Tân Tạo A, Bình Tân, Hồ Chí Minh"/>
        <s v="LO 2.11H, DUONG SO 6, KHU CONG NGHIEP TRA NOC II, PHUONG PHUOC THOI, QUAN O MON, THANH PHO CAN THO"/>
        <s v="SO 9, PHO VIEN, PHUONG CO NHUE 2, QUAN BAC TU LIEM , HA NOI "/>
        <s v="170 Đ. LA THÀNH, CHỢ DỪA, ĐỐNG ĐA, HÀ NỘI"/>
        <s v="THON 1, RO MEN, HUYEN DAM RONG, TINH LAM DONG"/>
        <s v="543 TRAN QUY CAP TDP 2, PHUONG NINH HIEP, THI XA NINH HOA, TINH KHANH HOA"/>
        <s v="SO 40 NGU CAU 1, AN THUONG, HOAI DUC, HA NOI"/>
        <s v=" 786 NGUYEN KIEM, PHUONG 3, QUAN GO VAP, THANH PHO HO CHI MINH"/>
        <s v="SO 68E – DUONG PHAM HUNG – TO 69 – KHOM 2 – PHUONG 9 – TP VINH LONG – TINH VINH LONG"/>
        <s v="314 NGUYEN TRAI, PHUONG 7, QUAN 5, THANH PHO HO CHI MINH"/>
        <s v="KHOM 3, PHUONG 1, THI XA DUYEN HAI, TINH TRA VINH"/>
        <s v="73 Nguyễn Hữu Thọ, Đà Nẵng"/>
        <s v=" Lô C2-7, đường 15, khu công nghiệp Hoà Cầm, P. Hoà Thọ Tây, Q. Cẩm Lệ, TP Đà Nẵng"/>
        <s v="167B LE VAN LUONG, AP 5, XA PHUOC KIEN, HUYEN NHA BE, THANH PHO HO CHI MINH"/>
        <s v="SO 1 PHO TON THAT TUNG, PHUONG KIM LIEN, QUAN DONG DA, THANH PHO HA NOI"/>
        <s v="371 DIEN BIEN PHU,QUAN 3"/>
        <s v="Số 9 Phố Viên, Cổ Nhuế 2, Bắc Từ Liêm, HN"/>
        <s v=" 1 LY THUONG KIET, PHUONG 7, QUAN TAN BINH, TP. HO CHI MINH"/>
        <s v="TO DAN PHO 4, THI TRAN QUANG MINH, HUYEN ME LINH, HA NOI"/>
        <s v="2B PHO QUANG, PHUONG 2, QUAN TAN BINH, TP. HO CHI MINH, VIET NAM"/>
        <s v="LO L-1, DUONG N2, KCN HUU THANH, XA HUU THANH, HUYEN DUC HOA, TINH LONG AN"/>
        <s v="TANG 1, SO 18 L1-5 VSIP II,DUONG SO 3, KCN VIET NAM-SINGAPORE II,HOA PHU, TP THU DAU MOT, BINH DUONG"/>
        <s v="7B/31 THANH THAI, PHUONG 14, QUAN 10, THANH PHO HO CHI MINH"/>
        <s v="123 HAI THUONG LAN ONG, KHOM THUONG 2, PHU MY, PHU TAN, AN GIANG"/>
        <s v="42A NGUYEN TRAI, PHUONG 11, QUAN 5, TP. HO CHI MINH"/>
        <s v="SỐ 243 ĐƯỜNG LÊ TRUNG ĐỊNH, TỔ 6, PHƯỜNG TRẦN HƯNG ĐẠO, TP.QUẢNG NGÃI, T. QUẢNG NGÃI"/>
        <s v="SO 12 DUONG 400, KHU PHO 3, PHUONG TAN PHU, THANH PHO THU DUC, TP. HO CHI MINH"/>
        <s v="371 DUONG TRAN PHU, PHUONG CAM THANH, TP. CAM PHA, TINH QUANG NINH"/>
        <s v="248 NO TRANG LONG, P12, Q BINH THANH, TP. HO CHI MINH"/>
        <s v="13 THUAN KIEU, PHUONG 12, QUAN 5"/>
        <s v="SỐ 21 ĐƯỜNG D1 KHU CHẾ XUẤT TÂN THUẬN - Q.7- TP. HCM"/>
        <s v="5 P. PHẠM VĂN BẠCH, YÊN HOÀ, CẦU GIẤY, HÀ NỘI"/>
        <s v="SO 30 CAU BUOU, TAN TRIEU, THANH TRI, HA NOI"/>
        <s v="SO NHA 34, PHO DAI CO VIET, PHUONG LE DAI HANH, QUAN HAI BA TRUNG, THANH PHO HA NOI"/>
        <s v="THON LA THO, XA DIEN HOA, THI XA DIEN BAN, TINH QUANG NAM"/>
        <s v="60-60A PHAN XICH LONG, PHUONG 1, QUAN PHU NHUAN, TP.HO CHI MINH"/>
        <s v="52 DUONG MAC DINH CHI, KHOM 1, PHUONG 1, THANH PHO SOC TRANG, TINH SOC TRANG"/>
        <s v="115 TRAN HUNG DAO, PHUONG CAM PHO, THANH PHO HOI AN, TINH QUANG NAM"/>
        <s v="NGUYEN LUONG BANG, PHUONG TAN PHU,DO THI MOI NAM TP, QUAN 7, TP HCM"/>
        <s v="14 LY TU TRONG - PHUONG BEN NGHE - QUAN 1 – TP. HO CHI MINH"/>
        <s v=" 28 DIEN BIEN PHU, KHOM 3, PHUONG 2, THANH PHO TRA VINH, TINH TRA VINH"/>
        <s v=" LO SO CN20-1A, SO 93 DUONG HUU NGHI, KHU CONG NGHIEP, DO THI VA DICH VU VSIP BAC NINH, XA DAI DONG, HA NOI"/>
        <s v="SO 1 NGUYEN HUY TUONG – THANH XUAN – HA NOI"/>
        <s v="SO 255 DUONG TRUONG CHINH, PHUONG KHUONG MAI, QUAN THANH XUAN, THANH PHO HA NOI"/>
        <s v="248 BS YERSIN, TO 10, KHU PHO 2, PHUONG HIEP THANH, THANH PHO THU DAU MOT, TINH BINH DUONG "/>
        <s v="C1A, KHU PHO 7, PHUONG BINH DA (KHU PHO 3, PHUONG TAM HOA CU ),THANH PHO BIEN HOA, TINH DONG NAI"/>
        <s v="14A TAN THOI NHAT 8, PHUONG TAN THOI NHAT, QUAN 12, THANH PHO HO CHI MINH"/>
        <s v="TANG 2, SO 16 NGO 773 DUONG GIAI PHONG, PHUONG GIAP BAT, QUAN HOANG MAI, THANH PHO HA NOI"/>
        <s v="QUOC LO 91, KHU VUC PHUNG THANH 1, P.THOT NOT, Q.THOT NOT, TP.CAN THO"/>
        <s v="SO 263 TRAN QUOC TOAN, PHUONG B’LAO, TP. BAO LOC, TINH LAM DONG"/>
        <s v="10 LY THUONG KIET, KHOM 7, PHUONG 6, TP CA MAU, TINH CA MAU"/>
        <s v="64 HAI BA TRUNG, PHUONG LE HONG PHONG, TP THAI BINH, THAI BINH"/>
        <s v="CONG TY TNHH BENH VIEN DA KHOA PHUONG CHI / ĐC: THUA DAT SO 172.TO BAN DO DHC 20-6,DUONG DX76,KHU PHO 2, PHUONG DINH HOA, THANH PHO THU DAU MOT, TINH BINH DUONG"/>
        <s v="SO 55, NGO 54 NGUYEN CHI THANH ( PHONG 1, TANG 1 : MUON MB) P. LANG THUONG, Q. DONG DA, TP HA NOI"/>
        <s v="SO 6, DUONG BAC NAM 3, PHUONG BINH TRUNG, THANH PHO HO CHI MINH, VIET NAM"/>
        <s v="TO 1, AP LONG THANH B, PHUONG LONG THANH, THI XA TAN CHAU, TINH AN GIANG"/>
        <s v=" THUA DAT SO 1403, TO BAN DO SO 7, THI TRAN MY THO, HUYEN CAO LANH, TINH DONG THAP"/>
        <s v=" 13 NAM KY KHOI NGHIA, PHUONG AN HOA, THANH PHO RACH GIA, TINH KIEN GIANG"/>
        <s v="1212 LE DUC THO, PHUONG 13, QUAN GO VAP, THANH PHO HO CHI MINH"/>
        <s v="42 DUONG SO 1B, PHUONG BINH TRI DONG B, QUAN BINH TAN, THANH PHO HO CHI MINH"/>
        <s v=" 04 NUI THANH, PHUONG 13, QUAN TAN BINH, TP HO CHI MINH"/>
        <s v="266 LÝ THƯỜNG KIỆT, PHƯỜNG DIÊN HỒNG, THÀNH PHỐ HỒ CHÍ MINH"/>
        <s v="42A THANH NHÀN, PHƯỜNG BẠCH MAI, THÀNH PHỐ HÀ NỘI"/>
        <s v="TO 11, AP 4, XA LAM SAN, HUYEN CAM MY, TINH DONG NAI"/>
        <s v="QUAY 441 HAPU – SO 1 NGUYEN HUY TUONG – THANH XUAN – HA NOI"/>
        <s v="527 SƯ VẠN HẠNH, PHƯỜNG HÒA HƯNG, THÀNH PHỐ HỒ CHÍ MINH, VIỆT NAM"/>
        <s v="THON 5, XA PHU CAT, HUYEN QUOC OAI, THANH PHO HA NOI"/>
        <s v="QUAY 320, TANG 3, TOA NHA 24T1, SO 1 NGUYEN HUY TUONG"/>
        <s v="179-187 NAM KY KHOI NGHIA, PHUONG VO THI SAU, QUAN 3, TP. HO CHI MINH"/>
        <s v="SO 106 NGUYEN HUE, PHUONG TRAN PHU, THANH PHO QUY NHON, TINH BINH DINH, VIET NAM"/>
        <s v="8/54/131 TRAN PHU, PHUONG PHUOC VINH, QUAN THUAN HOA, THANH PHO HUE"/>
        <s v="SO 1 PHO PHUONG MAI, PHUONG KIM LIEN, THANH PHO HA NOI"/>
        <s v="541/21 SU VAN HANH, PHUONG 13, QUAN TAN BINH, TP. HO CHI MINH"/>
        <s v="12 CHU VAN AN, PHƯỜNG BA ĐÌNH, THÀNH PHỐ HÀ NỘI"/>
        <s v="252 QUOC LO 62, KHU PHO 3, PHUONG 1, THI XA KIEN TUONG, TINH LONG AN, VIET NAM"/>
        <s v="TL 854, ẤP TÂN LẬP, XÃ TÂN NHUẬN ĐÔNG, ĐỒNG THÁP"/>
        <s v="198 HOANG VAN THU, PHUONG 9, QUAN PHU NHUAN, THANH PHO HO CHI MINH"/>
        <s v="SO 315 DUONG NGUYEN VAN LINH, P. AN KHANH, Q. NINH KIEU, TP. CAN THO"/>
        <s v="THON THUONG BI, XA YET KIEU, HUYEN GIA LOC, TINH HAI DUONG"/>
        <s v="ĐC: SO 55, NGO 54 NGUYEN CHI THANH ( PHONG 1, TANG 1 : MUON MB) P. LANG THUONG, Q. DONG DA, TP HA NOI"/>
        <s v="Đường Hoàng Thị Loan, phường Hoà Khánh, TP Đà Nẵng"/>
        <s v="SO 02, DUONG LE QUOC HUNG, PHUONG 13, QUAN 4, THANH PHO HO CHI MINH"/>
        <s v="8 CHAU VAN LIEM, PHUONG PHU DO, QUAN NAM TU LIEM, THANH PHO HA NOI, VIET NAM"/>
        <s v="ĐC: SN 211, DUONG DINH TIEN HOANG, PHO 9, PHUONG DONG THANH, THANH PHO NINH BINH, TINH NINH BINH"/>
        <s v="829 - 829A - 831 - 833 DUONG 3/2, PHUONG 7, QUAN 11, THANH PHO HO CHI MINH, VIET NAM"/>
        <s v="KHU PHO HOA LAN, PHUONG THUAN GIAO, THANH PHO THUAN AN, TINH BINH DUONG"/>
        <s v="67 NGUYEN THAI HOC, PHUONG 3, TP TUY HOA, TINH PHU YEN"/>
        <s v="31 THUAN KIEU, PHUONG 12, QUAN 5, THANH PHO HO CHI MINH"/>
        <s v=" 10 DUONG TAN THOI NHAT 08, KHU PHO 5, PHUONG TAN THOI NHAT, QUAN 12, THANH PHO HO CHI MINH"/>
        <s v=" SO 316, QUOC LO 1A,TO 22, AP LONG HUNG, XA PHUOC THANH, THANH PHO MY THO, TINH TIEN GIANG"/>
        <s v="SỐ 04 ĐƯỜNG CHÂU VĂN LIÊM,PHƯỜNG NINH KIỀU,TP CẦN THƠ"/>
        <s v="48 PHAN CHU TRINH, PHUONG THANH CONG, THANH PHO BUON MA THUOT, TINH DAK LAK "/>
        <s v="10 DUONG TAN THOI NHAT 08, KHU PHO 5, PHUONG TAN THOI NHAT, QUAN 12, THANH PHO HO CHI MINH"/>
        <s v="1 NGUYEN HUY TUONG - THANH XUAN - HN"/>
        <s v="LO B9 THANH THAI, P15, QUAN 10, TPHCM"/>
        <s v="SO 17 TT6A KHU DO THI TAY NAM HO LINH DAM, PHUONG HOANG LIET, QUAN HOANG MAI, THANH PHO HA NOI"/>
        <s v="397, NGUYEN VAN CU, PHUONG AN BINH, QUAN NINH KIEU, THANH PHO CAN THO, VIET NAM"/>
        <s v="SO 02, DUONG DONG KHOI, PHUONG BINH DA, THANH PHO BIEN HOA, TINH DONG NAI"/>
        <s v="8 LÊ LỢI, PHƯỜNG NAM ĐÔNG HÀ, TỈNH QUẢNG TRỊ, VIỆT NAM"/>
        <s v=" F99 VO THI SAU, F.THONG NHAT, TP.BIEN HOA, TINH DONG NAI"/>
        <s v="SO 458 MINH KHAI, PHUONG VINH TUY, QUAN HAI BA TRUNG, THANH PHO HA NOI"/>
        <s v="THON BAU, XA KIM CHUNG, HUYEN DONG ANH, THANH PHO HA NOI"/>
        <s v="108 HOANG NHU TIEP, PHUONG BO DE, QUAN LONG BIEN, THANH PHO HA NOI"/>
        <s v="04 NGUYEN LUONG BANG, PHUONG TAN PHU, QUAN 7, TP HO CHI MINH ( LAU 1 )"/>
        <s v="22 PHAN LANG 8, PHUONG AN KHE, QUAN THANH KHE, THANH PHO DA NANG"/>
        <s v="34/4 NGUYEN THIEN THUAT, PHUONG TAN TIEN, THANH PHO NHA TRANG, TINH KHANH HOA"/>
        <s v="14A-16 TRAN PHU, PHUONG VINH THANH, THANH PHO RACH GIA, TINH KIEN GIANG"/>
        <s v="29 PHU CHAU, PHUONG TAM BINH, THANH PHO HO CHI MINH"/>
        <s v="128 HONG BANG, PHUONG 12, QUAN 5, THANH PHO HO CHI MINH"/>
        <s v=" PHUONG YEN HOA, QUAN CAU GIAY, HA NOI"/>
        <s v="DUONG NGUYEN QUYEN, PHUONG VO CUONG, THANH PHO BAC NINH, TINH BAC NINH"/>
        <s v="6 PHAN DINH PHUNG, PHUONG HOI AN TAY, THANH PHO DA NANG"/>
        <s v="PHUONG GHENH RANG, THANH PHO QUY NHON, TINH BINH DINH"/>
        <s v="184 HUNG VUONG, P. TRAN PHU, TP QUANG NGAI, TINH QUANG NGAI"/>
        <s v="_x0009__x000a_215 HONG BANG, PHUONG 11, QUAN 5, TPHCM"/>
        <s v="236A LE DUAN, PHUONG TRA BA, THANH PHO PLEIKU, TINH GIA LAI, VIET NAM"/>
        <s v="2 Phan Đình Phùng, Phường Hải Châu, TP Đà Nẵng"/>
        <s v="NA"/>
        <s v="SO 1 TRAN HUNG DAO, QUAN HAI BA TRUNG, THANH PHO HA NOI"/>
        <s v="9A NGUYEN VAN HOAI, AP BAU TRE 2, XA TAN AN HOI, HUYEN CU CHI, TP. HO CHI MINH"/>
        <s v="1118 NGO QUYEN, PHUONG AN HAI, THANH PHO DA NANG"/>
        <s v="TANG 4 TOA NHA TRUNG SON, 12 MAI CHI THO, KDC 586, PHUONG PHU THU, QUAN CAI RANG, THANH PHO CAN THO"/>
        <s v="124 NGUYEN DUC CANH, PHUONG CAT DAI, QUẠN LE CHAN, THANH PHO HAI PHONG"/>
        <s v="SO 80 NGUYEN BAC, XA TU HIEP, HUYEN THANH TRI, THANH PHO HA NOI"/>
        <s v="SO 30, CAU BUOU, TAN TRIEU, THANH TRI, HA NOI"/>
        <s v="TANG M, TÒA 278 PHO THUY KHUE, PHUONG THUY KHUE, QUAN TAY HO, THANH PHO HA NOI"/>
        <s v=" DUONG NGUYEN VAN CU, PHUONG VAN HAI, TP PHAN RANG-THAP CHAM, TINH NINH THUAN"/>
        <s v="170 XO VIET NGHE TINH, PHUONG THANH CONG, THANH PHO BUON MA THUOT, TINH DAK LAKTHANH PHO BUON MA THUOT"/>
        <s v="68 DUONG DT 746, KP TAN BINH, PHUONG TAN HIEP, THANH PHO TAN UYEN, TINH BINH DUONG, VIET NAM"/>
        <s v="18 NO TRANG LONG, PHUONG TAN TIEN, TP BUON ME THUOT, TINH DAKLAK"/>
        <s v="786 NGUYEN KIEM, PHUONG 3, QUAN GO VAP, THANH PHO HO CHI MINH"/>
        <s v="SO 360A, DUONG HOANG QUOC VIET, PHUONG VU NINH, TINH BAC NINH"/>
        <s v="527 SU VAN HANH, P12, QUAN 10, TPHCM"/>
        <s v=" TOA NHA VINH QUANG GROUP, LO DX, KDT TAY NAM HO LINH DAM, PHUONG HOANG LIET, QUAN HOANG MAI, THANH PHO HA_x000a_NOI"/>
        <s v="SO 15 DUONG VO TRAN CHI, XA TAN KIEN, HUYEN BINH CHANH, TP.HCM"/>
        <s v="SO 184 TRAN QUY CAP, PHUONG TU AN, THANH PHO BUON MA THUOT, TINH DAK LAK"/>
        <s v=" 371 DIEN BIEN PHU,QUAN 3"/>
        <s v="73 Nguyễn Hữu Thọ, Phường Hoà Cường, TP Đà Nẵng"/>
        <s v="SO 236 HOA BINH, PHUONG HIEP TAN, QUAN TAN PHU, THÀNH PHỐ HỒ CHÍ MINH"/>
        <s v="130 TAY HOA, PHUONG PHUOC LONG A, QUAN 9, TP HCM"/>
        <s v="AP TRUNG BINH, XA THOAI GIANG, HUYEN THOAI SON, TINH AN GIANG"/>
        <s v="320 TRAN HUNG DAO, KHOM 2, PHUONG TAN THANH, THANH PHO CA MAU, TINH CA MAU"/>
        <s v="882 DUONG TRAN HUNG DAO, PHUONG DONG DA, THANH PHO QUY NHON, TINH BINH DINH"/>
        <s v="720A DIEN BIEN PHU, PHUONG 22, QUAN BINH THANH, THANH PHO HO CHI MINH, VIET NAM"/>
        <s v="TANG 3, SO 164 PHAN VAN TRI, PHUONG 12, QUAN BINH THANH, TP HO CHI MINH"/>
        <s v=" Số 402 đường Lê Văn Hiến, Phường Ngũ Hành Sơn, Thành phố Đà Nẵng"/>
        <s v="TO DAN PHO TRUNG CHINH, PHUONG HAI HOA, THI XA NGHI SON, TINH THANH HOA"/>
        <s v="43 TRAN QUY CAP TDP 2, PHUONG NINH HIEP, THI XA NINH HOA, TINH KHANH HOA"/>
        <s v="SỐ 2, PHỐ HÀNG BÀI, PHƯỜNG CỬA NAM, THÀNH PHỐ HÀ NỘI"/>
        <s v="59 DUONG B6, TO 13, PHUONG NAM CUONG, TP. LAO CAI"/>
        <s v="SỐ 42 ‑ 44, PHỐ NGHĨA DŨNG, PHƯỜNG HỒNG HÀ, THÀNH PHỐ HÀ NỘI, VIỆT NAM"/>
        <s v="02 NGUYEN THONG, PHUONG VO THI SAU, QUAN 3, THANH PHO HO CHI MINH, VIET NAM"/>
        <s v="KIOT D3-D4- 134/1 TO HIEN THANH- P. 15"/>
        <s v="23 ĐẶNG VĂN HÒA, PHƯỜNG PHONG ĐIỀN, THÀNH PHỐ HUẾ"/>
        <s v="99/6 NO TRANG LONG, PHUONG 11, QUAN BINH THANH, THANH PHO HO CHI MINH"/>
        <s v="SO 1 PHO TON THAT TUNG, PHUONG TRUNG TU, QUAN DONG DA, THANH PHO HA NOI"/>
        <s v="SO 37 , PHO HAI BA TRUNG, PHUONG TRANG TIEN, QUAN HOAN KIEM, THANH PHO HA NOI"/>
        <s v="DUONG HOANG THI LOAN, TO 28, PHUONG HOA MINH, QUAN LIEN CHIEU, THANH PHO DA NANG, VIET NAM."/>
        <s v="ĐƯỜNG 30 THÁNG 4, KHU DÂN CƯ SỐ 4 NGUYỄN TRI PHƯƠNG, PHƯỜNG HÒA CƯỜNG, THÀNH PHỐ ĐÀ NẴNG, VIỆT NAM"/>
        <s v="686 DUONG VO VAN KIET, PHUONG LONG TAM, THANH PHO BA RIA, TINH BA RIA VUNG TAU"/>
        <s v="SO 1, DUONG LE THI RIENG, PHUONG 1, THANH PHO CAO LANH, TINH DONG THAP, VIET NAM"/>
        <s v="SO 124 DUONG NGUYEN DUC CANH, PHUONG AN BIEN, QUAN LE CHAN, THANH PHO HAI PHONG, VIET NAM"/>
        <s v="THUA DAT SO 44, TO BAN DO SO 27, TO 1, KHU PHO LONG BINH, PHUONG KHANH BINH, THANH PHO TAN UYEN, TIN"/>
        <s v="219 NGUYEN THI MINH KHAI, NGUYET HOA,VINH LONG"/>
        <s v=" 10 TRAN HUY LIEU, PHUONG 11, QUAN PHU NHUAN, TP. HO CHI MINH"/>
        <s v="168, DUONG SONG HANH QUOC LO 1A, KHU DAN CU HONG LOAN, PHUONG HUNG THANH, QUAN CAI RANG, TP. CAN THO"/>
        <s v="01 PHAM NGOC THACH, PHUONG 6, TP DA LAT, TINH LAM DONG"/>
        <s v="U1A BẠCH MÃ, PHƯỜNG HÒA HƯNG, THÀNH PHỐ HỒ CHÍ MINH"/>
        <s v="67 NGUYEN CHI THANH, TT CUNG SON, SON HOA, PHU YEN"/>
        <s v="73 NGUYỄN HỮU THỌ, PHƯỜNG HÒA THUẬN TÂY, QUẬN HẢI CHÂU, THÀNH PHỐ ĐÀ NẴNG, VIỆT NAM"/>
        <s v="15 NGUYEN HUU THO, PHUONG 9, TP. TUY HOA, TINH PHU YEN"/>
        <s v="371 DIEN BIEN PHU, P4, QUAN 3, TP HCM"/>
        <s v="LO 1.03 AN BINH PLAZA, SO 97 PHO TRAN BINH, PHUONG MY DINH 2, QUAN NAM TU LIEM, THANH PHO HA NOI"/>
        <s v="118 LE DINH LY, PPHUONG THANH KHE, TP DA NANG"/>
        <s v="TẦNG 3, SỐ 164 PHAN VĂN TRỊ, PHƯỜNG BÌNH THẠNH, THÀNH PHỐ HCM"/>
        <s v="KIOT SO 01, 21/17 DUONG LE THI TRUNG, KHU PHO BINH PHUOC A, PHUONG BINH CHUAN, THANH PHO THUAN AN, TINH BINH DUONG"/>
        <s v="286,288,290,292,294 THUY KHUE, PHUONG BUOI, QUAN TAY HO, THANH PHO HA NOI"/>
        <s v="04 NUI THANH, PHUONG 13, QUAN TAN BINH, TP HO CHI MINH"/>
        <s v="215 HONG BANG, PHUONG 11, QUAN 5, TPHCM"/>
        <s v="SO 29 THUAN KIEU, PHUONG 12, QUAN 5, TP.HCM"/>
        <s v="SO 147, KHU PHO PHU TRUONG, THI TRAN PHU LONG, HUYEN HAM THUAN BAC, TINH BINH THUAN"/>
        <m u="1"/>
        <s v="CE005346 - CONG TY TNHH BENH VIEN DA KHOA PHUONG CHI / ĐC: THUA DAT SO 172.TO BAN DO DHC 20-6,DUONG DX76,KHU PHO 2, PHUONG DINH HOA, THANH PHO THU DAU MOT, TINH BINH DUONG" u="1"/>
      </sharedItems>
    </cacheField>
    <cacheField name="Tên sản phẩm_x000a_Product name" numFmtId="0">
      <sharedItems containsBlank="1" count="163">
        <s v="TOUJEO SOLOSTAR 450IU B/5 PENS X 1.5ML"/>
        <s v="BEPRASAN 20MG (H/VI/ 10V)"/>
        <s v="DOLUTEGRAVIR, LAMIVUDINE AND TENOFOVIR DISOPROXIL FUMARATE TABLETS 50/300/300MG (HOP/1 LO 30 VIEN)"/>
        <s v="LOVENOX 40MG/0.4ML INJ. B/ 2 SYRINGES VN"/>
        <s v="CALCIUM CORBIERE EXTRA 3SUPX10 10ML VN"/>
        <s v="LANTUS SOLOSTAR 100IU/ML B/5 PENS X 3ML_x000a_"/>
        <s v="MIRGY 100MG CAPS 10'S"/>
        <s v="VERORAB BOX OF 10 VIALS + 10 SYRINGES"/>
        <s v="TEGRUCIL-1 (HOP/100VIEN) - EU"/>
        <s v="VAXIGRIP TETRA BOX OF 1 SYR 0.5ML"/>
        <s v=" VERORAB 0.5ML 10D INJ VL10+P10 M36 H VN"/>
        <s v="IMOJEV 0.5ML 1DOSE"/>
        <s v="OSPAMOX 500MG TAB 10'S"/>
        <s v=" PODOXRED 500MG (H/1 LO)"/>
        <s v="Depakine 200mg TABEC TB40 – SPAIN"/>
        <s v="NO-SPA 40MG/2ML INJ AM25 VN"/>
        <s v="RINOFIL SYRUP 2.5MG/5ML BT 15ML B/1"/>
        <s v="DEPAKINE CHRONO 500MG TUBE OF 30 TABS VN"/>
        <s v="CODODAMED 75MG (HOP/ 56 VIEN)"/>
        <s v="ZOLADEX 3.6 MG DEPOT 1'S"/>
        <s v="HEXAXIM BOX OF 1 PRE-FILLED SYRINGE  + 2 NEEDLES"/>
        <s v="INSUNOVA -G PEN (HOP/1 BUT TIEM NAP SAN 3ML DUNG DICH THUOC )"/>
        <s v="DAVYCA 75MG (HOP/28VIEN) - EU"/>
        <s v="ALUMINIUM PHOSPHAT GEL"/>
        <s v="AVAXIM 80 U PEDIATRIC BOX OF 1 SYRINGE 0.5ML"/>
        <s v="Redditux 500"/>
        <s v="Vitamin D3 Ocean Health"/>
        <s v="INSUNOVA 30/70 (BIPHASIC) (HOP/1 LO 10ML)"/>
        <s v="FEROGLOBIN B12 CAPSULES (H/30 VIEN)"/>
        <s v="CORDARONE 200mg"/>
        <s v="ATASART H TAB 28'S"/>
        <s v="ALUMINIUM PHOSPHAT GEL (HOP/20GOI)"/>
        <s v="ANDROGEL GEL 50MG 30'S"/>
        <s v="DOLUTEGAVIR, LAMIVUDINE ,TENOFOVIR 50/300/300mg"/>
        <s v="Nixki"/>
        <s v="ZOLADEX 10.8 MG DEPOT 1'S"/>
        <s v="TAGRISSO PA TAB 80MG BL 3X10 EA VN"/>
        <s v="FORLAX 10G 20SACH VN"/>
        <s v="TYPHIM VI 25MCG"/>
        <s v="AVAXIM 80U PEDIATRIC"/>
        <s v="VERORAB 0.5ML"/>
        <s v="TAVANIC 500MG"/>
        <s v="EASYEF HOP/1 BO 10ML (BOM TIEM CHUA 1ML DUNG DICH THUOC + LO CHUA 9ML DUNG MOI)"/>
        <s v="STERIMAR BLOCKED NOSE BABY 50 ML"/>
        <s v="Winduza"/>
        <s v="ZOLADEX 3.6 MG DEPOT 1'S "/>
        <s v="TETRAXIM"/>
        <s v="VERORAB 0.5ML 10D INJ VL10+P10 M36 H VN"/>
        <s v="TYPHIM Vi"/>
        <s v="PAXUS PM (HOP/1 LO)"/>
        <s v="PHOSPHALUGEL 12.38G/20G ORGEL SC26 VN"/>
        <s v="OSPAMOX 500MG TAB 10'S (NQ)"/>
        <s v="DAU GOI CHONG GAU (SELSUN ANTI-DANDRUFF SHAMPOO WITH SELENIUM SULFIDE) 50ML "/>
        <s v="DEPAKINE SOLUTION 200MG BTLX40ML VN"/>
        <s v="FORTRANS 4SACH VN"/>
        <s v=" MILGAMMA N INJ 2ML 5'S"/>
        <s v="DEPAKINE CHRONO 500MG TUBE OF 30 TABS VN, DEPAKINE 200MG TABEC TB40 và DEPAKINE SOLUTION 200MG BTLX40ML VN"/>
        <s v="FORTRAGET"/>
        <s v="THUOC NHO MAT (V.ROHTO VITAMIN) 13 ML"/>
        <s v="THUOC NHO MAT (NEW V-ROHTO) 13ML"/>
        <s v="MAGRAX (HOP/100VIEN) - EU"/>
        <s v="NIXKI-20 (HOP/100VIEN) - EU"/>
        <s v="STERIMAR NOSE HYGIENE BABY 50 ML"/>
        <s v="HEXAXIM BOX OF 1 PRE-FILLED SYRINGE  + 2 NEEDLES"/>
        <s v="TYPHIM VI BOX OF 1 SYRINGE 0.5ML"/>
        <s v="ALFA – LIPOGAMMA 600 ORAL BOX/30'S"/>
        <s v="INSUNOVA -G PEN (HOP/1 BUT TIEM NAP SAN 3ML DUNG DICH THUOC )_x000a_"/>
        <s v="VAXIGRIP TETRA 0.5ML 1D INJ PS1 M12 (SH)"/>
        <s v="ZOLADEX 3.6 MG DEPOT 1'S - UNITED KINGDOM"/>
        <s v="Dầu gội chống gàu selsun 1% rohto"/>
        <s v="OSTEOCARE (H/30 VIEN) "/>
        <s v="TAVANIC 500MG TABCO BL5 M36 VN"/>
        <s v="OSPAMOX 500MG"/>
        <s v="COFIDEC TAB 20.S"/>
        <s v="T3 ACNE BODY WASH 200ML"/>
        <s v="ALVORI 200MG (HOP/3 VI X 10 VIEN)"/>
        <s v="FORTRAGET INHALER 200MCG+6MCG"/>
        <s v="PANFOR SR-750 750MG"/>
        <s v="ALENTA 10MG TAB 10'S"/>
        <s v="CALCIUM CORBIERE EXTRA"/>
        <s v=" TOUJEO SOLOSTAR 450IU B/5 PENS X 1.5ML"/>
        <s v="SILYGAMMA"/>
        <s v="DAU GOI NGAN RUNG TOC (50 MEGUMI HAIR FALL CONTROL SHAMPOO) 250ML"/>
        <s v="STERIMAR BLOCKED NOSE BABY 50 ML"/>
        <s v="ABIRATRED 250MG 120'S"/>
        <s v="ACEMUC KIDS 200MG 1G_SC30_VN"/>
        <s v=" SILYGAMMA 150MG 100'S"/>
        <s v="EASYEF 0.005% DAEWOONG 10ML"/>
        <s v="STAMLO-T (HOP/ 28 VIEN)"/>
        <s v="PIASCLEDINE TAB 15'S"/>
        <s v=" (HOP 60 GOI) DAU GOI CHONG GAU (SELSUN ANTI-DANDRUFF SHAMPOO WITH SELENIUM SULFIDE ) GOI 5ML"/>
        <s v="SOLIQUA 300IU/+ INJ SOLO3 PEA M24 XC"/>
        <s v="SAN PHAM XUA MUOI REMOS SA CHANH 150ML"/>
        <s v="OZZY-40 (HOP/30 VIEN) - EU"/>
        <s v="TANAKAN 40MG 30TABS VN"/>
        <s v="HEXAXIM"/>
        <s v="TYPHIM"/>
        <s v="PERGLIM M-2 (HOP/5 VI X 20 VIEN)"/>
        <s v="DOLUTEGRAVIR, LAMIVUDINE AND TENOFOVIR DISOPROXIL FUMARATE T ABLETS 50/300/300MG (HOP/1 LO 30 VIEN)"/>
        <s v=" _x000a_MENQUADFI 0.5ML 1D INJSU VL1 VN"/>
        <s v="MENACTRA BOX OF 1 VIAL"/>
        <s v="STERIMAR BLOCKED NOSE BABY 50ML"/>
        <s v="MAGNE B6 CORBIERE BL5X10 VN"/>
        <s v="ENTEROGERMINA,4BCFU/5ML,SP,BT20,VN"/>
        <s v="DAPTOMRED"/>
        <s v="SILYGAMMA 150MG"/>
        <s v="STAMLO-T 80/5MG (HOP/28 VIEN)"/>
        <s v="STAMLO 5"/>
        <s v="WINDUZA (H/1 LO)"/>
        <s v="REDDITUX 100MG (H/1LO X 10ML)"/>
        <s v=" FORLAX 10G 20SACH VN"/>
        <s v="BEYFORTUS"/>
        <s v="VERORAB"/>
        <s v="CORBIERE CALCIUM PLUS 3SUPx10 10ML_VN"/>
        <s v="TEMOTERO 20 (HOP/ 5 VIEN)"/>
        <s v="Zhekof"/>
        <s v="SILYGAMMA 150MG 100'S"/>
        <s v="SAN PHAM XUA MUOI REMOS SA CHANH 70ML"/>
        <s v="LIPOSIC EYE GEL 0.2%"/>
        <s v="ZOLADEX INJ 3.6MG SS 1X1 EA VN"/>
        <s v="Lantus Solostar"/>
        <s v="GETZGLIM 4MG TAB 20'S"/>
        <s v="STERIMAR NOSE HYGIENE BABY 50ML"/>
        <s v="LOVENOX 40MG/0.4ML INJ. B/ 2 SYRINGES VN "/>
        <s v="CISPLATIN INJECTION 50MG/50ML"/>
        <s v="ZOLADEX INJ 10.8 MG SS 1X1 EA VN"/>
        <s v="HEXAXIM BOX OF 1 PRE-FILLED SYRINGE + 2 NEEDLES"/>
        <s v="FLEMING 625MG B/100"/>
        <s v="DEPAKINE 200MG TABEC TB40"/>
        <s v="THUC PHAM BAO VE SUC KHOE OCEAN HEALTH VITAMIN D3 1000IU"/>
        <s v="NEXIUM MUPS TAB 40MG BL 2X7 EA VN"/>
        <s v="_x0009_THUOC NHO MAT (V.ROHTO VITAMIN) 13 ML"/>
        <s v="(HOP 60 GOI) DAU GOI CHONG GAU (SELSUN ANTI-DANDRUFF SHAMPOO WITH SELENIUM SULFIDE ) GOI 5ML"/>
        <s v="PANFOR SR-500 (HOP/5 VI X 20 VIEN)"/>
        <s v="PANFOR SR-750 (HOP/10 VI X 10 VIEN)"/>
        <s v="PANFOR SR-1000 (HOP/5 VI X 20 VIEN)"/>
        <s v="C SCAPE+ SERUM 30ML"/>
        <s v="APROVEL 300MG TAB B/ 2BLS X 14 VN"/>
        <s v="STERIMAR SENSITIVE NOSE 50 ML"/>
        <s v="XENETIX 300 (HOP/10 LO x 100ML)"/>
        <s v="IRITERO 40MG/2ML (HOP/1 LO)"/>
        <s v="RYZONAL (HOP/60VIEN)"/>
        <s v="_x0009__x000a_TYPHIM VI BOX OF 1 SYRINGE 0.5ML"/>
        <s v="TETRAXIM 0.5ML 1D INJ PS1 M36 VN"/>
        <s v="APTAMIL PROFUTURA CESARBIOTIK 1 INFANT FORMULA 380G"/>
        <s v="LANTUS SOLOSTAR 100IU/ML B/5 PENS X 3ML"/>
        <s v="SANTE LUTAX 15 +VITAMIN &amp; MINERAL 90S VN"/>
        <s v="CORDARONE 150MG/3ML INJ B/6 AMPS VN"/>
        <s v="OSTEOCARE LIQUID 200ML"/>
        <s v="TETRAXIM 0.5ML 1D INJ PS1 M36 VN_x000a_AVAXIM 80U PEDIATRIC"/>
        <s v="OSPAMOX 500MG TAB 10.S (NQ)"/>
        <s v="Lăn khử mùi hương thảo (REFRE NATURAL ROSEMARY) 40ML"/>
        <s v="FENOSUP LIDOSE 160mg"/>
        <s v="TYPHIM VI 25MCG "/>
        <s v="CALCIUM CORBIERE EXTRA 3SUPx10 10ML VN (NEW)"/>
        <s v="THUC PHAM BAO VE SUC KHOE BLOSSOMY PREMIUM THAO DUOC - HOP 10 CHAI X 50ML"/>
        <s v=" Insunova G-pen" u="1"/>
        <m u="1"/>
        <s v="CALCIUM CORBIERE" u="1"/>
        <s v="  TYPHIM VI BOX OF 1 SYRINGE 0.5ML" u="1"/>
        <s v="FORSTRAN" u="1"/>
        <s v="INSUNOVA -G PEN" u="1"/>
        <s v="PIASCLEDIN" u="1"/>
      </sharedItems>
    </cacheField>
    <cacheField name="Số Lô_x000a_batch No." numFmtId="0">
      <sharedItems containsMixedTypes="1" containsNumber="1" containsInteger="1" minValue="243474" maxValue="12917535" count="230">
        <s v="4F039A"/>
        <s v="NU6864"/>
        <s v="E243664"/>
        <s v="JS045A"/>
        <s v="EVH2311"/>
        <s v="4F9694A"/>
        <s v="JS044A"/>
        <s v="E243694"/>
        <s v="373C07"/>
        <s v="W1C561V"/>
        <n v="243474"/>
        <s v="Y4A171V"/>
        <s v="X1D421V"/>
        <s v="08A2306GA"/>
        <s v="00523"/>
        <s v="02623"/>
        <s v="01523"/>
        <s v="02623 _x000a_"/>
        <s v="H240904"/>
        <s v="ELB03419_x000a_4R983"/>
        <s v="HC410A"/>
        <s v="Y1A082V"/>
        <s v="J231007"/>
        <s v="FAS3705"/>
        <s v="12917535"/>
        <s v="SN173"/>
        <s v="W3B234V"/>
        <s v="BF24002924"/>
        <s v="242116"/>
        <s v="223475"/>
        <s v="X3H271V"/>
        <s v="N240505A"/>
        <s v="SN795"/>
        <s v="VN0302"/>
        <s v="BF24002915"/>
        <s v="HC084A"/>
        <s v="FW2418PA"/>
        <s v="FA3060"/>
        <s v="230T03"/>
        <s v="230825"/>
        <s v="82152"/>
        <s v="NA"/>
        <s v="230463"/>
        <s v="231492"/>
        <s v="222693"/>
        <s v="223510"/>
        <s v="SS879"/>
        <s v="FMDF"/>
        <s v="BF24003310"/>
        <s v=" _x000a_C55238"/>
        <s v="X2A452V"/>
        <s v="X3D131V"/>
        <s v=" 4MF4A"/>
        <s v="B07850"/>
        <s v="FE3273C"/>
        <s v="H250330"/>
        <s v="N250204A"/>
        <s v="W3H384V"/>
        <s v="223509"/>
        <s v="4F119A"/>
        <s v=" Y1A171V"/>
        <s v="X2A561V"/>
        <s v="GP32512"/>
        <s v="GP32461"/>
        <s v="528028"/>
        <s v="040D002"/>
        <s v="CB24"/>
        <s v="ELB04510"/>
        <s v="C56397"/>
        <s v=" 040D003"/>
        <s v="40429E"/>
        <s v="107M03"/>
        <s v="LA11B"/>
        <s v="JA03-3"/>
        <s v="FE4048"/>
        <s v="E245330"/>
        <s v="230963"/>
        <s v="FE3274"/>
        <s v="HC620A"/>
        <s v="FE4024B"/>
        <s v="X3C204V"/>
        <s v="Y1B67D1"/>
        <s v="405785"/>
        <s v="BF24003328"/>
        <s v="5DA24D1G"/>
        <s v="FVH1013"/>
        <s v="GAS0846"/>
        <s v="ST259"/>
        <s v="ST849"/>
        <s v="DB11A"/>
        <s v="OT2312P"/>
        <s v="4P77A"/>
        <s v="040D003"/>
        <s v="FE3299C"/>
        <s v="PD7990"/>
        <s v="4F176A"/>
        <s v="4F05HP"/>
        <s v="1405498"/>
        <s v="117M03"/>
        <s v="A08902508"/>
        <s v="113T23"/>
        <s v="040D008"/>
        <s v="C56395"/>
        <s v="Y1B68D1"/>
        <s v="FVH1673"/>
        <s v="4F257A"/>
        <s v="441094"/>
        <s v="HB01A"/>
        <s v="FE4051"/>
        <s v="H2500727"/>
        <s v="E250808"/>
        <s v="4ND3A"/>
        <s v="FE4097"/>
        <s v="FVH0032"/>
        <s v="464835"/>
        <s v="V2500577"/>
        <s v="AA520"/>
        <s v="Y1B69D2"/>
        <s v="B07946"/>
        <s v="040D015"/>
        <s v="E250782"/>
        <s v="X3C471V"/>
        <s v="X3C204V_x000a_"/>
        <s v="IB03C"/>
        <s v="4F304A"/>
        <s v="040D019"/>
        <s v="IB05"/>
        <s v="252449"/>
        <s v="D51988"/>
        <s v="GAS1287"/>
        <s v="V2501712"/>
        <s v="X3C231V"/>
        <s v="A08922506"/>
        <s v="FE3274B"/>
        <s v="E250327"/>
        <s v="E250693A_x000a_"/>
        <s v="U8464AD"/>
        <s v="U8534AA"/>
        <s v="FVH2654"/>
        <s v="FVH2821"/>
        <s v="4I277"/>
        <s v="K250095"/>
        <s v="468659A"/>
        <s v="V2502056"/>
        <s v="B2503423"/>
        <s v="4F283A"/>
        <s v="X3C194V"/>
        <s v="H250517"/>
        <s v="N250148A"/>
        <s v="FMDS_x000a_"/>
        <s v="D52436"/>
        <s v="Y1C38D1"/>
        <s v="GAS2950"/>
        <s v="FVH2704"/>
        <s v="FE250337A"/>
        <s v="251765"/>
        <s v=" Y1C38D1"/>
        <s v="BF25004331"/>
        <s v="471618"/>
        <s v="B2503424"/>
        <s v="JB03"/>
        <s v="IC622A"/>
        <s v="IC538A"/>
        <s v="2486"/>
        <s v="SW869"/>
        <s v="471619"/>
        <s v="BF25004028"/>
        <s v="BF25004575"/>
        <s v="469T13"/>
        <s v="GAS5052"/>
        <s v="FE4024C"/>
        <s v="KS061A"/>
        <s v="428593"/>
        <s v="BF25006236"/>
        <s v="SX572"/>
        <s v="X3C222V"/>
        <s v="A50537"/>
        <s v="BF24007365"/>
        <s v="GVH0294"/>
        <s v="5R961"/>
        <s v="A50252"/>
        <s v="SC0073"/>
        <s v="A08922533"/>
        <s v="Y3C19D1"/>
        <s v="ZRWL"/>
        <s v=" Y3E09D1"/>
        <s v="CC01"/>
        <s v=" FLB04368"/>
        <s v="CC20"/>
        <s v="040D037"/>
        <s v="A0882501"/>
        <s v="A08902517"/>
        <s v="A08902516"/>
        <s v="08892602"/>
        <s v="E50801"/>
        <s v="GA3670"/>
        <s v="IC438A"/>
        <s v=" Y1D95D1"/>
        <s v="FE4046C"/>
        <s v="5I133"/>
        <s v="24WC0573"/>
        <s v="Y1D48D1"/>
        <s v="O250469F"/>
        <s v="260135"/>
        <s v="5PA86D2"/>
        <s v="5I197"/>
        <s v="Y3G09D1"/>
        <s v="BF25009336"/>
        <s v=" 2028.03.09"/>
        <s v="6F0601A"/>
        <s v="LA5028"/>
        <s v="5J4234 "/>
        <s v="AB731"/>
        <s v="5F535A"/>
        <s v="E03274"/>
        <s v="60139"/>
        <s v="Tetraxim: Y3D98D1; Avaxim: Y3G10D1"/>
        <s v="040D038"/>
        <s v="FC01"/>
        <s v="25G02"/>
        <s v="Y1D95D1"/>
        <s v="5PA19D4"/>
        <s v="JC046A"/>
        <s v="GVH1466"/>
        <s v="GVH1415"/>
        <s v="5F583A"/>
        <s v="SX228"/>
        <s v="B07845"/>
        <s v="010625"/>
        <n v="12917535" u="1"/>
      </sharedItems>
    </cacheField>
    <cacheField name="NSX_x000a_Mfg date" numFmtId="0">
      <sharedItems containsDate="1" containsBlank="1" containsMixedTypes="1" minDate="1900-01-09T20:50:04" maxDate="2027-11-29T00:00:00" count="158">
        <s v="NA"/>
        <n v="45533"/>
        <n v="45323"/>
        <n v="45535"/>
        <n v="45531"/>
        <n v="44872"/>
        <n v="45471"/>
        <n v="45274"/>
        <d v="2024-06-04T00:00:00"/>
        <d v="2024-02-06T00:00:00"/>
        <d v="2023-10-01T00:00:00"/>
        <s v="07/2020"/>
        <d v="2023-08-21T00:00:00"/>
        <d v="2023-12-20T00:00:00"/>
        <d v="2021-12-03T00:00:00"/>
        <d v="2024-05-25T00:00:00"/>
        <d v="2023-12-14T00:00:00"/>
        <s v="08/2024"/>
        <d v="2024-12-12T00:00:00"/>
        <d v="2023-05-24T00:00:00"/>
        <d v="2023-03-23T00:00:00"/>
        <d v="2023-07-31T00:00:00"/>
        <d v="2022-11-18T00:00:00"/>
        <d v="2023-01-04T00:00:00"/>
        <d v="2024-07-25T00:00:00"/>
        <d v="2025-01-22T00:00:00"/>
        <d v="2024-05-16T00:00:00"/>
        <d v="2023-05-18T00:00:00"/>
        <d v="2023-05-12T00:00:00"/>
        <d v="2023-10-09T00:00:00"/>
        <s v="04/2024"/>
        <s v="03/2025"/>
        <d v="2022-09-02T00:00:00"/>
        <d v="2024-03-16T00:00:00"/>
        <d v="2024-02-09T00:00:00"/>
        <d v="2023-11-06T00:00:00"/>
        <d v="2024-06-12T00:00:00"/>
        <d v="2025-01-21T00:00:00"/>
        <d v="2024-05-27T00:00:00"/>
        <d v="2024-12-23T00:00:00"/>
        <d v="2024-10-02T00:00:00"/>
        <s v="02/2024"/>
        <d v="2024-12-16T00:00:00"/>
        <d v="2024-09-30T00:00:00"/>
        <d v="2024-01-31T00:00:00"/>
        <d v="2023-02-09T00:00:00"/>
        <d v="2024-05-20T00:00:00"/>
        <d v="2024-08-16T00:00:00"/>
        <d v="2024-08-18T00:00:00"/>
        <s v="03/2024"/>
        <d v="2025-03-02T00:00:00"/>
        <d v="2025-04-18T00:00:00"/>
        <d v="2024-02-02T00:00:00"/>
        <d v="2025-02-14T00:00:00"/>
        <d v="2024-10-19T00:00:00"/>
        <d v="2024-11-27T00:00:00"/>
        <s v="09/2023"/>
        <d v="2024-09-04T00:00:00"/>
        <m/>
        <d v="2024-07-16T00:00:00"/>
        <d v="2024-04-15T00:00:00"/>
        <d v="2025-05-15T00:00:00"/>
        <d v="2024-08-07T00:00:00"/>
        <d v="2025-07-17T00:00:00"/>
        <d v="2024-09-03T00:00:00"/>
        <s v="10/2024"/>
        <s v="06/2025"/>
        <d v="2025-02-18T00:00:00"/>
        <s v="05/2024"/>
        <d v="2025-01-01T00:00:00"/>
        <d v="2024-10-18T00:00:00"/>
        <d v="2024-05-22T00:00:00"/>
        <d v="2024-11-01T00:00:00"/>
        <d v="2022-10-21T00:00:00"/>
        <d v="2024-07-24T00:00:00"/>
        <d v="2023-02-18T00:00:00"/>
        <s v="01/2024"/>
        <d v="2024-06-27T00:00:00"/>
        <d v="2024-08-19T00:00:00"/>
        <d v="2024-02-28T00:00:00"/>
        <d v="2025-11-11T00:00:00"/>
        <d v="2025-11-28T00:00:00"/>
        <d v="2024-12-05T00:00:00"/>
        <s v="01/2025"/>
        <s v="08/2025"/>
        <s v="10/2025"/>
        <d v="2024-10-03T00:00:00"/>
        <d v="2023-02-07T00:00:00"/>
        <s v="07/2024"/>
        <d v="2025-03-05T00:00:00"/>
        <s v="12/07/2024"/>
        <s v="13/06/2025"/>
        <s v="03/09/2024"/>
        <s v="09/10/2023"/>
        <s v="16/05/2025"/>
        <s v="13/09/2025"/>
        <s v="30/08/2025"/>
        <s v="09/2025"/>
        <s v="29/08/2025"/>
        <s v="01/09/2025"/>
        <s v="04/12/2024"/>
        <s v="04/02/2025"/>
        <s v="06/2024"/>
        <s v="20/09/2025"/>
        <s v="16/06/2025"/>
        <s v="15/02/2023"/>
        <s v="29/05/2025"/>
        <s v="04/01/2025"/>
        <s v="26/02/2026"/>
        <s v="20/03/2025"/>
        <s v="14/02/2026"/>
        <s v="08/11/2025"/>
        <s v="02/03/2024"/>
        <s v="04/08/2025"/>
        <s v="20/05/2024"/>
        <s v="13/03/2026"/>
        <s v="17/03/2026"/>
        <s v="28/07/2025"/>
        <s v="11/02/2026"/>
        <s v="16/02/2026"/>
        <s v="18/08/2025"/>
        <d v="2025-08-25T00:00:00"/>
        <d v="2025-06-05T00:00:00"/>
        <d v="2024-11-18T00:00:00"/>
        <s v="15/02/2024"/>
        <d v="2024-01-24T00:00:00"/>
        <d v="2025-05-21T00:00:00"/>
        <d v="2024-10-29T00:00:00"/>
        <d v="2025-05-30T00:00:00"/>
        <d v="2024-10-17T00:00:00"/>
        <d v="2025-12-12T00:00:00"/>
        <d v="2026-02-27T00:00:00"/>
        <d v="2024-07-12T00:00:00"/>
        <d v="2025-05-22T00:00:00"/>
        <d v="2025-07-18T00:00:00"/>
        <d v="2024-04-19T00:00:00"/>
        <d v="2025-12-04T00:00:00"/>
        <d v="2026-03-10T00:00:00"/>
        <d v="2026-01-26T00:00:00"/>
        <s v="31/10/2024"/>
        <d v="2025-09-15T00:00:00"/>
        <d v="2026-02-01T00:00:00"/>
        <d v="2025-07-23T00:00:00"/>
        <s v="Tetraxim: 22/03/2024; Avaxim: 25/08/2024"/>
        <d v="2025-07-29T00:00:00"/>
        <d v="2025-07-12T00:00:00"/>
        <d v="2025-04-11T00:00:00"/>
        <d v="2023-02-15T00:00:00"/>
        <d v="2025-05-03T00:00:00"/>
        <d v="2026-02-03T00:00:00"/>
        <d v="2026-06-19T00:00:00"/>
        <d v="2026-06-02T00:00:00"/>
        <s v="11/10/2024"/>
        <d v="2025-05-10T00:00:00"/>
        <d v="2025-06-30T00:00:00"/>
        <s v="05/2025" u="1"/>
        <d v="2027-11-28T00:00:00" u="1"/>
        <s v="12/2024" u="1"/>
      </sharedItems>
    </cacheField>
    <cacheField name="HD_x000a_Exp date" numFmtId="0">
      <sharedItems containsDate="1" containsBlank="1" containsMixedTypes="1" minDate="2025-05-31T00:00:00" maxDate="2030-03-18T00:00:00"/>
    </cacheField>
    <cacheField name="Đơn vị tính_x000a_Unit" numFmtId="0">
      <sharedItems containsBlank="1" count="13">
        <s v="BÚT"/>
        <s v="Hộp"/>
        <s v="Hộp "/>
        <s v="ống"/>
        <s v="NA"/>
        <s v="Lọ"/>
        <s v="Viên"/>
        <s v="Vỉ"/>
        <s v="Gói"/>
        <s v="BÌNH"/>
        <m/>
        <s v="CHAI"/>
        <s v="Bơm"/>
      </sharedItems>
    </cacheField>
    <cacheField name="Số Lượng_x000a_Quanity" numFmtId="0">
      <sharedItems containsBlank="1" containsMixedTypes="1" containsNumber="1" containsInteger="1" minValue="1" maxValue="2790" count="45">
        <n v="1"/>
        <n v="25"/>
        <n v="81"/>
        <n v="2"/>
        <s v="NA"/>
        <n v="2790"/>
        <n v="3"/>
        <n v="5"/>
        <n v="8"/>
        <n v="7"/>
        <n v="2688"/>
        <n v="595"/>
        <n v="80"/>
        <n v="6"/>
        <n v="31"/>
        <n v="38"/>
        <n v="14"/>
        <n v="4"/>
        <n v="65"/>
        <m/>
        <n v="24"/>
        <n v="19"/>
        <n v="10"/>
        <n v="17"/>
        <n v="20"/>
        <n v="15"/>
        <s v="1"/>
        <s v="3"/>
        <s v="2"/>
        <s v="01"/>
        <s v="02"/>
        <s v="03"/>
        <s v="590"/>
        <s v="80"/>
        <s v="05"/>
        <s v="3000"/>
        <s v="4400"/>
        <s v="10000"/>
        <s v="18000"/>
        <s v="36"/>
        <s v="1130"/>
        <s v="700"/>
        <s v="6"/>
        <n v="596" u="1"/>
        <n v="9" u="1"/>
      </sharedItems>
    </cacheField>
    <cacheField name="Lý do khiếu nại_x000a_Reason of complaint" numFmtId="0">
      <sharedItems containsBlank="1" count="255" longText="1">
        <s v="Ngày 03/01/2025 tại Kho Ngoại trú BHYT ghi nhận 1 cây bút không vặn chỉnh liều được"/>
        <s v="NTBV báo phát hiện tình trạng lỗi khi đang cấp phát thuốc theo toa của bác sĩ, mở hộp thuốc thì thấy vỉ thuốc bị rách"/>
        <s v=" TTYT báo lỗi nắp thuốc bị ố vàng, trong đó có 2 lọ bị bung màng bọc lộ phần bông gòn với 1 lọ TTYT mở ra để kiểm tra chất lượng thuốc như hình đính kèm"/>
        <s v="Ngày 12/12 BN mua 28 bơm về chích và cả 28 bơm đều bị rỉ như vậy_x000a_Có thể BN nhận lô JS044A vì từ đầu tháng 10 đến 20/12/24, FV đang sử dụng lô này. BN ko nhớ rõ lô chỉ báo bị tương tự lô trước._x000a_·         Ngày 9/1 BN mua tiếp 28 bơm lô JS045A ,BN chích tiếp 2 bơm đều bị rỉ, trả lại FV 26 bơm_x000a_·         Số lô JS045A, hạn dung: 31/12/2025, số hd: 212738 (27/12/24)_x000a_·         Số lượng còn lại: 81 hộp_x000a_·         BN người nước ngoài_x000a_·         FV đã đổi lại lô mới nhất cho BN JS371A, hạn dung: 30/6/2026. Đến thời điểm hiện tại không thấy BN phản ánh"/>
        <s v="Không có thông tin trên ống thuốc"/>
        <s v="1 bút  xoay thể tích không được, 1 bút xoay được nhưng bấm không ra thuốc"/>
        <s v="BV báo bút tiêm cấp cho bệnh nhân sử dụng, vặn chỉnh liều được nhưng bấm rất cứng và không ra thuốc."/>
        <s v="TTYT báo thuốc cấp cho bệnh nhận sử dụng thì bệnh nhân phát hiện báo viên thuốc màu xanh không phải màu cam như bình thường"/>
        <s v="Trong quá trình soạn thuốc cho bệnh nhân, phát hiện hộp Gabapentin (MIRGY) cap 100mg còn kín nguyên vẹn nhưng không có thuốc bên trong"/>
        <s v="Khoa nhi nói pha nước vào vacxin verorab màu không trong hơi đục và dẻo. "/>
        <s v="Tháng 9/2024 Viện kiểm nghiệm thuốc TP.HCM có thực hiện lấy mẫu thuốc Tegrucil-1, số lô 241600._x000a_Đến tháng 02/2025 Bệnh viện Thống Nhất có nhận được kết quả mẫu thuốc không đạt yêu cầu chất lượng theo quy định (file đính kèm)._x000a_Hiện nay, lô thuốc trên đã sử dụng hết và bệnh viện đang tồn 2.790 viên Tegrucil-1, số lô 243474._x000a_Yêu cầu công ty kiểm tra chất lượng và phản hồi lại bằng văn bản lô thuốc số 243474 để bệnh viện tiếp tục sử dụng"/>
        <s v="1 hộp vaccine vaxigrip bị nghẹt pitton không đẩy lên được"/>
        <s v="1 hộp vaccine Verorab không bơm nước pha vào lọ được và phần kim bị gỉ sét "/>
        <s v="Trong đợt nhận hàng IMOJEV vừa qua từ Hoàng Đức, kho ZPV có phát hiện một trường hợp hàng bị hư hỏng (hộp bị móp) được ghi nhận như hình ảnh và biên bản đính kèm"/>
        <s v="Sản phẩm bị lỗi thiếu số lượng trong vỉ "/>
        <s v="lọ thuốc bị thủng đáy và bột bị rơi ra ngoài (hình ảnh đính kèm)"/>
        <s v="Depakine Solution 200mg BTLX40ml VN tổng số lượng 2.000 hộp ở hóa đơn 23438 số lượng 1.000 hộp và hóa đơn 23463 số lượng 1.000 hộp cùng lô ELB03419 hạn dùng 04/2027 có 01 hộp bị móp méo trong kiện nguyên._x000a_Depakine 200mg TABEC TB40 – SPAIN hóa đơn 23464 số lượng 1.720 hộp lô 4R983 hạn dùng 05/2027 có 07 hộp bị móp méo trong kiện nguyên"/>
        <s v="Bị vỡ "/>
        <s v="Khi chuẩn bị sử dụng thuốc cho khách hàng, 1 bơm tiêm chứa dung môi bị cứng không thể thực hiện các thao tác tiếp theo được"/>
        <s v="Không có thuốc bên trong"/>
        <s v="lọ thuốc bị nứt"/>
        <s v="Trong 7 vỉ đó. Có khoảng 10 viên bị đổ hoạt chất ra ngoài nang (mỗi vỉ bị 1 hoặc 2 viên)_x000a_Bv chỉ lưu lại vỉ lỗi chứ không có chừa cả hộp, mỗi hộp bị 1 vỉ"/>
        <s v="Báo phát hiện đầu kim bị thụt vào trong không sử dụng được cho bệnh nhân"/>
        <s v="KH cá nhân đã tiêm 3 mũi vaccine HEXAXIM BOX OF 1 PRE-FILLED SYRINGE  + 2 NEEDLES, mũi gần nhất tiêm đầu tháng 2/2024 ( thông tin sản phẩm : Số lô: w3b234v; Hạn dùng Tháng 11/2025; Ngày Sản xuất 03/12/2021_x000a_KH tìm hiểu trên internet thông tin thường vaccine có HSD 3 năm nhưng trên vỏ hộp để HSD 4 năm, hiện KH lo lắng cần giải đáp thắc mắc hiện mặt hàng HEXAXIM có HSD 3 năm hay 4 năm"/>
        <s v="Báo thông tin thuốc bị kẹt không vặn chỉnh liều được"/>
        <s v="Ống dung môi của Verorab bị lỗi, phần kim phía trong lòng ống màu vàng vàng và pít Tông bị cứng không đẩy lên được"/>
        <s v="Bị lỗi đổ bột"/>
        <s v="02 gói bị chảy nước"/>
        <s v="1 hộp vaccine avaxim không có lọ thuốc bên trong"/>
        <s v="Khoa Dược Bệnh viện Đại Học Y Hà Nội hôm nay có phản ánh về 1 lọ thuốc Redditux500 của Dr Reddy’s có hiện tượng như sau:_x000a__x000a_Bệnh nhân mua thuốc này lúc khoảng 10h ngày 15/4/2025 với số lượng 2 lọ (Kèm đơn như trong email). Trước đó 2 lọ bảo quản ngăn mát 2-8 độ như nhau. Thuốc được lĩnh về bệnh phòng để truyền cho bệnh nhân._x000a_Khoảng 10h30 điều dưỡng rút thuốc để truyền thì thấy hiện tượng 1 lọ thuốc bị đông đá. Điều dưỡng mô tả như sau: Do bề mặt lọ thuốc đọng nước nên điều dưỡng không phát hiện ra bị đông đá. Hút được 1/2 thì phát hiện bị đông đá. Họ chưa từng gặp tình huống này bao giờ. Hiện tại 1 nửa lọ đó đang được bảo quản lại tại vị trí ban đầu._x000a_Bệnh viện có báo trực tiếp cho nhân viên công ty (Nguyễn Văn Trường) phản ánh về lọ thuốc này. Viện đang đề nghị công ty hỗ trợ đổi cho bệnh viện 01 lọ thuốc mới cho bệnh viện."/>
        <s v="BV báo khi mở ra thì đã thấy bơm rời làm 2 phần, lò xo vẫn còn nguyên ( hình đính kèm). BV yêu cầu công ty đổi 1 bơm khác"/>
        <s v="Khách Hàng của BV đã mua 1 lọ Vitamin D3 Ocean Health với số lô: VN0302_x000a_Nhưng do KH quét mã vạch không tìm kiếm và check được thông tin sản phẩm nên KH đã nghi ngờ BV bán hàng giả._x000a_Mặc dù đội ngũ BV đã giải thích cặn kẽ, đưa ra các thông tin hoá đơn nhập hàng đầy đủ từ Cty Hoàng Đức, thông tin số công bố hợp lệ. Nhưng KH vẫn chưa thật sự tin tưởng và yên tâm về sản phẩm nhập khẩu này._x000a_BV mong muốn đc sự tham vấn và hỗ trợ thêm từ Công Ty để có thêm thông tin giải đáp, minh chứng cho sự uy tín của Bệnh Viện."/>
        <s v="Trong quá trình cấp phát cho bệnh nhân, kho phát hiện có 01 lọ Insunova bị bể ( hình đính kèm), BV nhờ Công ty xem xét có phương án bù 01 lọ cho bệnh viện gửi lại thuốc cho bệnh nhân"/>
        <s v="bệnh nhân bị ngứa dọc đường tiêm. _x000a_Bệnh viện yêu cầu trả lời"/>
        <s v="Chưa có nhãn phụ trên sản phẩm"/>
        <s v="Không đạt cảm quan, vỉ thuốc bị vệt hằng bột ẩm, phân rả vài hạt trên thanh vỉ. Bên cạnh đó có 3 viên bị bể trong vỉ"/>
        <s v="Đơn hàng giao tới kiểm tra có 1 hộp ATASART H không có thông tin lô date như hình đính kèm mail, yêu cầu công ty đổi hàng"/>
        <s v="Bệnh nhân phản hồi vặn lên tới mức 4 UI bị cứng"/>
        <s v="1 hộp sản phẩm ALUMINIUM bị chảy dính ra ngoài hộp, kiểm tra bên trong có 1 gói rách lỗ to và 4 gói rách lỗ nhỏ_x000a_Ngày 19/05/2025, nhận được yêu cầu điều tra từ DAVI"/>
        <s v="Phòng khám Menhealth phản hồi là đã bán 2 hộp Androgel cho bệnh nhân mang từ VN về Úc mở hộp ra thấy 1 hộp bình thường, 1 hộp có 16 gói không có thuốc (gói thuốc hở như hình) 14 tube còn lại cảm quan thấy bình thường. Gần đây các đơn hàng Androgel cảm quan hầu như đơn nào cũng sẽ có hộp bị tróc keo dán phần nắp vỏ ngoài (trước đó rất ít gặp)"/>
        <s v="Tháng 4 có đặt đơn hàng NO-SPA 40mg/2ml khi nhận hàng có đồng kiểm bên ngoại hộp. Nhưng nay kiểm kho phát hiện bể 3 ống như hình đính kèm"/>
        <s v="Nhờ Công Ty xem tình hình về sản xuất thuốc DOLUTEGAVIR, LAMIVUDINE ,TENOFOVIR 50/300/300mg bị mất 1/2 viên._x000a_Trong lúc cấp phát cho bệnh nhân thì phát hiện thuốc trong lọ bị mất 1/2 viên đồng thời bệnh nhân cũng phản ánh về việc thuốc chỉ có 1/2 viên trong lọ._x000a_Tình hình bị mất thuốc như thế sẽ ảnh hưởng đến việc khoa Dược đền thuốc."/>
        <s v="Bị đổi màu và vỉ thuốc bị móp"/>
        <s v="BV báo có một lọ Zoladex 10.8 bị lỗi không đẩy pittong xuống được như hình đính kèm, BV báo nhờ hỗ trợ đổi một lọ mới"/>
        <s v="Về việc sản phẩm cùng lot date nhưng hộp lại khác màu"/>
        <s v="Có phản ánh có 1 bút Insunova G-pen bị lỗi."/>
        <s v="Bị móp rách"/>
        <s v="Khi kiểm tra cảm quan thì phát hiện không có bơm tiêm chứa vắc xin bên trong hộp. Hộp vắc xin còn nguyên vẹn và đã khui seal để kiểm tra cảm quan"/>
        <s v="+ Khi kiểm tra cảm quan thì phát hiện không có bơm tiêm chứa vắc xin bên trong hộp.     _x000a_+ Hộp vắc xin còn nguyên vẹn và đã khui seal để kiểm tra cảm quan."/>
        <s v="+ Khi kiểm tra cảm quan thì phát hiện không có bơm tiêm chứa vắc xin bên trong khay nhựa PVC_x000a_+ Hộp vắc xin còn nguyên vẹn và đã khui seal để kiểm tra cảm quan"/>
        <s v="Khi kiểm tra cảm quan thì phát hiện nhãn dán trên lọ bột đông khô bị lỗi"/>
        <s v="CS nhận được thông tin khách hàng của chuỗi Pharmacity mua Viên nén Tavanic 500mg điều trị nhiễm khuẩn (1 vỉ x 5 viên), thắc mắc tại sao 1 hộp có ghi thông tin công ty nhập khẩu, 1 hộp thì không có thông tin. (Hình ảnh đính kèm)_x000a_-          Hộp lô 4MF4A không ghi thông tin công ty nhập khẩu_x000a_-          Hộp lô 4ND3A có ghi thông tin nhập khẩu"/>
        <s v="Khách hàng phản hồi chai thuốc không xịt ra được"/>
        <s v="Hàng bị móp"/>
        <s v="Có cặn sau khi hoàn nguyên"/>
        <s v="Bệnh viện K có đặt hàng Redditux 100 vào ngày 9/6/2025 với số lượng 100 hộp. Ngày 10/6/2025 khoa Dược bệnh viện có nhận hàng và phát hiện 1 lọ thuốc Redditux100  bên ngoài vỏ hộp bị lỗi (Hình ảnh như trong video)._x000a_Bệnh viện đề nghị công ty thu hồi hộp lỗi này và đổi cho bệnh viện 01 hộp mới."/>
        <s v="Ngày 09/09/2024, Hoàng Đức nhận được sự cố tiêm khi tiêm sản phẩm ZOLADEX 3.6 MG DEPOT 1'S  (mô tả như file đính kèm) của CN004928 - BENH VIEN UNG BUOU HUNG VIET, cần công văn phản hồi về chất lượng sản phẩm"/>
        <s v="+ Khi kiểm tra cảm quan thì phát hiện màng nhựa trên khay nhựa chứa bơm tiêm vắc xin bị hở. + Bơm tiêm chứa vắc xin vẫn còn nằm trong khay nhựa. Hộp vắc xin còn nguyên vẹn và đã khui seal để kiểm tra cảm quan."/>
        <s v="sản phẩm có tình trạng ướt viên thuốc và dính vỉ "/>
        <s v="Bệnh nhân nhận bút ngày 23/06/2025 đến ngày 25/06/2025 bệnh nhân mang bút đến qua kiểm tra thì bút bị cứng không đẩy thuốc ra ngoài được. Bệnh nhân sử dụng kim: Kim tiêm Insulin Novofine, 31 G, Cái (Novo Nordisk, Denmark)"/>
        <s v="1 hộp vaccine Verorab bị thiếu 1 ống nước"/>
        <s v="Lỗi không có thuốc bên trong hộp (hình ảnh và video đính kèm)"/>
        <s v="Sản phẩm sau khi hoàn nguyên bị đục"/>
        <s v="KAM nhận thông tin và trực tiếp vào khoa ghi nhận có khoảng 3 túi Phosphalugel bị bục đáy, thuốc tràn ra ngoài đã khô dính không thể sử dụng được"/>
        <s v="Khách hàng báo có 1 vỉ không có viên thuốc bên trong"/>
        <s v="Khách hàng báo có 2 hộp DAU GOI CHONG GAU (SELSUN ANTI-DANDRUFF SHAMPOO WITH SELENIUM SULFIDE) 50ML bị móp và có kiến"/>
        <s v="Khách hàng phản ánh có 1 lọ không có dung dịch bên trong"/>
        <s v="Bị lủng trong hộp còn seal. "/>
        <s v="Khách hàng báo có 2 vỉ OSPAMOX 500MG bị bong như hình. Tại thời điểm nhận hàng, khách chỉ đồng kiểm, khui thùng và kiểm hàng tổng quan, không check từng vỉ nên chưa thấy lỗi, hôm nay mang ra dán giá bán mới phát hiện."/>
        <s v="KH phản ánh về tình trạng hàng Milgamma N và có yêu cầu công ty vào bv để tiến hành đồng kiểm tra chất lượng sản phẩm. Đồng thời có phương án hỗ trợ thay thế hàng cho bv nếu sản phẩm kiểm tra không đạt."/>
        <s v="NHA THUOC HOANG LIEM 1 ( 248 BS YERSIN, TO 10, KHU PHO 2, PHUONG HIEP THANH, THANH PHO THU DAU MOT, TINH BINH DUONG ) có thắc mắc về vấn đề liên quan đến mặt hàng DEPAKINE CHRONO 500MG TUBE OF 30 TABS VN, DEPAKINE 200MG TABEC TB40 và DEPAKINE SOLUTION 200MG BTLX40ML VN_x000a_Các sản phẩm trên có thuộc danh mục thuốc cần kiểm soát đặc biệt không?_x000a_Các sản phẩm trên có cần bán theo đơn bác sĩ không?_x000a_Điều kiện bảo quản cho các sản phẩm trên như thế nào? Cần lưu ý điều gì khi bảo quản?"/>
        <s v="Hiện tại phía khách hàng phản ánh bình xịt Fortraget khi sử dụng xịt thì chỉ sử dụng được 1 lần, tới lần xịt thứ 2 thì không xịt được, phải đợi một lúc lâu mới xịt được tiếp, hơi của bình xịt bị yếu, bác sĩ bảo không ra đủ liều._x000a_Hiện tại nhờ công ty đổi lại 5 bình"/>
        <s v="sản phẩm bị lỗi không thể vặn nắp được"/>
        <s v="Chai Sterimar block nose bb bị lỗi không như hình ảnh"/>
        <s v="Thông tin từ bác sĩ H, hiện đang công tác tại khoa Nội tiết BV Thống Nhất HCM. Có 1 bệnh nhân ĐTĐ tip 2 hiện đang điều trị với thuốc uống, tuy nhiên vì HbA1c còn cao &gt;9% =&gt; BS có chỉ định sản phẩm Toujeo của SNF ngày 24/07. Sau khi tiêm BN xuất hiện tình trạng ngứa da ngoài vị trí tiêm + sốt nhẹ. Ngày 25/7 tình trạng ngứa nặng hơn và vẫn còn sốt. BS có phản hồi đến TDV SNF đang phụ trách địa bàn Thống Nhất."/>
        <s v="Hộp chưa khui seal nhưng khi cầm lên thấy nhẹ. TTYT có quay clip so sánh hộp lỗi và hộp nguyên khác"/>
        <s v="Có dị vật bên trong lọ"/>
        <s v="Sau khi được cấp phát ngày 28/7/2025, tối cùng ngày bệnh nhân đã xịt 1 lần. Đến sáng ngày 29/7/2025 thì không sử dụng được nữa"/>
        <s v="24 viên Magrax bị đổi màu như hình đính kèm"/>
        <s v="Bị nổ viên + dính vỉ"/>
        <s v="Hàng bị dính vỏ hộp với nhau "/>
        <s v=" Bệnh viện cho biết khi nhận hàng chỉ đồng kiểm bên ngoài, cảm quan hộp bình thường, đến khi sử dụng và mở ra kiểm hàng mới thấy bể 2 ống"/>
        <s v="Sản phẩm bị lỗi vòi xịt "/>
        <s v="Khi kiểm tra cảm quan thì phát hiện màng nhựa PVC chứa bơm tiêm vắc xin bị hở. Hộp vắc xin còn nguyên vẹn và đã khui seal để kiểm tra cảm quan"/>
        <s v="Vào ngày 31/07/2025, khi điều dưỡng đang tiến hành pha thuốc để thực hiện cho người bệnh theo y lệnh của Bác sỹ thì nhận thấy trong lúc rút thuốc, miếng cao su ở nắp lọ vắc-xin bị dính vào đầu kim, gây cản trở dòng thuốc. Do áp lực nghẹt miếng cao su, dưới lực kéo, pit-tông của xy-lanh bị đẩy bật ra, làm thuốc bị tràn và đổ ra ngoài. Lọ vắc xin này có số lô là Y1A26 và hạn sử dụng là 01/2027._x000a_Ngày hôm đó, điều dưỡng này cũng thực hiện thao tác pha thuốc và thực hiện trên 2 người bệnh khác, nhưng không xảy ra vấn đề gì._x000a_Từ trước đến nay, Bệnh viện chúng tôi vẫn luôn sử dụng sản phẩm vắc xin Verorab 0.5mL và chưa từng xảy ra sự cố như vậy._x000a_Do đây là sự cố vỡ ống dẫn vắc xin nên sau khi xảy ra thì xy lanh và lọ vắc xin đều được đem huỷ, không giữ lại. Chúng tôi chỉ còn giữ hình ảnh lọ vắc xin (hình đính kèm công văn)."/>
        <s v="1 hộp vaccine Typhim không có lọ thuốc bên trong"/>
        <s v="Sản phẩm bị lỗi hỏng vỉ nhôm. Nhưng vỏ hộp còn nguyên vẹn, không móp."/>
        <s v="Bút không đẩy ra được"/>
        <s v="Bút bị cứng vặn không được"/>
        <s v="Bút có 1 ống bị trồi cái đầu tròn tròn như bị lỗi bệnh nhân không tiêm được nên trả hàng"/>
        <s v="1 hộp vaccine Vaxigrip (bị bung nắp lò xo)"/>
        <s v="Khách hàng báo có 1 ống thuốc bị gãy đầu ống (trong hôp 30 ống"/>
        <s v="Nút vặn xoay liều bị cứng, không xoay được đến liều sử dụng 15 UI. Bệnh nhân đã dùng bút này nhiều lần. Bút bị sự cố là bút mới, chỉ mới lắp kim và chưa tiêm. Kim sử dụng là kim mới. Em có thử thay kim và cũng không vặn được đến liều 15 UI"/>
        <s v="Khui hộp nguyên ra thì nắp hộp đang trong tình trạng như hình đính kèm"/>
        <s v="Lỗi trong bơm không có thuốc"/>
        <s v="Bị lỗi ko có pittong"/>
        <s v="Bị mờ lô date"/>
        <s v="Viên bị nứt. Khách báo do trước đó đã bán hết cho khách rồi nên bây giờ chỉ còn lại 1 hộp. Khi khách mở 1 hộp này ra thì thấy tầm 5 6 viên bị nứt như hình. Và khách có thông tin thêm sản phẩm này trước đây khách uống thì thấy bình thường nhưng bây giờ uống vào lại thấy bột bột không giống như trước."/>
        <s v=" vỉ thuốc chỉ có 4 viên ( quy cách 1 vỉ có 5 viên)"/>
        <s v="khui hộp thuốc thì phát hiện bị lỗi nắp như hình đính kèm"/>
        <s v="2 viên thuốc bị mốc trong 2 vỉ"/>
        <s v="Khi kiểm tra cảm quan thì phát hiện kim tiêm bị rỉ sét"/>
        <s v="Vòi chai bị kẹt, không ấn xuống được (Hình ảnh và video đính kèm)."/>
        <s v="lỗi vỉ, bọc nhôm thuốc bị hở như hình đính kèm"/>
        <s v="Khách hàng báo lỗi 1 bút không vặn lên được"/>
        <s v="3 chai bị đổ ướt ra ngoài"/>
        <s v=" Bệnh Viện việt pháp khi boc lẻ hộp thuốc cấp phát bệnh nhân nội thấy 1 vỉ (8/10 viên ) Alvori vỡ viên như hình bên . Hiên tại 2 viên lành không bị vỡ vỏ viên đã được bênh viện sử dụng cho bênh nhân"/>
        <s v="1 hộp vaccine Typhim bị tụt Pít tông"/>
        <s v="Bình dạng xịt không ra thuốc"/>
        <s v="10/10 vỉ có viên bị vỡ (cậ nhật 15/10 tổng 250 viên)"/>
        <s v=" Khách hàng khui hàng bán tại chỗ sau khi nhận thì phát hiện 10 hộp chỉ có 9 vỉ, 1 hộp không có vỉ thuốc bên trong (hình ảnh đính kèm)"/>
        <s v="Nhà thuốc phát hiện có 1 viên/ vỉ bị bột trắng khi lấy ra bán cho khách như hình đính kèm"/>
        <s v="Bị lủng trong hộp còn seal. Trong đó có 09/16 gói bị lỗi"/>
        <s v="Khi thực hiện thao tác đuổi khí thì phát hiện pittong bị cứng không đẩy được"/>
        <s v="Bị gãy đầu trong hộp nguyên"/>
        <s v="Bệnh viện báo có 1 bơm đẩy hết pittong mà thuốc không ra được"/>
        <s v="Bệnh viện báo khi mới khui bút mới thì thấy bên trong chỉ còn phân nửa thuốc"/>
        <s v="Bị lỗi bao bì màu đỏ"/>
        <s v="Bị lỗi nắp "/>
        <s v="Bị lỗi vòi xịt"/>
        <s v=" trong lọ có 1 viên không nguyên vẹn chỉ có 1 nửa"/>
        <s v="sản phẩm nguyên seal nhưng không có thuốc bên trong hộp"/>
        <s v="bị lỗi quy cách đóng gói (quy cách hộp 5 viên nhưng viện mở hộp ra bị thiếu 2 viên, viện đã sử dụng cấp phát 1 viên, còn 2 viên chưa sử dụng"/>
        <s v="Lỗi vòi xịt"/>
        <s v="Khách hàng báo có 4 hộp có gói thuốc bên trong hàn không kín (đã cung cấp hình ảnh cho TDV)"/>
        <s v="thuốc bị nứt viên theo hình đính kèm mail"/>
        <s v="Bình xịt Easyef vẫn còn dung dịch thuốc bên trong nhưng không xịt được"/>
        <s v="Nhà thuốc ghi nhận trong quá trình cấp phát thuốc cho KH có 1 hộp STAMLO- T (40mg + 5mg) bị lỗi rách vỉ (hình ảnh đính kèm)"/>
        <s v="1 hộp bị lỗi 1 viên"/>
        <s v="1 lọ vaccine verorab có kết tủa màu vàng"/>
        <s v="Khách hàng sử dụng bình xịt Easyef vẫn còn dung dịch thuốc bên trong nhưng không xịt được"/>
        <s v="1 vỉ ospamox bị lỗi như hình ảnh đính kèm"/>
        <s v="Không có hộp thuốc bên trong"/>
        <s v="Thông tin vỏ hộp hàng lỗi bị mốc, có nhiều chấm đen"/>
        <s v="Mờ lô date"/>
        <s v="Bút không có thuốc bên trong"/>
        <s v="Khách hàng báo có 1 bút tiêm SOLIQUA SOLO INJ 300IU B/3 pensx3ML M24 từ KH lẻ phản ánh bút mua về bị kẹt không tiêm ra thuốc"/>
        <s v="Bị bong "/>
        <s v="1 vỉ thuốc không rách nhưng có 1 viên bị bung thuốc ra"/>
        <s v="Medx kiểm tra phát hiện có 1 chai bị chảy nước như hình đính kèm mail"/>
        <s v="Trong quá trình cấp phát thuốc, bệnh viện phát hiện 1 hộp thuốc Ozzy - 40 (Quy cách trên bao bì: Hộp 30 viên), tuy nhiên thực tế đóng gói hộp chỉ có 2 vỉ x 10 viên (Hình đính kèm)"/>
        <s v="báo lỗi vỉ bên trong bị cắt dập, hộp ngoài vẫn nguyên vẹn"/>
        <s v="1 bơm lỗi không bơm được do không bật được đầu kim lên để tiêm"/>
        <s v="Khi khui hộp thuốc thì phát hiện bị lỗi nắp như hình đính kèm"/>
        <s v="Bệnh viện báo có 1 vỉ thuốc bị bong viên thuốc bên trong"/>
        <s v="bao bì bị mốc"/>
        <s v="Bị lỗi vỉ"/>
        <s v="Medx báo chai xịt bị lỗi vòi xịt như video đính kèm"/>
        <s v="Hộp không có lọ thuốc bên trong"/>
        <s v="Sau khi thực hiện mở hộp vắc xin để kiểm tra cảm quan thì phát hiện nắp cao su trên lọ bị rơi ra ngoài_x000a_Hộp vắc xin còn nguyên vẹn và đã khui seal để kiểm tra cảm quan"/>
        <s v="+ Khi kiểm tra cảm quan vắc xin thì phát hiện có chấm đen bên trong lọ_x000a_+ Hộp vắc xin còn nguyên vẹn và đã khui seal để kiểm tra cảm quan"/>
        <s v="Khi thực hiện bơm dung môi vào lọ bột đông khô thì phát hiện pittong bị cứng không đẩy được dung môi vào lọ bột đông khô"/>
        <s v="Theo như BV báo trong vỉ thuốc có xuất hiện bóng khí li ti, khi có ánh sáng chiếu vào thì sẽ nhìn thấy rõ hiện tượng này ( hình ảnh và video có đính kèm mail )"/>
        <s v="13/01/2026, Hoàng Đức có giao 1 đơn hàng (lô FVH2821), khi kiểm tra vẫn phát hiện tình trạng lỗi tương tự với lô FVH2654. Và do viện cần thuốc để cấp phát nên đã nhận đơn hàng này. _x000a_Viện có yêu cầu cung cấp Công văn giải thích nếu như trong trường hợp không phải lỗi do thuốc mà do bao bì (vì viện có bóc thử 1 vỉ lỗi ra thì thấy viên thuốc bình thường)"/>
        <s v="Đầu ống thuốc trong vỉ bị xỉn màu, thuốc có dấu hiệu nổi bọt khí ở đáy ống "/>
        <s v="Viên bị lỗi"/>
        <s v="Bị lỗi màng nhôm"/>
        <s v="có mùi lạ, nghị ngờ thuốc giả"/>
        <s v="bệnh nhân sử dụng bút bị kẹt không tiêm ra thuốc, dù đã thử thay đổi kim tiêm,_x000a_Phía đơn vị BV yêu cầu tiến hành đổi trả bút lỗi này để bệnh nhân sử dụng"/>
        <s v="Hexaxim bị lỗi Pittong rớt ra ngoài, nút cao su chặn thuốc vẫn còn trong ống.(chi tiết file đính kèm)"/>
        <s v="đề nghị cần đổi 1 lọ Winduza SO 1418299 do độ tan không đồng đều (chưa biết chính xác lí do gì)"/>
        <s v="Lọ thuốc đông đá 1 phần"/>
        <s v="nghi ngờ sản phẩm không chính hãng, sản phẩm không có tem nhập khẩu, chất lượng in tệ_x000a_nghi ngờ về nguồn gốc và yêu cầu chứng minh nguồn gốc của thuốc, chứng minh sản phẩm nhập chính hãng"/>
        <s v="có 1 cây Soliqua bị lỗi không bơm thuốc lên được"/>
        <s v="Viện vừa khui hộp nguyên FORLAX thì có gói bị rách (có hình ảnh đính kèm trong mail)"/>
        <s v="Yêu cầu gửi giấy tiếp nhận của Cục về nội dung công bố giá của sản phẩm Beyfortus, do khách không thấy trên cổng dịch vụ công. "/>
        <s v="khi khách hàng vào phòng tiêm, nhân viên y tế đã lấy lọ Verorab để tư vấn và chuẩn bị pha tiêm theo đúng quy trình. Tuy nhiên, khi đưa kim tiêm vào ống sạc thuốc để tiến hành pha, kim tiêm bất ngờ rơi ra khỏi ống sạc, làm dung môi đổ ra ngoài và không thể tiếp tục sử dụng._x000a_Qua kiểm tra ban đầu, chúng tôi nghi ngờ phần đốc kim có thể đã bị lỗi trước khi pha tiêm. Do phần này trong suốt nên rất khó quan sát bằng mắt thường, dẫn đến nhân viên không phát hiện bất thường trước khi thao tác. Đây là sự cố ngoài ý muốn và trong suốt thời gian sử dụng sản phẩm trước đây, chúng tôi chưa từng gặp tình huống tương tự._x000a_Sự việc không chỉ gây hao hụt thuốc (vắc xin) mà còn ảnh hưởng đến quy trình chuyên môn và tâm lý khách hàng tại thời điểm xảy ra sự cố._x000a_Vì vậy, chúng tôi kính đề nghị Quý Công ty/Quý Nhà phân phối xem xét hỗ trợ hoàn lại cho bệnh viện 01 lọ Verorab mới tương ứng với sản phẩm bị hỏng nêu trên"/>
        <s v="Bệnh viện Hùng Vương Gia Lai xin phản hồi chất lượng của sản phẩm Toujeo_x000a_Bình thường bệnh nhân sẽ dùng được hơn 1 tháng, tuy nhiên mới 10 ngày thì thuốc hết ."/>
        <s v="Hoàng Đức nhận được phản ánh từ khách hàng báo người nhà có uống 1 ống Calcium Corbière (mua ở Nhà thuốc số 2 tại khu vực của khách - không nói rõ địa chỉ) thì nhận thấy ống thuốc có vị chua và đắng, không giống mọi khi thường dùng. Khách cần kiểm tra vị này có đúng thực tế hay không do nghi ngại thuốc có vấn đề chất lượng"/>
        <s v="Viên thuốc bị vỡ"/>
        <s v="Bv có phản ánh có 3 vỉ thuốc bị bong góc dập nên bị hở"/>
        <s v="Khi thực hiện rút nút cao su thì phát hiện đầu kim tiêm bị gãy"/>
        <s v="1 bút bị lỗi không bấm được"/>
        <s v="Khách hàng báo viên thuốc bị vỡ, đổi màu như hình đính kèm"/>
        <s v="Tình trạng viên tan rã có mùi hôi nồng:_x000a_Bệnh nhân uống vào không có tác dụng điều trị hạ huyết áp"/>
        <s v="bị chảy nước"/>
        <s v="Khi giao hàng, viện chỉ đồng kiểm với giao hàng về số lượng hàng hóa, không phát hiện lỗi tại thời điểm giao hàng, có ký nhận hóa đơn. Hôm qua (30/3) khi viện dỡ thuốc ra khỏi thùng để xếp thì phát hiện ra có 1 hộp bị ướt ngoài vỏ hộp, mở ra kiểm tra thì phát hiện có ống bị vỡ và ố vàng"/>
        <s v="Khi giao hàng, viện chỉ đồng kiểm với giao hàng về số lượng hàng hóa, không phát hiện lỗi tại thời điểm giao hàng, có ký nhận hóa đơn. Đơn giao thành công 10/03, 1 tuần sau (17/3) viện sử dụng hàng có phát hiện ra hàng bị vỡ (ảnh đính kèm). Đơn khi giao cho viện đóng trong 1 kiện lẻ, không cùng với hàng khác."/>
        <s v="Sản phẩm khi bán cho bệnh nhân còn nguyên nhưng khi bệnh nhân mở ra để sử dụng thì phát hiện tuýp thuốc bị rách "/>
        <s v="viện sử dụng thuốc thì phát hiện 1 bơm bị gãy kim"/>
        <s v="Vỉ thuốc bị rách bao bạc "/>
        <s v="Khi thực hiện rút nút cao su thì phát hiện đầu kim tiêm bị gãy (file đính kèm)"/>
        <s v="do cứng bút, không vặn tiêm được. Nhân viên y tế đã có thao tác các bước kiểm tra tại thời điểm tiếp nhận và xác nhận lỗi nên đã đổi bút khác cho bệnh nhận"/>
        <s v="Vào ngày 5/4/2026 phòng tiêm có lấy 1 kim tiêm có chứa dung môi bị lỗi . Khi nhân viên rút đầu kim ra là đã thấy kim còn gắn vào thân ống kim . Và chúng tôi thấy đầu gắn kim đã bị lỗi "/>
        <s v="Loại kim tương thích cho Lantus"/>
        <s v="Không có thuốc trong vỉ"/>
        <s v="Viên bị hư"/>
        <s v="Gãy, lỗi vòi xịt"/>
        <s v="Không có bơm tiêm"/>
        <s v="viên bị vỡ"/>
        <s v="Trong quá trình sử dụng sản phẩm thuốc CISPLATIN INJECTION 50MG/50ML (Cisplatin 1mg) và tham khảo qua tờ Hướng dẫn sử dụng của thuốc, Bệnh viện có thắc mắc kính nhờ quý công ty giải đáp như sau:_x000a_Về điều kiện bảo quản: Do đặc thù là bệnh viện nhi, trong một số trường hợp bệnh nhi không sử dụng hết toàn bộ thể tích thuốc đã pha loãng, vậy xin quý công ty cho biết Dung dịch sau pha loãng với dung môi có thể bảo quản trong bao lâu và ở điều kiện như thế nào?_x000a_Để chúng tôi có thể hoàn thành công việc trong thời hạn quy định, xin Quý công ty vui lòng phản hồi nội dung tư vấn bằng văn bản chính thức và cung cấp các kết quả nghiên cứu/ tài liệu làm căn cứ khoa học (nếu có) cho các nội dung tư vấn liên quan đến vấn đề trên trước 16h00 ngày 24/04/2026."/>
        <s v="Hỏng nút vặn"/>
        <s v="Viện báo lỗi 1 bút Zoladex 10.8mg do khi mở bao bì chứa bút đã thấy bút bung ra"/>
        <s v=" không vặn liều được, bút Bệnh nhân chưa dùng lần nào về mở lần đầu tiên để tiêm thì bị lỗi"/>
        <s v="Trong lúc điều dưỡng đuổi bọt khí thì nòng kim bị lỏng, không hít, dẫn đến tình trạng bị tuột vắc xin ra ngoài (bị tuột Pitong ra ngoài)"/>
        <s v="Khi thực hiện đuổi khí thì phát hiện pittong bị cứng và không đuổi khí được"/>
        <s v="Khách báo mở sản phẩm ra thì bị phồng rộp hết các hộp thuốc như hình đính kèm."/>
        <s v="1 bút lỗi bị cứng không điều chỉnh liều"/>
        <s v="2 bút bị phình đầu bơm tiêm, không gắn đầu kim được"/>
        <s v="01 viên dính giấy bạc bên trong, vỡ"/>
        <s v="Thân chai bị nứt và thuốc bị chảy dính viên lại với nhau"/>
        <s v="bị phồng"/>
        <s v="Ngày 23/5/2026 DS mở seal hộp thuốc ra và phát hiện gói hút ẩm bị lỗi không còn nguyên vẹn, các hạt hút ẩm bị rơi ra khỏi túi nilong và trộn lẫn với thuốc"/>
        <s v="Khách báo có vẻ như bị mốc, viên màu trắng có đốm vàng"/>
        <s v="1 liều vaccine hexaxim bị tuột Pitong ra ngoài"/>
        <s v="BN tới mua tại NT báo màu bên NT nhạt hơn, BN báo uống hàng của NT bị dị ứng ngứa"/>
        <s v="báo cáo về việc vắc xin bị lỗi như sau: sáng hôm nay (3/6/2026) khi lấy vắc xin Hexaxim ra để tiêm cho khách thì phát hiện ống xi lanh chứa vắc xin có lượng thuốc ít hơn bình thường (hình ảnh gửi kèm) và có dấu hiệu thuốc bị chảy ra khay nhựa (chứa xi lanh)"/>
        <s v="có dị vật bên trong"/>
        <s v="Ngày 04/06/2026, Kho Công ty Hapharco có nhận hàng từ Chi nhánh công ty TNHH Dược phẩm và trang thiết bị Hoàng Đức 200 hộp Depakine  200mg/ml lô FLB04368 (tương đương 4 kiện nguyên) theo hóa đơn 00071180 ( ngày 2/6/2026)._x000a_Trong quá trình kiểm nhập 100% số hàng hóa, phát hiện tổng 05 hộp Depakine  200mg/ml lô FLB04368 bị rách vỏ trong 02 kiện nguyên."/>
        <s v="bị mờ thông tin lô date trên vỏ hộp"/>
        <s v="viên thuốc bị bong bên trong vỉ như hình đính kèm"/>
        <s v=" thuốc bị bong phần bột ở viên nén"/>
        <s v="hộp có tem niêm phong 2 đầu, khi mở hộp ra thấy dung dịch trong chai chảy ra nắp lọ và chảy ra hộp như ảnh đính kèm"/>
        <s v="hộp thuốc không có số lô và số date."/>
        <s v="hộp còn nguyên nhìn bên ngoài không bị chảy nước hay ố vàng nhưng bên trong các ống thuốc lại bị bể"/>
        <s v="Thiếu 1 lọ trong hộp nguyên seal"/>
        <s v="Ống thuốc lỗi như hình ảnh đính kèm (ống thuốc bên trong có vẩn đục)"/>
        <s v="Do có phản ứng ADR nên khách yêu cầu đổi trả"/>
        <s v="1 lọ bột đông khô bị vỡ "/>
        <s v="Sau khi pha khoảng 01 tiếng 30 phút sau quan sát bằng cảm quan phát hiện bơm tiêm 50ml chứa thuốc iritero 33mg tương đương 1.65ml và Glucose 5% vđ 50ml những bọt li ti quanh thành và đáy bơm tiêm, dung dịch bị đục hơn so với khi vừa mới pha."/>
        <s v="Bị lỗi vỉ trong hộp nguyên"/>
        <s v="Khi thực hiện kiểm tra cảm quan thì phát hiện Pittong bị vỡ và tem dán trên bơm tiêm bị rách"/>
        <s v="Mất nhãn "/>
        <s v="2hộp vaccine Tetraxim bị dính vào nhau (hình ảnh đính kèm)"/>
        <s v="Bút bị lỗi "/>
        <s v="Bị móp"/>
        <s v="Bút bị lỗi bơm không ra thuốc"/>
        <s v="Santen nhận được khiếu nại như sau:_x000a_Nhà thuốc Bệnh viện Mắt Sài Gòn, 77 Nguyễn Du, phường Hai Bà Trưng, Hà Nội. Người liên hệ: Vũ Ngân Giang– 0943923419_x000a_Thông tin khiếu nại: Bệnh nhân khám ngày 17/7, mở hộp vào 18/7. BN khám và mua thuốc tại Bệnh viện Mắt Sài Gòn – Hà Nội (Nguyễn Du), lưu trữ tại nhà. Khi mua sản phẩm không có biểu hiện gì, nhưng lúc BN mở ra thấy tổ kiến trong hộp giấy (thuốc trong túi nhôm vẫn nguyên vẹn)._x000a_Sản phẩm được phân phối qua Chân Tâm"/>
        <s v="phản ánh có dùng CORDARONE chung với nước biển thì có hiện tượng sủi bọt"/>
        <s v="hộp thuốc có 1 viên bị đổi màu"/>
        <s v="Không có thuốc bên trong bút tiêm"/>
        <s v="BV Bình Dân có phản hồi về việc sản phẩm Fortrans bị rách túi như trên hình._x000a_Nhà thuốc báo đã có 4-5 hộp, mỗi hộp 1-2 gói."/>
        <s v="Dung dịch bị đặc"/>
        <s v="Khách hàng TRUNG TÂM KIỂM SOÁT BỆNH TẬT ĐÀ NẴNG có khiếu nại về việc: Thông tin Lô sản xuất trên vỏ hộp và bơm tiêm khác nhau. Hiện khách đang yêu cầu giải thích về sự sai khác trên. Thông tin cụ thể sản phẩm:_x000a_Tetraxim: Lô trên bơm tiêm (Y3D98); Số lô trên vỏ hộp (Y3D98D1)_x000a_Avaxim: Lô trên bơm tiêm (Y3G10); Số lô trên vỏ hộp (Y3G10D1)"/>
        <s v="bị lỗi mốc"/>
        <s v="Chai bị nứt"/>
        <s v="lỗi dập vỉ"/>
        <s v="Khi kiểm tra cảm quan thì phát hiện cạnh trên thân bơm tiêm chứa dung môi bị vỡ"/>
        <s v="Khi thực hiện kiểm tra cảm quan thì phát hiện Pittong bị gãy"/>
        <s v="Khi thực hiện đuổi khí thì phát hiện pittong bị cứng, không đuổi được khí"/>
        <s v="Ngày 20/08/2026 viện có lấy hàng ra để sử dung thì  có 1 bơm Zoladex 3.6 lỗi “khi rút cái đỏ ra thì kim tự rơi ra luôn”"/>
        <s v="Sau khi nhận hàng kho thuốc có vận chuyển thùng thuốc ra kho lẻ để xếp lên tủ thì phát hiện dưới đáy thùng các hộp nospa 40mg dạng ống đều bị ngả màu vàng, vỏ hộp ẩm ( có hình ảnh đi kèm)"/>
        <s v="01 vỉ chứa 01 viên bị lỗi"/>
        <s v="Trong hộp mới có 1 ống thuốc bị bể đầu chảy thuốc ướt ngoài vỉ (1 ống)._x000a_-Hình ảnh bên ngoài của hộp thuốc: không có dấu hiệu bất thường, vị trí ống bể: ở đầu vỉ, tại vị trí bể có dấu hiệu bị ướt rồi khô lại, trong ống vẫn còn nửa ống thuốc."/>
        <s v="Khi mở hộp thuốc (còn nguyên niêm phong) để cấp phát cho người bệnh, bệnh viện phát hiện 1 bút thuốc không có nắp (đính kèm hình ảnh) do đó bệnh viện đã biệt trữ 1 hộp 3 bút và cấp phát hộp thuốc khác cho người bệnh."/>
        <s v="mặt vát kim bị lệch"/>
        <s v="Khách hàng vừa nhận hàng ngày 27/08/2026, nhưng mới chỉ sử dụng được 3 lần xịt đã bị tắt vòi, không sử dụng được nữa"/>
        <s v="Khách khiếu nại bị vỡ 1 chai. Khách báo khi mở hàng vẫn còn nguyên seal bán cho khách mở ra mới thấy chai đã bị bể khô dưới đáy và hộp bên ngoài vẫn nguyên vẹn"/>
        <m u="1"/>
        <s v="Viên bị nứt" u="1"/>
        <s v="Ống thuốc lỗi như hình ảnh đính kèm (ống thuốc nguyên vẹn bên trong có vẩn đục)" u="1"/>
        <s v="Bị lủng trong hộp còn seal" u="1"/>
        <s v="1 hộp vaccine Avaxim không có lọ thuôc bên trong" u="1"/>
        <s v="10/10 vỉ có viên bị vỡ" u="1"/>
        <s v="2 bút bị phình đầu bơm tiêm, không gắn đầu kim được, 2 bút cứng không điều chỉnh được liều" u="1"/>
      </sharedItems>
    </cacheField>
    <cacheField name="Nguyên nhân khiếu nại/ Cause of complaint" numFmtId="0">
      <sharedItems containsBlank="1" longText="1"/>
    </cacheField>
    <cacheField name="Tình trạng/ Status" numFmtId="0">
      <sharedItems containsBlank="1" longText="1"/>
    </cacheField>
    <cacheField name="BẢO MẬT THÔNG TIN CÁ NHÂN" numFmtId="0">
      <sharedItems containsBlank="1"/>
    </cacheField>
    <cacheField name="HÌNH THỨC NHẬN" numFmtId="0">
      <sharedItems containsBlank="1"/>
    </cacheField>
    <cacheField name="XÁC NHẬN TỪ HÃNG" numFmtId="0">
      <sharedItems containsBlank="1" count="12">
        <s v="Chờ hủy"/>
        <s v="Trả lời câu hỏi"/>
        <s v="XUẤT MẪU NGAY NHẬN"/>
        <s v="HỦY KHIẾU NẠI"/>
        <s v="Xuất mẫu theo đợt"/>
        <s v="Chuyển bán"/>
        <s v="Không chấp nhận khiếu nại"/>
        <s v="Xuất mẫu ngay khi nhận"/>
        <s v="Chấp nhận nhưng không có mẫu khiếu nại thu về"/>
        <s v="Chờ xử lý"/>
        <s v="HuỶ khiếu nại"/>
        <m/>
      </sharedItems>
    </cacheField>
    <cacheField name="NGÀY NHẬN" numFmtId="14">
      <sharedItems containsNonDate="0" containsDate="1" containsString="0" containsBlank="1" minDate="2025-03-19T00:00:00" maxDate="2026-06-23T00:00:00"/>
    </cacheField>
    <cacheField name="THÁNG" numFmtId="0">
      <sharedItems containsNonDate="0" containsDate="1" containsString="0" containsBlank="1" minDate="1899-12-31T00:00:00" maxDate="1900-01-12T00:00:00"/>
    </cacheField>
    <cacheField name="FIXED EXP" numFmtId="0">
      <sharedItems containsDate="1" containsBlank="1" containsMixedTypes="1" minDate="2026-09-26T00:00:00" maxDate="2028-06-28T00:00:00" count="165">
        <s v="31/07/2026"/>
        <s v="05/03/2026"/>
        <s v="28/08/2026"/>
        <s v="31/12/2025"/>
        <s v=" 08/04/2026"/>
        <s v="28/02/2027"/>
        <s v="NA"/>
        <s v="30/08/2026"/>
        <s v="27/08/2027"/>
        <s v="31/10/2025"/>
        <s v="22/11/2027"/>
        <s v="31/05/2025"/>
        <s v="30/11/2026"/>
        <s v="22/05/2026"/>
        <s v="19/08/2027"/>
        <s v="14/09/2027"/>
        <s v="06/09/2027"/>
        <s v="31/10/2026"/>
        <s v="04/2027_x000a_05/2027"/>
        <s v="04/06/2027"/>
        <s v="31/01/2027"/>
        <s v="30/09/2025"/>
        <s v="30/06/2027"/>
        <s v="21/08/2026"/>
        <s v="20/12/2025"/>
        <s v="30/11/2025"/>
        <s v="24/05/2027"/>
        <s v="03/08/2027"/>
        <s v="27/12/2025"/>
        <s v="30/09/2026"/>
        <s v="31/07/2027"/>
        <s v="13/02/2026"/>
        <s v="01/05/2027"/>
        <s v="01/07/2027"/>
        <s v="07/02/2027"/>
        <s v="31/08/2026"/>
        <s v="12/12/2027"/>
        <s v="24/05/2026"/>
        <s v="23/03/2026"/>
        <s v="18/11/2025"/>
        <s v="04/01/2026"/>
        <s v="25/07/2026"/>
        <s v="22/01/2028"/>
        <s v="16/05/2027"/>
        <s v="30/04/2026"/>
        <s v="30/03/2027"/>
        <s v="17/10/2026"/>
        <s v="29/02/2028"/>
        <s v="31/08/2025"/>
        <s v="01/08/2026"/>
        <s v="21/01/2027"/>
        <s v="11/06/2026"/>
        <s v="21/01/2028"/>
        <s v="06/05/2029"/>
        <s v="27/03/2029"/>
        <s v="27/05/2027"/>
        <s v="07/05/2029"/>
        <s v=" _x000a_31/03/2027"/>
        <s v="12/12/2026"/>
        <s v="23/12/2027"/>
        <s v="02/10/2027"/>
        <s v="15/12/2026"/>
        <s v="06/06/2026"/>
        <s v="30/09/2027"/>
        <s v="30/04/2027    "/>
        <s v="19/11/2026"/>
        <s v="15/08/2027"/>
        <s v="17/08/2027"/>
        <s v="28/02/2026"/>
        <s v="15/10/2026"/>
        <s v="31/01/2028"/>
        <s v="CHƯA NHẬP NGÀY"/>
        <s v="27/11/2026"/>
        <s v="24/04/2029"/>
        <s v="31/08/2027"/>
        <s v="16/07/2026"/>
        <s v="01/06/2027"/>
        <s v="31/03/2027"/>
        <s v="15/05/2027"/>
        <s v="13/06/2027"/>
        <s v="07/08/2027"/>
        <s v="03/06/2029"/>
        <s v="30/04/2027"/>
        <s v="13/01/2027"/>
        <s v="19/10/2026"/>
        <s v="01/09/2027"/>
        <s v="11/08/2028"/>
        <s v="31/05/2027"/>
        <s v="17/02/2027"/>
        <s v="01/04/2027"/>
        <s v="01/01/2027"/>
        <s v="31/05/2028"/>
        <s v="30/06/2028"/>
        <s v="12/06/2029"/>
        <s v="31/01/2027_x000a_"/>
        <s v="12/09/2029"/>
        <s v=" 01/07/2029"/>
        <s v="29/09/2028"/>
        <s v="04/11/2028"/>
        <s v="21/12/2026"/>
        <s v="30/01/2027"/>
        <s v="03/02/2027"/>
        <s v="13/02/2027_x000a_"/>
        <d v="2028-06-27T00:00:00"/>
        <d v="2026-09-26T00:00:00"/>
        <s v="11/11/2027"/>
        <s v="28/11/2027"/>
        <s v="31/12/2026"/>
        <s v="31/07/2028"/>
        <s v="01/03/2027"/>
        <s v="31/05/2027_x000a_"/>
        <s v="05/03/2028"/>
        <s v="04/11/2027"/>
        <s v="13/09/2028"/>
        <s v="29/08/2028"/>
        <s v="31/08/2028"/>
        <s v="15/10/2028"/>
        <s v="03/09/2028"/>
        <s v="19/08/2028"/>
        <s v="31/12/2028"/>
        <s v="03/05/2027"/>
        <s v="28/08/2028"/>
        <s v="04/12/2027"/>
        <s v="30/09/2028"/>
        <s v="16/06/2027"/>
        <s v="28/05/2027"/>
        <s v="03/01/2028"/>
        <s v="19/09/2028"/>
        <s v="26/02/2028"/>
        <s v="19/03/2027"/>
        <s v="14/02/2029"/>
        <s v="07/11/2027"/>
        <s v=" 29/02/2028"/>
        <s v="04/02/2028"/>
        <s v="30/04/2028"/>
        <s v="13/03/2029"/>
        <s v="17/03/2030"/>
        <s v="28/07/2029"/>
        <s v="10/02/2028"/>
        <s v="15/02/2029"/>
        <s v="05/06/2028"/>
        <s v="31/10/2027"/>
        <s v="11/12/2027"/>
        <s v="27/02/2029"/>
        <s v="03/12/2028"/>
        <s v="09/03/2028"/>
        <s v="30/10/2027"/>
        <s v="31/01/2029"/>
        <s v="31/12/2027"/>
        <s v="10/03/2029"/>
        <s v=" 31/12/2027"/>
        <s v="Tetraxim: 28/02/2027; Avaxim: 31/07/2027"/>
        <s v="29/07/2029"/>
        <s v="25/06/2029"/>
        <s v="02/07/2028"/>
        <s v="31/03/2028"/>
        <s v="03/02/2029"/>
        <s v="18/06/2028"/>
        <s v=" 29/11/2027"/>
        <s v="10/05/2027"/>
        <s v="01/10/2026"/>
        <m u="1"/>
        <s v="03/02/2027_x000a_13/02/2027" u="1"/>
        <s v="11/04/2027" u="1"/>
        <s v="13/02/2027" u="1"/>
      </sharedItems>
    </cacheField>
    <cacheField name="FIXED IMPORT" numFmtId="0">
      <sharedItems containsDate="1" containsBlank="1" containsMixedTypes="1" minDate="2026-01-19T00:00:00" maxDate="2026-02-12T00:00:00" count="29">
        <s v="CHƯA NHẬP NGÀY"/>
        <s v="20/03/2025"/>
        <s v="24/04/2025"/>
        <s v="19/03/2025"/>
        <s v="16/04/2025"/>
        <s v="18/04/2025"/>
        <s v="28/03/2025"/>
        <s v="17/05/2025"/>
        <s v="15/04/2025"/>
        <s v="21/05/2025"/>
        <s v="01/07/2025"/>
        <s v="06/11/2025"/>
        <s v="10/10/2025"/>
        <s v="20/10/2025"/>
        <s v="31/10/2025"/>
        <s v="29/12/2025"/>
        <d v="2026-01-19T00:00:00"/>
        <d v="2026-02-10T00:00:00"/>
        <d v="2026-02-11T00:00:00"/>
        <s v="02/03/2026"/>
        <s v="17/04/2026"/>
        <s v="20/05/2026"/>
        <s v="17/06/2026"/>
        <s v="08/06/2026"/>
        <s v="22/06/2026"/>
        <m u="1"/>
        <s v="03/11/2025" u="1"/>
        <s v="15/03/2025" u="1"/>
        <s v="12/03/2025" u="1"/>
      </sharedItems>
    </cacheField>
    <cacheField name="FIXED Mft." numFmtId="0">
      <sharedItems count="155">
        <s v="NA"/>
        <s v="29/08/2024"/>
        <s v="01/02/2024"/>
        <s v="31/08/2024"/>
        <s v="27/08/2024"/>
        <s v="07/11/2022"/>
        <s v="28/06/2024"/>
        <s v="14/12/2023"/>
        <s v="04/06/2024"/>
        <s v="06/02/2024"/>
        <s v="01/10/2023"/>
        <s v="01/07/2020"/>
        <s v="21/08/2023"/>
        <s v="20/12/2023"/>
        <s v="03/12/2021"/>
        <s v="25/05/2024"/>
        <s v="01/08/2024"/>
        <s v="12/12/2024"/>
        <s v="24/05/2023"/>
        <s v="23/03/2023"/>
        <s v="31/07/2023"/>
        <s v="18/11/2022"/>
        <s v="04/01/2023"/>
        <s v="25/07/2024"/>
        <s v="22/01/2025"/>
        <s v="16/05/2024"/>
        <s v="18/05/2023"/>
        <s v="12/05/2023"/>
        <s v="09/10/2023"/>
        <s v="01/04/2024"/>
        <s v="01/03/2025"/>
        <s v="02/09/2022"/>
        <s v="16/03/2024"/>
        <s v="09/02/2024"/>
        <s v="06/11/2023"/>
        <s v="12/06/2024"/>
        <s v="21/01/2025"/>
        <s v="27/05/2024"/>
        <s v="23/12/2024"/>
        <s v="02/10/2024"/>
        <s v="16/12/2024"/>
        <s v="30/09/2024"/>
        <s v="31/01/2024"/>
        <s v="09/02/2023"/>
        <s v="20/05/2024"/>
        <s v="16/08/2024"/>
        <s v="18/08/2024"/>
        <s v="01/03/2024"/>
        <s v="02/03/2025"/>
        <s v="18/04/2025"/>
        <s v="02/02/2024"/>
        <s v="14/02/2025"/>
        <s v="19/10/2024"/>
        <s v="27/11/2024"/>
        <s v="01/09/2023"/>
        <s v="04/09/2024"/>
        <s v="CHƯA NHẬP NGÀY"/>
        <s v="16/07/2024"/>
        <s v="15/04/2024"/>
        <s v="15/05/2025"/>
        <s v="07/08/2024"/>
        <s v="17/07/2025"/>
        <s v="03/09/2024"/>
        <s v="01/10/2024"/>
        <s v="01/06/2025"/>
        <s v="18/02/2025"/>
        <s v="01/05/2024"/>
        <s v="01/01/2025"/>
        <s v="18/10/2024"/>
        <s v="22/05/2024"/>
        <s v="01/11/2024"/>
        <s v="21/10/2022"/>
        <s v="24/07/2024"/>
        <s v="18/02/2023"/>
        <s v="01/01/2024"/>
        <s v="27/06/2024"/>
        <s v="19/08/2024"/>
        <s v="28/02/2024"/>
        <s v="11/11/2025"/>
        <s v="28/11/2025"/>
        <s v="05/12/2024"/>
        <s v="01/08/2025"/>
        <s v="01/10/2025"/>
        <s v="03/10/2024"/>
        <s v="07/02/2023"/>
        <s v="01/07/2024"/>
        <s v="05/03/2025"/>
        <s v="12/07/2024"/>
        <s v="13/06/2025"/>
        <s v="16/05/2025"/>
        <s v="13/09/2025"/>
        <s v="30/08/2025"/>
        <s v="01/09/2025"/>
        <s v="29/08/2025"/>
        <s v="04/12/2024"/>
        <s v="04/02/2025"/>
        <s v="01/06/2024"/>
        <s v="20/09/2025"/>
        <s v="16/06/2025"/>
        <s v="15/02/2023"/>
        <s v="29/05/2025"/>
        <s v="04/01/2025"/>
        <s v="26/02/2026"/>
        <s v="20/03/2025"/>
        <s v="14/02/2026"/>
        <s v="08/11/2025"/>
        <s v="02/03/2024"/>
        <s v="04/08/2025"/>
        <s v="13/03/2026"/>
        <s v="17/03/2026"/>
        <s v="28/07/2025"/>
        <s v="11/02/2026"/>
        <s v="16/02/2026"/>
        <s v="18/08/2025"/>
        <s v="25/08/2025"/>
        <s v="05/06/2025"/>
        <s v="18/11/2024"/>
        <s v="15/02/2024"/>
        <s v="24/01/2024"/>
        <s v="21/05/2025"/>
        <s v="29/10/2024"/>
        <s v="30/05/2025"/>
        <s v="17/10/2024"/>
        <s v="12/12/2025"/>
        <s v="27/02/2026"/>
        <s v="22/05/2025"/>
        <s v="18/07/2025"/>
        <s v="19/04/2024"/>
        <s v="04/12/2025"/>
        <s v="10/03/2026"/>
        <s v="26/01/2026"/>
        <s v="31/10/2024"/>
        <s v="15/09/2025"/>
        <s v="01/02/2026"/>
        <s v="23/07/2025"/>
        <s v="Tetraxim: 22/03/2024; Avaxim: 25/08/2024"/>
        <s v="29/07/2025"/>
        <s v="12/07/2025"/>
        <s v="11/04/2025"/>
        <s v="03/05/2025"/>
        <s v="03/02/2026"/>
        <s v="19/06/2026"/>
        <s v="02/06/2026"/>
        <s v="11/10/2024"/>
        <s v="10/05/2025"/>
        <s v="30/06/2025"/>
        <s v="09/03/2024" u="1"/>
        <s v="07/12/2024" u="1"/>
        <s v="02/04/2025" u="1"/>
        <s v="09/01/2025" u="1"/>
        <s v="01/05/2025" u="1"/>
        <s v="12/04/2024" u="1"/>
        <s v="10/09/2023" u="1"/>
        <s v="28/11/2027" u="1"/>
        <s v="01/12/2024" u="1"/>
      </sharedItems>
    </cacheField>
    <cacheField name="Link" numFmtId="0">
      <sharedItems containsBlank="1"/>
    </cacheField>
    <cacheField name="Năm" numFmtId="0">
      <sharedItems containsSemiMixedTypes="0" containsString="0" containsNumber="1" containsInteger="1" minValue="2025" maxValue="2026"/>
    </cacheField>
    <cacheField name="CHI NHÁN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
  <r>
    <n v="1"/>
    <s v="SA"/>
    <x v="0"/>
    <x v="0"/>
    <m/>
    <x v="0"/>
    <x v="0"/>
    <x v="0"/>
    <x v="0"/>
    <x v="0"/>
    <d v="2026-07-31T00:00:00"/>
    <x v="0"/>
    <x v="0"/>
    <x v="0"/>
    <s v="NA"/>
    <s v="Ngày 03/01/2025, nhận được hướng xử lý từ hãng_x000a_Ngày 03/01/2025, Khách hàng hủy khiếu nại (&quot;Sau khi khoa kiểm tra lại bút Toujeo, thì đó là bút của bệnh nhân đem từ nhà lên chứ không phải của Bệnh viện phát. Nên em xin thông tin lại cho công ty. Trường hợp này không cần phải giải quyết gi nữa ạ. Em cảm ơn chị đã hỗ trợ&quot;)_x000a_--&gt; Hoàn tất"/>
    <m/>
    <b v="0"/>
    <x v="0"/>
    <m/>
    <m/>
    <x v="0"/>
    <x v="0"/>
    <x v="0"/>
    <s v="CC_010125-HCM_x000a_HUY"/>
    <n v="2025"/>
    <s v="HCM"/>
  </r>
  <r>
    <n v="2"/>
    <s v="NV"/>
    <x v="1"/>
    <x v="1"/>
    <m/>
    <x v="1"/>
    <x v="1"/>
    <x v="1"/>
    <x v="1"/>
    <x v="0"/>
    <d v="2026-03-05T00:00:00"/>
    <x v="1"/>
    <x v="0"/>
    <x v="1"/>
    <s v="Lỗi từ nhà sản xuất"/>
    <s v="Chấp nhận đổi hàng cho khách, hàng lỗi thu về chuyển sang khu vực chờ hủy theo xác nhận từ Phòng Kinh Doanh Dược_x000a_--&gt; Hoàn tất"/>
    <s v="x"/>
    <s v="ZALO"/>
    <x v="1"/>
    <m/>
    <d v="1899-12-31T00:00:00"/>
    <x v="1"/>
    <x v="0"/>
    <x v="0"/>
    <s v="CC_020125-HCM"/>
    <n v="2025"/>
    <s v="HCM"/>
  </r>
  <r>
    <n v="3"/>
    <s v="HT"/>
    <x v="2"/>
    <x v="2"/>
    <m/>
    <x v="2"/>
    <x v="2"/>
    <x v="2"/>
    <x v="2"/>
    <x v="1"/>
    <d v="2026-08-28T00:00:00"/>
    <x v="2"/>
    <x v="1"/>
    <x v="2"/>
    <s v="Lỗi từ nhà sản xuất"/>
    <s v="Ngày 20/01/2025, nhận được thông tin, chấp nhận đổi hàng cho khách và hàng khiếu nại cho vào khu vực chờ xử lý, chờ quyết định của hãng_x000a_--&gt; Hoàn tất_x000a_"/>
    <m/>
    <m/>
    <x v="0"/>
    <d v="2025-03-20T00:00:00"/>
    <d v="1899-12-31T00:00:00"/>
    <x v="2"/>
    <x v="1"/>
    <x v="1"/>
    <s v="CC_030125-HCM"/>
    <n v="2025"/>
    <s v="HCM"/>
  </r>
  <r>
    <n v="4"/>
    <s v="SA"/>
    <x v="3"/>
    <x v="3"/>
    <m/>
    <x v="3"/>
    <x v="3"/>
    <x v="3"/>
    <x v="3"/>
    <x v="0"/>
    <d v="2025-12-31T00:00:00"/>
    <x v="1"/>
    <x v="2"/>
    <x v="3"/>
    <s v="Lỗi từ nhà sản xuất"/>
    <s v="Thu 10 hộp xuất sang văn phòng hãng, Khách yêu cầu thu luôn 81 hộp-&gt; hãng đồng ý và tiến hành thu về_x000a_Đã hoàn thành xuất mẫu sang hãng ngày 04/02/2025_x000a_Ngày 26/02/2025, nhận được kết quả điều tra của hãng và đã gửi email đến khách_x000a_--&gt; Hoàn tất"/>
    <m/>
    <m/>
    <x v="2"/>
    <m/>
    <d v="1899-12-31T00:00:00"/>
    <x v="3"/>
    <x v="0"/>
    <x v="0"/>
    <s v="CC_040125-HCM"/>
    <n v="2025"/>
    <s v="HCM"/>
  </r>
  <r>
    <n v="5"/>
    <s v="OPELLA"/>
    <x v="3"/>
    <x v="4"/>
    <m/>
    <x v="4"/>
    <x v="4"/>
    <x v="4"/>
    <x v="4"/>
    <x v="0"/>
    <s v=" 08/04/2026"/>
    <x v="3"/>
    <x v="0"/>
    <x v="4"/>
    <s v="Lỗi từ nhà sản xuất"/>
    <s v="Hãng chấp nhận đền bù, Xuất mẫu sang văn phòng hãng_x000a_Ngày 17/01/2025, Khách hủy khiếu nại do không muốn cung cấp hồ sơ chứng từ cho việc hủy_x000a_--&gt; Hoàn tất"/>
    <m/>
    <m/>
    <x v="3"/>
    <m/>
    <d v="1899-12-31T00:00:00"/>
    <x v="4"/>
    <x v="0"/>
    <x v="0"/>
    <s v="CC_050125-ĐN_x000a_HUY"/>
    <n v="2025"/>
    <s v="ĐN"/>
  </r>
  <r>
    <n v="6"/>
    <s v="SA"/>
    <x v="4"/>
    <x v="5"/>
    <m/>
    <x v="5"/>
    <x v="5"/>
    <x v="0"/>
    <x v="0"/>
    <x v="2"/>
    <d v="2026-07-31T00:00:00"/>
    <x v="0"/>
    <x v="3"/>
    <x v="5"/>
    <s v="Không xác định được nguyên nhân"/>
    <s v="Ngày 14/01/2025, gửi email cho hãng_x000a_Hãng nhận khiếu nại nhưng vẫn đang đợi thêm thông tin điều tra từ phía khách hàng_x000a_Ngày 06/02/2025, khách hủy khiếu nại_x000a_--&gt; Hoàn tất"/>
    <m/>
    <m/>
    <x v="3"/>
    <m/>
    <d v="1899-12-31T00:00:00"/>
    <x v="0"/>
    <x v="0"/>
    <x v="2"/>
    <s v="CC_060125-HCM_x000a_HUY"/>
    <n v="2025"/>
    <s v="HCM"/>
  </r>
  <r>
    <n v="7"/>
    <s v="SA"/>
    <x v="4"/>
    <x v="6"/>
    <m/>
    <x v="6"/>
    <x v="6"/>
    <x v="5"/>
    <x v="5"/>
    <x v="0"/>
    <d v="2027-02-28T00:00:00"/>
    <x v="0"/>
    <x v="0"/>
    <x v="6"/>
    <s v="Lỗi từ nhà sản xuất"/>
    <s v="Ngày 15/01/2025, gửi email cho hãng_x000a_Ngày 16/01/2025. nhận được thông tin từu khách, báo hãng và hãng đồng ý đền bù cho khách, hàng thu về xuất sang văn phòng hãng"/>
    <m/>
    <m/>
    <x v="2"/>
    <m/>
    <d v="1899-12-31T00:00:00"/>
    <x v="5"/>
    <x v="0"/>
    <x v="0"/>
    <s v="CC_070125-HCM"/>
    <n v="2025"/>
    <s v="HCM"/>
  </r>
  <r>
    <n v="8"/>
    <s v="SA"/>
    <x v="5"/>
    <x v="7"/>
    <m/>
    <x v="3"/>
    <x v="7"/>
    <x v="3"/>
    <x v="6"/>
    <x v="0"/>
    <s v="NA"/>
    <x v="4"/>
    <x v="4"/>
    <x v="3"/>
    <s v="Lỗi từ nhà sản xuất"/>
    <s v="Tương tự case CC_040125-HCM_x000a_--&gt;Hoàn tất"/>
    <m/>
    <m/>
    <x v="2"/>
    <m/>
    <d v="1899-12-31T00:00:00"/>
    <x v="6"/>
    <x v="0"/>
    <x v="0"/>
    <s v="CC_080125-HCM"/>
    <n v="2025"/>
    <s v="HCM"/>
  </r>
  <r>
    <n v="9"/>
    <s v="HT"/>
    <x v="6"/>
    <x v="8"/>
    <m/>
    <x v="7"/>
    <x v="8"/>
    <x v="2"/>
    <x v="7"/>
    <x v="3"/>
    <d v="2026-08-30T00:00:00"/>
    <x v="1"/>
    <x v="0"/>
    <x v="7"/>
    <s v="Không xác định được nguyên nhân"/>
    <s v="Xin thêm thông tin từ khách, viên được phát hiện trong cấp lẻ cho bệnh nhân (BV giao cho bệnh nhân 1 hộp chẵn và 1 hộp lẻ)_x000a_Đang đợi thông tin phản hồi của hãng_x000a_Ngày 20/02/2025, hãng gửi công văn _x000a_Ngày 21/02/2025, mail cho CS để thông tin đến khách_x000a_--&gt; Hoàn tất"/>
    <m/>
    <m/>
    <x v="1"/>
    <m/>
    <d v="1899-12-31T00:00:00"/>
    <x v="7"/>
    <x v="0"/>
    <x v="3"/>
    <s v="CC_090125-HCM"/>
    <n v="2025"/>
    <s v="HCM"/>
  </r>
  <r>
    <n v="10"/>
    <s v="GZ"/>
    <x v="7"/>
    <x v="9"/>
    <m/>
    <x v="8"/>
    <x v="7"/>
    <x v="6"/>
    <x v="8"/>
    <x v="4"/>
    <d v="2027-08-27T00:00:00"/>
    <x v="1"/>
    <x v="0"/>
    <x v="8"/>
    <m/>
    <s v="Hãng chấp nhận đền bù, xuất mẫu sang văn phòng hãng_x000a_Ngày 10/02/2024, nhập kho và xuất mẫu trả hãng_x000a_--&gt; Hoàn tất"/>
    <m/>
    <m/>
    <x v="2"/>
    <m/>
    <d v="1899-12-31T00:00:00"/>
    <x v="8"/>
    <x v="0"/>
    <x v="4"/>
    <s v="CC_100125-HCM"/>
    <n v="2025"/>
    <s v="HCM"/>
  </r>
  <r>
    <n v="11"/>
    <s v="SA"/>
    <x v="8"/>
    <x v="10"/>
    <m/>
    <x v="9"/>
    <x v="9"/>
    <x v="7"/>
    <x v="9"/>
    <x v="5"/>
    <d v="2025-10-31T00:00:00"/>
    <x v="5"/>
    <x v="0"/>
    <x v="9"/>
    <s v="Lỗi từ nhà sản xuất"/>
    <s v="10/02/2025 báo email sang hãng, nhận được hướng xử lý từ hãng_x000a_Ngày 13/02/2025, CS thông tin số lô_x000a_--&gt; Hoàn tất_x000a_Ngày 06/03/2025, khách hủy khiếu nại, do không cung cấp được chứng từ cho việc đền bù"/>
    <m/>
    <m/>
    <x v="3"/>
    <m/>
    <d v="1900-01-01T00:00:00"/>
    <x v="9"/>
    <x v="0"/>
    <x v="5"/>
    <s v="CC_110225-HCM_x000a_HUY"/>
    <n v="2025"/>
    <s v="HCM"/>
  </r>
  <r>
    <n v="12"/>
    <s v="DV"/>
    <x v="9"/>
    <x v="11"/>
    <m/>
    <x v="10"/>
    <x v="10"/>
    <x v="8"/>
    <x v="10"/>
    <x v="0"/>
    <d v="2027-11-22T00:00:00"/>
    <x v="6"/>
    <x v="5"/>
    <x v="10"/>
    <s v="Lỗi từ nhà sản xuất"/>
    <s v="Ngày 11/02/2025, gửi email đến hãng và hãng nhận thông tin, đang chờ fb từ hãng_x000a_Ngày 21/05/2025, hãng gửi email đồng ý thu về toàn bộ các lô còn tồn tại BV"/>
    <m/>
    <m/>
    <x v="4"/>
    <m/>
    <d v="1900-01-01T00:00:00"/>
    <x v="10"/>
    <x v="0"/>
    <x v="0"/>
    <s v="CC_120225-HCM"/>
    <n v="2025"/>
    <s v="HCM"/>
  </r>
  <r>
    <n v="13"/>
    <s v="SA"/>
    <x v="10"/>
    <x v="12"/>
    <m/>
    <x v="11"/>
    <x v="11"/>
    <x v="9"/>
    <x v="11"/>
    <x v="6"/>
    <d v="2025-05-31T00:00:00"/>
    <x v="1"/>
    <x v="0"/>
    <x v="11"/>
    <s v="Lỗi từ nhà sản xuất"/>
    <s v="11/02/2025 báo email cho hãng và nhận được hướng xử lý_x000a_12/02/2025 nhận được thông tin số lô và hạn dùng sản phẩm khiếu nại_x000a_--&gt; Hoàn tất"/>
    <s v="x"/>
    <s v="ZALO"/>
    <x v="2"/>
    <d v="2025-04-24T00:00:00"/>
    <d v="1900-01-01T00:00:00"/>
    <x v="11"/>
    <x v="2"/>
    <x v="6"/>
    <s v="CC_130225-HCM"/>
    <n v="2025"/>
    <s v="HCM"/>
  </r>
  <r>
    <n v="14"/>
    <s v="SA"/>
    <x v="11"/>
    <x v="13"/>
    <m/>
    <x v="12"/>
    <x v="12"/>
    <x v="10"/>
    <x v="12"/>
    <x v="7"/>
    <d v="2026-11-30T00:00:00"/>
    <x v="1"/>
    <x v="0"/>
    <x v="12"/>
    <s v="Lỗi từ nhà sản xuất"/>
    <s v="14/02/2025 báo email cho hãng_x000a_17/02/2025 hãng chấp nhận khiếu nại và tiến hành thu hồi xuất sang văn phòng hãng_x000a_--&gt; Hoàn tất"/>
    <s v="x"/>
    <s v="ZALO"/>
    <x v="2"/>
    <m/>
    <d v="1900-01-01T00:00:00"/>
    <x v="12"/>
    <x v="0"/>
    <x v="7"/>
    <s v="CC_140225-HCM"/>
    <n v="2025"/>
    <s v="HCM"/>
  </r>
  <r>
    <n v="15"/>
    <s v="SA"/>
    <x v="12"/>
    <x v="14"/>
    <m/>
    <x v="13"/>
    <x v="13"/>
    <x v="11"/>
    <x v="13"/>
    <x v="0"/>
    <d v="2026-05-22T00:00:00"/>
    <x v="1"/>
    <x v="0"/>
    <x v="13"/>
    <s v="Lỗi từ nhà sản xuất"/>
    <s v="19/02/2025 báo email cho hãng_x000a_20/02/2025 nhận được phản hồi từ hãng. Không ảnh hưởng chất lượng nên hàng bán bình thường (móp nhẹ)"/>
    <m/>
    <m/>
    <x v="5"/>
    <m/>
    <d v="1900-01-01T00:00:00"/>
    <x v="13"/>
    <x v="0"/>
    <x v="0"/>
    <s v="CC_150225-HCM"/>
    <n v="2025"/>
    <s v="HCM"/>
  </r>
  <r>
    <n v="16"/>
    <s v="IMEX"/>
    <x v="13"/>
    <x v="15"/>
    <m/>
    <x v="14"/>
    <x v="14"/>
    <x v="12"/>
    <x v="14"/>
    <x v="0"/>
    <d v="2027-08-19T00:00:00"/>
    <x v="7"/>
    <x v="6"/>
    <x v="14"/>
    <s v="Lỗi từ nhà sản xuất"/>
    <s v="27/02/2025, nhận được xác nhận từ team kinh doanh đổi hàng cho khách_x000a_03/03/2025 báo email complaint với nhà sản xuất_x000a_18/03/2025 vẫn chưa nhận được phản hồi từ hãng_x000a_21/03/2025, nhận được email từ nhà máy, đồng ý đền bù cho khách và sẽ xuất trả mẫu cho nhà máy để điều tra nguyên nhân_x000a__x000a_"/>
    <m/>
    <m/>
    <x v="2"/>
    <d v="2025-03-19T00:00:00"/>
    <d v="1900-01-01T00:00:00"/>
    <x v="14"/>
    <x v="3"/>
    <x v="0"/>
    <s v="CC_160225-HCM"/>
    <n v="2025"/>
    <s v="HCM"/>
  </r>
  <r>
    <n v="17"/>
    <s v="IMEX"/>
    <x v="13"/>
    <x v="15"/>
    <m/>
    <x v="14"/>
    <x v="14"/>
    <x v="12"/>
    <x v="15"/>
    <x v="0"/>
    <d v="2027-09-14T00:00:00"/>
    <x v="7"/>
    <x v="7"/>
    <x v="14"/>
    <s v="Lỗi từ nhà sản xuất"/>
    <s v="27/02/2025, nhận được xác nhận từ team kinh doanh đổi hàng cho khách_x000a_03/03/2025 báo email complaint với nhà sản xuất_x000a_18/03/2025 vẫn chưa nhận được phản hồi từ hãng_x000a_21/03/2025, nhận được email từ nhà máy, đồng ý đền bù cho khách và sẽ xuất trả mẫu cho nhà máy để điều tra nguyên nhân_x000a__x000a_"/>
    <m/>
    <m/>
    <x v="2"/>
    <d v="2025-03-19T00:00:00"/>
    <d v="1900-01-01T00:00:00"/>
    <x v="15"/>
    <x v="3"/>
    <x v="0"/>
    <s v="CC_160225-HCM"/>
    <n v="2025"/>
    <s v="HCM"/>
  </r>
  <r>
    <n v="18"/>
    <s v="IMEX"/>
    <x v="13"/>
    <x v="15"/>
    <m/>
    <x v="14"/>
    <x v="14"/>
    <x v="12"/>
    <x v="16"/>
    <x v="0"/>
    <d v="2027-09-06T00:00:00"/>
    <x v="7"/>
    <x v="0"/>
    <x v="14"/>
    <s v="Lỗi không xuất phát từ quá trình sản xuất, đóng gói giao nhận"/>
    <s v="27/02/2025, nhận được xác nhận từ team kinh doanh đổi hàng cho khách_x000a_03/03/2025 báo email complaint với nhà sản xuất_x000a_18/03/2025 vẫn chưa nhận được phản hồi từ hãng_x000a_21/03/2025, nhận được email từ nhà máy, đồng ý đền bù cho khách và sẽ xuất trả mẫu cho nhà máy để điều tra nguyên nhân_x000a_Ngày 15/04/2025 nhận được công văn giải thích của nhà máy, lỗi không xuất phát từ quá trình sản xuất, đóng gói giao nhận_x000a__x000a_"/>
    <m/>
    <m/>
    <x v="2"/>
    <d v="2025-03-19T00:00:00"/>
    <d v="1900-01-01T00:00:00"/>
    <x v="16"/>
    <x v="3"/>
    <x v="0"/>
    <s v="CC_160225-HCM"/>
    <n v="2025"/>
    <s v="HCM"/>
  </r>
  <r>
    <n v="19"/>
    <s v="IMEX"/>
    <x v="13"/>
    <x v="15"/>
    <m/>
    <x v="14"/>
    <x v="14"/>
    <x v="12"/>
    <x v="17"/>
    <x v="0"/>
    <d v="2027-09-14T00:00:00"/>
    <x v="7"/>
    <x v="7"/>
    <x v="14"/>
    <s v="Lỗi từ nhà sản xuất"/>
    <s v="27/02/2025, nhận được xác nhận từ team kinh doanh đổi hàng cho khách_x000a_03/03/2025 báo email complaint với nhà sản xuất_x000a_18/03/2025 vẫn chưa nhận được phản hồi từ hãng_x000a_21/03/2025, nhận được email từ nhà máy, đồng ý đền bù cho khách và sẽ xuất trả mẫu cho nhà máy để điều tra nguyên nhân_x000a__x000a_"/>
    <m/>
    <m/>
    <x v="2"/>
    <d v="2025-03-19T00:00:00"/>
    <d v="1900-01-01T00:00:00"/>
    <x v="15"/>
    <x v="3"/>
    <x v="0"/>
    <s v="CC_160225-HCM"/>
    <n v="2025"/>
    <s v="HCM"/>
  </r>
  <r>
    <n v="20"/>
    <s v="IMEX"/>
    <x v="13"/>
    <x v="15"/>
    <m/>
    <x v="14"/>
    <x v="14"/>
    <x v="12"/>
    <x v="14"/>
    <x v="0"/>
    <d v="2027-08-19T00:00:00"/>
    <x v="7"/>
    <x v="6"/>
    <x v="14"/>
    <s v="Lỗi từ nhà sản xuất"/>
    <s v="27/02/2025, nhận được xác nhận từ team kinh doanh đổi hàng cho khách_x000a_03/03/2025 báo email complaint với nhà sản xuất_x000a_18/03/2025 vẫn chưa nhận được phản hồi từ hãng_x000a_21/03/2025, nhận được email từ nhà máy, đồng ý đền bù cho khách và sẽ xuất trả mẫu cho nhà máy để điều tra nguyên nhân_x000a__x000a_"/>
    <m/>
    <m/>
    <x v="2"/>
    <d v="2025-03-19T00:00:00"/>
    <d v="1900-01-01T00:00:00"/>
    <x v="14"/>
    <x v="3"/>
    <x v="0"/>
    <s v="CC_160225-HCM"/>
    <n v="2025"/>
    <s v="HCM"/>
  </r>
  <r>
    <n v="21"/>
    <s v="RD"/>
    <x v="14"/>
    <x v="16"/>
    <m/>
    <x v="15"/>
    <x v="15"/>
    <x v="13"/>
    <x v="18"/>
    <x v="0"/>
    <d v="2026-10-31T00:00:00"/>
    <x v="1"/>
    <x v="0"/>
    <x v="15"/>
    <s v="Lỗi từ nhà sản xuất"/>
    <s v="Nhận được email từ CS rằng hãng đồng ý đền bù 12/03/2025"/>
    <m/>
    <m/>
    <x v="0"/>
    <m/>
    <d v="1900-01-02T00:00:00"/>
    <x v="17"/>
    <x v="0"/>
    <x v="0"/>
    <s v="CC_170325-HN"/>
    <n v="2025"/>
    <s v="HN"/>
  </r>
  <r>
    <n v="22"/>
    <s v="SA"/>
    <x v="15"/>
    <x v="17"/>
    <m/>
    <x v="16"/>
    <x v="16"/>
    <x v="14"/>
    <x v="19"/>
    <x v="0"/>
    <s v="04/2027_x000a_05/2027"/>
    <x v="1"/>
    <x v="8"/>
    <x v="16"/>
    <s v="Không xác định được nguyên nhân"/>
    <s v="Ngày 17/03/2025, báo email cho khách, kho, GSDP xin thêm thông tin cho điều tra nguyên nhân_x000a_Ngày 20/03/2025, báo email cho khách đồng ý đổi hàng cho khách, vì hàng móp nhẹ, không ảnh hưởng chất lượng sản phẩm bên trong. _x000a_Hàng khiếu nại thu về sẽ xem xét cho việc release"/>
    <m/>
    <m/>
    <x v="5"/>
    <m/>
    <d v="1900-01-02T00:00:00"/>
    <x v="18"/>
    <x v="0"/>
    <x v="0"/>
    <s v="CC_180325-HN"/>
    <n v="2025"/>
    <s v="HN"/>
  </r>
  <r>
    <n v="23"/>
    <s v="OPELLA"/>
    <x v="16"/>
    <x v="18"/>
    <m/>
    <x v="17"/>
    <x v="17"/>
    <x v="15"/>
    <x v="20"/>
    <x v="8"/>
    <d v="2027-06-04T00:00:00"/>
    <x v="3"/>
    <x v="6"/>
    <x v="17"/>
    <s v="Lỗi từ nhà sản xuất"/>
    <s v="Ngày 17/03/2025, báo email cho CS xin thêm thông tin_x000a_Ngày 18/03/2025, remind CS"/>
    <m/>
    <m/>
    <x v="4"/>
    <m/>
    <d v="1900-01-02T00:00:00"/>
    <x v="19"/>
    <x v="0"/>
    <x v="8"/>
    <s v="CC_190325-HCM_x000a_HUY"/>
    <n v="2025"/>
    <s v="HCM"/>
  </r>
  <r>
    <n v="24"/>
    <s v="SA"/>
    <x v="16"/>
    <x v="19"/>
    <m/>
    <x v="18"/>
    <x v="18"/>
    <x v="10"/>
    <x v="21"/>
    <x v="9"/>
    <d v="2027-01-31T00:00:00"/>
    <x v="5"/>
    <x v="0"/>
    <x v="18"/>
    <s v="Lỗi từ nhà sản xuất"/>
    <s v="Ngày 18/03/2025, nhận được email hướng xử lý từ hãng"/>
    <s v="x"/>
    <s v="email"/>
    <x v="2"/>
    <d v="2025-04-16T00:00:00"/>
    <d v="1900-01-02T00:00:00"/>
    <x v="20"/>
    <x v="4"/>
    <x v="9"/>
    <s v="CC_200325-HCM"/>
    <n v="2025"/>
    <s v="HCM"/>
  </r>
  <r>
    <n v="25"/>
    <s v="AB"/>
    <x v="17"/>
    <x v="20"/>
    <m/>
    <x v="19"/>
    <x v="19"/>
    <x v="16"/>
    <x v="22"/>
    <x v="10"/>
    <d v="2025-09-30T00:00:00"/>
    <x v="1"/>
    <x v="0"/>
    <x v="19"/>
    <s v="Lỗi từ nhà sản xuất"/>
    <s v="Ngày 21/03/2025, báo email cho Plan để làm việc với nhà cung cấp_x000a_Ngày 24/03/2025, nhờ CS xin thêm thông tin để Plan báo hãng_x000a_Ngày 27/03/2025, nhận được thông tin và đã phản hồi cho cho Plan_x000a_Ngày 04/04/2025, nhận được hướng xử lý từ hãng, chấp nhận đền bù cho khách"/>
    <m/>
    <m/>
    <x v="2"/>
    <m/>
    <d v="1900-01-02T00:00:00"/>
    <x v="21"/>
    <x v="0"/>
    <x v="10"/>
    <s v="CC_210325-HN"/>
    <n v="2025"/>
    <s v="HN"/>
  </r>
  <r>
    <n v="26"/>
    <s v="SA"/>
    <x v="17"/>
    <x v="21"/>
    <m/>
    <x v="20"/>
    <x v="20"/>
    <x v="17"/>
    <x v="23"/>
    <x v="11"/>
    <d v="2027-06-30T00:00:00"/>
    <x v="1"/>
    <x v="0"/>
    <x v="20"/>
    <s v="Lỗi từ nhà sản xuất"/>
    <s v="Ngày 24/03/2025, nhận được hướng xử lý của hãng, hãng đồng ý khiếu nại"/>
    <s v="x"/>
    <s v="hình ảnh"/>
    <x v="4"/>
    <d v="2025-04-18T00:00:00"/>
    <d v="1900-01-02T00:00:00"/>
    <x v="22"/>
    <x v="5"/>
    <x v="11"/>
    <s v="CC_220325-HCM"/>
    <n v="2025"/>
    <s v="HCM"/>
  </r>
  <r>
    <n v="27"/>
    <s v="DV"/>
    <x v="17"/>
    <x v="22"/>
    <m/>
    <x v="21"/>
    <x v="21"/>
    <x v="18"/>
    <x v="24"/>
    <x v="12"/>
    <d v="2026-08-21T00:00:00"/>
    <x v="7"/>
    <x v="9"/>
    <x v="21"/>
    <s v="Lỗi từ nhà sản xuất"/>
    <s v="Ngày 25/03/2025, báo cho Plan_x000a_Xin thêm thông tin hình ảnh_x000a_Ngày 04/04/2025, DAVI yêu cầu điều tra nguyên nhân_x000a_21/04/2025, nhận được thông tin từ nhà máy DAVI không do DAVI nhập khẩu nên đóng case_x000a_22/04/2025, SALE DAVI sẽ làm việc trực tiếp với bệnh viện_x000a_05/05/2025, bệnh viện đã được Sale liên hệ"/>
    <m/>
    <m/>
    <x v="6"/>
    <m/>
    <d v="1900-01-02T00:00:00"/>
    <x v="23"/>
    <x v="0"/>
    <x v="12"/>
    <s v="CC_230325-HCM"/>
    <n v="2025"/>
    <s v="HCM"/>
  </r>
  <r>
    <n v="28"/>
    <s v="AZ"/>
    <x v="18"/>
    <x v="23"/>
    <m/>
    <x v="22"/>
    <x v="22"/>
    <x v="19"/>
    <x v="25"/>
    <x v="13"/>
    <d v="2025-12-20T00:00:00"/>
    <x v="1"/>
    <x v="0"/>
    <x v="22"/>
    <s v="Lỗi từ nhà sản xuất"/>
    <s v="Ngày 27/03/2025 báo email cho hãng_x000a_Ngày 01/04/2025 nhận được email từ hãng chấp nhận khiếu nại và xuất mẫu khiếu nại về nhà máy_x000a_--&gt; Hoàn tất"/>
    <m/>
    <m/>
    <x v="2"/>
    <m/>
    <d v="1900-01-02T00:00:00"/>
    <x v="24"/>
    <x v="0"/>
    <x v="13"/>
    <s v="CC_240325-HCM"/>
    <n v="2025"/>
    <s v="HCM"/>
  </r>
  <r>
    <n v="29"/>
    <s v="SA"/>
    <x v="18"/>
    <x v="24"/>
    <m/>
    <x v="3"/>
    <x v="7"/>
    <x v="20"/>
    <x v="26"/>
    <x v="14"/>
    <d v="2025-11-30T00:00:00"/>
    <x v="4"/>
    <x v="4"/>
    <x v="23"/>
    <s v="Thắc mắc của khách hàng về hạn dùng"/>
    <s v="Ngày 28/03/2025 nhận được câu trả lời để giải đáp thắc mắc cho khách_x000a_--&gt; Hoàn tất"/>
    <m/>
    <m/>
    <x v="1"/>
    <d v="2025-03-28T00:00:00"/>
    <d v="1900-01-02T00:00:00"/>
    <x v="25"/>
    <x v="6"/>
    <x v="14"/>
    <s v="CC_250325-HCM"/>
    <n v="2025"/>
    <s v="HCM"/>
  </r>
  <r>
    <n v="30"/>
    <s v="MG"/>
    <x v="19"/>
    <x v="25"/>
    <m/>
    <x v="23"/>
    <x v="23"/>
    <x v="21"/>
    <x v="27"/>
    <x v="15"/>
    <d v="2027-05-24T00:00:00"/>
    <x v="0"/>
    <x v="0"/>
    <x v="24"/>
    <s v="Lỗi từ nhà sản xuất"/>
    <s v="Ngày 28/03/2025 nhận được hướng xử lý của hãng, chấp nhận khiếu nại, và xuất mẫu khiếu nại trả hãng_x000a_Ngày 01/04/2025, nhận được thông tin đổi số lượng khiếu nại từ 05 sang 01 bút"/>
    <m/>
    <m/>
    <x v="2"/>
    <m/>
    <d v="1900-01-02T00:00:00"/>
    <x v="26"/>
    <x v="0"/>
    <x v="15"/>
    <s v="CC_260325-HCM"/>
    <n v="2025"/>
    <s v="HCM"/>
  </r>
  <r>
    <n v="31"/>
    <s v="SA"/>
    <x v="20"/>
    <x v="26"/>
    <m/>
    <x v="3"/>
    <x v="7"/>
    <x v="7"/>
    <x v="12"/>
    <x v="16"/>
    <d v="2026-11-30T00:00:00"/>
    <x v="5"/>
    <x v="0"/>
    <x v="25"/>
    <s v="Lỗi từ nhà sản xuất"/>
    <s v="Ngày 03/04/2025, báo email cho hãng_x000a_Ngày 08/04/2025, nhận được hướng xử lý đổi hàng cho khách từ hãng_x000a_--&gt; Hoàn tất"/>
    <s v="x"/>
    <s v="email"/>
    <x v="2"/>
    <d v="2025-04-18T00:00:00"/>
    <d v="1900-01-03T00:00:00"/>
    <x v="12"/>
    <x v="5"/>
    <x v="7"/>
    <s v="CC_270425-HCM"/>
    <n v="2025"/>
    <s v="HCM"/>
  </r>
  <r>
    <n v="32"/>
    <s v="DV"/>
    <x v="21"/>
    <x v="27"/>
    <m/>
    <x v="24"/>
    <x v="24"/>
    <x v="22"/>
    <x v="28"/>
    <x v="0"/>
    <d v="2027-08-03T00:00:00"/>
    <x v="6"/>
    <x v="0"/>
    <x v="26"/>
    <s v="Lỗi từ nhà sản xuất"/>
    <s v="Ngày 04/04/2025, báo email cho hãng"/>
    <m/>
    <m/>
    <x v="2"/>
    <m/>
    <d v="1900-01-03T00:00:00"/>
    <x v="27"/>
    <x v="0"/>
    <x v="0"/>
    <s v="CC_280425-ĐN"/>
    <n v="2025"/>
    <s v="ĐN"/>
  </r>
  <r>
    <n v="33"/>
    <s v="DV"/>
    <x v="22"/>
    <x v="28"/>
    <m/>
    <x v="25"/>
    <x v="25"/>
    <x v="23"/>
    <x v="29"/>
    <x v="0"/>
    <d v="2025-12-27T00:00:00"/>
    <x v="1"/>
    <x v="0"/>
    <x v="27"/>
    <s v="Lỗi từ nhà sản xuất"/>
    <s v="Đền bù cho khách và thu mẫu khiếu nại_x000a_Ngày 19/05/2025, nhận được email yêu cầu điều tra tại kho và vận chuyển _x000a_19/06/2025, nhận được công văn trả lời từ DAVI_x000a_--&gt; Hoàn tất"/>
    <s v="x"/>
    <s v="email"/>
    <x v="2"/>
    <m/>
    <d v="1900-01-03T00:00:00"/>
    <x v="28"/>
    <x v="0"/>
    <x v="0"/>
    <s v="CC_290425-ĐN"/>
    <n v="2025"/>
    <s v="ĐN"/>
  </r>
  <r>
    <n v="34"/>
    <s v="SA"/>
    <x v="22"/>
    <x v="29"/>
    <m/>
    <x v="26"/>
    <x v="26"/>
    <x v="24"/>
    <x v="30"/>
    <x v="0"/>
    <d v="2026-09-30T00:00:00"/>
    <x v="1"/>
    <x v="0"/>
    <x v="28"/>
    <s v="Lỗi từ nhà sản xuất"/>
    <s v="Ngày 15/04/2025, báo email cho hãng và nhận được hướng xử lý. Chấp nhận _x000a_--&gt; Hoàn tất"/>
    <s v="x"/>
    <s v="ZALO"/>
    <x v="4"/>
    <d v="2025-05-17T00:00:00"/>
    <d v="1900-01-03T00:00:00"/>
    <x v="29"/>
    <x v="7"/>
    <x v="0"/>
    <s v="CC_300425-ĐN"/>
    <n v="2025"/>
    <s v="ĐN"/>
  </r>
  <r>
    <n v="35"/>
    <s v="RD"/>
    <x v="23"/>
    <x v="30"/>
    <m/>
    <x v="27"/>
    <x v="27"/>
    <x v="25"/>
    <x v="31"/>
    <x v="17"/>
    <d v="2027-07-31T00:00:00"/>
    <x v="1"/>
    <x v="0"/>
    <x v="29"/>
    <s v="Không xác định được nguyên nhân"/>
    <s v="Nhận được thông tin email từ hãng. Hàng khiếu nại thu về đúng điều kiện bảo quản_x000a_Hàng khiếu nại được thu hồi từ Hà Nội- hold tại kho Hà Nội_x000a_29/04/2025, hàng về kho chi nhánh HN_x000a_Ngày 19/05/2025, hãng gửi email yêu cầu cung cấp thêm thông tin_x000a_11/06/2025, hãng đồng ý chuyển hủy_x000a_--&gt; Hoàn tất"/>
    <m/>
    <m/>
    <x v="0"/>
    <m/>
    <d v="1900-01-03T00:00:00"/>
    <x v="30"/>
    <x v="0"/>
    <x v="16"/>
    <s v="CC_310425-HN"/>
    <n v="2025"/>
    <s v="HN"/>
  </r>
  <r>
    <n v="36"/>
    <s v="AZ"/>
    <x v="23"/>
    <x v="31"/>
    <m/>
    <x v="28"/>
    <x v="28"/>
    <x v="19"/>
    <x v="32"/>
    <x v="0"/>
    <d v="2026-02-13T00:00:00"/>
    <x v="1"/>
    <x v="0"/>
    <x v="30"/>
    <s v="Lỗi từ nhà sản xuất"/>
    <s v="Nhận được hướng xử lý từ hãng ngày 16/04/2025"/>
    <m/>
    <m/>
    <x v="2"/>
    <m/>
    <d v="1900-01-03T00:00:00"/>
    <x v="31"/>
    <x v="0"/>
    <x v="0"/>
    <s v="CC_320425-HCM"/>
    <n v="2025"/>
    <s v="HCM"/>
  </r>
  <r>
    <n v="37"/>
    <s v="HY"/>
    <x v="23"/>
    <x v="32"/>
    <m/>
    <x v="29"/>
    <x v="29"/>
    <x v="26"/>
    <x v="33"/>
    <x v="0"/>
    <d v="2027-05-01T00:00:00"/>
    <x v="4"/>
    <x v="4"/>
    <x v="31"/>
    <s v="Thắc mắc của khách hàng về mã vạch"/>
    <s v="Hãng hướng dẫn trả lời 15/04/2025_x000a_--&gt; Hoàn tất"/>
    <m/>
    <m/>
    <x v="1"/>
    <d v="2025-04-15T00:00:00"/>
    <d v="1900-01-03T00:00:00"/>
    <x v="32"/>
    <x v="8"/>
    <x v="0"/>
    <s v="CC_330425-HN"/>
    <n v="2025"/>
    <s v="HN"/>
  </r>
  <r>
    <n v="38"/>
    <s v="MG"/>
    <x v="23"/>
    <x v="33"/>
    <m/>
    <x v="30"/>
    <x v="30"/>
    <x v="27"/>
    <x v="34"/>
    <x v="0"/>
    <d v="2027-07-01T00:00:00"/>
    <x v="5"/>
    <x v="0"/>
    <x v="32"/>
    <s v="Lỗi từ nhà sản xuất"/>
    <s v="_x000a_16/04/2025, báo email cho hãng và đang nhờ CS xin thêm thông tin_x000a_Ngày 24/4/2025, hãng đồng ý khiếu nại, tiến hành đền bù cho khách, thu mẫu khiếu nại trả hãng"/>
    <m/>
    <m/>
    <x v="2"/>
    <m/>
    <d v="1900-01-03T00:00:00"/>
    <x v="33"/>
    <x v="0"/>
    <x v="0"/>
    <s v="CC_340425-HCM"/>
    <n v="2025"/>
    <s v="HCM"/>
  </r>
  <r>
    <n v="39"/>
    <s v="OPELLA"/>
    <x v="24"/>
    <x v="34"/>
    <m/>
    <x v="30"/>
    <x v="30"/>
    <x v="15"/>
    <x v="35"/>
    <x v="0"/>
    <d v="2027-02-07T00:00:00"/>
    <x v="4"/>
    <x v="4"/>
    <x v="33"/>
    <s v="NA"/>
    <s v="Hãng đồng ý nhận hàng khiếu nại về để điều tra nguyên nhân-&gt; đang đợi thông tin từ CS_x000a_Ngày 22/04/2025, khách không yêu cầu đền bù_x000a_--&gt; Hoàn tất"/>
    <m/>
    <m/>
    <x v="3"/>
    <m/>
    <d v="1900-01-03T00:00:00"/>
    <x v="34"/>
    <x v="0"/>
    <x v="0"/>
    <s v="CC_350425-HCM"/>
    <n v="2025"/>
    <s v="HCM"/>
  </r>
  <r>
    <n v="40"/>
    <s v="VE"/>
    <x v="25"/>
    <x v="35"/>
    <m/>
    <x v="31"/>
    <x v="31"/>
    <x v="28"/>
    <x v="36"/>
    <x v="0"/>
    <d v="2027-06-30T00:00:00"/>
    <x v="1"/>
    <x v="10"/>
    <x v="34"/>
    <s v="Lỗi do Hoàng Đức"/>
    <s v="Ngày 14/05/2025, Đã thu được 1798/2688 hộp về kho tổng của Long Châu. Trong đó có 73hộp không đạt cảm quan chuyển về kho Long Hậu_x000a_Ngày 27/05/2025, hàng đã đưa về kho và đang kiểm _x000a_Ngày 03/07/2025, đã thu 141 /890 hộp dán nhãn. Trong đó có 66 hộp không đạt cảm quan chuyển về kho Long Hậu, phần còn lại release bán"/>
    <m/>
    <m/>
    <x v="5"/>
    <m/>
    <d v="1900-01-03T00:00:00"/>
    <x v="22"/>
    <x v="0"/>
    <x v="0"/>
    <s v="CC_360425-HCM_x000a_NOI BO"/>
    <n v="2025"/>
    <s v="HCM"/>
  </r>
  <r>
    <n v="41"/>
    <s v="SA"/>
    <x v="26"/>
    <x v="36"/>
    <m/>
    <x v="32"/>
    <x v="32"/>
    <x v="29"/>
    <x v="37"/>
    <x v="0"/>
    <d v="2026-08-31T00:00:00"/>
    <x v="6"/>
    <x v="11"/>
    <x v="35"/>
    <s v="Lỗi từ nhà sản xuất"/>
    <s v="29/04/2025, hãng chấp nhận khiếu nại và chuyển mẫu khiếu nại về hãng_x000a_05/05/2025, nhận được thêm thông tin từ khách và đã chuyển thông tin này cho hãng_x000a_Ngày 07/05/2025, gửi email xác nhận số lượng và tình trạng lỗi_x000a_07/05/2025-16/05/2025: cung cấp thêm thông tin cho hãng điều tra_x000a_14/05/2025, không cần xuất mẫu về văn phòng hãng_x000a_16/05/2025, xác nhận số lượng đền bù là 20 hộp_x000a_18/06/2025, hàng khiếu nại về kho_x000a_--&gt; Hoàn tất"/>
    <s v="x"/>
    <s v="email"/>
    <x v="4"/>
    <m/>
    <d v="1900-01-03T00:00:00"/>
    <x v="35"/>
    <x v="0"/>
    <x v="0"/>
    <s v="CC_370425-HCM"/>
    <n v="2025"/>
    <s v="HCM"/>
  </r>
  <r>
    <n v="42"/>
    <s v="GZ"/>
    <x v="27"/>
    <x v="37"/>
    <m/>
    <x v="33"/>
    <x v="33"/>
    <x v="30"/>
    <x v="38"/>
    <x v="18"/>
    <d v="2027-12-12T00:00:00"/>
    <x v="1"/>
    <x v="0"/>
    <x v="36"/>
    <s v="Lỗi từ nhà sản xuất"/>
    <s v="05/05/2025, gửi email cho hãng và nhận được hướng xử lý đền bù cho khách_x000a_Hãng chấp nhận đền bù cho khách, hàng khiếu nại thu về xuất sang văn phòng hãng"/>
    <m/>
    <m/>
    <x v="2"/>
    <m/>
    <d v="1900-01-04T00:00:00"/>
    <x v="36"/>
    <x v="0"/>
    <x v="17"/>
    <s v="CC_380525-HCM"/>
    <n v="2025"/>
    <s v="HCM"/>
  </r>
  <r>
    <n v="43"/>
    <s v="SA"/>
    <x v="28"/>
    <x v="38"/>
    <m/>
    <x v="34"/>
    <x v="0"/>
    <x v="0"/>
    <x v="0"/>
    <x v="0"/>
    <d v="2026-07-31T00:00:00"/>
    <x v="0"/>
    <x v="0"/>
    <x v="37"/>
    <s v="Lỗi từ nhà sản xuất"/>
    <s v="Hãng chấp nhận đền bù cho khách, hàng khiếu nại thu về cho vào khu vực chờ xử lý, chờ hướng xử lý từ hãng"/>
    <s v="x"/>
    <s v="email"/>
    <x v="4"/>
    <m/>
    <d v="1900-01-04T00:00:00"/>
    <x v="0"/>
    <x v="0"/>
    <x v="0"/>
    <s v="CC_390525-HCM"/>
    <n v="2025"/>
    <s v="HCM"/>
  </r>
  <r>
    <n v="44"/>
    <s v="DV"/>
    <x v="28"/>
    <x v="39"/>
    <m/>
    <x v="35"/>
    <x v="34"/>
    <x v="31"/>
    <x v="39"/>
    <x v="19"/>
    <d v="2026-05-24T00:00:00"/>
    <x v="1"/>
    <x v="0"/>
    <x v="38"/>
    <s v="Lỗi từ nhà sản xuất"/>
    <s v="Nhận được thông tin email từ hãng thu mẫu khiếu nại và xuất sang hãng để phục vụ điều tra_x000a_Ngày 19/05/2025, nhận được email yêu cầu điều tra tại kho và vận chuyển _x000a_26/05/2025, gửi báo cáo điều tra cho DAVI"/>
    <m/>
    <m/>
    <x v="2"/>
    <d v="2025-05-21T00:00:00"/>
    <d v="1900-01-04T00:00:00"/>
    <x v="37"/>
    <x v="9"/>
    <x v="18"/>
    <s v="CC_400525-HCM"/>
    <n v="2025"/>
    <s v="HCM"/>
  </r>
  <r>
    <n v="45"/>
    <s v="BS"/>
    <x v="29"/>
    <x v="40"/>
    <m/>
    <x v="36"/>
    <x v="35"/>
    <x v="32"/>
    <x v="40"/>
    <x v="0"/>
    <d v="2026-08-31T00:00:00"/>
    <x v="1"/>
    <x v="0"/>
    <x v="39"/>
    <s v="Lỗi từ nhà sản xuất"/>
    <s v="Ngày 15/05/2025, liên hệ khách xin thêm thông tin_x000a_Ngày 16/05/2025, hãng chấp nhận khiếu nại và đền bù cho khách_x000a_Ngày 20/05/2025, chờ confirm từ hãng_x000a_Ngày 27/05/2025, hãng đồng ý đền bù, tuy nhiên không có hàng khiếu nại về kho cần kế toán hướng dẫn về việc đảm bảo inventory hàng _x000a_Ngày 30/05/2025, hãng đồng ý không thu hàng khiếu nại từ khách, sẽ tiến hành hình thức write off (hủy hàng khiếu nại)để cân đối tồn kho_x000a_--&gt; Hoàn tất"/>
    <m/>
    <m/>
    <x v="0"/>
    <m/>
    <d v="1900-01-04T00:00:00"/>
    <x v="35"/>
    <x v="0"/>
    <x v="0"/>
    <s v="CC_410525-HCM"/>
    <n v="2025"/>
    <s v="HCM"/>
  </r>
  <r>
    <n v="46"/>
    <s v="OPELLA"/>
    <x v="30"/>
    <x v="41"/>
    <m/>
    <x v="37"/>
    <x v="36"/>
    <x v="15"/>
    <x v="20"/>
    <x v="0"/>
    <d v="2027-06-04T00:00:00"/>
    <x v="3"/>
    <x v="6"/>
    <x v="40"/>
    <s v="Lỗi không xuất phát từ quá trình đóng gói giao nhận"/>
    <s v=" Ngày 16/05/2025 CS liên hệ khách xin thêm thông tin_x000a_Ngày 19/05/2025, nhận được phản hồi từ hãng không chấp nhận khiếu nại vì lỗi không đến từ hãng_x000a_Ngày 23/05/2025, khách không cung cấp được thông tin lỗi từ Hoàng Đức nên không tiến hành đổi cho khách_x000a_--&gt; Hoàn tất"/>
    <m/>
    <m/>
    <x v="3"/>
    <m/>
    <d v="1900-01-04T00:00:00"/>
    <x v="19"/>
    <x v="0"/>
    <x v="0"/>
    <s v="CC_420525-HCM"/>
    <n v="2025"/>
    <s v="HCM"/>
  </r>
  <r>
    <n v="47"/>
    <s v="HT"/>
    <x v="30"/>
    <x v="42"/>
    <m/>
    <x v="38"/>
    <x v="37"/>
    <x v="33"/>
    <x v="41"/>
    <x v="0"/>
    <s v="NA"/>
    <x v="4"/>
    <x v="4"/>
    <x v="41"/>
    <s v="Lỗi từ nhà sản xuất"/>
    <s v="Ngày 16/05/2025, báo email cho hãng_x000a_Ngày 27/05/2025, nhắc mail hãng"/>
    <m/>
    <m/>
    <x v="0"/>
    <m/>
    <d v="1900-01-04T00:00:00"/>
    <x v="6"/>
    <x v="0"/>
    <x v="0"/>
    <s v="CC_430525-HCM"/>
    <n v="2025"/>
    <s v="HCM"/>
  </r>
  <r>
    <n v="48"/>
    <s v="DV"/>
    <x v="31"/>
    <x v="43"/>
    <m/>
    <x v="39"/>
    <x v="38"/>
    <x v="34"/>
    <x v="42"/>
    <x v="20"/>
    <d v="2026-03-23T00:00:00"/>
    <x v="1"/>
    <x v="12"/>
    <x v="42"/>
    <s v="Lỗi từ nhà sản xuất"/>
    <s v="Ngày 20/05/2025, đã báo hãng_x000a_Ngày 26/06/2025, nhận được công văn trả lời từ hãng_x000a_Tiến hành đền bù cho khách_x000a_--&gt; Hoàn tất"/>
    <m/>
    <m/>
    <x v="2"/>
    <m/>
    <d v="1900-01-04T00:00:00"/>
    <x v="38"/>
    <x v="0"/>
    <x v="19"/>
    <s v="CC_440525-ĐN"/>
    <n v="2025"/>
    <s v="ĐN"/>
  </r>
  <r>
    <n v="49"/>
    <s v="DV"/>
    <x v="31"/>
    <x v="43"/>
    <m/>
    <x v="39"/>
    <x v="38"/>
    <x v="34"/>
    <x v="43"/>
    <x v="21"/>
    <d v="2026-07-31T00:00:00"/>
    <x v="1"/>
    <x v="13"/>
    <x v="42"/>
    <s v="Lỗi từ nhà sản xuất"/>
    <s v="Ngày 20/05/2025, đã báo hãng_x000a_Ngày 26/06/2025, nhận được công văn trả lời từ hãng_x000a_Tiến hành đền bù cho khách_x000a_--&gt; Hoàn tất"/>
    <m/>
    <m/>
    <x v="2"/>
    <m/>
    <d v="1900-01-04T00:00:00"/>
    <x v="0"/>
    <x v="0"/>
    <x v="20"/>
    <s v="CC_440525-ĐN"/>
    <n v="2025"/>
    <s v="ĐN"/>
  </r>
  <r>
    <n v="50"/>
    <s v="DV"/>
    <x v="31"/>
    <x v="43"/>
    <m/>
    <x v="39"/>
    <x v="38"/>
    <x v="34"/>
    <x v="44"/>
    <x v="22"/>
    <d v="2025-11-18T00:00:00"/>
    <x v="1"/>
    <x v="14"/>
    <x v="42"/>
    <s v="Lỗi từ nhà sản xuất"/>
    <s v="Ngày 20/05/2025, đã báo hãng_x000a_Ngày 26/06/2025, nhận được công văn trả lời từ hãng_x000a_Tiến hành đền bù cho khách_x000a_--&gt; Hoàn tất"/>
    <m/>
    <m/>
    <x v="2"/>
    <m/>
    <d v="1900-01-04T00:00:00"/>
    <x v="39"/>
    <x v="0"/>
    <x v="21"/>
    <s v="CC_440525-ĐN"/>
    <n v="2025"/>
    <s v="ĐN"/>
  </r>
  <r>
    <n v="51"/>
    <s v="DV"/>
    <x v="31"/>
    <x v="43"/>
    <m/>
    <x v="39"/>
    <x v="38"/>
    <x v="34"/>
    <x v="45"/>
    <x v="23"/>
    <d v="2026-01-04T00:00:00"/>
    <x v="1"/>
    <x v="15"/>
    <x v="42"/>
    <s v="Lỗi từ nhà sản xuất"/>
    <s v="Ngày 20/05/2025, đã báo hãng_x000a_Ngày 26/06/2025, nhận được công văn trả lời từ hãng_x000a_Tiến hành đền bù cho khách_x000a_--&gt; Hoàn tất"/>
    <m/>
    <m/>
    <x v="2"/>
    <m/>
    <d v="1900-01-04T00:00:00"/>
    <x v="40"/>
    <x v="0"/>
    <x v="22"/>
    <s v="CC_440525-ĐN"/>
    <n v="2025"/>
    <s v="ĐN"/>
  </r>
  <r>
    <n v="52"/>
    <s v="AZ"/>
    <x v="32"/>
    <x v="44"/>
    <m/>
    <x v="40"/>
    <x v="39"/>
    <x v="35"/>
    <x v="46"/>
    <x v="24"/>
    <d v="2026-07-25T00:00:00"/>
    <x v="1"/>
    <x v="0"/>
    <x v="43"/>
    <s v="Lỗi không xuất phát từ Hoàng Đức"/>
    <s v="Ngày 22/05/2025, báo email cho hãng_x000a_27/05/2025, nhắc mail hãng_x000a_--&gt; hoàn tất"/>
    <m/>
    <m/>
    <x v="2"/>
    <m/>
    <d v="1900-01-04T00:00:00"/>
    <x v="41"/>
    <x v="0"/>
    <x v="23"/>
    <s v="CC_450525-HCM"/>
    <n v="2025"/>
    <s v="HCM"/>
  </r>
  <r>
    <n v="53"/>
    <s v="SA"/>
    <x v="32"/>
    <x v="45"/>
    <m/>
    <x v="40"/>
    <x v="39"/>
    <x v="36"/>
    <x v="47"/>
    <x v="25"/>
    <d v="2028-01-22T00:00:00"/>
    <x v="4"/>
    <x v="4"/>
    <x v="44"/>
    <s v="Lỗi từ nhà sản xuất"/>
    <s v="Ngày 22/05/2025, báo email cho hãng_x000a_Ngày 26/05/2025, hãng thông tin không ảnh hưởng chất lượng và khách cũng không cần trả lời bằng công văn"/>
    <m/>
    <m/>
    <x v="1"/>
    <m/>
    <d v="1900-01-04T00:00:00"/>
    <x v="42"/>
    <x v="0"/>
    <x v="24"/>
    <s v="CC_460525-HCM"/>
    <n v="2025"/>
    <s v="HCM"/>
  </r>
  <r>
    <n v="54"/>
    <s v="MG"/>
    <x v="33"/>
    <x v="46"/>
    <m/>
    <x v="41"/>
    <x v="40"/>
    <x v="21"/>
    <x v="48"/>
    <x v="0"/>
    <s v="NA"/>
    <x v="0"/>
    <x v="0"/>
    <x v="45"/>
    <s v="NA"/>
    <s v="Check lịch sử đơn hàng không do Hoàng Đức xuất bán"/>
    <m/>
    <m/>
    <x v="3"/>
    <m/>
    <d v="1900-01-04T00:00:00"/>
    <x v="6"/>
    <x v="0"/>
    <x v="0"/>
    <s v="CC_470525-HCM_x000a_HUY"/>
    <n v="2025"/>
    <s v="HCM"/>
  </r>
  <r>
    <n v="55"/>
    <s v="MY"/>
    <x v="34"/>
    <x v="47"/>
    <m/>
    <x v="35"/>
    <x v="34"/>
    <x v="37"/>
    <x v="49"/>
    <x v="26"/>
    <d v="2027-05-16T00:00:00"/>
    <x v="1"/>
    <x v="0"/>
    <x v="46"/>
    <s v="Lỗi không xuất phát từ quá trình bảo quản và vận chuyển"/>
    <s v="Ngày 29/05/2025, báo email cho các bộ phận liên quan điều tra_x000a_Ngày 09/06/2025, báo email cho CS rằng không đủ căn cứ để đền bù cho khách_x000a_"/>
    <m/>
    <m/>
    <x v="3"/>
    <m/>
    <d v="1900-01-04T00:00:00"/>
    <x v="43"/>
    <x v="0"/>
    <x v="25"/>
    <s v="CC_480525-HCM"/>
    <n v="2025"/>
    <s v="HCM"/>
  </r>
  <r>
    <n v="56"/>
    <s v="SA"/>
    <x v="35"/>
    <x v="48"/>
    <m/>
    <x v="33"/>
    <x v="33"/>
    <x v="38"/>
    <x v="50"/>
    <x v="27"/>
    <d v="2026-04-30T00:00:00"/>
    <x v="1"/>
    <x v="3"/>
    <x v="47"/>
    <s v="Lỗi từ nhà sản xuất"/>
    <s v="Ngày 30/05/2025, báo email cho hãng_x000a_Chấp nhận đền bù cho khách-&gt; hoàn tất"/>
    <s v="x"/>
    <s v="email"/>
    <x v="4"/>
    <m/>
    <d v="1900-01-04T00:00:00"/>
    <x v="44"/>
    <x v="0"/>
    <x v="26"/>
    <s v="CC_490525-HCM"/>
    <n v="2025"/>
    <s v="HCM"/>
  </r>
  <r>
    <n v="57"/>
    <s v="SA"/>
    <x v="35"/>
    <x v="49"/>
    <m/>
    <x v="33"/>
    <x v="33"/>
    <x v="39"/>
    <x v="51"/>
    <x v="28"/>
    <d v="2026-04-30T00:00:00"/>
    <x v="1"/>
    <x v="0"/>
    <x v="48"/>
    <s v="Lỗi từ nhà sản xuất"/>
    <s v="Ngày 30/05/2025, báo email cho hãng_x000a_Chấp nhận đền bù cho khách-&gt; hoàn tất"/>
    <s v="x"/>
    <s v="email"/>
    <x v="4"/>
    <d v="2025-07-01T00:00:00"/>
    <d v="1900-01-04T00:00:00"/>
    <x v="44"/>
    <x v="10"/>
    <x v="27"/>
    <s v="CC_500525-HCM"/>
    <n v="2025"/>
    <s v="HCM"/>
  </r>
  <r>
    <n v="58"/>
    <s v="SA"/>
    <x v="35"/>
    <x v="50"/>
    <m/>
    <x v="33"/>
    <x v="33"/>
    <x v="39"/>
    <x v="30"/>
    <x v="29"/>
    <d v="2026-09-30T00:00:00"/>
    <x v="1"/>
    <x v="0"/>
    <x v="49"/>
    <s v="Lỗi từ nhà sản xuất"/>
    <s v="Ngày 30/05/2025, báo email cho hãng_x000a_Đang chờ khách cung cấp chứng từ hóa đơn _x000a_Khách hàng không cung cấp chứng từ, nên không khiếu nại nữa_x000a_-&gt; hoàn tất"/>
    <s v="x"/>
    <s v="email"/>
    <x v="4"/>
    <m/>
    <d v="1900-01-04T00:00:00"/>
    <x v="29"/>
    <x v="0"/>
    <x v="28"/>
    <s v="CC_510525-HCM"/>
    <n v="2025"/>
    <s v="HCM"/>
  </r>
  <r>
    <n v="59"/>
    <s v="SA"/>
    <x v="35"/>
    <x v="51"/>
    <m/>
    <x v="33"/>
    <x v="33"/>
    <x v="40"/>
    <x v="12"/>
    <x v="16"/>
    <d v="2026-11-30T00:00:00"/>
    <x v="1"/>
    <x v="0"/>
    <x v="50"/>
    <s v="Lỗi từ nhà sản xuất"/>
    <s v="Ngày 30/05/2025, báo email cho hãng_x000a_Đang chờ khách cung cấp chứng từ hóa đơn _x000a_Khách hàng không cung cấp chứng từ, nên không khiếu nại nữa_x000a_-&gt; hoàn tất"/>
    <s v="x"/>
    <s v="email"/>
    <x v="4"/>
    <d v="2025-07-01T00:00:00"/>
    <d v="1900-01-04T00:00:00"/>
    <x v="12"/>
    <x v="10"/>
    <x v="7"/>
    <s v="CC_520525-HCM"/>
    <n v="2025"/>
    <s v="HCM"/>
  </r>
  <r>
    <n v="60"/>
    <s v="SA"/>
    <x v="35"/>
    <x v="52"/>
    <m/>
    <x v="42"/>
    <x v="41"/>
    <x v="41"/>
    <x v="52"/>
    <x v="30"/>
    <d v="2027-03-30T00:00:00"/>
    <x v="1"/>
    <x v="0"/>
    <x v="51"/>
    <s v="NA"/>
    <s v="Đã nhận được câu trả lời từ hãng--&gt; Hoàn tất"/>
    <m/>
    <m/>
    <x v="1"/>
    <m/>
    <d v="1900-01-04T00:00:00"/>
    <x v="45"/>
    <x v="0"/>
    <x v="29"/>
    <s v="CC_530525-HCM"/>
    <n v="2025"/>
    <s v="HCM"/>
  </r>
  <r>
    <n v="61"/>
    <s v="MG"/>
    <x v="36"/>
    <x v="53"/>
    <m/>
    <x v="43"/>
    <x v="42"/>
    <x v="42"/>
    <x v="53"/>
    <x v="0"/>
    <d v="2026-10-17T00:00:00"/>
    <x v="1"/>
    <x v="0"/>
    <x v="52"/>
    <s v="Lỗi từ nhà sản xuất"/>
    <s v="Báo CS kiểm tra lịch sử đơn hàng_x000a_13/06/2025, Hàng đã được Hoàng Đức thu về_x000a_Chưa nhận được email hướng xử lý từ hãng_x000a_Xuất sang hãng điều tra nguyên nhân_x000a_"/>
    <s v="x"/>
    <s v="email"/>
    <x v="2"/>
    <m/>
    <d v="1900-01-05T00:00:00"/>
    <x v="46"/>
    <x v="0"/>
    <x v="0"/>
    <s v="CC_540625-HCM"/>
    <n v="2025"/>
    <s v="HCM"/>
  </r>
  <r>
    <n v="62"/>
    <s v="HY"/>
    <x v="37"/>
    <x v="54"/>
    <m/>
    <x v="44"/>
    <x v="43"/>
    <x v="43"/>
    <x v="54"/>
    <x v="0"/>
    <d v="2026-09-30T00:00:00"/>
    <x v="1"/>
    <x v="16"/>
    <x v="53"/>
    <s v="Lỗi do đơn vị vận chuyển"/>
    <s v="09/06/2025, báo email cho CS xin thêm thông tin từ khách_x000a_Sau khi điều tra lỗi do đơn vị vận chuyển_x000a_Tiến hành thu hồi lỗi về và đổi cho khách,_x000a_Hướng xử lý với hàng bị lỗi đang chờ thông tin từ đơn vị vận chuyển_x000a_15/07 nhắc mail cho đơn vị vận chuyển về việc hàng bị lỗi,_x000a_Lỗi móp không ảnh hưởng sản phẩm bên trong chuyển bán chỉ định_x000a_--&gt; hoàn tất_x000a_"/>
    <m/>
    <m/>
    <x v="5"/>
    <m/>
    <d v="1900-01-05T00:00:00"/>
    <x v="29"/>
    <x v="0"/>
    <x v="0"/>
    <s v="CC_550625-HCM"/>
    <n v="2025"/>
    <s v="HCM"/>
  </r>
  <r>
    <n v="63"/>
    <s v="RD"/>
    <x v="37"/>
    <x v="55"/>
    <m/>
    <x v="45"/>
    <x v="44"/>
    <x v="44"/>
    <x v="55"/>
    <x v="31"/>
    <d v="2027-02-28T00:00:00"/>
    <x v="1"/>
    <x v="0"/>
    <x v="54"/>
    <s v="Lỗi từ nhà sản xuất"/>
    <s v="Hãng đồng ý chuyển hủy và đền bù cho khách_x000a_-&gt; Hoàn tất"/>
    <m/>
    <m/>
    <x v="0"/>
    <m/>
    <d v="1900-01-05T00:00:00"/>
    <x v="5"/>
    <x v="0"/>
    <x v="30"/>
    <s v="CC_560625-HN"/>
    <n v="2025"/>
    <s v="HN"/>
  </r>
  <r>
    <n v="64"/>
    <s v="RD"/>
    <x v="38"/>
    <x v="56"/>
    <m/>
    <x v="46"/>
    <x v="45"/>
    <x v="25"/>
    <x v="56"/>
    <x v="0"/>
    <d v="2028-02-29T00:00:00"/>
    <x v="1"/>
    <x v="0"/>
    <x v="55"/>
    <s v="Lỗi không xuất phát từ Hoàng Đức và nhà sản xuất"/>
    <s v="- 20/06/2025, hàng khiếu nại về kho_x000a_- 17/07/2025, khách cung cấp thông tin không có video kiểm hàng_x000a_Đồng ý đền bù cho khách_x000a_--&gt; Hoàn tất"/>
    <m/>
    <m/>
    <x v="0"/>
    <m/>
    <d v="1900-01-05T00:00:00"/>
    <x v="47"/>
    <x v="0"/>
    <x v="0"/>
    <s v="CC_570625-HN"/>
    <n v="2025"/>
    <s v="HN"/>
  </r>
  <r>
    <n v="65"/>
    <s v="AZ"/>
    <x v="39"/>
    <x v="57"/>
    <m/>
    <x v="47"/>
    <x v="46"/>
    <x v="45"/>
    <x v="41"/>
    <x v="0"/>
    <s v="NA"/>
    <x v="4"/>
    <x v="4"/>
    <x v="56"/>
    <s v="NA"/>
    <s v="Ngày 27/06/2025, đã nhận được công văn giải trình về chất lượng sản phẩm từ bộ phận QA AZ_x000a_Ngày 26/06/2025, Hoàng Đức gửi đến Bộ phận thông tin Y Khoa của AZ để xin thêm thông tin giải đáp cho khách hàng"/>
    <m/>
    <m/>
    <x v="1"/>
    <m/>
    <d v="1900-01-05T00:00:00"/>
    <x v="6"/>
    <x v="0"/>
    <x v="0"/>
    <s v="CC_580625-HCM"/>
    <n v="2025"/>
    <s v="HCM"/>
  </r>
  <r>
    <n v="66"/>
    <s v="SA"/>
    <x v="40"/>
    <x v="58"/>
    <m/>
    <x v="33"/>
    <x v="33"/>
    <x v="46"/>
    <x v="57"/>
    <x v="32"/>
    <d v="2025-08-31T00:00:00"/>
    <x v="1"/>
    <x v="0"/>
    <x v="57"/>
    <s v="Lỗi từ nhà sản xuất"/>
    <s v="Ngày 23/06/2025, gửi email cho hãng và nhận được phản hồi chấp nhận đền bù cho khách"/>
    <s v="x"/>
    <s v="mail"/>
    <x v="4"/>
    <m/>
    <d v="1900-01-05T00:00:00"/>
    <x v="48"/>
    <x v="0"/>
    <x v="31"/>
    <s v="CC_590625-HCM"/>
    <n v="2025"/>
    <s v="HCM"/>
  </r>
  <r>
    <n v="67"/>
    <s v="DV"/>
    <x v="41"/>
    <x v="59"/>
    <m/>
    <x v="48"/>
    <x v="47"/>
    <x v="34"/>
    <x v="44"/>
    <x v="0"/>
    <d v="2025-11-18T00:00:00"/>
    <x v="1"/>
    <x v="3"/>
    <x v="58"/>
    <s v="Lỗi 1 phần do bao bì cấp 1 nhạy cảm với độ ẩm cao, 1 phần có thể do điều kiện bảo quản từ khách"/>
    <s v="Ngày 02/07/2025, hãng yêu cầu gửi điều tra"/>
    <m/>
    <m/>
    <x v="2"/>
    <m/>
    <d v="1900-01-05T00:00:00"/>
    <x v="39"/>
    <x v="0"/>
    <x v="0"/>
    <s v="CC_600625-ĐN"/>
    <n v="2025"/>
    <s v="ĐN"/>
  </r>
  <r>
    <n v="68"/>
    <s v="DV"/>
    <x v="41"/>
    <x v="59"/>
    <m/>
    <x v="48"/>
    <x v="47"/>
    <x v="34"/>
    <x v="58"/>
    <x v="0"/>
    <d v="2026-01-04T00:00:00"/>
    <x v="1"/>
    <x v="17"/>
    <x v="58"/>
    <s v="Lỗi 1 phần do bao bì cấp 1 nhạy cảm với độ ẩm cao, 1 phần có thể do điều kiện bảo quản từ khách"/>
    <s v="Ngày 02/07/2025, hãng yêu cầu gửi điều tra"/>
    <m/>
    <m/>
    <x v="2"/>
    <m/>
    <d v="1900-01-05T00:00:00"/>
    <x v="40"/>
    <x v="0"/>
    <x v="0"/>
    <s v="CC_600625-ĐN"/>
    <n v="2025"/>
    <s v="ĐN"/>
  </r>
  <r>
    <n v="69"/>
    <s v="SA"/>
    <x v="42"/>
    <x v="60"/>
    <m/>
    <x v="49"/>
    <x v="48"/>
    <x v="0"/>
    <x v="59"/>
    <x v="33"/>
    <d v="2026-08-01T00:00:00"/>
    <x v="0"/>
    <x v="0"/>
    <x v="59"/>
    <s v="Lỗi từ nhà sản xuất"/>
    <s v="Ngày 26/06/2025, gửi mail cho hãng và chấp nhận đền bù, tuy nhiên bên hãng cần thêm thông tin hình ảnh lô sản phẩm_x000a_Liên hệ với khách xin thêm thông tin và chính sách bảo mật thông tin cá nhân"/>
    <m/>
    <m/>
    <x v="4"/>
    <m/>
    <d v="1900-01-05T00:00:00"/>
    <x v="49"/>
    <x v="0"/>
    <x v="32"/>
    <s v="CC_610625-HCM"/>
    <n v="2025"/>
    <s v="HCM"/>
  </r>
  <r>
    <n v="70"/>
    <s v="SA"/>
    <x v="43"/>
    <x v="61"/>
    <m/>
    <x v="50"/>
    <x v="49"/>
    <x v="47"/>
    <x v="60"/>
    <x v="34"/>
    <d v="2027-01-31T00:00:00"/>
    <x v="5"/>
    <x v="0"/>
    <x v="60"/>
    <s v="Lỗi từ nhà sản xuất"/>
    <s v="Hãng đồng ý đền bù cho khách_x000a_30/06/2025 khách cancel  case do không cung cấp chứng từ theo quy trình xử lý khiếu nại _x000a_--&gt; Hoàn tất"/>
    <m/>
    <m/>
    <x v="3"/>
    <m/>
    <d v="1900-01-05T00:00:00"/>
    <x v="20"/>
    <x v="0"/>
    <x v="33"/>
    <s v="CC_620625-HCM-HUY"/>
    <n v="2025"/>
    <s v="HCM"/>
  </r>
  <r>
    <n v="71"/>
    <s v="SA"/>
    <x v="44"/>
    <x v="62"/>
    <m/>
    <x v="51"/>
    <x v="50"/>
    <x v="48"/>
    <x v="61"/>
    <x v="35"/>
    <d v="2026-10-31T00:00:00"/>
    <x v="1"/>
    <x v="0"/>
    <x v="61"/>
    <s v="Lỗi từ nhà sản xuất"/>
    <s v="Hãng chấp nhận khiếu nại, tiến hành đền bù cho khách _x000a_--&gt; Hoàn tất"/>
    <m/>
    <m/>
    <x v="4"/>
    <m/>
    <d v="1900-01-05T00:00:00"/>
    <x v="17"/>
    <x v="0"/>
    <x v="34"/>
    <s v="CC_630625-ĐN"/>
    <n v="2025"/>
    <s v="ĐN"/>
  </r>
  <r>
    <n v="72"/>
    <s v="MG"/>
    <x v="45"/>
    <x v="63"/>
    <m/>
    <x v="8"/>
    <x v="51"/>
    <x v="49"/>
    <x v="62"/>
    <x v="25"/>
    <d v="2027-01-21T00:00:00"/>
    <x v="5"/>
    <x v="9"/>
    <x v="62"/>
    <s v="Lỗi từ nhà sản xuất"/>
    <s v="Hãng chấp nhận đền bù cho khách, hàng khiếu nại thu về cho vào khu vực chờ xử lý, xuất trả hãng theo đợt_x000a_Về phía khách, hãng sẽ làm việc trực tiếp_x000a_Hàng đã được hãng tới trực tiếp bệnh viện để lấy_x000a_--&gt; Hoàn tất_x000a_07/08/2025, hãng báo đền bù thêm cho khách 05 lọ nhưng không có mẫu thu về chỉ làm trên chứng từ hóa đơn"/>
    <m/>
    <m/>
    <x v="4"/>
    <m/>
    <d v="1900-01-06T00:00:00"/>
    <x v="50"/>
    <x v="0"/>
    <x v="24"/>
    <s v="CC_640725-HCM"/>
    <n v="2025"/>
    <s v="HCM"/>
  </r>
  <r>
    <n v="73"/>
    <s v="MG"/>
    <x v="45"/>
    <x v="63"/>
    <m/>
    <x v="8"/>
    <x v="51"/>
    <x v="49"/>
    <x v="63"/>
    <x v="36"/>
    <d v="2026-06-11T00:00:00"/>
    <x v="5"/>
    <x v="3"/>
    <x v="62"/>
    <s v="Lỗi từ nhà sản xuất"/>
    <s v="Hãng chấp nhận đền bù cho khách, hàng khiếu nại thu về cho vào khu vực chờ xử lý, xuất trả hãng theo đợt_x000a_Về phía khách, hãng sẽ làm việc trực tiếp_x000a_Hàng đã được hãng tới trực tiếp bệnh viện để lấy_x000a_--&gt; Hoàn tất_x000a_07/08/2025, hãng báo đền bù thêm cho khách 05 lọ nhưng không có mẫu thu về chỉ làm trên chứng từ hóa đơn"/>
    <m/>
    <m/>
    <x v="4"/>
    <m/>
    <d v="1900-01-06T00:00:00"/>
    <x v="51"/>
    <x v="0"/>
    <x v="35"/>
    <s v="CC_640725-HCM"/>
    <n v="2025"/>
    <s v="HCM"/>
  </r>
  <r>
    <n v="74"/>
    <s v="OPELLA"/>
    <x v="46"/>
    <x v="64"/>
    <m/>
    <x v="52"/>
    <x v="52"/>
    <x v="50"/>
    <x v="64"/>
    <x v="37"/>
    <d v="2028-01-21T00:00:00"/>
    <x v="8"/>
    <x v="6"/>
    <x v="63"/>
    <s v="Lỗi từ nhà sản xuất"/>
    <s v="09/07/2025: báo email cho hãng_x000a_10/07/2025: Chấp nhận đền bù cho khách_x000a_23/07/2025: hãng yêu cầu cung cấp thêm thông tin hình ảnh_x000a_31/07/2025: cung cấp hình ảnh cho hãng và hãng chấp nhận khiếu nại_x000a_01/08/2025: khách không cần đền bù đổi trả_x000a_--&gt; Hoàn tất"/>
    <s v="Không"/>
    <s v="mail"/>
    <x v="3"/>
    <m/>
    <d v="1900-01-06T00:00:00"/>
    <x v="52"/>
    <x v="0"/>
    <x v="36"/>
    <s v="CC_650725-HCM"/>
    <n v="2025"/>
    <s v="HCM"/>
  </r>
  <r>
    <n v="75"/>
    <s v="IMEX"/>
    <x v="47"/>
    <x v="65"/>
    <m/>
    <x v="53"/>
    <x v="53"/>
    <x v="51"/>
    <x v="65"/>
    <x v="0"/>
    <d v="2029-05-06T00:00:00"/>
    <x v="7"/>
    <x v="0"/>
    <x v="64"/>
    <s v="Lỗi từ nhà sản xuất"/>
    <s v="Nhận được email đồng ý đền bù cho khách và gửi mẫu về nhà máy điều tra"/>
    <m/>
    <m/>
    <x v="2"/>
    <m/>
    <d v="1900-01-06T00:00:00"/>
    <x v="53"/>
    <x v="0"/>
    <x v="0"/>
    <s v="CC_660725-HCM"/>
    <n v="2025"/>
    <s v="HCM"/>
  </r>
  <r>
    <n v="76"/>
    <s v="RH"/>
    <x v="48"/>
    <x v="66"/>
    <m/>
    <x v="25"/>
    <x v="34"/>
    <x v="52"/>
    <x v="66"/>
    <x v="0"/>
    <d v="2029-03-27T00:00:00"/>
    <x v="1"/>
    <x v="3"/>
    <x v="65"/>
    <s v="Không xác định được nguyên nhân"/>
    <s v="Điều tra nguyên nhân tại kho và đơn vị vận chuyển: không phát hiện bất thường để xảy ra lỗi như khiếu nại_x000a_Đã nhắc mail khách nhiều lần nhưng chưa phản hồi, đợi đến 30/07/2025 nếu khách không phản hồi thì close case_x000a_Vẫn không liên hệ được khách để xin thông tin_x000a_--&gt; Hủy do khách không cung cấp được thông tin để điều tra"/>
    <m/>
    <m/>
    <x v="3"/>
    <m/>
    <d v="1900-01-06T00:00:00"/>
    <x v="54"/>
    <x v="0"/>
    <x v="0"/>
    <s v="CC_670725-HCM"/>
    <n v="2025"/>
    <s v="HCM"/>
  </r>
  <r>
    <n v="77"/>
    <s v="SA"/>
    <x v="49"/>
    <x v="67"/>
    <m/>
    <x v="25"/>
    <x v="54"/>
    <x v="53"/>
    <x v="67"/>
    <x v="0"/>
    <d v="2027-06-30T00:00:00"/>
    <x v="1"/>
    <x v="0"/>
    <x v="66"/>
    <s v="Lỗi từ nhà sản xuất"/>
    <s v="Hãng chấp nhận đền bù_x000a_Đang đợi thông tin từ CS để hỗ trợ hãng điều tra nguyên nhân"/>
    <m/>
    <m/>
    <x v="4"/>
    <m/>
    <d v="1900-01-06T00:00:00"/>
    <x v="22"/>
    <x v="0"/>
    <x v="0"/>
    <s v="CC_680725-HN"/>
    <n v="2025"/>
    <s v="HN"/>
  </r>
  <r>
    <n v="78"/>
    <s v="MY"/>
    <x v="49"/>
    <x v="68"/>
    <m/>
    <x v="25"/>
    <x v="34"/>
    <x v="54"/>
    <x v="68"/>
    <x v="38"/>
    <d v="2027-05-27T00:00:00"/>
    <x v="1"/>
    <x v="3"/>
    <x v="67"/>
    <s v="Lỗi từ nhà sản xuất"/>
    <s v="Số khiếu nại: COMP-VN-2025-135 (1 gói lỗi)_x000a_Hãng chấp nhận đền bù_x000a_09/09/2025, nhận được trả lời của hãng về khiếu nại_x000a_--&gt; Hoàn tất_x000a_18/09/2025: hãng đồng ý đền bù 06 hộp_x000a_07/10/2025: hàng về kho có 2 lô bị lỗi _x000a_- C56397: 02 hộp (01 hộp 4 gói + 1 hộp 1 gói) trong đó có 04 gói bị lỗi._x000a_- C56395:  04 hộp (16 gói) trong đó có 09 gói bị lỗi_x000a_Do đó, hãng điều chỉnh như sau: COMP-VN-2025-152: 12 gói lỗi (9 gói lô C56395 + 3 gói lô C56397)_x000a_"/>
    <m/>
    <m/>
    <x v="0"/>
    <m/>
    <d v="1900-01-06T00:00:00"/>
    <x v="55"/>
    <x v="0"/>
    <x v="37"/>
    <s v="CC_690725-HCM"/>
    <n v="2025"/>
    <s v="HCM"/>
  </r>
  <r>
    <n v="79"/>
    <s v="DV"/>
    <x v="50"/>
    <x v="69"/>
    <m/>
    <x v="54"/>
    <x v="55"/>
    <x v="51"/>
    <x v="69"/>
    <x v="0"/>
    <d v="2029-05-07T00:00:00"/>
    <x v="7"/>
    <x v="3"/>
    <x v="68"/>
    <s v="Lỗi từ nhà sản xuất"/>
    <s v="18/07/2025, báo email cho hãng_x000a_Đồng ý đền bù cho khách"/>
    <s v="x"/>
    <s v="email"/>
    <x v="2"/>
    <m/>
    <d v="1900-01-06T00:00:00"/>
    <x v="56"/>
    <x v="0"/>
    <x v="0"/>
    <s v="CC_700725-HN"/>
    <n v="2025"/>
    <s v="HN"/>
  </r>
  <r>
    <n v="80"/>
    <s v="WW"/>
    <x v="50"/>
    <x v="70"/>
    <m/>
    <x v="55"/>
    <x v="56"/>
    <x v="55"/>
    <x v="70"/>
    <x v="30"/>
    <s v=" _x000a_31/03/2027"/>
    <x v="5"/>
    <x v="18"/>
    <x v="69"/>
    <s v="Lỗi không xuất phát từ Hoàng Đức và nhà sản xuất"/>
    <s v="Hãng đồng ý đền bù cho khách_x000a_thu hàng lỗi vào khu vực chờ xử lý để chờ kết quả điều tra nguyên nhân từ nhà máy"/>
    <m/>
    <m/>
    <x v="0"/>
    <m/>
    <d v="1900-01-06T00:00:00"/>
    <x v="57"/>
    <x v="0"/>
    <x v="29"/>
    <s v="CC_710725-HN"/>
    <n v="2025"/>
    <s v="HN"/>
  </r>
  <r>
    <n v="81"/>
    <s v="SA"/>
    <x v="51"/>
    <x v="71"/>
    <m/>
    <x v="56"/>
    <x v="57"/>
    <x v="56"/>
    <x v="41"/>
    <x v="0"/>
    <s v="NA"/>
    <x v="4"/>
    <x v="4"/>
    <x v="70"/>
    <s v="NA"/>
    <s v="22/07/2025, nhận được câu trả lời từ hãng"/>
    <m/>
    <m/>
    <x v="1"/>
    <m/>
    <d v="1900-01-06T00:00:00"/>
    <x v="6"/>
    <x v="0"/>
    <x v="0"/>
    <s v="CC_720725-HCM"/>
    <n v="2025"/>
    <s v="HCM"/>
  </r>
  <r>
    <n v="82"/>
    <s v="GZ"/>
    <x v="52"/>
    <x v="72"/>
    <m/>
    <x v="57"/>
    <x v="58"/>
    <x v="57"/>
    <x v="71"/>
    <x v="0"/>
    <d v="2026-12-12T00:00:00"/>
    <x v="9"/>
    <x v="7"/>
    <x v="71"/>
    <s v="Lỗi từ nhà sản xuất"/>
    <s v="24/07/2025 hãng đồng ý đền bù cho khách"/>
    <m/>
    <m/>
    <x v="2"/>
    <m/>
    <d v="1900-01-06T00:00:00"/>
    <x v="58"/>
    <x v="0"/>
    <x v="0"/>
    <s v="CC_730725-HCM"/>
    <n v="2025"/>
    <s v="HCM"/>
  </r>
  <r>
    <n v="83"/>
    <s v="RH"/>
    <x v="53"/>
    <x v="73"/>
    <m/>
    <x v="58"/>
    <x v="59"/>
    <x v="58"/>
    <x v="72"/>
    <x v="39"/>
    <d v="2027-12-23T00:00:00"/>
    <x v="5"/>
    <x v="13"/>
    <x v="72"/>
    <s v="Lỗi từ nhà sản xuất"/>
    <s v="Đang xin thêm thông tin để điều tra nguyên nhân_x000a_28/07/2025 gửi email cho hãng,_x000a_29/07/2025, hãng đồng ý khiếu nại, đang chờ CS hoàn tất các chứng từ liên quan, hàng khiếu nại sẽ chuyển sang văn phòng hãng_x000a_--&gt; Hoàn tất"/>
    <m/>
    <m/>
    <x v="2"/>
    <m/>
    <d v="1900-01-06T00:00:00"/>
    <x v="59"/>
    <x v="0"/>
    <x v="38"/>
    <s v="CC_740725-HCM"/>
    <n v="2025"/>
    <s v="HCM"/>
  </r>
  <r>
    <n v="84"/>
    <s v="RH"/>
    <x v="53"/>
    <x v="73"/>
    <m/>
    <x v="58"/>
    <x v="59"/>
    <x v="59"/>
    <x v="73"/>
    <x v="40"/>
    <d v="2027-10-02T00:00:00"/>
    <x v="5"/>
    <x v="7"/>
    <x v="72"/>
    <s v="Lỗi từ nhà sản xuất"/>
    <s v="Đang xin thêm thông tin để điều tra nguyên nhân_x000a_28/07/2025 gửi email cho hãng,_x000a_29/07/2025, hãng đồng ý khiếu nại, đang chờ CS hoàn tất các chứng từ liên quan, hàng khiếu nại sẽ chuyển sang văn phòng hãng_x000a_--&gt; Hoàn tất"/>
    <m/>
    <m/>
    <x v="2"/>
    <m/>
    <d v="1900-01-06T00:00:00"/>
    <x v="60"/>
    <x v="0"/>
    <x v="39"/>
    <s v="CC_740725-HCM"/>
    <n v="2025"/>
    <s v="HCM"/>
  </r>
  <r>
    <n v="85"/>
    <s v="HY"/>
    <x v="54"/>
    <x v="74"/>
    <m/>
    <x v="59"/>
    <x v="60"/>
    <x v="43"/>
    <x v="74"/>
    <x v="41"/>
    <d v="2027-02-28T00:00:00"/>
    <x v="10"/>
    <x v="19"/>
    <x v="73"/>
    <s v="Lỗi từ nhà sản xuất"/>
    <s v="Đã báo hãng_x000a_Hãng đồng ý đền bù _x000a_-&gt; Hoàn tất"/>
    <m/>
    <m/>
    <x v="2"/>
    <m/>
    <d v="1900-01-06T00:00:00"/>
    <x v="5"/>
    <x v="0"/>
    <x v="2"/>
    <s v="CC_750725-HN"/>
    <n v="2025"/>
    <s v="HN"/>
  </r>
  <r>
    <n v="86"/>
    <s v="SA"/>
    <x v="55"/>
    <x v="75"/>
    <m/>
    <x v="30"/>
    <x v="30"/>
    <x v="0"/>
    <x v="41"/>
    <x v="0"/>
    <s v="NA"/>
    <x v="4"/>
    <x v="4"/>
    <x v="74"/>
    <s v="NA"/>
    <s v="Đã báo email cho CS để liên hệ khách xin thông tin_x000a_SNF không chấp nhận đây là case khiếu nại_x000a_30/07/2025: Hoàng Đức close case_x000a_--&gt; Hoàn tất"/>
    <m/>
    <m/>
    <x v="6"/>
    <m/>
    <d v="1900-01-06T00:00:00"/>
    <x v="6"/>
    <x v="0"/>
    <x v="0"/>
    <s v="CC_760725-HCM"/>
    <n v="2025"/>
    <s v="HCM"/>
  </r>
  <r>
    <n v="87"/>
    <s v="HT"/>
    <x v="55"/>
    <x v="76"/>
    <m/>
    <x v="60"/>
    <x v="61"/>
    <x v="2"/>
    <x v="75"/>
    <x v="42"/>
    <d v="2026-12-15T00:00:00"/>
    <x v="5"/>
    <x v="0"/>
    <x v="75"/>
    <s v="Lỗi từ nhà sản xuất"/>
    <s v="25/07/2025 báo email cho hãng_x000a_29/07/2025, nhận được hướng xử lý của hãng: chấp nhận đền bù cho khách và chuyển hủy mẫu khiếu nại_x000a_--&gt; Hoàn tất"/>
    <m/>
    <m/>
    <x v="0"/>
    <m/>
    <d v="1900-01-06T00:00:00"/>
    <x v="61"/>
    <x v="0"/>
    <x v="40"/>
    <s v="CC_770725-HCM"/>
    <n v="2025"/>
    <s v="HCM"/>
  </r>
  <r>
    <n v="88"/>
    <s v="RH"/>
    <x v="56"/>
    <x v="77"/>
    <m/>
    <x v="35"/>
    <x v="34"/>
    <x v="58"/>
    <x v="73"/>
    <x v="0"/>
    <d v="2027-10-02T00:00:00"/>
    <x v="11"/>
    <x v="0"/>
    <x v="76"/>
    <s v="Lỗi từ nhà sản xuất"/>
    <s v="31/07/2025 : báo email cho hãng_x000a_03/08/2025: hãng chấp nhận đền bù_x000a_CS làm việc với khách để thu hàng khiếu nại"/>
    <m/>
    <m/>
    <x v="2"/>
    <m/>
    <d v="1900-01-06T00:00:00"/>
    <x v="60"/>
    <x v="0"/>
    <x v="0"/>
    <s v="CC_780725-HCM"/>
    <n v="2025"/>
    <s v="HCM"/>
  </r>
  <r>
    <n v="89"/>
    <s v="MG"/>
    <x v="57"/>
    <x v="78"/>
    <m/>
    <x v="46"/>
    <x v="45"/>
    <x v="42"/>
    <x v="53"/>
    <x v="0"/>
    <d v="2026-10-17T00:00:00"/>
    <x v="11"/>
    <x v="0"/>
    <x v="77"/>
    <s v="Lỗi từ nhà sản xuất"/>
    <s v="Nhận được yêu cầu đổi hàng từ hãng_x000a_01/08/2025: Báo email cho hãng_x000a_03/08/2025: hãng chấp nhận thu về ở điều kiện thường_x000a_--&gt; hoàn tất"/>
    <m/>
    <m/>
    <x v="4"/>
    <m/>
    <d v="1900-01-06T00:00:00"/>
    <x v="46"/>
    <x v="0"/>
    <x v="0"/>
    <s v="CC_790725-HN"/>
    <n v="2025"/>
    <s v="HN"/>
  </r>
  <r>
    <n v="90"/>
    <s v="DV"/>
    <x v="58"/>
    <x v="79"/>
    <m/>
    <x v="61"/>
    <x v="62"/>
    <x v="60"/>
    <x v="76"/>
    <x v="0"/>
    <d v="2026-06-06T00:00:00"/>
    <x v="6"/>
    <x v="20"/>
    <x v="78"/>
    <s v="Lỗi không xuất phát từ quá trình bảo quản và vận chuyển"/>
    <s v="Đã gửi email cho hãng và hãng đồng ý đổi ngang, phía Hoàng Đức đang check với các bộ phận liên quan cho việc đổi trả"/>
    <s v="Không"/>
    <s v="email"/>
    <x v="7"/>
    <m/>
    <d v="1900-01-07T00:00:00"/>
    <x v="62"/>
    <x v="0"/>
    <x v="0"/>
    <s v="CC_800825-HCM"/>
    <n v="2025"/>
    <s v="HCM"/>
  </r>
  <r>
    <n v="91"/>
    <s v="DV"/>
    <x v="59"/>
    <x v="80"/>
    <m/>
    <x v="62"/>
    <x v="63"/>
    <x v="61"/>
    <x v="43"/>
    <x v="21"/>
    <d v="2026-07-31T00:00:00"/>
    <x v="1"/>
    <x v="7"/>
    <x v="79"/>
    <s v="Lỗi không xuất phát từ quá trình bảo quản và vận chuyển"/>
    <s v="13/08/2025, hãng đồng ý đền bù cho khách"/>
    <m/>
    <m/>
    <x v="7"/>
    <m/>
    <d v="1900-01-07T00:00:00"/>
    <x v="0"/>
    <x v="0"/>
    <x v="20"/>
    <s v="CC_810825-HCM"/>
    <n v="2025"/>
    <s v="HCM"/>
  </r>
  <r>
    <n v="92"/>
    <s v="DV"/>
    <x v="59"/>
    <x v="80"/>
    <m/>
    <x v="62"/>
    <x v="63"/>
    <x v="61"/>
    <x v="58"/>
    <x v="23"/>
    <d v="2026-01-04T00:00:00"/>
    <x v="1"/>
    <x v="0"/>
    <x v="79"/>
    <s v="Lỗi không xuất phát từ quá trình bảo quản và vận chuyển"/>
    <s v="13/08/2025, hãng đồng ý đền bù cho khách"/>
    <m/>
    <m/>
    <x v="7"/>
    <m/>
    <d v="1900-01-07T00:00:00"/>
    <x v="40"/>
    <x v="0"/>
    <x v="22"/>
    <s v="CC_810825-HCM"/>
    <n v="2025"/>
    <s v="HCM"/>
  </r>
  <r>
    <n v="93"/>
    <s v="HY"/>
    <x v="60"/>
    <x v="81"/>
    <m/>
    <x v="63"/>
    <x v="64"/>
    <x v="43"/>
    <x v="77"/>
    <x v="0"/>
    <d v="2026-10-31T00:00:00"/>
    <x v="1"/>
    <x v="21"/>
    <x v="80"/>
    <s v="Lỗi từ nhà sản xuất"/>
    <s v="Nhận được thông tin chấp nhận đền bù cho hãng"/>
    <m/>
    <m/>
    <x v="2"/>
    <m/>
    <d v="1900-01-07T00:00:00"/>
    <x v="17"/>
    <x v="0"/>
    <x v="0"/>
    <s v="CC_820825-HN"/>
    <n v="2025"/>
    <s v="HN"/>
  </r>
  <r>
    <n v="94"/>
    <s v="OPELLA"/>
    <x v="61"/>
    <x v="82"/>
    <m/>
    <x v="64"/>
    <x v="65"/>
    <x v="15"/>
    <x v="78"/>
    <x v="43"/>
    <d v="2027-09-30T00:00:00"/>
    <x v="1"/>
    <x v="6"/>
    <x v="81"/>
    <s v="Không xác định được nguyên nhân"/>
    <s v="13/08/2025: Báo email cho hãng_x000a_13/08/2025: hãng từ chối đền bù do không đủ căn cứ để xác định lỗi từ hãng_x000a_13/08/2025: yêu cầu khách cung cấp thêm chứng cứ để điều tra nguyên nhân, đồng thời dựa vào những thông tin của khách cung cấp, lỗi không xuất phát từ Hoàng Đức"/>
    <s v="Không"/>
    <m/>
    <x v="6"/>
    <m/>
    <d v="1900-01-07T00:00:00"/>
    <x v="63"/>
    <x v="0"/>
    <x v="41"/>
    <s v="CC_830825-HCM"/>
    <n v="2025"/>
    <s v="HCM"/>
  </r>
  <r>
    <n v="95"/>
    <s v="HY"/>
    <x v="61"/>
    <x v="83"/>
    <m/>
    <x v="65"/>
    <x v="66"/>
    <x v="62"/>
    <x v="79"/>
    <x v="44"/>
    <d v="2027-01-31T00:00:00"/>
    <x v="1"/>
    <x v="0"/>
    <x v="82"/>
    <s v="Lỗi từ nhà sản xuất"/>
    <s v="Hãng chấp nhận khiếu nại, tiến hành đền bù cho khách _x000a_--&gt; Hoàn tất"/>
    <m/>
    <m/>
    <x v="7"/>
    <m/>
    <d v="1900-01-07T00:00:00"/>
    <x v="20"/>
    <x v="0"/>
    <x v="42"/>
    <s v="CC_840825-HN"/>
    <n v="2025"/>
    <s v="HN"/>
  </r>
  <r>
    <n v="96"/>
    <s v="SA"/>
    <x v="61"/>
    <x v="84"/>
    <m/>
    <x v="33"/>
    <x v="33"/>
    <x v="63"/>
    <x v="80"/>
    <x v="45"/>
    <d v="2027-01-31T00:00:00"/>
    <x v="1"/>
    <x v="0"/>
    <x v="83"/>
    <s v="Lỗi từ nhà sản xuất"/>
    <s v="Hãng chấp nhận khiếu nại, tiến hành đền bù cho khách _x000a_--&gt; Hoàn tất"/>
    <m/>
    <m/>
    <x v="4"/>
    <m/>
    <d v="1900-01-07T00:00:00"/>
    <x v="20"/>
    <x v="0"/>
    <x v="43"/>
    <s v="CC_850825-HCM"/>
    <n v="2025"/>
    <s v="HCM"/>
  </r>
  <r>
    <n v="97"/>
    <s v="SA"/>
    <x v="62"/>
    <x v="85"/>
    <m/>
    <x v="66"/>
    <x v="67"/>
    <x v="47"/>
    <x v="81"/>
    <x v="46"/>
    <s v="30/04/2027    "/>
    <x v="1"/>
    <x v="0"/>
    <x v="84"/>
    <s v="Lỗi từ nhà sản xuất"/>
    <s v="Hãng chấp nhận khiếu nại, tiến hành đền bù cho khách _x000a_--&gt; Hoàn tất"/>
    <m/>
    <m/>
    <x v="8"/>
    <m/>
    <d v="1900-01-07T00:00:00"/>
    <x v="64"/>
    <x v="0"/>
    <x v="44"/>
    <s v="CC_860825-HCM"/>
    <n v="2025"/>
    <s v="HCM"/>
  </r>
  <r>
    <n v="98"/>
    <s v="SA"/>
    <x v="63"/>
    <x v="86"/>
    <m/>
    <x v="67"/>
    <x v="68"/>
    <x v="64"/>
    <x v="61"/>
    <x v="35"/>
    <d v="2026-10-31T00:00:00"/>
    <x v="1"/>
    <x v="0"/>
    <x v="85"/>
    <s v="Lỗi từ nhà sản xuất"/>
    <s v="Ngày 15/08/2025, báo email cho hãng, và chấp nhận khiếu nại. Tuy nhiên khách không có nhu cầu đền bù_x000a_--&gt; Hoàn tất"/>
    <m/>
    <m/>
    <x v="8"/>
    <m/>
    <d v="1900-01-07T00:00:00"/>
    <x v="17"/>
    <x v="0"/>
    <x v="34"/>
    <s v="CC_870825-HCM"/>
    <n v="2025"/>
    <s v="HCM"/>
  </r>
  <r>
    <n v="99"/>
    <s v="WW"/>
    <x v="64"/>
    <x v="87"/>
    <m/>
    <x v="68"/>
    <x v="69"/>
    <x v="65"/>
    <x v="82"/>
    <x v="0"/>
    <d v="2026-11-19T00:00:00"/>
    <x v="1"/>
    <x v="3"/>
    <x v="86"/>
    <s v="Lỗi từ nhà sản xuất"/>
    <s v="Ngày 18/08/2025 báo email cho hãng_x000a_25/08/2025, báo email cho hãng thêm thông tin"/>
    <m/>
    <m/>
    <x v="0"/>
    <m/>
    <d v="1900-01-07T00:00:00"/>
    <x v="65"/>
    <x v="0"/>
    <x v="0"/>
    <s v="CC_880825-HCM"/>
    <n v="2025"/>
    <s v="HCM"/>
  </r>
  <r>
    <n v="100"/>
    <s v="MG"/>
    <x v="65"/>
    <x v="88"/>
    <m/>
    <x v="69"/>
    <x v="6"/>
    <x v="66"/>
    <x v="83"/>
    <x v="47"/>
    <d v="2027-08-15T00:00:00"/>
    <x v="0"/>
    <x v="0"/>
    <x v="87"/>
    <s v="Lỗi từ nhà sản xuất"/>
    <s v="22/08/2025, báo email cho hãng_x000a_25/08/2025 hãng email sẽ liên hệ khách_x000a_24/09/2025 nhận được thông tin chấp nhận đền bù "/>
    <s v="x"/>
    <s v="Mail, File"/>
    <x v="7"/>
    <d v="2025-11-06T00:00:00"/>
    <d v="1900-01-07T00:00:00"/>
    <x v="66"/>
    <x v="11"/>
    <x v="45"/>
    <m/>
    <n v="2025"/>
    <s v="HCM"/>
  </r>
  <r>
    <n v="101"/>
    <s v="MG"/>
    <x v="65"/>
    <x v="88"/>
    <m/>
    <x v="69"/>
    <x v="6"/>
    <x v="66"/>
    <x v="48"/>
    <x v="48"/>
    <d v="2027-08-17T00:00:00"/>
    <x v="0"/>
    <x v="0"/>
    <x v="88"/>
    <s v="Lỗi từ nhà sản xuất"/>
    <s v="22/08/2025, báo email cho hãng_x000a_25/08/2025 hãng email sẽ liên hệ khách_x000a_24/09/2025 nhận được thông tin chấp nhận đền bù "/>
    <s v="x"/>
    <s v="Mail, File"/>
    <x v="7"/>
    <d v="2025-11-06T00:00:00"/>
    <d v="1900-01-07T00:00:00"/>
    <x v="67"/>
    <x v="11"/>
    <x v="46"/>
    <m/>
    <n v="2025"/>
    <s v="HCM"/>
  </r>
  <r>
    <n v="102"/>
    <s v="SA"/>
    <x v="66"/>
    <x v="89"/>
    <m/>
    <x v="70"/>
    <x v="70"/>
    <x v="0"/>
    <x v="59"/>
    <x v="49"/>
    <d v="2026-08-31T00:00:00"/>
    <x v="0"/>
    <x v="0"/>
    <x v="89"/>
    <s v="Lỗi từ nhà sản xuất"/>
    <s v="25/08/2025, báo email cho hãng_x000a_26/08/2025: liên hệ khách xin thêm thông tin_x000a_29/08/2025: khách cancel xử lý nội bộ_x000a_--&gt; hoàn tất"/>
    <m/>
    <m/>
    <x v="3"/>
    <m/>
    <d v="1900-01-07T00:00:00"/>
    <x v="35"/>
    <x v="0"/>
    <x v="47"/>
    <s v="CC_900825-HCM-HUY"/>
    <n v="2025"/>
    <s v="HCM"/>
  </r>
  <r>
    <n v="103"/>
    <s v="SA"/>
    <x v="67"/>
    <x v="90"/>
    <m/>
    <x v="71"/>
    <x v="71"/>
    <x v="67"/>
    <x v="84"/>
    <x v="50"/>
    <d v="2026-02-28T00:00:00"/>
    <x v="0"/>
    <x v="0"/>
    <x v="90"/>
    <s v="Lỗi từ nhà sản xuất"/>
    <s v="26/08/2025, báo hãng và đồng ý đền bù cho khách"/>
    <s v="x"/>
    <s v="ZALO"/>
    <x v="4"/>
    <m/>
    <d v="1900-01-07T00:00:00"/>
    <x v="68"/>
    <x v="0"/>
    <x v="48"/>
    <s v="CC_910825-HCM"/>
    <n v="2025"/>
    <s v="HCM"/>
  </r>
  <r>
    <n v="104"/>
    <s v="SA"/>
    <x v="68"/>
    <x v="91"/>
    <m/>
    <x v="72"/>
    <x v="72"/>
    <x v="0"/>
    <x v="59"/>
    <x v="33"/>
    <d v="2026-08-31T00:00:00"/>
    <x v="0"/>
    <x v="0"/>
    <x v="19"/>
    <s v="Lỗi từ nhà sản xuất"/>
    <s v="29/08/2025; báo email cho hãng"/>
    <m/>
    <m/>
    <x v="7"/>
    <d v="2025-10-10T00:00:00"/>
    <d v="1900-01-07T00:00:00"/>
    <x v="35"/>
    <x v="12"/>
    <x v="32"/>
    <s v="CC_920825-HCM"/>
    <n v="2025"/>
    <s v="HCM"/>
  </r>
  <r>
    <n v="105"/>
    <s v="OPELLA"/>
    <x v="69"/>
    <x v="92"/>
    <m/>
    <x v="73"/>
    <x v="73"/>
    <x v="4"/>
    <x v="85"/>
    <x v="51"/>
    <d v="2026-10-15T00:00:00"/>
    <x v="5"/>
    <x v="0"/>
    <x v="91"/>
    <s v="Không xác định được nguyên nhân"/>
    <s v="09/09/2025:Báo mail cho hãng_x000a_Hãng đồng ý đền bù_x000a_Tuy nhiên khách không cung cấp đủ thông tin nên hủy khiếu nại"/>
    <m/>
    <m/>
    <x v="3"/>
    <m/>
    <d v="1900-01-08T00:00:00"/>
    <x v="69"/>
    <x v="0"/>
    <x v="49"/>
    <s v="CC_930925-HCM-HUY"/>
    <n v="2025"/>
    <s v="HCM"/>
  </r>
  <r>
    <n v="106"/>
    <s v="SA"/>
    <x v="70"/>
    <x v="93"/>
    <m/>
    <x v="8"/>
    <x v="51"/>
    <x v="0"/>
    <x v="0"/>
    <x v="52"/>
    <d v="2026-07-31T00:00:00"/>
    <x v="0"/>
    <x v="0"/>
    <x v="92"/>
    <s v="Lỗi từ nhà sản xuất"/>
    <s v="Chấp nhận đổi hàng cho khách_x000a_--&gt; Hoàn tất"/>
    <s v="x"/>
    <s v="mail"/>
    <x v="4"/>
    <m/>
    <d v="1900-01-08T00:00:00"/>
    <x v="0"/>
    <x v="0"/>
    <x v="50"/>
    <s v="CC_940925-HCM"/>
    <n v="2025"/>
    <s v="HCM"/>
  </r>
  <r>
    <n v="107"/>
    <s v="SA"/>
    <x v="70"/>
    <x v="94"/>
    <m/>
    <x v="74"/>
    <x v="74"/>
    <x v="17"/>
    <x v="86"/>
    <x v="53"/>
    <d v="2028-01-31T00:00:00"/>
    <x v="1"/>
    <x v="0"/>
    <x v="93"/>
    <s v="Lỗi từ nhà sản xuất"/>
    <s v="11/09/2025 đã thông tin số lô và số lượng cho hãng_x000a_hãng đồng ý đền bù cho khách_x000a_--&gt; Hoàn tất"/>
    <m/>
    <m/>
    <x v="7"/>
    <d v="2025-10-20T00:00:00"/>
    <d v="1900-01-08T00:00:00"/>
    <x v="70"/>
    <x v="13"/>
    <x v="51"/>
    <s v="CC_950925-HCM"/>
    <n v="2025"/>
    <s v="HCM"/>
  </r>
  <r>
    <n v="108"/>
    <s v="AZ"/>
    <x v="71"/>
    <x v="95"/>
    <m/>
    <x v="75"/>
    <x v="75"/>
    <x v="68"/>
    <x v="87"/>
    <x v="54"/>
    <m/>
    <x v="10"/>
    <x v="19"/>
    <x v="94"/>
    <s v="Lỗi từ nhà sản xuất"/>
    <s v="12/09/2025 mail báo hãng_x000a_-&gt; Hãng yêu cầu thu hàng lỗi về nhà máy để điều tra và chấp nhận khiếu nại_x000a_-&gt; Hoàn tất"/>
    <m/>
    <m/>
    <x v="7"/>
    <m/>
    <d v="1900-01-08T00:00:00"/>
    <x v="71"/>
    <x v="0"/>
    <x v="52"/>
    <s v="CC_960925-HN"/>
    <n v="2025"/>
    <s v="HN"/>
  </r>
  <r>
    <n v="109"/>
    <s v="AZ"/>
    <x v="72"/>
    <x v="96"/>
    <m/>
    <x v="76"/>
    <x v="39"/>
    <x v="35"/>
    <x v="88"/>
    <x v="55"/>
    <d v="2026-11-27T00:00:00"/>
    <x v="1"/>
    <x v="0"/>
    <x v="95"/>
    <s v="Lỗi từ nhà sản xuất"/>
    <s v="Hãng đồng ý đền bù và xuất mẫu để hãng điều tra_x000a_--&gt; Hoàn tất"/>
    <m/>
    <m/>
    <x v="7"/>
    <m/>
    <d v="1900-01-08T00:00:00"/>
    <x v="72"/>
    <x v="0"/>
    <x v="53"/>
    <s v="CC_970925-HCM"/>
    <n v="2025"/>
    <s v="HCM"/>
  </r>
  <r>
    <n v="110"/>
    <s v="RH"/>
    <x v="73"/>
    <x v="97"/>
    <m/>
    <x v="25"/>
    <x v="34"/>
    <x v="69"/>
    <x v="89"/>
    <x v="0"/>
    <d v="2029-04-24T00:00:00"/>
    <x v="1"/>
    <x v="0"/>
    <x v="96"/>
    <s v="Lỗi từ nhà sản xuất"/>
    <s v="Đang yêu cầu cung cấp thêm thông tin để điều tra_x000a_Hãng đồng ý đền bù, hàng khiếu nại xuất sang văn phòng hãng_x000a_--&gt; Hoàn tất"/>
    <m/>
    <m/>
    <x v="7"/>
    <m/>
    <d v="1900-01-08T00:00:00"/>
    <x v="73"/>
    <x v="0"/>
    <x v="0"/>
    <s v="CC_980925-HCM"/>
    <n v="2025"/>
    <s v="HCM"/>
  </r>
  <r>
    <n v="111"/>
    <s v="VE"/>
    <x v="74"/>
    <x v="98"/>
    <m/>
    <x v="77"/>
    <x v="76"/>
    <x v="70"/>
    <x v="90"/>
    <x v="56"/>
    <d v="2027-08-31T00:00:00"/>
    <x v="1"/>
    <x v="0"/>
    <x v="97"/>
    <s v="Lỗi từ nhà sản xuất"/>
    <s v="Báo email cho hãng _x000a_Nhận được hướng xử lý chấp nhận đền bù, hàng khiếu nại thu về chuyển vào khu vực chờ hủy_x000a_--&gt; Hoàn tất"/>
    <m/>
    <m/>
    <x v="0"/>
    <m/>
    <d v="1900-01-08T00:00:00"/>
    <x v="74"/>
    <x v="0"/>
    <x v="54"/>
    <s v="CC_990925-HCM"/>
    <n v="2025"/>
    <s v="HCM"/>
  </r>
  <r>
    <n v="112"/>
    <s v="SA"/>
    <x v="75"/>
    <x v="99"/>
    <m/>
    <x v="78"/>
    <x v="77"/>
    <x v="71"/>
    <x v="91"/>
    <x v="57"/>
    <d v="2027-08-31T00:00:00"/>
    <x v="1"/>
    <x v="0"/>
    <x v="98"/>
    <s v="Lỗi từ nhà sản xuất"/>
    <s v="23/09/2025, mail báo hãng_x000a_-&gt; Hãng chấp nhận khiếu nại và đền bù cho khách_x000a_-&gt; Hoàn tất"/>
    <m/>
    <s v="mail"/>
    <x v="4"/>
    <m/>
    <d v="1900-01-08T00:00:00"/>
    <x v="74"/>
    <x v="0"/>
    <x v="55"/>
    <s v="CC_1000925-HN"/>
    <n v="2025"/>
    <s v="HN"/>
  </r>
  <r>
    <n v="113"/>
    <s v="SA"/>
    <x v="76"/>
    <x v="100"/>
    <m/>
    <x v="79"/>
    <x v="78"/>
    <x v="17"/>
    <x v="41"/>
    <x v="0"/>
    <s v="NA"/>
    <x v="1"/>
    <x v="0"/>
    <x v="99"/>
    <s v="Không xác định được nguyên nhân"/>
    <s v="23/09/2025, khách hủy case, xử lý nội bộ"/>
    <m/>
    <m/>
    <x v="3"/>
    <m/>
    <d v="1900-01-08T00:00:00"/>
    <x v="6"/>
    <x v="0"/>
    <x v="0"/>
    <s v="CC_1010925-HCM-HUY"/>
    <n v="2025"/>
    <s v="HCM"/>
  </r>
  <r>
    <n v="114"/>
    <s v="SD"/>
    <x v="77"/>
    <x v="101"/>
    <m/>
    <x v="80"/>
    <x v="79"/>
    <x v="72"/>
    <x v="92"/>
    <x v="58"/>
    <d v="2029-05-07T00:00:00"/>
    <x v="7"/>
    <x v="3"/>
    <x v="100"/>
    <s v="Lỗi từ nhà sản xuất"/>
    <s v="25/09/2025, báo mail hãng_x000a_29/09/2025, hãng chấp nhận đền bù, hàng lỗi thu về trả hãng_x000a_23/10/2025, CS báo đi thu hồi hàng, ko còn 2 vỉ lỗi, không thu hồi hàng nữa_x000a_--&gt; Đóng khiếu nại"/>
    <m/>
    <s v="mail"/>
    <x v="3"/>
    <m/>
    <d v="1900-01-08T00:00:00"/>
    <x v="56"/>
    <x v="0"/>
    <x v="56"/>
    <s v="CC_1020925-HN"/>
    <n v="2025"/>
    <s v="HN"/>
  </r>
  <r>
    <n v="115"/>
    <s v="SA"/>
    <x v="78"/>
    <x v="102"/>
    <m/>
    <x v="33"/>
    <x v="33"/>
    <x v="47"/>
    <x v="21"/>
    <x v="9"/>
    <d v="2027-01-31T00:00:00"/>
    <x v="5"/>
    <x v="0"/>
    <x v="101"/>
    <s v="Lỗi từ nhà sản xuất"/>
    <s v="25/09/2025 báo email cho hãng"/>
    <m/>
    <m/>
    <x v="7"/>
    <m/>
    <d v="1900-01-08T00:00:00"/>
    <x v="20"/>
    <x v="0"/>
    <x v="9"/>
    <s v="CC_1030925-HCM"/>
    <n v="2025"/>
    <s v="HCM"/>
  </r>
  <r>
    <n v="116"/>
    <s v="HY"/>
    <x v="79"/>
    <x v="103"/>
    <m/>
    <x v="81"/>
    <x v="80"/>
    <x v="62"/>
    <x v="93"/>
    <x v="0"/>
    <d v="2026-10-31T00:00:00"/>
    <x v="1"/>
    <x v="0"/>
    <x v="102"/>
    <s v="Lỗi từ nhà sản xuất"/>
    <s v="26/09/2025, báo mail cho hãng_x000a_-&gt; Hãng đổi hàng cho khách và cho vào công nợ T9, hàng lỗi xuất vp hãng_x000a_--&gt; Hoàn tất"/>
    <m/>
    <s v="mail"/>
    <x v="7"/>
    <m/>
    <d v="1900-01-08T00:00:00"/>
    <x v="17"/>
    <x v="0"/>
    <x v="0"/>
    <s v="CC_1040925-HN"/>
    <n v="2025"/>
    <s v="HN"/>
  </r>
  <r>
    <n v="117"/>
    <s v="NV"/>
    <x v="80"/>
    <x v="104"/>
    <m/>
    <x v="82"/>
    <x v="81"/>
    <x v="73"/>
    <x v="94"/>
    <x v="59"/>
    <d v="2026-07-16T00:00:00"/>
    <x v="1"/>
    <x v="0"/>
    <x v="103"/>
    <s v="Lỗi từ nhà sản xuất"/>
    <s v="30/09/2025 Báo email cho hãng_x000a_06/10/2025 Nhận được email từ hãng, đồng ý đền bù cho khách và sẽ tiến hành điều tra trong vòng 60 ngày"/>
    <m/>
    <m/>
    <x v="9"/>
    <m/>
    <d v="1900-01-08T00:00:00"/>
    <x v="75"/>
    <x v="0"/>
    <x v="57"/>
    <s v="CC_1050925-HCM"/>
    <n v="2025"/>
    <s v="HCM"/>
  </r>
  <r>
    <n v="118"/>
    <s v="SA"/>
    <x v="81"/>
    <x v="105"/>
    <m/>
    <x v="83"/>
    <x v="82"/>
    <x v="0"/>
    <x v="95"/>
    <x v="60"/>
    <d v="2026-09-30T00:00:00"/>
    <x v="1"/>
    <x v="0"/>
    <x v="104"/>
    <s v="Lỗi từ nhà sản xuất"/>
    <s v="07/10/2025: hãng đồng ý khiếu nại_x000a_23/10/2025: CS liên hệ nhưng khách vẫn chưa đồng ý thực hiện thủ tục đền bù_x000a_10/11/2025: close case, không thu hồi được mẫu khiếu nại. Lý do: không hoàn tất được chứng từ; Hoàng Đức đã cố gắng liên hệ nhưng khách không phản hồi"/>
    <s v="No"/>
    <s v="mail"/>
    <x v="3"/>
    <m/>
    <d v="1900-01-09T00:00:00"/>
    <x v="29"/>
    <x v="0"/>
    <x v="58"/>
    <s v="CC_1061025-ĐN"/>
    <n v="2025"/>
    <s v="ĐN"/>
  </r>
  <r>
    <n v="119"/>
    <s v="HY"/>
    <x v="82"/>
    <x v="106"/>
    <m/>
    <x v="84"/>
    <x v="83"/>
    <x v="74"/>
    <x v="96"/>
    <x v="0"/>
    <d v="2027-06-01T00:00:00"/>
    <x v="11"/>
    <x v="6"/>
    <x v="105"/>
    <s v="Lỗi không xuất phát từ quá trình bảo quản và vận chuyển"/>
    <s v="02/10/2025: báo email cho bp Kinh doanh:  khách đã nhận và đồng kiểm hàng với nhân viên giao hàng. Do đó, nếu công ty xác nhận giải quyết đổi cho khách thì kho ĐN mới thực hiện thủ tục đổi hàng."/>
    <s v="No"/>
    <s v="mail"/>
    <x v="3"/>
    <m/>
    <d v="1900-01-09T00:00:00"/>
    <x v="76"/>
    <x v="0"/>
    <x v="0"/>
    <s v="CC_1071025-ĐN-HUY"/>
    <n v="2025"/>
    <s v="ĐN"/>
  </r>
  <r>
    <n v="120"/>
    <s v="MG"/>
    <x v="82"/>
    <x v="107"/>
    <m/>
    <x v="85"/>
    <x v="84"/>
    <x v="75"/>
    <x v="97"/>
    <x v="30"/>
    <d v="2027-03-31T00:00:00"/>
    <x v="7"/>
    <x v="0"/>
    <x v="106"/>
    <s v="Lỗi từ nhà sản xuất"/>
    <s v="02/10/2025 báo mail cho hãng_x000a_-&gt; Hãng xác nhận đổi 1h nguyên cho khách, hộp có vỉ bị vỡ thu về trả hãng (2 vỉ nguyên + 3 viên vỡ)_x000a_-&gt; Hoàn tất"/>
    <m/>
    <s v="mail"/>
    <x v="7"/>
    <m/>
    <d v="1900-01-09T00:00:00"/>
    <x v="77"/>
    <x v="0"/>
    <x v="29"/>
    <s v="CC_1081025-HN"/>
    <n v="2025"/>
    <s v="HN"/>
  </r>
  <r>
    <n v="121"/>
    <s v="SA"/>
    <x v="82"/>
    <x v="108"/>
    <m/>
    <x v="86"/>
    <x v="85"/>
    <x v="64"/>
    <x v="61"/>
    <x v="35"/>
    <d v="2026-10-31T00:00:00"/>
    <x v="1"/>
    <x v="0"/>
    <x v="107"/>
    <s v="Lỗi từ nhà sản xuất"/>
    <s v="02/10/2025, Báo email cho hãng"/>
    <s v="yes"/>
    <s v="ZALO"/>
    <x v="7"/>
    <m/>
    <d v="1900-01-09T00:00:00"/>
    <x v="17"/>
    <x v="0"/>
    <x v="34"/>
    <s v="CC_1091025-HCM"/>
    <n v="2025"/>
    <s v="HCM"/>
  </r>
  <r>
    <n v="122"/>
    <s v="GZ"/>
    <x v="83"/>
    <x v="109"/>
    <m/>
    <x v="57"/>
    <x v="58"/>
    <x v="76"/>
    <x v="98"/>
    <x v="61"/>
    <d v="2027-05-15T00:00:00"/>
    <x v="1"/>
    <x v="22"/>
    <x v="108"/>
    <s v="Không xác định được nguyên nhân"/>
    <s v="03/10/2025, Báo email cho CS xin thêm thông tin_x000a_Sau khi kiểm tra khách xác nhận không phát sinh lỗi nên hủy khiếu nại_x000a_--&gt; Hoàn tất"/>
    <m/>
    <m/>
    <x v="3"/>
    <m/>
    <d v="1900-01-09T00:00:00"/>
    <x v="78"/>
    <x v="0"/>
    <x v="59"/>
    <s v="CC_1101025-HCM-HUY"/>
    <n v="2025"/>
    <s v="HCM"/>
  </r>
  <r>
    <n v="123"/>
    <s v="MG"/>
    <x v="84"/>
    <x v="110"/>
    <m/>
    <x v="87"/>
    <x v="86"/>
    <x v="77"/>
    <x v="99"/>
    <x v="0"/>
    <d v="2027-06-13T00:00:00"/>
    <x v="1"/>
    <x v="0"/>
    <x v="109"/>
    <s v="Lỗi từ nhà sản xuất"/>
    <s v="06/10/2025, báo email cho hãng_x000a_24/10/2025, hãng xác nhận đổi 03 hộp cho khách, thu về 150 viên trả hãng"/>
    <m/>
    <s v="mail"/>
    <x v="7"/>
    <m/>
    <d v="1900-01-09T00:00:00"/>
    <x v="79"/>
    <x v="0"/>
    <x v="0"/>
    <s v="CC_1111025-HN"/>
    <n v="2025"/>
    <s v="HN"/>
  </r>
  <r>
    <n v="124"/>
    <s v="GZ"/>
    <x v="85"/>
    <x v="111"/>
    <m/>
    <x v="88"/>
    <x v="87"/>
    <x v="78"/>
    <x v="100"/>
    <x v="62"/>
    <d v="2027-08-07T00:00:00"/>
    <x v="1"/>
    <x v="0"/>
    <x v="110"/>
    <s v="Không xác định được nguyên nhân"/>
    <s v="02/10/2025, xin thêm thông tin chứng minh lỗi từ HĐ hoặc NSX_x000a_07/10/2025, khách báo không có thông tin nào thêm, và báo email cho hãng"/>
    <s v="yes"/>
    <s v="ZALO"/>
    <x v="9"/>
    <m/>
    <d v="1900-01-09T00:00:00"/>
    <x v="80"/>
    <x v="0"/>
    <x v="60"/>
    <s v="CC_1121025-HCM"/>
    <n v="2025"/>
    <s v="HCM"/>
  </r>
  <r>
    <n v="125"/>
    <s v="SD"/>
    <x v="85"/>
    <x v="112"/>
    <m/>
    <x v="89"/>
    <x v="88"/>
    <x v="51"/>
    <x v="101"/>
    <x v="0"/>
    <d v="2029-06-03T00:00:00"/>
    <x v="7"/>
    <x v="0"/>
    <x v="111"/>
    <s v="Lỗi từ nhà sản xuất"/>
    <s v="07/10/2025 báo email cho hãng_x000a_hãng đồng ý đền bù cho khách"/>
    <s v="yes"/>
    <s v="call"/>
    <x v="7"/>
    <m/>
    <d v="1900-01-09T00:00:00"/>
    <x v="81"/>
    <x v="0"/>
    <x v="0"/>
    <s v="CC_1131025-HCM"/>
    <n v="2025"/>
    <s v="HCM"/>
  </r>
  <r>
    <n v="126"/>
    <s v="MY"/>
    <x v="85"/>
    <x v="113"/>
    <m/>
    <x v="25"/>
    <x v="34"/>
    <x v="54"/>
    <x v="102"/>
    <x v="0"/>
    <d v="2027-05-27T00:00:00"/>
    <x v="1"/>
    <x v="17"/>
    <x v="112"/>
    <s v="Lỗi từ nhà sản xuất"/>
    <s v="08/10/2025, báo email cho hãng_x000a_Ngày 07/10/2025, hàng lỗi khiếu nại số CC_690725-HCM về kho, phát hiện có 2 lô_x000a_- C56397: 02 hộp (01 hộp 4 gói + 1 hộp 1 gói) trong đó có 04 gói bị lỗi._x000a_- C56395:  04 hộp (16 gói) trong đó có 09 gói bị lỗi_x000a_Do đó, hãng điều chỉnh như sau: COMP-VN-2025-152: 12 gói lỗi (9 gói lô C56395 + 3 gói lô C56397)_x000a_Nhận được thông tin chuyển hủy ngày 02/12/2025_x000a_--&gt; Hoàn tất"/>
    <m/>
    <m/>
    <x v="0"/>
    <m/>
    <d v="1900-01-09T00:00:00"/>
    <x v="55"/>
    <x v="0"/>
    <x v="0"/>
    <s v="CC_1141025-HCM"/>
    <n v="2025"/>
    <s v="HCM"/>
  </r>
  <r>
    <n v="127"/>
    <s v="SA"/>
    <x v="86"/>
    <x v="114"/>
    <m/>
    <x v="33"/>
    <x v="33"/>
    <x v="40"/>
    <x v="103"/>
    <x v="0"/>
    <d v="2027-04-30T00:00:00"/>
    <x v="1"/>
    <x v="0"/>
    <x v="113"/>
    <s v="Lỗi từ nhà sản xuất"/>
    <s v="09/10/2025, báo email cho hãng và tiến hành đền bù"/>
    <m/>
    <m/>
    <x v="7"/>
    <m/>
    <d v="1900-01-09T00:00:00"/>
    <x v="82"/>
    <x v="0"/>
    <x v="0"/>
    <s v="CC_1151025-HCM"/>
    <n v="2025"/>
    <s v="HCM"/>
  </r>
  <r>
    <n v="128"/>
    <s v="OPELLA"/>
    <x v="86"/>
    <x v="115"/>
    <m/>
    <x v="90"/>
    <x v="89"/>
    <x v="79"/>
    <x v="104"/>
    <x v="63"/>
    <d v="2027-01-13T00:00:00"/>
    <x v="3"/>
    <x v="0"/>
    <x v="114"/>
    <s v="Không xác định được nguyên nhân"/>
    <s v="Khách hủy khiếu nại"/>
    <m/>
    <m/>
    <x v="3"/>
    <m/>
    <d v="1900-01-09T00:00:00"/>
    <x v="83"/>
    <x v="0"/>
    <x v="61"/>
    <s v="CC_1161025-HCM-HUY"/>
    <n v="2025"/>
    <s v="HCM"/>
  </r>
  <r>
    <n v="129"/>
    <s v="HY"/>
    <x v="87"/>
    <x v="116"/>
    <m/>
    <x v="25"/>
    <x v="54"/>
    <x v="62"/>
    <x v="79"/>
    <x v="44"/>
    <d v="2027-01-31T00:00:00"/>
    <x v="1"/>
    <x v="0"/>
    <x v="82"/>
    <s v="Lỗi từ nhà sản xuất"/>
    <s v="10/10 báo mail cho hãng_x000a_04/11/2025, hãng đồng ý đổi hàng, trừ vào công nợ tháng"/>
    <m/>
    <m/>
    <x v="4"/>
    <m/>
    <d v="1900-01-09T00:00:00"/>
    <x v="20"/>
    <x v="0"/>
    <x v="42"/>
    <s v="CC_1171025-HN"/>
    <n v="2025"/>
    <s v="HN"/>
  </r>
  <r>
    <n v="130"/>
    <s v="OPELLA"/>
    <x v="88"/>
    <x v="117"/>
    <m/>
    <x v="0"/>
    <x v="0"/>
    <x v="15"/>
    <x v="78"/>
    <x v="43"/>
    <d v="2027-09-30T00:00:00"/>
    <x v="3"/>
    <x v="0"/>
    <x v="17"/>
    <s v="Không xuất phát từ bảo quản, phân phối đến khách"/>
    <s v="14/10/2025 Báo email cho hãng_x000a_"/>
    <m/>
    <m/>
    <x v="4"/>
    <m/>
    <d v="1900-01-09T00:00:00"/>
    <x v="63"/>
    <x v="0"/>
    <x v="41"/>
    <s v="CC_1181025-HCM"/>
    <n v="2025"/>
    <s v="HCM"/>
  </r>
  <r>
    <n v="131"/>
    <s v="AZ"/>
    <x v="89"/>
    <x v="118"/>
    <m/>
    <x v="76"/>
    <x v="39"/>
    <x v="19"/>
    <x v="87"/>
    <x v="54"/>
    <d v="2026-10-19T00:00:00"/>
    <x v="1"/>
    <x v="0"/>
    <x v="115"/>
    <s v="Lỗi từ nhà sản xuất"/>
    <s v="14/10/2025, báo email cho hãng_x000a_đang chờ confirm của SC -AZ"/>
    <m/>
    <m/>
    <x v="7"/>
    <m/>
    <d v="1900-01-09T00:00:00"/>
    <x v="84"/>
    <x v="0"/>
    <x v="52"/>
    <s v="CC_1191025-HCM"/>
    <n v="2025"/>
    <s v="HCM"/>
  </r>
  <r>
    <n v="132"/>
    <s v="SA"/>
    <x v="90"/>
    <x v="119"/>
    <m/>
    <x v="91"/>
    <x v="90"/>
    <x v="80"/>
    <x v="105"/>
    <x v="64"/>
    <d v="2027-02-28T00:00:00"/>
    <x v="0"/>
    <x v="0"/>
    <x v="116"/>
    <s v="Lỗi từ nhà sản xuất"/>
    <s v="17/10/2025, hãng đồng ý đền bù cho khách_x000a_27/10/2025. khách thu hồi khiếu nại, tự xử lý nội bộ"/>
    <m/>
    <m/>
    <x v="3"/>
    <m/>
    <d v="1900-01-09T00:00:00"/>
    <x v="5"/>
    <x v="0"/>
    <x v="62"/>
    <s v="CC_1201025-HCM"/>
    <n v="2025"/>
    <s v="HCM"/>
  </r>
  <r>
    <n v="133"/>
    <s v="WO"/>
    <x v="91"/>
    <x v="120"/>
    <m/>
    <x v="92"/>
    <x v="32"/>
    <x v="81"/>
    <x v="106"/>
    <x v="65"/>
    <s v="09/2027"/>
    <x v="7"/>
    <x v="0"/>
    <x v="117"/>
    <s v="Không xác định được nguyên nhân"/>
    <s v="Trình dược đã trao đổi với khách và close khiếu nại"/>
    <m/>
    <m/>
    <x v="3"/>
    <m/>
    <d v="1900-01-09T00:00:00"/>
    <x v="85"/>
    <x v="0"/>
    <x v="63"/>
    <s v="CC_1211025-HCM"/>
    <n v="2025"/>
    <s v="HCM"/>
  </r>
  <r>
    <n v="134"/>
    <s v="RH"/>
    <x v="91"/>
    <x v="121"/>
    <m/>
    <x v="93"/>
    <x v="91"/>
    <x v="82"/>
    <x v="107"/>
    <x v="58"/>
    <d v="2028-08-11T00:00:00"/>
    <x v="11"/>
    <x v="0"/>
    <x v="118"/>
    <s v="Lỗi từ nhà sản xuất"/>
    <s v="23/10/2025, báo mail cho hãng_x000a_27/10/2025, hãng đồng ý khiếu nại, hàng lỗi chuyển về VP Rohto"/>
    <m/>
    <m/>
    <x v="7"/>
    <m/>
    <d v="1900-01-09T00:00:00"/>
    <x v="86"/>
    <x v="0"/>
    <x v="56"/>
    <s v="CC_1221025-HN"/>
    <n v="2025"/>
    <s v="HN"/>
  </r>
  <r>
    <n v="135"/>
    <s v="HY"/>
    <x v="92"/>
    <x v="122"/>
    <m/>
    <x v="94"/>
    <x v="92"/>
    <x v="83"/>
    <x v="108"/>
    <x v="41"/>
    <d v="2027-02-28T00:00:00"/>
    <x v="11"/>
    <x v="0"/>
    <x v="119"/>
    <s v="Lỗi từ nhà sản xuất"/>
    <s v="23/10/2025, báo mail cho hãng_x000a_04/11/2025, hãng đồng ý đổi hàng, trừ vào công nợ tháng"/>
    <m/>
    <m/>
    <x v="4"/>
    <m/>
    <d v="1900-01-09T00:00:00"/>
    <x v="5"/>
    <x v="0"/>
    <x v="2"/>
    <s v="CC_1231025-HN"/>
    <n v="2025"/>
    <s v="HN"/>
  </r>
  <r>
    <n v="136"/>
    <s v="RD"/>
    <x v="93"/>
    <x v="123"/>
    <m/>
    <x v="95"/>
    <x v="93"/>
    <x v="84"/>
    <x v="109"/>
    <x v="66"/>
    <d v="2027-05-31T00:00:00"/>
    <x v="5"/>
    <x v="0"/>
    <x v="120"/>
    <s v="Lỗi không xuất phát từ quá trình bảo quản và vận chuyển"/>
    <s v="24/10/2025: hãng yc thu hồi lọ khiếu nại và đổi hàng cho khách_x000a_28/10/2025: gửi BC khiếu nại cho hãng_x000a_04/11/2025: gửi trả lời các câu hỏi cho hãng_x000a_06/11/2025: hàng rời kho ĐN về kho LH_x000a_26/11/2025: XNK báo không thể xuất mẫu về ẤN ĐỘ_x000a_03/12/2025: Hãng xác nhận chuyển huỷ mẫu"/>
    <s v="No"/>
    <s v="mail"/>
    <x v="0"/>
    <d v="2025-10-31T00:00:00"/>
    <d v="1900-01-09T00:00:00"/>
    <x v="87"/>
    <x v="14"/>
    <x v="64"/>
    <s v="CC_1241025-ĐN"/>
    <n v="2025"/>
    <s v="ĐN"/>
  </r>
  <r>
    <n v="137"/>
    <s v="HT"/>
    <x v="94"/>
    <x v="124"/>
    <m/>
    <x v="96"/>
    <x v="94"/>
    <x v="2"/>
    <x v="110"/>
    <x v="67"/>
    <d v="2027-02-17T00:00:00"/>
    <x v="1"/>
    <x v="0"/>
    <x v="121"/>
    <s v="Lỗi từ nhà sản xuất"/>
    <s v="Hãng đồng ý đền bù, hàng cho vào khu vực chờ hủy_x000a_--&gt; Hoàn tất"/>
    <m/>
    <m/>
    <x v="0"/>
    <m/>
    <d v="1900-01-09T00:00:00"/>
    <x v="88"/>
    <x v="0"/>
    <x v="65"/>
    <s v="CC_1251025-HCM"/>
    <n v="2025"/>
    <s v="HCM"/>
  </r>
  <r>
    <n v="138"/>
    <s v="SA"/>
    <x v="95"/>
    <x v="125"/>
    <m/>
    <x v="97"/>
    <x v="95"/>
    <x v="71"/>
    <x v="111"/>
    <x v="68"/>
    <s v="04/2027"/>
    <x v="1"/>
    <x v="0"/>
    <x v="122"/>
    <s v="Lỗi từ nhà sản xuất"/>
    <s v="29/10/2025, báo mail cho hãng_x000a_-&gt; hãng chấp nhận khiếu nại, làm biên bản giảm trừ tiền 2 viên thiếu_x000a_11/11/2025: viện không đồng ý làm điều chỉnh hóa đơn và thống nhất đóng khiếu nại không xử lý thêm"/>
    <m/>
    <m/>
    <x v="8"/>
    <m/>
    <d v="1900-01-09T00:00:00"/>
    <x v="89"/>
    <x v="0"/>
    <x v="66"/>
    <s v="CC_1261025-HN"/>
    <n v="2025"/>
    <s v="HN"/>
  </r>
  <r>
    <n v="139"/>
    <s v="HY"/>
    <x v="96"/>
    <x v="126"/>
    <m/>
    <x v="98"/>
    <x v="96"/>
    <x v="43"/>
    <x v="112"/>
    <x v="0"/>
    <d v="2027-04-30T00:00:00"/>
    <x v="11"/>
    <x v="0"/>
    <x v="123"/>
    <s v="Lỗi từ nhà sản xuất"/>
    <s v="03/10/2025, báo mail cho hãng_x000a_-&gt; 04/11/2025 hãng đồng ý đổi hàng, trừ công nợ tháng"/>
    <m/>
    <m/>
    <x v="4"/>
    <m/>
    <d v="1900-01-10T00:00:00"/>
    <x v="82"/>
    <x v="0"/>
    <x v="0"/>
    <s v="CC_1271125-HN"/>
    <n v="2025"/>
    <s v="HN"/>
  </r>
  <r>
    <n v="140"/>
    <s v="OPELLA"/>
    <x v="96"/>
    <x v="127"/>
    <m/>
    <x v="99"/>
    <x v="97"/>
    <x v="85"/>
    <x v="113"/>
    <x v="69"/>
    <d v="2027-01-01T00:00:00"/>
    <x v="1"/>
    <x v="17"/>
    <x v="124"/>
    <s v="Lỗi từ nhà sản xuất"/>
    <s v="Hãng đồng ý đền bù và xuất mẫu để hãng điều tra_x000a_--&gt; Hoàn tất"/>
    <m/>
    <m/>
    <x v="7"/>
    <m/>
    <d v="1900-01-10T00:00:00"/>
    <x v="90"/>
    <x v="0"/>
    <x v="67"/>
    <s v="CC_1281125-HCM"/>
    <n v="2025"/>
    <s v="HCM"/>
  </r>
  <r>
    <n v="141"/>
    <s v="WO"/>
    <x v="97"/>
    <x v="128"/>
    <m/>
    <x v="100"/>
    <x v="34"/>
    <x v="86"/>
    <x v="114"/>
    <x v="66"/>
    <d v="2028-05-31T00:00:00"/>
    <x v="1"/>
    <x v="23"/>
    <x v="125"/>
    <s v="Không phải lỗi, chỉ là vết giữa viên và PVC"/>
    <s v="Sale hãng làm việc với khách_x000a_Đồng ý đền bù cho khách (17/11/2025)"/>
    <m/>
    <m/>
    <x v="5"/>
    <m/>
    <d v="1900-01-10T00:00:00"/>
    <x v="91"/>
    <x v="0"/>
    <x v="64"/>
    <s v="CC_1291125-HCM"/>
    <n v="2025"/>
    <s v="HCM"/>
  </r>
  <r>
    <n v="142"/>
    <s v="MG"/>
    <x v="98"/>
    <x v="129"/>
    <m/>
    <x v="33"/>
    <x v="33"/>
    <x v="87"/>
    <x v="53"/>
    <x v="70"/>
    <d v="2026-10-17T00:00:00"/>
    <x v="1"/>
    <x v="0"/>
    <x v="126"/>
    <s v="Lỗi từ nhà sản xuất"/>
    <s v="Bên hãng đã làm việc với khách_x000a_Hãng đồng ý đền bù và xuất mẫu để hãng điều tra_x000a_--&gt; Hoàn tất"/>
    <m/>
    <m/>
    <x v="7"/>
    <m/>
    <d v="1900-01-10T00:00:00"/>
    <x v="46"/>
    <x v="0"/>
    <x v="68"/>
    <s v="CC_1301125-HCM"/>
    <n v="2025"/>
    <s v="HCM"/>
  </r>
  <r>
    <n v="143"/>
    <s v="RD"/>
    <x v="99"/>
    <x v="130"/>
    <m/>
    <x v="101"/>
    <x v="32"/>
    <x v="88"/>
    <x v="115"/>
    <x v="31"/>
    <d v="2027-02-28T00:00:00"/>
    <x v="1"/>
    <x v="0"/>
    <x v="127"/>
    <s v="Lỗi từ nhà sản xuất"/>
    <s v="Đã báo hãng, đang chờ CS xin thêm thông tin_x000a_14/11/2025, nhận thêm thông tin từu CS"/>
    <s v="có"/>
    <s v="email"/>
    <x v="0"/>
    <m/>
    <d v="1900-01-10T00:00:00"/>
    <x v="5"/>
    <x v="0"/>
    <x v="30"/>
    <s v="CC_1311125-HCM"/>
    <n v="2025"/>
    <s v="HCM"/>
  </r>
  <r>
    <n v="144"/>
    <s v="HY"/>
    <x v="100"/>
    <x v="131"/>
    <m/>
    <x v="102"/>
    <x v="98"/>
    <x v="89"/>
    <x v="116"/>
    <x v="66"/>
    <d v="2028-06-30T00:00:00"/>
    <x v="1"/>
    <x v="0"/>
    <x v="128"/>
    <s v="Lỗi từ nhà sản xuất"/>
    <s v="Hãng chấp nhận khiếu nại, tiến hành đền bù cho khách _x000a_--&gt; Hoàn tất"/>
    <m/>
    <m/>
    <x v="7"/>
    <m/>
    <d v="1900-01-10T00:00:00"/>
    <x v="92"/>
    <x v="0"/>
    <x v="64"/>
    <s v="CC_1321125-HCM"/>
    <n v="2025"/>
    <s v="HCM"/>
  </r>
  <r>
    <n v="145"/>
    <s v="SA"/>
    <x v="101"/>
    <x v="132"/>
    <m/>
    <x v="103"/>
    <x v="99"/>
    <x v="47"/>
    <x v="117"/>
    <x v="71"/>
    <d v="2027-04-30T00:00:00"/>
    <x v="5"/>
    <x v="0"/>
    <x v="129"/>
    <s v="Lỗi từ nhà sản xuất"/>
    <s v="Hãng chấp nhận khiếu nại, tiến hành đền bù cho khách _x000a_--&gt; Hoàn tất"/>
    <m/>
    <m/>
    <x v="7"/>
    <d v="2025-12-29T00:00:00"/>
    <d v="1900-01-10T00:00:00"/>
    <x v="82"/>
    <x v="15"/>
    <x v="69"/>
    <s v="CC_1331125-HCM"/>
    <n v="2025"/>
    <s v="HCM"/>
  </r>
  <r>
    <n v="146"/>
    <s v="MG"/>
    <x v="102"/>
    <x v="133"/>
    <m/>
    <x v="104"/>
    <x v="100"/>
    <x v="42"/>
    <x v="118"/>
    <x v="72"/>
    <d v="2026-10-31T00:00:00"/>
    <x v="11"/>
    <x v="0"/>
    <x v="130"/>
    <s v="Lỗi từ nhà sản xuất"/>
    <s v="Hãng chấp nhận khiếu nại, tiến hành đền bù cho khách _x000a_--&gt; Hoàn tất"/>
    <s v="có"/>
    <s v="email"/>
    <x v="7"/>
    <m/>
    <d v="1900-01-10T00:00:00"/>
    <x v="17"/>
    <x v="0"/>
    <x v="70"/>
    <s v="CC_1341125-HCM"/>
    <n v="2025"/>
    <s v="HCM"/>
  </r>
  <r>
    <n v="147"/>
    <s v="SD"/>
    <x v="102"/>
    <x v="134"/>
    <m/>
    <x v="105"/>
    <x v="101"/>
    <x v="51"/>
    <x v="119"/>
    <x v="0"/>
    <d v="2029-06-12T00:00:00"/>
    <x v="7"/>
    <x v="0"/>
    <x v="131"/>
    <s v="Lỗi từ nhà sản xuất"/>
    <s v="Hãng chấp nhận khiếu nại, tiến hành đền bù cho khách _x000a_--&gt; Hoàn tất"/>
    <m/>
    <m/>
    <x v="7"/>
    <m/>
    <d v="1900-01-10T00:00:00"/>
    <x v="93"/>
    <x v="0"/>
    <x v="0"/>
    <s v="CC_1351125-HCM"/>
    <n v="2025"/>
    <s v="HCM"/>
  </r>
  <r>
    <n v="148"/>
    <s v="HT"/>
    <x v="102"/>
    <x v="135"/>
    <m/>
    <x v="106"/>
    <x v="102"/>
    <x v="2"/>
    <x v="120"/>
    <x v="67"/>
    <d v="2027-02-17T00:00:00"/>
    <x v="1"/>
    <x v="0"/>
    <x v="132"/>
    <s v="Lỗi từ nhà sản xuất"/>
    <s v="Vẫn chưa nhận được câu trả lời của hãng_x000a_Đã nhận được hướng xử lý"/>
    <m/>
    <m/>
    <x v="9"/>
    <m/>
    <d v="1900-01-10T00:00:00"/>
    <x v="88"/>
    <x v="0"/>
    <x v="65"/>
    <s v="CC_1361125-HCM"/>
    <n v="2025"/>
    <s v="HCM"/>
  </r>
  <r>
    <n v="149"/>
    <s v="SA"/>
    <x v="103"/>
    <x v="136"/>
    <m/>
    <x v="86"/>
    <x v="85"/>
    <x v="20"/>
    <x v="121"/>
    <x v="73"/>
    <d v="2026-09-30T00:00:00"/>
    <x v="1"/>
    <x v="0"/>
    <x v="133"/>
    <s v="Lỗi không xuất phát từ quá trình bảo quản và vận chuyển của đơn vị phân phối, và không xuất phát từ nhà sản xuất"/>
    <s v="Hàng không chấp nhận khiếu nại dựa vào email phản hồi ngày 16/01/2026_x000a_--&gt; Hoàn tất"/>
    <s v="có"/>
    <s v="email"/>
    <x v="6"/>
    <m/>
    <d v="1900-01-10T00:00:00"/>
    <x v="29"/>
    <x v="0"/>
    <x v="71"/>
    <s v="CC_1371125-HCM"/>
    <n v="2025"/>
    <s v="HCM"/>
  </r>
  <r>
    <n v="150"/>
    <s v="SA"/>
    <x v="103"/>
    <x v="136"/>
    <m/>
    <x v="86"/>
    <x v="85"/>
    <x v="20"/>
    <x v="122"/>
    <x v="45"/>
    <s v="31/01/2027_x000a_"/>
    <x v="1"/>
    <x v="22"/>
    <x v="133"/>
    <s v="Lỗi không xuất phát từ quá trình bảo quản và vận chuyển của đơn vị phân phối, và không xuất phát từ nhà sản xuất"/>
    <s v="Hàng không chấp nhận khiếu nại dựa vào email phản hồi ngày 16/01/2026_x000a_--&gt; Hoàn tất"/>
    <s v="có"/>
    <s v="email"/>
    <x v="6"/>
    <m/>
    <d v="1900-01-10T00:00:00"/>
    <x v="94"/>
    <x v="0"/>
    <x v="43"/>
    <s v="CC_1371125-HCM"/>
    <n v="2025"/>
    <s v="HCM"/>
  </r>
  <r>
    <n v="151"/>
    <s v="RH"/>
    <x v="103"/>
    <x v="137"/>
    <m/>
    <x v="100"/>
    <x v="34"/>
    <x v="90"/>
    <x v="123"/>
    <x v="0"/>
    <d v="2029-09-12T00:00:00"/>
    <x v="1"/>
    <x v="0"/>
    <x v="134"/>
    <s v="Lỗi từ nhà sản xuất"/>
    <s v="Báo hãng và xin hướng xử lý_x000a_Hãng chấp nhận khiếu nại, tiến hành đền bù cho khách _x000a_--&gt; Hoàn tất"/>
    <m/>
    <m/>
    <x v="7"/>
    <m/>
    <d v="1900-01-10T00:00:00"/>
    <x v="95"/>
    <x v="0"/>
    <x v="0"/>
    <s v="CC_1381125-HCM"/>
    <n v="2025"/>
    <s v="HCM"/>
  </r>
  <r>
    <n v="152"/>
    <s v="SA"/>
    <x v="104"/>
    <x v="138"/>
    <m/>
    <x v="107"/>
    <x v="103"/>
    <x v="0"/>
    <x v="95"/>
    <x v="60"/>
    <d v="2026-09-30T00:00:00"/>
    <x v="0"/>
    <x v="0"/>
    <x v="135"/>
    <s v="Lỗi từ nhà sản xuất"/>
    <s v="Báo hãng và xin hướng xử lý_x000a_Hãng chấp nhận khiếu nại, tiến hành đền bù cho khách _x000a_--&gt; Hoàn tất"/>
    <m/>
    <m/>
    <x v="3"/>
    <m/>
    <d v="1900-01-11T00:00:00"/>
    <x v="29"/>
    <x v="0"/>
    <x v="58"/>
    <s v="CC_1391225-HCM-HUY"/>
    <n v="2025"/>
    <s v="HCM"/>
  </r>
  <r>
    <n v="153"/>
    <s v="SA"/>
    <x v="105"/>
    <x v="139"/>
    <m/>
    <x v="108"/>
    <x v="104"/>
    <x v="91"/>
    <x v="124"/>
    <x v="74"/>
    <d v="2027-06-30T00:00:00"/>
    <x v="0"/>
    <x v="0"/>
    <x v="136"/>
    <s v="Lỗi từ nhà sản xuất"/>
    <s v="Báo hãng và xin hướng xử lý_x000a_Hãng chấp nhận khiếu nại, tiến hành đền bù cho khách _x000a_--&gt; Hoàn tất"/>
    <m/>
    <m/>
    <x v="4"/>
    <m/>
    <d v="1900-01-11T00:00:00"/>
    <x v="22"/>
    <x v="0"/>
    <x v="72"/>
    <s v="CC_1401225-HCM"/>
    <n v="2025"/>
    <s v="HCM"/>
  </r>
  <r>
    <n v="154"/>
    <s v="SD"/>
    <x v="105"/>
    <x v="140"/>
    <m/>
    <x v="105"/>
    <x v="105"/>
    <x v="51"/>
    <x v="125"/>
    <x v="0"/>
    <s v=" 01/07/2029"/>
    <x v="7"/>
    <x v="0"/>
    <x v="137"/>
    <s v="Lỗi từ nhà sản xuất"/>
    <s v="Báo hãng và xin hướng xử lý_x000a_"/>
    <s v="có"/>
    <s v="email"/>
    <x v="7"/>
    <m/>
    <d v="1900-01-11T00:00:00"/>
    <x v="96"/>
    <x v="0"/>
    <x v="0"/>
    <s v="CC_1411225-HCM"/>
    <n v="2025"/>
    <s v="HCM"/>
  </r>
  <r>
    <n v="155"/>
    <s v="SD"/>
    <x v="106"/>
    <x v="141"/>
    <m/>
    <x v="109"/>
    <x v="106"/>
    <x v="51"/>
    <x v="101"/>
    <x v="0"/>
    <d v="2029-06-03T00:00:00"/>
    <x v="7"/>
    <x v="0"/>
    <x v="138"/>
    <s v="Lỗi từ nhà sản xuất"/>
    <s v="08/12/2025, gửi mail báo hãng_x000a_-&gt; 09/12/2025, hãng chấp nhận đền bù, hàng lỗi thu về trả hãng"/>
    <s v="có"/>
    <s v="email"/>
    <x v="7"/>
    <m/>
    <d v="1900-01-11T00:00:00"/>
    <x v="81"/>
    <x v="0"/>
    <x v="0"/>
    <s v="CC_1421225-HN"/>
    <n v="2025"/>
    <s v="HN"/>
  </r>
  <r>
    <n v="156"/>
    <s v="RH"/>
    <x v="106"/>
    <x v="142"/>
    <m/>
    <x v="100"/>
    <x v="34"/>
    <x v="92"/>
    <x v="126"/>
    <x v="0"/>
    <d v="2028-09-29T00:00:00"/>
    <x v="11"/>
    <x v="0"/>
    <x v="139"/>
    <s v="Lỗi không xuất phát từ Hoàng Đức"/>
    <s v="Điều tra nguyên nhân tại kho và đơn vị vận chuyển: không phát hiện bất thường để xảy ra lỗi như khiếu nại,  chấp nhận đền bù cho khách _x000a_-&gt; Hoàn tất"/>
    <m/>
    <m/>
    <x v="0"/>
    <m/>
    <d v="1900-01-11T00:00:00"/>
    <x v="97"/>
    <x v="0"/>
    <x v="0"/>
    <s v="CC_1431225-HCM"/>
    <n v="2025"/>
    <s v="HCM"/>
  </r>
  <r>
    <n v="157"/>
    <s v="DV"/>
    <x v="107"/>
    <x v="143"/>
    <m/>
    <x v="110"/>
    <x v="107"/>
    <x v="93"/>
    <x v="127"/>
    <x v="0"/>
    <d v="2028-11-04T00:00:00"/>
    <x v="1"/>
    <x v="0"/>
    <x v="140"/>
    <s v="Lỗi từ nhà sản xuất"/>
    <s v="Báo email cho hãng _x000a_Nhận được công văn giải trình từ hãng, đồng ý đền bù và chuyển hàng khiếu nại thu về trả hãng_x000a_--&gt; hoàn tất"/>
    <m/>
    <m/>
    <x v="7"/>
    <m/>
    <d v="1900-01-11T00:00:00"/>
    <x v="98"/>
    <x v="0"/>
    <x v="0"/>
    <s v="CC_1441225-HCM"/>
    <n v="2025"/>
    <s v="HCM"/>
  </r>
  <r>
    <n v="158"/>
    <s v="MY"/>
    <x v="108"/>
    <x v="144"/>
    <m/>
    <x v="100"/>
    <x v="34"/>
    <x v="94"/>
    <x v="128"/>
    <x v="0"/>
    <d v="2026-12-21T00:00:00"/>
    <x v="1"/>
    <x v="0"/>
    <x v="141"/>
    <s v="Lỗi từ nhà sản xuất"/>
    <s v="Báo email cho hãng. Code:COMP-VN-2025-199._x000a_Chấp nhận đền bù cho khách"/>
    <m/>
    <m/>
    <x v="0"/>
    <m/>
    <d v="1900-01-11T00:00:00"/>
    <x v="99"/>
    <x v="0"/>
    <x v="0"/>
    <s v="CC_1451225-HCM"/>
    <n v="2025"/>
    <s v="HCM"/>
  </r>
  <r>
    <n v="159"/>
    <s v="AZ"/>
    <x v="109"/>
    <x v="145"/>
    <m/>
    <x v="111"/>
    <x v="108"/>
    <x v="19"/>
    <x v="87"/>
    <x v="0"/>
    <d v="2026-10-19T00:00:00"/>
    <x v="1"/>
    <x v="0"/>
    <x v="142"/>
    <s v="Lỗi từ nhà sản xuất"/>
    <s v="Báo email cho hãng _x000a_-&gt; 15/12 QA hãng chấp nhận khiếu nại, chờ xác nhận chi phí để thu hồi hàng_x000a_-&gt; 31/12, hãng xác nhận thu hồi hàng khiếu nại"/>
    <m/>
    <s v="email"/>
    <x v="7"/>
    <m/>
    <d v="1900-01-11T00:00:00"/>
    <x v="84"/>
    <x v="16"/>
    <x v="0"/>
    <s v="CC_1461225-HN"/>
    <n v="2025"/>
    <s v="HN"/>
  </r>
  <r>
    <n v="160"/>
    <s v="SA"/>
    <x v="110"/>
    <x v="146"/>
    <m/>
    <x v="112"/>
    <x v="109"/>
    <x v="17"/>
    <x v="129"/>
    <x v="0"/>
    <d v="2028-02-29T00:00:00"/>
    <x v="1"/>
    <x v="0"/>
    <x v="143"/>
    <s v="Lỗi từ nhà sản xuất"/>
    <s v="Báo email cho hãng _x000a_BV báo do cuối năm xử lý nhiều việc, vì phần xử lý chứng từ mất nhiều thời gian nên viện sẽ tự xử lý nội bộ hộp lỗi này_x000a_--&gt; Hoàn tất"/>
    <m/>
    <m/>
    <x v="3"/>
    <m/>
    <d v="1900-01-11T00:00:00"/>
    <x v="47"/>
    <x v="0"/>
    <x v="0"/>
    <s v="CC_1471225-HCM-HUY"/>
    <n v="2025"/>
    <s v="HCM"/>
  </r>
  <r>
    <n v="161"/>
    <s v="RD"/>
    <x v="110"/>
    <x v="147"/>
    <m/>
    <x v="113"/>
    <x v="110"/>
    <x v="88"/>
    <x v="130"/>
    <x v="0"/>
    <d v="2027-07-31T00:00:00"/>
    <x v="1"/>
    <x v="0"/>
    <x v="144"/>
    <s v="Lỗi từ nhà sản xuất"/>
    <s v="Báo email cho hãng _x000a_Chấp nhận đền bù cho khách"/>
    <s v="có"/>
    <s v="ZALO"/>
    <x v="9"/>
    <m/>
    <d v="1900-01-11T00:00:00"/>
    <x v="30"/>
    <x v="0"/>
    <x v="0"/>
    <s v="CC_1481225-HCM"/>
    <n v="2025"/>
    <s v="HCM"/>
  </r>
  <r>
    <n v="162"/>
    <s v="SA"/>
    <x v="111"/>
    <x v="148"/>
    <m/>
    <x v="114"/>
    <x v="111"/>
    <x v="95"/>
    <x v="131"/>
    <x v="75"/>
    <d v="2027-01-31T00:00:00"/>
    <x v="1"/>
    <x v="24"/>
    <x v="145"/>
    <s v="Lỗi không xuất phát từ Hoàng Đức và nhà sản xuất"/>
    <s v="Báo email cho hãng_x000a_Ngày 23/02/2026 nhận được phản hồi từ hãng"/>
    <s v="có"/>
    <s v="ZALO"/>
    <x v="6"/>
    <m/>
    <d v="1900-01-11T00:00:00"/>
    <x v="20"/>
    <x v="0"/>
    <x v="73"/>
    <s v="CC_1491225-HCM"/>
    <n v="2025"/>
    <s v="HCM"/>
  </r>
  <r>
    <n v="163"/>
    <s v="SA"/>
    <x v="111"/>
    <x v="149"/>
    <m/>
    <x v="114"/>
    <x v="111"/>
    <x v="96"/>
    <x v="61"/>
    <x v="35"/>
    <d v="2026-10-31T00:00:00"/>
    <x v="1"/>
    <x v="25"/>
    <x v="145"/>
    <s v="Lỗi không xuất phát từ Hoàng Đức và nhà sản xuất"/>
    <s v="Báo email cho hãng_x000a_Ngày 23/02/2026 nhận được phản hồi từ hãng"/>
    <s v="có"/>
    <s v="ZALO"/>
    <x v="6"/>
    <m/>
    <d v="1900-01-11T00:00:00"/>
    <x v="17"/>
    <x v="0"/>
    <x v="34"/>
    <s v="CC_1501225-HCM"/>
    <n v="2025"/>
    <s v="HCM"/>
  </r>
  <r>
    <n v="164"/>
    <s v="MG"/>
    <x v="111"/>
    <x v="150"/>
    <m/>
    <x v="115"/>
    <x v="112"/>
    <x v="97"/>
    <x v="132"/>
    <x v="0"/>
    <d v="2027-01-30T00:00:00"/>
    <x v="1"/>
    <x v="0"/>
    <x v="146"/>
    <s v="Lỗi từ nhà sản xuất"/>
    <s v="Báo email cho hãng_x000a_05/01/2025 Chấp nhận đền bù cho khách. Hàng khiếu nại thu về cho vào khu vực chờ xử lý_x000a_--&gt; Hoàn tất"/>
    <s v="có"/>
    <s v="mail"/>
    <x v="7"/>
    <m/>
    <d v="1900-01-11T00:00:00"/>
    <x v="100"/>
    <x v="0"/>
    <x v="0"/>
    <s v="CC_1511225-HCM"/>
    <n v="2025"/>
    <s v="HCM"/>
  </r>
  <r>
    <n v="165"/>
    <s v="HY"/>
    <x v="112"/>
    <x v="151"/>
    <m/>
    <x v="116"/>
    <x v="113"/>
    <x v="62"/>
    <x v="79"/>
    <x v="76"/>
    <d v="2027-01-31T00:00:00"/>
    <x v="1"/>
    <x v="0"/>
    <x v="123"/>
    <s v="Lỗi từ nhà sản xuất"/>
    <s v="24/12/2025, báo email cho hãng_x000a_-&gt; hãng đồng ý đổi hàng cho khách, trừ vào công nợ T12/2025"/>
    <m/>
    <m/>
    <x v="4"/>
    <m/>
    <d v="1900-01-11T00:00:00"/>
    <x v="20"/>
    <x v="0"/>
    <x v="74"/>
    <s v="CC_1521225-HN"/>
    <n v="2025"/>
    <s v="HN"/>
  </r>
  <r>
    <n v="166"/>
    <s v="HY"/>
    <x v="113"/>
    <x v="152"/>
    <m/>
    <x v="100"/>
    <x v="34"/>
    <x v="43"/>
    <x v="133"/>
    <x v="0"/>
    <d v="2026-10-31T00:00:00"/>
    <x v="1"/>
    <x v="0"/>
    <x v="147"/>
    <s v="Lỗi từ nhà sản xuất"/>
    <s v="Báo email cho hãng _x000a_Chấp nhận đền bù cho khách_x000a_--&gt; Hoàn tất"/>
    <m/>
    <m/>
    <x v="0"/>
    <m/>
    <d v="1900-01-11T00:00:00"/>
    <x v="17"/>
    <x v="0"/>
    <x v="0"/>
    <s v="CC_1531225-HCM"/>
    <n v="2025"/>
    <s v="HCM"/>
  </r>
  <r>
    <n v="167"/>
    <s v="HT"/>
    <x v="114"/>
    <x v="153"/>
    <m/>
    <x v="117"/>
    <x v="114"/>
    <x v="98"/>
    <x v="134"/>
    <x v="0"/>
    <d v="2027-02-03T00:00:00"/>
    <x v="1"/>
    <x v="17"/>
    <x v="148"/>
    <s v="Lỗi từ nhà sản xuất"/>
    <s v="báo mail cho hãng_x000a_-&gt; Hãng báo đổi hàng cho viện, hàng thu về chuyển chờ hủy"/>
    <m/>
    <s v="email"/>
    <x v="0"/>
    <m/>
    <d v="1900-01-11T00:00:00"/>
    <x v="101"/>
    <x v="0"/>
    <x v="0"/>
    <s v="CC_1541225-HN"/>
    <n v="2025"/>
    <s v="HN"/>
  </r>
  <r>
    <n v="168"/>
    <s v="HT"/>
    <x v="114"/>
    <x v="153"/>
    <m/>
    <x v="117"/>
    <x v="114"/>
    <x v="98"/>
    <x v="135"/>
    <x v="0"/>
    <s v="13/02/2027_x000a_"/>
    <x v="1"/>
    <x v="3"/>
    <x v="148"/>
    <s v="Lỗi từ nhà sản xuất"/>
    <s v="báo mail cho hãng_x000a_-&gt; Hãng báo đổi hàng cho viện, hàng thu về chuyển chờ hủy"/>
    <m/>
    <s v="email"/>
    <x v="0"/>
    <m/>
    <d v="1900-01-11T00:00:00"/>
    <x v="102"/>
    <x v="0"/>
    <x v="0"/>
    <s v="CC_1541225-HN"/>
    <n v="2025"/>
    <s v="HN"/>
  </r>
  <r>
    <n v="169"/>
    <s v="SA"/>
    <x v="114"/>
    <x v="154"/>
    <m/>
    <x v="33"/>
    <x v="33"/>
    <x v="99"/>
    <x v="136"/>
    <x v="77"/>
    <d v="2028-06-27T00:00:00"/>
    <x v="1"/>
    <x v="0"/>
    <x v="149"/>
    <s v="Lỗi từ nhà sản xuất"/>
    <s v="Báo email cho hãng _x000a_Chấp nhận đền bù cho khách_x000a_--&gt; Hoàn tất"/>
    <m/>
    <m/>
    <x v="7"/>
    <m/>
    <d v="1900-01-11T00:00:00"/>
    <x v="103"/>
    <x v="17"/>
    <x v="75"/>
    <s v="CC_1551225-HCM"/>
    <n v="2025"/>
    <s v="HCM"/>
  </r>
  <r>
    <n v="170"/>
    <s v="SA"/>
    <x v="114"/>
    <x v="155"/>
    <m/>
    <x v="33"/>
    <x v="33"/>
    <x v="100"/>
    <x v="137"/>
    <x v="78"/>
    <d v="2026-09-26T00:00:00"/>
    <x v="1"/>
    <x v="0"/>
    <x v="150"/>
    <s v="Lỗi từ nhà sản xuất"/>
    <s v="Báo email cho hãng _x000a_Chấp nhận đền bù cho khách_x000a_--&gt; Hoàn tất"/>
    <m/>
    <m/>
    <x v="7"/>
    <m/>
    <d v="1900-01-11T00:00:00"/>
    <x v="104"/>
    <x v="17"/>
    <x v="76"/>
    <s v="CC_1561225-HCM"/>
    <n v="2025"/>
    <s v="HCM"/>
  </r>
  <r>
    <n v="171"/>
    <s v="SA"/>
    <x v="115"/>
    <x v="156"/>
    <m/>
    <x v="33"/>
    <x v="33"/>
    <x v="47"/>
    <x v="21"/>
    <x v="9"/>
    <d v="2027-01-31T00:00:00"/>
    <x v="5"/>
    <x v="0"/>
    <x v="151"/>
    <s v="Lỗi từ nhà sản xuất"/>
    <s v="_x000a_Báo email cho hãng_x000a_Hãng chấp nhận khiếu nại, tiến hành đền bù cho khách _x000a_--&gt; Hoàn tất"/>
    <m/>
    <m/>
    <x v="7"/>
    <m/>
    <d v="1899-12-31T00:00:00"/>
    <x v="20"/>
    <x v="18"/>
    <x v="9"/>
    <s v="CC_010126-HCM"/>
    <n v="2026"/>
    <s v="HCM"/>
  </r>
  <r>
    <n v="172"/>
    <s v="HY"/>
    <x v="116"/>
    <x v="157"/>
    <m/>
    <x v="101"/>
    <x v="115"/>
    <x v="101"/>
    <x v="108"/>
    <x v="79"/>
    <d v="2027-02-28T00:00:00"/>
    <x v="1"/>
    <x v="0"/>
    <x v="123"/>
    <s v="Lỗi từ nhà sản xuất"/>
    <s v="Báo email cho hãng_x000a_Hãng xác nhận đổi hàng cho khách_x000a_--&gt; Hoàn tất"/>
    <m/>
    <m/>
    <x v="4"/>
    <m/>
    <d v="1899-12-31T00:00:00"/>
    <x v="5"/>
    <x v="0"/>
    <x v="77"/>
    <s v="CC_020126-HN"/>
    <n v="2026"/>
    <s v="HN"/>
  </r>
  <r>
    <n v="173"/>
    <s v="OPELLA"/>
    <x v="116"/>
    <x v="158"/>
    <m/>
    <x v="118"/>
    <x v="116"/>
    <x v="102"/>
    <x v="138"/>
    <x v="80"/>
    <d v="2027-11-11T00:00:00"/>
    <x v="1"/>
    <x v="4"/>
    <x v="152"/>
    <s v="Lỗi từ nhà sản xuất"/>
    <s v="_x000a_Báo email cho hãng_x000a_Hãng chấp nhận khiếu nại, tiến hành đền bù cho khách _x000a_--&gt; Hoàn tất"/>
    <m/>
    <m/>
    <x v="7"/>
    <m/>
    <d v="1899-12-31T00:00:00"/>
    <x v="105"/>
    <x v="0"/>
    <x v="78"/>
    <s v="CC_030126-HCM"/>
    <n v="2026"/>
    <s v="HCM"/>
  </r>
  <r>
    <n v="173"/>
    <s v="OPELLA"/>
    <x v="117"/>
    <x v="159"/>
    <m/>
    <x v="118"/>
    <x v="116"/>
    <x v="102"/>
    <x v="139"/>
    <x v="81"/>
    <d v="2027-11-28T00:00:00"/>
    <x v="1"/>
    <x v="4"/>
    <x v="153"/>
    <s v="Lỗi từ nhà sản xuất"/>
    <s v="_x000a_Báo email cho hãng_x000a_Hãng ghi nhận khiếu nại_x000a_--&gt; Hoàn tất"/>
    <m/>
    <m/>
    <x v="1"/>
    <m/>
    <d v="1899-12-31T00:00:00"/>
    <x v="106"/>
    <x v="0"/>
    <x v="79"/>
    <s v="CC_040126-HCM"/>
    <n v="2026"/>
    <s v="HCM"/>
  </r>
  <r>
    <n v="174"/>
    <s v="OPELLA"/>
    <x v="118"/>
    <x v="160"/>
    <m/>
    <x v="119"/>
    <x v="117"/>
    <x v="103"/>
    <x v="140"/>
    <x v="82"/>
    <d v="2026-11-30T00:00:00"/>
    <x v="1"/>
    <x v="17"/>
    <x v="154"/>
    <s v="Không phải lỗi, Hãng giải thích: hiện tượng đầu ống xỉn màu là do lắng đọng của các bào tử Bacillus clausii. Khi lắc lên, bào tử phân tán sẽ không còn nhìn thấy tình trạng này. Do bào tử đọng ở phía đầu ống nên có thể sẽ hơi khó để phân tán hoàn toàn. Phần bọt khí nhìn thấy là do trong ống đóng vẫn còn khoảng không nên phần khí này có thể là do lượng không khí còn sót khi lắc ống."/>
    <s v="Báo email cho hãng_x000a_Hãng không chấp nhận khiếu nại_x000a_--&gt; Hoàn tất"/>
    <s v="Không"/>
    <s v="email"/>
    <x v="6"/>
    <m/>
    <d v="1899-12-31T00:00:00"/>
    <x v="12"/>
    <x v="0"/>
    <x v="80"/>
    <s v="CC_050126-ĐN"/>
    <n v="2026"/>
    <s v="ĐN"/>
  </r>
  <r>
    <n v="175"/>
    <s v="RD"/>
    <x v="118"/>
    <x v="161"/>
    <m/>
    <x v="118"/>
    <x v="116"/>
    <x v="104"/>
    <x v="141"/>
    <x v="83"/>
    <d v="2026-12-31T00:00:00"/>
    <x v="1"/>
    <x v="0"/>
    <x v="17"/>
    <s v="Lỗi từ nhà sản xuất"/>
    <s v="_x000a_Báo email cho hãng_x000a_Hãng chấp nhận khiếu nại, tiến hành đền bù cho khách _x000a_--&gt; Hoàn tất"/>
    <m/>
    <m/>
    <x v="0"/>
    <m/>
    <d v="1899-12-31T00:00:00"/>
    <x v="107"/>
    <x v="0"/>
    <x v="67"/>
    <s v="CC_060126-HCM"/>
    <n v="2026"/>
    <s v="HCM"/>
  </r>
  <r>
    <n v="176"/>
    <s v="WO"/>
    <x v="119"/>
    <x v="162"/>
    <m/>
    <x v="49"/>
    <x v="48"/>
    <x v="105"/>
    <x v="142"/>
    <x v="84"/>
    <d v="2028-07-31T00:00:00"/>
    <x v="6"/>
    <x v="0"/>
    <x v="155"/>
    <s v="Lỗi từ nhà sản xuất"/>
    <s v="_x000a_Báo email cho hãng_x000a_Hãng chấp nhận khiếu nại, tiến hành đền bù cho khách _x000a_Đã nhận được email từ hãng đồng ý chuyển hủy ngày 30/03/2026_x000a_--&gt; Hoàn tất"/>
    <m/>
    <m/>
    <x v="0"/>
    <m/>
    <d v="1899-12-31T00:00:00"/>
    <x v="108"/>
    <x v="0"/>
    <x v="81"/>
    <s v="CC_070126-HCM"/>
    <n v="2026"/>
    <s v="HCM"/>
  </r>
  <r>
    <n v="177"/>
    <s v="RD"/>
    <x v="120"/>
    <x v="163"/>
    <m/>
    <x v="120"/>
    <x v="118"/>
    <x v="106"/>
    <x v="143"/>
    <x v="85"/>
    <d v="2027-09-30T00:00:00"/>
    <x v="7"/>
    <x v="0"/>
    <x v="156"/>
    <s v="Lỗi từ nhà sản xuất"/>
    <s v="_x000a_Báo email cho hãng_x000a_Hãng chấp nhận khiếu nại, tiến hành đền bù cho khách _x000a_--&gt; Hoàn tất"/>
    <m/>
    <m/>
    <x v="0"/>
    <m/>
    <d v="1899-12-31T00:00:00"/>
    <x v="63"/>
    <x v="0"/>
    <x v="82"/>
    <s v="CC_080126-HCM"/>
    <n v="2026"/>
    <s v="HCM"/>
  </r>
  <r>
    <n v="178"/>
    <s v="RD"/>
    <x v="121"/>
    <x v="164"/>
    <m/>
    <x v="121"/>
    <x v="119"/>
    <x v="107"/>
    <x v="144"/>
    <x v="85"/>
    <d v="2027-09-30T00:00:00"/>
    <x v="1"/>
    <x v="6"/>
    <x v="157"/>
    <s v="Lỗi không xuất phát từ quá trình bảo quản và vận chuyển của Hoàng Đức"/>
    <s v="_x000a_Báo email cho hãng_x000a_Cần thu hồi hàng lỗi để điều tra _x000a_30/01/2026, hàng lỗi về kho_x000a_26/03/2026, hãng gửi điều tra, hàng khiếu nại chuyển hủy_x000a_--&gt; Hoàn tất_x000a_"/>
    <m/>
    <m/>
    <x v="0"/>
    <m/>
    <d v="1899-12-31T00:00:00"/>
    <x v="63"/>
    <x v="0"/>
    <x v="82"/>
    <s v="CC_090126-HCM"/>
    <n v="2026"/>
    <s v="HCM"/>
  </r>
  <r>
    <n v="179"/>
    <s v="SA"/>
    <x v="121"/>
    <x v="165"/>
    <m/>
    <x v="122"/>
    <x v="120"/>
    <x v="0"/>
    <x v="145"/>
    <x v="86"/>
    <d v="2027-03-01T00:00:00"/>
    <x v="0"/>
    <x v="6"/>
    <x v="158"/>
    <s v="Lỗi từ nhà sản xuất"/>
    <s v="_x000a_Báo email cho hãng_x000a_Hãng chấp nhận khiếu nại, tiến hành đền bù cho khách _x000a_--&gt; Hoàn tất"/>
    <m/>
    <m/>
    <x v="4"/>
    <d v="2026-03-02T00:00:00"/>
    <d v="1899-12-31T00:00:00"/>
    <x v="109"/>
    <x v="19"/>
    <x v="83"/>
    <s v="CC_100126-HCM"/>
    <n v="2026"/>
    <s v="HCM"/>
  </r>
  <r>
    <n v="180"/>
    <s v="SA"/>
    <x v="122"/>
    <x v="166"/>
    <s v="TT42067"/>
    <x v="123"/>
    <x v="121"/>
    <x v="95"/>
    <x v="146"/>
    <x v="87"/>
    <d v="2027-01-31T00:00:00"/>
    <x v="5"/>
    <x v="0"/>
    <x v="159"/>
    <s v="Lỗi từ nhà sản xuất"/>
    <s v="_x000a_Báo email cho hãng_x000a_Hãng chấp nhận khiếu nại, tiến hành đền bù cho khách _x000a_Phía CS không xin được thêm thông tin hình ảnh do đó hàng về kho sẽ chụp để lưu thông tin._x000a_--&gt; Hoàn tất_x000a_12/06/2026 CS thông tin, khách không cung cấp hồ sơ để tiến hành đền bù"/>
    <m/>
    <m/>
    <x v="4"/>
    <m/>
    <d v="1899-12-31T00:00:00"/>
    <x v="20"/>
    <x v="0"/>
    <x v="84"/>
    <s v="CC_110126-HCM"/>
    <n v="2026"/>
    <s v="HCM"/>
  </r>
  <r>
    <n v="181"/>
    <s v="RD"/>
    <x v="123"/>
    <x v="167"/>
    <m/>
    <x v="124"/>
    <x v="122"/>
    <x v="108"/>
    <x v="147"/>
    <x v="66"/>
    <s v="31/05/2027_x000a_"/>
    <x v="5"/>
    <x v="0"/>
    <x v="160"/>
    <s v="Lỗi không xuất phát từ quá trình bảo quản và vận chuyển của Hoàng Đức"/>
    <s v="Viện đang kiểm tra và làm thủ tục khi nào xong sẽ báo lại _x000a_04/02/2026, viện báo yêu cầu đổi hàng, và HĐ gửi thông tin cho hãng_x000a_-&gt; hàng về kho hãng báo hold chờ hướng xử lý từ nhà máy -&gt; hãng xác nhận chuyển hủy_x000a_-&gt; Hoàn tất"/>
    <m/>
    <s v="mail"/>
    <x v="0"/>
    <m/>
    <d v="1899-12-31T00:00:00"/>
    <x v="110"/>
    <x v="0"/>
    <x v="64"/>
    <s v="CC_120126-HN"/>
    <n v="2026"/>
    <s v="HN"/>
  </r>
  <r>
    <n v="182"/>
    <s v="RD"/>
    <x v="124"/>
    <x v="168"/>
    <m/>
    <x v="125"/>
    <x v="123"/>
    <x v="109"/>
    <x v="148"/>
    <x v="31"/>
    <d v="2028-02-29T00:00:00"/>
    <x v="1"/>
    <x v="0"/>
    <x v="161"/>
    <s v="Lỗi không xuất phát từ quá trình bảo quản và vận chuyển của Hoàng Đức"/>
    <s v="Hãng yêu cầu đổi hàng cho khách và thu hàng khiếu nại về điều tra _x000a_-&gt; 04/02/2026 hàng thu hồi về đến kho, hãng báo hold chờ hướng xử lý từ nhà máy -&gt; hãng xác nhận chuyển hủy_x000a_-&gt; Hoàn tất"/>
    <m/>
    <s v="mail"/>
    <x v="0"/>
    <m/>
    <d v="1899-12-31T00:00:00"/>
    <x v="47"/>
    <x v="0"/>
    <x v="30"/>
    <s v="CC_130126-HN"/>
    <n v="2026"/>
    <s v="HN"/>
  </r>
  <r>
    <n v="183"/>
    <s v="SA"/>
    <x v="125"/>
    <x v="169"/>
    <m/>
    <x v="33"/>
    <x v="33"/>
    <x v="36"/>
    <x v="149"/>
    <x v="25"/>
    <d v="2028-01-22T00:00:00"/>
    <x v="1"/>
    <x v="0"/>
    <x v="162"/>
    <s v="Lỗi không xuất phát từ quá trình bảo quản và vận chuyển của Hoàng Đức"/>
    <s v="Báo mail cho hãng_x000a_-&gt;04/02/2026, hãng phản hồi thông tin, 05/02/2026 QA gửi thông tin cho CS để phản hồi khách hàng_x000a_-&gt;12/02/2026 đã gửi công văn phản hồi cho khách hàng_x000a_-&gt;23/02/2026 hãng xác nhận phương án hàng trả về"/>
    <m/>
    <s v="mail"/>
    <x v="7"/>
    <m/>
    <d v="1900-01-01T00:00:00"/>
    <x v="42"/>
    <x v="0"/>
    <x v="24"/>
    <s v="CC_140226-HN"/>
    <n v="2026"/>
    <s v="HN"/>
  </r>
  <r>
    <n v="184"/>
    <s v="SA"/>
    <x v="126"/>
    <x v="170"/>
    <s v="TT44700"/>
    <x v="126"/>
    <x v="124"/>
    <x v="91"/>
    <x v="124"/>
    <x v="88"/>
    <d v="2027-06-30T00:00:00"/>
    <x v="0"/>
    <x v="0"/>
    <x v="163"/>
    <s v="Không phải lỗi nhà sản xuất, do vật tư sử dụng của BV"/>
    <s v="Sau khi trao đổi, Bệnh viện thông tin lại như sau: Sau khi bệnh viện thay đổi mũi tiêm thì hiện tại thuốc đã xuống được, xác định là lỗi kim nên không cần đổi bút cho bệnh viện nữa. --&gt; BÁO HÃNG CLOSE CASE"/>
    <s v="có"/>
    <s v="email"/>
    <x v="3"/>
    <m/>
    <d v="1900-01-01T00:00:00"/>
    <x v="22"/>
    <x v="0"/>
    <x v="85"/>
    <s v="CC_150226-ĐN-HUY"/>
    <n v="2026"/>
    <s v="ĐN"/>
  </r>
  <r>
    <n v="185"/>
    <s v="MY"/>
    <x v="127"/>
    <x v="171"/>
    <s v="TT47237"/>
    <x v="8"/>
    <x v="7"/>
    <x v="110"/>
    <x v="150"/>
    <x v="89"/>
    <d v="2028-03-05T00:00:00"/>
    <x v="1"/>
    <x v="0"/>
    <x v="164"/>
    <s v="Lỗi không xuất phát từ Hoàng Đức"/>
    <s v="Đã báo hãng và xin hướng xử lý_x000a_25/02/2026 hãng đồng ý đền bù, _x000a_Đang chờ điều tra từ nhà máy, hàng đang hold _x000a_Số khiếu nại :COMP-VN-2026-021."/>
    <m/>
    <m/>
    <x v="9"/>
    <m/>
    <d v="1900-01-01T00:00:00"/>
    <x v="111"/>
    <x v="0"/>
    <x v="86"/>
    <s v="CC_160226-HCM"/>
    <n v="2026"/>
    <s v="HCM"/>
  </r>
  <r>
    <n v="186"/>
    <s v="SA"/>
    <x v="128"/>
    <x v="172"/>
    <m/>
    <x v="127"/>
    <x v="125"/>
    <x v="111"/>
    <x v="41"/>
    <x v="0"/>
    <s v="NA"/>
    <x v="4"/>
    <x v="4"/>
    <x v="165"/>
    <s v="NA"/>
    <s v="Đã báo hãng và hãng đã gửi thông tin_x000a_--&gt; hoàn tất"/>
    <m/>
    <m/>
    <x v="1"/>
    <m/>
    <d v="1900-01-01T00:00:00"/>
    <x v="6"/>
    <x v="0"/>
    <x v="0"/>
    <s v="CC_170226-HCM"/>
    <n v="2026"/>
    <s v="HCM"/>
  </r>
  <r>
    <n v="187"/>
    <s v="SA"/>
    <x v="129"/>
    <x v="173"/>
    <s v="TT47928"/>
    <x v="128"/>
    <x v="126"/>
    <x v="112"/>
    <x v="151"/>
    <x v="90"/>
    <d v="2027-06-30T00:00:00"/>
    <x v="1"/>
    <x v="26"/>
    <x v="166"/>
    <s v="Lỗi từ nhà sản xuất"/>
    <s v="Đã báo hãng, hãng chấp nhận khiếu nại_x000a_Thu mẫu gửi về văn phòng cho hãng_x000a_ --&gt; hoàn tất"/>
    <s v="Không"/>
    <s v="email"/>
    <x v="7"/>
    <m/>
    <d v="1900-01-01T00:00:00"/>
    <x v="22"/>
    <x v="0"/>
    <x v="87"/>
    <s v="CC_180226-ĐN"/>
    <n v="2026"/>
    <s v="ĐN"/>
  </r>
  <r>
    <n v="188"/>
    <s v="SA"/>
    <x v="129"/>
    <x v="174"/>
    <m/>
    <x v="129"/>
    <x v="127"/>
    <x v="17"/>
    <x v="152"/>
    <x v="91"/>
    <d v="2028-05-31T00:00:00"/>
    <x v="1"/>
    <x v="26"/>
    <x v="17"/>
    <s v="Lỗi từ nhà sản xuất"/>
    <s v="Đã báo hãng và chấp nhận đền bù_x000a_--&gt; hoàn tất_x000a_26/02/2026 khách hủy khiếu nại và không cần đền bù"/>
    <m/>
    <m/>
    <x v="3"/>
    <m/>
    <d v="1900-01-01T00:00:00"/>
    <x v="91"/>
    <x v="0"/>
    <x v="88"/>
    <s v="CC_190226-HCM-HUY"/>
    <n v="2026"/>
    <s v="HCM"/>
  </r>
  <r>
    <n v="189"/>
    <s v="SA"/>
    <x v="129"/>
    <x v="175"/>
    <m/>
    <x v="130"/>
    <x v="128"/>
    <x v="0"/>
    <x v="105"/>
    <x v="92"/>
    <d v="2027-02-28T00:00:00"/>
    <x v="0"/>
    <x v="26"/>
    <x v="167"/>
    <s v="Lỗi không xuất phát từ quá trình bảo quản và vận chuyển của Hoàng Đức"/>
    <s v="Đã báo hãng và xin hướng xử lý_x000a_Hãng đồng ý đền bù cho khách, hàng khiếu nại thu về xuất sang hãng_x000a_Đã xuất mẫu, chờ nhà máy phản hồi_x000a_22/04/2026 hãng gửi kết quả điều tra không có bất thường trong quá trình sản xuất_x000a_--&gt; Hoàn tất"/>
    <m/>
    <m/>
    <x v="7"/>
    <m/>
    <d v="1900-01-01T00:00:00"/>
    <x v="5"/>
    <x v="0"/>
    <x v="62"/>
    <s v="CC_200226-HCM"/>
    <n v="2026"/>
    <s v="HCM"/>
  </r>
  <r>
    <n v="190"/>
    <s v="SA"/>
    <x v="130"/>
    <x v="176"/>
    <s v="TT48288"/>
    <x v="131"/>
    <x v="129"/>
    <x v="24"/>
    <x v="30"/>
    <x v="93"/>
    <d v="2026-09-30T00:00:00"/>
    <x v="5"/>
    <x v="26"/>
    <x v="28"/>
    <s v="Lỗi từ nhà sản xuất"/>
    <s v="Đã báo hãng và chấp nhận đền bù. Thu mẫu gửi hãng theo đợt_x000a_--&gt; hoàn tất"/>
    <s v="yes"/>
    <s v="email"/>
    <x v="4"/>
    <m/>
    <d v="1900-01-01T00:00:00"/>
    <x v="29"/>
    <x v="0"/>
    <x v="28"/>
    <s v="CC_210226-ĐN"/>
    <n v="2026"/>
    <s v="ĐN"/>
  </r>
  <r>
    <n v="191"/>
    <s v="OPELLA"/>
    <x v="131"/>
    <x v="177"/>
    <m/>
    <x v="132"/>
    <x v="130"/>
    <x v="113"/>
    <x v="153"/>
    <x v="0"/>
    <s v="04/11/2027"/>
    <x v="4"/>
    <x v="4"/>
    <x v="168"/>
    <s v="NA"/>
    <s v="Đã báo email cho hãng_x000a_Nhận được câu trả lời từ hãng. Không có vấn đề liên quan chất lượng_x000a_--&gt; hoàn tất"/>
    <m/>
    <m/>
    <x v="1"/>
    <m/>
    <d v="1900-01-02T00:00:00"/>
    <x v="112"/>
    <x v="0"/>
    <x v="0"/>
    <s v="CC_220326-HCM"/>
    <n v="2026"/>
    <s v="HCM"/>
  </r>
  <r>
    <n v="192"/>
    <s v="HT"/>
    <x v="132"/>
    <x v="178"/>
    <m/>
    <x v="133"/>
    <x v="131"/>
    <x v="114"/>
    <x v="154"/>
    <x v="94"/>
    <d v="2027-05-15T00:00:00"/>
    <x v="1"/>
    <x v="26"/>
    <x v="169"/>
    <s v="Lỗi từ nhà sản xuất"/>
    <s v="10/03/2026, gửi mail báo hãng_x000a_-&gt; 11/03/2026, hãng báo đổi hàng cho khách_x000a_-&gt; hãng xác nhận chuyển hủy_x000a_--&gt; hoàn tất"/>
    <m/>
    <m/>
    <x v="0"/>
    <m/>
    <d v="1900-01-02T00:00:00"/>
    <x v="78"/>
    <x v="0"/>
    <x v="89"/>
    <s v="CC_230326-HN"/>
    <n v="2026"/>
    <s v="HN"/>
  </r>
  <r>
    <n v="193"/>
    <s v="DV"/>
    <x v="133"/>
    <x v="179"/>
    <m/>
    <x v="134"/>
    <x v="132"/>
    <x v="115"/>
    <x v="155"/>
    <x v="95"/>
    <d v="2028-09-13T00:00:00"/>
    <x v="7"/>
    <x v="27"/>
    <x v="170"/>
    <s v="Không xác định được nguyên nhân"/>
    <s v="Đã báo hãng, đang chờ CS xin thêm thông tin_x000a_30/03/2026 QA chưa nhận được thông tin từ khách_x000a_Hoàn tất do khách không cung cấp thông tin mặc dù CS đã cố gắng liên hệ"/>
    <m/>
    <m/>
    <x v="3"/>
    <m/>
    <d v="1900-01-02T00:00:00"/>
    <x v="113"/>
    <x v="0"/>
    <x v="90"/>
    <s v="CC_240326-HCM_x000a_HUY"/>
    <n v="2026"/>
    <s v="HCM"/>
  </r>
  <r>
    <n v="194"/>
    <s v="SA"/>
    <x v="134"/>
    <x v="180"/>
    <m/>
    <x v="33"/>
    <x v="33"/>
    <x v="40"/>
    <x v="156"/>
    <x v="90"/>
    <d v="2027-06-30T00:00:00"/>
    <x v="5"/>
    <x v="26"/>
    <x v="171"/>
    <s v="Lỗi từ nhà sản xuất"/>
    <s v="Đã báo hãng và chấp nhận đền bù_x000a_--&gt; hoàn tất"/>
    <s v="yes"/>
    <s v="mail"/>
    <x v="7"/>
    <d v="2026-04-17T00:00:00"/>
    <d v="1900-01-02T00:00:00"/>
    <x v="22"/>
    <x v="20"/>
    <x v="87"/>
    <s v="CC_250326-HCM"/>
    <n v="2026"/>
    <s v="HCM"/>
  </r>
  <r>
    <n v="195"/>
    <s v="MG"/>
    <x v="135"/>
    <x v="181"/>
    <s v="TT53077"/>
    <x v="135"/>
    <x v="133"/>
    <x v="21"/>
    <x v="157"/>
    <x v="96"/>
    <d v="2028-08-29T00:00:00"/>
    <x v="0"/>
    <x v="26"/>
    <x v="172"/>
    <s v="Lỗi từ nhà sản xuất"/>
    <s v="19/3/2026, gửi mail bão hãng_x000a_24/03/2026: Hãng đồng ý đổi hàng mới cho khách, mẫu khiếu nại trả hãng theo đợt_x000a_25/03/2026: BV báo khách đã lấy bút, nên huỷ khiếu nại_x000a_--&gt; hoàn tất"/>
    <s v="yes"/>
    <s v="email"/>
    <x v="3"/>
    <m/>
    <d v="1900-01-02T00:00:00"/>
    <x v="114"/>
    <x v="0"/>
    <x v="91"/>
    <s v="CC_260326-ĐN"/>
    <n v="2026"/>
    <s v="ĐN"/>
  </r>
  <r>
    <n v="196"/>
    <s v="WO"/>
    <x v="136"/>
    <x v="182"/>
    <m/>
    <x v="49"/>
    <x v="48"/>
    <x v="116"/>
    <x v="158"/>
    <x v="97"/>
    <d v="2028-08-31T00:00:00"/>
    <x v="6"/>
    <x v="28"/>
    <x v="173"/>
    <s v="Lỗi từ nhà sản xuất"/>
    <s v="Đã báo hãng_x000a_Ngày 26/03/2026 khách báo hủy khiếu nại, xử lý nội bộ_x000a_--&gt; hoàn tất"/>
    <s v="yes"/>
    <s v="email"/>
    <x v="3"/>
    <m/>
    <d v="1900-01-02T00:00:00"/>
    <x v="115"/>
    <x v="0"/>
    <x v="92"/>
    <s v="CC_270326-HCM_x000a_HUY"/>
    <n v="2026"/>
    <s v="HCM"/>
  </r>
  <r>
    <n v="197"/>
    <s v="RD"/>
    <x v="136"/>
    <x v="183"/>
    <m/>
    <x v="136"/>
    <x v="134"/>
    <x v="107"/>
    <x v="159"/>
    <x v="85"/>
    <d v="2027-09-30T00:00:00"/>
    <x v="4"/>
    <x v="4"/>
    <x v="174"/>
    <s v="Không xác định được nguyên nhân"/>
    <s v="Đã nhận được thông tin từ khách và báo hãng ngày 26/03/2026_x000a_30/03 khách không cung cấp thông tin, tự xử lý nội bộ _x000a_-&gt; Hoàn tất"/>
    <s v="No"/>
    <s v="ZALO"/>
    <x v="3"/>
    <m/>
    <d v="1900-01-02T00:00:00"/>
    <x v="63"/>
    <x v="0"/>
    <x v="82"/>
    <s v="CC_280326-HCM"/>
    <n v="2026"/>
    <s v="HCM"/>
  </r>
  <r>
    <n v="198"/>
    <s v="RH"/>
    <x v="137"/>
    <x v="184"/>
    <m/>
    <x v="137"/>
    <x v="14"/>
    <x v="117"/>
    <x v="160"/>
    <x v="58"/>
    <d v="2028-10-15T00:00:00"/>
    <x v="1"/>
    <x v="26"/>
    <x v="175"/>
    <s v="Lỗi từ nhà sản xuất"/>
    <s v="Đã báo hãng_x000a_Hãng đồng ý tiếp nhận khiếu nai, và đền bù cho khách_x000a_-&gt; Hoàn tất"/>
    <m/>
    <m/>
    <x v="7"/>
    <m/>
    <d v="1900-01-02T00:00:00"/>
    <x v="116"/>
    <x v="0"/>
    <x v="56"/>
    <s v="CC_290326-HCM"/>
    <n v="2026"/>
    <s v="HCM"/>
  </r>
  <r>
    <n v="199"/>
    <s v="OPELLA"/>
    <x v="138"/>
    <x v="185"/>
    <m/>
    <x v="138"/>
    <x v="115"/>
    <x v="15"/>
    <x v="161"/>
    <x v="0"/>
    <d v="2028-09-03T00:00:00"/>
    <x v="1"/>
    <x v="29"/>
    <x v="176"/>
    <s v="Lỗi không xuất phát từ Hoàng Đức và nhà sản xuất"/>
    <s v="01/04/2026, gửi mail báo hãng_x000a_-&gt; 02/04/2026, nhận được thông tin phản hồi từ hãng_x000a_-&gt; 07/04/2026 close case do khách không cung cấp được thêm thông tin lỗi từ Hoàng Đức_x000a_--&gt; Hoàn tất"/>
    <m/>
    <s v="email"/>
    <x v="6"/>
    <m/>
    <d v="1900-01-02T00:00:00"/>
    <x v="117"/>
    <x v="0"/>
    <x v="0"/>
    <s v="CC_300326-HN"/>
    <n v="2026"/>
    <s v="HN"/>
  </r>
  <r>
    <n v="200"/>
    <s v="OPELLA"/>
    <x v="139"/>
    <x v="186"/>
    <m/>
    <x v="139"/>
    <x v="135"/>
    <x v="15"/>
    <x v="162"/>
    <x v="0"/>
    <d v="2028-08-19T00:00:00"/>
    <x v="1"/>
    <x v="29"/>
    <x v="177"/>
    <s v="Lỗi không xuất phát từ quá trình bảo quản và vận chuyển của Hoàng Đức và nhà sản xuất"/>
    <s v="01/04/2026, gửi mail báo hãng_x000a_-&gt; 02/04/2026, nhận được thông tin phản hồi từ hãng_x000a_-&gt; 07/04/2026 close case do khách không cung cấp được thêm thông tin lỗi từ Hoàng Đức_x000a_--&gt; Hoàn tất"/>
    <m/>
    <s v="email"/>
    <x v="6"/>
    <m/>
    <d v="1900-01-03T00:00:00"/>
    <x v="118"/>
    <x v="0"/>
    <x v="0"/>
    <s v="CC_310426-HN"/>
    <n v="2026"/>
    <s v="HN"/>
  </r>
  <r>
    <n v="201"/>
    <s v="HY"/>
    <x v="139"/>
    <x v="187"/>
    <m/>
    <x v="140"/>
    <x v="136"/>
    <x v="118"/>
    <x v="163"/>
    <x v="0"/>
    <d v="2028-12-31T00:00:00"/>
    <x v="1"/>
    <x v="29"/>
    <x v="178"/>
    <s v="Lỗi từ nhà sản xuất"/>
    <s v="01/04/2026, gửi mail báo hãng_x000a_-&gt; Hãng báo đổi hàng cho khách, cấn trừ công nợ vào tháng 4_x000a_--&gt;Hoàn tất"/>
    <m/>
    <s v="email"/>
    <x v="4"/>
    <m/>
    <d v="1900-01-03T00:00:00"/>
    <x v="119"/>
    <x v="0"/>
    <x v="0"/>
    <s v="CC_320426-HN"/>
    <n v="2026"/>
    <s v="HN"/>
  </r>
  <r>
    <n v="202"/>
    <s v="AZ"/>
    <x v="139"/>
    <x v="188"/>
    <m/>
    <x v="141"/>
    <x v="137"/>
    <x v="119"/>
    <x v="164"/>
    <x v="0"/>
    <d v="2027-05-03T00:00:00"/>
    <x v="1"/>
    <x v="29"/>
    <x v="179"/>
    <s v="Lỗi từ nhà sản xuất"/>
    <s v="01/04/2026, gửi mail báo hãng_x000a_-&gt; 03/04/2026 hãng phản hồi cần thu mẫu về nhà máy kiểm tra_x000a_-&gt; 10/04/2026 hãng đồng ý thu hàng về, và gửi yêu cầu lấy mẫu sau"/>
    <m/>
    <s v="email"/>
    <x v="4"/>
    <m/>
    <d v="1900-01-03T00:00:00"/>
    <x v="120"/>
    <x v="0"/>
    <x v="0"/>
    <s v="CC_330426-HN"/>
    <n v="2026"/>
    <s v="HN"/>
  </r>
  <r>
    <n v="203"/>
    <s v="WO"/>
    <x v="140"/>
    <x v="189"/>
    <m/>
    <x v="142"/>
    <x v="138"/>
    <x v="116"/>
    <x v="165"/>
    <x v="0"/>
    <d v="2028-08-31T00:00:00"/>
    <x v="7"/>
    <x v="29"/>
    <x v="180"/>
    <s v="Lỗi từ nhà sản xuất"/>
    <s v="03/04/2026, gửi mail báo hãng_x000a_-&gt; 08/04/2026, hãng xác nhận đổi trả nguyên hộp cho khách_x000a_-&gt; Hãng xác nhận hàng lỗi chuyển hủy_x000a_-&gt; Hoàn tất"/>
    <m/>
    <s v="email"/>
    <x v="0"/>
    <m/>
    <d v="1900-01-03T00:00:00"/>
    <x v="115"/>
    <x v="0"/>
    <x v="0"/>
    <s v="CC_340426-HN"/>
    <n v="2026"/>
    <s v="HN"/>
  </r>
  <r>
    <n v="204"/>
    <s v="SA"/>
    <x v="140"/>
    <x v="190"/>
    <m/>
    <x v="33"/>
    <x v="33"/>
    <x v="40"/>
    <x v="151"/>
    <x v="90"/>
    <d v="2027-06-30T00:00:00"/>
    <x v="5"/>
    <x v="30"/>
    <x v="181"/>
    <s v="Lỗi từ nhà sản xuất"/>
    <s v="03/04/2026 đã báo hãng_x000a_10/04/2026 hãng đồng ý đền bù cho khách_x000a_--&gt; Hoàn tất"/>
    <s v="x"/>
    <s v="email"/>
    <x v="7"/>
    <m/>
    <d v="1900-01-03T00:00:00"/>
    <x v="22"/>
    <x v="0"/>
    <x v="87"/>
    <s v="CC_350426-HCM"/>
    <n v="2026"/>
    <s v="HCM"/>
  </r>
  <r>
    <n v="205"/>
    <s v="MG"/>
    <x v="141"/>
    <x v="191"/>
    <m/>
    <x v="143"/>
    <x v="139"/>
    <x v="21"/>
    <x v="166"/>
    <x v="98"/>
    <d v="2028-08-28T00:00:00"/>
    <x v="0"/>
    <x v="31"/>
    <x v="182"/>
    <s v="Lỗi từ nhà sản xuất"/>
    <s v="Đã gửi email cho hãng_x000a_10/04/2026, hãng cần thêm video để điều tra nhưng khách từ chối cung cấp mặc dù Hoàng Đức đã cố gắng _x000a_Hãng đồng ý đền bù_x000a_--&gt; Hoàn tất"/>
    <m/>
    <m/>
    <x v="7"/>
    <m/>
    <d v="1900-01-03T00:00:00"/>
    <x v="121"/>
    <x v="0"/>
    <x v="93"/>
    <s v="CC_360426-HCM"/>
    <n v="2026"/>
    <s v="HCM"/>
  </r>
  <r>
    <n v="206"/>
    <s v="MG"/>
    <x v="141"/>
    <x v="192"/>
    <m/>
    <x v="143"/>
    <x v="139"/>
    <x v="21"/>
    <x v="167"/>
    <x v="99"/>
    <d v="2028-08-31T00:00:00"/>
    <x v="0"/>
    <x v="29"/>
    <x v="182"/>
    <s v="Lỗi từ nhà sản xuất"/>
    <s v="Đã gửi email cho hãng_x000a_10/04/2026, hãng cần thêm video để điều tra nhưng khách từ chối cung cấp mặc dù Hoàng Đức đã cố gắng _x000a_Hãng đồng ý đền bù_x000a_--&gt; Hoàn tất"/>
    <m/>
    <m/>
    <x v="7"/>
    <m/>
    <d v="1900-01-03T00:00:00"/>
    <x v="115"/>
    <x v="0"/>
    <x v="92"/>
    <s v="CC_370426-HCM"/>
    <n v="2026"/>
    <s v="HCM"/>
  </r>
  <r>
    <n v="207"/>
    <s v="SA"/>
    <x v="142"/>
    <x v="193"/>
    <s v="TT58073"/>
    <x v="144"/>
    <x v="140"/>
    <x v="47"/>
    <x v="151"/>
    <x v="90"/>
    <d v="2027-06-30T00:00:00"/>
    <x v="5"/>
    <x v="29"/>
    <x v="183"/>
    <s v="Lỗi từ nhà sản xuất"/>
    <s v="Đã gửi email cho hãng_x000a_Hãng đồng ý đền bù cho khách_x000a_--&gt; Hoàn tất"/>
    <m/>
    <m/>
    <x v="7"/>
    <d v="2026-05-20T00:00:00"/>
    <d v="1900-01-03T00:00:00"/>
    <x v="22"/>
    <x v="21"/>
    <x v="87"/>
    <s v="CC_380426-HCM"/>
    <n v="2026"/>
    <s v="HCM"/>
  </r>
  <r>
    <n v="208"/>
    <s v="SA"/>
    <x v="142"/>
    <x v="194"/>
    <m/>
    <x v="145"/>
    <x v="141"/>
    <x v="120"/>
    <x v="41"/>
    <x v="0"/>
    <s v="NA"/>
    <x v="4"/>
    <x v="4"/>
    <x v="184"/>
    <s v="NA"/>
    <s v="Đã gửi email cho hãng_x000a_Đã nhận được câu trả lời từ hãng ngày 10/04/2026_x000a_--&gt; hoàn tất"/>
    <m/>
    <m/>
    <x v="1"/>
    <m/>
    <d v="1900-01-03T00:00:00"/>
    <x v="6"/>
    <x v="0"/>
    <x v="0"/>
    <s v="CC_390426-HCM"/>
    <n v="2026"/>
    <s v="HCM"/>
  </r>
  <r>
    <n v="209"/>
    <s v="GZ"/>
    <x v="143"/>
    <x v="195"/>
    <m/>
    <x v="146"/>
    <x v="142"/>
    <x v="121"/>
    <x v="168"/>
    <x v="100"/>
    <d v="2027-12-04T00:00:00"/>
    <x v="7"/>
    <x v="26"/>
    <x v="185"/>
    <s v="Lỗi từ nhà sản xuất"/>
    <s v="Đã gửi email cho hãng_x000a_Hãng đồng ý đền bù, hàng khiếu nại thu về cho vào khu vực chờ xử lý_x000a_Khách không còn giữ mẫu khiếu nại, nên không thể đền bù c"/>
    <m/>
    <m/>
    <x v="8"/>
    <m/>
    <d v="1900-01-03T00:00:00"/>
    <x v="122"/>
    <x v="0"/>
    <x v="94"/>
    <s v="CC_400426-HCM"/>
    <n v="2026"/>
    <s v="HCM"/>
  </r>
  <r>
    <n v="210"/>
    <s v="SA"/>
    <x v="143"/>
    <x v="196"/>
    <m/>
    <x v="147"/>
    <x v="143"/>
    <x v="17"/>
    <x v="169"/>
    <x v="85"/>
    <d v="2028-09-30T00:00:00"/>
    <x v="5"/>
    <x v="26"/>
    <x v="186"/>
    <s v="Lỗi từ nhà sản xuất"/>
    <s v="Đã gửi email cho hãng_x000a_Hãng đồng ý khiếu nại_x000a_--&gt; Hoàn tất"/>
    <m/>
    <m/>
    <x v="7"/>
    <d v="2026-04-17T00:00:00"/>
    <d v="1900-01-03T00:00:00"/>
    <x v="123"/>
    <x v="20"/>
    <x v="82"/>
    <s v="CC_410426-HCM"/>
    <n v="2026"/>
    <s v="HCM"/>
  </r>
  <r>
    <n v="211"/>
    <s v="HY"/>
    <x v="143"/>
    <x v="197"/>
    <m/>
    <x v="148"/>
    <x v="144"/>
    <x v="122"/>
    <x v="170"/>
    <x v="76"/>
    <d v="2027-01-31T00:00:00"/>
    <x v="1"/>
    <x v="29"/>
    <x v="187"/>
    <s v="Lỗi từ nhà sản xuất"/>
    <s v="Đã gửi mail cho hãng_x000a_-&gt; Hãng báo đổi hàng và trừ công nợ tháng 4"/>
    <m/>
    <s v="email"/>
    <x v="4"/>
    <m/>
    <d v="1900-01-03T00:00:00"/>
    <x v="20"/>
    <x v="0"/>
    <x v="74"/>
    <s v="CC_420426-HN"/>
    <n v="2026"/>
    <s v="HN"/>
  </r>
  <r>
    <n v="212"/>
    <s v="SA"/>
    <x v="144"/>
    <x v="198"/>
    <m/>
    <x v="149"/>
    <x v="145"/>
    <x v="123"/>
    <x v="171"/>
    <x v="101"/>
    <d v="2027-01-31T00:00:00"/>
    <x v="1"/>
    <x v="30"/>
    <x v="188"/>
    <s v="Lỗi từ nhà sản xuất"/>
    <s v="20/04/2026 khách phản hồi sản phẩm lúc phát hiện vẫn còn seal_x000a_số lượng khiếu nại confirm là 04 ống (2 hộp)_x000a_Hãng đồng ý đền bù cho khách_x000a_--&gt;Hoàn tất"/>
    <s v="Không"/>
    <s v="call"/>
    <x v="4"/>
    <m/>
    <d v="1900-01-03T00:00:00"/>
    <x v="20"/>
    <x v="0"/>
    <x v="95"/>
    <s v="CC_430426-HCM"/>
    <n v="2026"/>
    <s v="HCM"/>
  </r>
  <r>
    <n v="213"/>
    <s v="WO"/>
    <x v="145"/>
    <x v="199"/>
    <m/>
    <x v="150"/>
    <x v="146"/>
    <x v="116"/>
    <x v="172"/>
    <x v="102"/>
    <s v="31/05/2027"/>
    <x v="1"/>
    <x v="29"/>
    <x v="189"/>
    <s v="Lỗi không xuất phát từ Hoàng Đức"/>
    <s v="Đã gửi mail cho hãng_x000a_-&gt; 05/05/2026, Hãng đồng ý đổi hàng cho khách, hàng khiếu nại thu về chờ xử lý từ hãng_x000a_-&gt; 13/05/2026, CS thông tin khách báo không cần đổi hàng nữa -&gt; Đóng case_x000a_--&gt; Hoàn tất"/>
    <s v="yes"/>
    <s v="email"/>
    <x v="3"/>
    <m/>
    <d v="1900-01-03T00:00:00"/>
    <x v="87"/>
    <x v="0"/>
    <x v="96"/>
    <s v="CC_440426-HN"/>
    <n v="2026"/>
    <s v="HN"/>
  </r>
  <r>
    <n v="214"/>
    <s v="HT"/>
    <x v="146"/>
    <x v="200"/>
    <m/>
    <x v="151"/>
    <x v="147"/>
    <x v="124"/>
    <x v="41"/>
    <x v="0"/>
    <s v="NA"/>
    <x v="4"/>
    <x v="4"/>
    <x v="190"/>
    <s v="Thắc mắc của khách hàng về điều kiện bảo quản"/>
    <s v="Đã gửi email cho hãng_x000a_Hãng gửi câu trả lời tuy nhiên chưa có công văn_x000a_Ngày 04/05/2026: hãng gửi công văn"/>
    <m/>
    <m/>
    <x v="1"/>
    <m/>
    <d v="1900-01-03T00:00:00"/>
    <x v="6"/>
    <x v="0"/>
    <x v="0"/>
    <s v="CC_450426-HCM"/>
    <n v="2026"/>
    <s v="HCM"/>
  </r>
  <r>
    <n v="215"/>
    <s v="MG"/>
    <x v="147"/>
    <x v="201"/>
    <m/>
    <x v="152"/>
    <x v="148"/>
    <x v="21"/>
    <x v="173"/>
    <x v="103"/>
    <d v="2028-08-19T00:00:00"/>
    <x v="0"/>
    <x v="28"/>
    <x v="191"/>
    <s v="Lỗi từ nhà sản xuất"/>
    <s v="Hãng đồng ý đền bù cho khách_x000a_--&gt; Hoàn tất"/>
    <m/>
    <m/>
    <x v="9"/>
    <m/>
    <d v="1900-01-03T00:00:00"/>
    <x v="118"/>
    <x v="0"/>
    <x v="97"/>
    <s v="CC_460426-HCM"/>
    <n v="2026"/>
    <s v="HCM"/>
  </r>
  <r>
    <n v="216"/>
    <s v="AZ"/>
    <x v="148"/>
    <x v="202"/>
    <m/>
    <x v="153"/>
    <x v="149"/>
    <x v="125"/>
    <x v="174"/>
    <x v="104"/>
    <d v="2027-06-16T00:00:00"/>
    <x v="0"/>
    <x v="26"/>
    <x v="192"/>
    <s v="Lỗi không xuất phát từ quá trình bảo quản và vận chuyển của Hoàng Đức"/>
    <s v="Đã email cho hãng và nhận được thông tin chờ hướng xử lý từ nhà máy_x000a_Chờ phản hồi từ hãng_x000a_01/07/26 hãng đồng ý đền bù cho khách, hàng khiếu nại thu về xuất trả hãng_x000a_--&gt; hoàn tất"/>
    <m/>
    <m/>
    <x v="4"/>
    <m/>
    <d v="1900-01-03T00:00:00"/>
    <x v="124"/>
    <x v="0"/>
    <x v="98"/>
    <s v="CC_470426-HCM"/>
    <n v="2026"/>
    <s v="HCM"/>
  </r>
  <r>
    <n v="217"/>
    <s v="SA"/>
    <x v="149"/>
    <x v="203"/>
    <s v="TT62570"/>
    <x v="154"/>
    <x v="150"/>
    <x v="91"/>
    <x v="124"/>
    <x v="88"/>
    <d v="2027-06-30T00:00:00"/>
    <x v="0"/>
    <x v="26"/>
    <x v="193"/>
    <s v="Lỗi từ nhà sản xuất"/>
    <s v="28/04/2026: gửi mail cho hãng_x000a_29/04/2026: hãng chấp nhận khiếu nại, hàng khiếu nại thu về xuất trả hãng theo đợt_x000a_--&gt; Hoàn tất"/>
    <s v="yes"/>
    <s v="email"/>
    <x v="7"/>
    <m/>
    <d v="1900-01-03T00:00:00"/>
    <x v="22"/>
    <x v="0"/>
    <x v="85"/>
    <s v="CC_480426-ĐN"/>
    <n v="2026"/>
    <s v="ĐN"/>
  </r>
  <r>
    <n v="218"/>
    <s v="SA"/>
    <x v="150"/>
    <x v="204"/>
    <s v="TT65125"/>
    <x v="71"/>
    <x v="151"/>
    <x v="126"/>
    <x v="175"/>
    <x v="105"/>
    <d v="2027-01-31T00:00:00"/>
    <x v="1"/>
    <x v="26"/>
    <x v="194"/>
    <s v="Lỗi từ nhà sản xuất"/>
    <s v="Đã gửi mail cho hãng và hãng đồng ý khiếu nại_x000a_--&gt; hoàn tất"/>
    <s v="yes"/>
    <m/>
    <x v="4"/>
    <d v="2026-06-17T00:00:00"/>
    <d v="1900-01-04T00:00:00"/>
    <x v="20"/>
    <x v="22"/>
    <x v="99"/>
    <s v="CC_490526-HCM"/>
    <n v="2026"/>
    <s v="HCM"/>
  </r>
  <r>
    <n v="219"/>
    <s v="SA"/>
    <x v="151"/>
    <x v="205"/>
    <s v="TT66053"/>
    <x v="33"/>
    <x v="33"/>
    <x v="47"/>
    <x v="151"/>
    <x v="90"/>
    <d v="2027-06-30T00:00:00"/>
    <x v="5"/>
    <x v="28"/>
    <x v="171"/>
    <s v="Lỗi từ nhà sản xuất"/>
    <s v="Đã báo email cho hãng_x000a_Hãng chấp nhận khiếu nại_x000a_--&gt; Hoàn tất"/>
    <s v="có"/>
    <s v="email"/>
    <x v="7"/>
    <m/>
    <d v="1900-01-04T00:00:00"/>
    <x v="22"/>
    <x v="0"/>
    <x v="87"/>
    <s v="CC_500526-HCM"/>
    <n v="2026"/>
    <s v="HCM"/>
  </r>
  <r>
    <n v="220"/>
    <s v="SA"/>
    <x v="151"/>
    <x v="206"/>
    <s v="TT66053"/>
    <x v="33"/>
    <x v="33"/>
    <x v="126"/>
    <x v="175"/>
    <x v="105"/>
    <d v="2027-01-31T00:00:00"/>
    <x v="1"/>
    <x v="26"/>
    <x v="195"/>
    <s v="Lỗi từ nhà sản xuất"/>
    <s v="Đã báo email cho hãng_x000a_Hãng chấp nhận khiếu nại_x000a_--&gt; Hoàn tất"/>
    <s v="có"/>
    <s v="email"/>
    <x v="7"/>
    <m/>
    <d v="1900-01-04T00:00:00"/>
    <x v="20"/>
    <x v="0"/>
    <x v="99"/>
    <s v="CC_510526-HCM"/>
    <n v="2026"/>
    <s v="HCM"/>
  </r>
  <r>
    <n v="221"/>
    <s v="PD"/>
    <x v="152"/>
    <x v="207"/>
    <s v="TT67817"/>
    <x v="155"/>
    <x v="152"/>
    <x v="127"/>
    <x v="176"/>
    <x v="106"/>
    <d v="2027-05-28T00:00:00"/>
    <x v="6"/>
    <x v="32"/>
    <x v="196"/>
    <s v="Lỗi không xuất phát từ bảo quản và vận chuyển của Hoàng Đức"/>
    <s v="Đã báo email cho _x000a_Hãng đồng ý đổi hàng cho khách"/>
    <s v="Không"/>
    <s v="ZALO"/>
    <x v="9"/>
    <m/>
    <d v="1900-01-04T00:00:00"/>
    <x v="125"/>
    <x v="0"/>
    <x v="100"/>
    <s v="CC_520526-HCM"/>
    <n v="2026"/>
    <s v="HCM"/>
  </r>
  <r>
    <n v="222"/>
    <s v="MG"/>
    <x v="153"/>
    <x v="208"/>
    <s v="TT68079"/>
    <x v="156"/>
    <x v="153"/>
    <x v="21"/>
    <x v="177"/>
    <x v="107"/>
    <d v="2028-01-03T00:00:00"/>
    <x v="0"/>
    <x v="26"/>
    <x v="197"/>
    <s v="Lỗi từ nhà sản xuất"/>
    <s v="Đã báo email cho hãng"/>
    <m/>
    <m/>
    <x v="4"/>
    <m/>
    <d v="1900-01-04T00:00:00"/>
    <x v="126"/>
    <x v="0"/>
    <x v="101"/>
    <s v="CC_530526-HCM"/>
    <n v="2026"/>
    <s v="HCM"/>
  </r>
  <r>
    <n v="223"/>
    <s v="MG"/>
    <x v="153"/>
    <x v="209"/>
    <s v="TT68079"/>
    <x v="156"/>
    <x v="153"/>
    <x v="21"/>
    <x v="173"/>
    <x v="103"/>
    <d v="2028-09-19T00:00:00"/>
    <x v="0"/>
    <x v="26"/>
    <x v="197"/>
    <s v="Lỗi từ nhà sản xuất"/>
    <s v="Đã gửi mail cho hãng và hãng đồng ý khiếu nại_x000a_--&gt; hoàn tất"/>
    <m/>
    <m/>
    <x v="4"/>
    <m/>
    <d v="1900-01-04T00:00:00"/>
    <x v="127"/>
    <x v="0"/>
    <x v="97"/>
    <s v="CC_540526-HCM"/>
    <n v="2026"/>
    <s v="HCM"/>
  </r>
  <r>
    <n v="224"/>
    <s v="MG"/>
    <x v="153"/>
    <x v="210"/>
    <s v="TT68079"/>
    <x v="156"/>
    <x v="153"/>
    <x v="21"/>
    <x v="173"/>
    <x v="103"/>
    <d v="2028-09-19T00:00:00"/>
    <x v="0"/>
    <x v="28"/>
    <x v="198"/>
    <s v="Lỗi từ nhà sản xuất"/>
    <s v="Đã gửi mail cho hãng và hãng đồng ý khiếu nại_x000a_--&gt; hoàn tất"/>
    <m/>
    <m/>
    <x v="4"/>
    <m/>
    <d v="1900-01-04T00:00:00"/>
    <x v="127"/>
    <x v="0"/>
    <x v="97"/>
    <s v="CC_550526-HCM"/>
    <n v="2026"/>
    <s v="HCM"/>
  </r>
  <r>
    <n v="225"/>
    <s v="OPELLA"/>
    <x v="154"/>
    <x v="211"/>
    <s v="TT68645"/>
    <x v="157"/>
    <x v="115"/>
    <x v="102"/>
    <x v="178"/>
    <x v="108"/>
    <d v="2028-02-26T00:00:00"/>
    <x v="6"/>
    <x v="26"/>
    <x v="199"/>
    <s v="Lỗi từ nhà sản xuất"/>
    <s v="_x000a_Hãng chấp nhận khiếu nại_x000a_Đã gửi thông tin cập nhật đến hãng"/>
    <m/>
    <m/>
    <x v="4"/>
    <m/>
    <d v="1900-01-04T00:00:00"/>
    <x v="128"/>
    <x v="0"/>
    <x v="102"/>
    <s v="CC_560526-HN"/>
    <n v="2026"/>
    <s v="HN"/>
  </r>
  <r>
    <n v="226"/>
    <s v="SA"/>
    <x v="154"/>
    <x v="212"/>
    <s v="TT68635"/>
    <x v="158"/>
    <x v="154"/>
    <x v="128"/>
    <x v="179"/>
    <x v="97"/>
    <d v="2028-08-31T00:00:00"/>
    <x v="1"/>
    <x v="26"/>
    <x v="200"/>
    <s v="Lỗi từ nhà sản xuất"/>
    <s v="Đã gửi mail cho hãng và hãng đồng ý khiếu nại_x000a_--&gt; hoàn tất"/>
    <m/>
    <m/>
    <x v="4"/>
    <d v="2026-06-08T00:00:00"/>
    <d v="1900-01-04T00:00:00"/>
    <x v="115"/>
    <x v="23"/>
    <x v="92"/>
    <s v="CC_570526-HCM"/>
    <n v="2026"/>
    <s v="HCM"/>
  </r>
  <r>
    <n v="227"/>
    <s v="PD"/>
    <x v="155"/>
    <x v="213"/>
    <s v=" TT68975"/>
    <x v="159"/>
    <x v="155"/>
    <x v="127"/>
    <x v="180"/>
    <x v="109"/>
    <d v="2027-03-19T00:00:00"/>
    <x v="6"/>
    <x v="33"/>
    <x v="201"/>
    <s v="Không rõ nguyên nhân"/>
    <s v="28/05: gửi email hỏi thêm thông tin_x000a_01/06: gửi email hỏi thêm thông tin_x000a_03/06: Email báo hãng huỷ case:_x000a_HĐ đã cố gắng liên hệ với khách hàng nhiều lần từ ngày nhận được khiếu nại để làm rõ thông tin nhưng không nhận được phản hồi của khách._x000a_Do đó, HĐ xin được huỷ khiếu nại với lý do &quot;không liên lạc được&quot;._x000a_Nếu khách hàng chủ động liên hệ lại, khiếu nại sẽ được xử lý như một trường hợp tiếp nhận mới."/>
    <s v="Không có thông tin"/>
    <s v="email"/>
    <x v="10"/>
    <m/>
    <d v="1900-01-04T00:00:00"/>
    <x v="129"/>
    <x v="0"/>
    <x v="103"/>
    <s v="CC_580526-ĐN-HUY"/>
    <n v="2026"/>
    <s v="ĐN"/>
  </r>
  <r>
    <n v="228"/>
    <s v="HY"/>
    <x v="156"/>
    <x v="214"/>
    <s v="TT69450"/>
    <x v="160"/>
    <x v="156"/>
    <x v="129"/>
    <x v="181"/>
    <x v="110"/>
    <d v="2029-02-14T00:00:00"/>
    <x v="1"/>
    <x v="26"/>
    <x v="202"/>
    <s v="Lỗi từ nhà sản xuất"/>
    <s v="Đã mail cho hãng, hãng đồng ý đền bù cho khách, hàng khiếu nại thu về xuất về văn phòng hãng_x000a_--&gt; Hoàn tất"/>
    <m/>
    <m/>
    <x v="7"/>
    <m/>
    <d v="1900-01-04T00:00:00"/>
    <x v="130"/>
    <x v="0"/>
    <x v="104"/>
    <s v="CC_590526-HCM"/>
    <n v="2026"/>
    <s v="HCM"/>
  </r>
  <r>
    <n v="229"/>
    <s v="MG"/>
    <x v="157"/>
    <x v="215"/>
    <m/>
    <x v="100"/>
    <x v="157"/>
    <x v="97"/>
    <x v="182"/>
    <x v="111"/>
    <s v="07/11/2027"/>
    <x v="1"/>
    <x v="26"/>
    <x v="203"/>
    <s v="Lỗi không xuất phát từ bảo quản và vận chuyển của Hoàng Đức"/>
    <s v="Hãng chấp nhận khiếu nại_x000a_-&gt; Hàng lỗi về gửi về địa chỉ hãng cung cấp. Kiểm tra hàng về kho đốm vàng có thể là bột thuốc của mặt màu vàng dính lên"/>
    <m/>
    <s v="mail"/>
    <x v="7"/>
    <m/>
    <d v="1900-01-05T00:00:00"/>
    <x v="131"/>
    <x v="0"/>
    <x v="105"/>
    <s v="CC_600626-HN"/>
    <n v="2026"/>
    <s v="HN"/>
  </r>
  <r>
    <n v="230"/>
    <s v="SA"/>
    <x v="158"/>
    <x v="216"/>
    <s v="TT70480"/>
    <x v="161"/>
    <x v="158"/>
    <x v="126"/>
    <x v="183"/>
    <x v="112"/>
    <s v=" 29/02/2028"/>
    <x v="1"/>
    <x v="26"/>
    <x v="204"/>
    <s v="Lỗi từ nhà sản xuất"/>
    <s v="Hãng chấp nhận khiếu nại, tiến hành đền bù cho khách; thu mẫu định kỳ_x000a_--&gt; Hoàn tất"/>
    <s v="yes"/>
    <s v="email"/>
    <x v="4"/>
    <m/>
    <d v="1900-01-05T00:00:00"/>
    <x v="132"/>
    <x v="0"/>
    <x v="106"/>
    <s v="CC_610626-ĐN"/>
    <n v="2026"/>
    <s v="ĐN"/>
  </r>
  <r>
    <n v="231"/>
    <s v="AZ"/>
    <x v="159"/>
    <x v="217"/>
    <s v="TT70693"/>
    <x v="162"/>
    <x v="159"/>
    <x v="130"/>
    <x v="184"/>
    <x v="113"/>
    <d v="2028-02-04T00:00:00"/>
    <x v="4"/>
    <x v="4"/>
    <x v="205"/>
    <s v="Lỗi không xuất phát từ Hoàng Đức"/>
    <s v="Đã báo email cho hãng_x000a_-&gt; liên hệ với khách vài lần nhưng chưa có phản hồi, đến 18/06 có thông tin thì gửi cập nhật cho hãng_x000a_-&gt; khách không có yêu cầu gì và đồng ý đóng case"/>
    <m/>
    <s v="email"/>
    <x v="3"/>
    <m/>
    <d v="1900-01-05T00:00:00"/>
    <x v="133"/>
    <x v="0"/>
    <x v="107"/>
    <s v="CC_620626-HN HUY"/>
    <n v="2026"/>
    <s v="HN"/>
  </r>
  <r>
    <n v="232"/>
    <s v="SA"/>
    <x v="160"/>
    <x v="218"/>
    <s v="TT70580"/>
    <x v="163"/>
    <x v="160"/>
    <x v="126"/>
    <x v="185"/>
    <x v="114"/>
    <d v="2028-04-30T00:00:00"/>
    <x v="1"/>
    <x v="26"/>
    <x v="206"/>
    <m/>
    <s v="Đã báo email cho hãng_x000a_Hãng đồng ý khiếu nại_x000a_--&gt; hoàn tất"/>
    <m/>
    <m/>
    <x v="7"/>
    <m/>
    <d v="1900-01-05T00:00:00"/>
    <x v="134"/>
    <x v="0"/>
    <x v="44"/>
    <s v="CC_630626-HCM"/>
    <n v="2026"/>
    <s v="HCM"/>
  </r>
  <r>
    <n v="233"/>
    <s v="RH"/>
    <x v="160"/>
    <x v="219"/>
    <s v="TT70972"/>
    <x v="100"/>
    <x v="34"/>
    <x v="131"/>
    <x v="186"/>
    <x v="115"/>
    <d v="2029-03-13T00:00:00"/>
    <x v="1"/>
    <x v="29"/>
    <x v="207"/>
    <s v="Lỗi từ nhà sản xuất"/>
    <s v="Đã báo email cho hãng"/>
    <m/>
    <m/>
    <x v="7"/>
    <m/>
    <d v="1900-01-05T00:00:00"/>
    <x v="135"/>
    <x v="0"/>
    <x v="108"/>
    <s v="CC_640626-HCM"/>
    <n v="2026"/>
    <s v="HCM"/>
  </r>
  <r>
    <n v="234"/>
    <s v="SA"/>
    <x v="161"/>
    <x v="220"/>
    <m/>
    <x v="164"/>
    <x v="161"/>
    <x v="53"/>
    <x v="187"/>
    <x v="0"/>
    <d v="2028-08-31T00:00:00"/>
    <x v="1"/>
    <x v="34"/>
    <x v="208"/>
    <m/>
    <s v="Đã báo email cho hãng -&gt; điều tra tại kho ghi nhận 65h rách kho Hưng Yên và 19h rách kho Long Hậu_x000a_-&gt; gửi 2 hộp lỗi nặng về hãng điều tra"/>
    <m/>
    <m/>
    <x v="11"/>
    <m/>
    <d v="1900-01-05T00:00:00"/>
    <x v="115"/>
    <x v="0"/>
    <x v="0"/>
    <s v="CC_650626-HN"/>
    <n v="2026"/>
    <s v="HN"/>
  </r>
  <r>
    <n v="235"/>
    <s v="RH"/>
    <x v="162"/>
    <x v="221"/>
    <s v="TT71362"/>
    <x v="100"/>
    <x v="34"/>
    <x v="132"/>
    <x v="188"/>
    <x v="116"/>
    <d v="2030-03-17T00:00:00"/>
    <x v="1"/>
    <x v="29"/>
    <x v="209"/>
    <s v="Lỗi từ nhà sản xuất"/>
    <s v="Hủy khiếu nại do hàng được từ chối nhận tại thời điểm giao nên sẽ ghi nhận vào BBSC (BBSC.HCM-0260-0526)"/>
    <m/>
    <m/>
    <x v="3"/>
    <m/>
    <d v="1900-01-05T00:00:00"/>
    <x v="136"/>
    <x v="0"/>
    <x v="109"/>
    <s v="CC_660626-HCM HUY"/>
    <n v="2026"/>
    <s v="HCM"/>
  </r>
  <r>
    <n v="236"/>
    <s v="SD"/>
    <x v="162"/>
    <x v="222"/>
    <m/>
    <x v="165"/>
    <x v="162"/>
    <x v="51"/>
    <x v="189"/>
    <x v="117"/>
    <d v="2029-07-28T00:00:00"/>
    <x v="7"/>
    <x v="29"/>
    <x v="210"/>
    <s v="Lỗi từ nhà sản xuất"/>
    <s v="Đã báo email cho hãng_x000a_-&gt; 11/06/2026 hãng chấp nhận khiếu nại_x000a_-&gt; 15/06/2026 khách báo đóng case không đổi hàng"/>
    <m/>
    <s v="mail"/>
    <x v="3"/>
    <m/>
    <d v="1900-01-05T00:00:00"/>
    <x v="137"/>
    <x v="0"/>
    <x v="110"/>
    <s v="CC_670626-HN"/>
    <n v="2026"/>
    <s v="HN"/>
  </r>
  <r>
    <n v="237"/>
    <s v="MG"/>
    <x v="163"/>
    <x v="223"/>
    <m/>
    <x v="166"/>
    <x v="163"/>
    <x v="133"/>
    <x v="190"/>
    <x v="118"/>
    <d v="2028-02-10T00:00:00"/>
    <x v="6"/>
    <x v="35"/>
    <x v="211"/>
    <s v="Không phải lỗi sản phẩm"/>
    <s v="Đã báo email cho hãng_x000a_-&gt; Nhà máy đang điều tra và sẽ phản hồi sau_x000a_-&gt; Hãng phản hồi tình trạng do đặc tính sản phẩm không phải lỗi_x000a_-&gt; Huỷ khiếu nại"/>
    <m/>
    <m/>
    <x v="3"/>
    <m/>
    <d v="1900-01-05T00:00:00"/>
    <x v="138"/>
    <x v="0"/>
    <x v="111"/>
    <s v="CC_680626-HN HUY"/>
    <n v="2026"/>
    <s v="HN"/>
  </r>
  <r>
    <n v="238"/>
    <s v="MG"/>
    <x v="163"/>
    <x v="224"/>
    <m/>
    <x v="166"/>
    <x v="163"/>
    <x v="134"/>
    <x v="191"/>
    <x v="111"/>
    <d v="2027-11-07T00:00:00"/>
    <x v="6"/>
    <x v="36"/>
    <x v="211"/>
    <s v="Không phải lỗi sản phẩm"/>
    <s v="Đã báo email cho hãng_x000a_-&gt; Nhà máy đang điều tra và sẽ phản hồi sau_x000a_-&gt; Hãng phản hồi tình trạng do đặc tính sản phẩm không phải lỗi_x000a_-&gt; Huỷ khiếu nại"/>
    <m/>
    <m/>
    <x v="3"/>
    <m/>
    <d v="1900-01-05T00:00:00"/>
    <x v="131"/>
    <x v="0"/>
    <x v="105"/>
    <s v="CC_690626-HN HUY"/>
    <n v="2026"/>
    <s v="HN"/>
  </r>
  <r>
    <n v="239"/>
    <s v="MG"/>
    <x v="163"/>
    <x v="225"/>
    <m/>
    <x v="166"/>
    <x v="163"/>
    <x v="134"/>
    <x v="192"/>
    <x v="111"/>
    <d v="2027-11-07T00:00:00"/>
    <x v="6"/>
    <x v="37"/>
    <x v="211"/>
    <s v="Không phải lỗi sản phẩm"/>
    <s v="Đã báo email cho hãng_x000a_-&gt; Nhà máy đang điều tra và sẽ phản hồi sau_x000a_-&gt; Hãng phản hồi tình trạng do đặc tính sản phẩm không phải lỗi_x000a_-&gt; Huỷ khiếu nại"/>
    <m/>
    <m/>
    <x v="3"/>
    <m/>
    <d v="1900-01-05T00:00:00"/>
    <x v="131"/>
    <x v="0"/>
    <x v="105"/>
    <s v="CC_700626-HN HUY"/>
    <n v="2026"/>
    <s v="HN"/>
  </r>
  <r>
    <n v="240"/>
    <s v="MG"/>
    <x v="163"/>
    <x v="226"/>
    <m/>
    <x v="166"/>
    <x v="163"/>
    <x v="135"/>
    <x v="193"/>
    <x v="119"/>
    <d v="2029-02-15T00:00:00"/>
    <x v="6"/>
    <x v="38"/>
    <x v="211"/>
    <s v="Không phải lỗi sản phẩm"/>
    <s v="Đã báo email cho hãng_x000a_-&gt; Nhà máy đang điều tra và sẽ phản hồi sau_x000a_-&gt; Hãng phản hồi tình trạng do đặc tính sản phẩm không phải lỗi_x000a_-&gt; Huỷ khiếu nại"/>
    <m/>
    <m/>
    <x v="3"/>
    <m/>
    <d v="1900-01-05T00:00:00"/>
    <x v="139"/>
    <x v="0"/>
    <x v="112"/>
    <s v="CC_710626-HN HUY"/>
    <n v="2026"/>
    <s v="HN"/>
  </r>
  <r>
    <n v="241"/>
    <s v="HY"/>
    <x v="164"/>
    <x v="227"/>
    <s v="TT72892"/>
    <x v="167"/>
    <x v="164"/>
    <x v="136"/>
    <x v="194"/>
    <x v="120"/>
    <d v="2028-02-29T00:00:00"/>
    <x v="1"/>
    <x v="29"/>
    <x v="212"/>
    <s v="Lỗi không xuất phát từ Hoàng Đức"/>
    <s v="Đã báo email cho hãng_x000a_Hãng đồng ý khiếu nại_x000a_--&gt; hoàn tất"/>
    <s v="Không"/>
    <s v="ZALO"/>
    <x v="7"/>
    <m/>
    <d v="1900-01-05T00:00:00"/>
    <x v="47"/>
    <x v="0"/>
    <x v="113"/>
    <s v="CC_720626-HCM"/>
    <n v="2026"/>
    <s v="HCM"/>
  </r>
  <r>
    <n v="242"/>
    <s v="SA"/>
    <x v="165"/>
    <x v="228"/>
    <s v="TT73075"/>
    <x v="168"/>
    <x v="165"/>
    <x v="137"/>
    <x v="195"/>
    <x v="121"/>
    <d v="2028-07-31T00:00:00"/>
    <x v="1"/>
    <x v="29"/>
    <x v="213"/>
    <s v="Lỗi từ nhà sản xuất"/>
    <s v="Đã báo email cho hãng_x000a_Hãng đồng ý khiếu nại_x000a_--&gt; hoàn tất"/>
    <s v="Không"/>
    <s v="ZALO"/>
    <x v="7"/>
    <d v="2026-06-22T00:00:00"/>
    <d v="1900-01-05T00:00:00"/>
    <x v="108"/>
    <x v="24"/>
    <x v="114"/>
    <s v="CC_730626-HCM"/>
    <n v="2026"/>
    <s v="HCM"/>
  </r>
  <r>
    <n v="243"/>
    <s v="OPELLA"/>
    <x v="166"/>
    <x v="229"/>
    <s v="TT73159"/>
    <x v="169"/>
    <x v="166"/>
    <x v="15"/>
    <x v="196"/>
    <x v="122"/>
    <d v="2028-06-05T00:00:00"/>
    <x v="3"/>
    <x v="39"/>
    <x v="214"/>
    <s v="Lỗi không xuất phát từ Hoàng Đức"/>
    <s v="Đã báo email cho hãng_x000a_Hãng đồng ý khiếu nại_x000a_--&gt; hoàn tất_x000a_Ngày 23.06:  TT Phong Điền thông tin số hàng bị bể đã được thu dọn và không còn sản phẩm để hoàn trả. Do đó, TT phản hồi không thực hiện bồi hoàn cho trường hợp này."/>
    <s v="Không"/>
    <s v="email"/>
    <x v="3"/>
    <m/>
    <d v="1900-01-05T00:00:00"/>
    <x v="140"/>
    <x v="0"/>
    <x v="115"/>
    <s v="CC_740626-ĐN HUY"/>
    <n v="2026"/>
    <s v="ĐN"/>
  </r>
  <r>
    <n v="244"/>
    <s v="SA"/>
    <x v="167"/>
    <x v="230"/>
    <s v="TT73978"/>
    <x v="170"/>
    <x v="167"/>
    <x v="47"/>
    <x v="197"/>
    <x v="123"/>
    <d v="2027-10-31T00:00:00"/>
    <x v="5"/>
    <x v="29"/>
    <x v="215"/>
    <s v="Lỗi không xuất phát từ Hoàng Đức"/>
    <s v="Đã báo email cho hãng_x000a_Hãng đồng ý khiếu nại để hỗ trợ khách_x000a_--&gt; hoàn tất_x000a_"/>
    <m/>
    <m/>
    <x v="4"/>
    <m/>
    <d v="1900-01-05T00:00:00"/>
    <x v="141"/>
    <x v="0"/>
    <x v="116"/>
    <s v="CC_750626-HCM"/>
    <n v="2026"/>
    <s v="HCM"/>
  </r>
  <r>
    <n v="245"/>
    <s v="HY"/>
    <x v="168"/>
    <x v="231"/>
    <m/>
    <x v="171"/>
    <x v="168"/>
    <x v="138"/>
    <x v="198"/>
    <x v="124"/>
    <d v="2027-02-28T00:00:00"/>
    <x v="1"/>
    <x v="29"/>
    <x v="123"/>
    <s v="Lỗi không xuất phát từ Hoàng Đức"/>
    <s v="Đã báo email cho hãng_x000a_Hãng đồng ý khiếu nại_x000a_--&gt; hoàn tất"/>
    <m/>
    <s v="email"/>
    <x v="4"/>
    <m/>
    <d v="1900-01-05T00:00:00"/>
    <x v="5"/>
    <x v="0"/>
    <x v="117"/>
    <s v="CC_760626-HN"/>
    <n v="2026"/>
    <s v="HN"/>
  </r>
  <r>
    <n v="246"/>
    <s v="HY"/>
    <x v="168"/>
    <x v="232"/>
    <m/>
    <x v="172"/>
    <x v="169"/>
    <x v="122"/>
    <x v="170"/>
    <x v="125"/>
    <d v="2027-01-31T00:00:00"/>
    <x v="1"/>
    <x v="29"/>
    <x v="123"/>
    <s v="Lỗi không xuất phát từ Hoàng Đức"/>
    <s v="Đã báo email cho hãng_x000a_Hãng đồng ý khiếu nại_x000a_--&gt; hoàn tất"/>
    <m/>
    <s v="email"/>
    <x v="4"/>
    <m/>
    <d v="1900-01-05T00:00:00"/>
    <x v="20"/>
    <x v="0"/>
    <x v="118"/>
    <s v="CC_770626-HN"/>
    <n v="2026"/>
    <s v="HN"/>
  </r>
  <r>
    <n v="247"/>
    <s v="OPELLA"/>
    <x v="169"/>
    <x v="233"/>
    <m/>
    <x v="173"/>
    <x v="95"/>
    <x v="103"/>
    <x v="199"/>
    <x v="126"/>
    <d v="2027-04-30T00:00:00"/>
    <x v="3"/>
    <x v="29"/>
    <x v="216"/>
    <s v="Lỗi không xuất phát từ Hoàng Đức"/>
    <s v="Đã báo email cho hãng_x000a_-&gt; cần xin thêm thông tin gửi hãng -&gt; khách không cung cấp được thông tin và báo đóng case"/>
    <m/>
    <s v="email"/>
    <x v="3"/>
    <m/>
    <d v="1900-01-05T00:00:00"/>
    <x v="82"/>
    <x v="0"/>
    <x v="119"/>
    <s v="CC_780626-HN HUY"/>
    <n v="2026"/>
    <s v="HN"/>
  </r>
  <r>
    <n v="248"/>
    <s v="HY"/>
    <x v="170"/>
    <x v="234"/>
    <s v="TT77473"/>
    <x v="174"/>
    <x v="170"/>
    <x v="139"/>
    <x v="200"/>
    <x v="127"/>
    <d v="2027-09-30T00:00:00"/>
    <x v="5"/>
    <x v="40"/>
    <x v="217"/>
    <s v="Lỗi không xuất phát từ Hoàng Đức"/>
    <s v="Đã báo email cho hãng. Số PV_090626, PV_100626, PV_110626_x000a_Hãng đồng ý khiếu nại_x000a_--&gt; hoàn tất"/>
    <s v="Không có thông tin"/>
    <s v="email"/>
    <x v="5"/>
    <m/>
    <d v="1900-01-05T00:00:00"/>
    <x v="63"/>
    <x v="0"/>
    <x v="120"/>
    <s v="CC_790626-ĐN"/>
    <n v="2026"/>
    <s v="ĐN"/>
  </r>
  <r>
    <n v="249"/>
    <s v="MG"/>
    <x v="171"/>
    <x v="235"/>
    <s v="TT77505"/>
    <x v="152"/>
    <x v="148"/>
    <x v="21"/>
    <x v="157"/>
    <x v="128"/>
    <d v="2028-08-29T00:00:00"/>
    <x v="0"/>
    <x v="28"/>
    <x v="191"/>
    <s v="Lỗi từ nhà sản xuất"/>
    <s v="Đã báo email cho hãng_x000a_Hãng đồng ý khiếu nại_x000a_--&gt; hoàn tất"/>
    <m/>
    <m/>
    <x v="7"/>
    <m/>
    <d v="1900-01-06T00:00:00"/>
    <x v="114"/>
    <x v="0"/>
    <x v="121"/>
    <s v="CC_800726-HCM"/>
    <n v="2026"/>
    <s v="HCM"/>
  </r>
  <r>
    <n v="250"/>
    <s v="SA"/>
    <x v="171"/>
    <x v="236"/>
    <s v="TT77126"/>
    <x v="175"/>
    <x v="171"/>
    <x v="47"/>
    <x v="201"/>
    <x v="129"/>
    <d v="2027-09-30T00:00:00"/>
    <x v="5"/>
    <x v="29"/>
    <x v="218"/>
    <s v="Lỗi không xuất phát từ Hoàng Đức"/>
    <s v="Đã báo email cho hãng_x000a_Hãng đồng ý khiếu nại_x000a_--&gt; hoàn tất"/>
    <s v="yes"/>
    <s v="email"/>
    <x v="4"/>
    <m/>
    <d v="1900-01-06T00:00:00"/>
    <x v="63"/>
    <x v="0"/>
    <x v="122"/>
    <s v="CC_810726-ĐN"/>
    <n v="2026"/>
    <s v="ĐN"/>
  </r>
  <r>
    <n v="251"/>
    <s v="HY"/>
    <x v="171"/>
    <x v="237"/>
    <s v="TT77281"/>
    <x v="176"/>
    <x v="172"/>
    <x v="139"/>
    <x v="200"/>
    <x v="127"/>
    <d v="2027-09-30T00:00:00"/>
    <x v="5"/>
    <x v="41"/>
    <x v="217"/>
    <s v="Lỗi không xuất phát từ Hoàng Đức"/>
    <s v="Đã báo email cho hãng_x000a_Hãng đồng ý khiếu nại_x000a_--&gt; hoàn tất_x000a_ngày 20/08/2026: Hoàng Đức nhận thông tin khách hủy khiếu nại, không yêu cầu đền bù"/>
    <m/>
    <m/>
    <x v="3"/>
    <m/>
    <d v="1900-01-06T00:00:00"/>
    <x v="63"/>
    <x v="0"/>
    <x v="120"/>
    <s v="CC_820726-HCM HUY"/>
    <n v="2026"/>
    <s v="HCM"/>
  </r>
  <r>
    <n v="252"/>
    <s v="HT"/>
    <x v="172"/>
    <x v="238"/>
    <s v="TT77281"/>
    <x v="151"/>
    <x v="147"/>
    <x v="140"/>
    <x v="202"/>
    <x v="130"/>
    <d v="2027-12-11T00:00:00"/>
    <x v="5"/>
    <x v="26"/>
    <x v="219"/>
    <s v="Lỗi không xuất phát từ Hoàng Đức"/>
    <s v="Đang liên hệ khách để xin thêm thông tin"/>
    <s v="Không"/>
    <s v="ZALO"/>
    <x v="0"/>
    <m/>
    <d v="1900-01-06T00:00:00"/>
    <x v="142"/>
    <x v="0"/>
    <x v="123"/>
    <s v="CC_830726-HCM"/>
    <n v="2026"/>
    <s v="HCM"/>
  </r>
  <r>
    <n v="253"/>
    <s v="DV"/>
    <x v="173"/>
    <x v="239"/>
    <s v=" TT78987"/>
    <x v="177"/>
    <x v="173"/>
    <x v="141"/>
    <x v="203"/>
    <x v="131"/>
    <d v="2029-02-27T00:00:00"/>
    <x v="1"/>
    <x v="26"/>
    <x v="220"/>
    <s v="Lỗi không xuất phát từ Hoàng Đức"/>
    <s v="Đã báo hãng, đang liên hệ khách xin thêm thông tin"/>
    <m/>
    <m/>
    <x v="7"/>
    <m/>
    <d v="1900-01-06T00:00:00"/>
    <x v="143"/>
    <x v="0"/>
    <x v="124"/>
    <s v="CC_840726-HCM"/>
    <n v="2026"/>
    <s v="HCM"/>
  </r>
  <r>
    <n v="254"/>
    <s v="SA"/>
    <x v="174"/>
    <x v="240"/>
    <s v="TT79521"/>
    <x v="33"/>
    <x v="33"/>
    <x v="47"/>
    <x v="151"/>
    <x v="132"/>
    <d v="2027-06-30T00:00:00"/>
    <x v="5"/>
    <x v="28"/>
    <x v="171"/>
    <s v="Lỗi không xuất phát từ Hoàng Đức"/>
    <s v="Đã báo email cho hãng_x000a_Hãng đồng ý khiếu nại_x000a_--&gt; hoàn tất"/>
    <m/>
    <m/>
    <x v="4"/>
    <m/>
    <d v="1900-01-06T00:00:00"/>
    <x v="22"/>
    <x v="0"/>
    <x v="87"/>
    <s v="CC_850726-HCM"/>
    <n v="2026"/>
    <s v="HCM"/>
  </r>
  <r>
    <n v="255"/>
    <s v="SA"/>
    <x v="174"/>
    <x v="241"/>
    <s v="TT79521"/>
    <x v="33"/>
    <x v="33"/>
    <x v="142"/>
    <x v="204"/>
    <x v="133"/>
    <d v="2028-04-30T00:00:00"/>
    <x v="5"/>
    <x v="26"/>
    <x v="221"/>
    <s v="Lỗi không xuất phát từ Hoàng Đức"/>
    <s v="Đã báo email cho hãng_x000a_Hãng đồng ý khiếu nại_x000a_--&gt; hoàn tất"/>
    <m/>
    <m/>
    <x v="4"/>
    <m/>
    <d v="1900-01-06T00:00:00"/>
    <x v="134"/>
    <x v="0"/>
    <x v="125"/>
    <s v="CC_860726-HCM"/>
    <n v="2026"/>
    <s v="HCM"/>
  </r>
  <r>
    <n v="256"/>
    <s v="OPELLA"/>
    <x v="175"/>
    <x v="242"/>
    <m/>
    <x v="178"/>
    <x v="174"/>
    <x v="103"/>
    <x v="205"/>
    <x v="134"/>
    <d v="2027-06-30T00:00:00"/>
    <x v="3"/>
    <x v="27"/>
    <x v="222"/>
    <s v="Lỗi không xuất phát từ Hoàng Đức"/>
    <s v="Nhận được thông tin từ hãng, đồng ý đền bù chẵn hộp cho khách"/>
    <m/>
    <m/>
    <x v="4"/>
    <m/>
    <d v="1900-01-06T00:00:00"/>
    <x v="22"/>
    <x v="0"/>
    <x v="126"/>
    <s v="CC_870726-HN"/>
    <n v="2026"/>
    <s v="HN"/>
  </r>
  <r>
    <n v="257"/>
    <s v="SA"/>
    <x v="175"/>
    <x v="243"/>
    <s v=" TT80235"/>
    <x v="179"/>
    <x v="175"/>
    <x v="143"/>
    <x v="206"/>
    <x v="135"/>
    <d v="2027-03-31T00:00:00"/>
    <x v="1"/>
    <x v="28"/>
    <x v="223"/>
    <s v="Lỗi không xuất phát từ Hoàng Đức"/>
    <s v="Đã báo email cho hãng_x000a_Sau khi điều tra, phía khách không cung cấp được chứng cứ lỗi từ phía Hoàng Đức và nhà sản xuất nên từ chối khiếu nại_x000a_--&gt; Hoàn tất"/>
    <m/>
    <m/>
    <x v="6"/>
    <m/>
    <d v="1900-01-06T00:00:00"/>
    <x v="77"/>
    <x v="0"/>
    <x v="127"/>
    <s v="CC_880726-HCM"/>
    <n v="2026"/>
    <s v="HCM"/>
  </r>
  <r>
    <n v="258"/>
    <s v="MG"/>
    <x v="176"/>
    <x v="244"/>
    <s v="TT81488"/>
    <x v="180"/>
    <x v="176"/>
    <x v="21"/>
    <x v="207"/>
    <x v="136"/>
    <d v="2028-12-03T00:00:00"/>
    <x v="0"/>
    <x v="26"/>
    <x v="224"/>
    <s v="Lỗi từ nhà sản xuất"/>
    <s v="Đã báo email cho hãng_x000a_hãng đồng ý đền bù_x000a_28/07/26 , khách không yêu cầu đền bù"/>
    <s v="yes"/>
    <s v="mail"/>
    <x v="3"/>
    <m/>
    <d v="1900-01-06T00:00:00"/>
    <x v="144"/>
    <x v="0"/>
    <x v="128"/>
    <s v="CC_890726-HCM HUY"/>
    <n v="2026"/>
    <s v="HCM"/>
  </r>
  <r>
    <n v="259"/>
    <s v="DE"/>
    <x v="177"/>
    <x v="245"/>
    <s v="TT81119"/>
    <x v="181"/>
    <x v="177"/>
    <x v="144"/>
    <x v="208"/>
    <x v="137"/>
    <d v="2028-03-09T00:00:00"/>
    <x v="1"/>
    <x v="28"/>
    <x v="225"/>
    <s v="Đã báo email cho hãng_x000a_hãng đồng ý đền bù_x000a_28/07/26 , khách không yêu cầu đền bù, xử lý nội bộ_x000a_---&gt; báo hãng và hoàn tất case"/>
    <s v="Liên hệ khách xin thêm thông tin vì điều tra tại kho và vận chuyển không ghi nhận bất thường gây lỗi như khiếu nại_x000a_Đã liên hệ khách nhiều lần nhưng không nhận được thông tin_x000a_--&gt; Hoàn tất"/>
    <m/>
    <m/>
    <x v="6"/>
    <m/>
    <d v="1900-01-06T00:00:00"/>
    <x v="145"/>
    <x v="0"/>
    <x v="129"/>
    <s v="CC_900726-HCM "/>
    <n v="2026"/>
    <s v="HCM"/>
  </r>
  <r>
    <n v="260"/>
    <s v="SA"/>
    <x v="178"/>
    <x v="246"/>
    <s v="TT82627"/>
    <x v="182"/>
    <x v="178"/>
    <x v="145"/>
    <x v="209"/>
    <x v="138"/>
    <d v="2028-12-31T00:00:00"/>
    <x v="0"/>
    <x v="26"/>
    <x v="226"/>
    <s v="Không phải lỗi vì sau khi khách làm theo hướng dẫn, bút đã sử dụng được "/>
    <s v="Sau khi khách làm theo hướng dẫn của sử dụng bút, bút đã sử dụng được nên khách hủy khiếu nại_x000a_--&gt; hoàn tất"/>
    <s v="yes"/>
    <s v="ZALO"/>
    <x v="3"/>
    <m/>
    <d v="1900-01-06T00:00:00"/>
    <x v="119"/>
    <x v="0"/>
    <x v="130"/>
    <s v="CC_910726-HCM HUY"/>
    <n v="2026"/>
    <s v="HCM"/>
  </r>
  <r>
    <n v="261"/>
    <s v="SA"/>
    <x v="179"/>
    <x v="247"/>
    <s v="TT82301"/>
    <x v="183"/>
    <x v="179"/>
    <x v="128"/>
    <x v="179"/>
    <x v="97"/>
    <d v="2028-08-31T00:00:00"/>
    <x v="1"/>
    <x v="26"/>
    <x v="175"/>
    <s v="Không xuất phát từ bảo quản, phân phối đến khách"/>
    <s v="Báo email cho hãng _x000a_Hãng đồng ý khiếu nại_x000a_--&gt; hoàn tất"/>
    <m/>
    <m/>
    <x v="7"/>
    <m/>
    <d v="1900-01-06T00:00:00"/>
    <x v="115"/>
    <x v="0"/>
    <x v="92"/>
    <s v="CC_920726-HCM"/>
    <n v="2026"/>
    <s v="HCM"/>
  </r>
  <r>
    <n v="262"/>
    <s v="ST"/>
    <x v="180"/>
    <x v="248"/>
    <s v="TT83590"/>
    <x v="184"/>
    <x v="180"/>
    <x v="146"/>
    <x v="210"/>
    <x v="139"/>
    <d v="2027-10-30T00:00:00"/>
    <x v="1"/>
    <x v="26"/>
    <x v="227"/>
    <s v="Không xuất phát từ bảo quản, phân phối đến khách"/>
    <s v="Nhận được thông tin từ Santen_x000a_27/07/2026: nhận được phản hồi từ Chân Tâm_x000a_10/08 : hãng đồng ý close case do bên Chân Tâm không đồng ý việc đền bù cho khách vì lỗi không thuốc Chân Tâm_x000a_--&gt; hoàn tất"/>
    <m/>
    <m/>
    <x v="3"/>
    <m/>
    <d v="1900-01-06T00:00:00"/>
    <x v="146"/>
    <x v="0"/>
    <x v="131"/>
    <s v="CC_930726-HN HUY"/>
    <n v="2026"/>
    <s v="HN"/>
  </r>
  <r>
    <n v="263"/>
    <s v="SA"/>
    <x v="181"/>
    <x v="249"/>
    <s v="TT84061"/>
    <x v="185"/>
    <x v="181"/>
    <x v="147"/>
    <x v="211"/>
    <x v="140"/>
    <d v="2027-08-31T00:00:00"/>
    <x v="5"/>
    <x v="28"/>
    <x v="228"/>
    <s v="Không xuất phát từ bảo quản, phân phối đến khách"/>
    <s v="Báo email cho hãng_x000a_Có phát sinh ADR (sai sót sử dụng thuốc)--&gt; số PV:  PV_170726_x000a_Hãng từ chối khiếu nại, tuy nhiên vì sản phẩm tự doanh để duy trì mối quan hệ sẽ hỗ trợ cho khách"/>
    <m/>
    <m/>
    <x v="11"/>
    <m/>
    <d v="1900-01-06T00:00:00"/>
    <x v="74"/>
    <x v="0"/>
    <x v="132"/>
    <s v="CC_940726-HCM"/>
    <n v="2026"/>
    <s v="HCM"/>
  </r>
  <r>
    <n v="264"/>
    <s v="HY"/>
    <x v="182"/>
    <x v="250"/>
    <s v="TT85221"/>
    <x v="186"/>
    <x v="182"/>
    <x v="89"/>
    <x v="212"/>
    <x v="141"/>
    <d v="2029-01-31T00:00:00"/>
    <x v="6"/>
    <x v="26"/>
    <x v="229"/>
    <s v="Không xuất phát từ bảo quản, phân phối đến khách"/>
    <s v="Báo email cho hãng _x000a_Hãng đồng ý khiếu nại. Mẫu khiếu nại bảo quản khu biệt trữ chờ quyết định của hãng_x000a_--&gt; hoàn tất"/>
    <s v="yes"/>
    <s v="email"/>
    <x v="9"/>
    <m/>
    <d v="1900-01-06T00:00:00"/>
    <x v="147"/>
    <x v="0"/>
    <x v="133"/>
    <s v="CC_950726-ĐN"/>
    <n v="2026"/>
    <s v="ĐN"/>
  </r>
  <r>
    <n v="265"/>
    <s v="SA"/>
    <x v="183"/>
    <x v="251"/>
    <s v="TT85314"/>
    <x v="187"/>
    <x v="183"/>
    <x v="0"/>
    <x v="213"/>
    <x v="142"/>
    <d v="2027-12-31T00:00:00"/>
    <x v="0"/>
    <x v="26"/>
    <x v="230"/>
    <s v="Không xuất phát từ bảo quản, phân phối đến khách"/>
    <s v="Báo email cho hãng _x000a_Hãng đồng ý khiếu nại_x000a_--&gt; hoàn tất_x000a_Hủy khiếu nại do khách không còn giữ mẫu khiếu nại--&gt; không thể đền bù "/>
    <m/>
    <m/>
    <x v="3"/>
    <m/>
    <d v="1900-01-06T00:00:00"/>
    <x v="148"/>
    <x v="0"/>
    <x v="134"/>
    <s v="CC_960726-HCM HUY"/>
    <n v="2026"/>
    <s v="HCM"/>
  </r>
  <r>
    <n v="266"/>
    <s v="MY"/>
    <x v="183"/>
    <x v="252"/>
    <s v="TT85396"/>
    <x v="188"/>
    <x v="184"/>
    <x v="54"/>
    <x v="214"/>
    <x v="137"/>
    <d v="2029-03-10T00:00:00"/>
    <x v="8"/>
    <x v="26"/>
    <x v="231"/>
    <s v="Không xác định được nguyên nhân"/>
    <s v="Báo email cho hãng _x000a_Số khiếu nại: COMP-VN-2026-128._x000a_--&gt; hoàn tất, khách hủy case"/>
    <m/>
    <m/>
    <x v="3"/>
    <m/>
    <d v="1900-01-06T00:00:00"/>
    <x v="149"/>
    <x v="0"/>
    <x v="129"/>
    <s v="CC_970726-HCM HUY"/>
    <n v="2026"/>
    <s v="HCM"/>
  </r>
  <r>
    <n v="267"/>
    <s v="VE"/>
    <x v="184"/>
    <x v="253"/>
    <s v="TT86978"/>
    <x v="189"/>
    <x v="185"/>
    <x v="148"/>
    <x v="215"/>
    <x v="58"/>
    <s v=" 31/12/2027"/>
    <x v="1"/>
    <x v="26"/>
    <x v="232"/>
    <m/>
    <s v="Báo email cho hãng_x000a_-&gt; hãng đồng ý đổi hàng_x000a_-&gt; không còn mẫu khiếu nại không thể đền bù cho khách"/>
    <s v="yes"/>
    <s v="email"/>
    <x v="3"/>
    <m/>
    <d v="1900-01-07T00:00:00"/>
    <x v="150"/>
    <x v="0"/>
    <x v="56"/>
    <s v="CC_980826-HN HUY"/>
    <n v="2026"/>
    <s v="HN"/>
  </r>
  <r>
    <n v="268"/>
    <s v="SA"/>
    <x v="184"/>
    <x v="254"/>
    <s v="NA"/>
    <x v="190"/>
    <x v="186"/>
    <x v="149"/>
    <x v="216"/>
    <x v="143"/>
    <s v="Tetraxim: 28/02/2027; Avaxim: 31/07/2027"/>
    <x v="1"/>
    <x v="4"/>
    <x v="233"/>
    <s v="NA"/>
    <s v="07/08/2026 Hãng đã trả lời "/>
    <s v="Không có thông tin"/>
    <s v="Điện thoại"/>
    <x v="1"/>
    <m/>
    <d v="1900-01-07T00:00:00"/>
    <x v="151"/>
    <x v="0"/>
    <x v="135"/>
    <s v="CC_990826-ĐN"/>
    <n v="2026"/>
    <s v="ĐN"/>
  </r>
  <r>
    <n v="269"/>
    <s v="SD"/>
    <x v="185"/>
    <x v="255"/>
    <m/>
    <x v="100"/>
    <x v="187"/>
    <x v="150"/>
    <x v="217"/>
    <x v="144"/>
    <d v="2029-07-29T00:00:00"/>
    <x v="7"/>
    <x v="26"/>
    <x v="234"/>
    <s v="Lỗi từ nhà sản xuất"/>
    <s v="Báo email hãng_x000a_-&gt; Hãng đồng ý đền bù, hàng lỗi thu về trả hãng"/>
    <s v="yes"/>
    <s v="email"/>
    <x v="7"/>
    <m/>
    <d v="1900-01-07T00:00:00"/>
    <x v="152"/>
    <x v="0"/>
    <x v="136"/>
    <s v="CC_1000826-HN"/>
    <n v="2026"/>
    <s v="HN"/>
  </r>
  <r>
    <n v="270"/>
    <s v="RH"/>
    <x v="186"/>
    <x v="256"/>
    <s v="TT87518"/>
    <x v="191"/>
    <x v="188"/>
    <x v="151"/>
    <x v="218"/>
    <x v="0"/>
    <d v="2029-06-25T00:00:00"/>
    <x v="11"/>
    <x v="26"/>
    <x v="235"/>
    <s v="Lỗi không xuất phát từ Hoàng Đức"/>
    <s v="Liên hệ khách xin thêm thông tin vì điều tra tại kho và vận chuyển không ghi nhận bất thường gây lỗi như khiếu nại_x000a_Đã liên hệ khách nhiều lần nhưng không nhận được thông tin_x000a_--&gt; Hoàn tất"/>
    <m/>
    <m/>
    <x v="6"/>
    <m/>
    <d v="1900-01-07T00:00:00"/>
    <x v="153"/>
    <x v="0"/>
    <x v="0"/>
    <s v="CC_1010826-HCM"/>
    <n v="2026"/>
    <s v="HCM"/>
  </r>
  <r>
    <n v="271"/>
    <s v="HY"/>
    <x v="187"/>
    <x v="257"/>
    <s v="TT88307"/>
    <x v="192"/>
    <x v="32"/>
    <x v="152"/>
    <x v="219"/>
    <x v="145"/>
    <d v="2028-07-02T00:00:00"/>
    <x v="1"/>
    <x v="26"/>
    <x v="236"/>
    <m/>
    <s v="Báo email cho hãng_x000a_Liên hệ khách để xin thêm thông tin_x000a_Hãng đồng ý đổi hàng_x000a_--&gt; Hoàn tất"/>
    <m/>
    <m/>
    <x v="9"/>
    <m/>
    <d v="1900-01-07T00:00:00"/>
    <x v="154"/>
    <x v="0"/>
    <x v="137"/>
    <s v="CC_1020826-HCM"/>
    <n v="2026"/>
    <s v="HCM"/>
  </r>
  <r>
    <n v="272"/>
    <s v="SA"/>
    <x v="188"/>
    <x v="258"/>
    <s v="TT89243"/>
    <x v="33"/>
    <x v="33"/>
    <x v="112"/>
    <x v="151"/>
    <x v="132"/>
    <d v="2027-06-30T00:00:00"/>
    <x v="5"/>
    <x v="26"/>
    <x v="171"/>
    <m/>
    <s v="số khiếu nại :SCCM-012_x000a_Báo email cho hãng_x000a_Hãng chấp nhận khiếu nại và đền bù cho khách_x000a_--&gt; Hoàn tất"/>
    <s v="yes"/>
    <s v="email"/>
    <x v="7"/>
    <m/>
    <d v="1900-01-07T00:00:00"/>
    <x v="22"/>
    <x v="0"/>
    <x v="87"/>
    <s v="CC_1030826-HCM"/>
    <n v="2026"/>
    <s v="HCM"/>
  </r>
  <r>
    <n v="273"/>
    <s v="SA"/>
    <x v="188"/>
    <x v="259"/>
    <s v="TT89243"/>
    <x v="33"/>
    <x v="33"/>
    <x v="112"/>
    <x v="220"/>
    <x v="123"/>
    <d v="2027-10-31T00:00:00"/>
    <x v="5"/>
    <x v="26"/>
    <x v="237"/>
    <m/>
    <s v="số khiếu nại :SCCM-012_x000a_Báo email cho hãng_x000a_Hãng chấp nhận khiếu nại và đền bù cho khách_x000a_--&gt; Hoàn tất"/>
    <s v="yes"/>
    <s v="email"/>
    <x v="7"/>
    <m/>
    <d v="1900-01-07T00:00:00"/>
    <x v="141"/>
    <x v="0"/>
    <x v="116"/>
    <s v="CC_1040826-HCM"/>
    <n v="2026"/>
    <s v="HCM"/>
  </r>
  <r>
    <n v="274"/>
    <s v="SA"/>
    <x v="188"/>
    <x v="260"/>
    <s v="TT89243"/>
    <x v="33"/>
    <x v="33"/>
    <x v="153"/>
    <x v="221"/>
    <x v="146"/>
    <d v="2028-03-31T00:00:00"/>
    <x v="5"/>
    <x v="26"/>
    <x v="238"/>
    <m/>
    <s v="số khiếu nại :SCCM-012_x000a_Báo email cho hãng_x000a_Hãng chấp nhận khiếu nại và đền bù cho khách_x000a_--&gt; Hoàn tất"/>
    <s v="yes"/>
    <s v="email"/>
    <x v="7"/>
    <m/>
    <d v="1900-01-07T00:00:00"/>
    <x v="155"/>
    <x v="0"/>
    <x v="138"/>
    <s v="CC_1050826-HCM"/>
    <n v="2026"/>
    <s v="HCM"/>
  </r>
  <r>
    <n v="275"/>
    <s v="SA"/>
    <x v="188"/>
    <x v="261"/>
    <s v="TT89243"/>
    <x v="33"/>
    <x v="33"/>
    <x v="95"/>
    <x v="175"/>
    <x v="147"/>
    <d v="2027-01-31T00:00:00"/>
    <x v="5"/>
    <x v="26"/>
    <x v="239"/>
    <m/>
    <s v="số khiếu nại :SCCM-012_x000a_Báo email cho hãng_x000a_Hãng chấp nhận khiếu nại và đền bù cho khách_x000a_--&gt; Hoàn tất"/>
    <s v="yes"/>
    <s v="email"/>
    <x v="7"/>
    <m/>
    <d v="1900-01-07T00:00:00"/>
    <x v="20"/>
    <x v="0"/>
    <x v="99"/>
    <s v="CC_1060826-HCM"/>
    <n v="2026"/>
    <s v="HCM"/>
  </r>
  <r>
    <n v="276"/>
    <s v="AZ"/>
    <x v="189"/>
    <x v="262"/>
    <m/>
    <x v="46"/>
    <x v="45"/>
    <x v="119"/>
    <x v="164"/>
    <x v="148"/>
    <d v="2027-05-03T00:00:00"/>
    <x v="12"/>
    <x v="26"/>
    <x v="240"/>
    <s v="Lỗi không xuất phát từ quá trình bảo quản và vận chuyển của Hoàng Đức"/>
    <s v="Báo email cho hãng (The case ID: QE-294063)"/>
    <s v="yes"/>
    <s v="email"/>
    <x v="11"/>
    <m/>
    <d v="1900-01-07T00:00:00"/>
    <x v="120"/>
    <x v="0"/>
    <x v="139"/>
    <s v="CC_1070826-HN"/>
    <n v="2026"/>
    <s v="HN"/>
  </r>
  <r>
    <n v="277"/>
    <s v="OPELLA"/>
    <x v="190"/>
    <x v="263"/>
    <m/>
    <x v="193"/>
    <x v="189"/>
    <x v="15"/>
    <x v="222"/>
    <x v="149"/>
    <d v="2029-02-03T00:00:00"/>
    <x v="1"/>
    <x v="42"/>
    <x v="241"/>
    <s v="Lỗi không xuất phát từ Hoàng Đức"/>
    <s v="gửi mail báo hãng, đề nghị khách hàng cung cấp thêm chứng cứ chứng minh lỗi xuất phát từ Hoàng Đức_x000a_-&gt; CS trao đổi với khách và khách đồng ý đóng case"/>
    <s v="yes"/>
    <s v="email"/>
    <x v="6"/>
    <m/>
    <d v="1900-01-07T00:00:00"/>
    <x v="156"/>
    <x v="0"/>
    <x v="140"/>
    <s v="CC_1080826-HN"/>
    <n v="2026"/>
    <s v="HN"/>
  </r>
  <r>
    <n v="278"/>
    <s v="OPELLA"/>
    <x v="191"/>
    <x v="264"/>
    <s v="TT90231"/>
    <x v="194"/>
    <x v="150"/>
    <x v="102"/>
    <x v="223"/>
    <x v="150"/>
    <d v="2028-06-18T00:00:00"/>
    <x v="6"/>
    <x v="26"/>
    <x v="242"/>
    <s v="Lỗi không xuất phát từ Hoàng Đức"/>
    <s v="Báo email cho hãng_x000a_Hãng đồng ý đền bù cho khách chẵn hộp; xuất mẫu ngay nhận về văn phòng hãng_x000a_25/08/2026: CS liên hệ thu mẫu, bổ sung các chứng từ liên quan đền bù hàng hoá; nhưng khách báo: BV không trả vỉ thuốc lỗi, BV tự xử lý. --&gt; Hoàn tất; HUỶ KHIẾU NẠI"/>
    <s v="No"/>
    <s v="email"/>
    <x v="3"/>
    <m/>
    <d v="1900-01-07T00:00:00"/>
    <x v="157"/>
    <x v="0"/>
    <x v="141"/>
    <s v="CC_1090826-ĐN-HUY"/>
    <n v="2026"/>
    <s v="ĐN"/>
  </r>
  <r>
    <n v="279"/>
    <s v="OPELLA"/>
    <x v="191"/>
    <x v="265"/>
    <s v="TT91505"/>
    <x v="73"/>
    <x v="190"/>
    <x v="154"/>
    <x v="224"/>
    <x v="151"/>
    <s v=" 29/11/2027"/>
    <x v="1"/>
    <x v="26"/>
    <x v="243"/>
    <s v="Lỗi không xuất phát từ Hoàng Đức"/>
    <s v="Báo email cho hãng_x000a_Hãng đồng ý đền bù cho khách chẵn hộp_x000a_--&gt; Hoàn tất"/>
    <s v="yes"/>
    <s v="email"/>
    <x v="7"/>
    <m/>
    <d v="1900-01-07T00:00:00"/>
    <x v="158"/>
    <x v="0"/>
    <x v="142"/>
    <m/>
    <n v="2026"/>
    <s v="HCM"/>
  </r>
  <r>
    <n v="280"/>
    <s v="SA"/>
    <x v="192"/>
    <x v="266"/>
    <s v="TT91967"/>
    <x v="195"/>
    <x v="191"/>
    <x v="91"/>
    <x v="225"/>
    <x v="152"/>
    <d v="2027-09-30T00:00:00"/>
    <x v="0"/>
    <x v="26"/>
    <x v="244"/>
    <m/>
    <s v="Số khiếu nại : SCCM-016_x000a_Đã báo hãng"/>
    <m/>
    <m/>
    <x v="11"/>
    <m/>
    <d v="1900-01-07T00:00:00"/>
    <x v="63"/>
    <x v="0"/>
    <x v="143"/>
    <m/>
    <n v="2026"/>
    <s v="HCM"/>
  </r>
  <r>
    <n v="281"/>
    <s v="AZ"/>
    <x v="193"/>
    <x v="267"/>
    <s v="TT588"/>
    <x v="196"/>
    <x v="121"/>
    <x v="119"/>
    <x v="226"/>
    <x v="153"/>
    <d v="2027-05-10T00:00:00"/>
    <x v="1"/>
    <x v="26"/>
    <x v="245"/>
    <m/>
    <s v="Số khiếu nại:  QE-296927_x000a_Đã báo hãng_x000a_Đang chờ CS xin thêm hình ảnh lỗi"/>
    <m/>
    <m/>
    <x v="11"/>
    <m/>
    <d v="1900-01-08T00:00:00"/>
    <x v="159"/>
    <x v="0"/>
    <x v="144"/>
    <m/>
    <n v="2026"/>
    <s v="HCM"/>
  </r>
  <r>
    <n v="282"/>
    <s v="MG"/>
    <x v="194"/>
    <x v="268"/>
    <s v="TT1038"/>
    <x v="197"/>
    <x v="192"/>
    <x v="42"/>
    <x v="227"/>
    <x v="40"/>
    <d v="2026-10-01T00:00:00"/>
    <x v="1"/>
    <x v="26"/>
    <x v="246"/>
    <m/>
    <s v="Đã báo mail cho hãng, chờ xác nhận"/>
    <m/>
    <m/>
    <x v="11"/>
    <m/>
    <d v="1900-01-08T00:00:00"/>
    <x v="160"/>
    <x v="0"/>
    <x v="39"/>
    <m/>
    <n v="2026"/>
    <s v="HCM"/>
  </r>
  <r>
    <n v="283"/>
    <s v="RH"/>
    <x v="195"/>
    <x v="269"/>
    <s v="TT1728"/>
    <x v="198"/>
    <x v="193"/>
    <x v="155"/>
    <x v="228"/>
    <x v="154"/>
    <d v="2027-06-30T00:00:00"/>
    <x v="11"/>
    <x v="26"/>
    <x v="247"/>
    <m/>
    <m/>
    <m/>
    <m/>
    <x v="11"/>
    <m/>
    <d v="1900-01-08T00:00:00"/>
    <x v="22"/>
    <x v="0"/>
    <x v="145"/>
    <m/>
    <n v="2026"/>
    <s v="HC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compact="0" compactData="0" multipleFieldFilters="0">
  <location ref="B1:O5" firstHeaderRow="1" firstDataRow="1" firstDataCol="14"/>
  <pivotFields count="27">
    <pivotField compact="0" numFmtId="1"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numFmtId="14" outline="0" showAll="0" defaultSubtotal="0">
      <items count="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7"/>
        <item x="166"/>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s>
      <extLst>
        <ext xmlns:x14="http://schemas.microsoft.com/office/spreadsheetml/2009/9/main" uri="{2946ED86-A175-432a-8AC1-64E0C546D7DE}">
          <x14:pivotField fillDownLabels="1"/>
        </ext>
      </extLst>
    </pivotField>
    <pivotField name="_x000a_NHẬP SỐ KHIẾU NẠI" axis="axisRow" compact="0" outline="0" showAll="0" defaultSubtotal="0">
      <items count="298">
        <item h="1" x="0"/>
        <item h="1" x="1"/>
        <item h="1" x="2"/>
        <item h="1" x="3"/>
        <item h="1" x="4"/>
        <item h="1" x="5"/>
        <item h="1" x="6"/>
        <item h="1" sd="0" x="7"/>
        <item h="1" x="8"/>
        <item h="1" x="9"/>
        <item h="1" x="10"/>
        <item h="1" x="11"/>
        <item h="1" x="12"/>
        <item h="1" x="13"/>
        <item h="1" x="14"/>
        <item h="1" x="15"/>
        <item h="1" x="16"/>
        <item h="1" x="17"/>
        <item h="1" m="1" x="292"/>
        <item h="1" x="19"/>
        <item h="1" x="20"/>
        <item h="1" x="21"/>
        <item h="1" x="22"/>
        <item h="1" x="18"/>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m="1" x="290"/>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61"/>
        <item h="1" x="87"/>
        <item h="1" x="88"/>
        <item h="1" x="89"/>
        <item h="1" x="90"/>
        <item h="1" x="91"/>
        <item h="1" m="1" x="279"/>
        <item h="1" x="93"/>
        <item h="1" x="94"/>
        <item h="1" x="92"/>
        <item h="1" x="95"/>
        <item h="1" x="96"/>
        <item h="1" x="97"/>
        <item h="1" x="98"/>
        <item h="1" x="99"/>
        <item h="1" x="100"/>
        <item h="1" x="101"/>
        <item h="1" x="102"/>
        <item h="1" x="103"/>
        <item h="1" x="104"/>
        <item h="1" x="105"/>
        <item h="1" m="1" x="295"/>
        <item h="1" x="107"/>
        <item h="1" x="108"/>
        <item h="1" m="1" x="274"/>
        <item h="1" x="110"/>
        <item h="1" x="109"/>
        <item h="1" x="106"/>
        <item h="1" x="111"/>
        <item h="1" x="112"/>
        <item h="1" x="113"/>
        <item h="1" x="114"/>
        <item h="1" x="115"/>
        <item h="1" x="116"/>
        <item h="1" x="117"/>
        <item h="1" x="118"/>
        <item h="1" x="119"/>
        <item h="1" x="120"/>
        <item h="1" x="121"/>
        <item h="1" x="122"/>
        <item h="1" x="123"/>
        <item h="1" m="1" x="270"/>
        <item h="1" x="124"/>
        <item h="1" x="125"/>
        <item h="1" x="126"/>
        <item h="1" x="127"/>
        <item h="1" x="128"/>
        <item h="1" x="129"/>
        <item h="1" x="130"/>
        <item h="1" x="131"/>
        <item h="1" x="132"/>
        <item h="1" x="133"/>
        <item h="1" x="134"/>
        <item h="1" x="135"/>
        <item h="1" x="136"/>
        <item h="1" x="137"/>
        <item h="1" m="1" x="271"/>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m="1" x="297"/>
        <item h="1" x="171"/>
        <item h="1" x="172"/>
        <item h="1" x="173"/>
        <item h="1" x="174"/>
        <item h="1" x="175"/>
        <item h="1" x="176"/>
        <item h="1" x="177"/>
        <item h="1" x="178"/>
        <item h="1" m="1" x="275"/>
        <item h="1" x="180"/>
        <item h="1" x="181"/>
        <item h="1" m="1" x="289"/>
        <item h="1" x="183"/>
        <item h="1" x="182"/>
        <item h="1" x="184"/>
        <item h="1" x="185"/>
        <item h="1" x="186"/>
        <item h="1" x="187"/>
        <item h="1" x="188"/>
        <item h="1" x="189"/>
        <item h="1" x="190"/>
        <item h="1" x="179"/>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m="1" x="278"/>
        <item h="1" x="214"/>
        <item h="1" x="170"/>
        <item h="1" x="213"/>
        <item h="1" x="215"/>
        <item h="1" x="216"/>
        <item h="1" m="1" x="285"/>
        <item h="1" x="218"/>
        <item h="1" x="219"/>
        <item h="1" x="220"/>
        <item h="1" m="1" x="286"/>
        <item h="1" x="222"/>
        <item h="1" m="1" x="288"/>
        <item h="1" m="1" x="283"/>
        <item h="1" m="1" x="293"/>
        <item h="1" m="1" x="287"/>
        <item h="1" x="227"/>
        <item h="1" x="228"/>
        <item h="1" m="1" x="291"/>
        <item h="1" x="230"/>
        <item h="1" x="231"/>
        <item h="1" x="232"/>
        <item h="1" x="229"/>
        <item h="1" m="1" x="284"/>
        <item h="1" x="234"/>
        <item h="1" x="235"/>
        <item h="1" x="236"/>
        <item h="1" m="1" x="273"/>
        <item h="1" x="238"/>
        <item h="1" x="233"/>
        <item h="1" x="239"/>
        <item h="1" x="240"/>
        <item h="1" x="241"/>
        <item h="1" x="217"/>
        <item h="1" x="221"/>
        <item h="1" x="242"/>
        <item h="1" x="243"/>
        <item h="1" m="1" x="272"/>
        <item h="1" m="1" x="280"/>
        <item h="1" m="1" x="296"/>
        <item h="1" x="246"/>
        <item h="1" x="247"/>
        <item h="1" m="1" x="276"/>
        <item h="1" x="244"/>
        <item h="1" m="1" x="294"/>
        <item h="1" x="249"/>
        <item h="1" x="250"/>
        <item h="1" m="1" x="281"/>
        <item h="1" m="1" x="277"/>
        <item h="1" x="248"/>
        <item h="1" x="251"/>
        <item h="1" x="252"/>
        <item h="1" x="253"/>
        <item h="1" x="254"/>
        <item h="1" x="255"/>
        <item h="1" x="256"/>
        <item h="1" x="257"/>
        <item h="1" x="258"/>
        <item h="1" x="259"/>
        <item h="1" x="260"/>
        <item h="1" x="261"/>
        <item h="1" x="223"/>
        <item h="1" x="224"/>
        <item h="1" x="225"/>
        <item h="1" x="226"/>
        <item h="1" x="237"/>
        <item h="1" x="245"/>
        <item h="1" x="262"/>
        <item h="1" x="263"/>
        <item h="1" m="1" x="282"/>
        <item h="1" x="265"/>
        <item h="1" x="264"/>
        <item x="266"/>
        <item x="267"/>
        <item x="268"/>
        <item x="26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08">
        <item x="15"/>
        <item x="6"/>
        <item x="5"/>
        <item x="1"/>
        <item x="3"/>
        <item x="8"/>
        <item x="10"/>
        <item x="0"/>
        <item x="9"/>
        <item x="11"/>
        <item x="14"/>
        <item x="4"/>
        <item x="16"/>
        <item x="12"/>
        <item x="2"/>
        <item x="7"/>
        <item x="13"/>
        <item x="17"/>
        <item x="18"/>
        <item x="19"/>
        <item x="20"/>
        <item x="21"/>
        <item x="22"/>
        <item x="23"/>
        <item x="24"/>
        <item x="25"/>
        <item x="26"/>
        <item x="27"/>
        <item x="28"/>
        <item x="29"/>
        <item x="30"/>
        <item x="31"/>
        <item x="32"/>
        <item x="33"/>
        <item x="34"/>
        <item x="35"/>
        <item x="36"/>
        <item x="37"/>
        <item x="38"/>
        <item m="1" x="202"/>
        <item x="39"/>
        <item x="40"/>
        <item x="41"/>
        <item x="42"/>
        <item x="43"/>
        <item x="44"/>
        <item x="45"/>
        <item m="1" x="199"/>
        <item x="47"/>
        <item x="48"/>
        <item x="49"/>
        <item x="50"/>
        <item x="46"/>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92"/>
        <item x="102"/>
        <item x="103"/>
        <item x="104"/>
        <item x="105"/>
        <item x="106"/>
        <item x="107"/>
        <item x="108"/>
        <item x="109"/>
        <item x="110"/>
        <item x="111"/>
        <item x="112"/>
        <item x="113"/>
        <item x="114"/>
        <item x="115"/>
        <item x="116"/>
        <item x="117"/>
        <item x="101"/>
        <item x="118"/>
        <item x="119"/>
        <item x="120"/>
        <item x="121"/>
        <item x="122"/>
        <item x="123"/>
        <item x="124"/>
        <item m="1" x="205"/>
        <item x="126"/>
        <item x="125"/>
        <item x="127"/>
        <item x="128"/>
        <item x="129"/>
        <item x="130"/>
        <item m="1" x="203"/>
        <item x="131"/>
        <item x="132"/>
        <item x="133"/>
        <item x="134"/>
        <item x="135"/>
        <item x="136"/>
        <item x="137"/>
        <item x="138"/>
        <item x="139"/>
        <item x="140"/>
        <item x="141"/>
        <item x="142"/>
        <item x="143"/>
        <item x="144"/>
        <item x="145"/>
        <item x="146"/>
        <item x="147"/>
        <item x="148"/>
        <item x="149"/>
        <item x="150"/>
        <item m="1" x="204"/>
        <item x="151"/>
        <item x="152"/>
        <item x="153"/>
        <item x="154"/>
        <item x="155"/>
        <item x="156"/>
        <item x="157"/>
        <item x="158"/>
        <item x="159"/>
        <item x="160"/>
        <item m="1" x="206"/>
        <item x="161"/>
        <item x="162"/>
        <item x="163"/>
        <item x="164"/>
        <item x="165"/>
        <item x="166"/>
        <item x="167"/>
        <item x="168"/>
        <item x="170"/>
        <item x="169"/>
        <item x="171"/>
        <item x="172"/>
        <item x="173"/>
        <item x="174"/>
        <item x="175"/>
        <item x="176"/>
        <item x="177"/>
        <item m="1" x="200"/>
        <item x="179"/>
        <item x="180"/>
        <item x="181"/>
        <item x="178"/>
        <item x="182"/>
        <item x="183"/>
        <item m="1" x="201"/>
        <item x="184"/>
        <item x="185"/>
        <item x="186"/>
        <item x="187"/>
        <item m="1" x="207"/>
        <item x="188"/>
        <item x="189"/>
        <item x="190"/>
        <item x="191"/>
        <item x="193"/>
        <item x="194"/>
        <item x="195"/>
        <item x="196"/>
        <item x="197"/>
        <item x="198"/>
      </items>
      <extLst>
        <ext xmlns:x14="http://schemas.microsoft.com/office/spreadsheetml/2009/9/main" uri="{2946ED86-A175-432a-8AC1-64E0C546D7DE}">
          <x14:pivotField fillDownLabels="1"/>
        </ext>
      </extLst>
    </pivotField>
    <pivotField axis="axisRow" compact="0" outline="0" showAll="0" defaultSubtotal="0">
      <items count="196">
        <item x="20"/>
        <item x="25"/>
        <item x="30"/>
        <item x="3"/>
        <item x="10"/>
        <item x="1"/>
        <item x="36"/>
        <item x="42"/>
        <item x="26"/>
        <item x="16"/>
        <item x="9"/>
        <item x="41"/>
        <item x="32"/>
        <item x="22"/>
        <item x="28"/>
        <item x="40"/>
        <item x="37"/>
        <item x="44"/>
        <item x="49"/>
        <item x="18"/>
        <item x="12"/>
        <item x="7"/>
        <item x="48"/>
        <item x="24"/>
        <item x="4"/>
        <item x="13"/>
        <item x="35"/>
        <item x="8"/>
        <item x="0"/>
        <item x="6"/>
        <item x="23"/>
        <item x="14"/>
        <item x="33"/>
        <item x="27"/>
        <item x="39"/>
        <item x="2"/>
        <item x="43"/>
        <item x="38"/>
        <item x="5"/>
        <item x="19"/>
        <item x="21"/>
        <item x="29"/>
        <item x="15"/>
        <item x="46"/>
        <item x="34"/>
        <item x="17"/>
        <item x="47"/>
        <item x="11"/>
        <item x="31"/>
        <item m="1" x="194"/>
        <item x="45"/>
        <item x="50"/>
        <item x="51"/>
        <item x="52"/>
        <item x="53"/>
        <item x="54"/>
        <item x="55"/>
        <item x="56"/>
        <item x="57"/>
        <item x="58"/>
        <item x="59"/>
        <item x="60"/>
        <item x="61"/>
        <item x="62"/>
        <item x="63"/>
        <item x="64"/>
        <item m="1" x="195"/>
        <item x="66"/>
        <item x="67"/>
        <item x="68"/>
        <item x="65"/>
        <item x="69"/>
        <item x="70"/>
        <item x="71"/>
        <item x="72"/>
        <item x="73"/>
        <item x="74"/>
        <item x="75"/>
        <item x="76"/>
        <item x="77"/>
        <item x="78"/>
        <item x="79"/>
        <item x="80"/>
        <item x="81"/>
        <item x="82"/>
        <item x="83"/>
        <item x="84"/>
        <item x="85"/>
        <item x="86"/>
        <item x="87"/>
        <item x="88"/>
        <item x="89"/>
        <item x="90"/>
        <item x="93"/>
        <item x="94"/>
        <item x="91"/>
        <item x="92"/>
        <item x="95"/>
        <item x="96"/>
        <item x="97"/>
        <item x="98"/>
        <item x="99"/>
        <item x="100"/>
        <item x="101"/>
        <item x="102"/>
        <item x="103"/>
        <item x="104"/>
        <item x="105"/>
        <item x="106"/>
        <item x="107"/>
        <item x="109"/>
        <item x="110"/>
        <item x="111"/>
        <item x="112"/>
        <item x="113"/>
        <item x="108"/>
        <item x="114"/>
        <item x="115"/>
        <item x="116"/>
        <item x="117"/>
        <item x="118"/>
        <item x="119"/>
        <item x="120"/>
        <item x="121"/>
        <item x="122"/>
        <item x="123"/>
        <item x="124"/>
        <item x="125"/>
        <item x="126"/>
        <item x="127"/>
        <item x="128"/>
        <item x="129"/>
        <item x="130"/>
        <item x="131"/>
        <item x="132"/>
        <item x="133"/>
        <item x="134"/>
        <item x="135"/>
        <item x="138"/>
        <item x="136"/>
        <item x="137"/>
        <item x="139"/>
        <item x="140"/>
        <item x="141"/>
        <item x="142"/>
        <item x="143"/>
        <item x="144"/>
        <item x="145"/>
        <item x="146"/>
        <item x="147"/>
        <item x="148"/>
        <item x="149"/>
        <item x="150"/>
        <item x="151"/>
        <item x="152"/>
        <item x="153"/>
        <item x="154"/>
        <item x="155"/>
        <item x="156"/>
        <item x="158"/>
        <item x="159"/>
        <item x="160"/>
        <item x="161"/>
        <item x="162"/>
        <item x="163"/>
        <item x="164"/>
        <item x="165"/>
        <item x="167"/>
        <item x="166"/>
        <item x="168"/>
        <item x="169"/>
        <item x="157"/>
        <item x="170"/>
        <item x="171"/>
        <item x="172"/>
        <item x="173"/>
        <item x="174"/>
        <item x="175"/>
        <item x="177"/>
        <item x="176"/>
        <item x="178"/>
        <item x="179"/>
        <item x="180"/>
        <item x="181"/>
        <item x="182"/>
        <item x="183"/>
        <item x="184"/>
        <item x="185"/>
        <item x="186"/>
        <item x="187"/>
        <item x="188"/>
        <item x="189"/>
        <item x="190"/>
        <item x="191"/>
        <item x="192"/>
        <item x="193"/>
      </items>
      <extLst>
        <ext xmlns:x14="http://schemas.microsoft.com/office/spreadsheetml/2009/9/main" uri="{2946ED86-A175-432a-8AC1-64E0C546D7DE}">
          <x14:pivotField fillDownLabels="1"/>
        </ext>
      </extLst>
    </pivotField>
    <pivotField axis="axisRow" compact="0" outline="0" showAll="0" defaultSubtotal="0">
      <items count="163">
        <item x="13"/>
        <item x="10"/>
        <item x="1"/>
        <item x="4"/>
        <item x="14"/>
        <item x="2"/>
        <item x="11"/>
        <item x="5"/>
        <item x="3"/>
        <item x="6"/>
        <item x="12"/>
        <item x="8"/>
        <item x="0"/>
        <item x="9"/>
        <item x="7"/>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m="1" x="157"/>
        <item x="49"/>
        <item x="50"/>
        <item x="51"/>
        <item x="52"/>
        <item x="53"/>
        <item x="54"/>
        <item x="55"/>
        <item x="56"/>
        <item x="57"/>
        <item x="58"/>
        <item x="59"/>
        <item x="60"/>
        <item x="61"/>
        <item x="62"/>
        <item x="63"/>
        <item m="1" x="159"/>
        <item x="64"/>
        <item x="65"/>
        <item x="66"/>
        <item x="67"/>
        <item x="68"/>
        <item x="69"/>
        <item x="70"/>
        <item x="71"/>
        <item x="72"/>
        <item x="73"/>
        <item x="74"/>
        <item x="75"/>
        <item x="76"/>
        <item x="77"/>
        <item x="78"/>
        <item x="79"/>
        <item x="80"/>
        <item x="81"/>
        <item x="82"/>
        <item x="83"/>
        <item x="84"/>
        <item x="85"/>
        <item x="86"/>
        <item x="87"/>
        <item x="88"/>
        <item m="1" x="162"/>
        <item x="89"/>
        <item x="90"/>
        <item x="91"/>
        <item x="92"/>
        <item x="93"/>
        <item x="94"/>
        <item x="95"/>
        <item x="96"/>
        <item x="97"/>
        <item x="98"/>
        <item x="99"/>
        <item x="100"/>
        <item x="101"/>
        <item x="102"/>
        <item x="103"/>
        <item x="104"/>
        <item x="105"/>
        <item x="106"/>
        <item x="107"/>
        <item x="108"/>
        <item x="109"/>
        <item x="110"/>
        <item x="111"/>
        <item x="112"/>
        <item m="1" x="158"/>
        <item x="113"/>
        <item x="114"/>
        <item x="115"/>
        <item m="1" x="156"/>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m="1" x="161"/>
        <item x="144"/>
        <item x="145"/>
        <item x="146"/>
        <item x="147"/>
        <item m="1" x="160"/>
        <item x="148"/>
        <item x="149"/>
        <item x="150"/>
        <item x="151"/>
        <item x="152"/>
        <item x="153"/>
        <item x="154"/>
        <item x="155"/>
      </items>
      <extLst>
        <ext xmlns:x14="http://schemas.microsoft.com/office/spreadsheetml/2009/9/main" uri="{2946ED86-A175-432a-8AC1-64E0C546D7DE}">
          <x14:pivotField fillDownLabels="1"/>
        </ext>
      </extLst>
    </pivotField>
    <pivotField axis="axisRow" compact="0" outline="0" showAll="0" defaultSubtotal="0">
      <items count="230">
        <item x="10"/>
        <item x="14"/>
        <item x="13"/>
        <item x="8"/>
        <item x="0"/>
        <item x="5"/>
        <item x="2"/>
        <item x="7"/>
        <item x="4"/>
        <item x="18"/>
        <item x="6"/>
        <item x="3"/>
        <item x="1"/>
        <item x="9"/>
        <item x="12"/>
        <item x="11"/>
        <item x="20"/>
        <item x="21"/>
        <item x="15"/>
        <item x="16"/>
        <item x="19"/>
        <item x="22"/>
        <item x="23"/>
        <item m="1" x="229"/>
        <item x="17"/>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7"/>
        <item x="59"/>
        <item x="60"/>
        <item x="61"/>
        <item x="56"/>
        <item x="58"/>
        <item x="62"/>
        <item x="63"/>
        <item x="64"/>
        <item x="65"/>
        <item x="66"/>
        <item x="67"/>
        <item x="68"/>
        <item x="69"/>
        <item x="70"/>
        <item x="71"/>
        <item x="72"/>
        <item x="73"/>
        <item x="74"/>
        <item x="75"/>
        <item x="76"/>
        <item x="77"/>
        <item x="78"/>
        <item x="79"/>
        <item x="80"/>
        <item x="81"/>
        <item x="82"/>
        <item x="83"/>
        <item x="84"/>
        <item x="85"/>
        <item x="86"/>
        <item x="87"/>
        <item x="88"/>
        <item x="89"/>
        <item x="91"/>
        <item x="92"/>
        <item x="93"/>
        <item x="90"/>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7"/>
        <item x="135"/>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7"/>
        <item x="196"/>
        <item x="198"/>
        <item x="199"/>
        <item x="200"/>
        <item x="201"/>
        <item x="202"/>
        <item x="203"/>
        <item x="204"/>
        <item x="205"/>
        <item x="206"/>
        <item x="208"/>
        <item x="207"/>
        <item x="209"/>
        <item x="210"/>
        <item x="211"/>
        <item x="212"/>
        <item x="213"/>
        <item x="214"/>
        <item x="215"/>
        <item x="216"/>
        <item x="217"/>
        <item x="218"/>
        <item x="219"/>
        <item x="220"/>
        <item x="221"/>
        <item x="222"/>
        <item x="223"/>
        <item x="224"/>
        <item x="225"/>
        <item x="226"/>
        <item x="227"/>
        <item x="228"/>
      </items>
      <extLst>
        <ext xmlns:x14="http://schemas.microsoft.com/office/spreadsheetml/2009/9/main" uri="{2946ED86-A175-432a-8AC1-64E0C546D7DE}">
          <x14:pivotField fillDownLabels="1"/>
        </ext>
      </extLst>
    </pivotField>
    <pivotField axis="axisRow" compact="0" outline="0" showAll="0" defaultSubtotal="0">
      <items count="158">
        <item x="5"/>
        <item x="7"/>
        <item x="2"/>
        <item x="6"/>
        <item x="4"/>
        <item x="1"/>
        <item x="3"/>
        <item x="41"/>
        <item x="49"/>
        <item x="31"/>
        <item x="30"/>
        <item x="11"/>
        <item x="17"/>
        <item x="56"/>
        <item x="0"/>
        <item x="14"/>
        <item x="32"/>
        <item x="22"/>
        <item x="23"/>
        <item x="45"/>
        <item x="20"/>
        <item x="28"/>
        <item x="27"/>
        <item x="19"/>
        <item x="21"/>
        <item x="12"/>
        <item x="10"/>
        <item x="29"/>
        <item x="35"/>
        <item x="16"/>
        <item x="13"/>
        <item x="44"/>
        <item x="52"/>
        <item x="9"/>
        <item x="34"/>
        <item x="33"/>
        <item x="60"/>
        <item x="26"/>
        <item x="46"/>
        <item x="15"/>
        <item x="38"/>
        <item x="8"/>
        <item x="36"/>
        <item x="59"/>
        <item x="24"/>
        <item x="62"/>
        <item x="47"/>
        <item x="48"/>
        <item x="57"/>
        <item x="43"/>
        <item x="40"/>
        <item x="54"/>
        <item x="55"/>
        <item x="18"/>
        <item x="42"/>
        <item x="39"/>
        <item x="37"/>
        <item x="25"/>
        <item x="53"/>
        <item x="50"/>
        <item x="51"/>
        <item x="61"/>
        <item x="63"/>
        <item x="58"/>
        <item x="64"/>
        <item x="65"/>
        <item x="66"/>
        <item x="67"/>
        <item x="68"/>
        <item x="69"/>
        <item x="70"/>
        <item x="71"/>
        <item x="72"/>
        <item x="73"/>
        <item x="74"/>
        <item x="75"/>
        <item x="76"/>
        <item x="77"/>
        <item x="78"/>
        <item x="79"/>
        <item x="80"/>
        <item m="1" x="156"/>
        <item m="1" x="157"/>
        <item x="85"/>
        <item x="81"/>
        <item x="82"/>
        <item x="83"/>
        <item x="84"/>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7"/>
        <item x="120"/>
        <item x="121"/>
        <item x="122"/>
        <item x="123"/>
        <item m="1" x="155"/>
        <item x="116"/>
        <item x="127"/>
        <item x="128"/>
        <item x="129"/>
        <item x="130"/>
        <item x="131"/>
        <item x="132"/>
        <item x="133"/>
        <item x="118"/>
        <item x="119"/>
        <item x="124"/>
        <item x="125"/>
        <item x="126"/>
        <item x="134"/>
        <item x="135"/>
        <item x="136"/>
        <item x="137"/>
        <item x="138"/>
        <item x="139"/>
        <item x="140"/>
        <item x="141"/>
        <item x="142"/>
        <item x="143"/>
        <item x="144"/>
        <item x="145"/>
        <item x="146"/>
        <item x="147"/>
        <item x="148"/>
        <item x="149"/>
        <item x="150"/>
        <item x="151"/>
        <item x="152"/>
        <item x="153"/>
        <item x="15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0"/>
        <item x="1"/>
        <item x="2"/>
        <item x="5"/>
        <item x="4"/>
        <item x="3"/>
        <item x="7"/>
        <item x="6"/>
        <item x="10"/>
        <item x="8"/>
        <item x="9"/>
        <item x="11"/>
        <item x="12"/>
      </items>
      <extLst>
        <ext xmlns:x14="http://schemas.microsoft.com/office/spreadsheetml/2009/9/main" uri="{2946ED86-A175-432a-8AC1-64E0C546D7DE}">
          <x14:pivotField fillDownLabels="1"/>
        </ext>
      </extLst>
    </pivotField>
    <pivotField axis="axisRow" compact="0" outline="0" showAll="0" defaultSubtotal="0">
      <items count="45">
        <item x="0"/>
        <item x="3"/>
        <item m="1" x="44"/>
        <item x="1"/>
        <item x="2"/>
        <item x="5"/>
        <item x="4"/>
        <item x="8"/>
        <item x="6"/>
        <item x="7"/>
        <item x="9"/>
        <item x="10"/>
        <item m="1" x="43"/>
        <item x="19"/>
        <item x="11"/>
        <item x="13"/>
        <item x="14"/>
        <item x="15"/>
        <item x="16"/>
        <item x="12"/>
        <item x="17"/>
        <item x="18"/>
        <item x="20"/>
        <item x="21"/>
        <item x="22"/>
        <item x="23"/>
        <item x="24"/>
        <item x="25"/>
        <item x="26"/>
        <item x="27"/>
        <item x="28"/>
        <item x="29"/>
        <item x="30"/>
        <item x="31"/>
        <item x="33"/>
        <item x="32"/>
        <item x="34"/>
        <item x="35"/>
        <item x="36"/>
        <item x="37"/>
        <item x="38"/>
        <item x="39"/>
        <item x="40"/>
        <item x="41"/>
        <item x="42"/>
      </items>
      <extLst>
        <ext xmlns:x14="http://schemas.microsoft.com/office/spreadsheetml/2009/9/main" uri="{2946ED86-A175-432a-8AC1-64E0C546D7DE}">
          <x14:pivotField fillDownLabels="1"/>
        </ext>
      </extLst>
    </pivotField>
    <pivotField axis="axisRow" compact="0" outline="0" showAll="0" defaultSubtotal="0">
      <items count="255">
        <item x="2"/>
        <item x="48"/>
        <item x="49"/>
        <item x="57"/>
        <item x="27"/>
        <item x="5"/>
        <item x="38"/>
        <item x="28"/>
        <item x="11"/>
        <item x="60"/>
        <item x="12"/>
        <item x="22"/>
        <item x="24"/>
        <item x="33"/>
        <item x="59"/>
        <item x="37"/>
        <item x="55"/>
        <item x="42"/>
        <item x="26"/>
        <item x="46"/>
        <item x="17"/>
        <item x="6"/>
        <item x="43"/>
        <item x="30"/>
        <item x="34"/>
        <item x="54"/>
        <item x="45"/>
        <item x="51"/>
        <item x="16"/>
        <item x="36"/>
        <item x="53"/>
        <item x="23"/>
        <item x="31"/>
        <item x="52"/>
        <item x="18"/>
        <item x="47"/>
        <item x="50"/>
        <item x="29"/>
        <item x="9"/>
        <item x="4"/>
        <item x="19"/>
        <item x="35"/>
        <item x="20"/>
        <item x="15"/>
        <item x="61"/>
        <item x="0"/>
        <item x="56"/>
        <item x="3"/>
        <item x="41"/>
        <item x="1"/>
        <item x="25"/>
        <item x="39"/>
        <item x="14"/>
        <item x="40"/>
        <item x="10"/>
        <item x="21"/>
        <item x="13"/>
        <item x="32"/>
        <item x="8"/>
        <item x="7"/>
        <item x="44"/>
        <item m="1" x="248"/>
        <item x="58"/>
        <item x="62"/>
        <item x="63"/>
        <item x="64"/>
        <item x="65"/>
        <item x="66"/>
        <item m="1" x="251"/>
        <item x="68"/>
        <item x="69"/>
        <item x="70"/>
        <item x="71"/>
        <item x="72"/>
        <item x="73"/>
        <item x="74"/>
        <item x="75"/>
        <item x="76"/>
        <item x="77"/>
        <item x="78"/>
        <item x="79"/>
        <item x="80"/>
        <item x="81"/>
        <item x="82"/>
        <item x="83"/>
        <item x="84"/>
        <item x="85"/>
        <item x="86"/>
        <item x="87"/>
        <item x="88"/>
        <item x="89"/>
        <item x="90"/>
        <item x="91"/>
        <item x="92"/>
        <item x="93"/>
        <item x="94"/>
        <item x="95"/>
        <item x="96"/>
        <item m="1" x="249"/>
        <item x="98"/>
        <item x="99"/>
        <item x="100"/>
        <item x="101"/>
        <item x="102"/>
        <item x="97"/>
        <item x="103"/>
        <item x="104"/>
        <item x="105"/>
        <item x="106"/>
        <item x="107"/>
        <item x="108"/>
        <item m="1" x="253"/>
        <item x="110"/>
        <item x="111"/>
        <item x="113"/>
        <item x="114"/>
        <item x="67"/>
        <item x="112"/>
        <item x="115"/>
        <item x="116"/>
        <item x="109"/>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7"/>
        <item x="148"/>
        <item x="146"/>
        <item x="149"/>
        <item x="150"/>
        <item x="151"/>
        <item x="152"/>
        <item x="153"/>
        <item x="154"/>
        <item x="155"/>
        <item x="156"/>
        <item x="157"/>
        <item x="158"/>
        <item x="159"/>
        <item x="160"/>
        <item x="161"/>
        <item x="162"/>
        <item x="163"/>
        <item x="164"/>
        <item x="165"/>
        <item x="166"/>
        <item x="167"/>
        <item m="1" x="252"/>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m="1" x="254"/>
        <item x="199"/>
        <item x="200"/>
        <item x="201"/>
        <item x="198"/>
        <item x="202"/>
        <item x="203"/>
        <item x="204"/>
        <item x="205"/>
        <item x="206"/>
        <item x="207"/>
        <item x="208"/>
        <item x="209"/>
        <item x="210"/>
        <item x="211"/>
        <item x="212"/>
        <item x="213"/>
        <item x="214"/>
        <item x="215"/>
        <item m="1" x="250"/>
        <item x="217"/>
        <item x="218"/>
        <item x="219"/>
        <item x="216"/>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3"/>
        <item x="2"/>
        <item x="11"/>
        <item x="0"/>
        <item x="9"/>
        <item x="1"/>
        <item x="5"/>
        <item x="4"/>
        <item x="6"/>
        <item x="8"/>
        <item x="7"/>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5">
        <item x="4"/>
        <item x="1"/>
        <item x="14"/>
        <item x="13"/>
        <item x="10"/>
        <item x="8"/>
        <item x="5"/>
        <item x="2"/>
        <item x="7"/>
        <item x="12"/>
        <item x="11"/>
        <item x="0"/>
        <item x="9"/>
        <item x="17"/>
        <item x="3"/>
        <item x="71"/>
        <item x="6"/>
        <item x="19"/>
        <item x="20"/>
        <item x="15"/>
        <item x="16"/>
        <item x="18"/>
        <item x="21"/>
        <item x="22"/>
        <item x="23"/>
        <item x="24"/>
        <item x="25"/>
        <item x="26"/>
        <item x="27"/>
        <item x="28"/>
        <item x="29"/>
        <item x="30"/>
        <item x="31"/>
        <item x="32"/>
        <item x="33"/>
        <item x="34"/>
        <item x="35"/>
        <item x="36"/>
        <item x="37"/>
        <item x="38"/>
        <item x="39"/>
        <item x="40"/>
        <item x="41"/>
        <item x="42"/>
        <item x="43"/>
        <item x="44"/>
        <item x="45"/>
        <item x="46"/>
        <item x="48"/>
        <item x="49"/>
        <item x="47"/>
        <item x="50"/>
        <item x="51"/>
        <item x="52"/>
        <item x="53"/>
        <item x="54"/>
        <item x="55"/>
        <item x="56"/>
        <item x="57"/>
        <item x="58"/>
        <item x="59"/>
        <item x="60"/>
        <item x="61"/>
        <item x="62"/>
        <item x="63"/>
        <item x="64"/>
        <item x="65"/>
        <item x="66"/>
        <item x="67"/>
        <item x="68"/>
        <item x="69"/>
        <item x="70"/>
        <item x="72"/>
        <item x="73"/>
        <item x="74"/>
        <item x="75"/>
        <item x="76"/>
        <item x="77"/>
        <item x="78"/>
        <item x="79"/>
        <item x="80"/>
        <item x="81"/>
        <item x="82"/>
        <item x="83"/>
        <item x="84"/>
        <item x="85"/>
        <item x="86"/>
        <item x="87"/>
        <item x="88"/>
        <item x="89"/>
        <item x="90"/>
        <item x="91"/>
        <item x="92"/>
        <item x="93"/>
        <item x="94"/>
        <item x="95"/>
        <item x="96"/>
        <item x="97"/>
        <item x="98"/>
        <item x="99"/>
        <item x="100"/>
        <item m="1" x="162"/>
        <item x="101"/>
        <item m="1" x="164"/>
        <item m="1" x="161"/>
        <item x="102"/>
        <item x="105"/>
        <item x="107"/>
        <item x="108"/>
        <item x="109"/>
        <item x="106"/>
        <item x="110"/>
        <item x="103"/>
        <item x="104"/>
        <item x="111"/>
        <item x="112"/>
        <item x="113"/>
        <item x="114"/>
        <item x="115"/>
        <item x="116"/>
        <item x="117"/>
        <item x="118"/>
        <item x="119"/>
        <item x="120"/>
        <item x="121"/>
        <item x="122"/>
        <item x="123"/>
        <item m="1" x="163"/>
        <item x="124"/>
        <item x="125"/>
        <item x="126"/>
        <item x="127"/>
        <item x="128"/>
        <item x="129"/>
        <item x="130"/>
        <item x="131"/>
        <item x="132"/>
        <item x="133"/>
        <item x="134"/>
        <item x="135"/>
        <item x="136"/>
        <item x="137"/>
        <item x="138"/>
        <item x="139"/>
        <item x="141"/>
        <item x="140"/>
        <item x="142"/>
        <item x="143"/>
        <item x="145"/>
        <item x="144"/>
        <item x="146"/>
        <item x="147"/>
        <item x="148"/>
        <item x="149"/>
        <item x="150"/>
        <item x="151"/>
        <item x="152"/>
        <item x="153"/>
        <item x="154"/>
        <item x="155"/>
        <item x="156"/>
        <item x="157"/>
        <item x="158"/>
        <item x="159"/>
        <item x="160"/>
      </items>
      <extLst>
        <ext xmlns:x14="http://schemas.microsoft.com/office/spreadsheetml/2009/9/main" uri="{2946ED86-A175-432a-8AC1-64E0C546D7DE}">
          <x14:pivotField fillDownLabels="1"/>
        </ext>
      </extLst>
    </pivotField>
    <pivotField axis="axisRow" compact="0" outline="0" showAll="0" defaultSubtotal="0">
      <items count="29">
        <item m="1" x="28"/>
        <item m="1" x="27"/>
        <item x="0"/>
        <item x="3"/>
        <item x="1"/>
        <item x="4"/>
        <item x="6"/>
        <item x="5"/>
        <item x="2"/>
        <item x="8"/>
        <item x="7"/>
        <item x="9"/>
        <item x="10"/>
        <item x="12"/>
        <item x="13"/>
        <item m="1" x="26"/>
        <item x="11"/>
        <item x="14"/>
        <item m="1" x="25"/>
        <item x="15"/>
        <item x="16"/>
        <item x="17"/>
        <item x="18"/>
        <item x="19"/>
        <item x="20"/>
        <item x="21"/>
        <item x="23"/>
        <item x="22"/>
        <item x="24"/>
      </items>
      <extLst>
        <ext xmlns:x14="http://schemas.microsoft.com/office/spreadsheetml/2009/9/main" uri="{2946ED86-A175-432a-8AC1-64E0C546D7DE}">
          <x14:pivotField fillDownLabels="1"/>
        </ext>
      </extLst>
    </pivotField>
    <pivotField axis="axisRow" compact="0" outline="0" showAll="0" defaultSubtotal="0">
      <items count="155">
        <item x="74"/>
        <item x="67"/>
        <item x="2"/>
        <item x="47"/>
        <item x="30"/>
        <item x="29"/>
        <item x="66"/>
        <item x="64"/>
        <item x="11"/>
        <item x="16"/>
        <item x="54"/>
        <item x="10"/>
        <item x="63"/>
        <item x="70"/>
        <item x="50"/>
        <item x="48"/>
        <item x="31"/>
        <item x="39"/>
        <item x="62"/>
        <item x="14"/>
        <item x="22"/>
        <item x="8"/>
        <item x="55"/>
        <item x="9"/>
        <item x="34"/>
        <item x="60"/>
        <item x="5"/>
        <item x="43"/>
        <item x="33"/>
        <item x="28"/>
        <item x="27"/>
        <item x="35"/>
        <item x="17"/>
        <item x="51"/>
        <item x="7"/>
        <item x="58"/>
        <item x="59"/>
        <item x="32"/>
        <item x="25"/>
        <item x="57"/>
        <item x="45"/>
        <item x="40"/>
        <item x="61"/>
        <item x="73"/>
        <item x="65"/>
        <item x="49"/>
        <item x="26"/>
        <item x="46"/>
        <item x="68"/>
        <item x="21"/>
        <item x="76"/>
        <item x="52"/>
        <item x="44"/>
        <item x="13"/>
        <item x="36"/>
        <item x="12"/>
        <item x="71"/>
        <item x="24"/>
        <item x="69"/>
        <item x="19"/>
        <item x="38"/>
        <item x="18"/>
        <item x="72"/>
        <item x="15"/>
        <item x="23"/>
        <item x="37"/>
        <item x="75"/>
        <item x="4"/>
        <item x="53"/>
        <item x="6"/>
        <item x="1"/>
        <item x="41"/>
        <item x="42"/>
        <item x="20"/>
        <item x="3"/>
        <item x="56"/>
        <item x="0"/>
        <item x="77"/>
        <item x="78"/>
        <item m="1" x="153"/>
        <item m="1" x="154"/>
        <item x="82"/>
        <item x="79"/>
        <item x="80"/>
        <item x="81"/>
        <item x="83"/>
        <item x="84"/>
        <item x="85"/>
        <item x="86"/>
        <item x="87"/>
        <item x="88"/>
        <item x="89"/>
        <item x="90"/>
        <item x="91"/>
        <item x="92"/>
        <item x="93"/>
        <item x="94"/>
        <item x="95"/>
        <item m="1" x="147"/>
        <item m="1" x="146"/>
        <item m="1" x="152"/>
        <item m="1" x="149"/>
        <item m="1" x="151"/>
        <item m="1" x="148"/>
        <item x="96"/>
        <item x="97"/>
        <item x="98"/>
        <item x="99"/>
        <item x="100"/>
        <item x="101"/>
        <item x="102"/>
        <item x="103"/>
        <item x="104"/>
        <item x="105"/>
        <item x="106"/>
        <item x="107"/>
        <item x="108"/>
        <item x="110"/>
        <item x="113"/>
        <item x="114"/>
        <item x="115"/>
        <item x="116"/>
        <item m="1" x="150"/>
        <item x="109"/>
        <item x="120"/>
        <item x="121"/>
        <item x="122"/>
        <item x="123"/>
        <item x="124"/>
        <item x="125"/>
        <item x="111"/>
        <item x="112"/>
        <item x="117"/>
        <item x="118"/>
        <item x="119"/>
        <item x="126"/>
        <item x="127"/>
        <item x="128"/>
        <item x="129"/>
        <item x="130"/>
        <item x="131"/>
        <item x="132"/>
        <item x="133"/>
        <item x="134"/>
        <item x="135"/>
        <item x="136"/>
        <item x="137"/>
        <item x="138"/>
        <item x="139"/>
        <item x="140"/>
        <item x="141"/>
        <item x="142"/>
        <item x="143"/>
        <item x="144"/>
        <item x="1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4">
    <field x="3"/>
    <field x="7"/>
    <field x="8"/>
    <field x="9"/>
    <field x="12"/>
    <field x="11"/>
    <field x="18"/>
    <field x="23"/>
    <field x="21"/>
    <field x="22"/>
    <field x="5"/>
    <field x="13"/>
    <field x="6"/>
    <field x="2"/>
  </rowFields>
  <rowItems count="4">
    <i>
      <x v="294"/>
      <x v="94"/>
      <x v="226"/>
      <x v="155"/>
      <x v="28"/>
      <x/>
      <x v="2"/>
      <x v="152"/>
      <x v="64"/>
      <x v="2"/>
      <x v="204"/>
      <x v="251"/>
      <x v="193"/>
      <x v="192"/>
    </i>
    <i>
      <x v="295"/>
      <x v="124"/>
      <x v="227"/>
      <x v="156"/>
      <x v="28"/>
      <x v="1"/>
      <x v="2"/>
      <x v="153"/>
      <x v="163"/>
      <x v="2"/>
      <x v="205"/>
      <x v="252"/>
      <x v="123"/>
      <x v="193"/>
    </i>
    <i>
      <x v="296"/>
      <x v="42"/>
      <x v="228"/>
      <x v="50"/>
      <x v="28"/>
      <x v="1"/>
      <x v="2"/>
      <x v="17"/>
      <x v="164"/>
      <x v="2"/>
      <x v="206"/>
      <x v="253"/>
      <x v="194"/>
      <x v="194"/>
    </i>
    <i>
      <x v="297"/>
      <x v="162"/>
      <x v="229"/>
      <x v="157"/>
      <x v="28"/>
      <x v="11"/>
      <x v="2"/>
      <x v="154"/>
      <x v="23"/>
      <x v="2"/>
      <x v="207"/>
      <x v="254"/>
      <x v="195"/>
      <x v="195"/>
    </i>
  </rowItems>
  <colItems count="1">
    <i/>
  </colItems>
  <formats count="49">
    <format dxfId="48">
      <pivotArea field="3" type="button" dataOnly="0" labelOnly="1" outline="0" axis="axisRow" fieldPosition="0"/>
    </format>
    <format dxfId="47">
      <pivotArea field="7" type="button" dataOnly="0" labelOnly="1" outline="0" axis="axisRow" fieldPosition="1"/>
    </format>
    <format dxfId="46">
      <pivotArea field="8" type="button" dataOnly="0" labelOnly="1" outline="0" axis="axisRow" fieldPosition="2"/>
    </format>
    <format dxfId="45">
      <pivotArea field="12" type="button" dataOnly="0" labelOnly="1" outline="0" axis="axisRow" fieldPosition="4"/>
    </format>
    <format dxfId="44">
      <pivotArea field="11" type="button" dataOnly="0" labelOnly="1" outline="0" axis="axisRow" fieldPosition="5"/>
    </format>
    <format dxfId="43">
      <pivotArea field="18" type="button" dataOnly="0" labelOnly="1" outline="0" axis="axisRow" fieldPosition="6"/>
    </format>
    <format dxfId="42">
      <pivotArea field="21" type="button" dataOnly="0" labelOnly="1" outline="0" axis="axisRow" fieldPosition="8"/>
    </format>
    <format dxfId="41">
      <pivotArea field="22" type="button" dataOnly="0" labelOnly="1" outline="0" axis="axisRow" fieldPosition="9"/>
    </format>
    <format dxfId="40">
      <pivotArea field="5" type="button" dataOnly="0" labelOnly="1" outline="0" axis="axisRow" fieldPosition="10"/>
    </format>
    <format dxfId="39">
      <pivotArea field="3" type="button" dataOnly="0" labelOnly="1" outline="0" axis="axisRow" fieldPosition="0"/>
    </format>
    <format dxfId="38">
      <pivotArea field="7" type="button" dataOnly="0" labelOnly="1" outline="0" axis="axisRow" fieldPosition="1"/>
    </format>
    <format dxfId="37">
      <pivotArea field="8" type="button" dataOnly="0" labelOnly="1" outline="0" axis="axisRow" fieldPosition="2"/>
    </format>
    <format dxfId="36">
      <pivotArea field="12" type="button" dataOnly="0" labelOnly="1" outline="0" axis="axisRow" fieldPosition="4"/>
    </format>
    <format dxfId="35">
      <pivotArea field="11" type="button" dataOnly="0" labelOnly="1" outline="0" axis="axisRow" fieldPosition="5"/>
    </format>
    <format dxfId="34">
      <pivotArea field="18" type="button" dataOnly="0" labelOnly="1" outline="0" axis="axisRow" fieldPosition="6"/>
    </format>
    <format dxfId="33">
      <pivotArea field="21" type="button" dataOnly="0" labelOnly="1" outline="0" axis="axisRow" fieldPosition="8"/>
    </format>
    <format dxfId="32">
      <pivotArea field="22" type="button" dataOnly="0" labelOnly="1" outline="0" axis="axisRow" fieldPosition="9"/>
    </format>
    <format dxfId="31">
      <pivotArea field="3" type="button" dataOnly="0" labelOnly="1" outline="0" axis="axisRow" fieldPosition="0"/>
    </format>
    <format dxfId="30">
      <pivotArea field="7" type="button" dataOnly="0" labelOnly="1" outline="0" axis="axisRow" fieldPosition="1"/>
    </format>
    <format dxfId="29">
      <pivotArea field="8" type="button" dataOnly="0" labelOnly="1" outline="0" axis="axisRow" fieldPosition="2"/>
    </format>
    <format dxfId="28">
      <pivotArea field="12" type="button" dataOnly="0" labelOnly="1" outline="0" axis="axisRow" fieldPosition="4"/>
    </format>
    <format dxfId="27">
      <pivotArea field="11" type="button" dataOnly="0" labelOnly="1" outline="0" axis="axisRow" fieldPosition="5"/>
    </format>
    <format dxfId="26">
      <pivotArea field="18" type="button" dataOnly="0" labelOnly="1" outline="0" axis="axisRow" fieldPosition="6"/>
    </format>
    <format dxfId="25">
      <pivotArea field="21" type="button" dataOnly="0" labelOnly="1" outline="0" axis="axisRow" fieldPosition="8"/>
    </format>
    <format dxfId="24">
      <pivotArea field="22" type="button" dataOnly="0" labelOnly="1" outline="0" axis="axisRow" fieldPosition="9"/>
    </format>
    <format dxfId="23">
      <pivotArea field="5" type="button" dataOnly="0" labelOnly="1" outline="0" axis="axisRow" fieldPosition="10"/>
    </format>
    <format dxfId="22">
      <pivotArea field="3" type="button" dataOnly="0" labelOnly="1" outline="0" axis="axisRow" fieldPosition="0"/>
    </format>
    <format dxfId="21">
      <pivotArea field="5" type="button" dataOnly="0" labelOnly="1" outline="0" axis="axisRow" fieldPosition="10"/>
    </format>
    <format dxfId="20">
      <pivotArea dataOnly="0" labelOnly="1" outline="0" fieldPosition="0">
        <references count="9">
          <reference field="3" count="1" selected="0">
            <x v="0"/>
          </reference>
          <reference field="5" count="1">
            <x v="7"/>
          </reference>
          <reference field="7" count="1" selected="0">
            <x v="12"/>
          </reference>
          <reference field="8" count="1" selected="0">
            <x v="4"/>
          </reference>
          <reference field="11" count="1" selected="0">
            <x v="0"/>
          </reference>
          <reference field="12" count="1" selected="0">
            <x v="0"/>
          </reference>
          <reference field="18" count="1" selected="0">
            <x v="0"/>
          </reference>
          <reference field="21" count="1" selected="0">
            <x v="11"/>
          </reference>
          <reference field="22" count="1" selected="0">
            <x v="0"/>
          </reference>
        </references>
      </pivotArea>
    </format>
    <format dxfId="19">
      <pivotArea dataOnly="0" labelOnly="1" outline="0" fieldPosition="0">
        <references count="9">
          <reference field="3" count="1" selected="0">
            <x v="1"/>
          </reference>
          <reference field="5" count="1">
            <x v="3"/>
          </reference>
          <reference field="7" count="1" selected="0">
            <x v="2"/>
          </reference>
          <reference field="8" count="1" selected="0">
            <x v="12"/>
          </reference>
          <reference field="11" count="1" selected="0">
            <x v="1"/>
          </reference>
          <reference field="12" count="1" selected="0">
            <x v="0"/>
          </reference>
          <reference field="18" count="1" selected="0">
            <x v="1"/>
          </reference>
          <reference field="21" count="1" selected="0">
            <x v="1"/>
          </reference>
          <reference field="22" count="1" selected="0">
            <x v="1"/>
          </reference>
        </references>
      </pivotArea>
    </format>
    <format dxfId="18">
      <pivotArea dataOnly="0" labelOnly="1" outline="0" fieldPosition="0">
        <references count="9">
          <reference field="3" count="1" selected="0">
            <x v="2"/>
          </reference>
          <reference field="5" count="1">
            <x v="14"/>
          </reference>
          <reference field="7" count="1" selected="0">
            <x v="5"/>
          </reference>
          <reference field="8" count="1" selected="0">
            <x v="6"/>
          </reference>
          <reference field="11" count="1" selected="0">
            <x v="2"/>
          </reference>
          <reference field="12" count="1" selected="0">
            <x v="3"/>
          </reference>
          <reference field="18" count="1" selected="0">
            <x v="2"/>
          </reference>
          <reference field="21" count="1" selected="0">
            <x v="7"/>
          </reference>
          <reference field="22" count="1" selected="0">
            <x v="2"/>
          </reference>
        </references>
      </pivotArea>
    </format>
    <format dxfId="17">
      <pivotArea dataOnly="0" labelOnly="1" outline="0" fieldPosition="0">
        <references count="9">
          <reference field="3" count="1" selected="0">
            <x v="3"/>
          </reference>
          <reference field="5" count="1">
            <x v="4"/>
          </reference>
          <reference field="7" count="1" selected="0">
            <x v="8"/>
          </reference>
          <reference field="8" count="1" selected="0">
            <x v="11"/>
          </reference>
          <reference field="11" count="1" selected="0">
            <x v="1"/>
          </reference>
          <reference field="12" count="1" selected="0">
            <x v="4"/>
          </reference>
          <reference field="18" count="1" selected="0">
            <x v="2"/>
          </reference>
          <reference field="21" count="1" selected="0">
            <x v="14"/>
          </reference>
          <reference field="22" count="1" selected="0">
            <x v="2"/>
          </reference>
        </references>
      </pivotArea>
    </format>
    <format dxfId="16">
      <pivotArea dataOnly="0" labelOnly="1" outline="0" fieldPosition="0">
        <references count="9">
          <reference field="3" count="1" selected="0">
            <x v="4"/>
          </reference>
          <reference field="5" count="1">
            <x v="11"/>
          </reference>
          <reference field="7" count="1" selected="0">
            <x v="3"/>
          </reference>
          <reference field="8" count="1" selected="0">
            <x v="8"/>
          </reference>
          <reference field="11" count="1" selected="0">
            <x v="5"/>
          </reference>
          <reference field="12" count="1" selected="0">
            <x v="0"/>
          </reference>
          <reference field="18" count="1" selected="0">
            <x v="0"/>
          </reference>
          <reference field="21" count="1" selected="0">
            <x v="0"/>
          </reference>
          <reference field="22" count="1" selected="0">
            <x v="2"/>
          </reference>
        </references>
      </pivotArea>
    </format>
    <format dxfId="15">
      <pivotArea dataOnly="0" labelOnly="1" outline="0" fieldPosition="0">
        <references count="9">
          <reference field="3" count="1" selected="0">
            <x v="5"/>
          </reference>
          <reference field="5" count="1">
            <x v="2"/>
          </reference>
          <reference field="7" count="1" selected="0">
            <x v="12"/>
          </reference>
          <reference field="8" count="1" selected="0">
            <x v="4"/>
          </reference>
          <reference field="11" count="1" selected="0">
            <x v="0"/>
          </reference>
          <reference field="12" count="1" selected="0">
            <x v="1"/>
          </reference>
          <reference field="18" count="1" selected="0">
            <x v="0"/>
          </reference>
          <reference field="21" count="1" selected="0">
            <x v="11"/>
          </reference>
          <reference field="22" count="1" selected="0">
            <x v="2"/>
          </reference>
        </references>
      </pivotArea>
    </format>
    <format dxfId="14">
      <pivotArea dataOnly="0" labelOnly="1" outline="0" fieldPosition="0">
        <references count="9">
          <reference field="3" count="1" selected="0">
            <x v="6"/>
          </reference>
          <reference field="5" count="1">
            <x v="1"/>
          </reference>
          <reference field="7" count="1" selected="0">
            <x v="7"/>
          </reference>
          <reference field="8" count="1" selected="0">
            <x v="5"/>
          </reference>
          <reference field="11" count="1" selected="0">
            <x v="0"/>
          </reference>
          <reference field="12" count="1" selected="0">
            <x v="0"/>
          </reference>
          <reference field="18" count="1" selected="0">
            <x v="2"/>
          </reference>
          <reference field="21" count="1" selected="0">
            <x v="6"/>
          </reference>
          <reference field="22" count="1" selected="0">
            <x v="2"/>
          </reference>
        </references>
      </pivotArea>
    </format>
    <format dxfId="13">
      <pivotArea dataOnly="0" labelOnly="1" outline="0" fieldPosition="0">
        <references count="9">
          <reference field="3" count="1" selected="0">
            <x v="7"/>
          </reference>
          <reference field="5" count="1">
            <x v="4"/>
          </reference>
          <reference field="7" count="1" selected="0">
            <x v="8"/>
          </reference>
          <reference field="8" count="1" selected="0">
            <x v="10"/>
          </reference>
          <reference field="11" count="1" selected="0">
            <x v="4"/>
          </reference>
          <reference field="12" count="1" selected="0">
            <x v="6"/>
          </reference>
          <reference field="18" count="1" selected="0">
            <x v="2"/>
          </reference>
          <reference field="21" count="1" selected="0">
            <x v="16"/>
          </reference>
          <reference field="22" count="1" selected="0">
            <x v="2"/>
          </reference>
        </references>
      </pivotArea>
    </format>
    <format dxfId="12">
      <pivotArea dataOnly="0" labelOnly="1" outline="0" fieldPosition="0">
        <references count="9">
          <reference field="3" count="1" selected="0">
            <x v="8"/>
          </reference>
          <reference field="5" count="1">
            <x v="15"/>
          </reference>
          <reference field="7" count="1" selected="0">
            <x v="5"/>
          </reference>
          <reference field="8" count="1" selected="0">
            <x v="7"/>
          </reference>
          <reference field="11" count="1" selected="0">
            <x v="1"/>
          </reference>
          <reference field="12" count="1" selected="0">
            <x v="0"/>
          </reference>
          <reference field="18" count="1" selected="0">
            <x v="2"/>
          </reference>
          <reference field="21" count="1" selected="0">
            <x v="8"/>
          </reference>
          <reference field="22" count="1" selected="0">
            <x v="2"/>
          </reference>
        </references>
      </pivotArea>
    </format>
    <format dxfId="11">
      <pivotArea dataOnly="0" labelOnly="1" outline="0" fieldPosition="0">
        <references count="9">
          <reference field="3" count="1" selected="0">
            <x v="9"/>
          </reference>
          <reference field="5" count="1">
            <x v="5"/>
          </reference>
          <reference field="7" count="1" selected="0">
            <x v="9"/>
          </reference>
          <reference field="8" count="1" selected="0">
            <x v="3"/>
          </reference>
          <reference field="11" count="1" selected="0">
            <x v="1"/>
          </reference>
          <reference field="12" count="1" selected="0">
            <x v="0"/>
          </reference>
          <reference field="18" count="1" selected="0">
            <x v="2"/>
          </reference>
          <reference field="21" count="1" selected="0">
            <x v="5"/>
          </reference>
          <reference field="22" count="1" selected="0">
            <x v="2"/>
          </reference>
        </references>
      </pivotArea>
    </format>
    <format dxfId="10">
      <pivotArea dataOnly="0" labelOnly="1" outline="0" fieldPosition="0">
        <references count="9">
          <reference field="3" count="1" selected="0">
            <x v="10"/>
          </reference>
          <reference field="5" count="1">
            <x v="8"/>
          </reference>
          <reference field="7" count="1" selected="0">
            <x v="14"/>
          </reference>
          <reference field="8" count="1" selected="0">
            <x v="13"/>
          </reference>
          <reference field="11" count="1" selected="0">
            <x v="3"/>
          </reference>
          <reference field="12" count="1" selected="0">
            <x v="0"/>
          </reference>
          <reference field="18" count="1" selected="0">
            <x v="0"/>
          </reference>
          <reference field="21" count="1" selected="0">
            <x v="12"/>
          </reference>
          <reference field="22" count="1" selected="0">
            <x v="2"/>
          </reference>
        </references>
      </pivotArea>
    </format>
    <format dxfId="9">
      <pivotArea dataOnly="0" labelOnly="1" outline="0" fieldPosition="0">
        <references count="9">
          <reference field="3" count="1" selected="0">
            <x v="11"/>
          </reference>
          <reference field="5" count="1">
            <x v="6"/>
          </reference>
          <reference field="7" count="1" selected="0">
            <x v="11"/>
          </reference>
          <reference field="8" count="1" selected="0">
            <x v="0"/>
          </reference>
          <reference field="11" count="1" selected="0">
            <x v="7"/>
          </reference>
          <reference field="12" count="1" selected="0">
            <x v="5"/>
          </reference>
          <reference field="18" count="1" selected="0">
            <x v="2"/>
          </reference>
          <reference field="21" count="1" selected="0">
            <x v="4"/>
          </reference>
          <reference field="22" count="1" selected="0">
            <x v="2"/>
          </reference>
        </references>
      </pivotArea>
    </format>
    <format dxfId="8">
      <pivotArea dataOnly="0" labelOnly="1" outline="0" fieldPosition="0">
        <references count="9">
          <reference field="3" count="1" selected="0">
            <x v="12"/>
          </reference>
          <reference field="5" count="1">
            <x v="9"/>
          </reference>
          <reference field="7" count="1" selected="0">
            <x v="13"/>
          </reference>
          <reference field="8" count="1" selected="0">
            <x v="15"/>
          </reference>
          <reference field="11" count="1" selected="0">
            <x v="1"/>
          </reference>
          <reference field="12" count="1" selected="0">
            <x v="0"/>
          </reference>
          <reference field="18" count="1" selected="0">
            <x v="2"/>
          </reference>
          <reference field="21" count="1" selected="0">
            <x v="10"/>
          </reference>
          <reference field="22" count="1" selected="0">
            <x v="2"/>
          </reference>
        </references>
      </pivotArea>
    </format>
    <format dxfId="7">
      <pivotArea dataOnly="0" labelOnly="1" outline="0" fieldPosition="0">
        <references count="9">
          <reference field="3" count="1" selected="0">
            <x v="13"/>
          </reference>
          <reference field="5" count="1">
            <x v="13"/>
          </reference>
          <reference field="7" count="1" selected="0">
            <x v="1"/>
          </reference>
          <reference field="8" count="1" selected="0">
            <x v="14"/>
          </reference>
          <reference field="11" count="1" selected="0">
            <x v="1"/>
          </reference>
          <reference field="12" count="1" selected="0">
            <x v="0"/>
          </reference>
          <reference field="18" count="1" selected="0">
            <x v="2"/>
          </reference>
          <reference field="21" count="1" selected="0">
            <x v="9"/>
          </reference>
          <reference field="22" count="1" selected="0">
            <x v="2"/>
          </reference>
        </references>
      </pivotArea>
    </format>
    <format dxfId="6">
      <pivotArea dataOnly="0" labelOnly="1" outline="0" fieldPosition="0">
        <references count="9">
          <reference field="3" count="1" selected="0">
            <x v="14"/>
          </reference>
          <reference field="5" count="1">
            <x v="16"/>
          </reference>
          <reference field="7" count="1" selected="0">
            <x v="6"/>
          </reference>
          <reference field="8" count="1" selected="0">
            <x v="2"/>
          </reference>
          <reference field="11" count="1" selected="0">
            <x v="1"/>
          </reference>
          <reference field="12" count="1" selected="0">
            <x v="0"/>
          </reference>
          <reference field="18" count="1" selected="0">
            <x v="2"/>
          </reference>
          <reference field="21" count="1" selected="0">
            <x v="3"/>
          </reference>
          <reference field="22" count="1" selected="0">
            <x v="2"/>
          </reference>
        </references>
      </pivotArea>
    </format>
    <format dxfId="5">
      <pivotArea dataOnly="0" labelOnly="1" outline="0" fieldPosition="0">
        <references count="9">
          <reference field="3" count="1" selected="0">
            <x v="15"/>
          </reference>
          <reference field="5" count="1">
            <x v="10"/>
          </reference>
          <reference field="7" count="1" selected="0">
            <x v="10"/>
          </reference>
          <reference field="8" count="1" selected="0">
            <x v="1"/>
          </reference>
          <reference field="11" count="1" selected="0">
            <x v="6"/>
          </reference>
          <reference field="12" count="1" selected="0">
            <x v="2"/>
          </reference>
          <reference field="18" count="1" selected="0">
            <x v="2"/>
          </reference>
          <reference field="21" count="1" selected="0">
            <x v="2"/>
          </reference>
          <reference field="22" count="1" selected="0">
            <x v="2"/>
          </reference>
        </references>
      </pivotArea>
    </format>
    <format dxfId="4">
      <pivotArea dataOnly="0" labelOnly="1" outline="0" fieldPosition="0">
        <references count="9">
          <reference field="3" count="1" selected="0">
            <x v="16"/>
          </reference>
          <reference field="5" count="1">
            <x v="0"/>
          </reference>
          <reference field="7" count="1" selected="0">
            <x v="0"/>
          </reference>
          <reference field="8" count="1" selected="0">
            <x v="9"/>
          </reference>
          <reference field="11" count="1" selected="0">
            <x v="1"/>
          </reference>
          <reference field="12" count="1" selected="0">
            <x v="0"/>
          </reference>
          <reference field="18" count="1" selected="0">
            <x v="2"/>
          </reference>
          <reference field="21" count="1" selected="0">
            <x v="13"/>
          </reference>
          <reference field="22" count="1" selected="0">
            <x v="2"/>
          </reference>
        </references>
      </pivotArea>
    </format>
    <format dxfId="3">
      <pivotArea field="9" type="button" dataOnly="0" labelOnly="1" outline="0" axis="axisRow" fieldPosition="3"/>
    </format>
    <format dxfId="2">
      <pivotArea dataOnly="0" labelOnly="1" outline="0" fieldPosition="0">
        <references count="4">
          <reference field="3" count="1" selected="0">
            <x v="93"/>
          </reference>
          <reference field="7" count="1" selected="0">
            <x v="12"/>
          </reference>
          <reference field="8" count="1" selected="0">
            <x v="58"/>
          </reference>
          <reference field="9" count="1">
            <x v="35"/>
          </reference>
        </references>
      </pivotArea>
    </format>
    <format dxfId="1">
      <pivotArea dataOnly="0" labelOnly="1" outline="0" fieldPosition="0">
        <references count="4">
          <reference field="3" count="1" selected="0">
            <x v="123"/>
          </reference>
          <reference field="7" count="1" selected="0">
            <x v="19"/>
          </reference>
          <reference field="8" count="1" selected="0">
            <x v="88"/>
          </reference>
          <reference field="9" count="1">
            <x v="51"/>
          </reference>
        </references>
      </pivotArea>
    </format>
    <format dxfId="0">
      <pivotArea dataOnly="0" labelOnly="1" outline="0" fieldPosition="0">
        <references count="4">
          <reference field="3" count="1" selected="0">
            <x v="124"/>
          </reference>
          <reference field="7" count="1" selected="0">
            <x v="82"/>
          </reference>
          <reference field="8" count="1" selected="0">
            <x v="106"/>
          </reference>
          <reference field="9" count="1">
            <x v="6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1" displayName="Table1" ref="A3:U21" totalsRowShown="0" tableBorderDxfId="155">
  <autoFilter ref="A3:U21"/>
  <tableColumns count="21">
    <tableColumn id="1" name="STT_x000a_No._x000a_" dataDxfId="154" dataCellStyle="Normal_Sheet1">
      <calculatedColumnFormula>ROW(B4)-3</calculatedColumnFormula>
    </tableColumn>
    <tableColumn id="2" name="Ngày_x000a_date" dataDxfId="153" dataCellStyle="Normal_Sheet1"/>
    <tableColumn id="3" name="Code _x000a_CC- " dataDxfId="152" dataCellStyle="Normal_Sheet1"/>
    <tableColumn id="4" name="Tên khách hàng_x000a_Customer" dataDxfId="151" dataCellStyle="Normal_Sheet1"/>
    <tableColumn id="5" name="Địa chỉ_x000a_address" dataDxfId="150"/>
    <tableColumn id="6" name="Tên sản phẩm_x000a_Product name" dataDxfId="149" dataCellStyle="Normal_Sheet1"/>
    <tableColumn id="7" name="Số Lô_x000a_batch No." dataDxfId="148" dataCellStyle="Normal_Sheet1"/>
    <tableColumn id="8" name="NSX_x000a_Mfg date" dataDxfId="147" dataCellStyle="Normal_Sheet1"/>
    <tableColumn id="9" name="HD_x000a_Exp date" dataDxfId="146" dataCellStyle="Normal_Sheet1"/>
    <tableColumn id="10" name="Đơn vị tính_x000a_Unit" dataDxfId="145" dataCellStyle="Normal_Sheet1"/>
    <tableColumn id="11" name="Số Lượng_x000a_Quanity" dataDxfId="144" dataCellStyle="Normal_Sheet1"/>
    <tableColumn id="12" name="Lý do khiếu nại_x000a_Reason of complaint" dataDxfId="143" dataCellStyle="Normal_Sheet1"/>
    <tableColumn id="13" name="Nguyên nhân khiếu nại/ Cause of complaint" dataDxfId="142" dataCellStyle="Normal_Sheet1"/>
    <tableColumn id="14" name="Tình trạng_x000a_status" dataDxfId="141" dataCellStyle="Normal_Sheet1"/>
    <tableColumn id="15" name="Xuất mẫu sang văn phòng hãng" dataDxfId="140" dataCellStyle="Normal_Sheet1"/>
    <tableColumn id="16" name="BẢO MẬT THÔNG TIN CÁ NHÂN" dataDxfId="139"/>
    <tableColumn id="17" name="HÌNH THỨC NHẬN" dataDxfId="138"/>
    <tableColumn id="18" name="XÁC NHẬN TỪ HÃNG" dataDxfId="137"/>
    <tableColumn id="19" name="NGÀY NHẬN" dataDxfId="136"/>
    <tableColumn id="20" name="FIXED EXP" dataDxfId="135">
      <calculatedColumnFormula>IF(I4="","CHƯA NHẬP NGÀY",TEXT(I4,"dd/mm/yyyy"))</calculatedColumnFormula>
    </tableColumn>
    <tableColumn id="21" name="FIXED IMPORT" dataDxfId="134">
      <calculatedColumnFormula>IF(S4="","CHƯA NHẬP NGÀY",TEXT(S4,"dd/mm/yyyy"))</calculatedColumnFormula>
    </tableColumn>
  </tableColumns>
  <tableStyleInfo showFirstColumn="0" showLastColumn="0" showRowStripes="1" showColumnStripes="0"/>
</table>
</file>

<file path=xl/tables/table2.xml><?xml version="1.0" encoding="utf-8"?>
<table xmlns="http://schemas.openxmlformats.org/spreadsheetml/2006/main" id="2" name="Table2" displayName="Table2" ref="A3:AA288" totalsRowShown="0" headerRowDxfId="85" dataDxfId="83" headerRowBorderDxfId="84" tableBorderDxfId="82" totalsRowBorderDxfId="81">
  <autoFilter ref="A3:AA288"/>
  <tableColumns count="27">
    <tableColumn id="1" name="STT_x000a_No." dataDxfId="80" dataCellStyle="Normal_Sheet1">
      <calculatedColumnFormula>ROW(C4)-4</calculatedColumnFormula>
    </tableColumn>
    <tableColumn id="27" name="HÃNG" dataDxfId="79" dataCellStyle="Normal_Sheet1"/>
    <tableColumn id="2" name="Ngày_x000a_date" dataDxfId="78"/>
    <tableColumn id="3" name="Code _x000a_CC- " dataDxfId="77"/>
    <tableColumn id="25" name="Ticket" dataDxfId="76"/>
    <tableColumn id="4" name="Tên khách hàng_x000a_Customer" dataDxfId="75"/>
    <tableColumn id="5" name="Địa chỉ_x000a_address" dataDxfId="74"/>
    <tableColumn id="6" name="Tên sản phẩm_x000a_Product name" dataDxfId="73"/>
    <tableColumn id="7" name="Số Lô_x000a_batch No." dataDxfId="72"/>
    <tableColumn id="8" name="NSX_x000a_Mfg date" dataDxfId="71"/>
    <tableColumn id="9" name="HD_x000a_Exp date" dataDxfId="70"/>
    <tableColumn id="10" name="Đơn vị tính_x000a_Unit" dataDxfId="69"/>
    <tableColumn id="11" name="Số Lượng_x000a_Quanity" dataDxfId="68"/>
    <tableColumn id="12" name="Lý do khiếu nại_x000a_Reason of complaint" dataDxfId="67"/>
    <tableColumn id="13" name="Nguyên nhân khiếu nại/ Cause of complaint" dataDxfId="66"/>
    <tableColumn id="14" name="Tình trạng/ Status" dataDxfId="65"/>
    <tableColumn id="16" name="BẢO MẬT THÔNG TIN CÁ NHÂN" dataDxfId="64"/>
    <tableColumn id="17" name="HÌNH THỨC NHẬN" dataDxfId="63"/>
    <tableColumn id="18" name="XÁC NHẬN TỪ HÃNG" dataDxfId="62"/>
    <tableColumn id="19" name="NGÀY NHẬN" dataDxfId="61"/>
    <tableColumn id="26" name="THÁNG" dataDxfId="60">
      <calculatedColumnFormula>MONTH(Table2[[#This Row],[Ngày
date]])</calculatedColumnFormula>
    </tableColumn>
    <tableColumn id="20" name="FIXED EXP" dataDxfId="59">
      <calculatedColumnFormula>IF(K4="","CHƯA NHẬP NGÀY",TEXT(K4,"dd/mm/yyyy"))</calculatedColumnFormula>
    </tableColumn>
    <tableColumn id="21" name="FIXED IMPORT" dataDxfId="58">
      <calculatedColumnFormula>IF(T4="","CHƯA NHẬP NGÀY",TEXT(T4,"dd/mm/yyyy"))</calculatedColumnFormula>
    </tableColumn>
    <tableColumn id="23" name="FIXED Mft." dataDxfId="57">
      <calculatedColumnFormula>IF(J4="","CHƯA NHẬP NGÀY",TEXT(J4,"dd/mm/yyyy"))</calculatedColumnFormula>
    </tableColumn>
    <tableColumn id="15" name="Link" dataDxfId="56"/>
    <tableColumn id="22" name="Năm" dataDxfId="55">
      <calculatedColumnFormula>YEAR(Table2[[#This Row],[Ngày
date]])</calculatedColumnFormula>
    </tableColumn>
    <tableColumn id="24" name="CHI NHÁNH" dataDxfId="54">
      <calculatedColumnFormula>IF(ISNUMBER(SEARCH("HCM",D4)),"HCM",
IF(ISNUMBER(SEARCH("HN",D4)),"HN",
IF(ISNUMBER(SEARCH("ĐN",D4)),"ĐN","")))</calculatedColumnFormula>
    </tableColumn>
  </tableColumns>
  <tableStyleInfo showFirstColumn="0" showLastColumn="0" showRowStripes="1" showColumnStripes="0"/>
</table>
</file>

<file path=xl/tables/table3.xml><?xml version="1.0" encoding="utf-8"?>
<table xmlns="http://schemas.openxmlformats.org/spreadsheetml/2006/main" id="3" name="KetLuan" displayName="KetLuan" ref="A1:A10" totalsRowShown="0" headerRowDxfId="53" headerRowBorderDxfId="52" tableBorderDxfId="51">
  <autoFilter ref="A1:A10"/>
  <tableColumns count="1">
    <tableColumn id="1" name="Hành độ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4.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Q82"/>
  <sheetViews>
    <sheetView view="pageBreakPreview" topLeftCell="B1" zoomScale="85" zoomScaleNormal="100" zoomScaleSheetLayoutView="85" workbookViewId="0">
      <pane xSplit="5" ySplit="3" topLeftCell="G64" activePane="bottomRight" state="frozen"/>
      <selection pane="topRight" activeCell="G1" sqref="G1"/>
      <selection pane="bottomLeft" activeCell="B4" sqref="B4"/>
      <selection pane="bottomRight" activeCell="I4" sqref="I4"/>
    </sheetView>
  </sheetViews>
  <sheetFormatPr defaultColWidth="8.85546875" defaultRowHeight="12.75" x14ac:dyDescent="0.2"/>
  <cols>
    <col min="1" max="1" width="7.42578125" style="38" customWidth="1"/>
    <col min="2" max="2" width="12.42578125" style="2" customWidth="1"/>
    <col min="3" max="3" width="13.140625" style="8" customWidth="1"/>
    <col min="4" max="4" width="24.42578125" style="2" customWidth="1"/>
    <col min="5" max="5" width="27.140625" style="2" customWidth="1"/>
    <col min="6" max="6" width="18.140625" style="8" customWidth="1"/>
    <col min="7" max="7" width="11.85546875" style="2" customWidth="1"/>
    <col min="8" max="8" width="14.5703125" style="7" customWidth="1"/>
    <col min="9" max="9" width="13.42578125" style="59" customWidth="1"/>
    <col min="10" max="10" width="11.5703125" style="12" customWidth="1"/>
    <col min="11" max="11" width="13.5703125" style="12" customWidth="1"/>
    <col min="12" max="12" width="38.85546875" style="54" customWidth="1"/>
    <col min="13" max="13" width="50" style="54" customWidth="1"/>
    <col min="14" max="15" width="18.5703125" style="1" customWidth="1"/>
    <col min="16" max="16" width="13" style="2" customWidth="1"/>
    <col min="17" max="17" width="21.140625" style="2" customWidth="1"/>
    <col min="18" max="16384" width="8.85546875" style="2"/>
  </cols>
  <sheetData>
    <row r="1" spans="1:17" ht="51" customHeight="1" x14ac:dyDescent="0.2">
      <c r="A1" s="726"/>
      <c r="B1" s="726"/>
      <c r="C1" s="726"/>
      <c r="D1" s="727" t="s">
        <v>84</v>
      </c>
      <c r="E1" s="727"/>
      <c r="F1" s="727"/>
      <c r="G1" s="727"/>
      <c r="H1" s="727"/>
      <c r="I1" s="727"/>
      <c r="J1" s="727"/>
      <c r="K1" s="727"/>
      <c r="L1" s="727"/>
      <c r="M1" s="727"/>
    </row>
    <row r="2" spans="1:17" ht="17.25" customHeight="1" x14ac:dyDescent="0.2">
      <c r="A2" s="35"/>
      <c r="B2" s="3"/>
      <c r="C2" s="728"/>
      <c r="D2" s="728"/>
      <c r="E2" s="4"/>
      <c r="F2" s="83"/>
      <c r="G2" s="5"/>
      <c r="H2" s="6"/>
      <c r="I2" s="55"/>
      <c r="J2" s="5"/>
      <c r="K2" s="5"/>
      <c r="L2" s="65"/>
      <c r="M2" s="49"/>
    </row>
    <row r="3" spans="1:17" s="15" customFormat="1" ht="63.6" customHeight="1" x14ac:dyDescent="0.2">
      <c r="A3" s="36" t="s">
        <v>0</v>
      </c>
      <c r="B3" s="17" t="s">
        <v>1</v>
      </c>
      <c r="C3" s="18" t="s">
        <v>2</v>
      </c>
      <c r="D3" s="17" t="s">
        <v>3</v>
      </c>
      <c r="E3" s="17" t="s">
        <v>4</v>
      </c>
      <c r="F3" s="18" t="s">
        <v>5</v>
      </c>
      <c r="G3" s="17" t="s">
        <v>6</v>
      </c>
      <c r="H3" s="17" t="s">
        <v>7</v>
      </c>
      <c r="I3" s="56" t="s">
        <v>8</v>
      </c>
      <c r="J3" s="19" t="s">
        <v>9</v>
      </c>
      <c r="K3" s="17" t="s">
        <v>10</v>
      </c>
      <c r="L3" s="50" t="s">
        <v>11</v>
      </c>
      <c r="M3" s="50" t="s">
        <v>12</v>
      </c>
      <c r="N3" s="17" t="s">
        <v>25</v>
      </c>
      <c r="O3" s="145" t="s">
        <v>311</v>
      </c>
      <c r="P3" s="88" t="s">
        <v>85</v>
      </c>
      <c r="Q3" s="88" t="s">
        <v>86</v>
      </c>
    </row>
    <row r="4" spans="1:17" s="29" customFormat="1" ht="152.25" customHeight="1" x14ac:dyDescent="0.2">
      <c r="A4" s="99">
        <v>1</v>
      </c>
      <c r="B4" s="93">
        <v>45295</v>
      </c>
      <c r="C4" s="39" t="s">
        <v>87</v>
      </c>
      <c r="D4" s="90" t="s">
        <v>88</v>
      </c>
      <c r="E4" s="90" t="s">
        <v>89</v>
      </c>
      <c r="F4" s="34" t="s">
        <v>90</v>
      </c>
      <c r="G4" s="39" t="s">
        <v>91</v>
      </c>
      <c r="H4" s="100" t="s">
        <v>13</v>
      </c>
      <c r="I4" s="93">
        <v>45584</v>
      </c>
      <c r="J4" s="90" t="s">
        <v>15</v>
      </c>
      <c r="K4" s="101">
        <v>1</v>
      </c>
      <c r="L4" s="51" t="s">
        <v>92</v>
      </c>
      <c r="M4" s="51" t="s">
        <v>93</v>
      </c>
      <c r="N4" s="47" t="s">
        <v>28</v>
      </c>
      <c r="O4" s="146" t="s">
        <v>312</v>
      </c>
      <c r="P4" s="76"/>
      <c r="Q4" s="76"/>
    </row>
    <row r="5" spans="1:17" s="29" customFormat="1" ht="63" customHeight="1" x14ac:dyDescent="0.2">
      <c r="A5" s="99">
        <v>2</v>
      </c>
      <c r="B5" s="93">
        <v>45296</v>
      </c>
      <c r="C5" s="39" t="s">
        <v>94</v>
      </c>
      <c r="D5" s="90" t="s">
        <v>95</v>
      </c>
      <c r="E5" s="90" t="s">
        <v>64</v>
      </c>
      <c r="F5" s="34" t="s">
        <v>59</v>
      </c>
      <c r="G5" s="39" t="s">
        <v>96</v>
      </c>
      <c r="H5" s="100" t="s">
        <v>13</v>
      </c>
      <c r="I5" s="93">
        <v>46174</v>
      </c>
      <c r="J5" s="90" t="s">
        <v>15</v>
      </c>
      <c r="K5" s="101">
        <v>1</v>
      </c>
      <c r="L5" s="51" t="s">
        <v>97</v>
      </c>
      <c r="M5" s="51" t="s">
        <v>98</v>
      </c>
      <c r="N5" s="47"/>
      <c r="O5" s="146" t="s">
        <v>312</v>
      </c>
      <c r="P5" s="76"/>
      <c r="Q5" s="76"/>
    </row>
    <row r="6" spans="1:17" s="69" customFormat="1" ht="183.6" customHeight="1" x14ac:dyDescent="0.2">
      <c r="A6" s="102">
        <v>3</v>
      </c>
      <c r="B6" s="95">
        <v>45301</v>
      </c>
      <c r="C6" s="98" t="s">
        <v>99</v>
      </c>
      <c r="D6" s="96" t="s">
        <v>100</v>
      </c>
      <c r="E6" s="96" t="s">
        <v>101</v>
      </c>
      <c r="F6" s="97" t="s">
        <v>29</v>
      </c>
      <c r="G6" s="98" t="s">
        <v>56</v>
      </c>
      <c r="H6" s="103" t="s">
        <v>13</v>
      </c>
      <c r="I6" s="95">
        <v>46053</v>
      </c>
      <c r="J6" s="96" t="s">
        <v>30</v>
      </c>
      <c r="K6" s="104">
        <v>1</v>
      </c>
      <c r="L6" s="74" t="s">
        <v>102</v>
      </c>
      <c r="M6" s="74" t="s">
        <v>331</v>
      </c>
      <c r="N6" s="68" t="s">
        <v>28</v>
      </c>
      <c r="O6" s="146" t="s">
        <v>312</v>
      </c>
      <c r="P6" s="89"/>
      <c r="Q6" s="89"/>
    </row>
    <row r="7" spans="1:17" s="29" customFormat="1" ht="71.25" x14ac:dyDescent="0.2">
      <c r="A7" s="99">
        <v>4</v>
      </c>
      <c r="B7" s="93">
        <v>45300</v>
      </c>
      <c r="C7" s="39" t="s">
        <v>103</v>
      </c>
      <c r="D7" s="90" t="s">
        <v>104</v>
      </c>
      <c r="E7" s="90" t="s">
        <v>105</v>
      </c>
      <c r="F7" s="34" t="s">
        <v>68</v>
      </c>
      <c r="G7" s="39" t="s">
        <v>81</v>
      </c>
      <c r="H7" s="100" t="s">
        <v>13</v>
      </c>
      <c r="I7" s="93">
        <v>46169</v>
      </c>
      <c r="J7" s="90" t="s">
        <v>15</v>
      </c>
      <c r="K7" s="101">
        <v>19</v>
      </c>
      <c r="L7" s="51" t="s">
        <v>106</v>
      </c>
      <c r="M7" s="51" t="s">
        <v>313</v>
      </c>
      <c r="N7" s="47" t="s">
        <v>28</v>
      </c>
      <c r="O7" s="146" t="s">
        <v>312</v>
      </c>
      <c r="P7" s="76"/>
      <c r="Q7" s="76"/>
    </row>
    <row r="8" spans="1:17" s="29" customFormat="1" ht="80.25" customHeight="1" x14ac:dyDescent="0.2">
      <c r="A8" s="99">
        <v>5</v>
      </c>
      <c r="B8" s="93">
        <v>45303</v>
      </c>
      <c r="C8" s="39" t="s">
        <v>107</v>
      </c>
      <c r="D8" s="90" t="s">
        <v>108</v>
      </c>
      <c r="E8" s="90" t="s">
        <v>109</v>
      </c>
      <c r="F8" s="34" t="s">
        <v>110</v>
      </c>
      <c r="G8" s="39" t="s">
        <v>111</v>
      </c>
      <c r="H8" s="100" t="s">
        <v>13</v>
      </c>
      <c r="I8" s="93">
        <v>45963</v>
      </c>
      <c r="J8" s="90" t="s">
        <v>72</v>
      </c>
      <c r="K8" s="101">
        <v>2</v>
      </c>
      <c r="L8" s="51" t="s">
        <v>112</v>
      </c>
      <c r="M8" s="51" t="s">
        <v>113</v>
      </c>
      <c r="N8" s="47" t="s">
        <v>28</v>
      </c>
      <c r="O8" s="146" t="s">
        <v>312</v>
      </c>
      <c r="P8" s="76"/>
      <c r="Q8" s="76"/>
    </row>
    <row r="9" spans="1:17" s="29" customFormat="1" ht="57" x14ac:dyDescent="0.2">
      <c r="A9" s="99">
        <v>6</v>
      </c>
      <c r="B9" s="93">
        <v>45303</v>
      </c>
      <c r="C9" s="39" t="s">
        <v>114</v>
      </c>
      <c r="D9" s="90" t="s">
        <v>115</v>
      </c>
      <c r="E9" s="90" t="s">
        <v>80</v>
      </c>
      <c r="F9" s="34" t="s">
        <v>68</v>
      </c>
      <c r="G9" s="39" t="s">
        <v>81</v>
      </c>
      <c r="H9" s="100" t="s">
        <v>13</v>
      </c>
      <c r="I9" s="93">
        <v>46169</v>
      </c>
      <c r="J9" s="90" t="s">
        <v>15</v>
      </c>
      <c r="K9" s="101">
        <v>34</v>
      </c>
      <c r="L9" s="51" t="s">
        <v>106</v>
      </c>
      <c r="M9" s="51" t="s">
        <v>116</v>
      </c>
      <c r="N9" s="47" t="s">
        <v>28</v>
      </c>
      <c r="O9" s="146" t="s">
        <v>312</v>
      </c>
      <c r="P9" s="76"/>
      <c r="Q9" s="76"/>
    </row>
    <row r="10" spans="1:17" s="29" customFormat="1" ht="42.75" x14ac:dyDescent="0.2">
      <c r="A10" s="99">
        <v>7</v>
      </c>
      <c r="B10" s="93">
        <v>45309</v>
      </c>
      <c r="C10" s="39" t="s">
        <v>117</v>
      </c>
      <c r="D10" s="90" t="s">
        <v>118</v>
      </c>
      <c r="E10" s="90" t="s">
        <v>119</v>
      </c>
      <c r="F10" s="34" t="s">
        <v>120</v>
      </c>
      <c r="G10" s="39" t="s">
        <v>121</v>
      </c>
      <c r="H10" s="100" t="s">
        <v>13</v>
      </c>
      <c r="I10" s="93">
        <v>45658</v>
      </c>
      <c r="J10" s="90" t="s">
        <v>15</v>
      </c>
      <c r="K10" s="101">
        <v>1</v>
      </c>
      <c r="L10" s="51" t="s">
        <v>122</v>
      </c>
      <c r="M10" s="51" t="s">
        <v>123</v>
      </c>
      <c r="N10" s="48"/>
      <c r="O10" s="146" t="s">
        <v>312</v>
      </c>
      <c r="P10" s="76"/>
      <c r="Q10" s="76"/>
    </row>
    <row r="11" spans="1:17" s="29" customFormat="1" ht="42.75" x14ac:dyDescent="0.2">
      <c r="A11" s="99">
        <v>8</v>
      </c>
      <c r="B11" s="93">
        <v>45321</v>
      </c>
      <c r="C11" s="39" t="s">
        <v>124</v>
      </c>
      <c r="D11" s="90" t="s">
        <v>125</v>
      </c>
      <c r="E11" s="90" t="s">
        <v>76</v>
      </c>
      <c r="F11" s="34" t="s">
        <v>68</v>
      </c>
      <c r="G11" s="39" t="s">
        <v>81</v>
      </c>
      <c r="H11" s="100" t="s">
        <v>13</v>
      </c>
      <c r="I11" s="93">
        <v>46169</v>
      </c>
      <c r="J11" s="90" t="s">
        <v>15</v>
      </c>
      <c r="K11" s="101">
        <v>3</v>
      </c>
      <c r="L11" s="51" t="s">
        <v>106</v>
      </c>
      <c r="M11" s="51" t="s">
        <v>116</v>
      </c>
      <c r="N11" s="48" t="s">
        <v>28</v>
      </c>
      <c r="O11" s="146" t="s">
        <v>312</v>
      </c>
      <c r="P11" s="76"/>
      <c r="Q11" s="76"/>
    </row>
    <row r="12" spans="1:17" s="29" customFormat="1" ht="100.35" customHeight="1" x14ac:dyDescent="0.2">
      <c r="A12" s="114">
        <v>9</v>
      </c>
      <c r="B12" s="115">
        <v>45323</v>
      </c>
      <c r="C12" s="116" t="s">
        <v>126</v>
      </c>
      <c r="D12" s="117" t="s">
        <v>127</v>
      </c>
      <c r="E12" s="117" t="s">
        <v>128</v>
      </c>
      <c r="F12" s="118" t="s">
        <v>129</v>
      </c>
      <c r="G12" s="116" t="s">
        <v>130</v>
      </c>
      <c r="H12" s="119" t="s">
        <v>13</v>
      </c>
      <c r="I12" s="115">
        <v>45991</v>
      </c>
      <c r="J12" s="117" t="s">
        <v>15</v>
      </c>
      <c r="K12" s="120">
        <v>1</v>
      </c>
      <c r="L12" s="121" t="s">
        <v>131</v>
      </c>
      <c r="M12" s="121" t="s">
        <v>315</v>
      </c>
      <c r="N12" s="48"/>
      <c r="O12" s="146" t="s">
        <v>312</v>
      </c>
      <c r="P12" s="76"/>
      <c r="Q12" s="76"/>
    </row>
    <row r="13" spans="1:17" s="29" customFormat="1" ht="57" x14ac:dyDescent="0.2">
      <c r="A13" s="99">
        <v>10</v>
      </c>
      <c r="B13" s="93">
        <v>45327</v>
      </c>
      <c r="C13" s="39" t="s">
        <v>132</v>
      </c>
      <c r="D13" s="90" t="s">
        <v>82</v>
      </c>
      <c r="E13" s="34" t="s">
        <v>83</v>
      </c>
      <c r="F13" s="90" t="s">
        <v>68</v>
      </c>
      <c r="G13" s="39" t="s">
        <v>133</v>
      </c>
      <c r="H13" s="100" t="s">
        <v>13</v>
      </c>
      <c r="I13" s="100">
        <v>46171</v>
      </c>
      <c r="J13" s="39" t="s">
        <v>15</v>
      </c>
      <c r="K13" s="39">
        <v>3</v>
      </c>
      <c r="L13" s="51" t="s">
        <v>134</v>
      </c>
      <c r="M13" s="51" t="s">
        <v>116</v>
      </c>
      <c r="N13" s="48" t="s">
        <v>28</v>
      </c>
      <c r="O13" s="146" t="s">
        <v>312</v>
      </c>
      <c r="P13" s="76"/>
      <c r="Q13" s="76"/>
    </row>
    <row r="14" spans="1:17" s="29" customFormat="1" ht="65.25" customHeight="1" x14ac:dyDescent="0.2">
      <c r="A14" s="99">
        <v>11</v>
      </c>
      <c r="B14" s="93">
        <v>45341</v>
      </c>
      <c r="C14" s="39" t="s">
        <v>135</v>
      </c>
      <c r="D14" s="90" t="s">
        <v>66</v>
      </c>
      <c r="E14" s="34" t="s">
        <v>67</v>
      </c>
      <c r="F14" s="90" t="s">
        <v>16</v>
      </c>
      <c r="G14" s="39" t="s">
        <v>136</v>
      </c>
      <c r="H14" s="100" t="s">
        <v>13</v>
      </c>
      <c r="I14" s="100">
        <v>45535</v>
      </c>
      <c r="J14" s="39" t="s">
        <v>15</v>
      </c>
      <c r="K14" s="39">
        <v>1</v>
      </c>
      <c r="L14" s="51" t="s">
        <v>137</v>
      </c>
      <c r="M14" s="51" t="s">
        <v>138</v>
      </c>
      <c r="N14" s="48" t="s">
        <v>28</v>
      </c>
      <c r="O14" s="146" t="s">
        <v>312</v>
      </c>
      <c r="P14" s="76"/>
      <c r="Q14" s="76"/>
    </row>
    <row r="15" spans="1:17" s="29" customFormat="1" ht="114" x14ac:dyDescent="0.2">
      <c r="A15" s="99">
        <v>12</v>
      </c>
      <c r="B15" s="93">
        <v>45341</v>
      </c>
      <c r="C15" s="39" t="s">
        <v>139</v>
      </c>
      <c r="D15" s="90" t="s">
        <v>63</v>
      </c>
      <c r="E15" s="34" t="s">
        <v>64</v>
      </c>
      <c r="F15" s="90" t="s">
        <v>59</v>
      </c>
      <c r="G15" s="39" t="s">
        <v>140</v>
      </c>
      <c r="H15" s="100" t="s">
        <v>141</v>
      </c>
      <c r="I15" s="100">
        <v>46174</v>
      </c>
      <c r="J15" s="39" t="s">
        <v>15</v>
      </c>
      <c r="K15" s="39">
        <v>1</v>
      </c>
      <c r="L15" s="51" t="s">
        <v>142</v>
      </c>
      <c r="M15" s="51" t="s">
        <v>316</v>
      </c>
      <c r="N15" s="48"/>
      <c r="O15" s="146" t="s">
        <v>312</v>
      </c>
      <c r="P15" s="76"/>
      <c r="Q15" s="76"/>
    </row>
    <row r="16" spans="1:17" s="29" customFormat="1" ht="71.25" x14ac:dyDescent="0.2">
      <c r="A16" s="99">
        <v>13</v>
      </c>
      <c r="B16" s="95">
        <v>45341</v>
      </c>
      <c r="C16" s="98" t="s">
        <v>318</v>
      </c>
      <c r="D16" s="96" t="s">
        <v>31</v>
      </c>
      <c r="E16" s="97" t="s">
        <v>32</v>
      </c>
      <c r="F16" s="96" t="s">
        <v>44</v>
      </c>
      <c r="G16" s="98" t="s">
        <v>143</v>
      </c>
      <c r="H16" s="103" t="s">
        <v>13</v>
      </c>
      <c r="I16" s="103">
        <v>45777</v>
      </c>
      <c r="J16" s="98" t="s">
        <v>30</v>
      </c>
      <c r="K16" s="98">
        <v>1</v>
      </c>
      <c r="L16" s="74" t="s">
        <v>144</v>
      </c>
      <c r="M16" s="74" t="s">
        <v>317</v>
      </c>
      <c r="N16" s="109" t="s">
        <v>28</v>
      </c>
      <c r="O16" s="147" t="s">
        <v>312</v>
      </c>
      <c r="P16" s="76"/>
      <c r="Q16" s="76"/>
    </row>
    <row r="17" spans="1:17" s="29" customFormat="1" ht="57" x14ac:dyDescent="0.2">
      <c r="A17" s="99">
        <v>14</v>
      </c>
      <c r="B17" s="93">
        <v>45348</v>
      </c>
      <c r="C17" s="39" t="s">
        <v>145</v>
      </c>
      <c r="D17" s="90" t="s">
        <v>146</v>
      </c>
      <c r="E17" s="34" t="s">
        <v>147</v>
      </c>
      <c r="F17" s="90" t="s">
        <v>148</v>
      </c>
      <c r="G17" s="39">
        <v>232652</v>
      </c>
      <c r="H17" s="100" t="s">
        <v>13</v>
      </c>
      <c r="I17" s="100">
        <v>46367</v>
      </c>
      <c r="J17" s="39" t="s">
        <v>20</v>
      </c>
      <c r="K17" s="39">
        <v>1</v>
      </c>
      <c r="L17" s="51" t="s">
        <v>149</v>
      </c>
      <c r="M17" s="51" t="s">
        <v>319</v>
      </c>
      <c r="N17" s="48" t="s">
        <v>28</v>
      </c>
      <c r="O17" s="146" t="s">
        <v>312</v>
      </c>
      <c r="P17" s="76"/>
      <c r="Q17" s="76"/>
    </row>
    <row r="18" spans="1:17" s="69" customFormat="1" ht="85.5" x14ac:dyDescent="0.2">
      <c r="A18" s="102">
        <v>15</v>
      </c>
      <c r="B18" s="95">
        <v>45349</v>
      </c>
      <c r="C18" s="98" t="s">
        <v>150</v>
      </c>
      <c r="D18" s="96" t="s">
        <v>57</v>
      </c>
      <c r="E18" s="97" t="s">
        <v>58</v>
      </c>
      <c r="F18" s="96" t="s">
        <v>29</v>
      </c>
      <c r="G18" s="98" t="s">
        <v>151</v>
      </c>
      <c r="H18" s="103" t="s">
        <v>152</v>
      </c>
      <c r="I18" s="103">
        <v>46053</v>
      </c>
      <c r="J18" s="98" t="s">
        <v>30</v>
      </c>
      <c r="K18" s="98">
        <v>1</v>
      </c>
      <c r="L18" s="74" t="s">
        <v>153</v>
      </c>
      <c r="M18" s="74" t="s">
        <v>330</v>
      </c>
      <c r="N18" s="109"/>
      <c r="O18" s="146" t="s">
        <v>312</v>
      </c>
      <c r="P18" s="89"/>
      <c r="Q18" s="89"/>
    </row>
    <row r="19" spans="1:17" s="29" customFormat="1" ht="57" x14ac:dyDescent="0.2">
      <c r="A19" s="99">
        <v>16</v>
      </c>
      <c r="B19" s="93">
        <v>45350</v>
      </c>
      <c r="C19" s="39" t="s">
        <v>154</v>
      </c>
      <c r="D19" s="90" t="s">
        <v>73</v>
      </c>
      <c r="E19" s="34" t="s">
        <v>74</v>
      </c>
      <c r="F19" s="90" t="s">
        <v>40</v>
      </c>
      <c r="G19" s="39" t="s">
        <v>13</v>
      </c>
      <c r="H19" s="39" t="s">
        <v>13</v>
      </c>
      <c r="I19" s="100" t="s">
        <v>13</v>
      </c>
      <c r="J19" s="39" t="s">
        <v>13</v>
      </c>
      <c r="K19" s="39" t="s">
        <v>13</v>
      </c>
      <c r="L19" s="51" t="s">
        <v>155</v>
      </c>
      <c r="M19" s="51" t="s">
        <v>320</v>
      </c>
      <c r="N19" s="48"/>
      <c r="O19" s="146" t="s">
        <v>312</v>
      </c>
      <c r="P19" s="76"/>
      <c r="Q19" s="76"/>
    </row>
    <row r="20" spans="1:17" s="29" customFormat="1" ht="57" x14ac:dyDescent="0.2">
      <c r="A20" s="99">
        <v>17</v>
      </c>
      <c r="B20" s="93">
        <v>45351</v>
      </c>
      <c r="C20" s="39" t="s">
        <v>156</v>
      </c>
      <c r="D20" s="90" t="s">
        <v>79</v>
      </c>
      <c r="E20" s="34" t="s">
        <v>157</v>
      </c>
      <c r="F20" s="90" t="s">
        <v>68</v>
      </c>
      <c r="G20" s="39" t="s">
        <v>133</v>
      </c>
      <c r="H20" s="39" t="s">
        <v>13</v>
      </c>
      <c r="I20" s="100">
        <v>46171</v>
      </c>
      <c r="J20" s="39" t="s">
        <v>48</v>
      </c>
      <c r="K20" s="39">
        <v>84</v>
      </c>
      <c r="L20" s="51" t="s">
        <v>69</v>
      </c>
      <c r="M20" s="51" t="s">
        <v>321</v>
      </c>
      <c r="N20" s="48"/>
      <c r="O20" s="146" t="s">
        <v>312</v>
      </c>
      <c r="P20" s="76"/>
      <c r="Q20" s="76"/>
    </row>
    <row r="21" spans="1:17" s="29" customFormat="1" ht="119.85" customHeight="1" x14ac:dyDescent="0.2">
      <c r="A21" s="99">
        <v>18</v>
      </c>
      <c r="B21" s="93">
        <v>45352</v>
      </c>
      <c r="C21" s="39" t="s">
        <v>158</v>
      </c>
      <c r="D21" s="90" t="s">
        <v>47</v>
      </c>
      <c r="E21" s="34" t="s">
        <v>41</v>
      </c>
      <c r="F21" s="90" t="s">
        <v>159</v>
      </c>
      <c r="G21" s="39" t="s">
        <v>160</v>
      </c>
      <c r="H21" s="39" t="s">
        <v>13</v>
      </c>
      <c r="I21" s="100" t="s">
        <v>161</v>
      </c>
      <c r="J21" s="39" t="s">
        <v>162</v>
      </c>
      <c r="K21" s="39">
        <v>1</v>
      </c>
      <c r="L21" s="105" t="s">
        <v>163</v>
      </c>
      <c r="M21" s="94" t="s">
        <v>322</v>
      </c>
      <c r="N21" s="48"/>
      <c r="O21" s="146" t="s">
        <v>312</v>
      </c>
      <c r="P21" s="76"/>
      <c r="Q21" s="76"/>
    </row>
    <row r="22" spans="1:17" s="113" customFormat="1" ht="84" customHeight="1" x14ac:dyDescent="0.2">
      <c r="A22" s="122">
        <v>19</v>
      </c>
      <c r="B22" s="150">
        <v>45366</v>
      </c>
      <c r="C22" s="151" t="s">
        <v>323</v>
      </c>
      <c r="D22" s="152" t="s">
        <v>164</v>
      </c>
      <c r="E22" s="153" t="s">
        <v>165</v>
      </c>
      <c r="F22" s="152" t="s">
        <v>166</v>
      </c>
      <c r="G22" s="151" t="s">
        <v>167</v>
      </c>
      <c r="H22" s="151" t="s">
        <v>13</v>
      </c>
      <c r="I22" s="154">
        <v>45689</v>
      </c>
      <c r="J22" s="151" t="s">
        <v>30</v>
      </c>
      <c r="K22" s="151">
        <v>1</v>
      </c>
      <c r="L22" s="153" t="s">
        <v>168</v>
      </c>
      <c r="M22" s="155" t="s">
        <v>324</v>
      </c>
      <c r="N22" s="112" t="s">
        <v>28</v>
      </c>
      <c r="O22" s="147" t="s">
        <v>312</v>
      </c>
    </row>
    <row r="23" spans="1:17" s="29" customFormat="1" ht="93.75" customHeight="1" x14ac:dyDescent="0.2">
      <c r="A23" s="99">
        <v>20</v>
      </c>
      <c r="B23" s="93">
        <v>45376</v>
      </c>
      <c r="C23" s="39" t="s">
        <v>169</v>
      </c>
      <c r="D23" s="90" t="s">
        <v>170</v>
      </c>
      <c r="E23" s="34" t="s">
        <v>171</v>
      </c>
      <c r="F23" s="90" t="s">
        <v>172</v>
      </c>
      <c r="G23" s="39" t="s">
        <v>173</v>
      </c>
      <c r="H23" s="39" t="s">
        <v>13</v>
      </c>
      <c r="I23" s="100">
        <v>45566</v>
      </c>
      <c r="J23" s="39" t="s">
        <v>13</v>
      </c>
      <c r="K23" s="39" t="s">
        <v>13</v>
      </c>
      <c r="L23" s="105" t="s">
        <v>174</v>
      </c>
      <c r="M23" s="94" t="s">
        <v>325</v>
      </c>
      <c r="N23" s="44"/>
      <c r="O23" s="146" t="s">
        <v>312</v>
      </c>
    </row>
    <row r="24" spans="1:17" s="29" customFormat="1" ht="75" customHeight="1" x14ac:dyDescent="0.2">
      <c r="A24" s="99">
        <v>21</v>
      </c>
      <c r="B24" s="93">
        <v>45377</v>
      </c>
      <c r="C24" s="39" t="s">
        <v>175</v>
      </c>
      <c r="D24" s="90" t="s">
        <v>176</v>
      </c>
      <c r="E24" s="34" t="s">
        <v>177</v>
      </c>
      <c r="F24" s="90" t="s">
        <v>40</v>
      </c>
      <c r="G24" s="106" t="s">
        <v>178</v>
      </c>
      <c r="H24" s="39" t="s">
        <v>13</v>
      </c>
      <c r="I24" s="100">
        <v>46142</v>
      </c>
      <c r="J24" s="39" t="s">
        <v>15</v>
      </c>
      <c r="K24" s="39">
        <v>1</v>
      </c>
      <c r="L24" s="105" t="s">
        <v>179</v>
      </c>
      <c r="M24" s="94" t="s">
        <v>391</v>
      </c>
      <c r="N24" s="48" t="s">
        <v>28</v>
      </c>
      <c r="O24" s="146" t="s">
        <v>312</v>
      </c>
    </row>
    <row r="25" spans="1:17" s="29" customFormat="1" ht="54.6" customHeight="1" x14ac:dyDescent="0.2">
      <c r="A25" s="99">
        <v>22</v>
      </c>
      <c r="B25" s="93">
        <v>45378</v>
      </c>
      <c r="C25" s="39" t="s">
        <v>180</v>
      </c>
      <c r="D25" s="105" t="s">
        <v>88</v>
      </c>
      <c r="E25" s="34" t="s">
        <v>89</v>
      </c>
      <c r="F25" s="90" t="s">
        <v>181</v>
      </c>
      <c r="G25" s="39">
        <v>221766</v>
      </c>
      <c r="H25" s="39" t="s">
        <v>13</v>
      </c>
      <c r="I25" s="108" t="s">
        <v>182</v>
      </c>
      <c r="J25" s="39" t="s">
        <v>15</v>
      </c>
      <c r="K25" s="39">
        <v>1</v>
      </c>
      <c r="L25" s="105" t="s">
        <v>183</v>
      </c>
      <c r="M25" s="94" t="s">
        <v>326</v>
      </c>
      <c r="N25" s="44"/>
      <c r="O25" s="146" t="s">
        <v>312</v>
      </c>
    </row>
    <row r="26" spans="1:17" s="29" customFormat="1" ht="57" x14ac:dyDescent="0.2">
      <c r="A26" s="99">
        <v>23</v>
      </c>
      <c r="B26" s="93">
        <v>45379</v>
      </c>
      <c r="C26" s="39" t="s">
        <v>184</v>
      </c>
      <c r="D26" s="90" t="s">
        <v>185</v>
      </c>
      <c r="E26" s="34" t="s">
        <v>186</v>
      </c>
      <c r="F26" s="90" t="s">
        <v>187</v>
      </c>
      <c r="G26" s="39" t="s">
        <v>188</v>
      </c>
      <c r="H26" s="39" t="s">
        <v>13</v>
      </c>
      <c r="I26" s="100">
        <v>45736</v>
      </c>
      <c r="J26" s="39" t="s">
        <v>15</v>
      </c>
      <c r="K26" s="39">
        <v>1</v>
      </c>
      <c r="L26" s="105" t="s">
        <v>189</v>
      </c>
      <c r="M26" s="94" t="s">
        <v>327</v>
      </c>
      <c r="N26" s="48" t="s">
        <v>28</v>
      </c>
      <c r="O26" s="146" t="s">
        <v>312</v>
      </c>
    </row>
    <row r="27" spans="1:17" s="29" customFormat="1" ht="96.6" customHeight="1" x14ac:dyDescent="0.2">
      <c r="A27" s="99">
        <v>24</v>
      </c>
      <c r="B27" s="95">
        <v>45380</v>
      </c>
      <c r="C27" s="98" t="s">
        <v>329</v>
      </c>
      <c r="D27" s="97" t="s">
        <v>190</v>
      </c>
      <c r="E27" s="97" t="s">
        <v>191</v>
      </c>
      <c r="F27" s="96" t="s">
        <v>29</v>
      </c>
      <c r="G27" s="98" t="s">
        <v>37</v>
      </c>
      <c r="H27" s="98" t="s">
        <v>13</v>
      </c>
      <c r="I27" s="110" t="s">
        <v>38</v>
      </c>
      <c r="J27" s="98" t="s">
        <v>30</v>
      </c>
      <c r="K27" s="98">
        <v>1</v>
      </c>
      <c r="L27" s="97" t="s">
        <v>192</v>
      </c>
      <c r="M27" s="111" t="s">
        <v>328</v>
      </c>
      <c r="N27" s="75"/>
      <c r="O27" s="147" t="s">
        <v>312</v>
      </c>
    </row>
    <row r="28" spans="1:17" s="69" customFormat="1" ht="47.1" customHeight="1" x14ac:dyDescent="0.2">
      <c r="A28" s="102">
        <v>25</v>
      </c>
      <c r="B28" s="95">
        <v>45380</v>
      </c>
      <c r="C28" s="98" t="s">
        <v>314</v>
      </c>
      <c r="D28" s="97" t="s">
        <v>88</v>
      </c>
      <c r="E28" s="97" t="s">
        <v>89</v>
      </c>
      <c r="F28" s="96" t="s">
        <v>181</v>
      </c>
      <c r="G28" s="98">
        <v>221766</v>
      </c>
      <c r="H28" s="98" t="s">
        <v>13</v>
      </c>
      <c r="I28" s="110" t="s">
        <v>182</v>
      </c>
      <c r="J28" s="98" t="s">
        <v>15</v>
      </c>
      <c r="K28" s="98">
        <v>1</v>
      </c>
      <c r="L28" s="97" t="s">
        <v>183</v>
      </c>
      <c r="M28" s="111" t="s">
        <v>332</v>
      </c>
      <c r="N28" s="75"/>
      <c r="O28" s="147" t="s">
        <v>312</v>
      </c>
    </row>
    <row r="29" spans="1:17" s="29" customFormat="1" ht="62.25" customHeight="1" x14ac:dyDescent="0.2">
      <c r="A29" s="99">
        <v>26</v>
      </c>
      <c r="B29" s="93">
        <v>45383</v>
      </c>
      <c r="C29" s="39" t="s">
        <v>193</v>
      </c>
      <c r="D29" s="105" t="s">
        <v>194</v>
      </c>
      <c r="E29" s="34" t="s">
        <v>195</v>
      </c>
      <c r="F29" s="90" t="s">
        <v>196</v>
      </c>
      <c r="G29" s="39" t="s">
        <v>197</v>
      </c>
      <c r="H29" s="39" t="s">
        <v>198</v>
      </c>
      <c r="I29" s="108" t="s">
        <v>199</v>
      </c>
      <c r="J29" s="39" t="s">
        <v>27</v>
      </c>
      <c r="K29" s="39">
        <v>1</v>
      </c>
      <c r="L29" s="105" t="s">
        <v>200</v>
      </c>
      <c r="M29" s="94" t="s">
        <v>333</v>
      </c>
      <c r="N29" s="44"/>
      <c r="O29" s="146" t="s">
        <v>312</v>
      </c>
    </row>
    <row r="30" spans="1:17" s="29" customFormat="1" ht="71.25" x14ac:dyDescent="0.2">
      <c r="A30" s="99">
        <v>27</v>
      </c>
      <c r="B30" s="93">
        <v>45394</v>
      </c>
      <c r="C30" s="39" t="s">
        <v>201</v>
      </c>
      <c r="D30" s="105" t="s">
        <v>202</v>
      </c>
      <c r="E30" s="34" t="s">
        <v>203</v>
      </c>
      <c r="F30" s="90" t="s">
        <v>204</v>
      </c>
      <c r="G30" s="39" t="s">
        <v>178</v>
      </c>
      <c r="H30" s="39" t="s">
        <v>13</v>
      </c>
      <c r="I30" s="108" t="s">
        <v>205</v>
      </c>
      <c r="J30" s="39" t="s">
        <v>15</v>
      </c>
      <c r="K30" s="39">
        <v>1</v>
      </c>
      <c r="L30" s="105" t="s">
        <v>206</v>
      </c>
      <c r="M30" s="94" t="s">
        <v>334</v>
      </c>
      <c r="N30" s="44"/>
      <c r="O30" s="146" t="s">
        <v>312</v>
      </c>
    </row>
    <row r="31" spans="1:17" s="92" customFormat="1" ht="86.25" customHeight="1" x14ac:dyDescent="0.2">
      <c r="A31" s="99">
        <v>28</v>
      </c>
      <c r="B31" s="93">
        <v>45401</v>
      </c>
      <c r="C31" s="39" t="s">
        <v>207</v>
      </c>
      <c r="D31" s="105" t="s">
        <v>208</v>
      </c>
      <c r="E31" s="34" t="s">
        <v>209</v>
      </c>
      <c r="F31" s="90" t="s">
        <v>210</v>
      </c>
      <c r="G31" s="39" t="s">
        <v>211</v>
      </c>
      <c r="H31" s="107" t="s">
        <v>141</v>
      </c>
      <c r="I31" s="108" t="s">
        <v>212</v>
      </c>
      <c r="J31" s="39" t="s">
        <v>33</v>
      </c>
      <c r="K31" s="39">
        <v>10</v>
      </c>
      <c r="L31" s="105" t="s">
        <v>213</v>
      </c>
      <c r="M31" s="94" t="s">
        <v>335</v>
      </c>
      <c r="N31" s="91"/>
      <c r="O31" s="146" t="s">
        <v>312</v>
      </c>
    </row>
    <row r="32" spans="1:17" s="92" customFormat="1" ht="66.75" customHeight="1" x14ac:dyDescent="0.2">
      <c r="A32" s="99">
        <v>29</v>
      </c>
      <c r="B32" s="93">
        <v>45404</v>
      </c>
      <c r="C32" s="39" t="s">
        <v>214</v>
      </c>
      <c r="D32" s="105" t="s">
        <v>215</v>
      </c>
      <c r="E32" s="34" t="s">
        <v>216</v>
      </c>
      <c r="F32" s="90" t="s">
        <v>217</v>
      </c>
      <c r="G32" s="39" t="s">
        <v>218</v>
      </c>
      <c r="H32" s="39" t="s">
        <v>13</v>
      </c>
      <c r="I32" s="108">
        <v>45961</v>
      </c>
      <c r="J32" s="39" t="s">
        <v>30</v>
      </c>
      <c r="K32" s="39">
        <v>1</v>
      </c>
      <c r="L32" s="105" t="s">
        <v>219</v>
      </c>
      <c r="M32" s="94" t="s">
        <v>336</v>
      </c>
      <c r="N32" s="91"/>
      <c r="O32" s="146" t="s">
        <v>312</v>
      </c>
    </row>
    <row r="33" spans="1:17" s="92" customFormat="1" ht="78.75" customHeight="1" x14ac:dyDescent="0.2">
      <c r="A33" s="99">
        <v>30</v>
      </c>
      <c r="B33" s="93">
        <v>45415</v>
      </c>
      <c r="C33" s="39" t="s">
        <v>220</v>
      </c>
      <c r="D33" s="105" t="s">
        <v>221</v>
      </c>
      <c r="E33" s="34" t="s">
        <v>222</v>
      </c>
      <c r="F33" s="90" t="s">
        <v>223</v>
      </c>
      <c r="G33" s="39" t="s">
        <v>224</v>
      </c>
      <c r="H33" s="39" t="s">
        <v>13</v>
      </c>
      <c r="I33" s="108">
        <v>45837</v>
      </c>
      <c r="J33" s="39" t="s">
        <v>15</v>
      </c>
      <c r="K33" s="39">
        <v>1</v>
      </c>
      <c r="L33" s="105" t="s">
        <v>225</v>
      </c>
      <c r="M33" s="94" t="s">
        <v>337</v>
      </c>
      <c r="N33" s="91"/>
      <c r="O33" s="146" t="s">
        <v>312</v>
      </c>
    </row>
    <row r="34" spans="1:17" s="92" customFormat="1" ht="171" x14ac:dyDescent="0.2">
      <c r="A34" s="99">
        <v>31</v>
      </c>
      <c r="B34" s="93">
        <v>45419</v>
      </c>
      <c r="C34" s="39" t="s">
        <v>226</v>
      </c>
      <c r="D34" s="105" t="s">
        <v>227</v>
      </c>
      <c r="E34" s="34" t="s">
        <v>228</v>
      </c>
      <c r="F34" s="90" t="s">
        <v>35</v>
      </c>
      <c r="G34" s="39" t="s">
        <v>18</v>
      </c>
      <c r="H34" s="39" t="s">
        <v>13</v>
      </c>
      <c r="I34" s="108" t="s">
        <v>19</v>
      </c>
      <c r="J34" s="39" t="s">
        <v>27</v>
      </c>
      <c r="K34" s="39">
        <v>23</v>
      </c>
      <c r="L34" s="105" t="s">
        <v>229</v>
      </c>
      <c r="M34" s="94" t="s">
        <v>362</v>
      </c>
      <c r="N34" s="91"/>
      <c r="O34" s="146" t="s">
        <v>312</v>
      </c>
    </row>
    <row r="35" spans="1:17" s="92" customFormat="1" ht="85.5" x14ac:dyDescent="0.2">
      <c r="A35" s="102">
        <v>32</v>
      </c>
      <c r="B35" s="95">
        <v>45426</v>
      </c>
      <c r="C35" s="98" t="s">
        <v>230</v>
      </c>
      <c r="D35" s="97" t="s">
        <v>231</v>
      </c>
      <c r="E35" s="97" t="s">
        <v>232</v>
      </c>
      <c r="F35" s="96" t="s">
        <v>233</v>
      </c>
      <c r="G35" s="98" t="s">
        <v>234</v>
      </c>
      <c r="H35" s="98" t="s">
        <v>13</v>
      </c>
      <c r="I35" s="110">
        <v>46142</v>
      </c>
      <c r="J35" s="98" t="s">
        <v>30</v>
      </c>
      <c r="K35" s="98">
        <v>2</v>
      </c>
      <c r="L35" s="97" t="s">
        <v>235</v>
      </c>
      <c r="M35" s="111" t="s">
        <v>338</v>
      </c>
      <c r="N35" s="109" t="s">
        <v>28</v>
      </c>
      <c r="O35" s="146" t="s">
        <v>312</v>
      </c>
    </row>
    <row r="36" spans="1:17" s="92" customFormat="1" ht="69" customHeight="1" x14ac:dyDescent="0.2">
      <c r="A36" s="99">
        <v>33</v>
      </c>
      <c r="B36" s="93">
        <v>45429</v>
      </c>
      <c r="C36" s="39" t="s">
        <v>236</v>
      </c>
      <c r="D36" s="105" t="s">
        <v>237</v>
      </c>
      <c r="E36" s="34" t="s">
        <v>238</v>
      </c>
      <c r="F36" s="90" t="s">
        <v>239</v>
      </c>
      <c r="G36" s="39">
        <v>31308</v>
      </c>
      <c r="H36" s="39" t="s">
        <v>13</v>
      </c>
      <c r="I36" s="108">
        <v>45869</v>
      </c>
      <c r="J36" s="39" t="s">
        <v>15</v>
      </c>
      <c r="K36" s="39">
        <v>1</v>
      </c>
      <c r="L36" s="105" t="s">
        <v>240</v>
      </c>
      <c r="M36" s="94" t="s">
        <v>339</v>
      </c>
      <c r="N36" s="91"/>
      <c r="O36" s="146" t="s">
        <v>312</v>
      </c>
    </row>
    <row r="37" spans="1:17" s="92" customFormat="1" ht="69" customHeight="1" x14ac:dyDescent="0.2">
      <c r="A37" s="99">
        <v>34</v>
      </c>
      <c r="B37" s="93">
        <v>45433</v>
      </c>
      <c r="C37" s="39" t="s">
        <v>241</v>
      </c>
      <c r="D37" s="105" t="s">
        <v>242</v>
      </c>
      <c r="E37" s="34" t="s">
        <v>243</v>
      </c>
      <c r="F37" s="90" t="s">
        <v>52</v>
      </c>
      <c r="G37" s="39" t="s">
        <v>244</v>
      </c>
      <c r="H37" s="39" t="s">
        <v>13</v>
      </c>
      <c r="I37" s="108" t="s">
        <v>245</v>
      </c>
      <c r="J37" s="39" t="s">
        <v>15</v>
      </c>
      <c r="K37" s="39">
        <v>1</v>
      </c>
      <c r="L37" s="105" t="s">
        <v>246</v>
      </c>
      <c r="M37" s="94" t="s">
        <v>341</v>
      </c>
      <c r="N37" s="91"/>
      <c r="O37" s="146" t="s">
        <v>312</v>
      </c>
    </row>
    <row r="38" spans="1:17" s="92" customFormat="1" ht="69" customHeight="1" x14ac:dyDescent="0.2">
      <c r="A38" s="99">
        <v>35</v>
      </c>
      <c r="B38" s="86">
        <v>45433</v>
      </c>
      <c r="C38" s="40" t="s">
        <v>247</v>
      </c>
      <c r="D38" s="87" t="s">
        <v>54</v>
      </c>
      <c r="E38" s="28" t="s">
        <v>55</v>
      </c>
      <c r="F38" s="22" t="s">
        <v>248</v>
      </c>
      <c r="G38" s="24" t="s">
        <v>249</v>
      </c>
      <c r="H38" s="39" t="s">
        <v>13</v>
      </c>
      <c r="I38" s="108">
        <v>45596</v>
      </c>
      <c r="J38" s="39" t="s">
        <v>15</v>
      </c>
      <c r="K38" s="39">
        <v>1</v>
      </c>
      <c r="L38" s="105" t="s">
        <v>250</v>
      </c>
      <c r="M38" s="94" t="s">
        <v>340</v>
      </c>
      <c r="N38" s="48" t="s">
        <v>28</v>
      </c>
      <c r="O38" s="146" t="s">
        <v>312</v>
      </c>
    </row>
    <row r="39" spans="1:17" s="160" customFormat="1" ht="77.25" customHeight="1" x14ac:dyDescent="0.2">
      <c r="A39" s="114">
        <v>36</v>
      </c>
      <c r="B39" s="115">
        <v>45443</v>
      </c>
      <c r="C39" s="116" t="s">
        <v>251</v>
      </c>
      <c r="D39" s="124" t="s">
        <v>252</v>
      </c>
      <c r="E39" s="118" t="s">
        <v>253</v>
      </c>
      <c r="F39" s="117" t="s">
        <v>254</v>
      </c>
      <c r="G39" s="116" t="s">
        <v>255</v>
      </c>
      <c r="H39" s="119" t="s">
        <v>256</v>
      </c>
      <c r="I39" s="156" t="s">
        <v>257</v>
      </c>
      <c r="J39" s="116" t="s">
        <v>48</v>
      </c>
      <c r="K39" s="116">
        <v>1</v>
      </c>
      <c r="L39" s="124" t="s">
        <v>258</v>
      </c>
      <c r="M39" s="157" t="s">
        <v>347</v>
      </c>
      <c r="N39" s="158"/>
      <c r="O39" s="159" t="s">
        <v>312</v>
      </c>
    </row>
    <row r="40" spans="1:17" s="160" customFormat="1" ht="73.5" customHeight="1" x14ac:dyDescent="0.2">
      <c r="A40" s="114">
        <v>37</v>
      </c>
      <c r="B40" s="115">
        <v>45443</v>
      </c>
      <c r="C40" s="116" t="s">
        <v>259</v>
      </c>
      <c r="D40" s="124" t="s">
        <v>260</v>
      </c>
      <c r="E40" s="118" t="s">
        <v>261</v>
      </c>
      <c r="F40" s="117" t="s">
        <v>254</v>
      </c>
      <c r="G40" s="116" t="s">
        <v>262</v>
      </c>
      <c r="H40" s="119" t="s">
        <v>263</v>
      </c>
      <c r="I40" s="156" t="s">
        <v>264</v>
      </c>
      <c r="J40" s="116" t="s">
        <v>48</v>
      </c>
      <c r="K40" s="116" t="s">
        <v>13</v>
      </c>
      <c r="L40" s="124" t="s">
        <v>265</v>
      </c>
      <c r="M40" s="157" t="s">
        <v>346</v>
      </c>
      <c r="N40" s="158"/>
      <c r="O40" s="159" t="s">
        <v>312</v>
      </c>
    </row>
    <row r="41" spans="1:17" s="92" customFormat="1" ht="74.849999999999994" customHeight="1" x14ac:dyDescent="0.2">
      <c r="A41" s="99">
        <v>38</v>
      </c>
      <c r="B41" s="93">
        <v>45448</v>
      </c>
      <c r="C41" s="39" t="s">
        <v>266</v>
      </c>
      <c r="D41" s="105" t="s">
        <v>267</v>
      </c>
      <c r="E41" s="34" t="s">
        <v>268</v>
      </c>
      <c r="F41" s="90" t="s">
        <v>269</v>
      </c>
      <c r="G41" s="39" t="s">
        <v>270</v>
      </c>
      <c r="H41" s="39" t="s">
        <v>13</v>
      </c>
      <c r="I41" s="161" t="s">
        <v>271</v>
      </c>
      <c r="J41" s="39" t="s">
        <v>27</v>
      </c>
      <c r="K41" s="39">
        <v>2</v>
      </c>
      <c r="L41" s="105" t="s">
        <v>272</v>
      </c>
      <c r="M41" s="94" t="s">
        <v>389</v>
      </c>
      <c r="N41" s="91"/>
      <c r="O41" s="146" t="s">
        <v>312</v>
      </c>
    </row>
    <row r="42" spans="1:17" s="92" customFormat="1" ht="78" customHeight="1" x14ac:dyDescent="0.2">
      <c r="A42" s="99">
        <v>39</v>
      </c>
      <c r="B42" s="93">
        <v>45449</v>
      </c>
      <c r="C42" s="39" t="s">
        <v>273</v>
      </c>
      <c r="D42" s="105" t="s">
        <v>274</v>
      </c>
      <c r="E42" s="34" t="s">
        <v>275</v>
      </c>
      <c r="F42" s="90" t="s">
        <v>276</v>
      </c>
      <c r="G42" s="39">
        <v>111337731</v>
      </c>
      <c r="H42" s="100">
        <v>45298</v>
      </c>
      <c r="I42" s="108">
        <v>45663</v>
      </c>
      <c r="J42" s="39" t="s">
        <v>48</v>
      </c>
      <c r="K42" s="39">
        <v>1</v>
      </c>
      <c r="L42" s="105" t="s">
        <v>277</v>
      </c>
      <c r="M42" s="94" t="s">
        <v>342</v>
      </c>
      <c r="N42" s="91"/>
      <c r="O42" s="146" t="s">
        <v>312</v>
      </c>
    </row>
    <row r="43" spans="1:17" s="92" customFormat="1" ht="69" customHeight="1" x14ac:dyDescent="0.2">
      <c r="A43" s="99">
        <v>40</v>
      </c>
      <c r="B43" s="93">
        <v>45454</v>
      </c>
      <c r="C43" s="39" t="s">
        <v>278</v>
      </c>
      <c r="D43" s="105" t="s">
        <v>279</v>
      </c>
      <c r="E43" s="34" t="s">
        <v>280</v>
      </c>
      <c r="F43" s="90" t="s">
        <v>281</v>
      </c>
      <c r="G43" s="39" t="s">
        <v>282</v>
      </c>
      <c r="H43" s="39" t="s">
        <v>13</v>
      </c>
      <c r="I43" s="108">
        <v>46295</v>
      </c>
      <c r="J43" s="39" t="s">
        <v>15</v>
      </c>
      <c r="K43" s="39">
        <v>1</v>
      </c>
      <c r="L43" s="105" t="s">
        <v>283</v>
      </c>
      <c r="M43" s="94" t="s">
        <v>343</v>
      </c>
      <c r="N43" s="91"/>
      <c r="O43" s="146" t="s">
        <v>312</v>
      </c>
    </row>
    <row r="44" spans="1:17" s="92" customFormat="1" ht="271.35000000000002" customHeight="1" x14ac:dyDescent="0.2">
      <c r="A44" s="125"/>
      <c r="B44" s="93">
        <v>45471</v>
      </c>
      <c r="C44" s="39" t="s">
        <v>284</v>
      </c>
      <c r="D44" s="105" t="s">
        <v>285</v>
      </c>
      <c r="E44" s="34" t="s">
        <v>286</v>
      </c>
      <c r="F44" s="90" t="s">
        <v>29</v>
      </c>
      <c r="G44" s="39" t="s">
        <v>287</v>
      </c>
      <c r="H44" s="39" t="s">
        <v>13</v>
      </c>
      <c r="I44" s="108" t="s">
        <v>288</v>
      </c>
      <c r="J44" s="39" t="s">
        <v>30</v>
      </c>
      <c r="K44" s="39">
        <v>2</v>
      </c>
      <c r="L44" s="105" t="s">
        <v>289</v>
      </c>
      <c r="M44" s="94" t="s">
        <v>366</v>
      </c>
      <c r="N44" s="91"/>
      <c r="O44" s="146" t="s">
        <v>312</v>
      </c>
    </row>
    <row r="45" spans="1:17" s="92" customFormat="1" ht="69" customHeight="1" x14ac:dyDescent="0.2">
      <c r="A45" s="125"/>
      <c r="B45" s="126">
        <v>45474</v>
      </c>
      <c r="C45" s="127" t="s">
        <v>290</v>
      </c>
      <c r="D45" s="128" t="s">
        <v>291</v>
      </c>
      <c r="E45" s="129" t="s">
        <v>292</v>
      </c>
      <c r="F45" s="130" t="s">
        <v>293</v>
      </c>
      <c r="G45" s="127" t="s">
        <v>294</v>
      </c>
      <c r="H45" s="127" t="s">
        <v>13</v>
      </c>
      <c r="I45" s="131">
        <v>45657</v>
      </c>
      <c r="J45" s="127" t="s">
        <v>15</v>
      </c>
      <c r="K45" s="127">
        <v>1</v>
      </c>
      <c r="L45" s="128" t="s">
        <v>295</v>
      </c>
      <c r="M45" s="132" t="s">
        <v>296</v>
      </c>
      <c r="N45" s="91"/>
      <c r="O45" s="146"/>
    </row>
    <row r="46" spans="1:17" s="29" customFormat="1" ht="98.1" customHeight="1" x14ac:dyDescent="0.2">
      <c r="A46" s="37"/>
      <c r="B46" s="133">
        <v>45476</v>
      </c>
      <c r="C46" s="134" t="s">
        <v>297</v>
      </c>
      <c r="D46" s="135" t="s">
        <v>164</v>
      </c>
      <c r="E46" s="136" t="s">
        <v>165</v>
      </c>
      <c r="F46" s="135" t="s">
        <v>166</v>
      </c>
      <c r="G46" s="134" t="s">
        <v>167</v>
      </c>
      <c r="H46" s="137" t="s">
        <v>298</v>
      </c>
      <c r="I46" s="138" t="s">
        <v>299</v>
      </c>
      <c r="J46" s="134" t="s">
        <v>30</v>
      </c>
      <c r="K46" s="139">
        <v>2</v>
      </c>
      <c r="L46" s="140" t="s">
        <v>300</v>
      </c>
      <c r="M46" s="141" t="s">
        <v>344</v>
      </c>
      <c r="N46" s="142"/>
      <c r="O46" s="146" t="s">
        <v>312</v>
      </c>
      <c r="P46" s="143"/>
      <c r="Q46" s="143"/>
    </row>
    <row r="47" spans="1:17" s="29" customFormat="1" ht="44.25" customHeight="1" x14ac:dyDescent="0.2">
      <c r="A47" s="37"/>
      <c r="B47" s="26">
        <v>45484</v>
      </c>
      <c r="C47" s="24" t="s">
        <v>301</v>
      </c>
      <c r="D47" s="123" t="s">
        <v>303</v>
      </c>
      <c r="E47" s="124" t="s">
        <v>304</v>
      </c>
      <c r="F47" s="123" t="s">
        <v>42</v>
      </c>
      <c r="G47" s="24">
        <v>222543</v>
      </c>
      <c r="H47" s="43" t="s">
        <v>13</v>
      </c>
      <c r="I47" s="25">
        <v>45965</v>
      </c>
      <c r="J47" s="24" t="s">
        <v>50</v>
      </c>
      <c r="K47" s="21">
        <v>3</v>
      </c>
      <c r="L47" s="144" t="s">
        <v>302</v>
      </c>
      <c r="M47" s="51" t="s">
        <v>310</v>
      </c>
      <c r="N47" s="47"/>
      <c r="O47" s="146" t="s">
        <v>312</v>
      </c>
      <c r="P47" s="76"/>
      <c r="Q47" s="76"/>
    </row>
    <row r="48" spans="1:17" s="29" customFormat="1" ht="86.85" customHeight="1" x14ac:dyDescent="0.2">
      <c r="A48" s="37"/>
      <c r="B48" s="26">
        <v>45484</v>
      </c>
      <c r="C48" s="24" t="s">
        <v>305</v>
      </c>
      <c r="D48" s="123" t="s">
        <v>306</v>
      </c>
      <c r="E48" s="124" t="s">
        <v>307</v>
      </c>
      <c r="F48" s="123" t="s">
        <v>293</v>
      </c>
      <c r="G48" s="24" t="s">
        <v>308</v>
      </c>
      <c r="H48" s="43" t="s">
        <v>13</v>
      </c>
      <c r="I48" s="25">
        <v>45657</v>
      </c>
      <c r="J48" s="24" t="s">
        <v>13</v>
      </c>
      <c r="K48" s="21" t="s">
        <v>13</v>
      </c>
      <c r="L48" s="144" t="s">
        <v>309</v>
      </c>
      <c r="M48" s="51" t="s">
        <v>345</v>
      </c>
      <c r="N48" s="48" t="s">
        <v>28</v>
      </c>
      <c r="O48" s="146" t="s">
        <v>312</v>
      </c>
      <c r="P48" s="76"/>
      <c r="Q48" s="76"/>
    </row>
    <row r="49" spans="1:16" s="180" customFormat="1" ht="89.1" customHeight="1" x14ac:dyDescent="0.2">
      <c r="A49" s="168"/>
      <c r="B49" s="169">
        <v>45488</v>
      </c>
      <c r="C49" s="170" t="s">
        <v>350</v>
      </c>
      <c r="D49" s="171" t="s">
        <v>279</v>
      </c>
      <c r="E49" s="172" t="s">
        <v>354</v>
      </c>
      <c r="F49" s="171" t="s">
        <v>281</v>
      </c>
      <c r="G49" s="170" t="s">
        <v>282</v>
      </c>
      <c r="H49" s="173" t="s">
        <v>13</v>
      </c>
      <c r="I49" s="174">
        <v>46295</v>
      </c>
      <c r="J49" s="170" t="s">
        <v>353</v>
      </c>
      <c r="K49" s="175">
        <v>69</v>
      </c>
      <c r="L49" s="176" t="s">
        <v>352</v>
      </c>
      <c r="M49" s="177" t="s">
        <v>395</v>
      </c>
      <c r="N49" s="178"/>
      <c r="O49" s="179"/>
      <c r="P49" s="180" t="s">
        <v>390</v>
      </c>
    </row>
    <row r="50" spans="1:16" s="29" customFormat="1" ht="44.25" customHeight="1" x14ac:dyDescent="0.2">
      <c r="A50" s="37"/>
      <c r="B50" s="26">
        <v>45490</v>
      </c>
      <c r="C50" s="24" t="s">
        <v>351</v>
      </c>
      <c r="D50" s="123" t="s">
        <v>355</v>
      </c>
      <c r="E50" s="124" t="s">
        <v>157</v>
      </c>
      <c r="F50" s="123" t="s">
        <v>68</v>
      </c>
      <c r="G50" s="24" t="s">
        <v>133</v>
      </c>
      <c r="H50" s="43" t="s">
        <v>13</v>
      </c>
      <c r="I50" s="25">
        <v>46171</v>
      </c>
      <c r="J50" s="24" t="s">
        <v>14</v>
      </c>
      <c r="K50" s="21">
        <v>11</v>
      </c>
      <c r="L50" s="144" t="s">
        <v>356</v>
      </c>
      <c r="M50" s="51" t="s">
        <v>357</v>
      </c>
      <c r="N50" s="47"/>
      <c r="O50" s="148" t="s">
        <v>312</v>
      </c>
    </row>
    <row r="51" spans="1:16" s="29" customFormat="1" ht="44.25" customHeight="1" x14ac:dyDescent="0.2">
      <c r="A51" s="37"/>
      <c r="B51" s="162" t="s">
        <v>348</v>
      </c>
      <c r="C51" s="163" t="s">
        <v>349</v>
      </c>
      <c r="D51" s="135" t="s">
        <v>360</v>
      </c>
      <c r="E51" s="136" t="s">
        <v>361</v>
      </c>
      <c r="F51" s="135" t="s">
        <v>40</v>
      </c>
      <c r="G51" s="164" t="s">
        <v>358</v>
      </c>
      <c r="H51" s="45" t="s">
        <v>13</v>
      </c>
      <c r="I51" s="46">
        <v>46173</v>
      </c>
      <c r="J51" s="163" t="s">
        <v>15</v>
      </c>
      <c r="K51" s="164">
        <v>1</v>
      </c>
      <c r="L51" s="165" t="s">
        <v>359</v>
      </c>
      <c r="M51" s="166" t="s">
        <v>374</v>
      </c>
      <c r="N51" s="47"/>
      <c r="O51" s="148" t="s">
        <v>312</v>
      </c>
    </row>
    <row r="52" spans="1:16" s="29" customFormat="1" ht="44.25" customHeight="1" x14ac:dyDescent="0.2">
      <c r="A52" s="37"/>
      <c r="B52" s="26">
        <v>45495</v>
      </c>
      <c r="C52" s="24" t="s">
        <v>363</v>
      </c>
      <c r="D52" s="123" t="s">
        <v>364</v>
      </c>
      <c r="E52" s="124" t="s">
        <v>367</v>
      </c>
      <c r="F52" s="123" t="s">
        <v>293</v>
      </c>
      <c r="G52" s="21" t="s">
        <v>294</v>
      </c>
      <c r="H52" s="43" t="s">
        <v>13</v>
      </c>
      <c r="I52" s="25">
        <v>45657</v>
      </c>
      <c r="J52" s="24" t="s">
        <v>15</v>
      </c>
      <c r="K52" s="21">
        <v>1</v>
      </c>
      <c r="L52" s="144" t="s">
        <v>365</v>
      </c>
      <c r="M52" s="51" t="s">
        <v>375</v>
      </c>
      <c r="N52" s="47"/>
      <c r="O52" s="167" t="s">
        <v>312</v>
      </c>
    </row>
    <row r="53" spans="1:16" s="29" customFormat="1" ht="64.349999999999994" customHeight="1" x14ac:dyDescent="0.2">
      <c r="A53" s="37"/>
      <c r="B53" s="26">
        <v>45496</v>
      </c>
      <c r="C53" s="24" t="s">
        <v>368</v>
      </c>
      <c r="D53" s="123" t="s">
        <v>369</v>
      </c>
      <c r="E53" s="124" t="s">
        <v>370</v>
      </c>
      <c r="F53" s="123" t="s">
        <v>16</v>
      </c>
      <c r="G53" s="21" t="s">
        <v>371</v>
      </c>
      <c r="H53" s="43" t="s">
        <v>13</v>
      </c>
      <c r="I53" s="25">
        <v>45801</v>
      </c>
      <c r="J53" s="24" t="s">
        <v>15</v>
      </c>
      <c r="K53" s="21">
        <v>1</v>
      </c>
      <c r="L53" s="144" t="s">
        <v>372</v>
      </c>
      <c r="M53" s="51" t="s">
        <v>373</v>
      </c>
      <c r="N53" s="47" t="s">
        <v>28</v>
      </c>
      <c r="O53" s="146" t="s">
        <v>312</v>
      </c>
    </row>
    <row r="54" spans="1:16" s="29" customFormat="1" ht="161.1" customHeight="1" x14ac:dyDescent="0.2">
      <c r="A54" s="37"/>
      <c r="B54" s="26">
        <v>45499</v>
      </c>
      <c r="C54" s="24" t="s">
        <v>376</v>
      </c>
      <c r="D54" s="123" t="s">
        <v>378</v>
      </c>
      <c r="E54" s="124" t="s">
        <v>379</v>
      </c>
      <c r="F54" s="123" t="s">
        <v>380</v>
      </c>
      <c r="G54" s="21" t="s">
        <v>381</v>
      </c>
      <c r="H54" s="43" t="s">
        <v>13</v>
      </c>
      <c r="I54" s="25" t="s">
        <v>382</v>
      </c>
      <c r="J54" s="24" t="s">
        <v>13</v>
      </c>
      <c r="K54" s="21" t="s">
        <v>13</v>
      </c>
      <c r="L54" s="144" t="s">
        <v>388</v>
      </c>
      <c r="M54" s="51" t="s">
        <v>396</v>
      </c>
      <c r="N54" s="47"/>
      <c r="O54" s="146" t="s">
        <v>312</v>
      </c>
    </row>
    <row r="55" spans="1:16" s="29" customFormat="1" ht="126.6" customHeight="1" x14ac:dyDescent="0.2">
      <c r="A55" s="37"/>
      <c r="B55" s="26">
        <v>45499</v>
      </c>
      <c r="C55" s="24" t="s">
        <v>377</v>
      </c>
      <c r="D55" s="123" t="s">
        <v>383</v>
      </c>
      <c r="E55" s="124" t="s">
        <v>384</v>
      </c>
      <c r="F55" s="123" t="s">
        <v>385</v>
      </c>
      <c r="G55" s="21" t="s">
        <v>386</v>
      </c>
      <c r="H55" s="43" t="s">
        <v>13</v>
      </c>
      <c r="I55" s="25">
        <v>46691</v>
      </c>
      <c r="J55" s="24" t="s">
        <v>15</v>
      </c>
      <c r="K55" s="21">
        <v>1</v>
      </c>
      <c r="L55" s="144" t="s">
        <v>387</v>
      </c>
      <c r="M55" s="51" t="s">
        <v>457</v>
      </c>
      <c r="N55" s="47"/>
      <c r="O55" s="146" t="s">
        <v>312</v>
      </c>
    </row>
    <row r="56" spans="1:16" s="29" customFormat="1" ht="57" x14ac:dyDescent="0.2">
      <c r="A56" s="37"/>
      <c r="B56" s="26">
        <v>45504</v>
      </c>
      <c r="C56" s="24" t="s">
        <v>392</v>
      </c>
      <c r="D56" s="123" t="s">
        <v>393</v>
      </c>
      <c r="E56" s="124"/>
      <c r="F56" s="123" t="s">
        <v>68</v>
      </c>
      <c r="G56" s="21" t="s">
        <v>133</v>
      </c>
      <c r="H56" s="43" t="s">
        <v>13</v>
      </c>
      <c r="I56" s="25">
        <v>46171</v>
      </c>
      <c r="J56" s="24" t="s">
        <v>394</v>
      </c>
      <c r="K56" s="21">
        <v>5</v>
      </c>
      <c r="L56" s="51" t="s">
        <v>69</v>
      </c>
      <c r="M56" s="51" t="s">
        <v>464</v>
      </c>
      <c r="N56" s="47"/>
      <c r="O56" s="146" t="s">
        <v>312</v>
      </c>
    </row>
    <row r="57" spans="1:16" s="29" customFormat="1" ht="99.6" customHeight="1" x14ac:dyDescent="0.2">
      <c r="A57" s="37"/>
      <c r="B57" s="26">
        <v>45509</v>
      </c>
      <c r="C57" s="24" t="s">
        <v>400</v>
      </c>
      <c r="D57" s="123" t="s">
        <v>399</v>
      </c>
      <c r="E57" s="124" t="s">
        <v>361</v>
      </c>
      <c r="F57" s="123" t="s">
        <v>398</v>
      </c>
      <c r="G57" s="21" t="s">
        <v>358</v>
      </c>
      <c r="H57" s="43" t="s">
        <v>13</v>
      </c>
      <c r="I57" s="25">
        <v>46173</v>
      </c>
      <c r="J57" s="24" t="s">
        <v>65</v>
      </c>
      <c r="K57" s="21">
        <v>1</v>
      </c>
      <c r="L57" s="144" t="s">
        <v>359</v>
      </c>
      <c r="M57" s="51" t="s">
        <v>458</v>
      </c>
      <c r="N57" s="48"/>
      <c r="O57" s="146"/>
    </row>
    <row r="58" spans="1:16" s="29" customFormat="1" ht="218.85" customHeight="1" x14ac:dyDescent="0.2">
      <c r="A58" s="37"/>
      <c r="B58" s="162">
        <v>45510</v>
      </c>
      <c r="C58" s="163" t="s">
        <v>401</v>
      </c>
      <c r="D58" s="135" t="s">
        <v>402</v>
      </c>
      <c r="E58" s="136" t="s">
        <v>408</v>
      </c>
      <c r="F58" s="135" t="s">
        <v>398</v>
      </c>
      <c r="G58" s="164" t="s">
        <v>358</v>
      </c>
      <c r="H58" s="45" t="s">
        <v>13</v>
      </c>
      <c r="I58" s="46">
        <v>46173</v>
      </c>
      <c r="J58" s="163" t="s">
        <v>15</v>
      </c>
      <c r="K58" s="164">
        <v>1</v>
      </c>
      <c r="L58" s="165" t="s">
        <v>403</v>
      </c>
      <c r="M58" s="166" t="s">
        <v>465</v>
      </c>
      <c r="N58" s="64" t="s">
        <v>28</v>
      </c>
      <c r="O58" s="148" t="s">
        <v>312</v>
      </c>
    </row>
    <row r="59" spans="1:16" s="29" customFormat="1" ht="60" customHeight="1" x14ac:dyDescent="0.2">
      <c r="A59" s="37"/>
      <c r="B59" s="26">
        <v>45511</v>
      </c>
      <c r="C59" s="24" t="s">
        <v>404</v>
      </c>
      <c r="D59" s="123" t="s">
        <v>406</v>
      </c>
      <c r="E59" s="124" t="s">
        <v>407</v>
      </c>
      <c r="F59" s="123" t="s">
        <v>405</v>
      </c>
      <c r="G59" s="21" t="s">
        <v>417</v>
      </c>
      <c r="H59" s="43" t="s">
        <v>13</v>
      </c>
      <c r="I59" s="25">
        <v>45721</v>
      </c>
      <c r="J59" s="24" t="s">
        <v>15</v>
      </c>
      <c r="K59" s="21">
        <v>2</v>
      </c>
      <c r="L59" s="144" t="s">
        <v>416</v>
      </c>
      <c r="M59" s="51" t="s">
        <v>459</v>
      </c>
      <c r="N59" s="47"/>
      <c r="O59" s="146" t="s">
        <v>312</v>
      </c>
    </row>
    <row r="60" spans="1:16" s="29" customFormat="1" ht="71.25" x14ac:dyDescent="0.2">
      <c r="A60" s="37"/>
      <c r="B60" s="26">
        <v>45511</v>
      </c>
      <c r="C60" s="24" t="s">
        <v>409</v>
      </c>
      <c r="D60" s="123" t="s">
        <v>410</v>
      </c>
      <c r="E60" s="124" t="s">
        <v>411</v>
      </c>
      <c r="F60" s="123" t="s">
        <v>78</v>
      </c>
      <c r="G60" s="21" t="s">
        <v>412</v>
      </c>
      <c r="H60" s="43" t="s">
        <v>13</v>
      </c>
      <c r="I60" s="25" t="s">
        <v>413</v>
      </c>
      <c r="J60" s="24" t="s">
        <v>15</v>
      </c>
      <c r="K60" s="21" t="s">
        <v>414</v>
      </c>
      <c r="L60" s="144" t="s">
        <v>415</v>
      </c>
      <c r="M60" s="51" t="s">
        <v>461</v>
      </c>
      <c r="N60" s="47"/>
      <c r="O60" s="146"/>
    </row>
    <row r="61" spans="1:16" s="29" customFormat="1" ht="99" customHeight="1" x14ac:dyDescent="0.2">
      <c r="A61" s="37"/>
      <c r="B61" s="72">
        <v>45511</v>
      </c>
      <c r="C61" s="24" t="s">
        <v>418</v>
      </c>
      <c r="D61" s="123" t="s">
        <v>47</v>
      </c>
      <c r="E61" s="124" t="s">
        <v>41</v>
      </c>
      <c r="F61" s="123" t="s">
        <v>421</v>
      </c>
      <c r="G61" s="21" t="s">
        <v>426</v>
      </c>
      <c r="H61" s="43" t="s">
        <v>13</v>
      </c>
      <c r="I61" s="25">
        <v>46548</v>
      </c>
      <c r="J61" s="24" t="s">
        <v>15</v>
      </c>
      <c r="K61" s="21">
        <v>1</v>
      </c>
      <c r="L61" s="144" t="s">
        <v>51</v>
      </c>
      <c r="M61" s="51" t="s">
        <v>460</v>
      </c>
      <c r="N61" s="47"/>
      <c r="O61" s="146" t="s">
        <v>312</v>
      </c>
    </row>
    <row r="62" spans="1:16" s="29" customFormat="1" ht="128.1" customHeight="1" x14ac:dyDescent="0.2">
      <c r="A62" s="37"/>
      <c r="B62" s="72">
        <v>45517</v>
      </c>
      <c r="C62" s="24" t="s">
        <v>420</v>
      </c>
      <c r="D62" s="123" t="s">
        <v>77</v>
      </c>
      <c r="E62" s="124" t="s">
        <v>419</v>
      </c>
      <c r="F62" s="123" t="s">
        <v>29</v>
      </c>
      <c r="G62" s="21" t="s">
        <v>234</v>
      </c>
      <c r="H62" s="43" t="s">
        <v>13</v>
      </c>
      <c r="I62" s="25">
        <v>46142</v>
      </c>
      <c r="J62" s="24" t="s">
        <v>30</v>
      </c>
      <c r="K62" s="21">
        <v>1</v>
      </c>
      <c r="L62" s="144" t="s">
        <v>427</v>
      </c>
      <c r="M62" s="51" t="s">
        <v>432</v>
      </c>
      <c r="N62" s="47"/>
      <c r="O62" s="146" t="s">
        <v>312</v>
      </c>
    </row>
    <row r="63" spans="1:16" s="29" customFormat="1" ht="63.6" customHeight="1" x14ac:dyDescent="0.2">
      <c r="A63" s="37"/>
      <c r="B63" s="72">
        <v>45517</v>
      </c>
      <c r="C63" s="24" t="s">
        <v>422</v>
      </c>
      <c r="D63" s="123" t="s">
        <v>423</v>
      </c>
      <c r="E63" s="124" t="s">
        <v>424</v>
      </c>
      <c r="F63" s="123" t="s">
        <v>217</v>
      </c>
      <c r="G63" s="21" t="s">
        <v>428</v>
      </c>
      <c r="H63" s="43" t="s">
        <v>13</v>
      </c>
      <c r="I63" s="25">
        <v>45961</v>
      </c>
      <c r="J63" s="24" t="s">
        <v>43</v>
      </c>
      <c r="K63" s="21">
        <v>1</v>
      </c>
      <c r="L63" s="144" t="s">
        <v>425</v>
      </c>
      <c r="M63" s="51" t="s">
        <v>462</v>
      </c>
      <c r="N63" s="47" t="s">
        <v>312</v>
      </c>
      <c r="O63" s="146" t="s">
        <v>312</v>
      </c>
    </row>
    <row r="64" spans="1:16" s="29" customFormat="1" ht="57" x14ac:dyDescent="0.2">
      <c r="A64" s="37"/>
      <c r="B64" s="72">
        <v>45523</v>
      </c>
      <c r="C64" s="24" t="s">
        <v>429</v>
      </c>
      <c r="D64" s="123" t="s">
        <v>430</v>
      </c>
      <c r="E64" s="124" t="s">
        <v>446</v>
      </c>
      <c r="F64" s="123" t="s">
        <v>431</v>
      </c>
      <c r="G64" s="21" t="s">
        <v>445</v>
      </c>
      <c r="H64" s="43" t="s">
        <v>13</v>
      </c>
      <c r="I64" s="25">
        <v>45716</v>
      </c>
      <c r="J64" s="24" t="s">
        <v>20</v>
      </c>
      <c r="K64" s="21">
        <v>5</v>
      </c>
      <c r="L64" s="184" t="s">
        <v>433</v>
      </c>
      <c r="M64" s="51" t="s">
        <v>434</v>
      </c>
      <c r="N64" s="47"/>
      <c r="O64" s="146"/>
    </row>
    <row r="65" spans="1:15" s="29" customFormat="1" ht="90" customHeight="1" x14ac:dyDescent="0.2">
      <c r="A65" s="37"/>
      <c r="B65" s="72">
        <v>45523</v>
      </c>
      <c r="C65" s="24" t="s">
        <v>435</v>
      </c>
      <c r="D65" s="123" t="s">
        <v>399</v>
      </c>
      <c r="E65" s="124" t="s">
        <v>361</v>
      </c>
      <c r="F65" s="123" t="s">
        <v>40</v>
      </c>
      <c r="G65" s="21" t="s">
        <v>436</v>
      </c>
      <c r="H65" s="43" t="s">
        <v>13</v>
      </c>
      <c r="I65" s="25">
        <v>46326</v>
      </c>
      <c r="J65" s="24" t="s">
        <v>15</v>
      </c>
      <c r="K65" s="21">
        <v>1</v>
      </c>
      <c r="L65" s="144" t="s">
        <v>437</v>
      </c>
      <c r="M65" s="51" t="s">
        <v>438</v>
      </c>
      <c r="N65" s="47"/>
      <c r="O65" s="146"/>
    </row>
    <row r="66" spans="1:15" s="29" customFormat="1" ht="46.35" customHeight="1" x14ac:dyDescent="0.2">
      <c r="A66" s="37"/>
      <c r="B66" s="72">
        <v>45524</v>
      </c>
      <c r="C66" s="24" t="s">
        <v>439</v>
      </c>
      <c r="D66" s="123" t="s">
        <v>440</v>
      </c>
      <c r="E66" s="124" t="s">
        <v>441</v>
      </c>
      <c r="F66" s="123" t="s">
        <v>39</v>
      </c>
      <c r="G66" s="21" t="s">
        <v>442</v>
      </c>
      <c r="H66" s="43" t="s">
        <v>13</v>
      </c>
      <c r="I66" s="25">
        <v>46387</v>
      </c>
      <c r="J66" s="24" t="s">
        <v>50</v>
      </c>
      <c r="K66" s="21">
        <v>1</v>
      </c>
      <c r="L66" s="144" t="s">
        <v>443</v>
      </c>
      <c r="M66" s="51" t="s">
        <v>463</v>
      </c>
      <c r="N66" s="47"/>
      <c r="O66" s="146"/>
    </row>
    <row r="67" spans="1:15" s="29" customFormat="1" ht="62.1" customHeight="1" x14ac:dyDescent="0.2">
      <c r="A67" s="37"/>
      <c r="B67" s="72">
        <v>45527</v>
      </c>
      <c r="C67" s="24" t="s">
        <v>447</v>
      </c>
      <c r="D67" s="123" t="s">
        <v>17</v>
      </c>
      <c r="E67" s="124" t="s">
        <v>60</v>
      </c>
      <c r="F67" s="123" t="s">
        <v>448</v>
      </c>
      <c r="G67" s="21" t="s">
        <v>449</v>
      </c>
      <c r="H67" s="43" t="s">
        <v>13</v>
      </c>
      <c r="I67" s="25">
        <v>45961</v>
      </c>
      <c r="J67" s="24" t="s">
        <v>450</v>
      </c>
      <c r="K67" s="21">
        <v>1</v>
      </c>
      <c r="L67" s="144" t="s">
        <v>451</v>
      </c>
      <c r="M67" s="51" t="s">
        <v>444</v>
      </c>
      <c r="N67" s="47" t="s">
        <v>312</v>
      </c>
      <c r="O67" s="148"/>
    </row>
    <row r="68" spans="1:15" s="29" customFormat="1" ht="14.25" x14ac:dyDescent="0.2">
      <c r="A68" s="37"/>
      <c r="B68" s="60"/>
      <c r="C68" s="61"/>
      <c r="D68" s="181"/>
      <c r="E68" s="182"/>
      <c r="F68" s="181"/>
      <c r="G68" s="78"/>
      <c r="H68" s="183"/>
      <c r="I68" s="63"/>
      <c r="J68" s="61"/>
      <c r="K68" s="78"/>
      <c r="L68" s="70"/>
      <c r="M68" s="70"/>
      <c r="N68" s="44"/>
      <c r="O68" s="148"/>
    </row>
    <row r="69" spans="1:15" s="29" customFormat="1" ht="14.25" x14ac:dyDescent="0.2">
      <c r="A69" s="37"/>
      <c r="B69" s="77"/>
      <c r="C69" s="78"/>
      <c r="D69" s="79"/>
      <c r="E69" s="79"/>
      <c r="F69" s="80"/>
      <c r="G69" s="61"/>
      <c r="H69" s="63"/>
      <c r="I69" s="60"/>
      <c r="J69" s="62"/>
      <c r="K69" s="81"/>
      <c r="L69" s="82"/>
      <c r="M69" s="70"/>
      <c r="N69" s="44"/>
      <c r="O69" s="148"/>
    </row>
    <row r="70" spans="1:15" s="15" customFormat="1" ht="14.25" x14ac:dyDescent="0.2">
      <c r="A70" s="37"/>
      <c r="B70" s="13"/>
      <c r="C70" s="14"/>
      <c r="D70" s="30" t="s">
        <v>21</v>
      </c>
      <c r="E70" s="31"/>
      <c r="F70" s="31"/>
      <c r="G70" s="30"/>
      <c r="H70" s="32"/>
      <c r="I70" s="57"/>
      <c r="J70" s="33"/>
      <c r="K70" s="33"/>
      <c r="L70" s="71" t="s">
        <v>22</v>
      </c>
      <c r="M70" s="52"/>
      <c r="N70" s="16"/>
      <c r="O70" s="149"/>
    </row>
    <row r="71" spans="1:15" s="15" customFormat="1" ht="14.25" x14ac:dyDescent="0.2">
      <c r="A71" s="37"/>
      <c r="C71" s="14"/>
      <c r="D71" s="15" t="s">
        <v>23</v>
      </c>
      <c r="E71" s="33"/>
      <c r="F71" s="84"/>
      <c r="G71" s="30"/>
      <c r="H71" s="32"/>
      <c r="I71" s="57"/>
      <c r="J71" s="33"/>
      <c r="K71" s="33"/>
      <c r="L71" s="53" t="s">
        <v>23</v>
      </c>
      <c r="M71" s="53"/>
      <c r="N71" s="16"/>
      <c r="O71" s="149"/>
    </row>
    <row r="72" spans="1:15" ht="15" x14ac:dyDescent="0.2">
      <c r="D72" s="9"/>
      <c r="E72" s="9"/>
      <c r="F72" s="85"/>
      <c r="G72" s="9"/>
      <c r="H72" s="10"/>
      <c r="I72" s="58"/>
      <c r="J72" s="11"/>
      <c r="K72" s="11"/>
      <c r="L72" s="67"/>
    </row>
    <row r="73" spans="1:15" ht="15" x14ac:dyDescent="0.2">
      <c r="D73" s="9"/>
      <c r="E73" s="9"/>
      <c r="F73" s="85"/>
      <c r="G73" s="9"/>
      <c r="H73" s="10"/>
      <c r="I73" s="58"/>
      <c r="J73" s="11"/>
      <c r="K73" s="11"/>
      <c r="L73" s="67"/>
    </row>
    <row r="77" spans="1:15" s="54" customFormat="1" x14ac:dyDescent="0.2">
      <c r="A77" s="38"/>
      <c r="B77" s="2"/>
      <c r="C77" s="8"/>
      <c r="D77" s="2"/>
      <c r="E77" s="2"/>
      <c r="F77" s="8"/>
      <c r="G77" s="2"/>
      <c r="H77" s="7"/>
      <c r="I77" s="59"/>
      <c r="J77" s="12"/>
      <c r="K77" s="12" t="s">
        <v>24</v>
      </c>
      <c r="N77" s="1"/>
      <c r="O77" s="1"/>
    </row>
    <row r="82" spans="1:15" s="54" customFormat="1" x14ac:dyDescent="0.2">
      <c r="A82" s="38"/>
      <c r="B82" s="2"/>
      <c r="C82" s="2"/>
      <c r="D82" s="12"/>
      <c r="E82" s="12"/>
      <c r="F82" s="8"/>
      <c r="G82" s="2"/>
      <c r="H82" s="7"/>
      <c r="I82" s="59"/>
      <c r="J82" s="12"/>
      <c r="K82" s="12"/>
      <c r="N82" s="1"/>
      <c r="O82" s="1"/>
    </row>
  </sheetData>
  <autoFilter ref="A3:Q67"/>
  <mergeCells count="3">
    <mergeCell ref="A1:C1"/>
    <mergeCell ref="D1:M1"/>
    <mergeCell ref="C2:D2"/>
  </mergeCells>
  <conditionalFormatting sqref="A70:A71">
    <cfRule type="expression" dxfId="174" priority="15">
      <formula>#REF!&lt;&gt;""</formula>
    </cfRule>
  </conditionalFormatting>
  <conditionalFormatting sqref="G25:H25 J25:K25">
    <cfRule type="expression" dxfId="173" priority="8">
      <formula>J25&lt;&gt;""</formula>
    </cfRule>
  </conditionalFormatting>
  <conditionalFormatting sqref="G38:H38">
    <cfRule type="expression" dxfId="172" priority="7">
      <formula>J38&lt;&gt;""</formula>
    </cfRule>
  </conditionalFormatting>
  <conditionalFormatting sqref="G13:K17 G18:G23 H26:K26 G26:G37 H27:H37 J27:K45 H39:H45 G39:G47 H46:K47">
    <cfRule type="expression" dxfId="171" priority="12">
      <formula>J13&lt;&gt;""</formula>
    </cfRule>
  </conditionalFormatting>
  <conditionalFormatting sqref="G48:K68">
    <cfRule type="expression" dxfId="170" priority="6">
      <formula>J48&lt;&gt;""</formula>
    </cfRule>
  </conditionalFormatting>
  <conditionalFormatting sqref="H18:K24">
    <cfRule type="expression" dxfId="169" priority="10">
      <formula>K18&lt;&gt;""</formula>
    </cfRule>
  </conditionalFormatting>
  <conditionalFormatting sqref="L13:L20">
    <cfRule type="expression" dxfId="168" priority="11">
      <formula>P13&lt;&gt;""</formula>
    </cfRule>
  </conditionalFormatting>
  <conditionalFormatting sqref="L56 L68">
    <cfRule type="expression" dxfId="167" priority="1">
      <formula>P56&lt;&gt;""</formula>
    </cfRule>
  </conditionalFormatting>
  <conditionalFormatting sqref="O1:O1048576">
    <cfRule type="expression" dxfId="166" priority="2">
      <formula>$O1=""</formula>
    </cfRule>
  </conditionalFormatting>
  <printOptions horizontalCentered="1"/>
  <pageMargins left="0.2" right="0.2" top="0" bottom="0.5" header="0.05" footer="0.25"/>
  <pageSetup paperSize="9" scale="57" fitToHeight="0" orientation="landscape" r:id="rId1"/>
  <headerFooter alignWithMargins="0">
    <oddFooter>&amp;L&amp;"Tahoma,Regular"&amp;11BM-QT-QLCL-009-09-02&amp;R&amp;"Tahoma,Regular"&amp;11Trang/page &amp;P/&amp;N</oddFooter>
  </headerFooter>
  <rowBreaks count="1" manualBreakCount="1">
    <brk id="57" max="12"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Q112"/>
  <sheetViews>
    <sheetView view="pageBreakPreview" topLeftCell="A96" zoomScaleNormal="100" zoomScaleSheetLayoutView="100" workbookViewId="0">
      <selection activeCell="F84" sqref="F84"/>
    </sheetView>
  </sheetViews>
  <sheetFormatPr defaultColWidth="8.85546875" defaultRowHeight="12.75" x14ac:dyDescent="0.2"/>
  <cols>
    <col min="1" max="1" width="7.42578125" style="38" customWidth="1"/>
    <col min="2" max="2" width="12.42578125" style="2" customWidth="1"/>
    <col min="3" max="3" width="19.5703125" style="2" customWidth="1"/>
    <col min="4" max="4" width="28" style="2" customWidth="1"/>
    <col min="5" max="5" width="28.5703125" style="2" customWidth="1"/>
    <col min="6" max="6" width="24.85546875" style="8" customWidth="1"/>
    <col min="7" max="7" width="11.85546875" style="2" customWidth="1"/>
    <col min="8" max="8" width="14.5703125" style="7" customWidth="1"/>
    <col min="9" max="9" width="13.42578125" style="59" customWidth="1"/>
    <col min="10" max="10" width="11.5703125" style="12" customWidth="1"/>
    <col min="11" max="11" width="13.5703125" style="12" customWidth="1"/>
    <col min="12" max="13" width="38.85546875" style="54" customWidth="1"/>
    <col min="14" max="14" width="50" style="54" customWidth="1"/>
    <col min="15" max="15" width="12.42578125" style="1" customWidth="1"/>
    <col min="16" max="16" width="13" style="1" customWidth="1"/>
    <col min="17" max="16384" width="8.85546875" style="2"/>
  </cols>
  <sheetData>
    <row r="1" spans="1:17" ht="46.35" customHeight="1" x14ac:dyDescent="0.2">
      <c r="A1" s="726"/>
      <c r="B1" s="726"/>
      <c r="C1" s="729"/>
      <c r="D1" s="727" t="s">
        <v>84</v>
      </c>
      <c r="E1" s="727"/>
      <c r="F1" s="727"/>
      <c r="G1" s="727"/>
      <c r="H1" s="727"/>
      <c r="I1" s="727"/>
      <c r="J1" s="727"/>
      <c r="K1" s="727"/>
      <c r="L1" s="727"/>
      <c r="M1" s="727"/>
      <c r="N1" s="727"/>
    </row>
    <row r="2" spans="1:17" x14ac:dyDescent="0.2">
      <c r="A2" s="35"/>
      <c r="B2" s="3"/>
      <c r="C2" s="730"/>
      <c r="D2" s="728"/>
      <c r="E2" s="4"/>
      <c r="F2" s="83"/>
      <c r="G2" s="5"/>
      <c r="H2" s="6"/>
      <c r="I2" s="55"/>
      <c r="J2" s="5"/>
      <c r="K2" s="5"/>
      <c r="L2" s="65"/>
      <c r="M2" s="65"/>
      <c r="N2" s="49"/>
    </row>
    <row r="3" spans="1:17" s="15" customFormat="1" ht="57" x14ac:dyDescent="0.2">
      <c r="A3" s="36" t="s">
        <v>0</v>
      </c>
      <c r="B3" s="17" t="s">
        <v>1</v>
      </c>
      <c r="C3" s="17" t="s">
        <v>2</v>
      </c>
      <c r="D3" s="17" t="s">
        <v>3</v>
      </c>
      <c r="E3" s="17" t="s">
        <v>4</v>
      </c>
      <c r="F3" s="18" t="s">
        <v>5</v>
      </c>
      <c r="G3" s="17" t="s">
        <v>6</v>
      </c>
      <c r="H3" s="17" t="s">
        <v>7</v>
      </c>
      <c r="I3" s="56" t="s">
        <v>8</v>
      </c>
      <c r="J3" s="19" t="s">
        <v>9</v>
      </c>
      <c r="K3" s="17" t="s">
        <v>10</v>
      </c>
      <c r="L3" s="50" t="s">
        <v>11</v>
      </c>
      <c r="M3" s="50" t="s">
        <v>453</v>
      </c>
      <c r="N3" s="50" t="s">
        <v>12</v>
      </c>
      <c r="O3" s="17" t="s">
        <v>25</v>
      </c>
      <c r="P3" s="220" t="s">
        <v>604</v>
      </c>
      <c r="Q3" s="231" t="s">
        <v>651</v>
      </c>
    </row>
    <row r="4" spans="1:17" s="29" customFormat="1" ht="132" customHeight="1" x14ac:dyDescent="0.2">
      <c r="A4" s="99">
        <f>ROW(B4)-3</f>
        <v>1</v>
      </c>
      <c r="B4" s="93">
        <v>45295</v>
      </c>
      <c r="C4" s="39" t="s">
        <v>87</v>
      </c>
      <c r="D4" s="90" t="s">
        <v>88</v>
      </c>
      <c r="E4" s="90" t="s">
        <v>89</v>
      </c>
      <c r="F4" s="34" t="s">
        <v>90</v>
      </c>
      <c r="G4" s="39" t="s">
        <v>91</v>
      </c>
      <c r="H4" s="100" t="s">
        <v>13</v>
      </c>
      <c r="I4" s="93">
        <v>45584</v>
      </c>
      <c r="J4" s="90" t="s">
        <v>15</v>
      </c>
      <c r="K4" s="101">
        <v>1</v>
      </c>
      <c r="L4" s="51" t="s">
        <v>92</v>
      </c>
      <c r="M4" s="144" t="s">
        <v>13</v>
      </c>
      <c r="N4" s="51" t="s">
        <v>93</v>
      </c>
      <c r="O4" s="47" t="s">
        <v>28</v>
      </c>
      <c r="P4" s="42"/>
    </row>
    <row r="5" spans="1:17" s="29" customFormat="1" ht="57" x14ac:dyDescent="0.2">
      <c r="A5" s="99">
        <f t="shared" ref="A5:A68" si="0">ROW(B5)-3</f>
        <v>2</v>
      </c>
      <c r="B5" s="93">
        <v>45296</v>
      </c>
      <c r="C5" s="39" t="s">
        <v>94</v>
      </c>
      <c r="D5" s="90" t="s">
        <v>95</v>
      </c>
      <c r="E5" s="90" t="s">
        <v>64</v>
      </c>
      <c r="F5" s="34" t="s">
        <v>59</v>
      </c>
      <c r="G5" s="39" t="s">
        <v>96</v>
      </c>
      <c r="H5" s="100" t="s">
        <v>13</v>
      </c>
      <c r="I5" s="93">
        <v>46174</v>
      </c>
      <c r="J5" s="90" t="s">
        <v>15</v>
      </c>
      <c r="K5" s="101">
        <v>1</v>
      </c>
      <c r="L5" s="51" t="s">
        <v>97</v>
      </c>
      <c r="M5" s="144" t="s">
        <v>13</v>
      </c>
      <c r="N5" s="51" t="s">
        <v>98</v>
      </c>
      <c r="O5" s="47"/>
      <c r="P5" s="42"/>
    </row>
    <row r="6" spans="1:17" s="69" customFormat="1" ht="161.1" customHeight="1" x14ac:dyDescent="0.2">
      <c r="A6" s="99">
        <f t="shared" si="0"/>
        <v>3</v>
      </c>
      <c r="B6" s="95">
        <v>45301</v>
      </c>
      <c r="C6" s="98" t="s">
        <v>99</v>
      </c>
      <c r="D6" s="96" t="s">
        <v>100</v>
      </c>
      <c r="E6" s="96" t="s">
        <v>101</v>
      </c>
      <c r="F6" s="97" t="s">
        <v>29</v>
      </c>
      <c r="G6" s="98" t="s">
        <v>56</v>
      </c>
      <c r="H6" s="103" t="s">
        <v>13</v>
      </c>
      <c r="I6" s="95">
        <v>46053</v>
      </c>
      <c r="J6" s="96" t="s">
        <v>30</v>
      </c>
      <c r="K6" s="104">
        <v>1</v>
      </c>
      <c r="L6" s="74" t="s">
        <v>102</v>
      </c>
      <c r="M6" s="144" t="s">
        <v>13</v>
      </c>
      <c r="N6" s="74" t="s">
        <v>331</v>
      </c>
      <c r="O6" s="68" t="s">
        <v>28</v>
      </c>
      <c r="P6" s="73"/>
    </row>
    <row r="7" spans="1:17" s="29" customFormat="1" ht="57" x14ac:dyDescent="0.2">
      <c r="A7" s="99">
        <f t="shared" si="0"/>
        <v>4</v>
      </c>
      <c r="B7" s="93">
        <v>45300</v>
      </c>
      <c r="C7" s="39" t="s">
        <v>103</v>
      </c>
      <c r="D7" s="90" t="s">
        <v>104</v>
      </c>
      <c r="E7" s="90" t="s">
        <v>105</v>
      </c>
      <c r="F7" s="34" t="s">
        <v>68</v>
      </c>
      <c r="G7" s="39" t="s">
        <v>81</v>
      </c>
      <c r="H7" s="100" t="s">
        <v>13</v>
      </c>
      <c r="I7" s="93">
        <v>46169</v>
      </c>
      <c r="J7" s="90" t="s">
        <v>15</v>
      </c>
      <c r="K7" s="101">
        <v>19</v>
      </c>
      <c r="L7" s="51" t="s">
        <v>106</v>
      </c>
      <c r="M7" s="144" t="s">
        <v>13</v>
      </c>
      <c r="N7" s="51" t="s">
        <v>313</v>
      </c>
      <c r="O7" s="47" t="s">
        <v>28</v>
      </c>
      <c r="P7" s="42"/>
    </row>
    <row r="8" spans="1:17" s="29" customFormat="1" ht="71.25" x14ac:dyDescent="0.2">
      <c r="A8" s="99">
        <f t="shared" si="0"/>
        <v>5</v>
      </c>
      <c r="B8" s="93">
        <v>45303</v>
      </c>
      <c r="C8" s="39" t="s">
        <v>107</v>
      </c>
      <c r="D8" s="90" t="s">
        <v>108</v>
      </c>
      <c r="E8" s="90" t="s">
        <v>109</v>
      </c>
      <c r="F8" s="34" t="s">
        <v>110</v>
      </c>
      <c r="G8" s="39" t="s">
        <v>111</v>
      </c>
      <c r="H8" s="100" t="s">
        <v>13</v>
      </c>
      <c r="I8" s="93">
        <v>45963</v>
      </c>
      <c r="J8" s="90" t="s">
        <v>72</v>
      </c>
      <c r="K8" s="101">
        <v>2</v>
      </c>
      <c r="L8" s="51" t="s">
        <v>112</v>
      </c>
      <c r="M8" s="144" t="s">
        <v>13</v>
      </c>
      <c r="N8" s="51" t="s">
        <v>113</v>
      </c>
      <c r="O8" s="47" t="s">
        <v>28</v>
      </c>
      <c r="P8" s="42"/>
    </row>
    <row r="9" spans="1:17" s="29" customFormat="1" ht="57" x14ac:dyDescent="0.2">
      <c r="A9" s="99">
        <f t="shared" si="0"/>
        <v>6</v>
      </c>
      <c r="B9" s="93">
        <v>45303</v>
      </c>
      <c r="C9" s="39" t="s">
        <v>114</v>
      </c>
      <c r="D9" s="90" t="s">
        <v>115</v>
      </c>
      <c r="E9" s="90" t="s">
        <v>80</v>
      </c>
      <c r="F9" s="34" t="s">
        <v>68</v>
      </c>
      <c r="G9" s="39" t="s">
        <v>81</v>
      </c>
      <c r="H9" s="100" t="s">
        <v>13</v>
      </c>
      <c r="I9" s="93">
        <v>46169</v>
      </c>
      <c r="J9" s="90" t="s">
        <v>15</v>
      </c>
      <c r="K9" s="101">
        <v>34</v>
      </c>
      <c r="L9" s="51" t="s">
        <v>106</v>
      </c>
      <c r="M9" s="144" t="s">
        <v>13</v>
      </c>
      <c r="N9" s="51" t="s">
        <v>116</v>
      </c>
      <c r="O9" s="47" t="s">
        <v>28</v>
      </c>
      <c r="P9" s="42"/>
    </row>
    <row r="10" spans="1:17" s="29" customFormat="1" ht="42.75" x14ac:dyDescent="0.2">
      <c r="A10" s="99">
        <f t="shared" si="0"/>
        <v>7</v>
      </c>
      <c r="B10" s="93">
        <v>45309</v>
      </c>
      <c r="C10" s="39" t="s">
        <v>117</v>
      </c>
      <c r="D10" s="90" t="s">
        <v>118</v>
      </c>
      <c r="E10" s="90" t="s">
        <v>119</v>
      </c>
      <c r="F10" s="34" t="s">
        <v>120</v>
      </c>
      <c r="G10" s="39" t="s">
        <v>121</v>
      </c>
      <c r="H10" s="100" t="s">
        <v>13</v>
      </c>
      <c r="I10" s="93">
        <v>45658</v>
      </c>
      <c r="J10" s="90" t="s">
        <v>15</v>
      </c>
      <c r="K10" s="101">
        <v>1</v>
      </c>
      <c r="L10" s="51" t="s">
        <v>122</v>
      </c>
      <c r="M10" s="144" t="s">
        <v>13</v>
      </c>
      <c r="N10" s="51" t="s">
        <v>603</v>
      </c>
      <c r="O10" s="48"/>
      <c r="P10" s="42"/>
    </row>
    <row r="11" spans="1:17" s="29" customFormat="1" ht="28.5" x14ac:dyDescent="0.2">
      <c r="A11" s="99">
        <f t="shared" si="0"/>
        <v>8</v>
      </c>
      <c r="B11" s="93">
        <v>45321</v>
      </c>
      <c r="C11" s="39" t="s">
        <v>124</v>
      </c>
      <c r="D11" s="90" t="s">
        <v>125</v>
      </c>
      <c r="E11" s="90" t="s">
        <v>76</v>
      </c>
      <c r="F11" s="34" t="s">
        <v>68</v>
      </c>
      <c r="G11" s="39" t="s">
        <v>81</v>
      </c>
      <c r="H11" s="100" t="s">
        <v>13</v>
      </c>
      <c r="I11" s="93">
        <v>46169</v>
      </c>
      <c r="J11" s="90" t="s">
        <v>15</v>
      </c>
      <c r="K11" s="101">
        <v>3</v>
      </c>
      <c r="L11" s="51" t="s">
        <v>106</v>
      </c>
      <c r="M11" s="144" t="s">
        <v>13</v>
      </c>
      <c r="N11" s="51" t="s">
        <v>116</v>
      </c>
      <c r="O11" s="48" t="s">
        <v>28</v>
      </c>
      <c r="P11" s="42"/>
    </row>
    <row r="12" spans="1:17" s="29" customFormat="1" ht="85.5" x14ac:dyDescent="0.2">
      <c r="A12" s="99">
        <f t="shared" si="0"/>
        <v>9</v>
      </c>
      <c r="B12" s="115">
        <v>45323</v>
      </c>
      <c r="C12" s="116" t="s">
        <v>126</v>
      </c>
      <c r="D12" s="117" t="s">
        <v>127</v>
      </c>
      <c r="E12" s="117" t="s">
        <v>128</v>
      </c>
      <c r="F12" s="118" t="s">
        <v>129</v>
      </c>
      <c r="G12" s="116" t="s">
        <v>130</v>
      </c>
      <c r="H12" s="119" t="s">
        <v>13</v>
      </c>
      <c r="I12" s="115">
        <v>45991</v>
      </c>
      <c r="J12" s="117" t="s">
        <v>15</v>
      </c>
      <c r="K12" s="120">
        <v>1</v>
      </c>
      <c r="L12" s="121" t="s">
        <v>131</v>
      </c>
      <c r="M12" s="144" t="s">
        <v>13</v>
      </c>
      <c r="N12" s="121" t="s">
        <v>315</v>
      </c>
      <c r="O12" s="48"/>
      <c r="P12" s="42"/>
    </row>
    <row r="13" spans="1:17" s="29" customFormat="1" ht="57" x14ac:dyDescent="0.2">
      <c r="A13" s="99">
        <f t="shared" si="0"/>
        <v>10</v>
      </c>
      <c r="B13" s="93">
        <v>45327</v>
      </c>
      <c r="C13" s="39" t="s">
        <v>132</v>
      </c>
      <c r="D13" s="90" t="s">
        <v>82</v>
      </c>
      <c r="E13" s="34" t="s">
        <v>83</v>
      </c>
      <c r="F13" s="90" t="s">
        <v>68</v>
      </c>
      <c r="G13" s="39" t="s">
        <v>133</v>
      </c>
      <c r="H13" s="100" t="s">
        <v>13</v>
      </c>
      <c r="I13" s="100">
        <v>46171</v>
      </c>
      <c r="J13" s="39" t="s">
        <v>15</v>
      </c>
      <c r="K13" s="39">
        <v>3</v>
      </c>
      <c r="L13" s="51" t="s">
        <v>134</v>
      </c>
      <c r="M13" s="144" t="s">
        <v>13</v>
      </c>
      <c r="N13" s="51" t="s">
        <v>116</v>
      </c>
      <c r="O13" s="48" t="s">
        <v>28</v>
      </c>
      <c r="P13" s="42"/>
    </row>
    <row r="14" spans="1:17" s="29" customFormat="1" ht="57" x14ac:dyDescent="0.2">
      <c r="A14" s="99">
        <f t="shared" si="0"/>
        <v>11</v>
      </c>
      <c r="B14" s="93">
        <v>45341</v>
      </c>
      <c r="C14" s="39" t="s">
        <v>135</v>
      </c>
      <c r="D14" s="90" t="s">
        <v>66</v>
      </c>
      <c r="E14" s="34" t="s">
        <v>67</v>
      </c>
      <c r="F14" s="90" t="s">
        <v>16</v>
      </c>
      <c r="G14" s="39" t="s">
        <v>136</v>
      </c>
      <c r="H14" s="100" t="s">
        <v>13</v>
      </c>
      <c r="I14" s="100">
        <v>45535</v>
      </c>
      <c r="J14" s="39" t="s">
        <v>15</v>
      </c>
      <c r="K14" s="39">
        <v>1</v>
      </c>
      <c r="L14" s="51" t="s">
        <v>137</v>
      </c>
      <c r="M14" s="144" t="s">
        <v>13</v>
      </c>
      <c r="N14" s="51" t="s">
        <v>491</v>
      </c>
      <c r="O14" s="48" t="s">
        <v>28</v>
      </c>
      <c r="P14" s="42"/>
    </row>
    <row r="15" spans="1:17" s="29" customFormat="1" ht="114" x14ac:dyDescent="0.2">
      <c r="A15" s="99">
        <f t="shared" si="0"/>
        <v>12</v>
      </c>
      <c r="B15" s="93">
        <v>45341</v>
      </c>
      <c r="C15" s="39" t="s">
        <v>139</v>
      </c>
      <c r="D15" s="90" t="s">
        <v>63</v>
      </c>
      <c r="E15" s="34" t="s">
        <v>64</v>
      </c>
      <c r="F15" s="90" t="s">
        <v>59</v>
      </c>
      <c r="G15" s="39" t="s">
        <v>140</v>
      </c>
      <c r="H15" s="100" t="s">
        <v>141</v>
      </c>
      <c r="I15" s="100">
        <v>46174</v>
      </c>
      <c r="J15" s="39" t="s">
        <v>15</v>
      </c>
      <c r="K15" s="39">
        <v>1</v>
      </c>
      <c r="L15" s="51" t="s">
        <v>142</v>
      </c>
      <c r="M15" s="144" t="s">
        <v>13</v>
      </c>
      <c r="N15" s="51" t="s">
        <v>316</v>
      </c>
      <c r="O15" s="48"/>
      <c r="P15" s="42"/>
    </row>
    <row r="16" spans="1:17" s="29" customFormat="1" ht="71.25" x14ac:dyDescent="0.2">
      <c r="A16" s="99">
        <f t="shared" si="0"/>
        <v>13</v>
      </c>
      <c r="B16" s="95">
        <v>45341</v>
      </c>
      <c r="C16" s="98" t="s">
        <v>318</v>
      </c>
      <c r="D16" s="96" t="s">
        <v>31</v>
      </c>
      <c r="E16" s="97" t="s">
        <v>32</v>
      </c>
      <c r="F16" s="96" t="s">
        <v>44</v>
      </c>
      <c r="G16" s="98" t="s">
        <v>143</v>
      </c>
      <c r="H16" s="103" t="s">
        <v>13</v>
      </c>
      <c r="I16" s="103">
        <v>45777</v>
      </c>
      <c r="J16" s="98" t="s">
        <v>30</v>
      </c>
      <c r="K16" s="98">
        <v>1</v>
      </c>
      <c r="L16" s="74" t="s">
        <v>144</v>
      </c>
      <c r="M16" s="144" t="s">
        <v>13</v>
      </c>
      <c r="N16" s="74" t="s">
        <v>317</v>
      </c>
      <c r="O16" s="109" t="s">
        <v>28</v>
      </c>
      <c r="P16" s="42"/>
    </row>
    <row r="17" spans="1:16" s="29" customFormat="1" ht="57" x14ac:dyDescent="0.2">
      <c r="A17" s="99">
        <f t="shared" si="0"/>
        <v>14</v>
      </c>
      <c r="B17" s="93">
        <v>45348</v>
      </c>
      <c r="C17" s="314" t="s">
        <v>145</v>
      </c>
      <c r="D17" s="90" t="s">
        <v>146</v>
      </c>
      <c r="E17" s="34" t="s">
        <v>147</v>
      </c>
      <c r="F17" s="90" t="s">
        <v>148</v>
      </c>
      <c r="G17" s="39">
        <v>232652</v>
      </c>
      <c r="H17" s="100" t="s">
        <v>13</v>
      </c>
      <c r="I17" s="100">
        <v>46367</v>
      </c>
      <c r="J17" s="39" t="s">
        <v>20</v>
      </c>
      <c r="K17" s="39">
        <v>1</v>
      </c>
      <c r="L17" s="51" t="s">
        <v>149</v>
      </c>
      <c r="M17" s="144" t="s">
        <v>13</v>
      </c>
      <c r="N17" s="51" t="s">
        <v>319</v>
      </c>
      <c r="O17" s="48" t="s">
        <v>28</v>
      </c>
      <c r="P17" s="42"/>
    </row>
    <row r="18" spans="1:16" s="69" customFormat="1" ht="85.5" x14ac:dyDescent="0.2">
      <c r="A18" s="99">
        <f t="shared" si="0"/>
        <v>15</v>
      </c>
      <c r="B18" s="95">
        <v>45349</v>
      </c>
      <c r="C18" s="98" t="s">
        <v>150</v>
      </c>
      <c r="D18" s="96" t="s">
        <v>57</v>
      </c>
      <c r="E18" s="97" t="s">
        <v>58</v>
      </c>
      <c r="F18" s="96" t="s">
        <v>29</v>
      </c>
      <c r="G18" s="98" t="s">
        <v>151</v>
      </c>
      <c r="H18" s="103" t="s">
        <v>152</v>
      </c>
      <c r="I18" s="103">
        <v>46053</v>
      </c>
      <c r="J18" s="98" t="s">
        <v>30</v>
      </c>
      <c r="K18" s="98">
        <v>1</v>
      </c>
      <c r="L18" s="74" t="s">
        <v>153</v>
      </c>
      <c r="M18" s="144" t="s">
        <v>13</v>
      </c>
      <c r="N18" s="74" t="s">
        <v>330</v>
      </c>
      <c r="O18" s="109"/>
      <c r="P18" s="73"/>
    </row>
    <row r="19" spans="1:16" s="29" customFormat="1" ht="42.75" x14ac:dyDescent="0.2">
      <c r="A19" s="99">
        <f t="shared" si="0"/>
        <v>16</v>
      </c>
      <c r="B19" s="93">
        <v>45350</v>
      </c>
      <c r="C19" s="39" t="s">
        <v>154</v>
      </c>
      <c r="D19" s="90" t="s">
        <v>73</v>
      </c>
      <c r="E19" s="34" t="s">
        <v>74</v>
      </c>
      <c r="F19" s="90" t="s">
        <v>40</v>
      </c>
      <c r="G19" s="39" t="s">
        <v>13</v>
      </c>
      <c r="H19" s="39" t="s">
        <v>13</v>
      </c>
      <c r="I19" s="100" t="s">
        <v>13</v>
      </c>
      <c r="J19" s="39" t="s">
        <v>13</v>
      </c>
      <c r="K19" s="39" t="s">
        <v>13</v>
      </c>
      <c r="L19" s="51" t="s">
        <v>155</v>
      </c>
      <c r="M19" s="144" t="s">
        <v>13</v>
      </c>
      <c r="N19" s="51" t="s">
        <v>320</v>
      </c>
      <c r="O19" s="48"/>
      <c r="P19" s="42"/>
    </row>
    <row r="20" spans="1:16" s="29" customFormat="1" ht="57" x14ac:dyDescent="0.2">
      <c r="A20" s="99">
        <f t="shared" si="0"/>
        <v>17</v>
      </c>
      <c r="B20" s="93">
        <v>45351</v>
      </c>
      <c r="C20" s="39" t="s">
        <v>156</v>
      </c>
      <c r="D20" s="90" t="s">
        <v>79</v>
      </c>
      <c r="E20" s="34" t="s">
        <v>157</v>
      </c>
      <c r="F20" s="90" t="s">
        <v>68</v>
      </c>
      <c r="G20" s="39" t="s">
        <v>133</v>
      </c>
      <c r="H20" s="39" t="s">
        <v>13</v>
      </c>
      <c r="I20" s="100">
        <v>46171</v>
      </c>
      <c r="J20" s="39" t="s">
        <v>48</v>
      </c>
      <c r="K20" s="39">
        <v>84</v>
      </c>
      <c r="L20" s="51" t="s">
        <v>69</v>
      </c>
      <c r="M20" s="144" t="s">
        <v>13</v>
      </c>
      <c r="N20" s="51" t="s">
        <v>321</v>
      </c>
      <c r="O20" s="48"/>
      <c r="P20" s="42"/>
    </row>
    <row r="21" spans="1:16" s="29" customFormat="1" ht="85.5" x14ac:dyDescent="0.2">
      <c r="A21" s="99">
        <f t="shared" si="0"/>
        <v>18</v>
      </c>
      <c r="B21" s="93">
        <v>45352</v>
      </c>
      <c r="C21" s="39" t="s">
        <v>158</v>
      </c>
      <c r="D21" s="90" t="s">
        <v>47</v>
      </c>
      <c r="E21" s="34" t="s">
        <v>41</v>
      </c>
      <c r="F21" s="90" t="s">
        <v>159</v>
      </c>
      <c r="G21" s="39" t="s">
        <v>160</v>
      </c>
      <c r="H21" s="39" t="s">
        <v>13</v>
      </c>
      <c r="I21" s="100" t="s">
        <v>161</v>
      </c>
      <c r="J21" s="39" t="s">
        <v>162</v>
      </c>
      <c r="K21" s="39">
        <v>1</v>
      </c>
      <c r="L21" s="105" t="s">
        <v>163</v>
      </c>
      <c r="M21" s="144" t="s">
        <v>13</v>
      </c>
      <c r="N21" s="94" t="s">
        <v>322</v>
      </c>
      <c r="O21" s="48"/>
      <c r="P21" s="42"/>
    </row>
    <row r="22" spans="1:16" s="113" customFormat="1" ht="71.25" x14ac:dyDescent="0.2">
      <c r="A22" s="99">
        <f t="shared" si="0"/>
        <v>19</v>
      </c>
      <c r="B22" s="150">
        <v>45366</v>
      </c>
      <c r="C22" s="151" t="s">
        <v>323</v>
      </c>
      <c r="D22" s="152" t="s">
        <v>164</v>
      </c>
      <c r="E22" s="97" t="s">
        <v>32</v>
      </c>
      <c r="F22" s="152" t="s">
        <v>166</v>
      </c>
      <c r="G22" s="151" t="s">
        <v>167</v>
      </c>
      <c r="H22" s="151" t="s">
        <v>13</v>
      </c>
      <c r="I22" s="154">
        <v>45689</v>
      </c>
      <c r="J22" s="151" t="s">
        <v>30</v>
      </c>
      <c r="K22" s="151">
        <v>1</v>
      </c>
      <c r="L22" s="153" t="s">
        <v>168</v>
      </c>
      <c r="M22" s="144" t="s">
        <v>13</v>
      </c>
      <c r="N22" s="155" t="s">
        <v>324</v>
      </c>
      <c r="O22" s="112" t="s">
        <v>28</v>
      </c>
      <c r="P22" s="221"/>
    </row>
    <row r="23" spans="1:16" s="29" customFormat="1" ht="85.5" x14ac:dyDescent="0.2">
      <c r="A23" s="99">
        <f t="shared" si="0"/>
        <v>20</v>
      </c>
      <c r="B23" s="93">
        <v>45376</v>
      </c>
      <c r="C23" s="39" t="s">
        <v>169</v>
      </c>
      <c r="D23" s="90" t="s">
        <v>170</v>
      </c>
      <c r="E23" s="34" t="s">
        <v>171</v>
      </c>
      <c r="F23" s="90" t="s">
        <v>172</v>
      </c>
      <c r="G23" s="39" t="s">
        <v>173</v>
      </c>
      <c r="H23" s="39" t="s">
        <v>13</v>
      </c>
      <c r="I23" s="100">
        <v>45566</v>
      </c>
      <c r="J23" s="39" t="s">
        <v>13</v>
      </c>
      <c r="K23" s="39" t="s">
        <v>13</v>
      </c>
      <c r="L23" s="105" t="s">
        <v>174</v>
      </c>
      <c r="M23" s="144" t="s">
        <v>13</v>
      </c>
      <c r="N23" s="94" t="s">
        <v>325</v>
      </c>
      <c r="O23" s="44"/>
      <c r="P23" s="41"/>
    </row>
    <row r="24" spans="1:16" s="29" customFormat="1" ht="71.25" x14ac:dyDescent="0.2">
      <c r="A24" s="99">
        <f t="shared" si="0"/>
        <v>21</v>
      </c>
      <c r="B24" s="93">
        <v>45377</v>
      </c>
      <c r="C24" s="39" t="s">
        <v>175</v>
      </c>
      <c r="D24" s="90" t="s">
        <v>176</v>
      </c>
      <c r="E24" s="34" t="s">
        <v>177</v>
      </c>
      <c r="F24" s="90" t="s">
        <v>40</v>
      </c>
      <c r="G24" s="106" t="s">
        <v>178</v>
      </c>
      <c r="H24" s="39" t="s">
        <v>13</v>
      </c>
      <c r="I24" s="100">
        <v>46142</v>
      </c>
      <c r="J24" s="39" t="s">
        <v>15</v>
      </c>
      <c r="K24" s="39">
        <v>1</v>
      </c>
      <c r="L24" s="105" t="s">
        <v>179</v>
      </c>
      <c r="M24" s="144" t="s">
        <v>13</v>
      </c>
      <c r="N24" s="94" t="s">
        <v>391</v>
      </c>
      <c r="O24" s="48" t="s">
        <v>28</v>
      </c>
      <c r="P24" s="41"/>
    </row>
    <row r="25" spans="1:16" s="29" customFormat="1" ht="57" x14ac:dyDescent="0.2">
      <c r="A25" s="99">
        <f t="shared" si="0"/>
        <v>22</v>
      </c>
      <c r="B25" s="93">
        <v>45378</v>
      </c>
      <c r="C25" s="39" t="s">
        <v>180</v>
      </c>
      <c r="D25" s="105" t="s">
        <v>88</v>
      </c>
      <c r="E25" s="34" t="s">
        <v>89</v>
      </c>
      <c r="F25" s="90" t="s">
        <v>181</v>
      </c>
      <c r="G25" s="39">
        <v>221766</v>
      </c>
      <c r="H25" s="39" t="s">
        <v>13</v>
      </c>
      <c r="I25" s="108" t="s">
        <v>182</v>
      </c>
      <c r="J25" s="39" t="s">
        <v>15</v>
      </c>
      <c r="K25" s="39">
        <v>1</v>
      </c>
      <c r="L25" s="105" t="s">
        <v>183</v>
      </c>
      <c r="M25" s="144" t="s">
        <v>13</v>
      </c>
      <c r="N25" s="94" t="s">
        <v>326</v>
      </c>
      <c r="O25" s="44"/>
      <c r="P25" s="41"/>
    </row>
    <row r="26" spans="1:16" s="29" customFormat="1" ht="57" x14ac:dyDescent="0.2">
      <c r="A26" s="99">
        <f t="shared" si="0"/>
        <v>23</v>
      </c>
      <c r="B26" s="93">
        <v>45379</v>
      </c>
      <c r="C26" s="39" t="s">
        <v>184</v>
      </c>
      <c r="D26" s="90" t="s">
        <v>185</v>
      </c>
      <c r="E26" s="34" t="s">
        <v>186</v>
      </c>
      <c r="F26" s="90" t="s">
        <v>187</v>
      </c>
      <c r="G26" s="39" t="s">
        <v>188</v>
      </c>
      <c r="H26" s="39" t="s">
        <v>13</v>
      </c>
      <c r="I26" s="100">
        <v>45736</v>
      </c>
      <c r="J26" s="39" t="s">
        <v>15</v>
      </c>
      <c r="K26" s="39">
        <v>1</v>
      </c>
      <c r="L26" s="105" t="s">
        <v>189</v>
      </c>
      <c r="M26" s="144" t="s">
        <v>13</v>
      </c>
      <c r="N26" s="94" t="s">
        <v>327</v>
      </c>
      <c r="O26" s="48" t="s">
        <v>28</v>
      </c>
      <c r="P26" s="41"/>
    </row>
    <row r="27" spans="1:16" s="29" customFormat="1" ht="99.75" x14ac:dyDescent="0.2">
      <c r="A27" s="99">
        <f t="shared" si="0"/>
        <v>24</v>
      </c>
      <c r="B27" s="95">
        <v>45380</v>
      </c>
      <c r="C27" s="98" t="s">
        <v>329</v>
      </c>
      <c r="D27" s="97" t="s">
        <v>190</v>
      </c>
      <c r="E27" s="97" t="s">
        <v>191</v>
      </c>
      <c r="F27" s="96" t="s">
        <v>29</v>
      </c>
      <c r="G27" s="98" t="s">
        <v>37</v>
      </c>
      <c r="H27" s="98" t="s">
        <v>13</v>
      </c>
      <c r="I27" s="110" t="s">
        <v>38</v>
      </c>
      <c r="J27" s="98" t="s">
        <v>30</v>
      </c>
      <c r="K27" s="98">
        <v>1</v>
      </c>
      <c r="L27" s="97" t="s">
        <v>192</v>
      </c>
      <c r="M27" s="144" t="s">
        <v>13</v>
      </c>
      <c r="N27" s="111" t="s">
        <v>328</v>
      </c>
      <c r="O27" s="75"/>
      <c r="P27" s="41"/>
    </row>
    <row r="28" spans="1:16" s="69" customFormat="1" ht="56.85" customHeight="1" x14ac:dyDescent="0.2">
      <c r="A28" s="99">
        <f t="shared" si="0"/>
        <v>25</v>
      </c>
      <c r="B28" s="95">
        <v>45380</v>
      </c>
      <c r="C28" s="98" t="s">
        <v>314</v>
      </c>
      <c r="D28" s="97" t="s">
        <v>88</v>
      </c>
      <c r="E28" s="97" t="s">
        <v>89</v>
      </c>
      <c r="F28" s="96" t="s">
        <v>181</v>
      </c>
      <c r="G28" s="98">
        <v>221766</v>
      </c>
      <c r="H28" s="98" t="s">
        <v>13</v>
      </c>
      <c r="I28" s="110" t="s">
        <v>182</v>
      </c>
      <c r="J28" s="98" t="s">
        <v>15</v>
      </c>
      <c r="K28" s="98">
        <v>1</v>
      </c>
      <c r="L28" s="97" t="s">
        <v>183</v>
      </c>
      <c r="M28" s="144" t="s">
        <v>13</v>
      </c>
      <c r="N28" s="111" t="s">
        <v>332</v>
      </c>
      <c r="O28" s="75"/>
      <c r="P28" s="222"/>
    </row>
    <row r="29" spans="1:16" s="29" customFormat="1" ht="57" x14ac:dyDescent="0.2">
      <c r="A29" s="99">
        <f t="shared" si="0"/>
        <v>26</v>
      </c>
      <c r="B29" s="93">
        <v>45383</v>
      </c>
      <c r="C29" s="39" t="s">
        <v>193</v>
      </c>
      <c r="D29" s="105" t="s">
        <v>194</v>
      </c>
      <c r="E29" s="34" t="s">
        <v>195</v>
      </c>
      <c r="F29" s="90" t="s">
        <v>196</v>
      </c>
      <c r="G29" s="39" t="s">
        <v>197</v>
      </c>
      <c r="H29" s="39" t="s">
        <v>198</v>
      </c>
      <c r="I29" s="108" t="s">
        <v>199</v>
      </c>
      <c r="J29" s="39" t="s">
        <v>27</v>
      </c>
      <c r="K29" s="39">
        <v>1</v>
      </c>
      <c r="L29" s="105" t="s">
        <v>200</v>
      </c>
      <c r="M29" s="144" t="s">
        <v>13</v>
      </c>
      <c r="N29" s="94" t="s">
        <v>333</v>
      </c>
      <c r="O29" s="44"/>
      <c r="P29" s="41"/>
    </row>
    <row r="30" spans="1:16" s="29" customFormat="1" ht="57" x14ac:dyDescent="0.2">
      <c r="A30" s="99">
        <f t="shared" si="0"/>
        <v>27</v>
      </c>
      <c r="B30" s="93">
        <v>45394</v>
      </c>
      <c r="C30" s="39" t="s">
        <v>201</v>
      </c>
      <c r="D30" s="105" t="s">
        <v>202</v>
      </c>
      <c r="E30" s="34" t="s">
        <v>203</v>
      </c>
      <c r="F30" s="90" t="s">
        <v>204</v>
      </c>
      <c r="G30" s="39" t="s">
        <v>178</v>
      </c>
      <c r="H30" s="39" t="s">
        <v>13</v>
      </c>
      <c r="I30" s="108" t="s">
        <v>205</v>
      </c>
      <c r="J30" s="39" t="s">
        <v>15</v>
      </c>
      <c r="K30" s="39">
        <v>1</v>
      </c>
      <c r="L30" s="105" t="s">
        <v>206</v>
      </c>
      <c r="M30" s="144" t="s">
        <v>13</v>
      </c>
      <c r="N30" s="94" t="s">
        <v>334</v>
      </c>
      <c r="O30" s="44"/>
      <c r="P30" s="41"/>
    </row>
    <row r="31" spans="1:16" s="92" customFormat="1" ht="114" x14ac:dyDescent="0.2">
      <c r="A31" s="99">
        <f t="shared" si="0"/>
        <v>28</v>
      </c>
      <c r="B31" s="93">
        <v>45401</v>
      </c>
      <c r="C31" s="39" t="s">
        <v>207</v>
      </c>
      <c r="D31" s="105" t="s">
        <v>208</v>
      </c>
      <c r="E31" s="34" t="s">
        <v>209</v>
      </c>
      <c r="F31" s="90" t="s">
        <v>210</v>
      </c>
      <c r="G31" s="39" t="s">
        <v>211</v>
      </c>
      <c r="H31" s="107" t="s">
        <v>141</v>
      </c>
      <c r="I31" s="108" t="s">
        <v>212</v>
      </c>
      <c r="J31" s="39" t="s">
        <v>33</v>
      </c>
      <c r="K31" s="39">
        <v>10</v>
      </c>
      <c r="L31" s="105" t="s">
        <v>213</v>
      </c>
      <c r="M31" s="144" t="s">
        <v>13</v>
      </c>
      <c r="N31" s="94" t="s">
        <v>335</v>
      </c>
      <c r="O31" s="91"/>
      <c r="P31" s="41"/>
    </row>
    <row r="32" spans="1:16" s="92" customFormat="1" ht="57" x14ac:dyDescent="0.2">
      <c r="A32" s="99">
        <f t="shared" si="0"/>
        <v>29</v>
      </c>
      <c r="B32" s="93">
        <v>45404</v>
      </c>
      <c r="C32" s="39" t="s">
        <v>214</v>
      </c>
      <c r="D32" s="105" t="s">
        <v>215</v>
      </c>
      <c r="E32" s="34" t="s">
        <v>216</v>
      </c>
      <c r="F32" s="90" t="s">
        <v>217</v>
      </c>
      <c r="G32" s="39" t="s">
        <v>218</v>
      </c>
      <c r="H32" s="39" t="s">
        <v>13</v>
      </c>
      <c r="I32" s="108">
        <v>45961</v>
      </c>
      <c r="J32" s="39" t="s">
        <v>30</v>
      </c>
      <c r="K32" s="39">
        <v>1</v>
      </c>
      <c r="L32" s="105" t="s">
        <v>219</v>
      </c>
      <c r="M32" s="144" t="s">
        <v>13</v>
      </c>
      <c r="N32" s="94" t="s">
        <v>336</v>
      </c>
      <c r="O32" s="91"/>
      <c r="P32" s="41"/>
    </row>
    <row r="33" spans="1:16" s="92" customFormat="1" ht="94.35" customHeight="1" x14ac:dyDescent="0.2">
      <c r="A33" s="99">
        <f t="shared" si="0"/>
        <v>30</v>
      </c>
      <c r="B33" s="93">
        <v>45415</v>
      </c>
      <c r="C33" s="39" t="s">
        <v>220</v>
      </c>
      <c r="D33" s="105" t="s">
        <v>221</v>
      </c>
      <c r="E33" s="34" t="s">
        <v>222</v>
      </c>
      <c r="F33" s="90" t="s">
        <v>223</v>
      </c>
      <c r="G33" s="39" t="s">
        <v>224</v>
      </c>
      <c r="H33" s="39" t="s">
        <v>13</v>
      </c>
      <c r="I33" s="108">
        <v>45837</v>
      </c>
      <c r="J33" s="39" t="s">
        <v>15</v>
      </c>
      <c r="K33" s="39">
        <v>1</v>
      </c>
      <c r="L33" s="105" t="s">
        <v>225</v>
      </c>
      <c r="M33" s="144" t="s">
        <v>13</v>
      </c>
      <c r="N33" s="94" t="s">
        <v>337</v>
      </c>
      <c r="O33" s="91"/>
      <c r="P33" s="41"/>
    </row>
    <row r="34" spans="1:16" s="92" customFormat="1" ht="192.6" customHeight="1" x14ac:dyDescent="0.2">
      <c r="A34" s="99">
        <f t="shared" si="0"/>
        <v>31</v>
      </c>
      <c r="B34" s="93">
        <v>45419</v>
      </c>
      <c r="C34" s="39" t="s">
        <v>226</v>
      </c>
      <c r="D34" s="105" t="s">
        <v>227</v>
      </c>
      <c r="E34" s="34" t="s">
        <v>228</v>
      </c>
      <c r="F34" s="90" t="s">
        <v>35</v>
      </c>
      <c r="G34" s="39" t="s">
        <v>18</v>
      </c>
      <c r="H34" s="39" t="s">
        <v>13</v>
      </c>
      <c r="I34" s="108" t="s">
        <v>19</v>
      </c>
      <c r="J34" s="39" t="s">
        <v>27</v>
      </c>
      <c r="K34" s="39">
        <v>23</v>
      </c>
      <c r="L34" s="105" t="s">
        <v>229</v>
      </c>
      <c r="M34" s="144" t="s">
        <v>13</v>
      </c>
      <c r="N34" s="94" t="s">
        <v>362</v>
      </c>
      <c r="O34" s="91"/>
      <c r="P34" s="41"/>
    </row>
    <row r="35" spans="1:16" s="92" customFormat="1" ht="98.85" customHeight="1" x14ac:dyDescent="0.2">
      <c r="A35" s="99">
        <f t="shared" si="0"/>
        <v>32</v>
      </c>
      <c r="B35" s="95">
        <v>45426</v>
      </c>
      <c r="C35" s="98" t="s">
        <v>230</v>
      </c>
      <c r="D35" s="97" t="s">
        <v>231</v>
      </c>
      <c r="E35" s="97" t="s">
        <v>232</v>
      </c>
      <c r="F35" s="96" t="s">
        <v>233</v>
      </c>
      <c r="G35" s="98" t="s">
        <v>234</v>
      </c>
      <c r="H35" s="98" t="s">
        <v>13</v>
      </c>
      <c r="I35" s="110">
        <v>46142</v>
      </c>
      <c r="J35" s="98" t="s">
        <v>30</v>
      </c>
      <c r="K35" s="98">
        <v>2</v>
      </c>
      <c r="L35" s="97" t="s">
        <v>235</v>
      </c>
      <c r="M35" s="144" t="s">
        <v>13</v>
      </c>
      <c r="N35" s="111" t="s">
        <v>338</v>
      </c>
      <c r="O35" s="109" t="s">
        <v>28</v>
      </c>
      <c r="P35" s="41"/>
    </row>
    <row r="36" spans="1:16" s="92" customFormat="1" ht="71.25" x14ac:dyDescent="0.2">
      <c r="A36" s="99">
        <f t="shared" si="0"/>
        <v>33</v>
      </c>
      <c r="B36" s="93">
        <v>45429</v>
      </c>
      <c r="C36" s="39" t="s">
        <v>236</v>
      </c>
      <c r="D36" s="105" t="s">
        <v>237</v>
      </c>
      <c r="E36" s="34" t="s">
        <v>238</v>
      </c>
      <c r="F36" s="90" t="s">
        <v>239</v>
      </c>
      <c r="G36" s="39">
        <v>31308</v>
      </c>
      <c r="H36" s="39" t="s">
        <v>13</v>
      </c>
      <c r="I36" s="108">
        <v>45869</v>
      </c>
      <c r="J36" s="39" t="s">
        <v>15</v>
      </c>
      <c r="K36" s="39">
        <v>1</v>
      </c>
      <c r="L36" s="105" t="s">
        <v>240</v>
      </c>
      <c r="M36" s="144" t="s">
        <v>13</v>
      </c>
      <c r="N36" s="94" t="s">
        <v>339</v>
      </c>
      <c r="O36" s="91"/>
      <c r="P36" s="41"/>
    </row>
    <row r="37" spans="1:16" s="92" customFormat="1" ht="42.75" x14ac:dyDescent="0.2">
      <c r="A37" s="99">
        <f t="shared" si="0"/>
        <v>34</v>
      </c>
      <c r="B37" s="93">
        <v>45433</v>
      </c>
      <c r="C37" s="39" t="s">
        <v>241</v>
      </c>
      <c r="D37" s="105" t="s">
        <v>242</v>
      </c>
      <c r="E37" s="34" t="s">
        <v>243</v>
      </c>
      <c r="F37" s="90" t="s">
        <v>52</v>
      </c>
      <c r="G37" s="39" t="s">
        <v>244</v>
      </c>
      <c r="H37" s="39" t="s">
        <v>13</v>
      </c>
      <c r="I37" s="108" t="s">
        <v>245</v>
      </c>
      <c r="J37" s="39" t="s">
        <v>15</v>
      </c>
      <c r="K37" s="39">
        <v>1</v>
      </c>
      <c r="L37" s="105" t="s">
        <v>246</v>
      </c>
      <c r="M37" s="144" t="s">
        <v>13</v>
      </c>
      <c r="N37" s="94" t="s">
        <v>341</v>
      </c>
      <c r="O37" s="91"/>
      <c r="P37" s="41"/>
    </row>
    <row r="38" spans="1:16" s="92" customFormat="1" ht="42.75" x14ac:dyDescent="0.2">
      <c r="A38" s="99">
        <f t="shared" si="0"/>
        <v>35</v>
      </c>
      <c r="B38" s="86">
        <v>45433</v>
      </c>
      <c r="C38" s="40" t="s">
        <v>247</v>
      </c>
      <c r="D38" s="87" t="s">
        <v>54</v>
      </c>
      <c r="E38" s="28" t="s">
        <v>55</v>
      </c>
      <c r="F38" s="22" t="s">
        <v>248</v>
      </c>
      <c r="G38" s="24" t="s">
        <v>249</v>
      </c>
      <c r="H38" s="39" t="s">
        <v>13</v>
      </c>
      <c r="I38" s="108">
        <v>45596</v>
      </c>
      <c r="J38" s="39" t="s">
        <v>15</v>
      </c>
      <c r="K38" s="39">
        <v>1</v>
      </c>
      <c r="L38" s="105" t="s">
        <v>250</v>
      </c>
      <c r="M38" s="144" t="s">
        <v>13</v>
      </c>
      <c r="N38" s="94" t="s">
        <v>340</v>
      </c>
      <c r="O38" s="48" t="s">
        <v>28</v>
      </c>
      <c r="P38" s="41"/>
    </row>
    <row r="39" spans="1:16" s="160" customFormat="1" ht="57" x14ac:dyDescent="0.2">
      <c r="A39" s="99">
        <f t="shared" si="0"/>
        <v>36</v>
      </c>
      <c r="B39" s="115">
        <v>45443</v>
      </c>
      <c r="C39" s="116" t="s">
        <v>251</v>
      </c>
      <c r="D39" s="124" t="s">
        <v>252</v>
      </c>
      <c r="E39" s="118" t="s">
        <v>253</v>
      </c>
      <c r="F39" s="117" t="s">
        <v>254</v>
      </c>
      <c r="G39" s="116" t="s">
        <v>255</v>
      </c>
      <c r="H39" s="119" t="s">
        <v>256</v>
      </c>
      <c r="I39" s="156" t="s">
        <v>257</v>
      </c>
      <c r="J39" s="116" t="s">
        <v>48</v>
      </c>
      <c r="K39" s="116">
        <v>1</v>
      </c>
      <c r="L39" s="124" t="s">
        <v>258</v>
      </c>
      <c r="M39" s="144" t="s">
        <v>13</v>
      </c>
      <c r="N39" s="157" t="s">
        <v>347</v>
      </c>
      <c r="O39" s="158"/>
      <c r="P39" s="223"/>
    </row>
    <row r="40" spans="1:16" s="160" customFormat="1" ht="57" x14ac:dyDescent="0.2">
      <c r="A40" s="99">
        <f t="shared" si="0"/>
        <v>37</v>
      </c>
      <c r="B40" s="115">
        <v>45443</v>
      </c>
      <c r="C40" s="116" t="s">
        <v>259</v>
      </c>
      <c r="D40" s="124" t="s">
        <v>260</v>
      </c>
      <c r="E40" s="118" t="s">
        <v>261</v>
      </c>
      <c r="F40" s="117" t="s">
        <v>254</v>
      </c>
      <c r="G40" s="116" t="s">
        <v>262</v>
      </c>
      <c r="H40" s="119" t="s">
        <v>263</v>
      </c>
      <c r="I40" s="156" t="s">
        <v>264</v>
      </c>
      <c r="J40" s="116" t="s">
        <v>48</v>
      </c>
      <c r="K40" s="116" t="s">
        <v>13</v>
      </c>
      <c r="L40" s="124" t="s">
        <v>265</v>
      </c>
      <c r="M40" s="144" t="s">
        <v>13</v>
      </c>
      <c r="N40" s="157" t="s">
        <v>346</v>
      </c>
      <c r="O40" s="158"/>
      <c r="P40" s="223"/>
    </row>
    <row r="41" spans="1:16" s="92" customFormat="1" ht="86.85" customHeight="1" x14ac:dyDescent="0.2">
      <c r="A41" s="99">
        <f t="shared" si="0"/>
        <v>38</v>
      </c>
      <c r="B41" s="93">
        <v>45448</v>
      </c>
      <c r="C41" s="39" t="s">
        <v>266</v>
      </c>
      <c r="D41" s="105" t="s">
        <v>267</v>
      </c>
      <c r="E41" s="34" t="s">
        <v>268</v>
      </c>
      <c r="F41" s="90" t="s">
        <v>269</v>
      </c>
      <c r="G41" s="39" t="s">
        <v>270</v>
      </c>
      <c r="H41" s="39" t="s">
        <v>13</v>
      </c>
      <c r="I41" s="161" t="s">
        <v>271</v>
      </c>
      <c r="J41" s="39" t="s">
        <v>27</v>
      </c>
      <c r="K41" s="39">
        <v>2</v>
      </c>
      <c r="L41" s="105" t="s">
        <v>272</v>
      </c>
      <c r="M41" s="144" t="s">
        <v>13</v>
      </c>
      <c r="N41" s="94" t="s">
        <v>389</v>
      </c>
      <c r="O41" s="91"/>
      <c r="P41" s="41"/>
    </row>
    <row r="42" spans="1:16" s="92" customFormat="1" ht="57" x14ac:dyDescent="0.2">
      <c r="A42" s="99">
        <f t="shared" si="0"/>
        <v>39</v>
      </c>
      <c r="B42" s="93">
        <v>45449</v>
      </c>
      <c r="C42" s="39" t="s">
        <v>273</v>
      </c>
      <c r="D42" s="105" t="s">
        <v>274</v>
      </c>
      <c r="E42" s="34" t="s">
        <v>275</v>
      </c>
      <c r="F42" s="90" t="s">
        <v>276</v>
      </c>
      <c r="G42" s="39">
        <v>111337731</v>
      </c>
      <c r="H42" s="100">
        <v>45298</v>
      </c>
      <c r="I42" s="108">
        <v>45663</v>
      </c>
      <c r="J42" s="39" t="s">
        <v>48</v>
      </c>
      <c r="K42" s="39">
        <v>1</v>
      </c>
      <c r="L42" s="105" t="s">
        <v>277</v>
      </c>
      <c r="M42" s="144" t="s">
        <v>13</v>
      </c>
      <c r="N42" s="94" t="s">
        <v>342</v>
      </c>
      <c r="O42" s="91"/>
      <c r="P42" s="41"/>
    </row>
    <row r="43" spans="1:16" s="92" customFormat="1" ht="57" x14ac:dyDescent="0.2">
      <c r="A43" s="99">
        <f t="shared" si="0"/>
        <v>40</v>
      </c>
      <c r="B43" s="93">
        <v>45454</v>
      </c>
      <c r="C43" s="39" t="s">
        <v>278</v>
      </c>
      <c r="D43" s="105" t="s">
        <v>279</v>
      </c>
      <c r="E43" s="34" t="s">
        <v>280</v>
      </c>
      <c r="F43" s="90" t="s">
        <v>281</v>
      </c>
      <c r="G43" s="39" t="s">
        <v>282</v>
      </c>
      <c r="H43" s="39" t="s">
        <v>13</v>
      </c>
      <c r="I43" s="108">
        <v>46295</v>
      </c>
      <c r="J43" s="39" t="s">
        <v>15</v>
      </c>
      <c r="K43" s="39">
        <v>1</v>
      </c>
      <c r="L43" s="105" t="s">
        <v>283</v>
      </c>
      <c r="M43" s="144" t="s">
        <v>13</v>
      </c>
      <c r="N43" s="94" t="s">
        <v>343</v>
      </c>
      <c r="O43" s="91"/>
      <c r="P43" s="41"/>
    </row>
    <row r="44" spans="1:16" s="92" customFormat="1" ht="283.35000000000002" customHeight="1" x14ac:dyDescent="0.2">
      <c r="A44" s="99">
        <f t="shared" si="0"/>
        <v>41</v>
      </c>
      <c r="B44" s="93">
        <v>45471</v>
      </c>
      <c r="C44" s="39" t="s">
        <v>284</v>
      </c>
      <c r="D44" s="105" t="s">
        <v>285</v>
      </c>
      <c r="E44" s="34" t="s">
        <v>286</v>
      </c>
      <c r="F44" s="90" t="s">
        <v>29</v>
      </c>
      <c r="G44" s="39" t="s">
        <v>287</v>
      </c>
      <c r="H44" s="39" t="s">
        <v>13</v>
      </c>
      <c r="I44" s="108" t="s">
        <v>288</v>
      </c>
      <c r="J44" s="39" t="s">
        <v>30</v>
      </c>
      <c r="K44" s="39">
        <v>2</v>
      </c>
      <c r="L44" s="105" t="s">
        <v>289</v>
      </c>
      <c r="M44" s="144" t="s">
        <v>13</v>
      </c>
      <c r="N44" s="94" t="s">
        <v>366</v>
      </c>
      <c r="O44" s="91"/>
      <c r="P44" s="41"/>
    </row>
    <row r="45" spans="1:16" s="92" customFormat="1" ht="71.25" x14ac:dyDescent="0.2">
      <c r="A45" s="316">
        <f t="shared" si="0"/>
        <v>42</v>
      </c>
      <c r="B45" s="126">
        <v>45474</v>
      </c>
      <c r="C45" s="127" t="s">
        <v>290</v>
      </c>
      <c r="D45" s="128" t="s">
        <v>291</v>
      </c>
      <c r="E45" s="129" t="s">
        <v>292</v>
      </c>
      <c r="F45" s="130" t="s">
        <v>293</v>
      </c>
      <c r="G45" s="127" t="s">
        <v>294</v>
      </c>
      <c r="H45" s="127" t="s">
        <v>13</v>
      </c>
      <c r="I45" s="131">
        <v>45657</v>
      </c>
      <c r="J45" s="127" t="s">
        <v>15</v>
      </c>
      <c r="K45" s="127">
        <v>1</v>
      </c>
      <c r="L45" s="128" t="s">
        <v>295</v>
      </c>
      <c r="M45" s="165" t="s">
        <v>13</v>
      </c>
      <c r="N45" s="132" t="s">
        <v>490</v>
      </c>
      <c r="O45" s="91"/>
      <c r="P45" s="41"/>
    </row>
    <row r="46" spans="1:16" s="29" customFormat="1" ht="114" customHeight="1" x14ac:dyDescent="0.2">
      <c r="A46" s="99">
        <f t="shared" si="0"/>
        <v>43</v>
      </c>
      <c r="B46" s="26">
        <v>45476</v>
      </c>
      <c r="C46" s="24" t="s">
        <v>297</v>
      </c>
      <c r="D46" s="123" t="s">
        <v>164</v>
      </c>
      <c r="E46" s="97" t="s">
        <v>32</v>
      </c>
      <c r="F46" s="123" t="s">
        <v>166</v>
      </c>
      <c r="G46" s="24" t="s">
        <v>167</v>
      </c>
      <c r="H46" s="43" t="s">
        <v>298</v>
      </c>
      <c r="I46" s="25" t="s">
        <v>299</v>
      </c>
      <c r="J46" s="24" t="s">
        <v>30</v>
      </c>
      <c r="K46" s="21">
        <v>2</v>
      </c>
      <c r="L46" s="144" t="s">
        <v>300</v>
      </c>
      <c r="M46" s="144" t="s">
        <v>13</v>
      </c>
      <c r="N46" s="51" t="s">
        <v>344</v>
      </c>
      <c r="O46" s="315"/>
      <c r="P46" s="224"/>
    </row>
    <row r="47" spans="1:16" s="29" customFormat="1" ht="90.6" customHeight="1" x14ac:dyDescent="0.2">
      <c r="A47" s="99">
        <f t="shared" si="0"/>
        <v>44</v>
      </c>
      <c r="B47" s="26">
        <v>45484</v>
      </c>
      <c r="C47" s="40" t="s">
        <v>301</v>
      </c>
      <c r="D47" s="123" t="s">
        <v>303</v>
      </c>
      <c r="E47" s="124" t="s">
        <v>304</v>
      </c>
      <c r="F47" s="123" t="s">
        <v>42</v>
      </c>
      <c r="G47" s="24">
        <v>222543</v>
      </c>
      <c r="H47" s="43" t="s">
        <v>13</v>
      </c>
      <c r="I47" s="25">
        <v>45965</v>
      </c>
      <c r="J47" s="24" t="s">
        <v>50</v>
      </c>
      <c r="K47" s="21">
        <v>3</v>
      </c>
      <c r="L47" s="144" t="s">
        <v>302</v>
      </c>
      <c r="M47" s="144" t="s">
        <v>13</v>
      </c>
      <c r="N47" s="51" t="s">
        <v>489</v>
      </c>
      <c r="O47" s="47"/>
      <c r="P47" s="42"/>
    </row>
    <row r="48" spans="1:16" s="29" customFormat="1" ht="113.1" customHeight="1" x14ac:dyDescent="0.2">
      <c r="A48" s="99">
        <f t="shared" si="0"/>
        <v>45</v>
      </c>
      <c r="B48" s="26">
        <v>45484</v>
      </c>
      <c r="C48" s="24" t="s">
        <v>305</v>
      </c>
      <c r="D48" s="123" t="s">
        <v>306</v>
      </c>
      <c r="E48" s="124" t="s">
        <v>307</v>
      </c>
      <c r="F48" s="123" t="s">
        <v>293</v>
      </c>
      <c r="G48" s="24" t="s">
        <v>308</v>
      </c>
      <c r="H48" s="43" t="s">
        <v>13</v>
      </c>
      <c r="I48" s="25">
        <v>45657</v>
      </c>
      <c r="J48" s="24" t="s">
        <v>13</v>
      </c>
      <c r="K48" s="21" t="s">
        <v>13</v>
      </c>
      <c r="L48" s="144" t="s">
        <v>309</v>
      </c>
      <c r="M48" s="144" t="s">
        <v>13</v>
      </c>
      <c r="N48" s="51" t="s">
        <v>492</v>
      </c>
      <c r="O48" s="48" t="s">
        <v>28</v>
      </c>
      <c r="P48" s="42"/>
    </row>
    <row r="49" spans="1:16" s="180" customFormat="1" ht="140.85" customHeight="1" x14ac:dyDescent="0.2">
      <c r="A49" s="99">
        <f t="shared" si="0"/>
        <v>46</v>
      </c>
      <c r="B49" s="26">
        <v>45488</v>
      </c>
      <c r="C49" s="24" t="s">
        <v>350</v>
      </c>
      <c r="D49" s="117" t="s">
        <v>279</v>
      </c>
      <c r="E49" s="118" t="s">
        <v>354</v>
      </c>
      <c r="F49" s="117" t="s">
        <v>281</v>
      </c>
      <c r="G49" s="24" t="s">
        <v>282</v>
      </c>
      <c r="H49" s="43" t="s">
        <v>13</v>
      </c>
      <c r="I49" s="25">
        <v>46295</v>
      </c>
      <c r="J49" s="24" t="s">
        <v>353</v>
      </c>
      <c r="K49" s="21">
        <v>69</v>
      </c>
      <c r="L49" s="28" t="s">
        <v>352</v>
      </c>
      <c r="M49" s="144" t="s">
        <v>13</v>
      </c>
      <c r="N49" s="51" t="s">
        <v>471</v>
      </c>
      <c r="O49" s="178"/>
      <c r="P49" s="225"/>
    </row>
    <row r="50" spans="1:16" s="29" customFormat="1" ht="57" x14ac:dyDescent="0.2">
      <c r="A50" s="99">
        <f t="shared" si="0"/>
        <v>47</v>
      </c>
      <c r="B50" s="26">
        <v>45490</v>
      </c>
      <c r="C50" s="24" t="s">
        <v>351</v>
      </c>
      <c r="D50" s="123" t="s">
        <v>355</v>
      </c>
      <c r="E50" s="124" t="s">
        <v>157</v>
      </c>
      <c r="F50" s="123" t="s">
        <v>68</v>
      </c>
      <c r="G50" s="24" t="s">
        <v>133</v>
      </c>
      <c r="H50" s="43" t="s">
        <v>13</v>
      </c>
      <c r="I50" s="25">
        <v>46171</v>
      </c>
      <c r="J50" s="24" t="s">
        <v>14</v>
      </c>
      <c r="K50" s="21">
        <v>11</v>
      </c>
      <c r="L50" s="144" t="s">
        <v>356</v>
      </c>
      <c r="M50" s="144" t="s">
        <v>13</v>
      </c>
      <c r="N50" s="51" t="s">
        <v>357</v>
      </c>
      <c r="O50" s="47"/>
      <c r="P50" s="41"/>
    </row>
    <row r="51" spans="1:16" s="29" customFormat="1" ht="42.75" x14ac:dyDescent="0.2">
      <c r="A51" s="99">
        <f t="shared" si="0"/>
        <v>48</v>
      </c>
      <c r="B51" s="162" t="s">
        <v>348</v>
      </c>
      <c r="C51" s="163" t="s">
        <v>349</v>
      </c>
      <c r="D51" s="135" t="s">
        <v>360</v>
      </c>
      <c r="E51" s="136" t="s">
        <v>361</v>
      </c>
      <c r="F51" s="135" t="s">
        <v>40</v>
      </c>
      <c r="G51" s="164" t="s">
        <v>358</v>
      </c>
      <c r="H51" s="45" t="s">
        <v>13</v>
      </c>
      <c r="I51" s="46">
        <v>46173</v>
      </c>
      <c r="J51" s="163" t="s">
        <v>15</v>
      </c>
      <c r="K51" s="164">
        <v>1</v>
      </c>
      <c r="L51" s="165" t="s">
        <v>359</v>
      </c>
      <c r="M51" s="144" t="s">
        <v>13</v>
      </c>
      <c r="N51" s="166" t="s">
        <v>493</v>
      </c>
      <c r="O51" s="47"/>
      <c r="P51" s="41"/>
    </row>
    <row r="52" spans="1:16" s="29" customFormat="1" ht="42.75" x14ac:dyDescent="0.2">
      <c r="A52" s="99">
        <f t="shared" si="0"/>
        <v>49</v>
      </c>
      <c r="B52" s="26">
        <v>45495</v>
      </c>
      <c r="C52" s="24" t="s">
        <v>363</v>
      </c>
      <c r="D52" s="123" t="s">
        <v>364</v>
      </c>
      <c r="E52" s="124" t="s">
        <v>367</v>
      </c>
      <c r="F52" s="123" t="s">
        <v>293</v>
      </c>
      <c r="G52" s="21" t="s">
        <v>294</v>
      </c>
      <c r="H52" s="43" t="s">
        <v>13</v>
      </c>
      <c r="I52" s="25">
        <v>45657</v>
      </c>
      <c r="J52" s="24" t="s">
        <v>15</v>
      </c>
      <c r="K52" s="21">
        <v>1</v>
      </c>
      <c r="L52" s="144" t="s">
        <v>365</v>
      </c>
      <c r="M52" s="144" t="s">
        <v>13</v>
      </c>
      <c r="N52" s="51" t="s">
        <v>494</v>
      </c>
      <c r="O52" s="47"/>
      <c r="P52" s="41"/>
    </row>
    <row r="53" spans="1:16" s="29" customFormat="1" ht="71.25" x14ac:dyDescent="0.2">
      <c r="A53" s="99">
        <f t="shared" si="0"/>
        <v>50</v>
      </c>
      <c r="B53" s="26">
        <v>45496</v>
      </c>
      <c r="C53" s="24" t="s">
        <v>368</v>
      </c>
      <c r="D53" s="123" t="s">
        <v>369</v>
      </c>
      <c r="E53" s="124" t="s">
        <v>370</v>
      </c>
      <c r="F53" s="123" t="s">
        <v>16</v>
      </c>
      <c r="G53" s="21" t="s">
        <v>371</v>
      </c>
      <c r="H53" s="43" t="s">
        <v>13</v>
      </c>
      <c r="I53" s="25">
        <v>45801</v>
      </c>
      <c r="J53" s="24" t="s">
        <v>15</v>
      </c>
      <c r="K53" s="21">
        <v>1</v>
      </c>
      <c r="L53" s="144" t="s">
        <v>372</v>
      </c>
      <c r="M53" s="144" t="s">
        <v>13</v>
      </c>
      <c r="N53" s="51" t="s">
        <v>495</v>
      </c>
      <c r="O53" s="47" t="s">
        <v>28</v>
      </c>
      <c r="P53" s="41"/>
    </row>
    <row r="54" spans="1:16" s="29" customFormat="1" ht="156.75" x14ac:dyDescent="0.2">
      <c r="A54" s="99">
        <f t="shared" si="0"/>
        <v>51</v>
      </c>
      <c r="B54" s="26">
        <v>45499</v>
      </c>
      <c r="C54" s="24" t="s">
        <v>376</v>
      </c>
      <c r="D54" s="123" t="s">
        <v>378</v>
      </c>
      <c r="E54" s="124" t="s">
        <v>379</v>
      </c>
      <c r="F54" s="123" t="s">
        <v>380</v>
      </c>
      <c r="G54" s="21" t="s">
        <v>381</v>
      </c>
      <c r="H54" s="43" t="s">
        <v>13</v>
      </c>
      <c r="I54" s="25" t="s">
        <v>382</v>
      </c>
      <c r="J54" s="24" t="s">
        <v>13</v>
      </c>
      <c r="K54" s="21" t="s">
        <v>13</v>
      </c>
      <c r="L54" s="144" t="s">
        <v>388</v>
      </c>
      <c r="M54" s="144" t="s">
        <v>13</v>
      </c>
      <c r="N54" s="51" t="s">
        <v>396</v>
      </c>
      <c r="O54" s="47"/>
      <c r="P54" s="41"/>
    </row>
    <row r="55" spans="1:16" s="29" customFormat="1" ht="114" x14ac:dyDescent="0.2">
      <c r="A55" s="99">
        <f t="shared" si="0"/>
        <v>52</v>
      </c>
      <c r="B55" s="26">
        <v>45499</v>
      </c>
      <c r="C55" s="24" t="s">
        <v>377</v>
      </c>
      <c r="D55" s="123" t="s">
        <v>383</v>
      </c>
      <c r="E55" s="124" t="s">
        <v>384</v>
      </c>
      <c r="F55" s="123" t="s">
        <v>385</v>
      </c>
      <c r="G55" s="21" t="s">
        <v>386</v>
      </c>
      <c r="H55" s="43" t="s">
        <v>13</v>
      </c>
      <c r="I55" s="25">
        <v>46691</v>
      </c>
      <c r="J55" s="24" t="s">
        <v>15</v>
      </c>
      <c r="K55" s="21">
        <v>1</v>
      </c>
      <c r="L55" s="144" t="s">
        <v>387</v>
      </c>
      <c r="M55" s="144" t="s">
        <v>13</v>
      </c>
      <c r="N55" s="51" t="s">
        <v>457</v>
      </c>
      <c r="O55" s="47"/>
      <c r="P55" s="41"/>
    </row>
    <row r="56" spans="1:16" s="29" customFormat="1" ht="74.099999999999994" customHeight="1" x14ac:dyDescent="0.2">
      <c r="A56" s="99">
        <f t="shared" si="0"/>
        <v>53</v>
      </c>
      <c r="B56" s="26">
        <v>45504</v>
      </c>
      <c r="C56" s="24" t="s">
        <v>392</v>
      </c>
      <c r="D56" s="123" t="s">
        <v>393</v>
      </c>
      <c r="E56" s="124"/>
      <c r="F56" s="123" t="s">
        <v>68</v>
      </c>
      <c r="G56" s="21" t="s">
        <v>133</v>
      </c>
      <c r="H56" s="43" t="s">
        <v>13</v>
      </c>
      <c r="I56" s="25">
        <v>46171</v>
      </c>
      <c r="J56" s="24" t="s">
        <v>394</v>
      </c>
      <c r="K56" s="21">
        <v>5</v>
      </c>
      <c r="L56" s="51" t="s">
        <v>69</v>
      </c>
      <c r="M56" s="144" t="s">
        <v>13</v>
      </c>
      <c r="N56" s="51" t="s">
        <v>397</v>
      </c>
      <c r="O56" s="47"/>
      <c r="P56" s="41"/>
    </row>
    <row r="57" spans="1:16" s="29" customFormat="1" ht="71.25" x14ac:dyDescent="0.2">
      <c r="A57" s="99">
        <f t="shared" si="0"/>
        <v>54</v>
      </c>
      <c r="B57" s="26">
        <v>45509</v>
      </c>
      <c r="C57" s="24" t="s">
        <v>400</v>
      </c>
      <c r="D57" s="123" t="s">
        <v>399</v>
      </c>
      <c r="E57" s="124" t="s">
        <v>361</v>
      </c>
      <c r="F57" s="123" t="s">
        <v>398</v>
      </c>
      <c r="G57" s="21" t="s">
        <v>358</v>
      </c>
      <c r="H57" s="43" t="s">
        <v>13</v>
      </c>
      <c r="I57" s="25">
        <v>46173</v>
      </c>
      <c r="J57" s="24" t="s">
        <v>65</v>
      </c>
      <c r="K57" s="21">
        <v>1</v>
      </c>
      <c r="L57" s="144" t="s">
        <v>359</v>
      </c>
      <c r="M57" s="144" t="s">
        <v>13</v>
      </c>
      <c r="N57" s="51" t="s">
        <v>452</v>
      </c>
      <c r="O57" s="48"/>
      <c r="P57" s="41"/>
    </row>
    <row r="58" spans="1:16" s="29" customFormat="1" ht="116.85" customHeight="1" x14ac:dyDescent="0.2">
      <c r="A58" s="99">
        <f t="shared" si="0"/>
        <v>55</v>
      </c>
      <c r="B58" s="26">
        <v>45510</v>
      </c>
      <c r="C58" s="24" t="s">
        <v>401</v>
      </c>
      <c r="D58" s="123" t="s">
        <v>402</v>
      </c>
      <c r="E58" s="124" t="s">
        <v>408</v>
      </c>
      <c r="F58" s="123" t="s">
        <v>398</v>
      </c>
      <c r="G58" s="21" t="s">
        <v>358</v>
      </c>
      <c r="H58" s="43" t="s">
        <v>13</v>
      </c>
      <c r="I58" s="25">
        <v>46173</v>
      </c>
      <c r="J58" s="24" t="s">
        <v>15</v>
      </c>
      <c r="K58" s="21">
        <v>1</v>
      </c>
      <c r="L58" s="144" t="s">
        <v>403</v>
      </c>
      <c r="M58" s="144" t="s">
        <v>13</v>
      </c>
      <c r="N58" s="166" t="s">
        <v>496</v>
      </c>
      <c r="O58" s="64" t="s">
        <v>28</v>
      </c>
      <c r="P58" s="41"/>
    </row>
    <row r="59" spans="1:16" s="29" customFormat="1" ht="77.099999999999994" customHeight="1" x14ac:dyDescent="0.2">
      <c r="A59" s="99">
        <f t="shared" si="0"/>
        <v>56</v>
      </c>
      <c r="B59" s="26">
        <v>45511</v>
      </c>
      <c r="C59" s="40" t="s">
        <v>404</v>
      </c>
      <c r="D59" s="123" t="s">
        <v>406</v>
      </c>
      <c r="E59" s="124" t="s">
        <v>407</v>
      </c>
      <c r="F59" s="123" t="s">
        <v>405</v>
      </c>
      <c r="G59" s="21" t="s">
        <v>417</v>
      </c>
      <c r="H59" s="43" t="s">
        <v>13</v>
      </c>
      <c r="I59" s="25">
        <v>45721</v>
      </c>
      <c r="J59" s="24" t="s">
        <v>15</v>
      </c>
      <c r="K59" s="21">
        <v>2</v>
      </c>
      <c r="L59" s="144" t="s">
        <v>416</v>
      </c>
      <c r="M59" s="144" t="s">
        <v>13</v>
      </c>
      <c r="N59" s="51" t="s">
        <v>602</v>
      </c>
      <c r="O59" s="47"/>
      <c r="P59" s="41"/>
    </row>
    <row r="60" spans="1:16" s="29" customFormat="1" ht="104.1" customHeight="1" x14ac:dyDescent="0.2">
      <c r="A60" s="99">
        <f t="shared" si="0"/>
        <v>57</v>
      </c>
      <c r="B60" s="26">
        <v>45511</v>
      </c>
      <c r="C60" s="40" t="s">
        <v>409</v>
      </c>
      <c r="D60" s="123" t="s">
        <v>410</v>
      </c>
      <c r="E60" s="124" t="s">
        <v>411</v>
      </c>
      <c r="F60" s="123" t="s">
        <v>78</v>
      </c>
      <c r="G60" s="21" t="s">
        <v>412</v>
      </c>
      <c r="H60" s="43" t="s">
        <v>13</v>
      </c>
      <c r="I60" s="25" t="s">
        <v>413</v>
      </c>
      <c r="J60" s="24" t="s">
        <v>15</v>
      </c>
      <c r="K60" s="21" t="s">
        <v>414</v>
      </c>
      <c r="L60" s="144" t="s">
        <v>415</v>
      </c>
      <c r="M60" s="144" t="s">
        <v>13</v>
      </c>
      <c r="N60" s="51" t="s">
        <v>894</v>
      </c>
      <c r="O60" s="47"/>
      <c r="P60" s="41"/>
    </row>
    <row r="61" spans="1:16" s="29" customFormat="1" ht="114" x14ac:dyDescent="0.2">
      <c r="A61" s="99">
        <f t="shared" si="0"/>
        <v>58</v>
      </c>
      <c r="B61" s="72">
        <v>45511</v>
      </c>
      <c r="C61" s="24" t="s">
        <v>418</v>
      </c>
      <c r="D61" s="123" t="s">
        <v>47</v>
      </c>
      <c r="E61" s="124" t="s">
        <v>41</v>
      </c>
      <c r="F61" s="123" t="s">
        <v>421</v>
      </c>
      <c r="G61" s="21" t="s">
        <v>426</v>
      </c>
      <c r="H61" s="43" t="s">
        <v>13</v>
      </c>
      <c r="I61" s="25">
        <v>46548</v>
      </c>
      <c r="J61" s="24" t="s">
        <v>15</v>
      </c>
      <c r="K61" s="21">
        <v>1</v>
      </c>
      <c r="L61" s="144" t="s">
        <v>51</v>
      </c>
      <c r="M61" s="144" t="s">
        <v>13</v>
      </c>
      <c r="N61" s="51" t="s">
        <v>497</v>
      </c>
      <c r="O61" s="47"/>
      <c r="P61" s="41"/>
    </row>
    <row r="62" spans="1:16" s="29" customFormat="1" ht="128.25" x14ac:dyDescent="0.2">
      <c r="A62" s="99">
        <f t="shared" si="0"/>
        <v>59</v>
      </c>
      <c r="B62" s="26">
        <v>45517</v>
      </c>
      <c r="C62" s="24" t="s">
        <v>420</v>
      </c>
      <c r="D62" s="123" t="s">
        <v>77</v>
      </c>
      <c r="E62" s="124" t="s">
        <v>419</v>
      </c>
      <c r="F62" s="123" t="s">
        <v>29</v>
      </c>
      <c r="G62" s="21" t="s">
        <v>234</v>
      </c>
      <c r="H62" s="43" t="s">
        <v>13</v>
      </c>
      <c r="I62" s="25">
        <v>46142</v>
      </c>
      <c r="J62" s="24" t="s">
        <v>30</v>
      </c>
      <c r="K62" s="21">
        <v>1</v>
      </c>
      <c r="L62" s="144" t="s">
        <v>427</v>
      </c>
      <c r="M62" s="144" t="s">
        <v>13</v>
      </c>
      <c r="N62" s="51" t="s">
        <v>498</v>
      </c>
      <c r="O62" s="47"/>
      <c r="P62" s="41"/>
    </row>
    <row r="63" spans="1:16" s="29" customFormat="1" ht="71.25" x14ac:dyDescent="0.2">
      <c r="A63" s="99">
        <f t="shared" si="0"/>
        <v>60</v>
      </c>
      <c r="B63" s="26">
        <v>45517</v>
      </c>
      <c r="C63" s="24" t="s">
        <v>422</v>
      </c>
      <c r="D63" s="123" t="s">
        <v>423</v>
      </c>
      <c r="E63" s="124" t="s">
        <v>424</v>
      </c>
      <c r="F63" s="123" t="s">
        <v>217</v>
      </c>
      <c r="G63" s="21" t="s">
        <v>428</v>
      </c>
      <c r="H63" s="43" t="s">
        <v>13</v>
      </c>
      <c r="I63" s="25">
        <v>45961</v>
      </c>
      <c r="J63" s="24" t="s">
        <v>43</v>
      </c>
      <c r="K63" s="21">
        <v>1</v>
      </c>
      <c r="L63" s="144" t="s">
        <v>425</v>
      </c>
      <c r="M63" s="144" t="s">
        <v>13</v>
      </c>
      <c r="N63" s="51" t="s">
        <v>503</v>
      </c>
      <c r="O63" s="47" t="s">
        <v>312</v>
      </c>
      <c r="P63" s="41"/>
    </row>
    <row r="64" spans="1:16" s="29" customFormat="1" ht="82.35" customHeight="1" x14ac:dyDescent="0.2">
      <c r="A64" s="99">
        <f t="shared" si="0"/>
        <v>61</v>
      </c>
      <c r="B64" s="72">
        <v>45523</v>
      </c>
      <c r="C64" s="24" t="s">
        <v>429</v>
      </c>
      <c r="D64" s="123" t="s">
        <v>430</v>
      </c>
      <c r="E64" s="124" t="s">
        <v>446</v>
      </c>
      <c r="F64" s="123" t="s">
        <v>431</v>
      </c>
      <c r="G64" s="21" t="s">
        <v>445</v>
      </c>
      <c r="H64" s="43" t="s">
        <v>13</v>
      </c>
      <c r="I64" s="25">
        <v>45716</v>
      </c>
      <c r="J64" s="24" t="s">
        <v>20</v>
      </c>
      <c r="K64" s="21">
        <v>5</v>
      </c>
      <c r="L64" s="184" t="s">
        <v>433</v>
      </c>
      <c r="M64" s="144" t="s">
        <v>13</v>
      </c>
      <c r="N64" s="51" t="s">
        <v>499</v>
      </c>
      <c r="O64" s="47" t="s">
        <v>312</v>
      </c>
      <c r="P64" s="41"/>
    </row>
    <row r="65" spans="1:16" s="29" customFormat="1" ht="102" customHeight="1" x14ac:dyDescent="0.2">
      <c r="A65" s="99">
        <f t="shared" si="0"/>
        <v>62</v>
      </c>
      <c r="B65" s="26">
        <v>45523</v>
      </c>
      <c r="C65" s="24" t="s">
        <v>435</v>
      </c>
      <c r="D65" s="123" t="s">
        <v>399</v>
      </c>
      <c r="E65" s="124" t="s">
        <v>361</v>
      </c>
      <c r="F65" s="123" t="s">
        <v>40</v>
      </c>
      <c r="G65" s="21" t="s">
        <v>436</v>
      </c>
      <c r="H65" s="43" t="s">
        <v>13</v>
      </c>
      <c r="I65" s="25">
        <v>46326</v>
      </c>
      <c r="J65" s="24" t="s">
        <v>15</v>
      </c>
      <c r="K65" s="21">
        <v>1</v>
      </c>
      <c r="L65" s="144" t="s">
        <v>437</v>
      </c>
      <c r="M65" s="144" t="s">
        <v>13</v>
      </c>
      <c r="N65" s="51" t="s">
        <v>500</v>
      </c>
      <c r="O65" s="47"/>
      <c r="P65" s="41"/>
    </row>
    <row r="66" spans="1:16" s="29" customFormat="1" ht="42.75" x14ac:dyDescent="0.2">
      <c r="A66" s="99">
        <f t="shared" si="0"/>
        <v>63</v>
      </c>
      <c r="B66" s="26">
        <v>45524</v>
      </c>
      <c r="C66" s="24" t="s">
        <v>439</v>
      </c>
      <c r="D66" s="123" t="s">
        <v>440</v>
      </c>
      <c r="E66" s="124" t="s">
        <v>441</v>
      </c>
      <c r="F66" s="123" t="s">
        <v>39</v>
      </c>
      <c r="G66" s="21" t="s">
        <v>442</v>
      </c>
      <c r="H66" s="43" t="s">
        <v>13</v>
      </c>
      <c r="I66" s="25">
        <v>46387</v>
      </c>
      <c r="J66" s="24" t="s">
        <v>50</v>
      </c>
      <c r="K66" s="21">
        <v>1</v>
      </c>
      <c r="L66" s="144" t="s">
        <v>443</v>
      </c>
      <c r="M66" s="144" t="s">
        <v>13</v>
      </c>
      <c r="N66" s="51" t="s">
        <v>463</v>
      </c>
      <c r="O66" s="47"/>
      <c r="P66" s="41"/>
    </row>
    <row r="67" spans="1:16" s="29" customFormat="1" ht="69.599999999999994" customHeight="1" x14ac:dyDescent="0.2">
      <c r="A67" s="99">
        <f t="shared" si="0"/>
        <v>64</v>
      </c>
      <c r="B67" s="26">
        <v>45527</v>
      </c>
      <c r="C67" s="24" t="s">
        <v>447</v>
      </c>
      <c r="D67" s="123" t="s">
        <v>17</v>
      </c>
      <c r="E67" s="124" t="s">
        <v>60</v>
      </c>
      <c r="F67" s="123" t="s">
        <v>448</v>
      </c>
      <c r="G67" s="21" t="s">
        <v>449</v>
      </c>
      <c r="H67" s="43" t="s">
        <v>13</v>
      </c>
      <c r="I67" s="25">
        <v>45961</v>
      </c>
      <c r="J67" s="24" t="s">
        <v>450</v>
      </c>
      <c r="K67" s="21">
        <v>1</v>
      </c>
      <c r="L67" s="144" t="s">
        <v>451</v>
      </c>
      <c r="M67" s="144" t="s">
        <v>13</v>
      </c>
      <c r="N67" s="51" t="s">
        <v>463</v>
      </c>
      <c r="O67" s="47" t="s">
        <v>312</v>
      </c>
      <c r="P67" s="41"/>
    </row>
    <row r="68" spans="1:16" s="219" customFormat="1" ht="63.6" customHeight="1" x14ac:dyDescent="0.2">
      <c r="A68" s="99">
        <f t="shared" si="0"/>
        <v>65</v>
      </c>
      <c r="B68" s="209">
        <v>45533</v>
      </c>
      <c r="C68" s="210" t="s">
        <v>454</v>
      </c>
      <c r="D68" s="211" t="s">
        <v>455</v>
      </c>
      <c r="E68" s="212" t="s">
        <v>469</v>
      </c>
      <c r="F68" s="211" t="s">
        <v>254</v>
      </c>
      <c r="G68" s="213">
        <v>111364284</v>
      </c>
      <c r="H68" s="214" t="s">
        <v>13</v>
      </c>
      <c r="I68" s="215">
        <v>45744</v>
      </c>
      <c r="J68" s="210" t="s">
        <v>48</v>
      </c>
      <c r="K68" s="213">
        <v>1</v>
      </c>
      <c r="L68" s="216" t="s">
        <v>456</v>
      </c>
      <c r="M68" s="216"/>
      <c r="N68" s="217" t="s">
        <v>631</v>
      </c>
      <c r="O68" s="218"/>
      <c r="P68" s="226"/>
    </row>
    <row r="69" spans="1:16" s="29" customFormat="1" ht="57" x14ac:dyDescent="0.2">
      <c r="A69" s="99">
        <f t="shared" ref="A69:A98" si="1">ROW(B69)-3</f>
        <v>66</v>
      </c>
      <c r="B69" s="26">
        <v>45544</v>
      </c>
      <c r="C69" s="24" t="s">
        <v>466</v>
      </c>
      <c r="D69" s="123" t="s">
        <v>467</v>
      </c>
      <c r="E69" s="124" t="s">
        <v>470</v>
      </c>
      <c r="F69" s="123" t="s">
        <v>29</v>
      </c>
      <c r="G69" s="43" t="s">
        <v>13</v>
      </c>
      <c r="H69" s="43" t="s">
        <v>13</v>
      </c>
      <c r="I69" s="43" t="s">
        <v>13</v>
      </c>
      <c r="J69" s="24" t="s">
        <v>43</v>
      </c>
      <c r="K69" s="21">
        <v>1</v>
      </c>
      <c r="L69" s="51" t="s">
        <v>468</v>
      </c>
      <c r="M69" s="51" t="s">
        <v>483</v>
      </c>
      <c r="N69" s="51" t="s">
        <v>501</v>
      </c>
      <c r="O69" s="44"/>
      <c r="P69" s="41"/>
    </row>
    <row r="70" spans="1:16" s="29" customFormat="1" ht="99.6" customHeight="1" x14ac:dyDescent="0.2">
      <c r="A70" s="99">
        <f t="shared" si="1"/>
        <v>67</v>
      </c>
      <c r="B70" s="26">
        <v>45547</v>
      </c>
      <c r="C70" s="40" t="s">
        <v>472</v>
      </c>
      <c r="D70" s="191" t="s">
        <v>473</v>
      </c>
      <c r="E70" s="105" t="s">
        <v>62</v>
      </c>
      <c r="F70" s="191" t="s">
        <v>474</v>
      </c>
      <c r="G70" s="21">
        <v>230958</v>
      </c>
      <c r="H70" s="43" t="s">
        <v>13</v>
      </c>
      <c r="I70" s="25">
        <v>46179</v>
      </c>
      <c r="J70" s="24" t="s">
        <v>53</v>
      </c>
      <c r="K70" s="21">
        <v>639</v>
      </c>
      <c r="L70" s="51" t="s">
        <v>475</v>
      </c>
      <c r="M70" s="51" t="s">
        <v>591</v>
      </c>
      <c r="N70" s="51" t="s">
        <v>630</v>
      </c>
      <c r="O70" s="47" t="s">
        <v>312</v>
      </c>
      <c r="P70" s="41"/>
    </row>
    <row r="71" spans="1:16" s="29" customFormat="1" ht="65.849999999999994" customHeight="1" x14ac:dyDescent="0.2">
      <c r="A71" s="99">
        <f t="shared" si="1"/>
        <v>68</v>
      </c>
      <c r="B71" s="26">
        <v>45551</v>
      </c>
      <c r="C71" s="24" t="s">
        <v>476</v>
      </c>
      <c r="D71" s="123" t="s">
        <v>477</v>
      </c>
      <c r="E71" s="124" t="s">
        <v>478</v>
      </c>
      <c r="F71" s="123" t="s">
        <v>479</v>
      </c>
      <c r="G71" s="21" t="s">
        <v>480</v>
      </c>
      <c r="H71" s="43" t="s">
        <v>13</v>
      </c>
      <c r="I71" s="25">
        <v>46581</v>
      </c>
      <c r="J71" s="24" t="s">
        <v>14</v>
      </c>
      <c r="K71" s="21">
        <v>1</v>
      </c>
      <c r="L71" s="51" t="s">
        <v>481</v>
      </c>
      <c r="M71" s="51" t="s">
        <v>482</v>
      </c>
      <c r="N71" s="51" t="s">
        <v>509</v>
      </c>
      <c r="O71" s="47" t="s">
        <v>312</v>
      </c>
      <c r="P71" s="41"/>
    </row>
    <row r="72" spans="1:16" s="185" customFormat="1" ht="141.6" customHeight="1" x14ac:dyDescent="0.2">
      <c r="A72" s="99">
        <f t="shared" si="1"/>
        <v>69</v>
      </c>
      <c r="B72" s="26">
        <v>45560</v>
      </c>
      <c r="C72" s="40" t="s">
        <v>484</v>
      </c>
      <c r="D72" s="191" t="s">
        <v>485</v>
      </c>
      <c r="E72" s="105" t="s">
        <v>486</v>
      </c>
      <c r="F72" s="191" t="s">
        <v>487</v>
      </c>
      <c r="G72" s="21">
        <v>240773</v>
      </c>
      <c r="H72" s="43" t="s">
        <v>13</v>
      </c>
      <c r="I72" s="25">
        <v>46494</v>
      </c>
      <c r="J72" s="24" t="s">
        <v>20</v>
      </c>
      <c r="K72" s="21" t="s">
        <v>13</v>
      </c>
      <c r="L72" s="51" t="s">
        <v>488</v>
      </c>
      <c r="M72" s="51" t="s">
        <v>609</v>
      </c>
      <c r="N72" s="51" t="s">
        <v>610</v>
      </c>
      <c r="O72" s="47" t="s">
        <v>312</v>
      </c>
      <c r="P72" s="227"/>
    </row>
    <row r="73" spans="1:16" s="29" customFormat="1" ht="65.099999999999994" customHeight="1" x14ac:dyDescent="0.2">
      <c r="A73" s="99">
        <f t="shared" si="1"/>
        <v>70</v>
      </c>
      <c r="B73" s="72">
        <v>45569</v>
      </c>
      <c r="C73" s="186" t="s">
        <v>531</v>
      </c>
      <c r="D73" s="96" t="s">
        <v>502</v>
      </c>
      <c r="E73" s="97" t="s">
        <v>505</v>
      </c>
      <c r="F73" s="96" t="s">
        <v>504</v>
      </c>
      <c r="G73" s="187" t="s">
        <v>506</v>
      </c>
      <c r="H73" s="188" t="s">
        <v>13</v>
      </c>
      <c r="I73" s="189">
        <v>45961</v>
      </c>
      <c r="J73" s="186" t="s">
        <v>507</v>
      </c>
      <c r="K73" s="187">
        <v>2</v>
      </c>
      <c r="L73" s="74" t="s">
        <v>508</v>
      </c>
      <c r="M73" s="74" t="s">
        <v>482</v>
      </c>
      <c r="N73" s="74" t="s">
        <v>532</v>
      </c>
      <c r="O73" s="44"/>
      <c r="P73" s="41"/>
    </row>
    <row r="74" spans="1:16" s="29" customFormat="1" ht="57" x14ac:dyDescent="0.2">
      <c r="A74" s="99">
        <f t="shared" si="1"/>
        <v>71</v>
      </c>
      <c r="B74" s="26">
        <v>45574</v>
      </c>
      <c r="C74" s="24" t="s">
        <v>510</v>
      </c>
      <c r="D74" s="27" t="s">
        <v>45</v>
      </c>
      <c r="E74" s="27" t="s">
        <v>46</v>
      </c>
      <c r="F74" s="23" t="s">
        <v>511</v>
      </c>
      <c r="G74" s="24" t="s">
        <v>512</v>
      </c>
      <c r="H74" s="25" t="s">
        <v>13</v>
      </c>
      <c r="I74" s="26">
        <v>46159</v>
      </c>
      <c r="J74" s="27" t="s">
        <v>513</v>
      </c>
      <c r="K74" s="20">
        <v>1</v>
      </c>
      <c r="L74" s="66" t="s">
        <v>514</v>
      </c>
      <c r="M74" s="66" t="s">
        <v>524</v>
      </c>
      <c r="N74" s="51" t="s">
        <v>528</v>
      </c>
      <c r="O74" s="44"/>
      <c r="P74" s="41"/>
    </row>
    <row r="75" spans="1:16" s="29" customFormat="1" ht="61.35" customHeight="1" x14ac:dyDescent="0.2">
      <c r="A75" s="99">
        <f t="shared" si="1"/>
        <v>72</v>
      </c>
      <c r="B75" s="26">
        <v>45581</v>
      </c>
      <c r="C75" s="24" t="s">
        <v>519</v>
      </c>
      <c r="D75" s="27" t="s">
        <v>515</v>
      </c>
      <c r="E75" s="27" t="s">
        <v>516</v>
      </c>
      <c r="F75" s="23" t="s">
        <v>517</v>
      </c>
      <c r="G75" s="24" t="s">
        <v>518</v>
      </c>
      <c r="H75" s="25" t="s">
        <v>13</v>
      </c>
      <c r="I75" s="26">
        <v>46326</v>
      </c>
      <c r="J75" s="27" t="s">
        <v>65</v>
      </c>
      <c r="K75" s="20">
        <v>2</v>
      </c>
      <c r="L75" s="66" t="s">
        <v>525</v>
      </c>
      <c r="M75" s="66" t="s">
        <v>526</v>
      </c>
      <c r="N75" s="51" t="s">
        <v>529</v>
      </c>
      <c r="O75" s="44"/>
      <c r="P75" s="41"/>
    </row>
    <row r="76" spans="1:16" s="29" customFormat="1" ht="113.85" customHeight="1" x14ac:dyDescent="0.2">
      <c r="A76" s="99">
        <f t="shared" si="1"/>
        <v>73</v>
      </c>
      <c r="B76" s="26">
        <v>45580</v>
      </c>
      <c r="C76" s="24" t="s">
        <v>520</v>
      </c>
      <c r="D76" s="27" t="s">
        <v>522</v>
      </c>
      <c r="E76" s="27" t="s">
        <v>36</v>
      </c>
      <c r="F76" s="23" t="s">
        <v>29</v>
      </c>
      <c r="G76" s="24" t="s">
        <v>521</v>
      </c>
      <c r="H76" s="25" t="s">
        <v>13</v>
      </c>
      <c r="I76" s="26">
        <v>46446</v>
      </c>
      <c r="J76" s="27" t="s">
        <v>523</v>
      </c>
      <c r="K76" s="20">
        <v>2</v>
      </c>
      <c r="L76" s="66" t="s">
        <v>527</v>
      </c>
      <c r="M76" s="66" t="s">
        <v>590</v>
      </c>
      <c r="N76" s="51" t="s">
        <v>589</v>
      </c>
      <c r="O76" s="44"/>
      <c r="P76" s="41"/>
    </row>
    <row r="77" spans="1:16" s="29" customFormat="1" ht="113.85" customHeight="1" x14ac:dyDescent="0.2">
      <c r="A77" s="99">
        <f t="shared" si="1"/>
        <v>74</v>
      </c>
      <c r="B77" s="26">
        <v>45588</v>
      </c>
      <c r="C77" s="24" t="s">
        <v>533</v>
      </c>
      <c r="D77" s="27" t="s">
        <v>534</v>
      </c>
      <c r="E77" s="27" t="s">
        <v>535</v>
      </c>
      <c r="F77" s="23" t="s">
        <v>49</v>
      </c>
      <c r="G77" s="24" t="s">
        <v>536</v>
      </c>
      <c r="H77" s="25" t="s">
        <v>13</v>
      </c>
      <c r="I77" s="26">
        <v>46142</v>
      </c>
      <c r="J77" s="27" t="s">
        <v>65</v>
      </c>
      <c r="K77" s="20">
        <v>1</v>
      </c>
      <c r="L77" s="66" t="s">
        <v>537</v>
      </c>
      <c r="M77" s="66" t="s">
        <v>482</v>
      </c>
      <c r="N77" s="51" t="s">
        <v>588</v>
      </c>
      <c r="O77" s="44"/>
      <c r="P77" s="41"/>
    </row>
    <row r="78" spans="1:16" s="29" customFormat="1" ht="113.85" customHeight="1" x14ac:dyDescent="0.2">
      <c r="A78" s="99">
        <f t="shared" si="1"/>
        <v>75</v>
      </c>
      <c r="B78" s="26">
        <v>45593</v>
      </c>
      <c r="C78" s="24" t="s">
        <v>543</v>
      </c>
      <c r="D78" s="27" t="s">
        <v>538</v>
      </c>
      <c r="E78" s="27" t="s">
        <v>540</v>
      </c>
      <c r="F78" s="23" t="s">
        <v>539</v>
      </c>
      <c r="G78" s="24" t="s">
        <v>541</v>
      </c>
      <c r="H78" s="25" t="s">
        <v>13</v>
      </c>
      <c r="I78" s="26">
        <v>46262</v>
      </c>
      <c r="J78" s="27" t="s">
        <v>20</v>
      </c>
      <c r="K78" s="20">
        <v>1</v>
      </c>
      <c r="L78" s="66" t="s">
        <v>542</v>
      </c>
      <c r="M78" s="66" t="s">
        <v>482</v>
      </c>
      <c r="N78" s="51" t="s">
        <v>617</v>
      </c>
      <c r="O78" s="44"/>
      <c r="P78" s="41"/>
    </row>
    <row r="79" spans="1:16" s="29" customFormat="1" ht="113.85" customHeight="1" x14ac:dyDescent="0.2">
      <c r="A79" s="99">
        <f t="shared" si="1"/>
        <v>76</v>
      </c>
      <c r="B79" s="26">
        <v>45593</v>
      </c>
      <c r="C79" s="24" t="s">
        <v>544</v>
      </c>
      <c r="D79" s="27" t="s">
        <v>534</v>
      </c>
      <c r="E79" s="27" t="s">
        <v>535</v>
      </c>
      <c r="F79" s="23" t="s">
        <v>49</v>
      </c>
      <c r="G79" s="24" t="s">
        <v>536</v>
      </c>
      <c r="H79" s="25" t="s">
        <v>13</v>
      </c>
      <c r="I79" s="26">
        <v>46142</v>
      </c>
      <c r="J79" s="27" t="s">
        <v>65</v>
      </c>
      <c r="K79" s="20">
        <v>1</v>
      </c>
      <c r="L79" s="66" t="s">
        <v>549</v>
      </c>
      <c r="M79" s="66" t="s">
        <v>482</v>
      </c>
      <c r="N79" s="51" t="s">
        <v>557</v>
      </c>
      <c r="O79" s="44"/>
      <c r="P79" s="41"/>
    </row>
    <row r="80" spans="1:16" s="29" customFormat="1" ht="67.349999999999994" customHeight="1" x14ac:dyDescent="0.2">
      <c r="A80" s="99">
        <f t="shared" si="1"/>
        <v>77</v>
      </c>
      <c r="B80" s="26">
        <v>45595</v>
      </c>
      <c r="C80" s="24" t="s">
        <v>548</v>
      </c>
      <c r="D80" s="27" t="s">
        <v>545</v>
      </c>
      <c r="E80" s="27" t="s">
        <v>546</v>
      </c>
      <c r="F80" s="23" t="s">
        <v>34</v>
      </c>
      <c r="G80" s="24" t="s">
        <v>13</v>
      </c>
      <c r="H80" s="25" t="s">
        <v>13</v>
      </c>
      <c r="I80" s="26" t="s">
        <v>13</v>
      </c>
      <c r="J80" s="27" t="s">
        <v>20</v>
      </c>
      <c r="K80" s="20">
        <v>2</v>
      </c>
      <c r="L80" s="66" t="s">
        <v>547</v>
      </c>
      <c r="M80" s="66" t="s">
        <v>558</v>
      </c>
      <c r="N80" s="51" t="s">
        <v>556</v>
      </c>
      <c r="O80" s="44"/>
      <c r="P80" s="41"/>
    </row>
    <row r="81" spans="1:17" s="29" customFormat="1" ht="113.85" customHeight="1" x14ac:dyDescent="0.2">
      <c r="A81" s="99">
        <f t="shared" si="1"/>
        <v>78</v>
      </c>
      <c r="B81" s="26">
        <v>45597</v>
      </c>
      <c r="C81" s="24" t="s">
        <v>550</v>
      </c>
      <c r="D81" s="27" t="s">
        <v>551</v>
      </c>
      <c r="E81" s="27" t="s">
        <v>554</v>
      </c>
      <c r="F81" s="23" t="s">
        <v>552</v>
      </c>
      <c r="G81" s="24" t="s">
        <v>13</v>
      </c>
      <c r="H81" s="24" t="s">
        <v>13</v>
      </c>
      <c r="I81" s="24" t="s">
        <v>13</v>
      </c>
      <c r="J81" s="24" t="s">
        <v>13</v>
      </c>
      <c r="K81" s="24" t="s">
        <v>13</v>
      </c>
      <c r="L81" s="66" t="s">
        <v>553</v>
      </c>
      <c r="M81" s="66" t="s">
        <v>13</v>
      </c>
      <c r="N81" s="51" t="s">
        <v>605</v>
      </c>
      <c r="O81" s="44"/>
      <c r="P81" s="41"/>
    </row>
    <row r="82" spans="1:17" s="29" customFormat="1" ht="42.75" x14ac:dyDescent="0.2">
      <c r="A82" s="99">
        <f t="shared" si="1"/>
        <v>79</v>
      </c>
      <c r="B82" s="193">
        <v>45600</v>
      </c>
      <c r="C82" s="194" t="s">
        <v>555</v>
      </c>
      <c r="D82" s="195" t="s">
        <v>572</v>
      </c>
      <c r="E82" s="195" t="s">
        <v>573</v>
      </c>
      <c r="F82" s="195" t="s">
        <v>574</v>
      </c>
      <c r="G82" s="194">
        <v>1196750</v>
      </c>
      <c r="H82" s="196" t="s">
        <v>575</v>
      </c>
      <c r="I82" s="196">
        <v>45994</v>
      </c>
      <c r="J82" s="194" t="s">
        <v>20</v>
      </c>
      <c r="K82" s="197">
        <v>10</v>
      </c>
      <c r="L82" s="198" t="s">
        <v>577</v>
      </c>
      <c r="M82" s="199" t="s">
        <v>576</v>
      </c>
      <c r="N82" s="200" t="s">
        <v>606</v>
      </c>
      <c r="O82" s="44"/>
      <c r="P82" s="41"/>
    </row>
    <row r="83" spans="1:17" s="29" customFormat="1" ht="113.85" customHeight="1" x14ac:dyDescent="0.2">
      <c r="A83" s="99">
        <f t="shared" si="1"/>
        <v>80</v>
      </c>
      <c r="B83" s="201">
        <v>45602</v>
      </c>
      <c r="C83" s="202" t="s">
        <v>559</v>
      </c>
      <c r="D83" s="203" t="s">
        <v>569</v>
      </c>
      <c r="E83" s="203" t="s">
        <v>565</v>
      </c>
      <c r="F83" s="203" t="s">
        <v>566</v>
      </c>
      <c r="G83" s="202" t="s">
        <v>567</v>
      </c>
      <c r="H83" s="204">
        <v>45324</v>
      </c>
      <c r="I83" s="204">
        <v>46234</v>
      </c>
      <c r="J83" s="202" t="s">
        <v>43</v>
      </c>
      <c r="K83" s="205" t="s">
        <v>568</v>
      </c>
      <c r="L83" s="206" t="s">
        <v>570</v>
      </c>
      <c r="M83" s="207" t="s">
        <v>482</v>
      </c>
      <c r="N83" s="208" t="s">
        <v>571</v>
      </c>
      <c r="O83" s="44" t="s">
        <v>28</v>
      </c>
      <c r="P83" s="41"/>
    </row>
    <row r="84" spans="1:17" s="29" customFormat="1" ht="113.85" customHeight="1" x14ac:dyDescent="0.2">
      <c r="A84" s="99">
        <f t="shared" si="1"/>
        <v>81</v>
      </c>
      <c r="B84" s="26">
        <v>45607</v>
      </c>
      <c r="C84" s="24" t="s">
        <v>560</v>
      </c>
      <c r="D84" s="27" t="s">
        <v>561</v>
      </c>
      <c r="E84" s="27" t="s">
        <v>562</v>
      </c>
      <c r="F84" s="23" t="s">
        <v>539</v>
      </c>
      <c r="G84" s="24" t="s">
        <v>563</v>
      </c>
      <c r="H84" s="24" t="s">
        <v>13</v>
      </c>
      <c r="I84" s="25">
        <v>46263</v>
      </c>
      <c r="J84" s="24" t="s">
        <v>65</v>
      </c>
      <c r="K84" s="24">
        <v>1</v>
      </c>
      <c r="L84" s="66" t="s">
        <v>564</v>
      </c>
      <c r="M84" s="66" t="s">
        <v>594</v>
      </c>
      <c r="N84" s="51" t="s">
        <v>595</v>
      </c>
      <c r="O84" s="44"/>
      <c r="P84" s="41"/>
    </row>
    <row r="85" spans="1:17" s="29" customFormat="1" ht="113.85" customHeight="1" x14ac:dyDescent="0.2">
      <c r="A85" s="99">
        <f t="shared" si="1"/>
        <v>82</v>
      </c>
      <c r="B85" s="26">
        <v>45607</v>
      </c>
      <c r="C85" s="24" t="s">
        <v>578</v>
      </c>
      <c r="D85" s="27" t="s">
        <v>579</v>
      </c>
      <c r="E85" s="27" t="s">
        <v>580</v>
      </c>
      <c r="F85" s="23" t="s">
        <v>581</v>
      </c>
      <c r="G85" s="24" t="s">
        <v>582</v>
      </c>
      <c r="H85" s="25">
        <v>45320</v>
      </c>
      <c r="I85" s="25">
        <v>46416</v>
      </c>
      <c r="J85" s="24" t="s">
        <v>15</v>
      </c>
      <c r="K85" s="24">
        <v>2</v>
      </c>
      <c r="L85" s="66" t="s">
        <v>596</v>
      </c>
      <c r="M85" s="66" t="s">
        <v>593</v>
      </c>
      <c r="N85" s="51" t="s">
        <v>623</v>
      </c>
      <c r="O85" s="44"/>
      <c r="P85" s="41"/>
    </row>
    <row r="86" spans="1:17" s="29" customFormat="1" ht="99.75" x14ac:dyDescent="0.2">
      <c r="A86" s="99">
        <f t="shared" si="1"/>
        <v>83</v>
      </c>
      <c r="B86" s="26">
        <v>45608</v>
      </c>
      <c r="C86" s="24" t="s">
        <v>583</v>
      </c>
      <c r="D86" s="27" t="s">
        <v>227</v>
      </c>
      <c r="E86" s="23" t="s">
        <v>228</v>
      </c>
      <c r="F86" s="23" t="s">
        <v>29</v>
      </c>
      <c r="G86" s="24" t="s">
        <v>584</v>
      </c>
      <c r="H86" s="25" t="s">
        <v>13</v>
      </c>
      <c r="I86" s="25">
        <v>46446</v>
      </c>
      <c r="J86" s="24" t="s">
        <v>523</v>
      </c>
      <c r="K86" s="24">
        <v>1</v>
      </c>
      <c r="L86" s="66" t="s">
        <v>235</v>
      </c>
      <c r="M86" s="66" t="s">
        <v>621</v>
      </c>
      <c r="N86" s="51" t="s">
        <v>622</v>
      </c>
      <c r="O86" s="44"/>
      <c r="P86" s="41"/>
    </row>
    <row r="87" spans="1:17" s="29" customFormat="1" ht="113.85" customHeight="1" x14ac:dyDescent="0.2">
      <c r="A87" s="99">
        <f t="shared" si="1"/>
        <v>84</v>
      </c>
      <c r="B87" s="26">
        <v>45609</v>
      </c>
      <c r="C87" s="24" t="s">
        <v>585</v>
      </c>
      <c r="D87" s="27" t="s">
        <v>70</v>
      </c>
      <c r="E87" s="27" t="s">
        <v>592</v>
      </c>
      <c r="F87" s="23" t="s">
        <v>586</v>
      </c>
      <c r="G87" s="24" t="s">
        <v>587</v>
      </c>
      <c r="H87" s="25" t="s">
        <v>13</v>
      </c>
      <c r="I87" s="25">
        <v>45961</v>
      </c>
      <c r="J87" s="24" t="s">
        <v>15</v>
      </c>
      <c r="K87" s="24">
        <v>1</v>
      </c>
      <c r="L87" s="66" t="s">
        <v>137</v>
      </c>
      <c r="M87" s="66" t="s">
        <v>597</v>
      </c>
      <c r="N87" s="51" t="s">
        <v>781</v>
      </c>
      <c r="O87" s="44"/>
      <c r="P87" s="41"/>
    </row>
    <row r="88" spans="1:17" s="29" customFormat="1" ht="113.85" customHeight="1" x14ac:dyDescent="0.2">
      <c r="A88" s="99">
        <f t="shared" si="1"/>
        <v>85</v>
      </c>
      <c r="B88" s="26">
        <v>45610</v>
      </c>
      <c r="C88" s="24" t="s">
        <v>598</v>
      </c>
      <c r="D88" s="27" t="s">
        <v>599</v>
      </c>
      <c r="E88" s="27" t="s">
        <v>607</v>
      </c>
      <c r="F88" s="23" t="s">
        <v>608</v>
      </c>
      <c r="G88" s="24" t="s">
        <v>601</v>
      </c>
      <c r="H88" s="25" t="s">
        <v>13</v>
      </c>
      <c r="I88" s="25">
        <v>45688</v>
      </c>
      <c r="J88" s="24" t="s">
        <v>15</v>
      </c>
      <c r="K88" s="24">
        <v>14</v>
      </c>
      <c r="L88" s="66" t="s">
        <v>600</v>
      </c>
      <c r="M88" s="66" t="s">
        <v>597</v>
      </c>
      <c r="N88" s="51" t="s">
        <v>648</v>
      </c>
      <c r="O88" s="44"/>
      <c r="P88" s="41"/>
    </row>
    <row r="89" spans="1:17" s="29" customFormat="1" ht="113.85" customHeight="1" x14ac:dyDescent="0.2">
      <c r="A89" s="99">
        <f t="shared" si="1"/>
        <v>86</v>
      </c>
      <c r="B89" s="26">
        <v>45611</v>
      </c>
      <c r="C89" s="24" t="s">
        <v>611</v>
      </c>
      <c r="D89" s="192" t="s">
        <v>612</v>
      </c>
      <c r="E89" s="27" t="s">
        <v>613</v>
      </c>
      <c r="F89" s="23" t="s">
        <v>614</v>
      </c>
      <c r="G89" s="24" t="s">
        <v>615</v>
      </c>
      <c r="H89" s="25" t="s">
        <v>13</v>
      </c>
      <c r="I89" s="25" t="s">
        <v>624</v>
      </c>
      <c r="J89" s="24" t="s">
        <v>13</v>
      </c>
      <c r="K89" s="24" t="s">
        <v>13</v>
      </c>
      <c r="L89" s="66" t="s">
        <v>616</v>
      </c>
      <c r="M89" s="66" t="s">
        <v>619</v>
      </c>
      <c r="N89" s="51" t="s">
        <v>620</v>
      </c>
      <c r="O89" s="44"/>
      <c r="P89" s="41"/>
    </row>
    <row r="90" spans="1:17" s="29" customFormat="1" ht="113.85" customHeight="1" x14ac:dyDescent="0.2">
      <c r="A90" s="99">
        <f t="shared" si="1"/>
        <v>87</v>
      </c>
      <c r="B90" s="26">
        <v>45614</v>
      </c>
      <c r="C90" s="24" t="s">
        <v>618</v>
      </c>
      <c r="D90" s="192" t="s">
        <v>625</v>
      </c>
      <c r="E90" s="27" t="s">
        <v>627</v>
      </c>
      <c r="F90" s="23" t="s">
        <v>49</v>
      </c>
      <c r="G90" s="24" t="s">
        <v>626</v>
      </c>
      <c r="H90" s="25">
        <v>45058</v>
      </c>
      <c r="I90" s="25">
        <v>46142</v>
      </c>
      <c r="J90" s="24" t="s">
        <v>15</v>
      </c>
      <c r="K90" s="24">
        <v>1</v>
      </c>
      <c r="L90" s="66" t="s">
        <v>628</v>
      </c>
      <c r="M90" s="66" t="s">
        <v>482</v>
      </c>
      <c r="N90" s="51" t="s">
        <v>635</v>
      </c>
      <c r="O90" s="44"/>
      <c r="P90" s="41" t="s">
        <v>312</v>
      </c>
    </row>
    <row r="91" spans="1:17" s="29" customFormat="1" ht="213.75" x14ac:dyDescent="0.2">
      <c r="A91" s="99">
        <f t="shared" si="1"/>
        <v>88</v>
      </c>
      <c r="B91" s="26">
        <v>45615</v>
      </c>
      <c r="C91" s="24" t="s">
        <v>629</v>
      </c>
      <c r="D91" s="229" t="s">
        <v>632</v>
      </c>
      <c r="E91" s="27" t="s">
        <v>646</v>
      </c>
      <c r="F91" s="23" t="s">
        <v>49</v>
      </c>
      <c r="G91" s="24" t="s">
        <v>626</v>
      </c>
      <c r="H91" s="25">
        <v>45058</v>
      </c>
      <c r="I91" s="25">
        <v>46142</v>
      </c>
      <c r="J91" s="24" t="s">
        <v>13</v>
      </c>
      <c r="K91" s="24" t="s">
        <v>13</v>
      </c>
      <c r="L91" s="66" t="s">
        <v>633</v>
      </c>
      <c r="M91" s="66" t="s">
        <v>13</v>
      </c>
      <c r="N91" s="51" t="s">
        <v>674</v>
      </c>
      <c r="O91" s="44"/>
      <c r="P91" s="41"/>
    </row>
    <row r="92" spans="1:17" s="29" customFormat="1" ht="114" x14ac:dyDescent="0.2">
      <c r="A92" s="99">
        <f t="shared" si="1"/>
        <v>89</v>
      </c>
      <c r="B92" s="26">
        <v>45618</v>
      </c>
      <c r="C92" s="24" t="s">
        <v>634</v>
      </c>
      <c r="D92" s="230" t="s">
        <v>423</v>
      </c>
      <c r="E92" s="27" t="s">
        <v>424</v>
      </c>
      <c r="F92" s="23" t="s">
        <v>581</v>
      </c>
      <c r="G92" s="24" t="s">
        <v>645</v>
      </c>
      <c r="H92" s="25">
        <v>45327</v>
      </c>
      <c r="I92" s="25">
        <v>46423</v>
      </c>
      <c r="J92" s="24" t="s">
        <v>33</v>
      </c>
      <c r="K92" s="24">
        <v>1</v>
      </c>
      <c r="L92" s="66" t="s">
        <v>644</v>
      </c>
      <c r="M92" s="66" t="s">
        <v>482</v>
      </c>
      <c r="N92" s="51" t="s">
        <v>649</v>
      </c>
      <c r="O92" s="44"/>
      <c r="P92" s="41" t="s">
        <v>312</v>
      </c>
      <c r="Q92" s="29" t="s">
        <v>650</v>
      </c>
    </row>
    <row r="93" spans="1:17" s="29" customFormat="1" ht="72" customHeight="1" x14ac:dyDescent="0.2">
      <c r="A93" s="99">
        <f t="shared" si="1"/>
        <v>90</v>
      </c>
      <c r="B93" s="26" t="s">
        <v>636</v>
      </c>
      <c r="C93" s="24" t="s">
        <v>637</v>
      </c>
      <c r="D93" s="192" t="s">
        <v>638</v>
      </c>
      <c r="E93" s="27" t="s">
        <v>627</v>
      </c>
      <c r="F93" s="23" t="s">
        <v>49</v>
      </c>
      <c r="G93" s="24" t="s">
        <v>626</v>
      </c>
      <c r="H93" s="25">
        <v>45058</v>
      </c>
      <c r="I93" s="25">
        <v>46142</v>
      </c>
      <c r="J93" s="24" t="s">
        <v>15</v>
      </c>
      <c r="K93" s="24">
        <v>1</v>
      </c>
      <c r="L93" s="66" t="s">
        <v>628</v>
      </c>
      <c r="M93" s="66" t="s">
        <v>482</v>
      </c>
      <c r="N93" s="51" t="s">
        <v>647</v>
      </c>
      <c r="O93" s="44"/>
      <c r="P93" s="41" t="s">
        <v>312</v>
      </c>
    </row>
    <row r="94" spans="1:17" s="29" customFormat="1" ht="57" x14ac:dyDescent="0.2">
      <c r="A94" s="99">
        <f t="shared" si="1"/>
        <v>91</v>
      </c>
      <c r="B94" s="26">
        <v>45621</v>
      </c>
      <c r="C94" s="24" t="s">
        <v>639</v>
      </c>
      <c r="D94" s="192" t="s">
        <v>640</v>
      </c>
      <c r="E94" s="27" t="s">
        <v>642</v>
      </c>
      <c r="F94" s="23" t="s">
        <v>75</v>
      </c>
      <c r="G94" s="24" t="s">
        <v>643</v>
      </c>
      <c r="H94" s="25">
        <v>45037</v>
      </c>
      <c r="I94" s="25">
        <v>46112</v>
      </c>
      <c r="J94" s="24" t="s">
        <v>15</v>
      </c>
      <c r="K94" s="24">
        <v>1</v>
      </c>
      <c r="L94" s="66" t="s">
        <v>628</v>
      </c>
      <c r="M94" s="66" t="s">
        <v>482</v>
      </c>
      <c r="N94" s="51" t="s">
        <v>641</v>
      </c>
      <c r="O94" s="44"/>
      <c r="P94" s="41"/>
    </row>
    <row r="95" spans="1:17" s="29" customFormat="1" ht="127.35" customHeight="1" x14ac:dyDescent="0.2">
      <c r="A95" s="99">
        <f t="shared" si="1"/>
        <v>92</v>
      </c>
      <c r="B95" s="26">
        <v>45629</v>
      </c>
      <c r="C95" s="40" t="s">
        <v>652</v>
      </c>
      <c r="D95" s="192" t="s">
        <v>654</v>
      </c>
      <c r="E95" s="27" t="s">
        <v>655</v>
      </c>
      <c r="F95" s="23" t="s">
        <v>653</v>
      </c>
      <c r="G95" s="24">
        <v>223510</v>
      </c>
      <c r="H95" s="25" t="s">
        <v>13</v>
      </c>
      <c r="I95" s="25">
        <v>46026</v>
      </c>
      <c r="J95" s="24" t="s">
        <v>15</v>
      </c>
      <c r="K95" s="24" t="s">
        <v>13</v>
      </c>
      <c r="L95" s="66" t="s">
        <v>662</v>
      </c>
      <c r="M95" s="66" t="s">
        <v>661</v>
      </c>
      <c r="N95" s="51" t="s">
        <v>663</v>
      </c>
      <c r="O95" s="44"/>
      <c r="P95" s="41"/>
    </row>
    <row r="96" spans="1:17" s="29" customFormat="1" ht="42.75" x14ac:dyDescent="0.2">
      <c r="A96" s="99">
        <f t="shared" si="1"/>
        <v>93</v>
      </c>
      <c r="B96" s="26">
        <v>45637</v>
      </c>
      <c r="C96" s="24" t="s">
        <v>656</v>
      </c>
      <c r="D96" s="192" t="s">
        <v>657</v>
      </c>
      <c r="E96" s="27" t="s">
        <v>658</v>
      </c>
      <c r="F96" s="23" t="s">
        <v>659</v>
      </c>
      <c r="G96" s="24" t="s">
        <v>660</v>
      </c>
      <c r="H96" s="25">
        <v>45565</v>
      </c>
      <c r="I96" s="25">
        <v>46295</v>
      </c>
      <c r="J96" s="24" t="s">
        <v>15</v>
      </c>
      <c r="K96" s="24">
        <v>1</v>
      </c>
      <c r="L96" s="66" t="s">
        <v>664</v>
      </c>
      <c r="M96" s="66" t="s">
        <v>482</v>
      </c>
      <c r="N96" s="51" t="s">
        <v>665</v>
      </c>
      <c r="O96" s="41" t="s">
        <v>312</v>
      </c>
      <c r="P96" s="41" t="s">
        <v>312</v>
      </c>
      <c r="Q96" s="29" t="s">
        <v>666</v>
      </c>
    </row>
    <row r="97" spans="1:16" s="29" customFormat="1" ht="57" x14ac:dyDescent="0.2">
      <c r="A97" s="99">
        <f t="shared" si="1"/>
        <v>94</v>
      </c>
      <c r="B97" s="26">
        <v>45650</v>
      </c>
      <c r="C97" s="24" t="s">
        <v>667</v>
      </c>
      <c r="D97" s="192" t="s">
        <v>668</v>
      </c>
      <c r="E97" s="27" t="s">
        <v>670</v>
      </c>
      <c r="F97" s="23" t="s">
        <v>669</v>
      </c>
      <c r="G97" s="24">
        <v>740401</v>
      </c>
      <c r="H97" s="25" t="s">
        <v>13</v>
      </c>
      <c r="I97" s="25">
        <v>46142</v>
      </c>
      <c r="J97" s="24" t="s">
        <v>15</v>
      </c>
      <c r="K97" s="24">
        <v>1</v>
      </c>
      <c r="L97" s="66" t="s">
        <v>671</v>
      </c>
      <c r="M97" s="66" t="s">
        <v>482</v>
      </c>
      <c r="N97" s="51" t="s">
        <v>686</v>
      </c>
      <c r="O97" s="41"/>
      <c r="P97" s="41"/>
    </row>
    <row r="98" spans="1:16" s="29" customFormat="1" ht="99.75" x14ac:dyDescent="0.2">
      <c r="A98" s="99">
        <f t="shared" si="1"/>
        <v>95</v>
      </c>
      <c r="B98" s="26">
        <v>45653</v>
      </c>
      <c r="C98" s="24" t="s">
        <v>672</v>
      </c>
      <c r="D98" s="192" t="s">
        <v>675</v>
      </c>
      <c r="E98" s="27" t="s">
        <v>676</v>
      </c>
      <c r="F98" s="23" t="s">
        <v>677</v>
      </c>
      <c r="G98" s="24" t="s">
        <v>678</v>
      </c>
      <c r="H98" s="25">
        <v>45392</v>
      </c>
      <c r="I98" s="25">
        <v>46486</v>
      </c>
      <c r="J98" s="24" t="s">
        <v>15</v>
      </c>
      <c r="K98" s="24">
        <v>1</v>
      </c>
      <c r="L98" s="66" t="s">
        <v>679</v>
      </c>
      <c r="M98" s="66" t="s">
        <v>734</v>
      </c>
      <c r="N98" s="51" t="s">
        <v>735</v>
      </c>
      <c r="O98" s="41"/>
      <c r="P98" s="41"/>
    </row>
    <row r="99" spans="1:16" s="15" customFormat="1" ht="14.25" x14ac:dyDescent="0.2">
      <c r="A99" s="37"/>
      <c r="B99" s="13"/>
      <c r="C99" s="14"/>
      <c r="D99" s="30" t="s">
        <v>21</v>
      </c>
      <c r="E99" s="31"/>
      <c r="F99" s="31"/>
      <c r="G99" s="30"/>
      <c r="H99" s="32"/>
      <c r="I99" s="57"/>
      <c r="J99" s="33"/>
      <c r="K99" s="33"/>
      <c r="L99" s="71" t="s">
        <v>22</v>
      </c>
      <c r="M99" s="71"/>
      <c r="N99" s="52"/>
      <c r="O99" s="16"/>
      <c r="P99" s="16"/>
    </row>
    <row r="100" spans="1:16" s="15" customFormat="1" ht="14.25" x14ac:dyDescent="0.2">
      <c r="A100" s="37"/>
      <c r="C100" s="14"/>
      <c r="D100" s="15" t="s">
        <v>23</v>
      </c>
      <c r="E100" s="33"/>
      <c r="F100" s="84"/>
      <c r="G100" s="30"/>
      <c r="H100" s="32"/>
      <c r="I100" s="57"/>
      <c r="J100" s="33"/>
      <c r="K100" s="33"/>
      <c r="L100" s="53" t="s">
        <v>23</v>
      </c>
      <c r="M100" s="53"/>
      <c r="N100" s="53"/>
      <c r="O100" s="16"/>
      <c r="P100" s="16"/>
    </row>
    <row r="101" spans="1:16" s="15" customFormat="1" ht="14.25" x14ac:dyDescent="0.2">
      <c r="A101" s="37"/>
      <c r="B101" s="190"/>
      <c r="C101" s="14"/>
      <c r="E101" s="33"/>
      <c r="F101" s="84"/>
      <c r="G101" s="30"/>
      <c r="H101" s="32"/>
      <c r="I101" s="57"/>
      <c r="J101" s="33"/>
      <c r="K101" s="33"/>
      <c r="L101" s="53"/>
      <c r="M101" s="53"/>
      <c r="N101" s="53"/>
      <c r="O101" s="16"/>
      <c r="P101" s="16"/>
    </row>
    <row r="102" spans="1:16" ht="15" x14ac:dyDescent="0.2">
      <c r="D102" s="9"/>
      <c r="E102" s="9"/>
      <c r="F102" s="85"/>
      <c r="G102" s="9"/>
      <c r="H102" s="10"/>
      <c r="I102" s="58"/>
      <c r="J102" s="11"/>
      <c r="K102" s="11"/>
      <c r="L102" s="67"/>
      <c r="M102" s="67"/>
    </row>
    <row r="103" spans="1:16" ht="15" x14ac:dyDescent="0.2">
      <c r="C103" s="67" t="s">
        <v>530</v>
      </c>
      <c r="D103" s="9"/>
      <c r="E103" s="9"/>
      <c r="F103" s="85"/>
      <c r="G103" s="9"/>
      <c r="H103" s="10"/>
      <c r="I103" s="58"/>
      <c r="J103" s="11"/>
      <c r="K103" s="11"/>
      <c r="L103" s="67"/>
      <c r="M103" s="67" t="s">
        <v>22</v>
      </c>
    </row>
    <row r="107" spans="1:16" s="54" customFormat="1" x14ac:dyDescent="0.2">
      <c r="A107" s="38"/>
      <c r="B107" s="2"/>
      <c r="C107" s="2"/>
      <c r="D107" s="2"/>
      <c r="E107" s="2"/>
      <c r="F107" s="8"/>
      <c r="G107" s="2"/>
      <c r="H107" s="7"/>
      <c r="I107" s="59"/>
      <c r="J107" s="12"/>
      <c r="K107" s="12" t="s">
        <v>24</v>
      </c>
      <c r="O107" s="1"/>
      <c r="P107" s="228"/>
    </row>
    <row r="112" spans="1:16" s="54" customFormat="1" x14ac:dyDescent="0.2">
      <c r="A112" s="38"/>
      <c r="B112" s="2"/>
      <c r="C112" s="2"/>
      <c r="D112" s="12"/>
      <c r="E112" s="12"/>
      <c r="F112" s="8"/>
      <c r="G112" s="2"/>
      <c r="H112" s="7"/>
      <c r="I112" s="59"/>
      <c r="J112" s="12"/>
      <c r="K112" s="12"/>
      <c r="O112" s="1"/>
      <c r="P112" s="228"/>
    </row>
  </sheetData>
  <autoFilter ref="A3:Q100"/>
  <mergeCells count="3">
    <mergeCell ref="A1:C1"/>
    <mergeCell ref="D1:N1"/>
    <mergeCell ref="C2:D2"/>
  </mergeCells>
  <conditionalFormatting sqref="A99:A101">
    <cfRule type="expression" dxfId="165" priority="9">
      <formula>#REF!&lt;&gt;""</formula>
    </cfRule>
  </conditionalFormatting>
  <conditionalFormatting sqref="G25:H25">
    <cfRule type="expression" dxfId="164" priority="5">
      <formula>J25&lt;&gt;""</formula>
    </cfRule>
  </conditionalFormatting>
  <conditionalFormatting sqref="G38:H38">
    <cfRule type="expression" dxfId="163" priority="4">
      <formula>J38&lt;&gt;""</formula>
    </cfRule>
  </conditionalFormatting>
  <conditionalFormatting sqref="G13:I17 G18:G23 H26:I26 G26:G37 H27:H37 H39:H45 G39:G47 H46:I47 G48:I73">
    <cfRule type="expression" dxfId="162" priority="8">
      <formula>J13&lt;&gt;""</formula>
    </cfRule>
  </conditionalFormatting>
  <conditionalFormatting sqref="H18:I24">
    <cfRule type="expression" dxfId="161" priority="6">
      <formula>K18&lt;&gt;""</formula>
    </cfRule>
  </conditionalFormatting>
  <conditionalFormatting sqref="J13:K73">
    <cfRule type="expression" dxfId="160" priority="20">
      <formula>N13&lt;&gt;""</formula>
    </cfRule>
  </conditionalFormatting>
  <conditionalFormatting sqref="L13:L20 L69:L73">
    <cfRule type="expression" dxfId="159" priority="7">
      <formula>P13&lt;&gt;""</formula>
    </cfRule>
  </conditionalFormatting>
  <conditionalFormatting sqref="L56">
    <cfRule type="expression" dxfId="158" priority="1">
      <formula>P56&lt;&gt;""</formula>
    </cfRule>
  </conditionalFormatting>
  <conditionalFormatting sqref="M69:M73">
    <cfRule type="expression" dxfId="157" priority="22">
      <formula>#REF!&lt;&gt;""</formula>
    </cfRule>
  </conditionalFormatting>
  <printOptions horizontalCentered="1"/>
  <pageMargins left="0.2" right="0.2" top="0" bottom="0.5" header="0.05" footer="0.25"/>
  <pageSetup paperSize="9" scale="46" fitToHeight="0" orientation="landscape" r:id="rId1"/>
  <headerFooter alignWithMargins="0">
    <oddFooter>&amp;L&amp;"Tahoma,Regular"&amp;11BM-QT-QLCL-009-10-02&amp;R&amp;"Tahoma,Regular"&amp;11Trang/page &amp;P/&amp;N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U27"/>
  <sheetViews>
    <sheetView zoomScale="80" zoomScaleNormal="80" zoomScaleSheetLayoutView="70" workbookViewId="0">
      <pane ySplit="3" topLeftCell="A4" activePane="bottomLeft" state="frozen"/>
      <selection pane="bottomLeft" activeCell="D1" sqref="A1:N1"/>
    </sheetView>
  </sheetViews>
  <sheetFormatPr defaultColWidth="8.85546875" defaultRowHeight="14.25" x14ac:dyDescent="0.2"/>
  <cols>
    <col min="1" max="1" width="7.42578125" style="249" customWidth="1"/>
    <col min="2" max="2" width="14.140625" style="242" customWidth="1"/>
    <col min="3" max="3" width="19.5703125" style="251" customWidth="1"/>
    <col min="4" max="4" width="24" style="242" customWidth="1"/>
    <col min="5" max="5" width="19.42578125" style="242" customWidth="1"/>
    <col min="6" max="6" width="20.140625" style="251" customWidth="1"/>
    <col min="7" max="7" width="11.85546875" style="242" customWidth="1"/>
    <col min="8" max="8" width="14.5703125" style="250" customWidth="1"/>
    <col min="9" max="9" width="14.85546875" style="252" customWidth="1"/>
    <col min="10" max="10" width="11.5703125" style="232" customWidth="1"/>
    <col min="11" max="11" width="13.5703125" style="253" customWidth="1"/>
    <col min="12" max="12" width="42.140625" style="244" customWidth="1"/>
    <col min="13" max="13" width="51.140625" style="244" customWidth="1"/>
    <col min="14" max="14" width="45.5703125" style="244" customWidth="1"/>
    <col min="15" max="15" width="38.42578125" style="232" customWidth="1"/>
    <col min="16" max="16" width="36.42578125" style="232" customWidth="1"/>
    <col min="17" max="17" width="22.42578125" style="242" customWidth="1"/>
    <col min="18" max="18" width="24.85546875" style="245" customWidth="1"/>
    <col min="19" max="19" width="23.42578125" style="242" customWidth="1"/>
    <col min="20" max="20" width="14.42578125" style="250" customWidth="1"/>
    <col min="21" max="21" width="19.140625" style="250" customWidth="1"/>
    <col min="22" max="16384" width="8.85546875" style="242"/>
  </cols>
  <sheetData>
    <row r="1" spans="1:21" ht="46.35" customHeight="1" x14ac:dyDescent="0.2">
      <c r="A1" s="731"/>
      <c r="B1" s="731"/>
      <c r="C1" s="731"/>
      <c r="D1" s="727" t="s">
        <v>84</v>
      </c>
      <c r="E1" s="727"/>
      <c r="F1" s="727"/>
      <c r="G1" s="727"/>
      <c r="H1" s="727"/>
      <c r="I1" s="727"/>
      <c r="J1" s="727"/>
      <c r="K1" s="727"/>
      <c r="L1" s="727"/>
      <c r="M1" s="727"/>
      <c r="N1" s="727"/>
    </row>
    <row r="2" spans="1:21" x14ac:dyDescent="0.2">
      <c r="A2" s="246"/>
      <c r="B2" s="243"/>
      <c r="C2" s="732"/>
      <c r="D2" s="732"/>
      <c r="E2" s="233"/>
      <c r="F2" s="234"/>
      <c r="G2" s="235"/>
      <c r="H2" s="236"/>
      <c r="I2" s="237"/>
      <c r="J2" s="235"/>
      <c r="K2" s="238"/>
      <c r="L2" s="239"/>
      <c r="M2" s="239"/>
      <c r="N2" s="240"/>
    </row>
    <row r="3" spans="1:21" s="16" customFormat="1" ht="42.75" x14ac:dyDescent="0.2">
      <c r="A3" s="256" t="s">
        <v>0</v>
      </c>
      <c r="B3" s="257" t="s">
        <v>1</v>
      </c>
      <c r="C3" s="257" t="s">
        <v>2</v>
      </c>
      <c r="D3" s="257" t="s">
        <v>3</v>
      </c>
      <c r="E3" s="257" t="s">
        <v>4</v>
      </c>
      <c r="F3" s="257" t="s">
        <v>5</v>
      </c>
      <c r="G3" s="257" t="s">
        <v>6</v>
      </c>
      <c r="H3" s="257" t="s">
        <v>7</v>
      </c>
      <c r="I3" s="258" t="s">
        <v>8</v>
      </c>
      <c r="J3" s="259" t="s">
        <v>9</v>
      </c>
      <c r="K3" s="260" t="s">
        <v>10</v>
      </c>
      <c r="L3" s="261" t="s">
        <v>11</v>
      </c>
      <c r="M3" s="261" t="s">
        <v>453</v>
      </c>
      <c r="N3" s="261" t="s">
        <v>12</v>
      </c>
      <c r="O3" s="257" t="s">
        <v>25</v>
      </c>
      <c r="P3" s="262" t="s">
        <v>604</v>
      </c>
      <c r="Q3" s="262" t="s">
        <v>651</v>
      </c>
      <c r="R3" s="263" t="s">
        <v>801</v>
      </c>
      <c r="S3" s="263" t="s">
        <v>794</v>
      </c>
      <c r="T3" s="264" t="s">
        <v>795</v>
      </c>
      <c r="U3" s="264" t="s">
        <v>796</v>
      </c>
    </row>
    <row r="4" spans="1:21" s="245" customFormat="1" ht="123" customHeight="1" x14ac:dyDescent="0.2">
      <c r="A4" s="296">
        <f>ROW(B4)-3</f>
        <v>1</v>
      </c>
      <c r="B4" s="291">
        <v>45660</v>
      </c>
      <c r="C4" s="266" t="s">
        <v>681</v>
      </c>
      <c r="D4" s="266" t="s">
        <v>423</v>
      </c>
      <c r="E4" s="267" t="s">
        <v>424</v>
      </c>
      <c r="F4" s="266" t="s">
        <v>217</v>
      </c>
      <c r="G4" s="267" t="s">
        <v>567</v>
      </c>
      <c r="H4" s="267" t="s">
        <v>13</v>
      </c>
      <c r="I4" s="268">
        <v>46234</v>
      </c>
      <c r="J4" s="269" t="s">
        <v>523</v>
      </c>
      <c r="K4" s="270">
        <v>1</v>
      </c>
      <c r="L4" s="271" t="s">
        <v>673</v>
      </c>
      <c r="M4" s="271" t="s">
        <v>13</v>
      </c>
      <c r="N4" s="272" t="s">
        <v>682</v>
      </c>
      <c r="O4" s="273"/>
      <c r="P4" s="274"/>
      <c r="Q4" s="275"/>
      <c r="R4" s="294" t="s">
        <v>798</v>
      </c>
      <c r="S4" s="255">
        <v>45728</v>
      </c>
      <c r="T4" s="254" t="str">
        <f>IF(I4="","CHƯA NHẬP NGÀY",TEXT(I4,"dd/mm/yyyy"))</f>
        <v>31/07/2026</v>
      </c>
      <c r="U4" s="254" t="str">
        <f>IF(S4="","CHƯA NHẬP NGÀY",TEXT(S4,"dd/mm/yyyy"))</f>
        <v>12/03/2025</v>
      </c>
    </row>
    <row r="5" spans="1:21" s="245" customFormat="1" ht="59.1" customHeight="1" x14ac:dyDescent="0.2">
      <c r="A5" s="296">
        <f t="shared" ref="A5:A21" si="0">ROW(B5)-3</f>
        <v>2</v>
      </c>
      <c r="B5" s="290">
        <v>45665</v>
      </c>
      <c r="C5" s="277" t="s">
        <v>680</v>
      </c>
      <c r="D5" s="277" t="s">
        <v>687</v>
      </c>
      <c r="E5" s="273" t="s">
        <v>688</v>
      </c>
      <c r="F5" s="277" t="s">
        <v>689</v>
      </c>
      <c r="G5" s="273" t="s">
        <v>690</v>
      </c>
      <c r="H5" s="273" t="s">
        <v>13</v>
      </c>
      <c r="I5" s="278">
        <v>46086</v>
      </c>
      <c r="J5" s="274" t="s">
        <v>15</v>
      </c>
      <c r="K5" s="279">
        <v>1</v>
      </c>
      <c r="L5" s="280" t="s">
        <v>691</v>
      </c>
      <c r="M5" s="281" t="s">
        <v>482</v>
      </c>
      <c r="N5" s="281" t="s">
        <v>705</v>
      </c>
      <c r="O5" s="273"/>
      <c r="P5" s="274" t="s">
        <v>312</v>
      </c>
      <c r="Q5" s="275" t="s">
        <v>709</v>
      </c>
      <c r="R5" s="294" t="s">
        <v>800</v>
      </c>
      <c r="S5" s="276"/>
      <c r="T5" s="254" t="str">
        <f t="shared" ref="T5:T21" si="1">IF(I5="","CHƯA NHẬP NGÀY",TEXT(I5,"dd/mm/yyyy"))</f>
        <v>05/03/2026</v>
      </c>
      <c r="U5" s="254" t="str">
        <f t="shared" ref="U5:U21" si="2">IF(S5="","CHƯA NHẬP NGÀY",TEXT(S5,"dd/mm/yyyy"))</f>
        <v>CHƯA NHẬP NGÀY</v>
      </c>
    </row>
    <row r="6" spans="1:21" s="247" customFormat="1" ht="81" customHeight="1" x14ac:dyDescent="0.2">
      <c r="A6" s="296">
        <f t="shared" si="0"/>
        <v>3</v>
      </c>
      <c r="B6" s="283">
        <v>45666</v>
      </c>
      <c r="C6" s="295" t="s">
        <v>683</v>
      </c>
      <c r="D6" s="295" t="s">
        <v>684</v>
      </c>
      <c r="E6" s="289" t="s">
        <v>685</v>
      </c>
      <c r="F6" s="282" t="s">
        <v>539</v>
      </c>
      <c r="G6" s="282" t="s">
        <v>541</v>
      </c>
      <c r="H6" s="283">
        <v>45533</v>
      </c>
      <c r="I6" s="284">
        <v>46262</v>
      </c>
      <c r="J6" s="285" t="s">
        <v>711</v>
      </c>
      <c r="K6" s="286">
        <v>25</v>
      </c>
      <c r="L6" s="287" t="s">
        <v>710</v>
      </c>
      <c r="M6" s="287" t="s">
        <v>482</v>
      </c>
      <c r="N6" s="287" t="s">
        <v>721</v>
      </c>
      <c r="O6" s="282"/>
      <c r="P6" s="285"/>
      <c r="Q6" s="288"/>
      <c r="R6" s="276"/>
      <c r="S6" s="289"/>
      <c r="T6" s="254" t="str">
        <f t="shared" si="1"/>
        <v>28/08/2026</v>
      </c>
      <c r="U6" s="254" t="str">
        <f t="shared" si="2"/>
        <v>CHƯA NHẬP NGÀY</v>
      </c>
    </row>
    <row r="7" spans="1:21" s="245" customFormat="1" ht="236.85" customHeight="1" x14ac:dyDescent="0.2">
      <c r="A7" s="296">
        <f t="shared" si="0"/>
        <v>4</v>
      </c>
      <c r="B7" s="290">
        <v>45670</v>
      </c>
      <c r="C7" s="277" t="s">
        <v>692</v>
      </c>
      <c r="D7" s="277" t="s">
        <v>695</v>
      </c>
      <c r="E7" s="275" t="s">
        <v>708</v>
      </c>
      <c r="F7" s="273" t="s">
        <v>172</v>
      </c>
      <c r="G7" s="273" t="s">
        <v>707</v>
      </c>
      <c r="H7" s="290" t="s">
        <v>13</v>
      </c>
      <c r="I7" s="278">
        <v>46022</v>
      </c>
      <c r="J7" s="274" t="s">
        <v>20</v>
      </c>
      <c r="K7" s="279">
        <v>81</v>
      </c>
      <c r="L7" s="281" t="s">
        <v>706</v>
      </c>
      <c r="M7" s="276" t="s">
        <v>482</v>
      </c>
      <c r="N7" s="281" t="s">
        <v>776</v>
      </c>
      <c r="O7" s="273" t="s">
        <v>312</v>
      </c>
      <c r="P7" s="274"/>
      <c r="Q7" s="275"/>
      <c r="R7" s="276"/>
      <c r="S7" s="276"/>
      <c r="T7" s="254" t="str">
        <f t="shared" si="1"/>
        <v>31/12/2025</v>
      </c>
      <c r="U7" s="254" t="str">
        <f t="shared" si="2"/>
        <v>CHƯA NHẬP NGÀY</v>
      </c>
    </row>
    <row r="8" spans="1:21" s="248" customFormat="1" ht="81" customHeight="1" x14ac:dyDescent="0.2">
      <c r="A8" s="296">
        <f t="shared" si="0"/>
        <v>5</v>
      </c>
      <c r="B8" s="291">
        <v>45670</v>
      </c>
      <c r="C8" s="266" t="s">
        <v>720</v>
      </c>
      <c r="D8" s="266" t="s">
        <v>693</v>
      </c>
      <c r="E8" s="292" t="s">
        <v>694</v>
      </c>
      <c r="F8" s="267" t="s">
        <v>71</v>
      </c>
      <c r="G8" s="267" t="s">
        <v>712</v>
      </c>
      <c r="H8" s="291" t="s">
        <v>13</v>
      </c>
      <c r="I8" s="268" t="s">
        <v>713</v>
      </c>
      <c r="J8" s="269" t="s">
        <v>714</v>
      </c>
      <c r="K8" s="270">
        <v>1</v>
      </c>
      <c r="L8" s="271" t="s">
        <v>697</v>
      </c>
      <c r="M8" s="272" t="s">
        <v>482</v>
      </c>
      <c r="N8" s="272" t="s">
        <v>719</v>
      </c>
      <c r="O8" s="267" t="s">
        <v>312</v>
      </c>
      <c r="P8" s="269"/>
      <c r="Q8" s="292"/>
      <c r="R8" s="276"/>
      <c r="S8" s="293"/>
      <c r="T8" s="254" t="str">
        <f t="shared" si="1"/>
        <v xml:space="preserve"> 08/04/2026</v>
      </c>
      <c r="U8" s="254" t="str">
        <f t="shared" si="2"/>
        <v>CHƯA NHẬP NGÀY</v>
      </c>
    </row>
    <row r="9" spans="1:21" s="245" customFormat="1" ht="81" customHeight="1" x14ac:dyDescent="0.2">
      <c r="A9" s="296">
        <f t="shared" si="0"/>
        <v>6</v>
      </c>
      <c r="B9" s="291">
        <v>45671</v>
      </c>
      <c r="C9" s="266" t="s">
        <v>733</v>
      </c>
      <c r="D9" s="266" t="s">
        <v>696</v>
      </c>
      <c r="E9" s="292" t="s">
        <v>715</v>
      </c>
      <c r="F9" s="267" t="s">
        <v>217</v>
      </c>
      <c r="G9" s="267" t="s">
        <v>567</v>
      </c>
      <c r="H9" s="291">
        <v>45323</v>
      </c>
      <c r="I9" s="268">
        <v>46234</v>
      </c>
      <c r="J9" s="269" t="s">
        <v>43</v>
      </c>
      <c r="K9" s="270">
        <v>2</v>
      </c>
      <c r="L9" s="271" t="s">
        <v>698</v>
      </c>
      <c r="M9" s="271" t="s">
        <v>736</v>
      </c>
      <c r="N9" s="272" t="s">
        <v>739</v>
      </c>
      <c r="O9" s="273"/>
      <c r="P9" s="274"/>
      <c r="Q9" s="275"/>
      <c r="R9" s="276"/>
      <c r="S9" s="276"/>
      <c r="T9" s="254" t="str">
        <f t="shared" si="1"/>
        <v>31/07/2026</v>
      </c>
      <c r="U9" s="254" t="str">
        <f t="shared" si="2"/>
        <v>CHƯA NHẬP NGÀY</v>
      </c>
    </row>
    <row r="10" spans="1:21" s="245" customFormat="1" ht="81" customHeight="1" x14ac:dyDescent="0.2">
      <c r="A10" s="296">
        <f t="shared" si="0"/>
        <v>7</v>
      </c>
      <c r="B10" s="290">
        <v>45671</v>
      </c>
      <c r="C10" s="277" t="s">
        <v>699</v>
      </c>
      <c r="D10" s="277" t="s">
        <v>700</v>
      </c>
      <c r="E10" s="275" t="s">
        <v>701</v>
      </c>
      <c r="F10" s="273" t="s">
        <v>702</v>
      </c>
      <c r="G10" s="273" t="s">
        <v>703</v>
      </c>
      <c r="H10" s="290" t="s">
        <v>13</v>
      </c>
      <c r="I10" s="278">
        <v>46446</v>
      </c>
      <c r="J10" s="274" t="s">
        <v>43</v>
      </c>
      <c r="K10" s="279">
        <v>1</v>
      </c>
      <c r="L10" s="281" t="s">
        <v>704</v>
      </c>
      <c r="M10" s="281" t="s">
        <v>482</v>
      </c>
      <c r="N10" s="281" t="s">
        <v>718</v>
      </c>
      <c r="O10" s="273" t="s">
        <v>312</v>
      </c>
      <c r="P10" s="274"/>
      <c r="Q10" s="275"/>
      <c r="R10" s="276"/>
      <c r="S10" s="276"/>
      <c r="T10" s="254" t="str">
        <f t="shared" si="1"/>
        <v>28/02/2027</v>
      </c>
      <c r="U10" s="254" t="str">
        <f t="shared" si="2"/>
        <v>CHƯA NHẬP NGÀY</v>
      </c>
    </row>
    <row r="11" spans="1:21" s="245" customFormat="1" ht="228" x14ac:dyDescent="0.2">
      <c r="A11" s="296">
        <f t="shared" si="0"/>
        <v>8</v>
      </c>
      <c r="B11" s="290">
        <v>45672</v>
      </c>
      <c r="C11" s="277" t="s">
        <v>716</v>
      </c>
      <c r="D11" s="277" t="s">
        <v>695</v>
      </c>
      <c r="E11" s="275" t="s">
        <v>731</v>
      </c>
      <c r="F11" s="273" t="s">
        <v>172</v>
      </c>
      <c r="G11" s="273" t="s">
        <v>717</v>
      </c>
      <c r="H11" s="290" t="s">
        <v>13</v>
      </c>
      <c r="I11" s="290" t="s">
        <v>13</v>
      </c>
      <c r="J11" s="290" t="s">
        <v>13</v>
      </c>
      <c r="K11" s="279" t="s">
        <v>13</v>
      </c>
      <c r="L11" s="281" t="s">
        <v>706</v>
      </c>
      <c r="M11" s="281" t="s">
        <v>482</v>
      </c>
      <c r="N11" s="281" t="s">
        <v>768</v>
      </c>
      <c r="O11" s="273"/>
      <c r="P11" s="274"/>
      <c r="Q11" s="275"/>
      <c r="R11" s="276"/>
      <c r="S11" s="276"/>
      <c r="T11" s="254" t="str">
        <f t="shared" si="1"/>
        <v>NA</v>
      </c>
      <c r="U11" s="254" t="str">
        <f t="shared" si="2"/>
        <v>CHƯA NHẬP NGÀY</v>
      </c>
    </row>
    <row r="12" spans="1:21" s="245" customFormat="1" ht="123.6" customHeight="1" x14ac:dyDescent="0.2">
      <c r="A12" s="296">
        <f t="shared" si="0"/>
        <v>9</v>
      </c>
      <c r="B12" s="290">
        <v>45677</v>
      </c>
      <c r="C12" s="277" t="s">
        <v>722</v>
      </c>
      <c r="D12" s="277" t="s">
        <v>724</v>
      </c>
      <c r="E12" s="275" t="s">
        <v>725</v>
      </c>
      <c r="F12" s="273" t="s">
        <v>539</v>
      </c>
      <c r="G12" s="273" t="s">
        <v>723</v>
      </c>
      <c r="H12" s="290">
        <v>45535</v>
      </c>
      <c r="I12" s="290">
        <v>46264</v>
      </c>
      <c r="J12" s="290" t="s">
        <v>15</v>
      </c>
      <c r="K12" s="279">
        <v>1</v>
      </c>
      <c r="L12" s="281" t="s">
        <v>730</v>
      </c>
      <c r="M12" s="281" t="s">
        <v>736</v>
      </c>
      <c r="N12" s="281" t="s">
        <v>775</v>
      </c>
      <c r="O12" s="273"/>
      <c r="P12" s="274"/>
      <c r="Q12" s="275"/>
      <c r="R12" s="276"/>
      <c r="S12" s="276"/>
      <c r="T12" s="254" t="str">
        <f t="shared" si="1"/>
        <v>30/08/2026</v>
      </c>
      <c r="U12" s="254" t="str">
        <f t="shared" si="2"/>
        <v>CHƯA NHẬP NGÀY</v>
      </c>
    </row>
    <row r="13" spans="1:21" s="245" customFormat="1" ht="81" customHeight="1" x14ac:dyDescent="0.2">
      <c r="A13" s="296">
        <f t="shared" si="0"/>
        <v>10</v>
      </c>
      <c r="B13" s="290">
        <v>45681</v>
      </c>
      <c r="C13" s="277" t="s">
        <v>726</v>
      </c>
      <c r="D13" s="277" t="s">
        <v>727</v>
      </c>
      <c r="E13" s="275" t="s">
        <v>731</v>
      </c>
      <c r="F13" s="273" t="s">
        <v>728</v>
      </c>
      <c r="G13" s="273" t="s">
        <v>732</v>
      </c>
      <c r="H13" s="290">
        <v>45531</v>
      </c>
      <c r="I13" s="290">
        <v>46626</v>
      </c>
      <c r="J13" s="290" t="s">
        <v>15</v>
      </c>
      <c r="K13" s="279">
        <v>1</v>
      </c>
      <c r="L13" s="281" t="s">
        <v>729</v>
      </c>
      <c r="M13" s="281" t="s">
        <v>482</v>
      </c>
      <c r="N13" s="281" t="s">
        <v>767</v>
      </c>
      <c r="O13" s="273" t="s">
        <v>312</v>
      </c>
      <c r="P13" s="274"/>
      <c r="Q13" s="275"/>
      <c r="R13" s="276"/>
      <c r="S13" s="276"/>
      <c r="T13" s="254" t="str">
        <f t="shared" si="1"/>
        <v>27/08/2027</v>
      </c>
      <c r="U13" s="254" t="str">
        <f t="shared" si="2"/>
        <v>CHƯA NHẬP NGÀY</v>
      </c>
    </row>
    <row r="14" spans="1:21" s="248" customFormat="1" ht="105" customHeight="1" x14ac:dyDescent="0.2">
      <c r="A14" s="296">
        <f t="shared" si="0"/>
        <v>11</v>
      </c>
      <c r="B14" s="291">
        <v>45695</v>
      </c>
      <c r="C14" s="266" t="s">
        <v>780</v>
      </c>
      <c r="D14" s="266" t="s">
        <v>737</v>
      </c>
      <c r="E14" s="292" t="s">
        <v>745</v>
      </c>
      <c r="F14" s="267" t="s">
        <v>26</v>
      </c>
      <c r="G14" s="267" t="s">
        <v>752</v>
      </c>
      <c r="H14" s="291">
        <v>44872</v>
      </c>
      <c r="I14" s="291">
        <v>45961</v>
      </c>
      <c r="J14" s="291" t="s">
        <v>27</v>
      </c>
      <c r="K14" s="270">
        <v>1</v>
      </c>
      <c r="L14" s="272" t="s">
        <v>738</v>
      </c>
      <c r="M14" s="272" t="s">
        <v>482</v>
      </c>
      <c r="N14" s="272" t="s">
        <v>779</v>
      </c>
      <c r="O14" s="267" t="s">
        <v>312</v>
      </c>
      <c r="P14" s="269"/>
      <c r="Q14" s="292"/>
      <c r="R14" s="276"/>
      <c r="S14" s="293"/>
      <c r="T14" s="254" t="str">
        <f t="shared" si="1"/>
        <v>31/10/2025</v>
      </c>
      <c r="U14" s="254" t="str">
        <f t="shared" si="2"/>
        <v>CHƯA NHẬP NGÀY</v>
      </c>
    </row>
    <row r="15" spans="1:21" s="247" customFormat="1" ht="185.25" x14ac:dyDescent="0.2">
      <c r="A15" s="296">
        <f t="shared" si="0"/>
        <v>12</v>
      </c>
      <c r="B15" s="283">
        <v>45698</v>
      </c>
      <c r="C15" s="295" t="s">
        <v>741</v>
      </c>
      <c r="D15" s="295" t="s">
        <v>740</v>
      </c>
      <c r="E15" s="288" t="s">
        <v>742</v>
      </c>
      <c r="F15" s="282" t="s">
        <v>743</v>
      </c>
      <c r="G15" s="282">
        <v>243474</v>
      </c>
      <c r="H15" s="283" t="s">
        <v>13</v>
      </c>
      <c r="I15" s="283">
        <v>46713</v>
      </c>
      <c r="J15" s="283" t="s">
        <v>53</v>
      </c>
      <c r="K15" s="286">
        <v>2790</v>
      </c>
      <c r="L15" s="287" t="s">
        <v>748</v>
      </c>
      <c r="M15" s="287"/>
      <c r="N15" s="287" t="s">
        <v>746</v>
      </c>
      <c r="O15" s="282"/>
      <c r="P15" s="285"/>
      <c r="Q15" s="288"/>
      <c r="R15" s="276"/>
      <c r="S15" s="289"/>
      <c r="T15" s="254" t="str">
        <f t="shared" si="1"/>
        <v>22/11/2027</v>
      </c>
      <c r="U15" s="254" t="str">
        <f t="shared" si="2"/>
        <v>CHƯA NHẬP NGÀY</v>
      </c>
    </row>
    <row r="16" spans="1:21" s="245" customFormat="1" ht="86.1" customHeight="1" x14ac:dyDescent="0.2">
      <c r="A16" s="296">
        <f t="shared" si="0"/>
        <v>13</v>
      </c>
      <c r="B16" s="290">
        <v>45699</v>
      </c>
      <c r="C16" s="277" t="s">
        <v>744</v>
      </c>
      <c r="D16" s="277" t="s">
        <v>747</v>
      </c>
      <c r="E16" s="275" t="s">
        <v>749</v>
      </c>
      <c r="F16" s="273" t="s">
        <v>61</v>
      </c>
      <c r="G16" s="273" t="s">
        <v>751</v>
      </c>
      <c r="H16" s="290">
        <v>45471</v>
      </c>
      <c r="I16" s="290">
        <v>45808</v>
      </c>
      <c r="J16" s="290" t="s">
        <v>15</v>
      </c>
      <c r="K16" s="279">
        <v>1</v>
      </c>
      <c r="L16" s="281" t="s">
        <v>750</v>
      </c>
      <c r="M16" s="281" t="s">
        <v>482</v>
      </c>
      <c r="N16" s="281" t="s">
        <v>766</v>
      </c>
      <c r="O16" s="273" t="s">
        <v>312</v>
      </c>
      <c r="P16" s="274" t="s">
        <v>312</v>
      </c>
      <c r="Q16" s="275" t="s">
        <v>759</v>
      </c>
      <c r="R16" s="276"/>
      <c r="S16" s="276"/>
      <c r="T16" s="254" t="str">
        <f t="shared" si="1"/>
        <v>31/05/2025</v>
      </c>
      <c r="U16" s="254" t="str">
        <f t="shared" si="2"/>
        <v>CHƯA NHẬP NGÀY</v>
      </c>
    </row>
    <row r="17" spans="1:21" s="245" customFormat="1" ht="81" customHeight="1" x14ac:dyDescent="0.2">
      <c r="A17" s="296">
        <f t="shared" si="0"/>
        <v>14</v>
      </c>
      <c r="B17" s="290">
        <v>45701</v>
      </c>
      <c r="C17" s="277" t="s">
        <v>756</v>
      </c>
      <c r="D17" s="277" t="s">
        <v>753</v>
      </c>
      <c r="E17" s="275" t="s">
        <v>754</v>
      </c>
      <c r="F17" s="273" t="s">
        <v>755</v>
      </c>
      <c r="G17" s="273" t="s">
        <v>757</v>
      </c>
      <c r="H17" s="290">
        <v>45274</v>
      </c>
      <c r="I17" s="290">
        <v>46356</v>
      </c>
      <c r="J17" s="290" t="s">
        <v>20</v>
      </c>
      <c r="K17" s="279">
        <v>1</v>
      </c>
      <c r="L17" s="281" t="s">
        <v>758</v>
      </c>
      <c r="M17" s="281" t="s">
        <v>482</v>
      </c>
      <c r="N17" s="281" t="s">
        <v>765</v>
      </c>
      <c r="O17" s="273" t="s">
        <v>312</v>
      </c>
      <c r="P17" s="274" t="s">
        <v>312</v>
      </c>
      <c r="Q17" s="275" t="s">
        <v>759</v>
      </c>
      <c r="R17" s="276"/>
      <c r="S17" s="276"/>
      <c r="T17" s="254" t="str">
        <f t="shared" si="1"/>
        <v>30/11/2026</v>
      </c>
      <c r="U17" s="254" t="str">
        <f t="shared" si="2"/>
        <v>CHƯA NHẬP NGÀY</v>
      </c>
    </row>
    <row r="18" spans="1:21" s="245" customFormat="1" ht="81" customHeight="1" x14ac:dyDescent="0.2">
      <c r="A18" s="296">
        <f t="shared" si="0"/>
        <v>15</v>
      </c>
      <c r="B18" s="290">
        <v>45707</v>
      </c>
      <c r="C18" s="277" t="s">
        <v>760</v>
      </c>
      <c r="D18" s="277" t="s">
        <v>761</v>
      </c>
      <c r="E18" s="275" t="s">
        <v>764</v>
      </c>
      <c r="F18" s="273" t="s">
        <v>269</v>
      </c>
      <c r="G18" s="273" t="s">
        <v>762</v>
      </c>
      <c r="H18" s="290" t="s">
        <v>13</v>
      </c>
      <c r="I18" s="290">
        <v>46164</v>
      </c>
      <c r="J18" s="290" t="s">
        <v>20</v>
      </c>
      <c r="K18" s="279">
        <v>1</v>
      </c>
      <c r="L18" s="281" t="s">
        <v>763</v>
      </c>
      <c r="M18" s="281" t="s">
        <v>482</v>
      </c>
      <c r="N18" s="281" t="s">
        <v>778</v>
      </c>
      <c r="O18" s="273"/>
      <c r="P18" s="274"/>
      <c r="Q18" s="275"/>
      <c r="R18" s="276"/>
      <c r="S18" s="276"/>
      <c r="T18" s="254" t="str">
        <f t="shared" si="1"/>
        <v>22/05/2026</v>
      </c>
      <c r="U18" s="254" t="str">
        <f t="shared" si="2"/>
        <v>CHƯA NHẬP NGÀY</v>
      </c>
    </row>
    <row r="19" spans="1:21" s="245" customFormat="1" ht="81" customHeight="1" x14ac:dyDescent="0.2">
      <c r="A19" s="296">
        <f t="shared" si="0"/>
        <v>16</v>
      </c>
      <c r="B19" s="290">
        <v>45715</v>
      </c>
      <c r="C19" s="277" t="s">
        <v>772</v>
      </c>
      <c r="D19" s="277" t="s">
        <v>773</v>
      </c>
      <c r="E19" s="275" t="s">
        <v>770</v>
      </c>
      <c r="F19" s="273" t="s">
        <v>769</v>
      </c>
      <c r="G19" s="273" t="s">
        <v>771</v>
      </c>
      <c r="H19" s="290" t="s">
        <v>13</v>
      </c>
      <c r="I19" s="290">
        <v>46618</v>
      </c>
      <c r="J19" s="290" t="s">
        <v>50</v>
      </c>
      <c r="K19" s="279">
        <v>9</v>
      </c>
      <c r="L19" s="281" t="s">
        <v>774</v>
      </c>
      <c r="M19" s="281" t="s">
        <v>482</v>
      </c>
      <c r="N19" s="281" t="s">
        <v>777</v>
      </c>
      <c r="O19" s="273"/>
      <c r="P19" s="274"/>
      <c r="Q19" s="275"/>
      <c r="R19" s="276"/>
      <c r="S19" s="276"/>
      <c r="T19" s="254" t="str">
        <f t="shared" si="1"/>
        <v>19/08/2027</v>
      </c>
      <c r="U19" s="254" t="str">
        <f t="shared" si="2"/>
        <v>CHƯA NHẬP NGÀY</v>
      </c>
    </row>
    <row r="20" spans="1:21" s="245" customFormat="1" ht="81" customHeight="1" x14ac:dyDescent="0.2">
      <c r="A20" s="296">
        <f t="shared" si="0"/>
        <v>17</v>
      </c>
      <c r="B20" s="290">
        <v>45728</v>
      </c>
      <c r="C20" s="277" t="s">
        <v>782</v>
      </c>
      <c r="D20" s="277" t="s">
        <v>783</v>
      </c>
      <c r="E20" s="275" t="s">
        <v>784</v>
      </c>
      <c r="F20" s="273" t="s">
        <v>785</v>
      </c>
      <c r="G20" s="273" t="s">
        <v>786</v>
      </c>
      <c r="H20" s="290" t="s">
        <v>13</v>
      </c>
      <c r="I20" s="290">
        <v>46326</v>
      </c>
      <c r="J20" s="290" t="s">
        <v>20</v>
      </c>
      <c r="K20" s="279">
        <v>1</v>
      </c>
      <c r="L20" s="281" t="s">
        <v>787</v>
      </c>
      <c r="M20" s="281" t="s">
        <v>482</v>
      </c>
      <c r="N20" s="281" t="s">
        <v>788</v>
      </c>
      <c r="O20" s="273"/>
      <c r="P20" s="274"/>
      <c r="Q20" s="275"/>
      <c r="R20" s="276"/>
      <c r="S20" s="276"/>
      <c r="T20" s="254" t="str">
        <f t="shared" si="1"/>
        <v>31/10/2026</v>
      </c>
      <c r="U20" s="254" t="str">
        <f t="shared" si="2"/>
        <v>CHƯA NHẬP NGÀY</v>
      </c>
    </row>
    <row r="21" spans="1:21" s="245" customFormat="1" ht="129" customHeight="1" x14ac:dyDescent="0.2">
      <c r="A21" s="296">
        <f t="shared" si="0"/>
        <v>18</v>
      </c>
      <c r="B21" s="298">
        <v>45729</v>
      </c>
      <c r="C21" s="299" t="s">
        <v>789</v>
      </c>
      <c r="D21" s="299" t="s">
        <v>790</v>
      </c>
      <c r="E21" s="300"/>
      <c r="F21" s="301" t="s">
        <v>791</v>
      </c>
      <c r="G21" s="301" t="s">
        <v>793</v>
      </c>
      <c r="H21" s="298"/>
      <c r="I21" s="298"/>
      <c r="J21" s="298"/>
      <c r="K21" s="297"/>
      <c r="L21" s="302" t="s">
        <v>792</v>
      </c>
      <c r="M21" s="302"/>
      <c r="N21" s="302"/>
      <c r="O21" s="301"/>
      <c r="P21" s="303"/>
      <c r="Q21" s="300"/>
      <c r="R21" s="304"/>
      <c r="S21" s="304"/>
      <c r="T21" s="305" t="str">
        <f t="shared" si="1"/>
        <v>CHƯA NHẬP NGÀY</v>
      </c>
      <c r="U21" s="305" t="str">
        <f t="shared" si="2"/>
        <v>CHƯA NHẬP NGÀY</v>
      </c>
    </row>
    <row r="22" spans="1:21" s="244" customFormat="1" x14ac:dyDescent="0.2">
      <c r="A22" s="249"/>
      <c r="B22" s="242"/>
      <c r="C22" s="251"/>
      <c r="D22" s="242"/>
      <c r="E22" s="242"/>
      <c r="F22" s="251"/>
      <c r="G22" s="242"/>
      <c r="H22" s="250"/>
      <c r="I22" s="252"/>
      <c r="J22" s="232"/>
      <c r="K22" s="253" t="s">
        <v>24</v>
      </c>
      <c r="O22" s="232"/>
      <c r="P22" s="241"/>
      <c r="R22" s="245"/>
      <c r="T22" s="265"/>
      <c r="U22" s="265"/>
    </row>
    <row r="27" spans="1:21" s="244" customFormat="1" x14ac:dyDescent="0.2">
      <c r="A27" s="249"/>
      <c r="B27" s="242"/>
      <c r="C27" s="242"/>
      <c r="D27" s="232"/>
      <c r="E27" s="232"/>
      <c r="F27" s="251"/>
      <c r="G27" s="242"/>
      <c r="H27" s="250"/>
      <c r="I27" s="252"/>
      <c r="J27" s="232"/>
      <c r="K27" s="253"/>
      <c r="O27" s="232"/>
      <c r="P27" s="241"/>
      <c r="R27" s="245"/>
      <c r="T27" s="265"/>
      <c r="U27" s="265"/>
    </row>
  </sheetData>
  <mergeCells count="3">
    <mergeCell ref="A1:C1"/>
    <mergeCell ref="D1:N1"/>
    <mergeCell ref="C2:D2"/>
  </mergeCells>
  <conditionalFormatting sqref="T1:U1048576">
    <cfRule type="containsText" dxfId="156" priority="1" operator="containsText" text="CHƯA">
      <formula>NOT(ISERROR(SEARCH("CHƯA",T1)))</formula>
    </cfRule>
  </conditionalFormatting>
  <dataValidations count="1">
    <dataValidation type="list" allowBlank="1" showInputMessage="1" showErrorMessage="1" sqref="R4:R1048576">
      <formula1>$A$3:$A$5</formula1>
    </dataValidation>
  </dataValidations>
  <printOptions horizontalCentered="1"/>
  <pageMargins left="0.2" right="0.2" top="0" bottom="0.5" header="0.05" footer="0.25"/>
  <pageSetup paperSize="9" scale="47" fitToHeight="0" orientation="landscape" r:id="rId1"/>
  <headerFooter alignWithMargins="0">
    <oddFooter>&amp;L&amp;"Tahoma,Regular"&amp;11BM-QT-QLCL-009-10-02&amp;R&amp;"Tahoma,Regular"&amp;11Trang/page &amp;P/&amp;N</oddFooter>
  </headerFooter>
  <rowBreaks count="1" manualBreakCount="1">
    <brk id="15" max="13" man="1"/>
  </rowBreaks>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'Danh mục'!$A$3:$A$4</xm:f>
          </x14:formula1>
          <xm:sqref>R1:R2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AA297"/>
  <sheetViews>
    <sheetView tabSelected="1" topLeftCell="F1" zoomScale="80" zoomScaleNormal="80" zoomScaleSheetLayoutView="70" workbookViewId="0">
      <pane ySplit="3" topLeftCell="A4" activePane="bottomLeft" state="frozen"/>
      <selection pane="bottomLeft" activeCell="N7" sqref="N7"/>
    </sheetView>
  </sheetViews>
  <sheetFormatPr defaultColWidth="9.140625" defaultRowHeight="12.75" outlineLevelCol="1" x14ac:dyDescent="0.2"/>
  <cols>
    <col min="1" max="1" width="9.140625" style="306"/>
    <col min="2" max="2" width="9.140625" style="306" customWidth="1"/>
    <col min="3" max="3" width="14" style="523" customWidth="1"/>
    <col min="4" max="4" width="20" style="425" customWidth="1"/>
    <col min="5" max="5" width="13" style="425" customWidth="1"/>
    <col min="6" max="6" width="33.85546875" style="426" customWidth="1"/>
    <col min="7" max="7" width="28.5703125" style="426" customWidth="1"/>
    <col min="8" max="8" width="31.5703125" style="425" customWidth="1"/>
    <col min="9" max="9" width="17.5703125" style="393" customWidth="1"/>
    <col min="10" max="10" width="17" style="470" customWidth="1"/>
    <col min="11" max="11" width="13.5703125" style="552" customWidth="1"/>
    <col min="12" max="12" width="9.140625" style="327"/>
    <col min="13" max="13" width="14.42578125" style="327" customWidth="1"/>
    <col min="14" max="14" width="33.42578125" style="328" customWidth="1" outlineLevel="1"/>
    <col min="15" max="15" width="26.85546875" style="328" customWidth="1" outlineLevel="1"/>
    <col min="16" max="16" width="44.42578125" style="328" customWidth="1" outlineLevel="1"/>
    <col min="17" max="17" width="11.85546875" style="327" customWidth="1" outlineLevel="1"/>
    <col min="18" max="18" width="20" style="327" customWidth="1" outlineLevel="1"/>
    <col min="19" max="19" width="21.85546875" style="327" customWidth="1" outlineLevel="1"/>
    <col min="20" max="21" width="14" style="329" customWidth="1"/>
    <col min="22" max="22" width="13.42578125" style="327" customWidth="1"/>
    <col min="23" max="23" width="20.140625" style="327" customWidth="1"/>
    <col min="24" max="24" width="16.5703125" style="327" customWidth="1"/>
    <col min="25" max="25" width="20.5703125" style="327" customWidth="1"/>
    <col min="26" max="26" width="19" style="327" customWidth="1"/>
    <col min="27" max="27" width="17.85546875" style="327" customWidth="1"/>
    <col min="28" max="16384" width="9.140625" style="327"/>
  </cols>
  <sheetData>
    <row r="1" spans="1:27" s="326" customFormat="1" ht="56.85" customHeight="1" x14ac:dyDescent="0.2">
      <c r="A1" s="395"/>
      <c r="B1" s="589"/>
      <c r="C1" s="520"/>
      <c r="D1" s="396"/>
      <c r="E1" s="589"/>
      <c r="F1" s="397" t="s">
        <v>895</v>
      </c>
      <c r="G1" s="398"/>
      <c r="H1" s="398"/>
      <c r="I1" s="394"/>
      <c r="J1" s="448"/>
      <c r="K1" s="526"/>
      <c r="L1" s="394"/>
      <c r="M1" s="394"/>
      <c r="N1" s="323"/>
      <c r="O1" s="323"/>
      <c r="P1" s="324"/>
      <c r="Q1" s="325"/>
      <c r="R1" s="325"/>
    </row>
    <row r="3" spans="1:27" s="363" customFormat="1" ht="37.35" customHeight="1" x14ac:dyDescent="0.2">
      <c r="A3" s="399" t="s">
        <v>812</v>
      </c>
      <c r="B3" s="399" t="s">
        <v>2149</v>
      </c>
      <c r="C3" s="521" t="s">
        <v>807</v>
      </c>
      <c r="D3" s="400" t="s">
        <v>2</v>
      </c>
      <c r="E3" s="400" t="s">
        <v>1972</v>
      </c>
      <c r="F3" s="400" t="s">
        <v>806</v>
      </c>
      <c r="G3" s="400" t="s">
        <v>808</v>
      </c>
      <c r="H3" s="400" t="s">
        <v>802</v>
      </c>
      <c r="I3" s="330" t="s">
        <v>803</v>
      </c>
      <c r="J3" s="330" t="s">
        <v>809</v>
      </c>
      <c r="K3" s="527" t="s">
        <v>810</v>
      </c>
      <c r="L3" s="330" t="s">
        <v>805</v>
      </c>
      <c r="M3" s="330" t="s">
        <v>804</v>
      </c>
      <c r="N3" s="330" t="s">
        <v>811</v>
      </c>
      <c r="O3" s="330" t="s">
        <v>453</v>
      </c>
      <c r="P3" s="330" t="s">
        <v>1942</v>
      </c>
      <c r="Q3" s="331" t="s">
        <v>604</v>
      </c>
      <c r="R3" s="331" t="s">
        <v>651</v>
      </c>
      <c r="S3" s="332" t="s">
        <v>801</v>
      </c>
      <c r="T3" s="333" t="s">
        <v>794</v>
      </c>
      <c r="U3" s="333" t="s">
        <v>2034</v>
      </c>
      <c r="V3" s="360" t="s">
        <v>795</v>
      </c>
      <c r="W3" s="361" t="s">
        <v>796</v>
      </c>
      <c r="X3" s="361" t="s">
        <v>1666</v>
      </c>
      <c r="Y3" s="362" t="s">
        <v>1264</v>
      </c>
      <c r="Z3" s="494" t="s">
        <v>1665</v>
      </c>
      <c r="AA3" s="494" t="s">
        <v>1669</v>
      </c>
    </row>
    <row r="4" spans="1:27" s="368" customFormat="1" ht="119.85" customHeight="1" x14ac:dyDescent="0.2">
      <c r="A4" s="401">
        <v>1</v>
      </c>
      <c r="B4" s="625" t="s">
        <v>2151</v>
      </c>
      <c r="C4" s="517">
        <v>45660</v>
      </c>
      <c r="D4" s="402" t="s">
        <v>681</v>
      </c>
      <c r="E4" s="402"/>
      <c r="F4" s="403" t="s">
        <v>423</v>
      </c>
      <c r="G4" s="403" t="s">
        <v>424</v>
      </c>
      <c r="H4" s="402" t="s">
        <v>217</v>
      </c>
      <c r="I4" s="364" t="s">
        <v>567</v>
      </c>
      <c r="J4" s="449" t="s">
        <v>13</v>
      </c>
      <c r="K4" s="528">
        <v>46234</v>
      </c>
      <c r="L4" s="334" t="s">
        <v>523</v>
      </c>
      <c r="M4" s="334">
        <v>1</v>
      </c>
      <c r="N4" s="335" t="s">
        <v>673</v>
      </c>
      <c r="O4" s="335" t="s">
        <v>13</v>
      </c>
      <c r="P4" s="335" t="s">
        <v>682</v>
      </c>
      <c r="Q4" s="336"/>
      <c r="R4" s="336" t="b">
        <f>IF($S4="Chờ xử lý", TRUE, FALSE)</f>
        <v>0</v>
      </c>
      <c r="S4" s="337" t="s">
        <v>799</v>
      </c>
      <c r="T4" s="338"/>
      <c r="U4" s="598"/>
      <c r="V4" s="365" t="str">
        <f>IF(K4="","CHƯA NHẬP NGÀY",TEXT(K4,"dd/mm/yyyy"))</f>
        <v>31/07/2026</v>
      </c>
      <c r="W4" s="366" t="str">
        <f>IF(T4="","CHƯA NHẬP NGÀY",TEXT(T4,"dd/mm/yyyy"))</f>
        <v>CHƯA NHẬP NGÀY</v>
      </c>
      <c r="X4" s="495" t="str">
        <f t="shared" ref="X4:X35" si="0">IF(J4="","CHƯA NHẬP NGÀY",TEXT(J4,"dd/mm/yyyy"))</f>
        <v>NA</v>
      </c>
      <c r="Y4" s="367" t="str">
        <f>HYPERLINK('Danh mục'!$D$1&amp;"20"&amp;MID(D4,8,2)&amp;"\"&amp;D4,D4)</f>
        <v>CC_010125-HCM
HUY</v>
      </c>
      <c r="Z4" s="368">
        <f>YEAR(Table2[[#This Row],[Ngày
date]])</f>
        <v>2025</v>
      </c>
      <c r="AA4" s="368" t="str">
        <f t="shared" ref="AA4:AA35" si="1">IF(ISNUMBER(SEARCH("HCM",D4)),"HCM",
IF(ISNUMBER(SEARCH("HN",D4)),"HN",
IF(ISNUMBER(SEARCH("ĐN",D4)),"ĐN","")))</f>
        <v>HCM</v>
      </c>
    </row>
    <row r="5" spans="1:27" s="368" customFormat="1" ht="68.099999999999994" customHeight="1" x14ac:dyDescent="0.2">
      <c r="A5" s="401">
        <f>IF(Table2[[#This Row],[Code 
CC- ]]="", "", A4+1)</f>
        <v>2</v>
      </c>
      <c r="B5" s="625" t="s">
        <v>2164</v>
      </c>
      <c r="C5" s="517">
        <v>45665</v>
      </c>
      <c r="D5" s="404" t="s">
        <v>680</v>
      </c>
      <c r="E5" s="404"/>
      <c r="F5" s="405" t="s">
        <v>687</v>
      </c>
      <c r="G5" s="405" t="s">
        <v>688</v>
      </c>
      <c r="H5" s="404" t="s">
        <v>689</v>
      </c>
      <c r="I5" s="353" t="s">
        <v>690</v>
      </c>
      <c r="J5" s="450" t="s">
        <v>13</v>
      </c>
      <c r="K5" s="529">
        <v>46086</v>
      </c>
      <c r="L5" s="336" t="s">
        <v>15</v>
      </c>
      <c r="M5" s="336">
        <v>1</v>
      </c>
      <c r="N5" s="337" t="s">
        <v>691</v>
      </c>
      <c r="O5" s="337" t="s">
        <v>482</v>
      </c>
      <c r="P5" s="337" t="s">
        <v>705</v>
      </c>
      <c r="Q5" s="336" t="s">
        <v>312</v>
      </c>
      <c r="R5" s="336" t="s">
        <v>906</v>
      </c>
      <c r="S5" s="337" t="s">
        <v>815</v>
      </c>
      <c r="T5" s="338"/>
      <c r="U5" s="338">
        <f>MONTH(Table2[[#This Row],[Ngày
date]])</f>
        <v>1</v>
      </c>
      <c r="V5" s="365" t="str">
        <f t="shared" ref="V5:V27" si="2">IF(K5="","CHƯA NHẬP NGÀY",TEXT(K5,"dd/mm/yyyy"))</f>
        <v>05/03/2026</v>
      </c>
      <c r="W5" s="366" t="str">
        <f t="shared" ref="W5:W25" si="3">IF(T5="","CHƯA NHẬP NGÀY",TEXT(T5,"dd/mm/yyyy"))</f>
        <v>CHƯA NHẬP NGÀY</v>
      </c>
      <c r="X5" s="495" t="str">
        <f t="shared" si="0"/>
        <v>NA</v>
      </c>
      <c r="Y5" s="367" t="str">
        <f>HYPERLINK('Danh mục'!$D$1&amp;"20"&amp;MID(D5,8,2)&amp;"\"&amp;D5,D5)</f>
        <v>CC_020125-HCM</v>
      </c>
      <c r="Z5" s="368">
        <f>YEAR(Table2[[#This Row],[Ngày
date]])</f>
        <v>2025</v>
      </c>
      <c r="AA5" s="368" t="str">
        <f t="shared" si="1"/>
        <v>HCM</v>
      </c>
    </row>
    <row r="6" spans="1:27" s="368" customFormat="1" ht="93" customHeight="1" x14ac:dyDescent="0.2">
      <c r="A6" s="401">
        <f>IF(Table2[[#This Row],[Code 
CC- ]]="", "", A5+1)</f>
        <v>3</v>
      </c>
      <c r="B6" s="625" t="s">
        <v>2158</v>
      </c>
      <c r="C6" s="517">
        <v>45666</v>
      </c>
      <c r="D6" s="406" t="s">
        <v>683</v>
      </c>
      <c r="E6" s="406"/>
      <c r="F6" s="407" t="s">
        <v>684</v>
      </c>
      <c r="G6" s="407" t="s">
        <v>685</v>
      </c>
      <c r="H6" s="406" t="s">
        <v>539</v>
      </c>
      <c r="I6" s="369" t="s">
        <v>541</v>
      </c>
      <c r="J6" s="451">
        <v>45533</v>
      </c>
      <c r="K6" s="530">
        <v>46262</v>
      </c>
      <c r="L6" s="339" t="s">
        <v>711</v>
      </c>
      <c r="M6" s="339">
        <v>25</v>
      </c>
      <c r="N6" s="340" t="s">
        <v>710</v>
      </c>
      <c r="O6" s="340" t="s">
        <v>482</v>
      </c>
      <c r="P6" s="340" t="s">
        <v>951</v>
      </c>
      <c r="Q6" s="339"/>
      <c r="R6" s="339"/>
      <c r="S6" s="337" t="s">
        <v>799</v>
      </c>
      <c r="T6" s="338">
        <v>45736</v>
      </c>
      <c r="U6" s="338">
        <f>MONTH(Table2[[#This Row],[Ngày
date]])</f>
        <v>1</v>
      </c>
      <c r="V6" s="365" t="str">
        <f t="shared" si="2"/>
        <v>28/08/2026</v>
      </c>
      <c r="W6" s="366" t="str">
        <f t="shared" si="3"/>
        <v>20/03/2025</v>
      </c>
      <c r="X6" s="495" t="str">
        <f t="shared" si="0"/>
        <v>29/08/2024</v>
      </c>
      <c r="Y6" s="367" t="str">
        <f>HYPERLINK('Danh mục'!$D$1&amp;"20"&amp;MID(D6,8,2)&amp;"\"&amp;D6,D6)</f>
        <v>CC_030125-HCM</v>
      </c>
      <c r="Z6" s="368">
        <f>YEAR(Table2[[#This Row],[Ngày
date]])</f>
        <v>2025</v>
      </c>
      <c r="AA6" s="368" t="str">
        <f t="shared" si="1"/>
        <v>HCM</v>
      </c>
    </row>
    <row r="7" spans="1:27" s="368" customFormat="1" ht="216.75" x14ac:dyDescent="0.2">
      <c r="A7" s="401">
        <f>IF(Table2[[#This Row],[Code 
CC- ]]="", "", A6+1)</f>
        <v>4</v>
      </c>
      <c r="B7" s="625" t="s">
        <v>2151</v>
      </c>
      <c r="C7" s="517">
        <v>45670</v>
      </c>
      <c r="D7" s="404" t="s">
        <v>692</v>
      </c>
      <c r="E7" s="404"/>
      <c r="F7" s="405" t="s">
        <v>695</v>
      </c>
      <c r="G7" s="405" t="s">
        <v>708</v>
      </c>
      <c r="H7" s="404" t="s">
        <v>172</v>
      </c>
      <c r="I7" s="353" t="s">
        <v>707</v>
      </c>
      <c r="J7" s="450" t="s">
        <v>13</v>
      </c>
      <c r="K7" s="529">
        <v>46022</v>
      </c>
      <c r="L7" s="336" t="s">
        <v>20</v>
      </c>
      <c r="M7" s="336">
        <v>81</v>
      </c>
      <c r="N7" s="337" t="s">
        <v>706</v>
      </c>
      <c r="O7" s="337" t="s">
        <v>482</v>
      </c>
      <c r="P7" s="337" t="s">
        <v>776</v>
      </c>
      <c r="Q7" s="336"/>
      <c r="R7" s="336"/>
      <c r="S7" s="337" t="s">
        <v>813</v>
      </c>
      <c r="T7" s="338"/>
      <c r="U7" s="338">
        <f>MONTH(Table2[[#This Row],[Ngày
date]])</f>
        <v>1</v>
      </c>
      <c r="V7" s="365" t="str">
        <f t="shared" si="2"/>
        <v>31/12/2025</v>
      </c>
      <c r="W7" s="366" t="str">
        <f>IF(T7="","CHƯA NHẬP NGÀY",TEXT(T7,"dd/mm/yyyy"))</f>
        <v>CHƯA NHẬP NGÀY</v>
      </c>
      <c r="X7" s="495" t="str">
        <f t="shared" si="0"/>
        <v>NA</v>
      </c>
      <c r="Y7" s="367" t="str">
        <f>HYPERLINK('Danh mục'!$D$1&amp;"20"&amp;MID(D7,8,2)&amp;"\"&amp;D7,D7)</f>
        <v>CC_040125-HCM</v>
      </c>
      <c r="Z7" s="368">
        <f>YEAR(Table2[[#This Row],[Ngày
date]])</f>
        <v>2025</v>
      </c>
      <c r="AA7" s="368" t="str">
        <f t="shared" si="1"/>
        <v>HCM</v>
      </c>
    </row>
    <row r="8" spans="1:27" s="368" customFormat="1" ht="63.75" x14ac:dyDescent="0.2">
      <c r="A8" s="401">
        <f>IF(Table2[[#This Row],[Code 
CC- ]]="", "", A7+1)</f>
        <v>5</v>
      </c>
      <c r="B8" s="625" t="s">
        <v>2152</v>
      </c>
      <c r="C8" s="517">
        <v>45670</v>
      </c>
      <c r="D8" s="404" t="s">
        <v>720</v>
      </c>
      <c r="E8" s="404"/>
      <c r="F8" s="405" t="s">
        <v>693</v>
      </c>
      <c r="G8" s="405" t="s">
        <v>694</v>
      </c>
      <c r="H8" s="404" t="s">
        <v>71</v>
      </c>
      <c r="I8" s="353" t="s">
        <v>712</v>
      </c>
      <c r="J8" s="450" t="s">
        <v>13</v>
      </c>
      <c r="K8" s="529" t="s">
        <v>713</v>
      </c>
      <c r="L8" s="336" t="s">
        <v>714</v>
      </c>
      <c r="M8" s="336">
        <v>1</v>
      </c>
      <c r="N8" s="337" t="s">
        <v>697</v>
      </c>
      <c r="O8" s="337" t="s">
        <v>482</v>
      </c>
      <c r="P8" s="337" t="s">
        <v>719</v>
      </c>
      <c r="Q8" s="336"/>
      <c r="R8" s="336"/>
      <c r="S8" s="337" t="s">
        <v>817</v>
      </c>
      <c r="T8" s="338"/>
      <c r="U8" s="338">
        <f>MONTH(Table2[[#This Row],[Ngày
date]])</f>
        <v>1</v>
      </c>
      <c r="V8" s="365" t="str">
        <f t="shared" si="2"/>
        <v xml:space="preserve"> 08/04/2026</v>
      </c>
      <c r="W8" s="366" t="str">
        <f t="shared" si="3"/>
        <v>CHƯA NHẬP NGÀY</v>
      </c>
      <c r="X8" s="495" t="str">
        <f t="shared" si="0"/>
        <v>NA</v>
      </c>
      <c r="Y8" s="367" t="str">
        <f>HYPERLINK('Danh mục'!$D$1&amp;"20"&amp;MID(D8,8,2)&amp;"\"&amp;D8,D8)</f>
        <v>CC_050125-ĐN
HUY</v>
      </c>
      <c r="Z8" s="368">
        <f>YEAR(Table2[[#This Row],[Ngày
date]])</f>
        <v>2025</v>
      </c>
      <c r="AA8" s="368" t="str">
        <f t="shared" si="1"/>
        <v>ĐN</v>
      </c>
    </row>
    <row r="9" spans="1:27" s="368" customFormat="1" ht="63.75" x14ac:dyDescent="0.2">
      <c r="A9" s="401">
        <f>IF(Table2[[#This Row],[Code 
CC- ]]="", "", A8+1)</f>
        <v>6</v>
      </c>
      <c r="B9" s="625" t="s">
        <v>2151</v>
      </c>
      <c r="C9" s="517">
        <v>45671</v>
      </c>
      <c r="D9" s="404" t="s">
        <v>733</v>
      </c>
      <c r="E9" s="404"/>
      <c r="F9" s="405" t="s">
        <v>696</v>
      </c>
      <c r="G9" s="405" t="s">
        <v>715</v>
      </c>
      <c r="H9" s="404" t="s">
        <v>217</v>
      </c>
      <c r="I9" s="353" t="s">
        <v>567</v>
      </c>
      <c r="J9" s="450">
        <v>45323</v>
      </c>
      <c r="K9" s="529">
        <v>46234</v>
      </c>
      <c r="L9" s="336" t="s">
        <v>43</v>
      </c>
      <c r="M9" s="336">
        <v>2</v>
      </c>
      <c r="N9" s="337" t="s">
        <v>698</v>
      </c>
      <c r="O9" s="337" t="s">
        <v>736</v>
      </c>
      <c r="P9" s="337" t="s">
        <v>739</v>
      </c>
      <c r="Q9" s="336"/>
      <c r="R9" s="336"/>
      <c r="S9" s="337" t="s">
        <v>817</v>
      </c>
      <c r="T9" s="338"/>
      <c r="U9" s="338">
        <f>MONTH(Table2[[#This Row],[Ngày
date]])</f>
        <v>1</v>
      </c>
      <c r="V9" s="365" t="str">
        <f t="shared" si="2"/>
        <v>31/07/2026</v>
      </c>
      <c r="W9" s="366" t="str">
        <f t="shared" si="3"/>
        <v>CHƯA NHẬP NGÀY</v>
      </c>
      <c r="X9" s="495" t="str">
        <f t="shared" si="0"/>
        <v>01/02/2024</v>
      </c>
      <c r="Y9" s="367" t="str">
        <f>HYPERLINK('Danh mục'!$D$1&amp;"20"&amp;MID(D9,8,2)&amp;"\"&amp;D9,D9)</f>
        <v>CC_060125-HCM
HUY</v>
      </c>
      <c r="Z9" s="368">
        <f>YEAR(Table2[[#This Row],[Ngày
date]])</f>
        <v>2025</v>
      </c>
      <c r="AA9" s="368" t="str">
        <f t="shared" si="1"/>
        <v>HCM</v>
      </c>
    </row>
    <row r="10" spans="1:27" s="368" customFormat="1" ht="89.85" customHeight="1" x14ac:dyDescent="0.2">
      <c r="A10" s="401">
        <f>IF(Table2[[#This Row],[Code 
CC- ]]="", "", A9+1)</f>
        <v>7</v>
      </c>
      <c r="B10" s="625" t="s">
        <v>2151</v>
      </c>
      <c r="C10" s="517">
        <v>45671</v>
      </c>
      <c r="D10" s="404" t="s">
        <v>699</v>
      </c>
      <c r="E10" s="404"/>
      <c r="F10" s="405" t="s">
        <v>700</v>
      </c>
      <c r="G10" s="405" t="s">
        <v>701</v>
      </c>
      <c r="H10" s="404" t="s">
        <v>702</v>
      </c>
      <c r="I10" s="353" t="s">
        <v>703</v>
      </c>
      <c r="J10" s="450" t="s">
        <v>13</v>
      </c>
      <c r="K10" s="529">
        <v>46446</v>
      </c>
      <c r="L10" s="336" t="s">
        <v>43</v>
      </c>
      <c r="M10" s="336">
        <v>1</v>
      </c>
      <c r="N10" s="337" t="s">
        <v>704</v>
      </c>
      <c r="O10" s="337" t="s">
        <v>482</v>
      </c>
      <c r="P10" s="337" t="s">
        <v>718</v>
      </c>
      <c r="Q10" s="336"/>
      <c r="R10" s="336"/>
      <c r="S10" s="337" t="s">
        <v>813</v>
      </c>
      <c r="T10" s="338"/>
      <c r="U10" s="338">
        <f>MONTH(Table2[[#This Row],[Ngày
date]])</f>
        <v>1</v>
      </c>
      <c r="V10" s="365" t="str">
        <f t="shared" si="2"/>
        <v>28/02/2027</v>
      </c>
      <c r="W10" s="366" t="str">
        <f t="shared" si="3"/>
        <v>CHƯA NHẬP NGÀY</v>
      </c>
      <c r="X10" s="495" t="str">
        <f t="shared" si="0"/>
        <v>NA</v>
      </c>
      <c r="Y10" s="367" t="str">
        <f>HYPERLINK('Danh mục'!$D$1&amp;"20"&amp;MID(D10,8,2)&amp;"\"&amp;D10,D10)</f>
        <v>CC_070125-HCM</v>
      </c>
      <c r="Z10" s="368">
        <f>YEAR(Table2[[#This Row],[Ngày
date]])</f>
        <v>2025</v>
      </c>
      <c r="AA10" s="368" t="str">
        <f t="shared" si="1"/>
        <v>HCM</v>
      </c>
    </row>
    <row r="11" spans="1:27" s="368" customFormat="1" ht="201.6" customHeight="1" x14ac:dyDescent="0.2">
      <c r="A11" s="401">
        <f>IF(Table2[[#This Row],[Code 
CC- ]]="", "", A10+1)</f>
        <v>8</v>
      </c>
      <c r="B11" s="625" t="s">
        <v>2151</v>
      </c>
      <c r="C11" s="517">
        <v>45672</v>
      </c>
      <c r="D11" s="404" t="s">
        <v>716</v>
      </c>
      <c r="E11" s="404"/>
      <c r="F11" s="405" t="s">
        <v>695</v>
      </c>
      <c r="G11" s="405" t="s">
        <v>731</v>
      </c>
      <c r="H11" s="404" t="s">
        <v>172</v>
      </c>
      <c r="I11" s="353" t="s">
        <v>717</v>
      </c>
      <c r="J11" s="450" t="s">
        <v>13</v>
      </c>
      <c r="K11" s="529" t="s">
        <v>13</v>
      </c>
      <c r="L11" s="336" t="s">
        <v>13</v>
      </c>
      <c r="M11" s="336" t="s">
        <v>13</v>
      </c>
      <c r="N11" s="337" t="s">
        <v>706</v>
      </c>
      <c r="O11" s="337" t="s">
        <v>482</v>
      </c>
      <c r="P11" s="337" t="s">
        <v>768</v>
      </c>
      <c r="Q11" s="336"/>
      <c r="R11" s="336"/>
      <c r="S11" s="337" t="s">
        <v>813</v>
      </c>
      <c r="T11" s="338"/>
      <c r="U11" s="338">
        <f>MONTH(Table2[[#This Row],[Ngày
date]])</f>
        <v>1</v>
      </c>
      <c r="V11" s="365" t="str">
        <f t="shared" si="2"/>
        <v>NA</v>
      </c>
      <c r="W11" s="366" t="str">
        <f t="shared" si="3"/>
        <v>CHƯA NHẬP NGÀY</v>
      </c>
      <c r="X11" s="495" t="str">
        <f t="shared" si="0"/>
        <v>NA</v>
      </c>
      <c r="Y11" s="367" t="str">
        <f>HYPERLINK('Danh mục'!$D$1&amp;"20"&amp;MID(D11,8,2)&amp;"\"&amp;D11,D11)</f>
        <v>CC_080125-HCM</v>
      </c>
      <c r="Z11" s="368">
        <f>YEAR(Table2[[#This Row],[Ngày
date]])</f>
        <v>2025</v>
      </c>
      <c r="AA11" s="368" t="str">
        <f t="shared" si="1"/>
        <v>HCM</v>
      </c>
    </row>
    <row r="12" spans="1:27" s="368" customFormat="1" ht="102" x14ac:dyDescent="0.2">
      <c r="A12" s="401">
        <f>IF(Table2[[#This Row],[Code 
CC- ]]="", "", A11+1)</f>
        <v>9</v>
      </c>
      <c r="B12" s="625" t="s">
        <v>2158</v>
      </c>
      <c r="C12" s="517">
        <v>45677</v>
      </c>
      <c r="D12" s="404" t="s">
        <v>722</v>
      </c>
      <c r="E12" s="404"/>
      <c r="F12" s="405" t="s">
        <v>724</v>
      </c>
      <c r="G12" s="405" t="s">
        <v>725</v>
      </c>
      <c r="H12" s="404" t="s">
        <v>539</v>
      </c>
      <c r="I12" s="353" t="s">
        <v>723</v>
      </c>
      <c r="J12" s="450">
        <v>45535</v>
      </c>
      <c r="K12" s="529">
        <v>46264</v>
      </c>
      <c r="L12" s="336" t="s">
        <v>15</v>
      </c>
      <c r="M12" s="336">
        <v>1</v>
      </c>
      <c r="N12" s="337" t="s">
        <v>730</v>
      </c>
      <c r="O12" s="337" t="s">
        <v>736</v>
      </c>
      <c r="P12" s="337" t="s">
        <v>775</v>
      </c>
      <c r="Q12" s="336"/>
      <c r="R12" s="336"/>
      <c r="S12" s="337" t="s">
        <v>815</v>
      </c>
      <c r="T12" s="338"/>
      <c r="U12" s="338">
        <f>MONTH(Table2[[#This Row],[Ngày
date]])</f>
        <v>1</v>
      </c>
      <c r="V12" s="365" t="str">
        <f t="shared" si="2"/>
        <v>30/08/2026</v>
      </c>
      <c r="W12" s="366" t="str">
        <f t="shared" si="3"/>
        <v>CHƯA NHẬP NGÀY</v>
      </c>
      <c r="X12" s="495" t="str">
        <f t="shared" si="0"/>
        <v>31/08/2024</v>
      </c>
      <c r="Y12" s="367" t="str">
        <f>HYPERLINK('Danh mục'!$D$1&amp;"20"&amp;MID(D12,8,2)&amp;"\"&amp;D12,D12)</f>
        <v>CC_090125-HCM</v>
      </c>
      <c r="Z12" s="368">
        <f>YEAR(Table2[[#This Row],[Ngày
date]])</f>
        <v>2025</v>
      </c>
      <c r="AA12" s="368" t="str">
        <f t="shared" si="1"/>
        <v>HCM</v>
      </c>
    </row>
    <row r="13" spans="1:27" s="368" customFormat="1" ht="51" x14ac:dyDescent="0.2">
      <c r="A13" s="401">
        <f>IF(Table2[[#This Row],[Code 
CC- ]]="", "", A12+1)</f>
        <v>10</v>
      </c>
      <c r="B13" s="625" t="s">
        <v>2160</v>
      </c>
      <c r="C13" s="517">
        <v>45681</v>
      </c>
      <c r="D13" s="404" t="s">
        <v>726</v>
      </c>
      <c r="E13" s="404"/>
      <c r="F13" s="405" t="s">
        <v>727</v>
      </c>
      <c r="G13" s="405" t="s">
        <v>731</v>
      </c>
      <c r="H13" s="404" t="s">
        <v>728</v>
      </c>
      <c r="I13" s="353" t="s">
        <v>732</v>
      </c>
      <c r="J13" s="450">
        <v>45531</v>
      </c>
      <c r="K13" s="529">
        <v>46626</v>
      </c>
      <c r="L13" s="336" t="s">
        <v>15</v>
      </c>
      <c r="M13" s="336">
        <v>1</v>
      </c>
      <c r="N13" s="337" t="s">
        <v>729</v>
      </c>
      <c r="O13" s="337"/>
      <c r="P13" s="337" t="s">
        <v>767</v>
      </c>
      <c r="Q13" s="336"/>
      <c r="R13" s="336"/>
      <c r="S13" s="337" t="s">
        <v>813</v>
      </c>
      <c r="T13" s="338"/>
      <c r="U13" s="338">
        <f>MONTH(Table2[[#This Row],[Ngày
date]])</f>
        <v>1</v>
      </c>
      <c r="V13" s="365" t="str">
        <f t="shared" si="2"/>
        <v>27/08/2027</v>
      </c>
      <c r="W13" s="366" t="str">
        <f t="shared" si="3"/>
        <v>CHƯA NHẬP NGÀY</v>
      </c>
      <c r="X13" s="495" t="str">
        <f t="shared" si="0"/>
        <v>27/08/2024</v>
      </c>
      <c r="Y13" s="367" t="str">
        <f>HYPERLINK('Danh mục'!$D$1&amp;"20"&amp;MID(D13,8,2)&amp;"\"&amp;D13,D13)</f>
        <v>CC_100125-HCM</v>
      </c>
      <c r="Z13" s="368">
        <f>YEAR(Table2[[#This Row],[Ngày
date]])</f>
        <v>2025</v>
      </c>
      <c r="AA13" s="368" t="str">
        <f t="shared" si="1"/>
        <v>HCM</v>
      </c>
    </row>
    <row r="14" spans="1:27" s="368" customFormat="1" ht="114.6" customHeight="1" x14ac:dyDescent="0.2">
      <c r="A14" s="401">
        <f>IF(Table2[[#This Row],[Code 
CC- ]]="", "", A13+1)</f>
        <v>11</v>
      </c>
      <c r="B14" s="625" t="s">
        <v>2151</v>
      </c>
      <c r="C14" s="517">
        <v>45695</v>
      </c>
      <c r="D14" s="402" t="s">
        <v>780</v>
      </c>
      <c r="E14" s="402"/>
      <c r="F14" s="403" t="s">
        <v>737</v>
      </c>
      <c r="G14" s="405" t="s">
        <v>745</v>
      </c>
      <c r="H14" s="404" t="s">
        <v>26</v>
      </c>
      <c r="I14" s="353" t="s">
        <v>752</v>
      </c>
      <c r="J14" s="450">
        <v>44872</v>
      </c>
      <c r="K14" s="529">
        <v>45961</v>
      </c>
      <c r="L14" s="336" t="s">
        <v>27</v>
      </c>
      <c r="M14" s="336">
        <v>1</v>
      </c>
      <c r="N14" s="337" t="s">
        <v>738</v>
      </c>
      <c r="O14" s="337" t="s">
        <v>482</v>
      </c>
      <c r="P14" s="337" t="s">
        <v>779</v>
      </c>
      <c r="Q14" s="336"/>
      <c r="R14" s="336"/>
      <c r="S14" s="337" t="s">
        <v>817</v>
      </c>
      <c r="T14" s="338"/>
      <c r="U14" s="338">
        <f>MONTH(Table2[[#This Row],[Ngày
date]])</f>
        <v>2</v>
      </c>
      <c r="V14" s="365" t="str">
        <f t="shared" si="2"/>
        <v>31/10/2025</v>
      </c>
      <c r="W14" s="366" t="str">
        <f t="shared" si="3"/>
        <v>CHƯA NHẬP NGÀY</v>
      </c>
      <c r="X14" s="495" t="str">
        <f t="shared" si="0"/>
        <v>07/11/2022</v>
      </c>
      <c r="Y14" s="367" t="str">
        <f>HYPERLINK('Danh mục'!$D$1&amp;"20"&amp;MID(D14,8,2)&amp;"\"&amp;D14,D14)</f>
        <v>CC_110225-HCM
HUY</v>
      </c>
      <c r="Z14" s="368">
        <f>YEAR(Table2[[#This Row],[Ngày
date]])</f>
        <v>2025</v>
      </c>
      <c r="AA14" s="368" t="str">
        <f t="shared" si="1"/>
        <v>HCM</v>
      </c>
    </row>
    <row r="15" spans="1:27" s="370" customFormat="1" ht="178.5" x14ac:dyDescent="0.2">
      <c r="A15" s="401">
        <f>IF(Table2[[#This Row],[Code 
CC- ]]="", "", A14+1)</f>
        <v>12</v>
      </c>
      <c r="B15" s="625" t="s">
        <v>2162</v>
      </c>
      <c r="C15" s="517">
        <v>45698</v>
      </c>
      <c r="D15" s="402" t="s">
        <v>741</v>
      </c>
      <c r="E15" s="402"/>
      <c r="F15" s="403" t="s">
        <v>740</v>
      </c>
      <c r="G15" s="403" t="s">
        <v>742</v>
      </c>
      <c r="H15" s="402" t="s">
        <v>743</v>
      </c>
      <c r="I15" s="364">
        <v>243474</v>
      </c>
      <c r="J15" s="449" t="s">
        <v>13</v>
      </c>
      <c r="K15" s="528">
        <v>46713</v>
      </c>
      <c r="L15" s="334" t="s">
        <v>53</v>
      </c>
      <c r="M15" s="334">
        <v>2790</v>
      </c>
      <c r="N15" s="335" t="s">
        <v>748</v>
      </c>
      <c r="O15" s="335" t="s">
        <v>482</v>
      </c>
      <c r="P15" s="335" t="s">
        <v>989</v>
      </c>
      <c r="Q15" s="334"/>
      <c r="R15" s="334"/>
      <c r="S15" s="335" t="s">
        <v>798</v>
      </c>
      <c r="T15" s="341"/>
      <c r="U15" s="341">
        <f>MONTH(Table2[[#This Row],[Ngày
date]])</f>
        <v>2</v>
      </c>
      <c r="V15" s="365" t="str">
        <f t="shared" si="2"/>
        <v>22/11/2027</v>
      </c>
      <c r="W15" s="366" t="str">
        <f t="shared" si="3"/>
        <v>CHƯA NHẬP NGÀY</v>
      </c>
      <c r="X15" s="495" t="str">
        <f t="shared" si="0"/>
        <v>NA</v>
      </c>
      <c r="Y15" s="367" t="str">
        <f>HYPERLINK('Danh mục'!$D$1&amp;"20"&amp;MID(D15,8,2)&amp;"\"&amp;D15,D15)</f>
        <v>CC_120225-HCM</v>
      </c>
      <c r="Z15" s="370">
        <f>YEAR(Table2[[#This Row],[Ngày
date]])</f>
        <v>2025</v>
      </c>
      <c r="AA15" s="370" t="str">
        <f t="shared" si="1"/>
        <v>HCM</v>
      </c>
    </row>
    <row r="16" spans="1:27" s="368" customFormat="1" ht="84.6" customHeight="1" x14ac:dyDescent="0.2">
      <c r="A16" s="401">
        <f>IF(Table2[[#This Row],[Code 
CC- ]]="", "", A15+1)</f>
        <v>13</v>
      </c>
      <c r="B16" s="625" t="s">
        <v>2151</v>
      </c>
      <c r="C16" s="517">
        <v>45699</v>
      </c>
      <c r="D16" s="404" t="s">
        <v>744</v>
      </c>
      <c r="E16" s="404"/>
      <c r="F16" s="405" t="s">
        <v>747</v>
      </c>
      <c r="G16" s="405" t="s">
        <v>749</v>
      </c>
      <c r="H16" s="404" t="s">
        <v>61</v>
      </c>
      <c r="I16" s="353" t="s">
        <v>751</v>
      </c>
      <c r="J16" s="450">
        <v>45471</v>
      </c>
      <c r="K16" s="529">
        <v>45808</v>
      </c>
      <c r="L16" s="336" t="s">
        <v>15</v>
      </c>
      <c r="M16" s="336">
        <v>1</v>
      </c>
      <c r="N16" s="337" t="s">
        <v>750</v>
      </c>
      <c r="O16" s="337" t="s">
        <v>482</v>
      </c>
      <c r="P16" s="337" t="s">
        <v>766</v>
      </c>
      <c r="Q16" s="336" t="s">
        <v>312</v>
      </c>
      <c r="R16" s="336" t="s">
        <v>906</v>
      </c>
      <c r="S16" s="337" t="s">
        <v>813</v>
      </c>
      <c r="T16" s="338">
        <v>45771</v>
      </c>
      <c r="U16" s="338">
        <f>MONTH(Table2[[#This Row],[Ngày
date]])</f>
        <v>2</v>
      </c>
      <c r="V16" s="365" t="str">
        <f t="shared" si="2"/>
        <v>31/05/2025</v>
      </c>
      <c r="W16" s="366" t="str">
        <f t="shared" si="3"/>
        <v>24/04/2025</v>
      </c>
      <c r="X16" s="495" t="str">
        <f t="shared" si="0"/>
        <v>28/06/2024</v>
      </c>
      <c r="Y16" s="367" t="str">
        <f>HYPERLINK('Danh mục'!$D$1&amp;"20"&amp;MID(D16,8,2)&amp;"\"&amp;D16,D16)</f>
        <v>CC_130225-HCM</v>
      </c>
      <c r="Z16" s="368">
        <f>YEAR(Table2[[#This Row],[Ngày
date]])</f>
        <v>2025</v>
      </c>
      <c r="AA16" s="368" t="str">
        <f t="shared" si="1"/>
        <v>HCM</v>
      </c>
    </row>
    <row r="17" spans="1:27" s="368" customFormat="1" ht="83.1" customHeight="1" x14ac:dyDescent="0.2">
      <c r="A17" s="401">
        <f>IF(Table2[[#This Row],[Code 
CC- ]]="", "", A16+1)</f>
        <v>14</v>
      </c>
      <c r="B17" s="625" t="s">
        <v>2151</v>
      </c>
      <c r="C17" s="517">
        <v>45701</v>
      </c>
      <c r="D17" s="404" t="s">
        <v>756</v>
      </c>
      <c r="E17" s="404"/>
      <c r="F17" s="405" t="s">
        <v>753</v>
      </c>
      <c r="G17" s="405" t="s">
        <v>754</v>
      </c>
      <c r="H17" s="404" t="s">
        <v>755</v>
      </c>
      <c r="I17" s="353" t="s">
        <v>757</v>
      </c>
      <c r="J17" s="450">
        <v>45274</v>
      </c>
      <c r="K17" s="529">
        <v>46356</v>
      </c>
      <c r="L17" s="336" t="s">
        <v>15</v>
      </c>
      <c r="M17" s="336">
        <v>1</v>
      </c>
      <c r="N17" s="337" t="s">
        <v>758</v>
      </c>
      <c r="O17" s="337" t="s">
        <v>482</v>
      </c>
      <c r="P17" s="337" t="s">
        <v>765</v>
      </c>
      <c r="Q17" s="336" t="s">
        <v>312</v>
      </c>
      <c r="R17" s="336" t="s">
        <v>906</v>
      </c>
      <c r="S17" s="337" t="s">
        <v>813</v>
      </c>
      <c r="T17" s="338"/>
      <c r="U17" s="338">
        <f>MONTH(Table2[[#This Row],[Ngày
date]])</f>
        <v>2</v>
      </c>
      <c r="V17" s="365" t="str">
        <f t="shared" si="2"/>
        <v>30/11/2026</v>
      </c>
      <c r="W17" s="366" t="str">
        <f t="shared" si="3"/>
        <v>CHƯA NHẬP NGÀY</v>
      </c>
      <c r="X17" s="495" t="str">
        <f t="shared" si="0"/>
        <v>14/12/2023</v>
      </c>
      <c r="Y17" s="367" t="str">
        <f>HYPERLINK('Danh mục'!$D$1&amp;"20"&amp;MID(D17,8,2)&amp;"\"&amp;D17,D17)</f>
        <v>CC_140225-HCM</v>
      </c>
      <c r="Z17" s="368">
        <f>YEAR(Table2[[#This Row],[Ngày
date]])</f>
        <v>2025</v>
      </c>
      <c r="AA17" s="368" t="str">
        <f t="shared" si="1"/>
        <v>HCM</v>
      </c>
    </row>
    <row r="18" spans="1:27" s="368" customFormat="1" ht="86.85" customHeight="1" x14ac:dyDescent="0.2">
      <c r="A18" s="401">
        <f>IF(Table2[[#This Row],[Code 
CC- ]]="", "", A17+1)</f>
        <v>15</v>
      </c>
      <c r="B18" s="625" t="s">
        <v>2151</v>
      </c>
      <c r="C18" s="517">
        <v>45707</v>
      </c>
      <c r="D18" s="404" t="s">
        <v>760</v>
      </c>
      <c r="E18" s="404"/>
      <c r="F18" s="405" t="s">
        <v>761</v>
      </c>
      <c r="G18" s="405" t="s">
        <v>764</v>
      </c>
      <c r="H18" s="404" t="s">
        <v>269</v>
      </c>
      <c r="I18" s="353" t="s">
        <v>762</v>
      </c>
      <c r="J18" s="450" t="s">
        <v>13</v>
      </c>
      <c r="K18" s="529">
        <v>46164</v>
      </c>
      <c r="L18" s="336" t="s">
        <v>15</v>
      </c>
      <c r="M18" s="336">
        <v>1</v>
      </c>
      <c r="N18" s="337" t="s">
        <v>763</v>
      </c>
      <c r="O18" s="337" t="s">
        <v>482</v>
      </c>
      <c r="P18" s="337" t="s">
        <v>778</v>
      </c>
      <c r="Q18" s="336"/>
      <c r="R18" s="336"/>
      <c r="S18" s="337" t="s">
        <v>816</v>
      </c>
      <c r="T18" s="338"/>
      <c r="U18" s="338">
        <f>MONTH(Table2[[#This Row],[Ngày
date]])</f>
        <v>2</v>
      </c>
      <c r="V18" s="365" t="str">
        <f t="shared" si="2"/>
        <v>22/05/2026</v>
      </c>
      <c r="W18" s="366" t="str">
        <f t="shared" si="3"/>
        <v>CHƯA NHẬP NGÀY</v>
      </c>
      <c r="X18" s="495" t="str">
        <f t="shared" si="0"/>
        <v>NA</v>
      </c>
      <c r="Y18" s="367" t="str">
        <f>HYPERLINK('Danh mục'!$D$1&amp;"20"&amp;MID(D18,8,2)&amp;"\"&amp;D18,D18)</f>
        <v>CC_150225-HCM</v>
      </c>
      <c r="Z18" s="368">
        <f>YEAR(Table2[[#This Row],[Ngày
date]])</f>
        <v>2025</v>
      </c>
      <c r="AA18" s="368" t="str">
        <f t="shared" si="1"/>
        <v>HCM</v>
      </c>
    </row>
    <row r="19" spans="1:27" s="368" customFormat="1" ht="114.75" x14ac:dyDescent="0.2">
      <c r="A19" s="401">
        <f>IF(Table2[[#This Row],[Code 
CC- ]]="", "", A18+1)</f>
        <v>16</v>
      </c>
      <c r="B19" s="625" t="s">
        <v>2194</v>
      </c>
      <c r="C19" s="517">
        <v>45715</v>
      </c>
      <c r="D19" s="404" t="s">
        <v>772</v>
      </c>
      <c r="E19" s="404"/>
      <c r="F19" s="405" t="s">
        <v>773</v>
      </c>
      <c r="G19" s="405" t="s">
        <v>770</v>
      </c>
      <c r="H19" s="404" t="s">
        <v>769</v>
      </c>
      <c r="I19" s="353" t="s">
        <v>771</v>
      </c>
      <c r="J19" s="450" t="s">
        <v>13</v>
      </c>
      <c r="K19" s="529">
        <v>46618</v>
      </c>
      <c r="L19" s="336" t="s">
        <v>50</v>
      </c>
      <c r="M19" s="336">
        <v>3</v>
      </c>
      <c r="N19" s="337" t="s">
        <v>774</v>
      </c>
      <c r="O19" s="337" t="s">
        <v>482</v>
      </c>
      <c r="P19" s="337" t="s">
        <v>849</v>
      </c>
      <c r="Q19" s="336"/>
      <c r="R19" s="336"/>
      <c r="S19" s="337" t="s">
        <v>813</v>
      </c>
      <c r="T19" s="338">
        <v>45735</v>
      </c>
      <c r="U19" s="338">
        <f>MONTH(Table2[[#This Row],[Ngày
date]])</f>
        <v>2</v>
      </c>
      <c r="V19" s="365" t="str">
        <f t="shared" si="2"/>
        <v>19/08/2027</v>
      </c>
      <c r="W19" s="366" t="str">
        <f t="shared" si="3"/>
        <v>19/03/2025</v>
      </c>
      <c r="X19" s="495" t="str">
        <f t="shared" si="0"/>
        <v>NA</v>
      </c>
      <c r="Y19" s="367" t="str">
        <f>HYPERLINK('Danh mục'!$D$1&amp;"20"&amp;MID(D19,8,2)&amp;"\"&amp;D19,D19)</f>
        <v>CC_160225-HCM</v>
      </c>
      <c r="Z19" s="368">
        <f>YEAR(Table2[[#This Row],[Ngày
date]])</f>
        <v>2025</v>
      </c>
      <c r="AA19" s="368" t="str">
        <f t="shared" si="1"/>
        <v>HCM</v>
      </c>
    </row>
    <row r="20" spans="1:27" s="368" customFormat="1" ht="114.75" x14ac:dyDescent="0.2">
      <c r="A20" s="401">
        <f>IF(Table2[[#This Row],[Code 
CC- ]]="", "", A19+1)</f>
        <v>17</v>
      </c>
      <c r="B20" s="625" t="s">
        <v>2194</v>
      </c>
      <c r="C20" s="517">
        <v>45715</v>
      </c>
      <c r="D20" s="404" t="s">
        <v>772</v>
      </c>
      <c r="E20" s="590"/>
      <c r="F20" s="408" t="s">
        <v>773</v>
      </c>
      <c r="G20" s="409" t="s">
        <v>770</v>
      </c>
      <c r="H20" s="404" t="s">
        <v>769</v>
      </c>
      <c r="I20" s="353" t="s">
        <v>858</v>
      </c>
      <c r="J20" s="452" t="s">
        <v>13</v>
      </c>
      <c r="K20" s="529">
        <v>46644</v>
      </c>
      <c r="L20" s="336" t="s">
        <v>50</v>
      </c>
      <c r="M20" s="336">
        <v>5</v>
      </c>
      <c r="N20" s="337" t="s">
        <v>774</v>
      </c>
      <c r="O20" s="337" t="s">
        <v>482</v>
      </c>
      <c r="P20" s="337" t="s">
        <v>849</v>
      </c>
      <c r="Q20" s="336"/>
      <c r="R20" s="336"/>
      <c r="S20" s="337" t="s">
        <v>813</v>
      </c>
      <c r="T20" s="338">
        <v>45735</v>
      </c>
      <c r="U20" s="338">
        <f>MONTH(Table2[[#This Row],[Ngày
date]])</f>
        <v>2</v>
      </c>
      <c r="V20" s="365" t="str">
        <f t="shared" ref="V20:V21" si="4">IF(K20="","CHƯA NHẬP NGÀY",TEXT(K20,"dd/mm/yyyy"))</f>
        <v>14/09/2027</v>
      </c>
      <c r="W20" s="366" t="str">
        <f t="shared" ref="W20:W21" si="5">IF(T20="","CHƯA NHẬP NGÀY",TEXT(T20,"dd/mm/yyyy"))</f>
        <v>19/03/2025</v>
      </c>
      <c r="X20" s="495" t="str">
        <f t="shared" si="0"/>
        <v>NA</v>
      </c>
      <c r="Y20" s="367" t="str">
        <f>HYPERLINK('Danh mục'!$D$1&amp;"20"&amp;MID(D20,8,2)&amp;"\"&amp;D20,D20)</f>
        <v>CC_160225-HCM</v>
      </c>
      <c r="Z20" s="368">
        <f>YEAR(Table2[[#This Row],[Ngày
date]])</f>
        <v>2025</v>
      </c>
      <c r="AA20" s="368" t="str">
        <f t="shared" si="1"/>
        <v>HCM</v>
      </c>
    </row>
    <row r="21" spans="1:27" s="368" customFormat="1" ht="153" x14ac:dyDescent="0.2">
      <c r="A21" s="401">
        <f>IF(Table2[[#This Row],[Code 
CC- ]]="", "", A20+1)</f>
        <v>18</v>
      </c>
      <c r="B21" s="625" t="s">
        <v>2194</v>
      </c>
      <c r="C21" s="517">
        <v>45715</v>
      </c>
      <c r="D21" s="404" t="s">
        <v>772</v>
      </c>
      <c r="E21" s="590"/>
      <c r="F21" s="408" t="s">
        <v>773</v>
      </c>
      <c r="G21" s="409" t="s">
        <v>770</v>
      </c>
      <c r="H21" s="404" t="s">
        <v>769</v>
      </c>
      <c r="I21" s="371" t="s">
        <v>859</v>
      </c>
      <c r="J21" s="452" t="s">
        <v>13</v>
      </c>
      <c r="K21" s="531">
        <v>46636</v>
      </c>
      <c r="L21" s="336" t="s">
        <v>50</v>
      </c>
      <c r="M21" s="336">
        <v>1</v>
      </c>
      <c r="N21" s="337" t="s">
        <v>774</v>
      </c>
      <c r="O21" s="337" t="s">
        <v>918</v>
      </c>
      <c r="P21" s="337" t="s">
        <v>917</v>
      </c>
      <c r="Q21" s="336"/>
      <c r="R21" s="336"/>
      <c r="S21" s="337" t="s">
        <v>813</v>
      </c>
      <c r="T21" s="338">
        <v>45735</v>
      </c>
      <c r="U21" s="338">
        <f>MONTH(Table2[[#This Row],[Ngày
date]])</f>
        <v>2</v>
      </c>
      <c r="V21" s="365" t="str">
        <f t="shared" si="4"/>
        <v>06/09/2027</v>
      </c>
      <c r="W21" s="366" t="str">
        <f t="shared" si="5"/>
        <v>19/03/2025</v>
      </c>
      <c r="X21" s="495" t="str">
        <f t="shared" si="0"/>
        <v>NA</v>
      </c>
      <c r="Y21" s="367" t="str">
        <f>HYPERLINK('Danh mục'!$D$1&amp;"20"&amp;MID(D21,8,2)&amp;"\"&amp;D21,D21)</f>
        <v>CC_160225-HCM</v>
      </c>
      <c r="Z21" s="368">
        <f>YEAR(Table2[[#This Row],[Ngày
date]])</f>
        <v>2025</v>
      </c>
      <c r="AA21" s="368" t="str">
        <f t="shared" si="1"/>
        <v>HCM</v>
      </c>
    </row>
    <row r="22" spans="1:27" s="368" customFormat="1" ht="114.75" x14ac:dyDescent="0.2">
      <c r="A22" s="401">
        <f>IF(Table2[[#This Row],[Code 
CC- ]]="", "", A21+1)</f>
        <v>19</v>
      </c>
      <c r="B22" s="625" t="s">
        <v>2194</v>
      </c>
      <c r="C22" s="517">
        <v>45715</v>
      </c>
      <c r="D22" s="404" t="s">
        <v>772</v>
      </c>
      <c r="E22" s="590"/>
      <c r="F22" s="408" t="s">
        <v>773</v>
      </c>
      <c r="G22" s="409" t="s">
        <v>770</v>
      </c>
      <c r="H22" s="404" t="s">
        <v>769</v>
      </c>
      <c r="I22" s="371" t="s">
        <v>866</v>
      </c>
      <c r="J22" s="452" t="s">
        <v>13</v>
      </c>
      <c r="K22" s="531">
        <v>46644</v>
      </c>
      <c r="L22" s="336" t="s">
        <v>50</v>
      </c>
      <c r="M22" s="336">
        <v>5</v>
      </c>
      <c r="N22" s="337" t="s">
        <v>774</v>
      </c>
      <c r="O22" s="337" t="s">
        <v>482</v>
      </c>
      <c r="P22" s="337" t="s">
        <v>849</v>
      </c>
      <c r="Q22" s="336"/>
      <c r="R22" s="336"/>
      <c r="S22" s="337" t="s">
        <v>813</v>
      </c>
      <c r="T22" s="338">
        <v>45735</v>
      </c>
      <c r="U22" s="338">
        <f>MONTH(Table2[[#This Row],[Ngày
date]])</f>
        <v>2</v>
      </c>
      <c r="V22" s="365" t="str">
        <f t="shared" ref="V22:V23" si="6">IF(K22="","CHƯA NHẬP NGÀY",TEXT(K22,"dd/mm/yyyy"))</f>
        <v>14/09/2027</v>
      </c>
      <c r="W22" s="366" t="str">
        <f t="shared" ref="W22:W23" si="7">IF(T22="","CHƯA NHẬP NGÀY",TEXT(T22,"dd/mm/yyyy"))</f>
        <v>19/03/2025</v>
      </c>
      <c r="X22" s="495" t="str">
        <f t="shared" si="0"/>
        <v>NA</v>
      </c>
      <c r="Y22" s="367" t="str">
        <f>HYPERLINK('Danh mục'!$D$1&amp;"20"&amp;MID(D22,8,2)&amp;"\"&amp;D22,D22)</f>
        <v>CC_160225-HCM</v>
      </c>
      <c r="Z22" s="368">
        <f>YEAR(Table2[[#This Row],[Ngày
date]])</f>
        <v>2025</v>
      </c>
      <c r="AA22" s="368" t="str">
        <f t="shared" si="1"/>
        <v>HCM</v>
      </c>
    </row>
    <row r="23" spans="1:27" s="368" customFormat="1" ht="114.75" x14ac:dyDescent="0.2">
      <c r="A23" s="401">
        <f>IF(Table2[[#This Row],[Code 
CC- ]]="", "", A22+1)</f>
        <v>20</v>
      </c>
      <c r="B23" s="625" t="s">
        <v>2194</v>
      </c>
      <c r="C23" s="517">
        <v>45715</v>
      </c>
      <c r="D23" s="404" t="s">
        <v>772</v>
      </c>
      <c r="E23" s="590"/>
      <c r="F23" s="408" t="s">
        <v>773</v>
      </c>
      <c r="G23" s="409" t="s">
        <v>770</v>
      </c>
      <c r="H23" s="404" t="s">
        <v>769</v>
      </c>
      <c r="I23" s="371" t="s">
        <v>771</v>
      </c>
      <c r="J23" s="452" t="s">
        <v>13</v>
      </c>
      <c r="K23" s="531">
        <v>46618</v>
      </c>
      <c r="L23" s="336" t="s">
        <v>50</v>
      </c>
      <c r="M23" s="336">
        <v>3</v>
      </c>
      <c r="N23" s="342" t="s">
        <v>774</v>
      </c>
      <c r="O23" s="337" t="s">
        <v>482</v>
      </c>
      <c r="P23" s="337" t="s">
        <v>849</v>
      </c>
      <c r="Q23" s="336"/>
      <c r="R23" s="336"/>
      <c r="S23" s="337" t="s">
        <v>813</v>
      </c>
      <c r="T23" s="338">
        <v>45735</v>
      </c>
      <c r="U23" s="338">
        <f>MONTH(Table2[[#This Row],[Ngày
date]])</f>
        <v>2</v>
      </c>
      <c r="V23" s="365" t="str">
        <f t="shared" si="6"/>
        <v>19/08/2027</v>
      </c>
      <c r="W23" s="366" t="str">
        <f t="shared" si="7"/>
        <v>19/03/2025</v>
      </c>
      <c r="X23" s="495" t="str">
        <f t="shared" si="0"/>
        <v>NA</v>
      </c>
      <c r="Y23" s="367" t="str">
        <f>HYPERLINK('Danh mục'!$D$1&amp;"20"&amp;MID(D23,8,2)&amp;"\"&amp;D23,D23)</f>
        <v>CC_160225-HCM</v>
      </c>
      <c r="Z23" s="368">
        <f>YEAR(Table2[[#This Row],[Ngày
date]])</f>
        <v>2025</v>
      </c>
      <c r="AA23" s="368" t="str">
        <f t="shared" si="1"/>
        <v>HCM</v>
      </c>
    </row>
    <row r="24" spans="1:27" s="368" customFormat="1" ht="38.25" x14ac:dyDescent="0.2">
      <c r="A24" s="401">
        <f>IF(Table2[[#This Row],[Code 
CC- ]]="", "", A23+1)</f>
        <v>21</v>
      </c>
      <c r="B24" s="625" t="s">
        <v>2161</v>
      </c>
      <c r="C24" s="517">
        <v>45728</v>
      </c>
      <c r="D24" s="404" t="s">
        <v>782</v>
      </c>
      <c r="E24" s="404"/>
      <c r="F24" s="405" t="s">
        <v>783</v>
      </c>
      <c r="G24" s="405" t="s">
        <v>784</v>
      </c>
      <c r="H24" s="404" t="s">
        <v>785</v>
      </c>
      <c r="I24" s="353" t="s">
        <v>786</v>
      </c>
      <c r="J24" s="450" t="s">
        <v>13</v>
      </c>
      <c r="K24" s="529">
        <v>46326</v>
      </c>
      <c r="L24" s="336" t="s">
        <v>15</v>
      </c>
      <c r="M24" s="336">
        <v>1</v>
      </c>
      <c r="N24" s="337" t="s">
        <v>787</v>
      </c>
      <c r="O24" s="337" t="s">
        <v>482</v>
      </c>
      <c r="P24" s="337" t="s">
        <v>788</v>
      </c>
      <c r="Q24" s="336"/>
      <c r="R24" s="336"/>
      <c r="S24" s="337" t="s">
        <v>799</v>
      </c>
      <c r="T24" s="338"/>
      <c r="U24" s="338">
        <f>MONTH(Table2[[#This Row],[Ngày
date]])</f>
        <v>3</v>
      </c>
      <c r="V24" s="365" t="str">
        <f t="shared" si="2"/>
        <v>31/10/2026</v>
      </c>
      <c r="W24" s="366" t="str">
        <f t="shared" si="3"/>
        <v>CHƯA NHẬP NGÀY</v>
      </c>
      <c r="X24" s="495" t="str">
        <f t="shared" si="0"/>
        <v>NA</v>
      </c>
      <c r="Y24" s="367" t="str">
        <f>HYPERLINK('Danh mục'!$D$1&amp;"20"&amp;MID(D24,8,2)&amp;"\"&amp;D24,D24)</f>
        <v>CC_170325-HN</v>
      </c>
      <c r="Z24" s="368">
        <f>YEAR(Table2[[#This Row],[Ngày
date]])</f>
        <v>2025</v>
      </c>
      <c r="AA24" s="368" t="str">
        <f t="shared" si="1"/>
        <v>HN</v>
      </c>
    </row>
    <row r="25" spans="1:27" s="368" customFormat="1" ht="153" x14ac:dyDescent="0.2">
      <c r="A25" s="401">
        <f>IF(Table2[[#This Row],[Code 
CC- ]]="", "", A24+1)</f>
        <v>22</v>
      </c>
      <c r="B25" s="625" t="s">
        <v>2151</v>
      </c>
      <c r="C25" s="517">
        <v>45729</v>
      </c>
      <c r="D25" s="410" t="s">
        <v>789</v>
      </c>
      <c r="E25" s="410"/>
      <c r="F25" s="411" t="s">
        <v>790</v>
      </c>
      <c r="G25" s="411" t="s">
        <v>857</v>
      </c>
      <c r="H25" s="410" t="s">
        <v>791</v>
      </c>
      <c r="I25" s="373" t="s">
        <v>841</v>
      </c>
      <c r="J25" s="346" t="s">
        <v>13</v>
      </c>
      <c r="K25" s="532" t="s">
        <v>842</v>
      </c>
      <c r="L25" s="343" t="s">
        <v>20</v>
      </c>
      <c r="M25" s="343">
        <v>8</v>
      </c>
      <c r="N25" s="344" t="s">
        <v>792</v>
      </c>
      <c r="O25" s="344" t="s">
        <v>736</v>
      </c>
      <c r="P25" s="344" t="s">
        <v>840</v>
      </c>
      <c r="Q25" s="343"/>
      <c r="R25" s="343"/>
      <c r="S25" s="344" t="s">
        <v>816</v>
      </c>
      <c r="T25" s="345"/>
      <c r="U25" s="345">
        <f>MONTH(Table2[[#This Row],[Ngày
date]])</f>
        <v>3</v>
      </c>
      <c r="V25" s="375" t="str">
        <f t="shared" si="2"/>
        <v>04/2027
05/2027</v>
      </c>
      <c r="W25" s="376" t="str">
        <f t="shared" si="3"/>
        <v>CHƯA NHẬP NGÀY</v>
      </c>
      <c r="X25" s="495" t="str">
        <f t="shared" si="0"/>
        <v>NA</v>
      </c>
      <c r="Y25" s="367" t="str">
        <f>HYPERLINK('Danh mục'!$D$1&amp;"20"&amp;MID(D25,8,2)&amp;"\"&amp;D25,D25)</f>
        <v>CC_180325-HN</v>
      </c>
      <c r="Z25" s="368">
        <f>YEAR(Table2[[#This Row],[Ngày
date]])</f>
        <v>2025</v>
      </c>
      <c r="AA25" s="368" t="str">
        <f t="shared" si="1"/>
        <v>HN</v>
      </c>
    </row>
    <row r="26" spans="1:27" s="368" customFormat="1" ht="38.25" x14ac:dyDescent="0.2">
      <c r="A26" s="401">
        <f>IF(Table2[[#This Row],[Code 
CC- ]]="", "", A25+1)</f>
        <v>23</v>
      </c>
      <c r="B26" s="625" t="s">
        <v>2152</v>
      </c>
      <c r="C26" s="517">
        <v>45733</v>
      </c>
      <c r="D26" s="410" t="s">
        <v>879</v>
      </c>
      <c r="E26" s="591"/>
      <c r="F26" s="412" t="s">
        <v>825</v>
      </c>
      <c r="G26" s="413" t="s">
        <v>826</v>
      </c>
      <c r="H26" s="414" t="s">
        <v>581</v>
      </c>
      <c r="I26" s="353" t="s">
        <v>827</v>
      </c>
      <c r="J26" s="453">
        <v>45447</v>
      </c>
      <c r="K26" s="533">
        <v>46542</v>
      </c>
      <c r="L26" s="343" t="s">
        <v>33</v>
      </c>
      <c r="M26" s="343">
        <v>3</v>
      </c>
      <c r="N26" s="344" t="s">
        <v>828</v>
      </c>
      <c r="O26" s="337" t="s">
        <v>482</v>
      </c>
      <c r="P26" s="344" t="s">
        <v>839</v>
      </c>
      <c r="Q26" s="343"/>
      <c r="R26" s="343"/>
      <c r="S26" s="344" t="s">
        <v>798</v>
      </c>
      <c r="T26" s="345"/>
      <c r="U26" s="345">
        <f>MONTH(Table2[[#This Row],[Ngày
date]])</f>
        <v>3</v>
      </c>
      <c r="V26" s="375" t="str">
        <f t="shared" si="2"/>
        <v>04/06/2027</v>
      </c>
      <c r="W26" s="376" t="str">
        <f t="shared" ref="W26:W32" si="8">IF(T26="","CHƯA NHẬP NGÀY",TEXT(T26,"dd/mm/yyyy"))</f>
        <v>CHƯA NHẬP NGÀY</v>
      </c>
      <c r="X26" s="495" t="str">
        <f t="shared" si="0"/>
        <v>04/06/2024</v>
      </c>
      <c r="Y26" s="367" t="str">
        <f>HYPERLINK('Danh mục'!$D$1&amp;"20"&amp;MID(D26,8,2)&amp;"\"&amp;D26,D26)</f>
        <v>CC_190325-HCM
HUY</v>
      </c>
      <c r="Z26" s="368">
        <f>YEAR(Table2[[#This Row],[Ngày
date]])</f>
        <v>2025</v>
      </c>
      <c r="AA26" s="368" t="str">
        <f t="shared" si="1"/>
        <v>HCM</v>
      </c>
    </row>
    <row r="27" spans="1:27" s="368" customFormat="1" ht="59.85" customHeight="1" x14ac:dyDescent="0.2">
      <c r="A27" s="401">
        <f>IF(Table2[[#This Row],[Code 
CC- ]]="", "", A26+1)</f>
        <v>24</v>
      </c>
      <c r="B27" s="625" t="s">
        <v>2151</v>
      </c>
      <c r="C27" s="517">
        <v>45733</v>
      </c>
      <c r="D27" s="410" t="s">
        <v>829</v>
      </c>
      <c r="E27" s="591"/>
      <c r="F27" s="412" t="s">
        <v>830</v>
      </c>
      <c r="G27" s="413" t="s">
        <v>831</v>
      </c>
      <c r="H27" s="404" t="s">
        <v>755</v>
      </c>
      <c r="I27" s="377" t="s">
        <v>832</v>
      </c>
      <c r="J27" s="453">
        <v>45328</v>
      </c>
      <c r="K27" s="533">
        <v>46418</v>
      </c>
      <c r="L27" s="343" t="s">
        <v>27</v>
      </c>
      <c r="M27" s="343">
        <v>1</v>
      </c>
      <c r="N27" s="344" t="s">
        <v>833</v>
      </c>
      <c r="O27" s="337" t="s">
        <v>482</v>
      </c>
      <c r="P27" s="344" t="s">
        <v>834</v>
      </c>
      <c r="Q27" s="343" t="s">
        <v>312</v>
      </c>
      <c r="R27" s="343" t="s">
        <v>835</v>
      </c>
      <c r="S27" s="344" t="s">
        <v>813</v>
      </c>
      <c r="T27" s="345">
        <v>45763</v>
      </c>
      <c r="U27" s="345">
        <f>MONTH(Table2[[#This Row],[Ngày
date]])</f>
        <v>3</v>
      </c>
      <c r="V27" s="375" t="str">
        <f t="shared" si="2"/>
        <v>31/01/2027</v>
      </c>
      <c r="W27" s="376" t="str">
        <f t="shared" si="8"/>
        <v>16/04/2025</v>
      </c>
      <c r="X27" s="495" t="str">
        <f t="shared" si="0"/>
        <v>06/02/2024</v>
      </c>
      <c r="Y27" s="367" t="str">
        <f>HYPERLINK('Danh mục'!$D$1&amp;"20"&amp;MID(D27,8,2)&amp;"\"&amp;D27,D27)</f>
        <v>CC_200325-HCM</v>
      </c>
      <c r="Z27" s="368">
        <f>YEAR(Table2[[#This Row],[Ngày
date]])</f>
        <v>2025</v>
      </c>
      <c r="AA27" s="368" t="str">
        <f t="shared" si="1"/>
        <v>HCM</v>
      </c>
    </row>
    <row r="28" spans="1:27" s="368" customFormat="1" ht="102" x14ac:dyDescent="0.2">
      <c r="A28" s="401">
        <f>IF(Table2[[#This Row],[Code 
CC- ]]="", "", A27+1)</f>
        <v>25</v>
      </c>
      <c r="B28" s="625" t="s">
        <v>2195</v>
      </c>
      <c r="C28" s="517">
        <v>45737</v>
      </c>
      <c r="D28" s="410" t="s">
        <v>843</v>
      </c>
      <c r="E28" s="591"/>
      <c r="F28" s="412" t="s">
        <v>836</v>
      </c>
      <c r="G28" s="413" t="s">
        <v>837</v>
      </c>
      <c r="H28" s="404" t="s">
        <v>431</v>
      </c>
      <c r="I28" s="378" t="s">
        <v>838</v>
      </c>
      <c r="J28" s="453">
        <v>45200</v>
      </c>
      <c r="K28" s="533">
        <v>45930</v>
      </c>
      <c r="L28" s="343" t="s">
        <v>15</v>
      </c>
      <c r="M28" s="343">
        <v>1</v>
      </c>
      <c r="N28" s="344" t="s">
        <v>628</v>
      </c>
      <c r="O28" s="337" t="s">
        <v>482</v>
      </c>
      <c r="P28" s="344" t="s">
        <v>883</v>
      </c>
      <c r="Q28" s="343"/>
      <c r="R28" s="343"/>
      <c r="S28" s="344" t="s">
        <v>813</v>
      </c>
      <c r="T28" s="345"/>
      <c r="U28" s="345">
        <f>MONTH(Table2[[#This Row],[Ngày
date]])</f>
        <v>3</v>
      </c>
      <c r="V28" s="375" t="str">
        <f t="shared" ref="V28:V33" si="9">IF(K28="","CHƯA NHẬP NGÀY",TEXT(K28,"dd/mm/yyyy"))</f>
        <v>30/09/2025</v>
      </c>
      <c r="W28" s="376" t="str">
        <f t="shared" si="8"/>
        <v>CHƯA NHẬP NGÀY</v>
      </c>
      <c r="X28" s="495" t="str">
        <f t="shared" si="0"/>
        <v>01/10/2023</v>
      </c>
      <c r="Y28" s="367" t="str">
        <f>HYPERLINK('Danh mục'!$D$1&amp;"20"&amp;MID(D28,8,2)&amp;"\"&amp;D28,D28)</f>
        <v>CC_210325-HN</v>
      </c>
      <c r="Z28" s="368">
        <f>YEAR(Table2[[#This Row],[Ngày
date]])</f>
        <v>2025</v>
      </c>
      <c r="AA28" s="368" t="str">
        <f t="shared" si="1"/>
        <v>HN</v>
      </c>
    </row>
    <row r="29" spans="1:27" s="368" customFormat="1" ht="38.25" x14ac:dyDescent="0.2">
      <c r="A29" s="401">
        <f>IF(Table2[[#This Row],[Code 
CC- ]]="", "", A28+1)</f>
        <v>26</v>
      </c>
      <c r="B29" s="625" t="s">
        <v>2151</v>
      </c>
      <c r="C29" s="517">
        <v>45737</v>
      </c>
      <c r="D29" s="410" t="s">
        <v>847</v>
      </c>
      <c r="E29" s="591"/>
      <c r="F29" s="412" t="s">
        <v>844</v>
      </c>
      <c r="G29" s="413" t="s">
        <v>658</v>
      </c>
      <c r="H29" s="404" t="s">
        <v>59</v>
      </c>
      <c r="I29" s="378" t="s">
        <v>845</v>
      </c>
      <c r="J29" s="454" t="s">
        <v>854</v>
      </c>
      <c r="K29" s="533">
        <v>46568</v>
      </c>
      <c r="L29" s="343" t="s">
        <v>15</v>
      </c>
      <c r="M29" s="343">
        <v>1</v>
      </c>
      <c r="N29" s="344" t="s">
        <v>846</v>
      </c>
      <c r="O29" s="337" t="s">
        <v>482</v>
      </c>
      <c r="P29" s="344" t="s">
        <v>848</v>
      </c>
      <c r="Q29" s="343" t="s">
        <v>312</v>
      </c>
      <c r="R29" s="343" t="s">
        <v>872</v>
      </c>
      <c r="S29" s="344" t="s">
        <v>798</v>
      </c>
      <c r="T29" s="345">
        <v>45765</v>
      </c>
      <c r="U29" s="345">
        <f>MONTH(Table2[[#This Row],[Ngày
date]])</f>
        <v>3</v>
      </c>
      <c r="V29" s="375" t="str">
        <f t="shared" si="9"/>
        <v>30/06/2027</v>
      </c>
      <c r="W29" s="376" t="str">
        <f t="shared" si="8"/>
        <v>18/04/2025</v>
      </c>
      <c r="X29" s="495" t="str">
        <f t="shared" si="0"/>
        <v>01/07/2020</v>
      </c>
      <c r="Y29" s="367" t="str">
        <f>HYPERLINK('Danh mục'!$D$1&amp;"20"&amp;MID(D29,8,2)&amp;"\"&amp;D29,D29)</f>
        <v>CC_220325-HCM</v>
      </c>
      <c r="Z29" s="368">
        <f>YEAR(Table2[[#This Row],[Ngày
date]])</f>
        <v>2025</v>
      </c>
      <c r="AA29" s="368" t="str">
        <f t="shared" si="1"/>
        <v>HCM</v>
      </c>
    </row>
    <row r="30" spans="1:27" s="368" customFormat="1" ht="111" customHeight="1" x14ac:dyDescent="0.2">
      <c r="A30" s="401">
        <f>IF(Table2[[#This Row],[Code 
CC- ]]="", "", A29+1)</f>
        <v>27</v>
      </c>
      <c r="B30" s="625" t="s">
        <v>2162</v>
      </c>
      <c r="C30" s="517">
        <v>45737</v>
      </c>
      <c r="D30" s="410" t="s">
        <v>850</v>
      </c>
      <c r="E30" s="591"/>
      <c r="F30" s="412" t="s">
        <v>851</v>
      </c>
      <c r="G30" s="413" t="s">
        <v>852</v>
      </c>
      <c r="H30" s="404" t="s">
        <v>853</v>
      </c>
      <c r="I30" s="378" t="s">
        <v>871</v>
      </c>
      <c r="J30" s="453">
        <v>45159</v>
      </c>
      <c r="K30" s="533">
        <v>46255</v>
      </c>
      <c r="L30" s="343" t="s">
        <v>855</v>
      </c>
      <c r="M30" s="343">
        <v>7</v>
      </c>
      <c r="N30" s="344" t="s">
        <v>856</v>
      </c>
      <c r="O30" s="337" t="s">
        <v>482</v>
      </c>
      <c r="P30" s="344" t="s">
        <v>952</v>
      </c>
      <c r="Q30" s="343"/>
      <c r="R30" s="343"/>
      <c r="S30" s="344" t="s">
        <v>953</v>
      </c>
      <c r="T30" s="345"/>
      <c r="U30" s="345">
        <f>MONTH(Table2[[#This Row],[Ngày
date]])</f>
        <v>3</v>
      </c>
      <c r="V30" s="375" t="str">
        <f t="shared" si="9"/>
        <v>21/08/2026</v>
      </c>
      <c r="W30" s="376" t="str">
        <f t="shared" si="8"/>
        <v>CHƯA NHẬP NGÀY</v>
      </c>
      <c r="X30" s="495" t="str">
        <f t="shared" si="0"/>
        <v>21/08/2023</v>
      </c>
      <c r="Y30" s="367" t="str">
        <f>HYPERLINK('Danh mục'!$D$1&amp;"20"&amp;MID(D30,8,2)&amp;"\"&amp;D30,D30)</f>
        <v>CC_230325-HCM</v>
      </c>
      <c r="Z30" s="368">
        <f>YEAR(Table2[[#This Row],[Ngày
date]])</f>
        <v>2025</v>
      </c>
      <c r="AA30" s="368" t="str">
        <f t="shared" si="1"/>
        <v>HCM</v>
      </c>
    </row>
    <row r="31" spans="1:27" s="368" customFormat="1" ht="67.349999999999994" customHeight="1" x14ac:dyDescent="0.2">
      <c r="A31" s="401">
        <f>IF(Table2[[#This Row],[Code 
CC- ]]="", "", A30+1)</f>
        <v>28</v>
      </c>
      <c r="B31" s="625" t="s">
        <v>2156</v>
      </c>
      <c r="C31" s="517">
        <v>45743</v>
      </c>
      <c r="D31" s="410" t="s">
        <v>860</v>
      </c>
      <c r="E31" s="591"/>
      <c r="F31" s="412" t="s">
        <v>861</v>
      </c>
      <c r="G31" s="413" t="s">
        <v>862</v>
      </c>
      <c r="H31" s="404" t="s">
        <v>223</v>
      </c>
      <c r="I31" s="378" t="s">
        <v>863</v>
      </c>
      <c r="J31" s="455">
        <v>45280</v>
      </c>
      <c r="K31" s="533">
        <v>46011</v>
      </c>
      <c r="L31" s="343" t="s">
        <v>15</v>
      </c>
      <c r="M31" s="343">
        <v>1</v>
      </c>
      <c r="N31" s="344" t="s">
        <v>864</v>
      </c>
      <c r="O31" s="337" t="s">
        <v>482</v>
      </c>
      <c r="P31" s="344" t="s">
        <v>893</v>
      </c>
      <c r="Q31" s="343"/>
      <c r="R31" s="343"/>
      <c r="S31" s="344" t="s">
        <v>813</v>
      </c>
      <c r="T31" s="345"/>
      <c r="U31" s="345">
        <f>MONTH(Table2[[#This Row],[Ngày
date]])</f>
        <v>3</v>
      </c>
      <c r="V31" s="375" t="str">
        <f t="shared" si="9"/>
        <v>20/12/2025</v>
      </c>
      <c r="W31" s="376" t="str">
        <f t="shared" si="8"/>
        <v>CHƯA NHẬP NGÀY</v>
      </c>
      <c r="X31" s="495" t="str">
        <f t="shared" si="0"/>
        <v>20/12/2023</v>
      </c>
      <c r="Y31" s="367" t="str">
        <f>HYPERLINK('Danh mục'!$D$1&amp;"20"&amp;MID(D31,8,2)&amp;"\"&amp;D31,D31)</f>
        <v>CC_240325-HCM</v>
      </c>
      <c r="Z31" s="368">
        <f>YEAR(Table2[[#This Row],[Ngày
date]])</f>
        <v>2025</v>
      </c>
      <c r="AA31" s="368" t="str">
        <f t="shared" si="1"/>
        <v>HCM</v>
      </c>
    </row>
    <row r="32" spans="1:27" s="368" customFormat="1" ht="108.6" customHeight="1" x14ac:dyDescent="0.2">
      <c r="A32" s="401">
        <f>IF(Table2[[#This Row],[Code 
CC- ]]="", "", A31+1)</f>
        <v>29</v>
      </c>
      <c r="B32" s="625" t="s">
        <v>2151</v>
      </c>
      <c r="C32" s="517">
        <v>45743</v>
      </c>
      <c r="D32" s="410" t="s">
        <v>865</v>
      </c>
      <c r="E32" s="591"/>
      <c r="F32" s="412" t="s">
        <v>695</v>
      </c>
      <c r="G32" s="405" t="s">
        <v>731</v>
      </c>
      <c r="H32" s="404" t="s">
        <v>867</v>
      </c>
      <c r="I32" s="353" t="s">
        <v>868</v>
      </c>
      <c r="J32" s="455">
        <v>44533</v>
      </c>
      <c r="K32" s="533">
        <v>45991</v>
      </c>
      <c r="L32" s="343" t="s">
        <v>13</v>
      </c>
      <c r="M32" s="346" t="s">
        <v>13</v>
      </c>
      <c r="N32" s="347" t="s">
        <v>869</v>
      </c>
      <c r="O32" s="344" t="s">
        <v>870</v>
      </c>
      <c r="P32" s="344" t="s">
        <v>892</v>
      </c>
      <c r="Q32" s="343"/>
      <c r="R32" s="343"/>
      <c r="S32" s="344" t="s">
        <v>815</v>
      </c>
      <c r="T32" s="345">
        <v>45744</v>
      </c>
      <c r="U32" s="345">
        <f>MONTH(Table2[[#This Row],[Ngày
date]])</f>
        <v>3</v>
      </c>
      <c r="V32" s="375" t="str">
        <f t="shared" si="9"/>
        <v>30/11/2025</v>
      </c>
      <c r="W32" s="376" t="str">
        <f t="shared" si="8"/>
        <v>28/03/2025</v>
      </c>
      <c r="X32" s="495" t="str">
        <f t="shared" si="0"/>
        <v>03/12/2021</v>
      </c>
      <c r="Y32" s="367" t="str">
        <f>HYPERLINK('Danh mục'!$D$1&amp;"20"&amp;MID(D32,8,2)&amp;"\"&amp;D32,D32)</f>
        <v>CC_250325-HCM</v>
      </c>
      <c r="Z32" s="368">
        <f>YEAR(Table2[[#This Row],[Ngày
date]])</f>
        <v>2025</v>
      </c>
      <c r="AA32" s="368" t="str">
        <f t="shared" si="1"/>
        <v>HCM</v>
      </c>
    </row>
    <row r="33" spans="1:27" s="368" customFormat="1" ht="63.75" x14ac:dyDescent="0.2">
      <c r="A33" s="401">
        <f>IF(Table2[[#This Row],[Code 
CC- ]]="", "", A32+1)</f>
        <v>30</v>
      </c>
      <c r="B33" s="625" t="s">
        <v>2153</v>
      </c>
      <c r="C33" s="517">
        <v>45744</v>
      </c>
      <c r="D33" s="410" t="s">
        <v>873</v>
      </c>
      <c r="E33" s="591"/>
      <c r="F33" s="412" t="s">
        <v>874</v>
      </c>
      <c r="G33" s="413" t="s">
        <v>875</v>
      </c>
      <c r="H33" s="404" t="s">
        <v>876</v>
      </c>
      <c r="I33" s="353" t="s">
        <v>877</v>
      </c>
      <c r="J33" s="455">
        <v>45437</v>
      </c>
      <c r="K33" s="533">
        <v>46531</v>
      </c>
      <c r="L33" s="343" t="s">
        <v>30</v>
      </c>
      <c r="M33" s="343">
        <v>1</v>
      </c>
      <c r="N33" s="344" t="s">
        <v>878</v>
      </c>
      <c r="O33" s="337" t="s">
        <v>482</v>
      </c>
      <c r="P33" s="344" t="s">
        <v>880</v>
      </c>
      <c r="Q33" s="343"/>
      <c r="R33" s="343"/>
      <c r="S33" s="344" t="s">
        <v>813</v>
      </c>
      <c r="T33" s="345"/>
      <c r="U33" s="345">
        <f>MONTH(Table2[[#This Row],[Ngày
date]])</f>
        <v>3</v>
      </c>
      <c r="V33" s="375" t="str">
        <f t="shared" si="9"/>
        <v>24/05/2027</v>
      </c>
      <c r="W33" s="376" t="str">
        <f t="shared" ref="W33:W39" si="10">IF(T33="","CHƯA NHẬP NGÀY",TEXT(T33,"dd/mm/yyyy"))</f>
        <v>CHƯA NHẬP NGÀY</v>
      </c>
      <c r="X33" s="495" t="str">
        <f t="shared" si="0"/>
        <v>25/05/2024</v>
      </c>
      <c r="Y33" s="367" t="str">
        <f>HYPERLINK('Danh mục'!$D$1&amp;"20"&amp;MID(D33,8,2)&amp;"\"&amp;D33,D33)</f>
        <v>CC_260325-HCM</v>
      </c>
      <c r="Z33" s="368">
        <f>YEAR(Table2[[#This Row],[Ngày
date]])</f>
        <v>2025</v>
      </c>
      <c r="AA33" s="368" t="str">
        <f t="shared" si="1"/>
        <v>HCM</v>
      </c>
    </row>
    <row r="34" spans="1:27" s="368" customFormat="1" ht="51" x14ac:dyDescent="0.2">
      <c r="A34" s="401">
        <f>IF(Table2[[#This Row],[Code 
CC- ]]="", "", A33+1)</f>
        <v>31</v>
      </c>
      <c r="B34" s="625" t="s">
        <v>2151</v>
      </c>
      <c r="C34" s="517">
        <v>45750</v>
      </c>
      <c r="D34" s="410" t="s">
        <v>882</v>
      </c>
      <c r="E34" s="410"/>
      <c r="F34" s="405" t="s">
        <v>695</v>
      </c>
      <c r="G34" s="405" t="s">
        <v>731</v>
      </c>
      <c r="H34" s="404" t="s">
        <v>26</v>
      </c>
      <c r="I34" s="353" t="s">
        <v>757</v>
      </c>
      <c r="J34" s="456">
        <v>45274</v>
      </c>
      <c r="K34" s="529">
        <v>46356</v>
      </c>
      <c r="L34" s="336" t="s">
        <v>27</v>
      </c>
      <c r="M34" s="336">
        <v>1</v>
      </c>
      <c r="N34" s="337" t="s">
        <v>881</v>
      </c>
      <c r="O34" s="337" t="s">
        <v>482</v>
      </c>
      <c r="P34" s="344" t="s">
        <v>891</v>
      </c>
      <c r="Q34" s="343" t="s">
        <v>884</v>
      </c>
      <c r="R34" s="343" t="s">
        <v>835</v>
      </c>
      <c r="S34" s="344" t="s">
        <v>813</v>
      </c>
      <c r="T34" s="345">
        <v>45765</v>
      </c>
      <c r="U34" s="345">
        <f>MONTH(Table2[[#This Row],[Ngày
date]])</f>
        <v>4</v>
      </c>
      <c r="V34" s="375" t="str">
        <f t="shared" ref="V34:V39" si="11">IF(K34="","CHƯA NHẬP NGÀY",TEXT(K34,"dd/mm/yyyy"))</f>
        <v>30/11/2026</v>
      </c>
      <c r="W34" s="376" t="str">
        <f t="shared" si="10"/>
        <v>18/04/2025</v>
      </c>
      <c r="X34" s="495" t="str">
        <f t="shared" si="0"/>
        <v>14/12/2023</v>
      </c>
      <c r="Y34" s="367" t="str">
        <f>HYPERLINK('Danh mục'!$D$1&amp;"20"&amp;MID(D34,8,2)&amp;"\"&amp;D34,D34)</f>
        <v>CC_270425-HCM</v>
      </c>
      <c r="Z34" s="368">
        <f>YEAR(Table2[[#This Row],[Ngày
date]])</f>
        <v>2025</v>
      </c>
      <c r="AA34" s="368" t="str">
        <f t="shared" si="1"/>
        <v>HCM</v>
      </c>
    </row>
    <row r="35" spans="1:27" s="368" customFormat="1" ht="25.5" x14ac:dyDescent="0.2">
      <c r="A35" s="401">
        <f>IF(Table2[[#This Row],[Code 
CC- ]]="", "", A34+1)</f>
        <v>32</v>
      </c>
      <c r="B35" s="625" t="s">
        <v>2162</v>
      </c>
      <c r="C35" s="517">
        <v>45751</v>
      </c>
      <c r="D35" s="410" t="s">
        <v>885</v>
      </c>
      <c r="E35" s="591"/>
      <c r="F35" s="412" t="s">
        <v>886</v>
      </c>
      <c r="G35" s="413" t="s">
        <v>896</v>
      </c>
      <c r="H35" s="404" t="s">
        <v>887</v>
      </c>
      <c r="I35" s="353" t="s">
        <v>888</v>
      </c>
      <c r="J35" s="450" t="s">
        <v>13</v>
      </c>
      <c r="K35" s="529">
        <v>46602</v>
      </c>
      <c r="L35" s="336" t="s">
        <v>53</v>
      </c>
      <c r="M35" s="336">
        <v>1</v>
      </c>
      <c r="N35" s="344" t="s">
        <v>889</v>
      </c>
      <c r="O35" s="337" t="s">
        <v>482</v>
      </c>
      <c r="P35" s="344" t="s">
        <v>890</v>
      </c>
      <c r="Q35" s="343"/>
      <c r="R35" s="343"/>
      <c r="S35" s="344" t="s">
        <v>813</v>
      </c>
      <c r="T35" s="345"/>
      <c r="U35" s="345">
        <f>MONTH(Table2[[#This Row],[Ngày
date]])</f>
        <v>4</v>
      </c>
      <c r="V35" s="375" t="str">
        <f t="shared" si="11"/>
        <v>03/08/2027</v>
      </c>
      <c r="W35" s="376" t="str">
        <f t="shared" si="10"/>
        <v>CHƯA NHẬP NGÀY</v>
      </c>
      <c r="X35" s="495" t="str">
        <f t="shared" si="0"/>
        <v>NA</v>
      </c>
      <c r="Y35" s="367" t="str">
        <f>HYPERLINK('Danh mục'!$D$1&amp;"20"&amp;MID(D35,8,2)&amp;"\"&amp;D35,D35)</f>
        <v>CC_280425-ĐN</v>
      </c>
      <c r="Z35" s="368">
        <f>YEAR(Table2[[#This Row],[Ngày
date]])</f>
        <v>2025</v>
      </c>
      <c r="AA35" s="368" t="str">
        <f t="shared" si="1"/>
        <v>ĐN</v>
      </c>
    </row>
    <row r="36" spans="1:27" s="370" customFormat="1" ht="63.75" x14ac:dyDescent="0.2">
      <c r="A36" s="401">
        <f>IF(Table2[[#This Row],[Code 
CC- ]]="", "", A35+1)</f>
        <v>33</v>
      </c>
      <c r="B36" s="625" t="s">
        <v>2162</v>
      </c>
      <c r="C36" s="517">
        <v>45761</v>
      </c>
      <c r="D36" s="415" t="s">
        <v>897</v>
      </c>
      <c r="E36" s="592"/>
      <c r="F36" s="416" t="s">
        <v>898</v>
      </c>
      <c r="G36" s="417" t="s">
        <v>949</v>
      </c>
      <c r="H36" s="402" t="s">
        <v>899</v>
      </c>
      <c r="I36" s="364" t="s">
        <v>900</v>
      </c>
      <c r="J36" s="449" t="s">
        <v>13</v>
      </c>
      <c r="K36" s="528">
        <v>46018</v>
      </c>
      <c r="L36" s="334" t="s">
        <v>15</v>
      </c>
      <c r="M36" s="334">
        <v>1</v>
      </c>
      <c r="N36" s="348" t="s">
        <v>950</v>
      </c>
      <c r="O36" s="335" t="s">
        <v>482</v>
      </c>
      <c r="P36" s="348" t="s">
        <v>1066</v>
      </c>
      <c r="Q36" s="349" t="s">
        <v>884</v>
      </c>
      <c r="R36" s="349" t="s">
        <v>835</v>
      </c>
      <c r="S36" s="348" t="s">
        <v>813</v>
      </c>
      <c r="T36" s="350"/>
      <c r="U36" s="350">
        <f>MONTH(Table2[[#This Row],[Ngày
date]])</f>
        <v>4</v>
      </c>
      <c r="V36" s="375" t="str">
        <f t="shared" si="11"/>
        <v>27/12/2025</v>
      </c>
      <c r="W36" s="376" t="str">
        <f t="shared" si="10"/>
        <v>CHƯA NHẬP NGÀY</v>
      </c>
      <c r="X36" s="495" t="str">
        <f t="shared" ref="X36:X67" si="12">IF(J36="","CHƯA NHẬP NGÀY",TEXT(J36,"dd/mm/yyyy"))</f>
        <v>NA</v>
      </c>
      <c r="Y36" s="367" t="str">
        <f>HYPERLINK('Danh mục'!$D$1&amp;"20"&amp;MID(D36,8,2)&amp;"\"&amp;D36,D36)</f>
        <v>CC_290425-ĐN</v>
      </c>
      <c r="Z36" s="370">
        <f>YEAR(Table2[[#This Row],[Ngày
date]])</f>
        <v>2025</v>
      </c>
      <c r="AA36" s="370" t="str">
        <f t="shared" ref="AA36:AA67" si="13">IF(ISNUMBER(SEARCH("HCM",D36)),"HCM",
IF(ISNUMBER(SEARCH("HN",D36)),"HN",
IF(ISNUMBER(SEARCH("ĐN",D36)),"ĐN","")))</f>
        <v>ĐN</v>
      </c>
    </row>
    <row r="37" spans="1:27" s="368" customFormat="1" ht="38.25" x14ac:dyDescent="0.2">
      <c r="A37" s="401">
        <f>IF(Table2[[#This Row],[Code 
CC- ]]="", "", A36+1)</f>
        <v>34</v>
      </c>
      <c r="B37" s="625" t="s">
        <v>2151</v>
      </c>
      <c r="C37" s="517">
        <v>45761</v>
      </c>
      <c r="D37" s="410" t="s">
        <v>905</v>
      </c>
      <c r="E37" s="591"/>
      <c r="F37" s="412" t="s">
        <v>901</v>
      </c>
      <c r="G37" s="413" t="s">
        <v>902</v>
      </c>
      <c r="H37" s="404" t="s">
        <v>49</v>
      </c>
      <c r="I37" s="353" t="s">
        <v>903</v>
      </c>
      <c r="J37" s="450" t="s">
        <v>13</v>
      </c>
      <c r="K37" s="529">
        <v>46295</v>
      </c>
      <c r="L37" s="336" t="s">
        <v>15</v>
      </c>
      <c r="M37" s="336">
        <v>1</v>
      </c>
      <c r="N37" s="344" t="s">
        <v>904</v>
      </c>
      <c r="O37" s="344" t="s">
        <v>482</v>
      </c>
      <c r="P37" s="344" t="s">
        <v>948</v>
      </c>
      <c r="Q37" s="343" t="s">
        <v>884</v>
      </c>
      <c r="R37" s="343" t="s">
        <v>906</v>
      </c>
      <c r="S37" s="344" t="s">
        <v>798</v>
      </c>
      <c r="T37" s="345">
        <v>45794</v>
      </c>
      <c r="U37" s="345">
        <f>MONTH(Table2[[#This Row],[Ngày
date]])</f>
        <v>4</v>
      </c>
      <c r="V37" s="375" t="str">
        <f t="shared" si="11"/>
        <v>30/09/2026</v>
      </c>
      <c r="W37" s="376" t="str">
        <f t="shared" si="10"/>
        <v>17/05/2025</v>
      </c>
      <c r="X37" s="495" t="str">
        <f t="shared" si="12"/>
        <v>NA</v>
      </c>
      <c r="Y37" s="367" t="str">
        <f>HYPERLINK('Danh mục'!$D$1&amp;"20"&amp;MID(D37,8,2)&amp;"\"&amp;D37,D37)</f>
        <v>CC_300425-ĐN</v>
      </c>
      <c r="Z37" s="368">
        <f>YEAR(Table2[[#This Row],[Ngày
date]])</f>
        <v>2025</v>
      </c>
      <c r="AA37" s="368" t="str">
        <f t="shared" si="13"/>
        <v>ĐN</v>
      </c>
    </row>
    <row r="38" spans="1:27" s="370" customFormat="1" ht="229.35" customHeight="1" x14ac:dyDescent="0.2">
      <c r="A38" s="401">
        <f>IF(Table2[[#This Row],[Code 
CC- ]]="", "", A37+1)</f>
        <v>35</v>
      </c>
      <c r="B38" s="625" t="s">
        <v>2161</v>
      </c>
      <c r="C38" s="517">
        <v>45762</v>
      </c>
      <c r="D38" s="402" t="s">
        <v>907</v>
      </c>
      <c r="E38" s="402"/>
      <c r="F38" s="403" t="s">
        <v>910</v>
      </c>
      <c r="G38" s="403" t="s">
        <v>933</v>
      </c>
      <c r="H38" s="402" t="s">
        <v>911</v>
      </c>
      <c r="I38" s="364" t="s">
        <v>928</v>
      </c>
      <c r="J38" s="457" t="s">
        <v>929</v>
      </c>
      <c r="K38" s="528">
        <v>46599</v>
      </c>
      <c r="L38" s="334" t="s">
        <v>15</v>
      </c>
      <c r="M38" s="334">
        <v>1</v>
      </c>
      <c r="N38" s="335" t="s">
        <v>927</v>
      </c>
      <c r="O38" s="335" t="s">
        <v>736</v>
      </c>
      <c r="P38" s="335" t="s">
        <v>1258</v>
      </c>
      <c r="Q38" s="334"/>
      <c r="R38" s="334"/>
      <c r="S38" s="335" t="s">
        <v>799</v>
      </c>
      <c r="T38" s="341"/>
      <c r="U38" s="350">
        <f>MONTH(Table2[[#This Row],[Ngày
date]])</f>
        <v>4</v>
      </c>
      <c r="V38" s="379" t="str">
        <f t="shared" si="11"/>
        <v>31/07/2027</v>
      </c>
      <c r="W38" s="380" t="str">
        <f t="shared" si="10"/>
        <v>CHƯA NHẬP NGÀY</v>
      </c>
      <c r="X38" s="496" t="str">
        <f t="shared" si="12"/>
        <v>01/08/2024</v>
      </c>
      <c r="Y38" s="367" t="str">
        <f>HYPERLINK('Danh mục'!$D$1&amp;"20"&amp;MID(D38,8,2)&amp;"\"&amp;D38,D38)</f>
        <v>CC_310425-HN</v>
      </c>
      <c r="Z38" s="370">
        <f>YEAR(Table2[[#This Row],[Ngày
date]])</f>
        <v>2025</v>
      </c>
      <c r="AA38" s="370" t="str">
        <f t="shared" si="13"/>
        <v>HN</v>
      </c>
    </row>
    <row r="39" spans="1:27" s="368" customFormat="1" ht="51" x14ac:dyDescent="0.2">
      <c r="A39" s="401">
        <f>IF(Table2[[#This Row],[Code 
CC- ]]="", "", A38+1)</f>
        <v>36</v>
      </c>
      <c r="B39" s="625" t="s">
        <v>2156</v>
      </c>
      <c r="C39" s="517">
        <v>45762</v>
      </c>
      <c r="D39" s="410" t="s">
        <v>913</v>
      </c>
      <c r="E39" s="591"/>
      <c r="F39" s="412" t="s">
        <v>914</v>
      </c>
      <c r="G39" s="413" t="s">
        <v>926</v>
      </c>
      <c r="H39" s="414" t="s">
        <v>223</v>
      </c>
      <c r="I39" s="378" t="s">
        <v>915</v>
      </c>
      <c r="J39" s="346" t="s">
        <v>13</v>
      </c>
      <c r="K39" s="533">
        <v>46066</v>
      </c>
      <c r="L39" s="343" t="s">
        <v>15</v>
      </c>
      <c r="M39" s="343">
        <v>1</v>
      </c>
      <c r="N39" s="344" t="s">
        <v>932</v>
      </c>
      <c r="O39" s="344" t="s">
        <v>482</v>
      </c>
      <c r="P39" s="344" t="s">
        <v>934</v>
      </c>
      <c r="Q39" s="343"/>
      <c r="R39" s="343"/>
      <c r="S39" s="344" t="s">
        <v>813</v>
      </c>
      <c r="T39" s="345"/>
      <c r="U39" s="345">
        <f>MONTH(Table2[[#This Row],[Ngày
date]])</f>
        <v>4</v>
      </c>
      <c r="V39" s="375" t="str">
        <f t="shared" si="11"/>
        <v>13/02/2026</v>
      </c>
      <c r="W39" s="376" t="str">
        <f t="shared" si="10"/>
        <v>CHƯA NHẬP NGÀY</v>
      </c>
      <c r="X39" s="495" t="str">
        <f t="shared" si="12"/>
        <v>NA</v>
      </c>
      <c r="Y39" s="367" t="str">
        <f>HYPERLINK('Danh mục'!$D$1&amp;"20"&amp;MID(D39,8,2)&amp;"\"&amp;D39,D39)</f>
        <v>CC_320425-HCM</v>
      </c>
      <c r="Z39" s="368">
        <f>YEAR(Table2[[#This Row],[Ngày
date]])</f>
        <v>2025</v>
      </c>
      <c r="AA39" s="368" t="str">
        <f t="shared" si="13"/>
        <v>HCM</v>
      </c>
    </row>
    <row r="40" spans="1:27" s="368" customFormat="1" ht="216.75" x14ac:dyDescent="0.2">
      <c r="A40" s="401">
        <f>IF(Table2[[#This Row],[Code 
CC- ]]="", "", A39+1)</f>
        <v>37</v>
      </c>
      <c r="B40" s="625" t="s">
        <v>2150</v>
      </c>
      <c r="C40" s="517">
        <v>45762</v>
      </c>
      <c r="D40" s="410" t="s">
        <v>912</v>
      </c>
      <c r="E40" s="591"/>
      <c r="F40" s="412" t="s">
        <v>908</v>
      </c>
      <c r="G40" s="405" t="s">
        <v>909</v>
      </c>
      <c r="H40" s="404" t="s">
        <v>924</v>
      </c>
      <c r="I40" s="353" t="s">
        <v>925</v>
      </c>
      <c r="J40" s="450" t="s">
        <v>13</v>
      </c>
      <c r="K40" s="529">
        <v>46508</v>
      </c>
      <c r="L40" s="343" t="s">
        <v>13</v>
      </c>
      <c r="M40" s="343" t="s">
        <v>13</v>
      </c>
      <c r="N40" s="344" t="s">
        <v>935</v>
      </c>
      <c r="O40" s="344" t="s">
        <v>936</v>
      </c>
      <c r="P40" s="344" t="s">
        <v>947</v>
      </c>
      <c r="Q40" s="343"/>
      <c r="R40" s="343"/>
      <c r="S40" s="344" t="s">
        <v>815</v>
      </c>
      <c r="T40" s="345">
        <v>45762</v>
      </c>
      <c r="U40" s="345">
        <f>MONTH(Table2[[#This Row],[Ngày
date]])</f>
        <v>4</v>
      </c>
      <c r="V40" s="375" t="str">
        <f t="shared" ref="V40:V45" si="14">IF(K40="","CHƯA NHẬP NGÀY",TEXT(K40,"dd/mm/yyyy"))</f>
        <v>01/05/2027</v>
      </c>
      <c r="W40" s="376" t="str">
        <f t="shared" ref="W40:W45" si="15">IF(T40="","CHƯA NHẬP NGÀY",TEXT(T40,"dd/mm/yyyy"))</f>
        <v>15/04/2025</v>
      </c>
      <c r="X40" s="495" t="str">
        <f t="shared" si="12"/>
        <v>NA</v>
      </c>
      <c r="Y40" s="367" t="str">
        <f>HYPERLINK('Danh mục'!$D$1&amp;"20"&amp;MID(D40,8,2)&amp;"\"&amp;D40,D40)</f>
        <v>CC_330425-HN</v>
      </c>
      <c r="Z40" s="368">
        <f>YEAR(Table2[[#This Row],[Ngày
date]])</f>
        <v>2025</v>
      </c>
      <c r="AA40" s="368" t="str">
        <f t="shared" si="13"/>
        <v>HN</v>
      </c>
    </row>
    <row r="41" spans="1:27" s="368" customFormat="1" ht="65.849999999999994" customHeight="1" x14ac:dyDescent="0.2">
      <c r="A41" s="401">
        <f>IF(Table2[[#This Row],[Code 
CC- ]]="", "", A40+1)</f>
        <v>38</v>
      </c>
      <c r="B41" s="625" t="s">
        <v>2153</v>
      </c>
      <c r="C41" s="517">
        <v>45762</v>
      </c>
      <c r="D41" s="410" t="s">
        <v>916</v>
      </c>
      <c r="E41" s="591"/>
      <c r="F41" s="412" t="s">
        <v>921</v>
      </c>
      <c r="G41" s="413" t="s">
        <v>922</v>
      </c>
      <c r="H41" s="404" t="s">
        <v>919</v>
      </c>
      <c r="I41" s="353" t="s">
        <v>920</v>
      </c>
      <c r="J41" s="346" t="s">
        <v>13</v>
      </c>
      <c r="K41" s="533">
        <v>46569</v>
      </c>
      <c r="L41" s="343" t="s">
        <v>27</v>
      </c>
      <c r="M41" s="343">
        <v>1</v>
      </c>
      <c r="N41" s="344" t="s">
        <v>923</v>
      </c>
      <c r="O41" s="344" t="s">
        <v>482</v>
      </c>
      <c r="P41" s="344" t="s">
        <v>942</v>
      </c>
      <c r="Q41" s="343"/>
      <c r="R41" s="343"/>
      <c r="S41" s="344" t="s">
        <v>813</v>
      </c>
      <c r="T41" s="345"/>
      <c r="U41" s="345">
        <f>MONTH(Table2[[#This Row],[Ngày
date]])</f>
        <v>4</v>
      </c>
      <c r="V41" s="375" t="str">
        <f t="shared" si="14"/>
        <v>01/07/2027</v>
      </c>
      <c r="W41" s="376" t="str">
        <f t="shared" si="15"/>
        <v>CHƯA NHẬP NGÀY</v>
      </c>
      <c r="X41" s="495" t="str">
        <f t="shared" si="12"/>
        <v>NA</v>
      </c>
      <c r="Y41" s="367" t="str">
        <f>HYPERLINK('Danh mục'!$D$1&amp;"20"&amp;MID(D41,8,2)&amp;"\"&amp;D41,D41)</f>
        <v>CC_340425-HCM</v>
      </c>
      <c r="Z41" s="368">
        <f>YEAR(Table2[[#This Row],[Ngày
date]])</f>
        <v>2025</v>
      </c>
      <c r="AA41" s="368" t="str">
        <f t="shared" si="13"/>
        <v>HCM</v>
      </c>
    </row>
    <row r="42" spans="1:27" s="368" customFormat="1" ht="51" x14ac:dyDescent="0.2">
      <c r="A42" s="401">
        <f>IF(Table2[[#This Row],[Code 
CC- ]]="", "", A41+1)</f>
        <v>39</v>
      </c>
      <c r="B42" s="625" t="s">
        <v>2152</v>
      </c>
      <c r="C42" s="517">
        <v>45764</v>
      </c>
      <c r="D42" s="410" t="s">
        <v>930</v>
      </c>
      <c r="E42" s="591"/>
      <c r="F42" s="412" t="s">
        <v>921</v>
      </c>
      <c r="G42" s="413" t="s">
        <v>922</v>
      </c>
      <c r="H42" s="404" t="s">
        <v>581</v>
      </c>
      <c r="I42" s="353" t="s">
        <v>931</v>
      </c>
      <c r="J42" s="450" t="s">
        <v>13</v>
      </c>
      <c r="K42" s="533">
        <v>46425</v>
      </c>
      <c r="L42" s="343" t="s">
        <v>13</v>
      </c>
      <c r="M42" s="343" t="s">
        <v>13</v>
      </c>
      <c r="N42" s="344" t="s">
        <v>937</v>
      </c>
      <c r="O42" s="344" t="s">
        <v>13</v>
      </c>
      <c r="P42" s="344" t="s">
        <v>962</v>
      </c>
      <c r="Q42" s="343"/>
      <c r="R42" s="343"/>
      <c r="S42" s="344" t="s">
        <v>817</v>
      </c>
      <c r="T42" s="345"/>
      <c r="U42" s="345">
        <f>MONTH(Table2[[#This Row],[Ngày
date]])</f>
        <v>4</v>
      </c>
      <c r="V42" s="375" t="str">
        <f t="shared" si="14"/>
        <v>07/02/2027</v>
      </c>
      <c r="W42" s="376" t="str">
        <f t="shared" si="15"/>
        <v>CHƯA NHẬP NGÀY</v>
      </c>
      <c r="X42" s="495" t="str">
        <f t="shared" si="12"/>
        <v>NA</v>
      </c>
      <c r="Y42" s="367" t="str">
        <f>HYPERLINK('Danh mục'!$D$1&amp;"20"&amp;MID(D42,8,2)&amp;"\"&amp;D42,D42)</f>
        <v>CC_350425-HCM</v>
      </c>
      <c r="Z42" s="368">
        <f>YEAR(Table2[[#This Row],[Ngày
date]])</f>
        <v>2025</v>
      </c>
      <c r="AA42" s="368" t="str">
        <f t="shared" si="13"/>
        <v>HCM</v>
      </c>
    </row>
    <row r="43" spans="1:27" s="368" customFormat="1" ht="75.599999999999994" customHeight="1" x14ac:dyDescent="0.2">
      <c r="A43" s="401">
        <f>IF(Table2[[#This Row],[Code 
CC- ]]="", "", A42+1)</f>
        <v>40</v>
      </c>
      <c r="B43" s="625" t="s">
        <v>2196</v>
      </c>
      <c r="C43" s="517">
        <v>45768</v>
      </c>
      <c r="D43" s="410" t="s">
        <v>938</v>
      </c>
      <c r="E43" s="410"/>
      <c r="F43" s="411" t="s">
        <v>88</v>
      </c>
      <c r="G43" s="411" t="s">
        <v>89</v>
      </c>
      <c r="H43" s="404" t="s">
        <v>939</v>
      </c>
      <c r="I43" s="353" t="s">
        <v>940</v>
      </c>
      <c r="J43" s="450" t="s">
        <v>13</v>
      </c>
      <c r="K43" s="533">
        <v>46568</v>
      </c>
      <c r="L43" s="343" t="s">
        <v>65</v>
      </c>
      <c r="M43" s="343">
        <v>2688</v>
      </c>
      <c r="N43" s="344" t="s">
        <v>1154</v>
      </c>
      <c r="O43" s="344" t="s">
        <v>941</v>
      </c>
      <c r="P43" s="344" t="s">
        <v>1155</v>
      </c>
      <c r="Q43" s="343"/>
      <c r="R43" s="343"/>
      <c r="S43" s="344" t="s">
        <v>816</v>
      </c>
      <c r="T43" s="345"/>
      <c r="U43" s="345">
        <f>MONTH(Table2[[#This Row],[Ngày
date]])</f>
        <v>4</v>
      </c>
      <c r="V43" s="379" t="str">
        <f t="shared" si="14"/>
        <v>30/06/2027</v>
      </c>
      <c r="W43" s="380" t="str">
        <f t="shared" si="15"/>
        <v>CHƯA NHẬP NGÀY</v>
      </c>
      <c r="X43" s="496" t="str">
        <f t="shared" si="12"/>
        <v>NA</v>
      </c>
      <c r="Y43" s="437" t="str">
        <f>HYPERLINK('Danh mục'!$D$1&amp;"20"&amp;MID(D43,8,2)&amp;"\"&amp;D43,D43)</f>
        <v>CC_360425-HCM
NOI BO</v>
      </c>
      <c r="Z43" s="368">
        <f>YEAR(Table2[[#This Row],[Ngày
date]])</f>
        <v>2025</v>
      </c>
      <c r="AA43" s="368" t="str">
        <f t="shared" si="13"/>
        <v>HCM</v>
      </c>
    </row>
    <row r="44" spans="1:27" s="368" customFormat="1" ht="137.85" customHeight="1" x14ac:dyDescent="0.2">
      <c r="A44" s="401">
        <f>IF(Table2[[#This Row],[Code 
CC- ]]="", "", A43+1)</f>
        <v>41</v>
      </c>
      <c r="B44" s="625" t="s">
        <v>2151</v>
      </c>
      <c r="C44" s="517">
        <v>45771</v>
      </c>
      <c r="D44" s="410" t="s">
        <v>943</v>
      </c>
      <c r="E44" s="591"/>
      <c r="F44" s="412" t="s">
        <v>944</v>
      </c>
      <c r="G44" s="412" t="s">
        <v>32</v>
      </c>
      <c r="H44" s="404" t="s">
        <v>945</v>
      </c>
      <c r="I44" s="353" t="s">
        <v>946</v>
      </c>
      <c r="J44" s="450" t="s">
        <v>13</v>
      </c>
      <c r="K44" s="533">
        <v>46265</v>
      </c>
      <c r="L44" s="343" t="s">
        <v>53</v>
      </c>
      <c r="M44" s="343">
        <v>595</v>
      </c>
      <c r="N44" s="344" t="s">
        <v>960</v>
      </c>
      <c r="O44" s="344" t="s">
        <v>482</v>
      </c>
      <c r="P44" s="344" t="s">
        <v>1072</v>
      </c>
      <c r="Q44" s="343" t="s">
        <v>884</v>
      </c>
      <c r="R44" s="343" t="s">
        <v>835</v>
      </c>
      <c r="S44" s="344" t="s">
        <v>798</v>
      </c>
      <c r="T44" s="345"/>
      <c r="U44" s="345">
        <f>MONTH(Table2[[#This Row],[Ngày
date]])</f>
        <v>4</v>
      </c>
      <c r="V44" s="375" t="str">
        <f t="shared" si="14"/>
        <v>31/08/2026</v>
      </c>
      <c r="W44" s="376" t="str">
        <f t="shared" si="15"/>
        <v>CHƯA NHẬP NGÀY</v>
      </c>
      <c r="X44" s="495" t="str">
        <f t="shared" si="12"/>
        <v>NA</v>
      </c>
      <c r="Y44" s="367" t="str">
        <f>HYPERLINK('Danh mục'!$D$1&amp;"20"&amp;MID(D44,8,2)&amp;"\"&amp;D44,D44)</f>
        <v>CC_370425-HCM</v>
      </c>
      <c r="Z44" s="368">
        <f>YEAR(Table2[[#This Row],[Ngày
date]])</f>
        <v>2025</v>
      </c>
      <c r="AA44" s="368" t="str">
        <f t="shared" si="13"/>
        <v>HCM</v>
      </c>
    </row>
    <row r="45" spans="1:27" s="368" customFormat="1" ht="81" customHeight="1" x14ac:dyDescent="0.2">
      <c r="A45" s="401">
        <f>IF(Table2[[#This Row],[Code 
CC- ]]="", "", A44+1)</f>
        <v>42</v>
      </c>
      <c r="B45" s="625" t="s">
        <v>2160</v>
      </c>
      <c r="C45" s="517">
        <v>45782</v>
      </c>
      <c r="D45" s="410" t="s">
        <v>957</v>
      </c>
      <c r="E45" s="591"/>
      <c r="F45" s="412" t="s">
        <v>954</v>
      </c>
      <c r="G45" s="413" t="s">
        <v>956</v>
      </c>
      <c r="H45" s="404" t="s">
        <v>955</v>
      </c>
      <c r="I45" s="353" t="s">
        <v>958</v>
      </c>
      <c r="J45" s="455">
        <v>45638</v>
      </c>
      <c r="K45" s="533">
        <v>46733</v>
      </c>
      <c r="L45" s="343" t="s">
        <v>65</v>
      </c>
      <c r="M45" s="343">
        <v>1</v>
      </c>
      <c r="N45" s="344" t="s">
        <v>959</v>
      </c>
      <c r="O45" s="344" t="s">
        <v>482</v>
      </c>
      <c r="P45" s="344" t="s">
        <v>974</v>
      </c>
      <c r="Q45" s="343"/>
      <c r="R45" s="343"/>
      <c r="S45" s="344" t="s">
        <v>813</v>
      </c>
      <c r="T45" s="345"/>
      <c r="U45" s="345">
        <f>MONTH(Table2[[#This Row],[Ngày
date]])</f>
        <v>5</v>
      </c>
      <c r="V45" s="375" t="str">
        <f t="shared" si="14"/>
        <v>12/12/2027</v>
      </c>
      <c r="W45" s="376" t="str">
        <f t="shared" si="15"/>
        <v>CHƯA NHẬP NGÀY</v>
      </c>
      <c r="X45" s="495" t="str">
        <f t="shared" si="12"/>
        <v>12/12/2024</v>
      </c>
      <c r="Y45" s="367" t="str">
        <f>HYPERLINK('Danh mục'!$D$1&amp;"20"&amp;MID(D45,8,2)&amp;"\"&amp;D45,D45)</f>
        <v>CC_380525-HCM</v>
      </c>
      <c r="Z45" s="368">
        <f>YEAR(Table2[[#This Row],[Ngày
date]])</f>
        <v>2025</v>
      </c>
      <c r="AA45" s="368" t="str">
        <f t="shared" si="13"/>
        <v>HCM</v>
      </c>
    </row>
    <row r="46" spans="1:27" s="368" customFormat="1" ht="38.25" x14ac:dyDescent="0.2">
      <c r="A46" s="401">
        <f>IF(Table2[[#This Row],[Code 
CC- ]]="", "", A45+1)</f>
        <v>43</v>
      </c>
      <c r="B46" s="625" t="s">
        <v>2151</v>
      </c>
      <c r="C46" s="517">
        <v>45785</v>
      </c>
      <c r="D46" s="404" t="s">
        <v>961</v>
      </c>
      <c r="E46" s="590"/>
      <c r="F46" s="408" t="s">
        <v>966</v>
      </c>
      <c r="G46" s="409" t="s">
        <v>424</v>
      </c>
      <c r="H46" s="404" t="s">
        <v>217</v>
      </c>
      <c r="I46" s="353" t="s">
        <v>567</v>
      </c>
      <c r="J46" s="450" t="s">
        <v>13</v>
      </c>
      <c r="K46" s="529">
        <v>46234</v>
      </c>
      <c r="L46" s="336" t="s">
        <v>523</v>
      </c>
      <c r="M46" s="336">
        <v>1</v>
      </c>
      <c r="N46" s="337" t="s">
        <v>967</v>
      </c>
      <c r="O46" s="344" t="s">
        <v>482</v>
      </c>
      <c r="P46" s="337" t="s">
        <v>968</v>
      </c>
      <c r="Q46" s="336" t="s">
        <v>312</v>
      </c>
      <c r="R46" s="336" t="s">
        <v>835</v>
      </c>
      <c r="S46" s="337" t="s">
        <v>798</v>
      </c>
      <c r="T46" s="338"/>
      <c r="U46" s="338">
        <f>MONTH(Table2[[#This Row],[Ngày
date]])</f>
        <v>5</v>
      </c>
      <c r="V46" s="365" t="str">
        <f t="shared" ref="V46:V51" si="16">IF(K46="","CHƯA NHẬP NGÀY",TEXT(K46,"dd/mm/yyyy"))</f>
        <v>31/07/2026</v>
      </c>
      <c r="W46" s="366" t="str">
        <f t="shared" ref="W46:W51" si="17">IF(T46="","CHƯA NHẬP NGÀY",TEXT(T46,"dd/mm/yyyy"))</f>
        <v>CHƯA NHẬP NGÀY</v>
      </c>
      <c r="X46" s="495" t="str">
        <f t="shared" si="12"/>
        <v>NA</v>
      </c>
      <c r="Y46" s="367" t="str">
        <f>HYPERLINK('Danh mục'!$D$1&amp;"20"&amp;MID(D46,8,2)&amp;"\"&amp;D46,D46)</f>
        <v>CC_390525-HCM</v>
      </c>
      <c r="Z46" s="368">
        <f>YEAR(Table2[[#This Row],[Ngày
date]])</f>
        <v>2025</v>
      </c>
      <c r="AA46" s="368" t="str">
        <f t="shared" si="13"/>
        <v>HCM</v>
      </c>
    </row>
    <row r="47" spans="1:27" s="368" customFormat="1" ht="63.75" x14ac:dyDescent="0.2">
      <c r="A47" s="401">
        <f>IF(Table2[[#This Row],[Code 
CC- ]]="", "", A46+1)</f>
        <v>44</v>
      </c>
      <c r="B47" s="625" t="s">
        <v>2162</v>
      </c>
      <c r="C47" s="517">
        <v>45785</v>
      </c>
      <c r="D47" s="410" t="s">
        <v>965</v>
      </c>
      <c r="E47" s="591"/>
      <c r="F47" s="412" t="s">
        <v>47</v>
      </c>
      <c r="G47" s="413" t="s">
        <v>41</v>
      </c>
      <c r="H47" s="404" t="s">
        <v>963</v>
      </c>
      <c r="I47" s="353" t="s">
        <v>964</v>
      </c>
      <c r="J47" s="455">
        <v>45070</v>
      </c>
      <c r="K47" s="533">
        <v>46166</v>
      </c>
      <c r="L47" s="343" t="s">
        <v>65</v>
      </c>
      <c r="M47" s="343">
        <v>1</v>
      </c>
      <c r="N47" s="344" t="s">
        <v>987</v>
      </c>
      <c r="O47" s="344" t="s">
        <v>482</v>
      </c>
      <c r="P47" s="344" t="s">
        <v>1009</v>
      </c>
      <c r="Q47" s="343"/>
      <c r="R47" s="343"/>
      <c r="S47" s="344" t="s">
        <v>813</v>
      </c>
      <c r="T47" s="345">
        <v>45798</v>
      </c>
      <c r="U47" s="345">
        <f>MONTH(Table2[[#This Row],[Ngày
date]])</f>
        <v>5</v>
      </c>
      <c r="V47" s="379" t="str">
        <f t="shared" si="16"/>
        <v>24/05/2026</v>
      </c>
      <c r="W47" s="380" t="str">
        <f t="shared" si="17"/>
        <v>21/05/2025</v>
      </c>
      <c r="X47" s="496" t="str">
        <f t="shared" si="12"/>
        <v>24/05/2023</v>
      </c>
      <c r="Y47" s="367" t="str">
        <f>HYPERLINK('Danh mục'!$D$1&amp;"20"&amp;MID(D47,8,2)&amp;"\"&amp;D47,D47)</f>
        <v>CC_400525-HCM</v>
      </c>
      <c r="Z47" s="368">
        <f>YEAR(Table2[[#This Row],[Ngày
date]])</f>
        <v>2025</v>
      </c>
      <c r="AA47" s="368" t="str">
        <f t="shared" si="13"/>
        <v>HCM</v>
      </c>
    </row>
    <row r="48" spans="1:27" s="368" customFormat="1" ht="140.25" x14ac:dyDescent="0.2">
      <c r="A48" s="401">
        <f>IF(Table2[[#This Row],[Code 
CC- ]]="", "", A47+1)</f>
        <v>45</v>
      </c>
      <c r="B48" s="625" t="s">
        <v>2197</v>
      </c>
      <c r="C48" s="517">
        <v>45791</v>
      </c>
      <c r="D48" s="410" t="s">
        <v>969</v>
      </c>
      <c r="E48" s="591"/>
      <c r="F48" s="412" t="s">
        <v>984</v>
      </c>
      <c r="G48" s="413" t="s">
        <v>971</v>
      </c>
      <c r="H48" s="404" t="s">
        <v>972</v>
      </c>
      <c r="I48" s="378" t="s">
        <v>973</v>
      </c>
      <c r="J48" s="346" t="s">
        <v>13</v>
      </c>
      <c r="K48" s="533">
        <v>46265</v>
      </c>
      <c r="L48" s="343" t="s">
        <v>65</v>
      </c>
      <c r="M48" s="343">
        <v>1</v>
      </c>
      <c r="N48" s="344" t="s">
        <v>970</v>
      </c>
      <c r="O48" s="344" t="s">
        <v>482</v>
      </c>
      <c r="P48" s="344" t="s">
        <v>1018</v>
      </c>
      <c r="Q48" s="343"/>
      <c r="R48" s="343"/>
      <c r="S48" s="344" t="s">
        <v>799</v>
      </c>
      <c r="T48" s="345"/>
      <c r="U48" s="345">
        <f>MONTH(Table2[[#This Row],[Ngày
date]])</f>
        <v>5</v>
      </c>
      <c r="V48" s="375" t="str">
        <f t="shared" si="16"/>
        <v>31/08/2026</v>
      </c>
      <c r="W48" s="376" t="str">
        <f t="shared" si="17"/>
        <v>CHƯA NHẬP NGÀY</v>
      </c>
      <c r="X48" s="495" t="str">
        <f t="shared" si="12"/>
        <v>NA</v>
      </c>
      <c r="Y48" s="367" t="str">
        <f>HYPERLINK('Danh mục'!$D$1&amp;"20"&amp;MID(D48,8,2)&amp;"\"&amp;D48,D48)</f>
        <v>CC_410525-HCM</v>
      </c>
      <c r="Z48" s="368">
        <f>YEAR(Table2[[#This Row],[Ngày
date]])</f>
        <v>2025</v>
      </c>
      <c r="AA48" s="368" t="str">
        <f t="shared" si="13"/>
        <v>HCM</v>
      </c>
    </row>
    <row r="49" spans="1:27" s="368" customFormat="1" ht="85.35" customHeight="1" x14ac:dyDescent="0.2">
      <c r="A49" s="401">
        <f>IF(Table2[[#This Row],[Code 
CC- ]]="", "", A48+1)</f>
        <v>46</v>
      </c>
      <c r="B49" s="625" t="s">
        <v>2152</v>
      </c>
      <c r="C49" s="517">
        <v>45792</v>
      </c>
      <c r="D49" s="410" t="s">
        <v>975</v>
      </c>
      <c r="E49" s="591"/>
      <c r="F49" s="418" t="s">
        <v>976</v>
      </c>
      <c r="G49" s="413" t="s">
        <v>977</v>
      </c>
      <c r="H49" s="404" t="s">
        <v>581</v>
      </c>
      <c r="I49" s="353" t="s">
        <v>827</v>
      </c>
      <c r="J49" s="450" t="s">
        <v>13</v>
      </c>
      <c r="K49" s="529">
        <v>46542</v>
      </c>
      <c r="L49" s="336" t="s">
        <v>33</v>
      </c>
      <c r="M49" s="336">
        <v>3</v>
      </c>
      <c r="N49" s="344" t="s">
        <v>978</v>
      </c>
      <c r="O49" s="344" t="s">
        <v>988</v>
      </c>
      <c r="P49" s="344" t="s">
        <v>1005</v>
      </c>
      <c r="Q49" s="343"/>
      <c r="R49" s="343"/>
      <c r="S49" s="344" t="s">
        <v>817</v>
      </c>
      <c r="T49" s="345"/>
      <c r="U49" s="345">
        <f>MONTH(Table2[[#This Row],[Ngày
date]])</f>
        <v>5</v>
      </c>
      <c r="V49" s="375" t="str">
        <f t="shared" si="16"/>
        <v>04/06/2027</v>
      </c>
      <c r="W49" s="376" t="str">
        <f t="shared" si="17"/>
        <v>CHƯA NHẬP NGÀY</v>
      </c>
      <c r="X49" s="495" t="str">
        <f t="shared" si="12"/>
        <v>NA</v>
      </c>
      <c r="Y49" s="367" t="str">
        <f>HYPERLINK('Danh mục'!$D$1&amp;"20"&amp;MID(D49,8,2)&amp;"\"&amp;D49,D49)</f>
        <v>CC_420525-HCM</v>
      </c>
      <c r="Z49" s="368">
        <f>YEAR(Table2[[#This Row],[Ngày
date]])</f>
        <v>2025</v>
      </c>
      <c r="AA49" s="368" t="str">
        <f t="shared" si="13"/>
        <v>HCM</v>
      </c>
    </row>
    <row r="50" spans="1:27" s="368" customFormat="1" ht="153" x14ac:dyDescent="0.2">
      <c r="A50" s="401">
        <f>IF(Table2[[#This Row],[Code 
CC- ]]="", "", A49+1)</f>
        <v>47</v>
      </c>
      <c r="B50" s="625" t="s">
        <v>2158</v>
      </c>
      <c r="C50" s="517">
        <v>45792</v>
      </c>
      <c r="D50" s="410" t="s">
        <v>979</v>
      </c>
      <c r="E50" s="591"/>
      <c r="F50" s="418" t="s">
        <v>980</v>
      </c>
      <c r="G50" s="413" t="s">
        <v>982</v>
      </c>
      <c r="H50" s="404" t="s">
        <v>981</v>
      </c>
      <c r="I50" s="351" t="s">
        <v>13</v>
      </c>
      <c r="J50" s="458" t="s">
        <v>13</v>
      </c>
      <c r="K50" s="529" t="s">
        <v>13</v>
      </c>
      <c r="L50" s="351" t="s">
        <v>13</v>
      </c>
      <c r="M50" s="351" t="s">
        <v>13</v>
      </c>
      <c r="N50" s="344" t="s">
        <v>983</v>
      </c>
      <c r="O50" s="344" t="s">
        <v>482</v>
      </c>
      <c r="P50" s="344" t="s">
        <v>1008</v>
      </c>
      <c r="Q50" s="343"/>
      <c r="R50" s="343"/>
      <c r="S50" s="344" t="s">
        <v>799</v>
      </c>
      <c r="T50" s="345"/>
      <c r="U50" s="345">
        <f>MONTH(Table2[[#This Row],[Ngày
date]])</f>
        <v>5</v>
      </c>
      <c r="V50" s="375" t="str">
        <f t="shared" si="16"/>
        <v>NA</v>
      </c>
      <c r="W50" s="376" t="str">
        <f t="shared" si="17"/>
        <v>CHƯA NHẬP NGÀY</v>
      </c>
      <c r="X50" s="495" t="str">
        <f t="shared" si="12"/>
        <v>NA</v>
      </c>
      <c r="Y50" s="367" t="str">
        <f>HYPERLINK('Danh mục'!$D$1&amp;"20"&amp;MID(D50,8,2)&amp;"\"&amp;D50,D50)</f>
        <v>CC_430525-HCM</v>
      </c>
      <c r="Z50" s="368">
        <f>YEAR(Table2[[#This Row],[Ngày
date]])</f>
        <v>2025</v>
      </c>
      <c r="AA50" s="368" t="str">
        <f t="shared" si="13"/>
        <v>HCM</v>
      </c>
    </row>
    <row r="51" spans="1:27" s="368" customFormat="1" ht="63.75" x14ac:dyDescent="0.2">
      <c r="A51" s="401">
        <f>IF(Table2[[#This Row],[Code 
CC- ]]="", "", A50+1)</f>
        <v>48</v>
      </c>
      <c r="B51" s="625" t="s">
        <v>2162</v>
      </c>
      <c r="C51" s="517">
        <v>45797</v>
      </c>
      <c r="D51" s="410" t="s">
        <v>986</v>
      </c>
      <c r="E51" s="591"/>
      <c r="F51" s="412" t="s">
        <v>1085</v>
      </c>
      <c r="G51" s="413" t="s">
        <v>1043</v>
      </c>
      <c r="H51" s="404" t="s">
        <v>985</v>
      </c>
      <c r="I51" s="353" t="s">
        <v>995</v>
      </c>
      <c r="J51" s="455">
        <v>45008</v>
      </c>
      <c r="K51" s="533">
        <v>46104</v>
      </c>
      <c r="L51" s="343" t="s">
        <v>65</v>
      </c>
      <c r="M51" s="343">
        <v>80</v>
      </c>
      <c r="N51" s="344" t="s">
        <v>999</v>
      </c>
      <c r="O51" s="344" t="s">
        <v>482</v>
      </c>
      <c r="P51" s="344" t="s">
        <v>1081</v>
      </c>
      <c r="Q51" s="343"/>
      <c r="R51" s="343"/>
      <c r="S51" s="344" t="s">
        <v>813</v>
      </c>
      <c r="T51" s="345"/>
      <c r="U51" s="345">
        <f>MONTH(Table2[[#This Row],[Ngày
date]])</f>
        <v>5</v>
      </c>
      <c r="V51" s="375" t="str">
        <f t="shared" si="16"/>
        <v>23/03/2026</v>
      </c>
      <c r="W51" s="376" t="str">
        <f t="shared" si="17"/>
        <v>CHƯA NHẬP NGÀY</v>
      </c>
      <c r="X51" s="495" t="str">
        <f t="shared" si="12"/>
        <v>23/03/2023</v>
      </c>
      <c r="Y51" s="367" t="str">
        <f>HYPERLINK('Danh mục'!$D$1&amp;"20"&amp;MID(D51,8,2)&amp;"\"&amp;D51,D51)</f>
        <v>CC_440525-ĐN</v>
      </c>
      <c r="Z51" s="368">
        <f>YEAR(Table2[[#This Row],[Ngày
date]])</f>
        <v>2025</v>
      </c>
      <c r="AA51" s="368" t="str">
        <f t="shared" si="13"/>
        <v>ĐN</v>
      </c>
    </row>
    <row r="52" spans="1:27" s="368" customFormat="1" ht="63.75" x14ac:dyDescent="0.2">
      <c r="A52" s="401">
        <f>IF(Table2[[#This Row],[Code 
CC- ]]="", "", A51+1)</f>
        <v>49</v>
      </c>
      <c r="B52" s="625" t="s">
        <v>2162</v>
      </c>
      <c r="C52" s="517">
        <v>45797</v>
      </c>
      <c r="D52" s="410" t="s">
        <v>986</v>
      </c>
      <c r="E52" s="591"/>
      <c r="F52" s="412" t="s">
        <v>1085</v>
      </c>
      <c r="G52" s="413" t="s">
        <v>1043</v>
      </c>
      <c r="H52" s="404" t="s">
        <v>985</v>
      </c>
      <c r="I52" s="377" t="s">
        <v>996</v>
      </c>
      <c r="J52" s="456">
        <v>45138</v>
      </c>
      <c r="K52" s="529">
        <v>46234</v>
      </c>
      <c r="L52" s="343" t="s">
        <v>65</v>
      </c>
      <c r="M52" s="336">
        <v>6</v>
      </c>
      <c r="N52" s="344" t="s">
        <v>999</v>
      </c>
      <c r="O52" s="344" t="s">
        <v>482</v>
      </c>
      <c r="P52" s="344" t="s">
        <v>1081</v>
      </c>
      <c r="Q52" s="336"/>
      <c r="R52" s="336"/>
      <c r="S52" s="337" t="s">
        <v>813</v>
      </c>
      <c r="T52" s="338"/>
      <c r="U52" s="338">
        <f>MONTH(Table2[[#This Row],[Ngày
date]])</f>
        <v>5</v>
      </c>
      <c r="V52" s="365" t="str">
        <f t="shared" ref="V52:V57" si="18">IF(K52="","CHƯA NHẬP NGÀY",TEXT(K52,"dd/mm/yyyy"))</f>
        <v>31/07/2026</v>
      </c>
      <c r="W52" s="366" t="str">
        <f t="shared" ref="W52:W57" si="19">IF(T52="","CHƯA NHẬP NGÀY",TEXT(T52,"dd/mm/yyyy"))</f>
        <v>CHƯA NHẬP NGÀY</v>
      </c>
      <c r="X52" s="495" t="str">
        <f t="shared" si="12"/>
        <v>31/07/2023</v>
      </c>
      <c r="Y52" s="367" t="str">
        <f>HYPERLINK('Danh mục'!$D$1&amp;"20"&amp;MID(D52,8,2)&amp;"\"&amp;D52,D52)</f>
        <v>CC_440525-ĐN</v>
      </c>
      <c r="Z52" s="368">
        <f>YEAR(Table2[[#This Row],[Ngày
date]])</f>
        <v>2025</v>
      </c>
      <c r="AA52" s="368" t="str">
        <f t="shared" si="13"/>
        <v>ĐN</v>
      </c>
    </row>
    <row r="53" spans="1:27" s="368" customFormat="1" ht="63.75" x14ac:dyDescent="0.2">
      <c r="A53" s="401">
        <f>IF(Table2[[#This Row],[Code 
CC- ]]="", "", A52+1)</f>
        <v>50</v>
      </c>
      <c r="B53" s="625" t="s">
        <v>2162</v>
      </c>
      <c r="C53" s="517">
        <v>45797</v>
      </c>
      <c r="D53" s="410" t="s">
        <v>986</v>
      </c>
      <c r="E53" s="591"/>
      <c r="F53" s="412" t="s">
        <v>1085</v>
      </c>
      <c r="G53" s="413" t="s">
        <v>1043</v>
      </c>
      <c r="H53" s="404" t="s">
        <v>985</v>
      </c>
      <c r="I53" s="377" t="s">
        <v>997</v>
      </c>
      <c r="J53" s="456">
        <v>44883</v>
      </c>
      <c r="K53" s="529">
        <v>45979</v>
      </c>
      <c r="L53" s="343" t="s">
        <v>65</v>
      </c>
      <c r="M53" s="336">
        <v>31</v>
      </c>
      <c r="N53" s="344" t="s">
        <v>999</v>
      </c>
      <c r="O53" s="344" t="s">
        <v>482</v>
      </c>
      <c r="P53" s="344" t="s">
        <v>1081</v>
      </c>
      <c r="Q53" s="336"/>
      <c r="R53" s="336"/>
      <c r="S53" s="337" t="s">
        <v>813</v>
      </c>
      <c r="T53" s="338"/>
      <c r="U53" s="338">
        <f>MONTH(Table2[[#This Row],[Ngày
date]])</f>
        <v>5</v>
      </c>
      <c r="V53" s="365" t="str">
        <f t="shared" si="18"/>
        <v>18/11/2025</v>
      </c>
      <c r="W53" s="366" t="str">
        <f t="shared" si="19"/>
        <v>CHƯA NHẬP NGÀY</v>
      </c>
      <c r="X53" s="495" t="str">
        <f t="shared" si="12"/>
        <v>18/11/2022</v>
      </c>
      <c r="Y53" s="367" t="str">
        <f>HYPERLINK('Danh mục'!$D$1&amp;"20"&amp;MID(D53,8,2)&amp;"\"&amp;D53,D53)</f>
        <v>CC_440525-ĐN</v>
      </c>
      <c r="Z53" s="368">
        <f>YEAR(Table2[[#This Row],[Ngày
date]])</f>
        <v>2025</v>
      </c>
      <c r="AA53" s="368" t="str">
        <f t="shared" si="13"/>
        <v>ĐN</v>
      </c>
    </row>
    <row r="54" spans="1:27" s="368" customFormat="1" ht="63.75" x14ac:dyDescent="0.2">
      <c r="A54" s="401">
        <f>IF(Table2[[#This Row],[Code 
CC- ]]="", "", A53+1)</f>
        <v>51</v>
      </c>
      <c r="B54" s="625" t="s">
        <v>2162</v>
      </c>
      <c r="C54" s="517">
        <v>45797</v>
      </c>
      <c r="D54" s="410" t="s">
        <v>986</v>
      </c>
      <c r="E54" s="591"/>
      <c r="F54" s="412" t="s">
        <v>1085</v>
      </c>
      <c r="G54" s="413" t="s">
        <v>1043</v>
      </c>
      <c r="H54" s="404" t="s">
        <v>985</v>
      </c>
      <c r="I54" s="377" t="s">
        <v>998</v>
      </c>
      <c r="J54" s="456">
        <v>44930</v>
      </c>
      <c r="K54" s="529">
        <v>46026</v>
      </c>
      <c r="L54" s="343" t="s">
        <v>65</v>
      </c>
      <c r="M54" s="336">
        <v>38</v>
      </c>
      <c r="N54" s="344" t="s">
        <v>999</v>
      </c>
      <c r="O54" s="344" t="s">
        <v>482</v>
      </c>
      <c r="P54" s="344" t="s">
        <v>1081</v>
      </c>
      <c r="Q54" s="336"/>
      <c r="R54" s="336"/>
      <c r="S54" s="337" t="s">
        <v>813</v>
      </c>
      <c r="T54" s="338"/>
      <c r="U54" s="338">
        <f>MONTH(Table2[[#This Row],[Ngày
date]])</f>
        <v>5</v>
      </c>
      <c r="V54" s="365" t="str">
        <f t="shared" si="18"/>
        <v>04/01/2026</v>
      </c>
      <c r="W54" s="366" t="str">
        <f t="shared" si="19"/>
        <v>CHƯA NHẬP NGÀY</v>
      </c>
      <c r="X54" s="495" t="str">
        <f t="shared" si="12"/>
        <v>04/01/2023</v>
      </c>
      <c r="Y54" s="367" t="str">
        <f>HYPERLINK('Danh mục'!$D$1&amp;"20"&amp;MID(D54,8,2)&amp;"\"&amp;D54,D54)</f>
        <v>CC_440525-ĐN</v>
      </c>
      <c r="Z54" s="368">
        <f>YEAR(Table2[[#This Row],[Ngày
date]])</f>
        <v>2025</v>
      </c>
      <c r="AA54" s="368" t="str">
        <f t="shared" si="13"/>
        <v>ĐN</v>
      </c>
    </row>
    <row r="55" spans="1:27" s="368" customFormat="1" ht="45" customHeight="1" x14ac:dyDescent="0.2">
      <c r="A55" s="401">
        <f>IF(Table2[[#This Row],[Code 
CC- ]]="", "", A54+1)</f>
        <v>52</v>
      </c>
      <c r="B55" s="625" t="s">
        <v>2156</v>
      </c>
      <c r="C55" s="517">
        <v>45799</v>
      </c>
      <c r="D55" s="410" t="s">
        <v>990</v>
      </c>
      <c r="E55" s="591"/>
      <c r="F55" s="416" t="s">
        <v>991</v>
      </c>
      <c r="G55" s="417" t="s">
        <v>222</v>
      </c>
      <c r="H55" s="404" t="s">
        <v>992</v>
      </c>
      <c r="I55" s="353" t="s">
        <v>993</v>
      </c>
      <c r="J55" s="455">
        <v>45498</v>
      </c>
      <c r="K55" s="533">
        <v>46228</v>
      </c>
      <c r="L55" s="343" t="s">
        <v>65</v>
      </c>
      <c r="M55" s="343">
        <v>1</v>
      </c>
      <c r="N55" s="344" t="s">
        <v>994</v>
      </c>
      <c r="O55" s="344" t="s">
        <v>1743</v>
      </c>
      <c r="P55" s="344" t="s">
        <v>1902</v>
      </c>
      <c r="Q55" s="343"/>
      <c r="R55" s="343"/>
      <c r="S55" s="344" t="s">
        <v>813</v>
      </c>
      <c r="T55" s="345"/>
      <c r="U55" s="345">
        <f>MONTH(Table2[[#This Row],[Ngày
date]])</f>
        <v>5</v>
      </c>
      <c r="V55" s="375" t="str">
        <f t="shared" si="18"/>
        <v>25/07/2026</v>
      </c>
      <c r="W55" s="376" t="str">
        <f t="shared" si="19"/>
        <v>CHƯA NHẬP NGÀY</v>
      </c>
      <c r="X55" s="495" t="str">
        <f t="shared" si="12"/>
        <v>25/07/2024</v>
      </c>
      <c r="Y55" s="367" t="str">
        <f>HYPERLINK('Danh mục'!$D$1&amp;"20"&amp;MID(D55,8,2)&amp;"\"&amp;D55,D55)</f>
        <v>CC_450525-HCM</v>
      </c>
      <c r="Z55" s="368">
        <f>YEAR(Table2[[#This Row],[Ngày
date]])</f>
        <v>2025</v>
      </c>
      <c r="AA55" s="368" t="str">
        <f t="shared" si="13"/>
        <v>HCM</v>
      </c>
    </row>
    <row r="56" spans="1:27" s="368" customFormat="1" ht="51" x14ac:dyDescent="0.2">
      <c r="A56" s="401">
        <f>IF(Table2[[#This Row],[Code 
CC- ]]="", "", A55+1)</f>
        <v>53</v>
      </c>
      <c r="B56" s="625" t="s">
        <v>2151</v>
      </c>
      <c r="C56" s="517">
        <v>45799</v>
      </c>
      <c r="D56" s="410" t="s">
        <v>1000</v>
      </c>
      <c r="E56" s="591"/>
      <c r="F56" s="416" t="s">
        <v>991</v>
      </c>
      <c r="G56" s="417" t="s">
        <v>222</v>
      </c>
      <c r="H56" s="404" t="s">
        <v>1001</v>
      </c>
      <c r="I56" s="353" t="s">
        <v>1002</v>
      </c>
      <c r="J56" s="455">
        <v>45679</v>
      </c>
      <c r="K56" s="533">
        <v>46774</v>
      </c>
      <c r="L56" s="343" t="s">
        <v>13</v>
      </c>
      <c r="M56" s="343" t="s">
        <v>13</v>
      </c>
      <c r="N56" s="344" t="s">
        <v>1003</v>
      </c>
      <c r="O56" s="344" t="s">
        <v>482</v>
      </c>
      <c r="P56" s="344" t="s">
        <v>1004</v>
      </c>
      <c r="Q56" s="343"/>
      <c r="R56" s="343"/>
      <c r="S56" s="344" t="s">
        <v>815</v>
      </c>
      <c r="T56" s="345"/>
      <c r="U56" s="345">
        <f>MONTH(Table2[[#This Row],[Ngày
date]])</f>
        <v>5</v>
      </c>
      <c r="V56" s="375" t="str">
        <f t="shared" si="18"/>
        <v>22/01/2028</v>
      </c>
      <c r="W56" s="376" t="str">
        <f t="shared" si="19"/>
        <v>CHƯA NHẬP NGÀY</v>
      </c>
      <c r="X56" s="495" t="str">
        <f t="shared" si="12"/>
        <v>22/01/2025</v>
      </c>
      <c r="Y56" s="367" t="str">
        <f>HYPERLINK('Danh mục'!$D$1&amp;"20"&amp;MID(D56,8,2)&amp;"\"&amp;D56,D56)</f>
        <v>CC_460525-HCM</v>
      </c>
      <c r="Z56" s="368">
        <f>YEAR(Table2[[#This Row],[Ngày
date]])</f>
        <v>2025</v>
      </c>
      <c r="AA56" s="368" t="str">
        <f t="shared" si="13"/>
        <v>HCM</v>
      </c>
    </row>
    <row r="57" spans="1:27" s="368" customFormat="1" ht="62.85" customHeight="1" x14ac:dyDescent="0.2">
      <c r="A57" s="401">
        <f>IF(Table2[[#This Row],[Code 
CC- ]]="", "", A56+1)</f>
        <v>54</v>
      </c>
      <c r="B57" s="625" t="s">
        <v>2153</v>
      </c>
      <c r="C57" s="517">
        <v>45803</v>
      </c>
      <c r="D57" s="410" t="s">
        <v>1016</v>
      </c>
      <c r="E57" s="591"/>
      <c r="F57" s="416" t="s">
        <v>1006</v>
      </c>
      <c r="G57" s="417" t="s">
        <v>1010</v>
      </c>
      <c r="H57" s="404" t="s">
        <v>876</v>
      </c>
      <c r="I57" s="353" t="s">
        <v>1017</v>
      </c>
      <c r="J57" s="346" t="s">
        <v>13</v>
      </c>
      <c r="K57" s="533" t="s">
        <v>13</v>
      </c>
      <c r="L57" s="343" t="s">
        <v>523</v>
      </c>
      <c r="M57" s="343">
        <v>1</v>
      </c>
      <c r="N57" s="344" t="s">
        <v>1007</v>
      </c>
      <c r="O57" s="344" t="s">
        <v>13</v>
      </c>
      <c r="P57" s="344" t="s">
        <v>1015</v>
      </c>
      <c r="Q57" s="343"/>
      <c r="R57" s="343"/>
      <c r="S57" s="344" t="s">
        <v>817</v>
      </c>
      <c r="T57" s="345"/>
      <c r="U57" s="345">
        <f>MONTH(Table2[[#This Row],[Ngày
date]])</f>
        <v>5</v>
      </c>
      <c r="V57" s="375" t="str">
        <f t="shared" si="18"/>
        <v>NA</v>
      </c>
      <c r="W57" s="376" t="str">
        <f t="shared" si="19"/>
        <v>CHƯA NHẬP NGÀY</v>
      </c>
      <c r="X57" s="495" t="str">
        <f t="shared" si="12"/>
        <v>NA</v>
      </c>
      <c r="Y57" s="367" t="str">
        <f>HYPERLINK('Danh mục'!$D$1&amp;"20"&amp;MID(D57,8,2)&amp;"\"&amp;D57,D57)</f>
        <v>CC_470525-HCM
HUY</v>
      </c>
      <c r="Z57" s="368">
        <f>YEAR(Table2[[#This Row],[Ngày
date]])</f>
        <v>2025</v>
      </c>
      <c r="AA57" s="368" t="str">
        <f t="shared" si="13"/>
        <v>HCM</v>
      </c>
    </row>
    <row r="58" spans="1:27" s="368" customFormat="1" ht="63.75" x14ac:dyDescent="0.2">
      <c r="A58" s="401">
        <f>IF(Table2[[#This Row],[Code 
CC- ]]="", "", A57+1)</f>
        <v>55</v>
      </c>
      <c r="B58" s="625" t="s">
        <v>2163</v>
      </c>
      <c r="C58" s="517">
        <v>45805</v>
      </c>
      <c r="D58" s="410" t="s">
        <v>1011</v>
      </c>
      <c r="E58" s="591"/>
      <c r="F58" s="416" t="s">
        <v>47</v>
      </c>
      <c r="G58" s="417" t="s">
        <v>41</v>
      </c>
      <c r="H58" s="404" t="s">
        <v>1012</v>
      </c>
      <c r="I58" s="371" t="s">
        <v>1013</v>
      </c>
      <c r="J58" s="455">
        <v>45428</v>
      </c>
      <c r="K58" s="533">
        <v>46523</v>
      </c>
      <c r="L58" s="343" t="s">
        <v>65</v>
      </c>
      <c r="M58" s="343">
        <v>1</v>
      </c>
      <c r="N58" s="344" t="s">
        <v>1014</v>
      </c>
      <c r="O58" s="344" t="s">
        <v>1053</v>
      </c>
      <c r="P58" s="344" t="s">
        <v>1073</v>
      </c>
      <c r="Q58" s="343"/>
      <c r="R58" s="343"/>
      <c r="S58" s="344" t="s">
        <v>817</v>
      </c>
      <c r="T58" s="345"/>
      <c r="U58" s="345">
        <f>MONTH(Table2[[#This Row],[Ngày
date]])</f>
        <v>5</v>
      </c>
      <c r="V58" s="375" t="str">
        <f t="shared" ref="V58:V63" si="20">IF(K58="","CHƯA NHẬP NGÀY",TEXT(K58,"dd/mm/yyyy"))</f>
        <v>16/05/2027</v>
      </c>
      <c r="W58" s="376" t="str">
        <f t="shared" ref="W58:W63" si="21">IF(T58="","CHƯA NHẬP NGÀY",TEXT(T58,"dd/mm/yyyy"))</f>
        <v>CHƯA NHẬP NGÀY</v>
      </c>
      <c r="X58" s="495" t="str">
        <f t="shared" si="12"/>
        <v>16/05/2024</v>
      </c>
      <c r="Y58" s="367" t="str">
        <f>HYPERLINK('Danh mục'!$D$1&amp;"20"&amp;MID(D58,8,2)&amp;"\"&amp;D58,D58)</f>
        <v>CC_480525-HCM</v>
      </c>
      <c r="Z58" s="368">
        <f>YEAR(Table2[[#This Row],[Ngày
date]])</f>
        <v>2025</v>
      </c>
      <c r="AA58" s="368" t="str">
        <f t="shared" si="13"/>
        <v>HCM</v>
      </c>
    </row>
    <row r="59" spans="1:27" s="368" customFormat="1" ht="54" customHeight="1" x14ac:dyDescent="0.2">
      <c r="A59" s="401">
        <f>IF(Table2[[#This Row],[Code 
CC- ]]="", "", A58+1)</f>
        <v>56</v>
      </c>
      <c r="B59" s="625" t="s">
        <v>2151</v>
      </c>
      <c r="C59" s="517">
        <v>45807</v>
      </c>
      <c r="D59" s="410" t="s">
        <v>1019</v>
      </c>
      <c r="E59" s="591"/>
      <c r="F59" s="416" t="s">
        <v>954</v>
      </c>
      <c r="G59" s="417" t="s">
        <v>956</v>
      </c>
      <c r="H59" s="404" t="s">
        <v>1024</v>
      </c>
      <c r="I59" s="353" t="s">
        <v>1025</v>
      </c>
      <c r="J59" s="455">
        <v>45064</v>
      </c>
      <c r="K59" s="533">
        <v>46142</v>
      </c>
      <c r="L59" s="343" t="s">
        <v>65</v>
      </c>
      <c r="M59" s="343">
        <v>2</v>
      </c>
      <c r="N59" s="344" t="s">
        <v>1026</v>
      </c>
      <c r="O59" s="344" t="s">
        <v>482</v>
      </c>
      <c r="P59" s="344" t="s">
        <v>1054</v>
      </c>
      <c r="Q59" s="343" t="s">
        <v>884</v>
      </c>
      <c r="R59" s="343" t="s">
        <v>835</v>
      </c>
      <c r="S59" s="344" t="s">
        <v>798</v>
      </c>
      <c r="T59" s="345"/>
      <c r="U59" s="345">
        <f>MONTH(Table2[[#This Row],[Ngày
date]])</f>
        <v>5</v>
      </c>
      <c r="V59" s="375" t="str">
        <f t="shared" si="20"/>
        <v>30/04/2026</v>
      </c>
      <c r="W59" s="376" t="str">
        <f t="shared" si="21"/>
        <v>CHƯA NHẬP NGÀY</v>
      </c>
      <c r="X59" s="495" t="str">
        <f t="shared" si="12"/>
        <v>18/05/2023</v>
      </c>
      <c r="Y59" s="367" t="str">
        <f>HYPERLINK('Danh mục'!$D$1&amp;"20"&amp;MID(D59,8,2)&amp;"\"&amp;D59,D59)</f>
        <v>CC_490525-HCM</v>
      </c>
      <c r="Z59" s="368">
        <f>YEAR(Table2[[#This Row],[Ngày
date]])</f>
        <v>2025</v>
      </c>
      <c r="AA59" s="368" t="str">
        <f t="shared" si="13"/>
        <v>HCM</v>
      </c>
    </row>
    <row r="60" spans="1:27" s="368" customFormat="1" ht="54" customHeight="1" x14ac:dyDescent="0.2">
      <c r="A60" s="401">
        <f>IF(Table2[[#This Row],[Code 
CC- ]]="", "", A59+1)</f>
        <v>57</v>
      </c>
      <c r="B60" s="625" t="s">
        <v>2151</v>
      </c>
      <c r="C60" s="517">
        <v>45807</v>
      </c>
      <c r="D60" s="410" t="s">
        <v>1020</v>
      </c>
      <c r="E60" s="591"/>
      <c r="F60" s="416" t="s">
        <v>954</v>
      </c>
      <c r="G60" s="417" t="s">
        <v>956</v>
      </c>
      <c r="H60" s="404" t="s">
        <v>1027</v>
      </c>
      <c r="I60" s="353" t="s">
        <v>626</v>
      </c>
      <c r="J60" s="455">
        <v>45058</v>
      </c>
      <c r="K60" s="533">
        <v>46142</v>
      </c>
      <c r="L60" s="343" t="s">
        <v>65</v>
      </c>
      <c r="M60" s="343">
        <v>1</v>
      </c>
      <c r="N60" s="352" t="s">
        <v>1028</v>
      </c>
      <c r="O60" s="344" t="s">
        <v>482</v>
      </c>
      <c r="P60" s="344" t="s">
        <v>1054</v>
      </c>
      <c r="Q60" s="343" t="s">
        <v>884</v>
      </c>
      <c r="R60" s="343" t="s">
        <v>835</v>
      </c>
      <c r="S60" s="344" t="s">
        <v>798</v>
      </c>
      <c r="T60" s="345">
        <v>45839</v>
      </c>
      <c r="U60" s="345">
        <f>MONTH(Table2[[#This Row],[Ngày
date]])</f>
        <v>5</v>
      </c>
      <c r="V60" s="375" t="str">
        <f t="shared" si="20"/>
        <v>30/04/2026</v>
      </c>
      <c r="W60" s="376" t="str">
        <f t="shared" si="21"/>
        <v>01/07/2025</v>
      </c>
      <c r="X60" s="495" t="str">
        <f t="shared" si="12"/>
        <v>12/05/2023</v>
      </c>
      <c r="Y60" s="367" t="str">
        <f>HYPERLINK('Danh mục'!$D$1&amp;"20"&amp;MID(D60,8,2)&amp;"\"&amp;D60,D60)</f>
        <v>CC_500525-HCM</v>
      </c>
      <c r="Z60" s="368">
        <f>YEAR(Table2[[#This Row],[Ngày
date]])</f>
        <v>2025</v>
      </c>
      <c r="AA60" s="368" t="str">
        <f t="shared" si="13"/>
        <v>HCM</v>
      </c>
    </row>
    <row r="61" spans="1:27" s="368" customFormat="1" ht="53.1" customHeight="1" x14ac:dyDescent="0.2">
      <c r="A61" s="401">
        <f>IF(Table2[[#This Row],[Code 
CC- ]]="", "", A60+1)</f>
        <v>58</v>
      </c>
      <c r="B61" s="625" t="s">
        <v>2151</v>
      </c>
      <c r="C61" s="517">
        <v>45807</v>
      </c>
      <c r="D61" s="410" t="s">
        <v>1021</v>
      </c>
      <c r="E61" s="591"/>
      <c r="F61" s="416" t="s">
        <v>954</v>
      </c>
      <c r="G61" s="417" t="s">
        <v>956</v>
      </c>
      <c r="H61" s="404" t="s">
        <v>1027</v>
      </c>
      <c r="I61" s="353" t="s">
        <v>903</v>
      </c>
      <c r="J61" s="455">
        <v>45208</v>
      </c>
      <c r="K61" s="533">
        <v>46295</v>
      </c>
      <c r="L61" s="343" t="s">
        <v>65</v>
      </c>
      <c r="M61" s="343">
        <v>1</v>
      </c>
      <c r="N61" s="352" t="s">
        <v>1029</v>
      </c>
      <c r="O61" s="344" t="s">
        <v>482</v>
      </c>
      <c r="P61" s="344" t="s">
        <v>1080</v>
      </c>
      <c r="Q61" s="343" t="s">
        <v>884</v>
      </c>
      <c r="R61" s="343" t="s">
        <v>835</v>
      </c>
      <c r="S61" s="344" t="s">
        <v>798</v>
      </c>
      <c r="T61" s="345"/>
      <c r="U61" s="345">
        <f>MONTH(Table2[[#This Row],[Ngày
date]])</f>
        <v>5</v>
      </c>
      <c r="V61" s="375" t="str">
        <f t="shared" si="20"/>
        <v>30/09/2026</v>
      </c>
      <c r="W61" s="376" t="str">
        <f t="shared" si="21"/>
        <v>CHƯA NHẬP NGÀY</v>
      </c>
      <c r="X61" s="495" t="str">
        <f t="shared" si="12"/>
        <v>09/10/2023</v>
      </c>
      <c r="Y61" s="367" t="str">
        <f>HYPERLINK('Danh mục'!$D$1&amp;"20"&amp;MID(D61,8,2)&amp;"\"&amp;D61,D61)</f>
        <v>CC_510525-HCM</v>
      </c>
      <c r="Z61" s="368">
        <f>YEAR(Table2[[#This Row],[Ngày
date]])</f>
        <v>2025</v>
      </c>
      <c r="AA61" s="368" t="str">
        <f t="shared" si="13"/>
        <v>HCM</v>
      </c>
    </row>
    <row r="62" spans="1:27" s="368" customFormat="1" ht="63.75" x14ac:dyDescent="0.2">
      <c r="A62" s="401">
        <f>IF(Table2[[#This Row],[Code 
CC- ]]="", "", A61+1)</f>
        <v>59</v>
      </c>
      <c r="B62" s="625" t="s">
        <v>2151</v>
      </c>
      <c r="C62" s="517">
        <v>45807</v>
      </c>
      <c r="D62" s="410" t="s">
        <v>1022</v>
      </c>
      <c r="E62" s="591"/>
      <c r="F62" s="416" t="s">
        <v>954</v>
      </c>
      <c r="G62" s="417" t="s">
        <v>956</v>
      </c>
      <c r="H62" s="404" t="s">
        <v>1030</v>
      </c>
      <c r="I62" s="353" t="s">
        <v>757</v>
      </c>
      <c r="J62" s="455">
        <v>45274</v>
      </c>
      <c r="K62" s="533">
        <v>46356</v>
      </c>
      <c r="L62" s="343" t="s">
        <v>65</v>
      </c>
      <c r="M62" s="343">
        <v>1</v>
      </c>
      <c r="N62" s="344" t="s">
        <v>1031</v>
      </c>
      <c r="O62" s="344" t="s">
        <v>482</v>
      </c>
      <c r="P62" s="344" t="s">
        <v>1080</v>
      </c>
      <c r="Q62" s="343" t="s">
        <v>884</v>
      </c>
      <c r="R62" s="343" t="s">
        <v>835</v>
      </c>
      <c r="S62" s="344" t="s">
        <v>798</v>
      </c>
      <c r="T62" s="345">
        <v>45839</v>
      </c>
      <c r="U62" s="345">
        <f>MONTH(Table2[[#This Row],[Ngày
date]])</f>
        <v>5</v>
      </c>
      <c r="V62" s="375" t="str">
        <f t="shared" si="20"/>
        <v>30/11/2026</v>
      </c>
      <c r="W62" s="376" t="str">
        <f t="shared" si="21"/>
        <v>01/07/2025</v>
      </c>
      <c r="X62" s="495" t="str">
        <f t="shared" si="12"/>
        <v>14/12/2023</v>
      </c>
      <c r="Y62" s="367" t="str">
        <f>HYPERLINK('Danh mục'!$D$1&amp;"20"&amp;MID(D62,8,2)&amp;"\"&amp;D62,D62)</f>
        <v>CC_520525-HCM</v>
      </c>
      <c r="Z62" s="368">
        <f>YEAR(Table2[[#This Row],[Ngày
date]])</f>
        <v>2025</v>
      </c>
      <c r="AA62" s="368" t="str">
        <f t="shared" si="13"/>
        <v>HCM</v>
      </c>
    </row>
    <row r="63" spans="1:27" s="368" customFormat="1" ht="140.25" x14ac:dyDescent="0.2">
      <c r="A63" s="401">
        <f>IF(Table2[[#This Row],[Code 
CC- ]]="", "", A62+1)</f>
        <v>60</v>
      </c>
      <c r="B63" s="625" t="s">
        <v>2151</v>
      </c>
      <c r="C63" s="517">
        <v>45807</v>
      </c>
      <c r="D63" s="415" t="s">
        <v>1023</v>
      </c>
      <c r="E63" s="592"/>
      <c r="F63" s="416" t="s">
        <v>1033</v>
      </c>
      <c r="G63" s="417" t="s">
        <v>1038</v>
      </c>
      <c r="H63" s="402" t="s">
        <v>1032</v>
      </c>
      <c r="I63" s="353" t="s">
        <v>1035</v>
      </c>
      <c r="J63" s="381" t="s">
        <v>1036</v>
      </c>
      <c r="K63" s="533">
        <v>46476</v>
      </c>
      <c r="L63" s="343" t="s">
        <v>65</v>
      </c>
      <c r="M63" s="343">
        <v>1</v>
      </c>
      <c r="N63" s="344" t="s">
        <v>1034</v>
      </c>
      <c r="O63" s="344" t="s">
        <v>13</v>
      </c>
      <c r="P63" s="344" t="s">
        <v>1037</v>
      </c>
      <c r="Q63" s="343"/>
      <c r="R63" s="343"/>
      <c r="S63" s="344" t="s">
        <v>815</v>
      </c>
      <c r="T63" s="345"/>
      <c r="U63" s="345">
        <f>MONTH(Table2[[#This Row],[Ngày
date]])</f>
        <v>5</v>
      </c>
      <c r="V63" s="375" t="str">
        <f t="shared" si="20"/>
        <v>30/03/2027</v>
      </c>
      <c r="W63" s="376" t="str">
        <f t="shared" si="21"/>
        <v>CHƯA NHẬP NGÀY</v>
      </c>
      <c r="X63" s="495" t="str">
        <f t="shared" si="12"/>
        <v>01/04/2024</v>
      </c>
      <c r="Y63" s="367" t="str">
        <f>HYPERLINK('Danh mục'!$D$1&amp;"20"&amp;MID(D63,8,2)&amp;"\"&amp;D63,D63)</f>
        <v>CC_530525-HCM</v>
      </c>
      <c r="Z63" s="368">
        <f>YEAR(Table2[[#This Row],[Ngày
date]])</f>
        <v>2025</v>
      </c>
      <c r="AA63" s="368" t="str">
        <f t="shared" si="13"/>
        <v>HCM</v>
      </c>
    </row>
    <row r="64" spans="1:27" s="368" customFormat="1" ht="71.849999999999994" customHeight="1" x14ac:dyDescent="0.2">
      <c r="A64" s="401">
        <f>IF(Table2[[#This Row],[Code 
CC- ]]="", "", A63+1)</f>
        <v>61</v>
      </c>
      <c r="B64" s="625" t="s">
        <v>2153</v>
      </c>
      <c r="C64" s="517">
        <v>45813</v>
      </c>
      <c r="D64" s="404" t="s">
        <v>1039</v>
      </c>
      <c r="E64" s="404"/>
      <c r="F64" s="403" t="s">
        <v>1040</v>
      </c>
      <c r="G64" s="403" t="s">
        <v>1044</v>
      </c>
      <c r="H64" s="404" t="s">
        <v>1045</v>
      </c>
      <c r="I64" s="353" t="s">
        <v>1042</v>
      </c>
      <c r="J64" s="456" t="s">
        <v>13</v>
      </c>
      <c r="K64" s="529">
        <v>46312</v>
      </c>
      <c r="L64" s="336" t="s">
        <v>65</v>
      </c>
      <c r="M64" s="336">
        <v>1</v>
      </c>
      <c r="N64" s="344" t="s">
        <v>1041</v>
      </c>
      <c r="O64" s="344" t="s">
        <v>482</v>
      </c>
      <c r="P64" s="344" t="s">
        <v>1189</v>
      </c>
      <c r="Q64" s="343" t="s">
        <v>884</v>
      </c>
      <c r="R64" s="343" t="s">
        <v>1056</v>
      </c>
      <c r="S64" s="344" t="s">
        <v>813</v>
      </c>
      <c r="T64" s="345"/>
      <c r="U64" s="345">
        <f>MONTH(Table2[[#This Row],[Ngày
date]])</f>
        <v>6</v>
      </c>
      <c r="V64" s="375" t="str">
        <f t="shared" ref="V64:V69" si="22">IF(K64="","CHƯA NHẬP NGÀY",TEXT(K64,"dd/mm/yyyy"))</f>
        <v>17/10/2026</v>
      </c>
      <c r="W64" s="376" t="str">
        <f t="shared" ref="W64:W69" si="23">IF(T64="","CHƯA NHẬP NGÀY",TEXT(T64,"dd/mm/yyyy"))</f>
        <v>CHƯA NHẬP NGÀY</v>
      </c>
      <c r="X64" s="495" t="str">
        <f t="shared" si="12"/>
        <v>NA</v>
      </c>
      <c r="Y64" s="367" t="str">
        <f>HYPERLINK('Danh mục'!$D$1&amp;"20"&amp;MID(D64,8,2)&amp;"\"&amp;D64,D64)</f>
        <v>CC_540625-HCM</v>
      </c>
      <c r="Z64" s="368">
        <f>YEAR(Table2[[#This Row],[Ngày
date]])</f>
        <v>2025</v>
      </c>
      <c r="AA64" s="368" t="str">
        <f t="shared" si="13"/>
        <v>HCM</v>
      </c>
    </row>
    <row r="65" spans="1:27" s="370" customFormat="1" ht="83.85" customHeight="1" x14ac:dyDescent="0.2">
      <c r="A65" s="401">
        <f>IF(Table2[[#This Row],[Code 
CC- ]]="", "", A64+1)</f>
        <v>62</v>
      </c>
      <c r="B65" s="625" t="s">
        <v>2150</v>
      </c>
      <c r="C65" s="517">
        <v>45817</v>
      </c>
      <c r="D65" s="402" t="s">
        <v>1046</v>
      </c>
      <c r="E65" s="402"/>
      <c r="F65" s="403" t="s">
        <v>1049</v>
      </c>
      <c r="G65" s="403" t="s">
        <v>1048</v>
      </c>
      <c r="H65" s="402" t="s">
        <v>1047</v>
      </c>
      <c r="I65" s="364" t="s">
        <v>1067</v>
      </c>
      <c r="J65" s="449" t="s">
        <v>13</v>
      </c>
      <c r="K65" s="528">
        <v>46295</v>
      </c>
      <c r="L65" s="334" t="s">
        <v>65</v>
      </c>
      <c r="M65" s="334">
        <v>14</v>
      </c>
      <c r="N65" s="348" t="s">
        <v>1055</v>
      </c>
      <c r="O65" s="348" t="s">
        <v>1065</v>
      </c>
      <c r="P65" s="348" t="s">
        <v>1210</v>
      </c>
      <c r="Q65" s="349"/>
      <c r="R65" s="349"/>
      <c r="S65" s="348" t="s">
        <v>816</v>
      </c>
      <c r="T65" s="350"/>
      <c r="U65" s="350">
        <f>MONTH(Table2[[#This Row],[Ngày
date]])</f>
        <v>6</v>
      </c>
      <c r="V65" s="375" t="str">
        <f t="shared" si="22"/>
        <v>30/09/2026</v>
      </c>
      <c r="W65" s="376" t="str">
        <f t="shared" si="23"/>
        <v>CHƯA NHẬP NGÀY</v>
      </c>
      <c r="X65" s="495" t="str">
        <f t="shared" si="12"/>
        <v>NA</v>
      </c>
      <c r="Y65" s="367" t="str">
        <f>HYPERLINK('Danh mục'!$D$1&amp;"20"&amp;MID(D65,8,2)&amp;"\"&amp;D65,D65)</f>
        <v>CC_550625-HCM</v>
      </c>
      <c r="Z65" s="370">
        <f>YEAR(Table2[[#This Row],[Ngày
date]])</f>
        <v>2025</v>
      </c>
      <c r="AA65" s="370" t="str">
        <f t="shared" si="13"/>
        <v>HCM</v>
      </c>
    </row>
    <row r="66" spans="1:27" s="368" customFormat="1" ht="25.5" x14ac:dyDescent="0.2">
      <c r="A66" s="401">
        <f>IF(Table2[[#This Row],[Code 
CC- ]]="", "", A65+1)</f>
        <v>63</v>
      </c>
      <c r="B66" s="625" t="s">
        <v>2161</v>
      </c>
      <c r="C66" s="517">
        <v>45817</v>
      </c>
      <c r="D66" s="404" t="s">
        <v>1050</v>
      </c>
      <c r="E66" s="404"/>
      <c r="F66" s="405" t="s">
        <v>1059</v>
      </c>
      <c r="G66" s="405" t="s">
        <v>1058</v>
      </c>
      <c r="H66" s="404" t="s">
        <v>1051</v>
      </c>
      <c r="I66" s="353" t="s">
        <v>1052</v>
      </c>
      <c r="J66" s="459" t="s">
        <v>1105</v>
      </c>
      <c r="K66" s="529">
        <v>46446</v>
      </c>
      <c r="L66" s="336" t="s">
        <v>65</v>
      </c>
      <c r="M66" s="336">
        <v>1</v>
      </c>
      <c r="N66" s="337" t="s">
        <v>1057</v>
      </c>
      <c r="O66" s="344" t="s">
        <v>482</v>
      </c>
      <c r="P66" s="344" t="s">
        <v>1151</v>
      </c>
      <c r="Q66" s="343"/>
      <c r="R66" s="343"/>
      <c r="S66" s="344" t="s">
        <v>799</v>
      </c>
      <c r="T66" s="345"/>
      <c r="U66" s="345">
        <f>MONTH(Table2[[#This Row],[Ngày
date]])</f>
        <v>6</v>
      </c>
      <c r="V66" s="382" t="str">
        <f t="shared" si="22"/>
        <v>28/02/2027</v>
      </c>
      <c r="W66" s="383" t="str">
        <f t="shared" si="23"/>
        <v>CHƯA NHẬP NGÀY</v>
      </c>
      <c r="X66" s="497" t="str">
        <f t="shared" si="12"/>
        <v>01/03/2025</v>
      </c>
      <c r="Y66" s="367" t="str">
        <f>HYPERLINK('Danh mục'!$D$1&amp;"20"&amp;MID(D66,8,2)&amp;"\"&amp;D66,D66)</f>
        <v>CC_560625-HN</v>
      </c>
      <c r="Z66" s="368">
        <f>YEAR(Table2[[#This Row],[Ngày
date]])</f>
        <v>2025</v>
      </c>
      <c r="AA66" s="368" t="str">
        <f t="shared" si="13"/>
        <v>HN</v>
      </c>
    </row>
    <row r="67" spans="1:27" s="368" customFormat="1" ht="80.849999999999994" customHeight="1" x14ac:dyDescent="0.2">
      <c r="A67" s="401">
        <f>IF(Table2[[#This Row],[Code 
CC- ]]="", "", A66+1)</f>
        <v>64</v>
      </c>
      <c r="B67" s="625" t="s">
        <v>2161</v>
      </c>
      <c r="C67" s="517">
        <v>45820</v>
      </c>
      <c r="D67" s="404" t="s">
        <v>1061</v>
      </c>
      <c r="E67" s="404"/>
      <c r="F67" s="403" t="s">
        <v>1106</v>
      </c>
      <c r="G67" s="419" t="s">
        <v>1199</v>
      </c>
      <c r="H67" s="404" t="s">
        <v>911</v>
      </c>
      <c r="I67" s="353" t="s">
        <v>1190</v>
      </c>
      <c r="J67" s="450" t="s">
        <v>13</v>
      </c>
      <c r="K67" s="529">
        <v>46812</v>
      </c>
      <c r="L67" s="336" t="s">
        <v>65</v>
      </c>
      <c r="M67" s="336">
        <v>1</v>
      </c>
      <c r="N67" s="344" t="s">
        <v>1064</v>
      </c>
      <c r="O67" s="344" t="s">
        <v>1742</v>
      </c>
      <c r="P67" s="352" t="s">
        <v>1901</v>
      </c>
      <c r="Q67" s="343"/>
      <c r="R67" s="343"/>
      <c r="S67" s="344" t="s">
        <v>799</v>
      </c>
      <c r="T67" s="345"/>
      <c r="U67" s="345">
        <f>MONTH(Table2[[#This Row],[Ngày
date]])</f>
        <v>6</v>
      </c>
      <c r="V67" s="375" t="str">
        <f t="shared" si="22"/>
        <v>29/02/2028</v>
      </c>
      <c r="W67" s="376" t="str">
        <f t="shared" si="23"/>
        <v>CHƯA NHẬP NGÀY</v>
      </c>
      <c r="X67" s="495" t="str">
        <f t="shared" si="12"/>
        <v>NA</v>
      </c>
      <c r="Y67" s="367" t="str">
        <f>HYPERLINK('Danh mục'!$D$1&amp;"20"&amp;MID(D67,8,2)&amp;"\"&amp;D67,D67)</f>
        <v>CC_570625-HN</v>
      </c>
      <c r="Z67" s="368">
        <f>YEAR(Table2[[#This Row],[Ngày
date]])</f>
        <v>2025</v>
      </c>
      <c r="AA67" s="368" t="str">
        <f t="shared" si="13"/>
        <v>HN</v>
      </c>
    </row>
    <row r="68" spans="1:27" s="368" customFormat="1" ht="56.1" customHeight="1" x14ac:dyDescent="0.2">
      <c r="A68" s="401">
        <f>IF(Table2[[#This Row],[Code 
CC- ]]="", "", A67+1)</f>
        <v>65</v>
      </c>
      <c r="B68" s="625" t="s">
        <v>2156</v>
      </c>
      <c r="C68" s="517">
        <v>45821</v>
      </c>
      <c r="D68" s="404" t="s">
        <v>1060</v>
      </c>
      <c r="E68" s="404"/>
      <c r="F68" s="405" t="s">
        <v>1083</v>
      </c>
      <c r="G68" s="405" t="s">
        <v>1084</v>
      </c>
      <c r="H68" s="404" t="s">
        <v>1062</v>
      </c>
      <c r="I68" s="353" t="s">
        <v>13</v>
      </c>
      <c r="J68" s="460" t="s">
        <v>13</v>
      </c>
      <c r="K68" s="534" t="s">
        <v>13</v>
      </c>
      <c r="L68" s="353" t="s">
        <v>13</v>
      </c>
      <c r="M68" s="353" t="s">
        <v>13</v>
      </c>
      <c r="N68" s="344" t="s">
        <v>1063</v>
      </c>
      <c r="O68" s="344" t="s">
        <v>13</v>
      </c>
      <c r="P68" s="344" t="s">
        <v>1082</v>
      </c>
      <c r="Q68" s="343"/>
      <c r="R68" s="343"/>
      <c r="S68" s="344" t="s">
        <v>815</v>
      </c>
      <c r="T68" s="345"/>
      <c r="U68" s="345">
        <f>MONTH(Table2[[#This Row],[Ngày
date]])</f>
        <v>6</v>
      </c>
      <c r="V68" s="375" t="str">
        <f t="shared" si="22"/>
        <v>NA</v>
      </c>
      <c r="W68" s="376" t="str">
        <f t="shared" si="23"/>
        <v>CHƯA NHẬP NGÀY</v>
      </c>
      <c r="X68" s="495" t="str">
        <f t="shared" ref="X68:X99" si="24">IF(J68="","CHƯA NHẬP NGÀY",TEXT(J68,"dd/mm/yyyy"))</f>
        <v>NA</v>
      </c>
      <c r="Y68" s="367" t="str">
        <f>HYPERLINK('Danh mục'!$D$1&amp;"20"&amp;MID(D68,8,2)&amp;"\"&amp;D68,D68)</f>
        <v>CC_580625-HCM</v>
      </c>
      <c r="Z68" s="368">
        <f>YEAR(Table2[[#This Row],[Ngày
date]])</f>
        <v>2025</v>
      </c>
      <c r="AA68" s="368" t="str">
        <f t="shared" ref="AA68:AA99" si="25">IF(ISNUMBER(SEARCH("HCM",D68)),"HCM",
IF(ISNUMBER(SEARCH("HN",D68)),"HN",
IF(ISNUMBER(SEARCH("ĐN",D68)),"ĐN","")))</f>
        <v>HCM</v>
      </c>
    </row>
    <row r="69" spans="1:27" s="368" customFormat="1" ht="76.5" x14ac:dyDescent="0.2">
      <c r="A69" s="401">
        <f>IF(Table2[[#This Row],[Code 
CC- ]]="", "", A68+1)</f>
        <v>66</v>
      </c>
      <c r="B69" s="625" t="s">
        <v>2151</v>
      </c>
      <c r="C69" s="517">
        <v>45828</v>
      </c>
      <c r="D69" s="410" t="s">
        <v>1068</v>
      </c>
      <c r="E69" s="591"/>
      <c r="F69" s="416" t="s">
        <v>954</v>
      </c>
      <c r="G69" s="403" t="s">
        <v>956</v>
      </c>
      <c r="H69" s="404" t="s">
        <v>1070</v>
      </c>
      <c r="I69" s="353" t="s">
        <v>1071</v>
      </c>
      <c r="J69" s="456">
        <v>44806</v>
      </c>
      <c r="K69" s="529">
        <v>45900</v>
      </c>
      <c r="L69" s="336" t="s">
        <v>65</v>
      </c>
      <c r="M69" s="336">
        <v>1</v>
      </c>
      <c r="N69" s="352" t="s">
        <v>1069</v>
      </c>
      <c r="O69" s="344" t="s">
        <v>482</v>
      </c>
      <c r="P69" s="344" t="s">
        <v>1087</v>
      </c>
      <c r="Q69" s="343" t="s">
        <v>312</v>
      </c>
      <c r="R69" s="343" t="s">
        <v>1195</v>
      </c>
      <c r="S69" s="344" t="s">
        <v>798</v>
      </c>
      <c r="T69" s="345"/>
      <c r="U69" s="345">
        <f>MONTH(Table2[[#This Row],[Ngày
date]])</f>
        <v>6</v>
      </c>
      <c r="V69" s="375" t="str">
        <f t="shared" si="22"/>
        <v>31/08/2025</v>
      </c>
      <c r="W69" s="376" t="str">
        <f t="shared" si="23"/>
        <v>CHƯA NHẬP NGÀY</v>
      </c>
      <c r="X69" s="495" t="str">
        <f t="shared" si="24"/>
        <v>02/09/2022</v>
      </c>
      <c r="Y69" s="367" t="str">
        <f>HYPERLINK('Danh mục'!$D$1&amp;"20"&amp;MID(D69,8,2)&amp;"\"&amp;D69,D69)</f>
        <v>CC_590625-HCM</v>
      </c>
      <c r="Z69" s="368">
        <f>YEAR(Table2[[#This Row],[Ngày
date]])</f>
        <v>2025</v>
      </c>
      <c r="AA69" s="368" t="str">
        <f t="shared" si="25"/>
        <v>HCM</v>
      </c>
    </row>
    <row r="70" spans="1:27" s="368" customFormat="1" ht="63.6" customHeight="1" x14ac:dyDescent="0.2">
      <c r="A70" s="401">
        <f>IF(Table2[[#This Row],[Code 
CC- ]]="", "", A69+1)</f>
        <v>67</v>
      </c>
      <c r="B70" s="625" t="s">
        <v>2162</v>
      </c>
      <c r="C70" s="517">
        <v>45832</v>
      </c>
      <c r="D70" s="410" t="s">
        <v>1074</v>
      </c>
      <c r="E70" s="591"/>
      <c r="F70" s="412" t="s">
        <v>1076</v>
      </c>
      <c r="G70" s="413" t="s">
        <v>1075</v>
      </c>
      <c r="H70" s="404" t="s">
        <v>985</v>
      </c>
      <c r="I70" s="353" t="s">
        <v>997</v>
      </c>
      <c r="J70" s="346" t="s">
        <v>13</v>
      </c>
      <c r="K70" s="533">
        <v>45979</v>
      </c>
      <c r="L70" s="336" t="s">
        <v>65</v>
      </c>
      <c r="M70" s="343">
        <v>2</v>
      </c>
      <c r="N70" s="344" t="s">
        <v>1136</v>
      </c>
      <c r="O70" s="344" t="s">
        <v>1900</v>
      </c>
      <c r="P70" s="344" t="s">
        <v>1099</v>
      </c>
      <c r="Q70" s="343"/>
      <c r="R70" s="343"/>
      <c r="S70" s="344" t="s">
        <v>813</v>
      </c>
      <c r="T70" s="345"/>
      <c r="U70" s="345">
        <f>MONTH(Table2[[#This Row],[Ngày
date]])</f>
        <v>6</v>
      </c>
      <c r="V70" s="379" t="str">
        <f t="shared" ref="V70:V77" si="26">IF(K70="","CHƯA NHẬP NGÀY",TEXT(K70,"dd/mm/yyyy"))</f>
        <v>18/11/2025</v>
      </c>
      <c r="W70" s="380" t="str">
        <f t="shared" ref="W70:W77" si="27">IF(T70="","CHƯA NHẬP NGÀY",TEXT(T70,"dd/mm/yyyy"))</f>
        <v>CHƯA NHẬP NGÀY</v>
      </c>
      <c r="X70" s="496" t="str">
        <f t="shared" si="24"/>
        <v>NA</v>
      </c>
      <c r="Y70" s="437" t="str">
        <f>HYPERLINK('Danh mục'!$D$1&amp;"20"&amp;MID(D70,8,2)&amp;"\"&amp;D70,D70)</f>
        <v>CC_600625-ĐN</v>
      </c>
      <c r="Z70" s="368">
        <f>YEAR(Table2[[#This Row],[Ngày
date]])</f>
        <v>2025</v>
      </c>
      <c r="AA70" s="368" t="str">
        <f t="shared" si="25"/>
        <v>ĐN</v>
      </c>
    </row>
    <row r="71" spans="1:27" s="368" customFormat="1" ht="63.6" customHeight="1" x14ac:dyDescent="0.2">
      <c r="A71" s="401">
        <f>IF(Table2[[#This Row],[Code 
CC- ]]="", "", A70+1)</f>
        <v>68</v>
      </c>
      <c r="B71" s="625" t="s">
        <v>2162</v>
      </c>
      <c r="C71" s="517">
        <v>45832</v>
      </c>
      <c r="D71" s="410" t="s">
        <v>1074</v>
      </c>
      <c r="E71" s="591"/>
      <c r="F71" s="412" t="s">
        <v>1076</v>
      </c>
      <c r="G71" s="413" t="s">
        <v>1075</v>
      </c>
      <c r="H71" s="404" t="s">
        <v>985</v>
      </c>
      <c r="I71" s="353" t="s">
        <v>1135</v>
      </c>
      <c r="J71" s="346" t="s">
        <v>13</v>
      </c>
      <c r="K71" s="533">
        <v>46026</v>
      </c>
      <c r="L71" s="336" t="s">
        <v>65</v>
      </c>
      <c r="M71" s="343">
        <v>4</v>
      </c>
      <c r="N71" s="344" t="s">
        <v>1136</v>
      </c>
      <c r="O71" s="344" t="s">
        <v>1900</v>
      </c>
      <c r="P71" s="344" t="s">
        <v>1099</v>
      </c>
      <c r="Q71" s="343"/>
      <c r="R71" s="343"/>
      <c r="S71" s="344" t="s">
        <v>813</v>
      </c>
      <c r="T71" s="345"/>
      <c r="U71" s="345">
        <f>MONTH(Table2[[#This Row],[Ngày
date]])</f>
        <v>6</v>
      </c>
      <c r="V71" s="379" t="str">
        <f t="shared" ref="V71" si="28">IF(K71="","CHƯA NHẬP NGÀY",TEXT(K71,"dd/mm/yyyy"))</f>
        <v>04/01/2026</v>
      </c>
      <c r="W71" s="380" t="str">
        <f t="shared" ref="W71" si="29">IF(T71="","CHƯA NHẬP NGÀY",TEXT(T71,"dd/mm/yyyy"))</f>
        <v>CHƯA NHẬP NGÀY</v>
      </c>
      <c r="X71" s="496" t="str">
        <f t="shared" si="24"/>
        <v>NA</v>
      </c>
      <c r="Y71" s="437" t="str">
        <f>HYPERLINK('Danh mục'!$D$1&amp;"20"&amp;MID(D71,8,2)&amp;"\"&amp;D71,D71)</f>
        <v>CC_600625-ĐN</v>
      </c>
      <c r="Z71" s="368">
        <f>YEAR(Table2[[#This Row],[Ngày
date]])</f>
        <v>2025</v>
      </c>
      <c r="AA71" s="368" t="str">
        <f t="shared" si="25"/>
        <v>ĐN</v>
      </c>
    </row>
    <row r="72" spans="1:27" s="368" customFormat="1" ht="89.25" x14ac:dyDescent="0.2">
      <c r="A72" s="401">
        <f>IF(Table2[[#This Row],[Code 
CC- ]]="", "", A71+1)</f>
        <v>69</v>
      </c>
      <c r="B72" s="625" t="s">
        <v>2151</v>
      </c>
      <c r="C72" s="517">
        <v>45833</v>
      </c>
      <c r="D72" s="410" t="s">
        <v>1077</v>
      </c>
      <c r="E72" s="591"/>
      <c r="F72" s="412" t="s">
        <v>1078</v>
      </c>
      <c r="G72" s="413" t="s">
        <v>36</v>
      </c>
      <c r="H72" s="404" t="s">
        <v>217</v>
      </c>
      <c r="I72" s="353" t="s">
        <v>1079</v>
      </c>
      <c r="J72" s="461">
        <v>45367</v>
      </c>
      <c r="K72" s="529">
        <v>46235</v>
      </c>
      <c r="L72" s="336" t="s">
        <v>523</v>
      </c>
      <c r="M72" s="336">
        <v>1</v>
      </c>
      <c r="N72" s="344" t="s">
        <v>1088</v>
      </c>
      <c r="O72" s="344" t="s">
        <v>482</v>
      </c>
      <c r="P72" s="344" t="s">
        <v>1089</v>
      </c>
      <c r="Q72" s="343"/>
      <c r="R72" s="343"/>
      <c r="S72" s="344" t="s">
        <v>798</v>
      </c>
      <c r="T72" s="345"/>
      <c r="U72" s="345">
        <f>MONTH(Table2[[#This Row],[Ngày
date]])</f>
        <v>6</v>
      </c>
      <c r="V72" s="375" t="str">
        <f t="shared" si="26"/>
        <v>01/08/2026</v>
      </c>
      <c r="W72" s="376" t="str">
        <f t="shared" si="27"/>
        <v>CHƯA NHẬP NGÀY</v>
      </c>
      <c r="X72" s="495" t="str">
        <f t="shared" si="24"/>
        <v>16/03/2024</v>
      </c>
      <c r="Y72" s="367" t="str">
        <f>HYPERLINK('Danh mục'!$D$1&amp;"20"&amp;MID(D72,8,2)&amp;"\"&amp;D72,D72)</f>
        <v>CC_610625-HCM</v>
      </c>
      <c r="Z72" s="368">
        <f>YEAR(Table2[[#This Row],[Ngày
date]])</f>
        <v>2025</v>
      </c>
      <c r="AA72" s="368" t="str">
        <f t="shared" si="25"/>
        <v>HCM</v>
      </c>
    </row>
    <row r="73" spans="1:27" s="368" customFormat="1" ht="51" x14ac:dyDescent="0.2">
      <c r="A73" s="401">
        <f>IF(Table2[[#This Row],[Code 
CC- ]]="", "", A72+1)</f>
        <v>70</v>
      </c>
      <c r="B73" s="625" t="s">
        <v>2151</v>
      </c>
      <c r="C73" s="517">
        <v>45835</v>
      </c>
      <c r="D73" s="410" t="s">
        <v>1294</v>
      </c>
      <c r="E73" s="591"/>
      <c r="F73" s="412" t="s">
        <v>1090</v>
      </c>
      <c r="G73" s="413" t="s">
        <v>1091</v>
      </c>
      <c r="H73" s="404" t="s">
        <v>1092</v>
      </c>
      <c r="I73" s="353" t="s">
        <v>1093</v>
      </c>
      <c r="J73" s="456">
        <v>45331</v>
      </c>
      <c r="K73" s="529">
        <v>46418</v>
      </c>
      <c r="L73" s="343" t="s">
        <v>507</v>
      </c>
      <c r="M73" s="343">
        <v>1</v>
      </c>
      <c r="N73" s="344" t="s">
        <v>1094</v>
      </c>
      <c r="O73" s="344" t="s">
        <v>482</v>
      </c>
      <c r="P73" s="344" t="s">
        <v>1097</v>
      </c>
      <c r="Q73" s="343"/>
      <c r="R73" s="343"/>
      <c r="S73" s="344" t="s">
        <v>1256</v>
      </c>
      <c r="T73" s="345"/>
      <c r="U73" s="345">
        <f>MONTH(Table2[[#This Row],[Ngày
date]])</f>
        <v>6</v>
      </c>
      <c r="V73" s="375" t="str">
        <f t="shared" si="26"/>
        <v>31/01/2027</v>
      </c>
      <c r="W73" s="376" t="str">
        <f t="shared" si="27"/>
        <v>CHƯA NHẬP NGÀY</v>
      </c>
      <c r="X73" s="495" t="str">
        <f t="shared" si="24"/>
        <v>09/02/2024</v>
      </c>
      <c r="Y73" s="367" t="str">
        <f>HYPERLINK('Danh mục'!$D$1&amp;"20"&amp;MID(D73,8,2)&amp;"\"&amp;D73,D73)</f>
        <v>CC_620625-HCM-HUY</v>
      </c>
      <c r="Z73" s="368">
        <f>YEAR(Table2[[#This Row],[Ngày
date]])</f>
        <v>2025</v>
      </c>
      <c r="AA73" s="368" t="str">
        <f t="shared" si="25"/>
        <v>HCM</v>
      </c>
    </row>
    <row r="74" spans="1:27" ht="51" x14ac:dyDescent="0.2">
      <c r="A74" s="401">
        <f>IF(Table2[[#This Row],[Code 
CC- ]]="", "", A73+1)</f>
        <v>71</v>
      </c>
      <c r="B74" s="625" t="s">
        <v>2151</v>
      </c>
      <c r="C74" s="517">
        <v>45838</v>
      </c>
      <c r="D74" s="410" t="s">
        <v>1086</v>
      </c>
      <c r="E74" s="591"/>
      <c r="F74" s="420" t="s">
        <v>1104</v>
      </c>
      <c r="G74" s="413" t="s">
        <v>1107</v>
      </c>
      <c r="H74" s="404" t="s">
        <v>1096</v>
      </c>
      <c r="I74" s="353" t="s">
        <v>1095</v>
      </c>
      <c r="J74" s="462">
        <v>45236</v>
      </c>
      <c r="K74" s="535">
        <v>46326</v>
      </c>
      <c r="L74" s="354" t="s">
        <v>15</v>
      </c>
      <c r="M74" s="354">
        <v>1</v>
      </c>
      <c r="N74" s="355" t="s">
        <v>1114</v>
      </c>
      <c r="O74" s="344" t="s">
        <v>482</v>
      </c>
      <c r="P74" s="355" t="s">
        <v>1103</v>
      </c>
      <c r="Q74" s="354"/>
      <c r="R74" s="354"/>
      <c r="S74" s="355" t="s">
        <v>798</v>
      </c>
      <c r="T74" s="356"/>
      <c r="U74" s="356">
        <f>MONTH(Table2[[#This Row],[Ngày
date]])</f>
        <v>6</v>
      </c>
      <c r="V74" s="384" t="str">
        <f t="shared" si="26"/>
        <v>31/10/2026</v>
      </c>
      <c r="W74" s="385" t="str">
        <f t="shared" si="27"/>
        <v>CHƯA NHẬP NGÀY</v>
      </c>
      <c r="X74" s="498" t="str">
        <f t="shared" si="24"/>
        <v>06/11/2023</v>
      </c>
      <c r="Y74" s="367" t="str">
        <f>HYPERLINK('Danh mục'!$D$1&amp;"20"&amp;MID(D74,8,2)&amp;"\"&amp;D74,D74)</f>
        <v>CC_630625-ĐN</v>
      </c>
      <c r="Z74" s="327">
        <f>YEAR(Table2[[#This Row],[Ngày
date]])</f>
        <v>2025</v>
      </c>
      <c r="AA74" s="327" t="str">
        <f t="shared" si="25"/>
        <v>ĐN</v>
      </c>
    </row>
    <row r="75" spans="1:27" ht="114.75" x14ac:dyDescent="0.2">
      <c r="A75" s="401">
        <f>IF(Table2[[#This Row],[Code 
CC- ]]="", "", A74+1)</f>
        <v>72</v>
      </c>
      <c r="B75" s="625" t="s">
        <v>2153</v>
      </c>
      <c r="C75" s="517">
        <v>45839</v>
      </c>
      <c r="D75" s="410" t="s">
        <v>1098</v>
      </c>
      <c r="E75" s="591"/>
      <c r="F75" s="420" t="s">
        <v>727</v>
      </c>
      <c r="G75" s="419" t="s">
        <v>1100</v>
      </c>
      <c r="H75" s="404" t="s">
        <v>1101</v>
      </c>
      <c r="I75" s="353" t="s">
        <v>1102</v>
      </c>
      <c r="J75" s="462">
        <v>45679</v>
      </c>
      <c r="K75" s="535">
        <v>46408</v>
      </c>
      <c r="L75" s="357" t="s">
        <v>27</v>
      </c>
      <c r="M75" s="357">
        <v>7</v>
      </c>
      <c r="N75" s="355" t="s">
        <v>1113</v>
      </c>
      <c r="O75" s="344" t="s">
        <v>482</v>
      </c>
      <c r="P75" s="344" t="s">
        <v>1216</v>
      </c>
      <c r="Q75" s="354"/>
      <c r="R75" s="354"/>
      <c r="S75" s="355" t="s">
        <v>798</v>
      </c>
      <c r="T75" s="356"/>
      <c r="U75" s="356">
        <f>MONTH(Table2[[#This Row],[Ngày
date]])</f>
        <v>7</v>
      </c>
      <c r="V75" s="384" t="str">
        <f t="shared" si="26"/>
        <v>21/01/2027</v>
      </c>
      <c r="W75" s="385" t="str">
        <f t="shared" si="27"/>
        <v>CHƯA NHẬP NGÀY</v>
      </c>
      <c r="X75" s="498" t="str">
        <f t="shared" si="24"/>
        <v>22/01/2025</v>
      </c>
      <c r="Y75" s="367" t="str">
        <f>HYPERLINK('Danh mục'!$D$1&amp;"20"&amp;MID(D75,8,2)&amp;"\"&amp;D75,D75)</f>
        <v>CC_640725-HCM</v>
      </c>
      <c r="Z75" s="327">
        <f>YEAR(Table2[[#This Row],[Ngày
date]])</f>
        <v>2025</v>
      </c>
      <c r="AA75" s="327" t="str">
        <f t="shared" si="25"/>
        <v>HCM</v>
      </c>
    </row>
    <row r="76" spans="1:27" ht="114.75" x14ac:dyDescent="0.2">
      <c r="A76" s="401">
        <f>IF(Table2[[#This Row],[Code 
CC- ]]="", "", A75+1)</f>
        <v>73</v>
      </c>
      <c r="B76" s="625" t="s">
        <v>2153</v>
      </c>
      <c r="C76" s="517">
        <v>45839</v>
      </c>
      <c r="D76" s="410" t="s">
        <v>1098</v>
      </c>
      <c r="E76" s="591"/>
      <c r="F76" s="420" t="s">
        <v>727</v>
      </c>
      <c r="G76" s="419" t="s">
        <v>1100</v>
      </c>
      <c r="H76" s="404" t="s">
        <v>1101</v>
      </c>
      <c r="I76" s="353" t="s">
        <v>1218</v>
      </c>
      <c r="J76" s="462">
        <v>45455</v>
      </c>
      <c r="K76" s="535">
        <v>46184</v>
      </c>
      <c r="L76" s="357" t="s">
        <v>27</v>
      </c>
      <c r="M76" s="357">
        <v>2</v>
      </c>
      <c r="N76" s="355" t="s">
        <v>1113</v>
      </c>
      <c r="O76" s="344" t="s">
        <v>482</v>
      </c>
      <c r="P76" s="344" t="s">
        <v>1216</v>
      </c>
      <c r="Q76" s="357"/>
      <c r="R76" s="357"/>
      <c r="S76" s="358" t="s">
        <v>798</v>
      </c>
      <c r="T76" s="359"/>
      <c r="U76" s="359">
        <f>MONTH(Table2[[#This Row],[Ngày
date]])</f>
        <v>7</v>
      </c>
      <c r="V76" s="386" t="str">
        <f>IF(K76="","CHƯA NHẬP NGÀY",TEXT(K76,"dd/mm/yyyy"))</f>
        <v>11/06/2026</v>
      </c>
      <c r="W76" s="387" t="str">
        <f>IF(T76="","CHƯA NHẬP NGÀY",TEXT(T76,"dd/mm/yyyy"))</f>
        <v>CHƯA NHẬP NGÀY</v>
      </c>
      <c r="X76" s="498" t="str">
        <f t="shared" si="24"/>
        <v>12/06/2024</v>
      </c>
      <c r="Y76" s="367" t="str">
        <f>HYPERLINK('Danh mục'!$D$1&amp;"20"&amp;MID(D76,8,2)&amp;"\"&amp;D76,D76)</f>
        <v>CC_640725-HCM</v>
      </c>
      <c r="Z76" s="327">
        <f>YEAR(Table2[[#This Row],[Ngày
date]])</f>
        <v>2025</v>
      </c>
      <c r="AA76" s="327" t="str">
        <f t="shared" si="25"/>
        <v>HCM</v>
      </c>
    </row>
    <row r="77" spans="1:27" ht="102" x14ac:dyDescent="0.2">
      <c r="A77" s="401">
        <f>IF(Table2[[#This Row],[Code 
CC- ]]="", "", A76+1)</f>
        <v>74</v>
      </c>
      <c r="B77" s="625" t="s">
        <v>2152</v>
      </c>
      <c r="C77" s="517">
        <v>45847</v>
      </c>
      <c r="D77" s="410" t="s">
        <v>1108</v>
      </c>
      <c r="E77" s="591"/>
      <c r="F77" s="412" t="s">
        <v>1109</v>
      </c>
      <c r="G77" s="413" t="s">
        <v>1110</v>
      </c>
      <c r="H77" s="404" t="s">
        <v>34</v>
      </c>
      <c r="I77" s="353" t="s">
        <v>1111</v>
      </c>
      <c r="J77" s="463">
        <v>45678</v>
      </c>
      <c r="K77" s="536">
        <v>46773</v>
      </c>
      <c r="L77" s="354" t="s">
        <v>1112</v>
      </c>
      <c r="M77" s="354">
        <v>3</v>
      </c>
      <c r="N77" s="344" t="s">
        <v>1115</v>
      </c>
      <c r="O77" s="344" t="s">
        <v>482</v>
      </c>
      <c r="P77" s="355" t="s">
        <v>1201</v>
      </c>
      <c r="Q77" s="354" t="s">
        <v>1194</v>
      </c>
      <c r="R77" s="354" t="s">
        <v>1195</v>
      </c>
      <c r="S77" s="355" t="s">
        <v>817</v>
      </c>
      <c r="T77" s="356"/>
      <c r="U77" s="356">
        <f>MONTH(Table2[[#This Row],[Ngày
date]])</f>
        <v>7</v>
      </c>
      <c r="V77" s="384" t="str">
        <f t="shared" si="26"/>
        <v>21/01/2028</v>
      </c>
      <c r="W77" s="385" t="str">
        <f t="shared" si="27"/>
        <v>CHƯA NHẬP NGÀY</v>
      </c>
      <c r="X77" s="498" t="str">
        <f t="shared" si="24"/>
        <v>21/01/2025</v>
      </c>
      <c r="Y77" s="367" t="str">
        <f>HYPERLINK('Danh mục'!$D$1&amp;"20"&amp;MID(D77,8,2)&amp;"\"&amp;D77,D77)</f>
        <v>CC_650725-HCM</v>
      </c>
      <c r="Z77" s="327">
        <f>YEAR(Table2[[#This Row],[Ngày
date]])</f>
        <v>2025</v>
      </c>
      <c r="AA77" s="327" t="str">
        <f t="shared" si="25"/>
        <v>HCM</v>
      </c>
    </row>
    <row r="78" spans="1:27" ht="38.25" x14ac:dyDescent="0.2">
      <c r="A78" s="401">
        <f>IF(Table2[[#This Row],[Code 
CC- ]]="", "", A77+1)</f>
        <v>75</v>
      </c>
      <c r="B78" s="625" t="s">
        <v>2194</v>
      </c>
      <c r="C78" s="517">
        <v>45849</v>
      </c>
      <c r="D78" s="410" t="s">
        <v>1116</v>
      </c>
      <c r="E78" s="591"/>
      <c r="F78" s="412" t="s">
        <v>1117</v>
      </c>
      <c r="G78" s="413" t="s">
        <v>1118</v>
      </c>
      <c r="H78" s="404" t="s">
        <v>1119</v>
      </c>
      <c r="I78" s="353" t="s">
        <v>1120</v>
      </c>
      <c r="J78" s="464" t="s">
        <v>13</v>
      </c>
      <c r="K78" s="535">
        <v>47244</v>
      </c>
      <c r="L78" s="357" t="s">
        <v>1122</v>
      </c>
      <c r="M78" s="357">
        <v>1</v>
      </c>
      <c r="N78" s="337" t="s">
        <v>1121</v>
      </c>
      <c r="O78" s="344" t="s">
        <v>482</v>
      </c>
      <c r="P78" s="355" t="s">
        <v>1123</v>
      </c>
      <c r="Q78" s="354"/>
      <c r="R78" s="354"/>
      <c r="S78" s="355" t="s">
        <v>813</v>
      </c>
      <c r="T78" s="356"/>
      <c r="U78" s="356">
        <f>MONTH(Table2[[#This Row],[Ngày
date]])</f>
        <v>7</v>
      </c>
      <c r="V78" s="384" t="str">
        <f t="shared" ref="V78:V83" si="30">IF(K78="","CHƯA NHẬP NGÀY",TEXT(K78,"dd/mm/yyyy"))</f>
        <v>06/05/2029</v>
      </c>
      <c r="W78" s="385" t="str">
        <f t="shared" ref="W78:W83" si="31">IF(T78="","CHƯA NHẬP NGÀY",TEXT(T78,"dd/mm/yyyy"))</f>
        <v>CHƯA NHẬP NGÀY</v>
      </c>
      <c r="X78" s="498" t="str">
        <f t="shared" si="24"/>
        <v>NA</v>
      </c>
      <c r="Y78" s="367" t="str">
        <f>HYPERLINK('Danh mục'!$D$1&amp;"20"&amp;MID(D78,8,2)&amp;"\"&amp;D78,D78)</f>
        <v>CC_660725-HCM</v>
      </c>
      <c r="Z78" s="327">
        <f>YEAR(Table2[[#This Row],[Ngày
date]])</f>
        <v>2025</v>
      </c>
      <c r="AA78" s="327" t="str">
        <f t="shared" si="25"/>
        <v>HCM</v>
      </c>
    </row>
    <row r="79" spans="1:27" ht="105.6" customHeight="1" x14ac:dyDescent="0.2">
      <c r="A79" s="401">
        <f>IF(Table2[[#This Row],[Code 
CC- ]]="", "", A78+1)</f>
        <v>76</v>
      </c>
      <c r="B79" s="625" t="s">
        <v>2155</v>
      </c>
      <c r="C79" s="517">
        <v>45853</v>
      </c>
      <c r="D79" s="410" t="s">
        <v>1124</v>
      </c>
      <c r="E79" s="591"/>
      <c r="F79" s="420" t="s">
        <v>898</v>
      </c>
      <c r="G79" s="419" t="s">
        <v>41</v>
      </c>
      <c r="H79" s="404" t="s">
        <v>1126</v>
      </c>
      <c r="I79" s="353" t="s">
        <v>1127</v>
      </c>
      <c r="J79" s="465" t="s">
        <v>13</v>
      </c>
      <c r="K79" s="536">
        <v>47204</v>
      </c>
      <c r="L79" s="354" t="s">
        <v>65</v>
      </c>
      <c r="M79" s="354">
        <v>2</v>
      </c>
      <c r="N79" s="355" t="s">
        <v>1128</v>
      </c>
      <c r="O79" s="355" t="s">
        <v>736</v>
      </c>
      <c r="P79" s="344" t="s">
        <v>1257</v>
      </c>
      <c r="Q79" s="354"/>
      <c r="R79" s="354"/>
      <c r="S79" s="355" t="s">
        <v>817</v>
      </c>
      <c r="T79" s="356"/>
      <c r="U79" s="356">
        <f>MONTH(Table2[[#This Row],[Ngày
date]])</f>
        <v>7</v>
      </c>
      <c r="V79" s="384" t="str">
        <f t="shared" si="30"/>
        <v>27/03/2029</v>
      </c>
      <c r="W79" s="385" t="str">
        <f t="shared" si="31"/>
        <v>CHƯA NHẬP NGÀY</v>
      </c>
      <c r="X79" s="498" t="str">
        <f t="shared" si="24"/>
        <v>NA</v>
      </c>
      <c r="Y79" s="367" t="str">
        <f>HYPERLINK('Danh mục'!$D$1&amp;"20"&amp;MID(D79,8,2)&amp;"\"&amp;D79,D79)</f>
        <v>CC_670725-HCM</v>
      </c>
      <c r="Z79" s="327">
        <f>YEAR(Table2[[#This Row],[Ngày
date]])</f>
        <v>2025</v>
      </c>
      <c r="AA79" s="327" t="str">
        <f t="shared" si="25"/>
        <v>HCM</v>
      </c>
    </row>
    <row r="80" spans="1:27" ht="63.75" x14ac:dyDescent="0.2">
      <c r="A80" s="401">
        <f>IF(Table2[[#This Row],[Code 
CC- ]]="", "", A79+1)</f>
        <v>77</v>
      </c>
      <c r="B80" s="625" t="s">
        <v>2151</v>
      </c>
      <c r="C80" s="517">
        <v>45854</v>
      </c>
      <c r="D80" s="404" t="s">
        <v>1125</v>
      </c>
      <c r="E80" s="404"/>
      <c r="F80" s="421" t="s">
        <v>898</v>
      </c>
      <c r="G80" s="421" t="s">
        <v>1133</v>
      </c>
      <c r="H80" s="404" t="s">
        <v>1129</v>
      </c>
      <c r="I80" s="353" t="s">
        <v>1130</v>
      </c>
      <c r="J80" s="464" t="s">
        <v>13</v>
      </c>
      <c r="K80" s="535">
        <v>46568</v>
      </c>
      <c r="L80" s="357" t="s">
        <v>65</v>
      </c>
      <c r="M80" s="357">
        <v>1</v>
      </c>
      <c r="N80" s="358" t="s">
        <v>1131</v>
      </c>
      <c r="O80" s="337" t="s">
        <v>482</v>
      </c>
      <c r="P80" s="358" t="s">
        <v>1150</v>
      </c>
      <c r="Q80" s="357"/>
      <c r="R80" s="357"/>
      <c r="S80" s="358" t="s">
        <v>798</v>
      </c>
      <c r="T80" s="359"/>
      <c r="U80" s="356">
        <f>MONTH(Table2[[#This Row],[Ngày
date]])</f>
        <v>7</v>
      </c>
      <c r="V80" s="384" t="str">
        <f t="shared" si="30"/>
        <v>30/06/2027</v>
      </c>
      <c r="W80" s="385" t="str">
        <f t="shared" si="31"/>
        <v>CHƯA NHẬP NGÀY</v>
      </c>
      <c r="X80" s="498" t="str">
        <f t="shared" si="24"/>
        <v>NA</v>
      </c>
      <c r="Y80" s="367" t="str">
        <f>HYPERLINK('Danh mục'!$D$1&amp;"20"&amp;MID(D80,8,2)&amp;"\"&amp;D80,D80)</f>
        <v>CC_680725-HN</v>
      </c>
      <c r="Z80" s="327">
        <f>YEAR(Table2[[#This Row],[Ngày
date]])</f>
        <v>2025</v>
      </c>
      <c r="AA80" s="327" t="str">
        <f t="shared" si="25"/>
        <v>HN</v>
      </c>
    </row>
    <row r="81" spans="1:27" ht="165.75" x14ac:dyDescent="0.2">
      <c r="A81" s="401">
        <f>IF(Table2[[#This Row],[Code 
CC- ]]="", "", A80+1)</f>
        <v>78</v>
      </c>
      <c r="B81" s="625" t="s">
        <v>2163</v>
      </c>
      <c r="C81" s="517">
        <v>45854</v>
      </c>
      <c r="D81" s="404" t="s">
        <v>1132</v>
      </c>
      <c r="E81" s="404"/>
      <c r="F81" s="421" t="s">
        <v>898</v>
      </c>
      <c r="G81" s="421" t="s">
        <v>41</v>
      </c>
      <c r="H81" s="404" t="s">
        <v>1192</v>
      </c>
      <c r="I81" s="353" t="s">
        <v>1134</v>
      </c>
      <c r="J81" s="462">
        <v>45439</v>
      </c>
      <c r="K81" s="535">
        <v>46534</v>
      </c>
      <c r="L81" s="357" t="s">
        <v>65</v>
      </c>
      <c r="M81" s="357">
        <v>2</v>
      </c>
      <c r="N81" s="358" t="s">
        <v>1431</v>
      </c>
      <c r="O81" s="358" t="s">
        <v>482</v>
      </c>
      <c r="P81" s="358" t="s">
        <v>1429</v>
      </c>
      <c r="Q81" s="357"/>
      <c r="R81" s="357"/>
      <c r="S81" s="358" t="s">
        <v>799</v>
      </c>
      <c r="T81" s="359"/>
      <c r="U81" s="359">
        <f>MONTH(Table2[[#This Row],[Ngày
date]])</f>
        <v>7</v>
      </c>
      <c r="V81" s="386" t="str">
        <f t="shared" si="30"/>
        <v>27/05/2027</v>
      </c>
      <c r="W81" s="386" t="str">
        <f t="shared" si="31"/>
        <v>CHƯA NHẬP NGÀY</v>
      </c>
      <c r="X81" s="498" t="str">
        <f t="shared" si="24"/>
        <v>27/05/2024</v>
      </c>
      <c r="Y81" s="367" t="str">
        <f>HYPERLINK('Danh mục'!$D$1&amp;"20"&amp;MID(D81,8,2)&amp;"\"&amp;D81,D81)</f>
        <v>CC_690725-HCM</v>
      </c>
      <c r="Z81" s="327">
        <f>YEAR(Table2[[#This Row],[Ngày
date]])</f>
        <v>2025</v>
      </c>
      <c r="AA81" s="327" t="str">
        <f t="shared" si="25"/>
        <v>HCM</v>
      </c>
    </row>
    <row r="82" spans="1:27" ht="89.25" x14ac:dyDescent="0.2">
      <c r="A82" s="401">
        <f>IF(Table2[[#This Row],[Code 
CC- ]]="", "", A81+1)</f>
        <v>79</v>
      </c>
      <c r="B82" s="625" t="s">
        <v>2162</v>
      </c>
      <c r="C82" s="517">
        <v>45856</v>
      </c>
      <c r="D82" s="410" t="s">
        <v>1139</v>
      </c>
      <c r="E82" s="591"/>
      <c r="F82" s="420" t="s">
        <v>1137</v>
      </c>
      <c r="G82" s="419" t="s">
        <v>1138</v>
      </c>
      <c r="H82" s="404" t="s">
        <v>1119</v>
      </c>
      <c r="I82" s="353" t="s">
        <v>1140</v>
      </c>
      <c r="J82" s="465" t="s">
        <v>13</v>
      </c>
      <c r="K82" s="536">
        <v>47245</v>
      </c>
      <c r="L82" s="354" t="s">
        <v>855</v>
      </c>
      <c r="M82" s="354">
        <v>2</v>
      </c>
      <c r="N82" s="355" t="s">
        <v>1141</v>
      </c>
      <c r="O82" s="358" t="s">
        <v>482</v>
      </c>
      <c r="P82" s="344" t="s">
        <v>1152</v>
      </c>
      <c r="Q82" s="354" t="s">
        <v>884</v>
      </c>
      <c r="R82" s="354" t="s">
        <v>835</v>
      </c>
      <c r="S82" s="355" t="s">
        <v>813</v>
      </c>
      <c r="T82" s="356"/>
      <c r="U82" s="356">
        <f>MONTH(Table2[[#This Row],[Ngày
date]])</f>
        <v>7</v>
      </c>
      <c r="V82" s="384" t="str">
        <f t="shared" si="30"/>
        <v>07/05/2029</v>
      </c>
      <c r="W82" s="385" t="str">
        <f t="shared" si="31"/>
        <v>CHƯA NHẬP NGÀY</v>
      </c>
      <c r="X82" s="498" t="str">
        <f t="shared" si="24"/>
        <v>NA</v>
      </c>
      <c r="Y82" s="367" t="str">
        <f>HYPERLINK('Danh mục'!$D$1&amp;"20"&amp;MID(D82,8,2)&amp;"\"&amp;D82,D82)</f>
        <v>CC_700725-HN</v>
      </c>
      <c r="Z82" s="327">
        <f>YEAR(Table2[[#This Row],[Ngày
date]])</f>
        <v>2025</v>
      </c>
      <c r="AA82" s="327" t="str">
        <f t="shared" si="25"/>
        <v>HN</v>
      </c>
    </row>
    <row r="83" spans="1:27" ht="76.5" x14ac:dyDescent="0.2">
      <c r="A83" s="401">
        <f>IF(Table2[[#This Row],[Code 
CC- ]]="", "", A82+1)</f>
        <v>80</v>
      </c>
      <c r="B83" s="625" t="s">
        <v>2198</v>
      </c>
      <c r="C83" s="517">
        <v>45856</v>
      </c>
      <c r="D83" s="410" t="s">
        <v>1142</v>
      </c>
      <c r="E83" s="591"/>
      <c r="F83" s="420" t="s">
        <v>1148</v>
      </c>
      <c r="G83" s="419" t="s">
        <v>1149</v>
      </c>
      <c r="H83" s="404" t="s">
        <v>1143</v>
      </c>
      <c r="I83" s="353" t="s">
        <v>1144</v>
      </c>
      <c r="J83" s="466" t="s">
        <v>1036</v>
      </c>
      <c r="K83" s="537" t="s">
        <v>1146</v>
      </c>
      <c r="L83" s="354" t="s">
        <v>1147</v>
      </c>
      <c r="M83" s="354">
        <v>65</v>
      </c>
      <c r="N83" s="355" t="s">
        <v>1145</v>
      </c>
      <c r="O83" s="358" t="s">
        <v>1742</v>
      </c>
      <c r="P83" s="344" t="s">
        <v>1153</v>
      </c>
      <c r="Q83" s="354"/>
      <c r="R83" s="354"/>
      <c r="S83" s="355" t="s">
        <v>799</v>
      </c>
      <c r="T83" s="356"/>
      <c r="U83" s="356">
        <f>MONTH(Table2[[#This Row],[Ngày
date]])</f>
        <v>7</v>
      </c>
      <c r="V83" s="384" t="str">
        <f t="shared" si="30"/>
        <v xml:space="preserve"> 
31/03/2027</v>
      </c>
      <c r="W83" s="385" t="str">
        <f t="shared" si="31"/>
        <v>CHƯA NHẬP NGÀY</v>
      </c>
      <c r="X83" s="498" t="str">
        <f t="shared" si="24"/>
        <v>01/04/2024</v>
      </c>
      <c r="Y83" s="367" t="str">
        <f>HYPERLINK('Danh mục'!$D$1&amp;"20"&amp;MID(D83,8,2)&amp;"\"&amp;D83,D83)</f>
        <v>CC_710725-HN</v>
      </c>
      <c r="Z83" s="327">
        <f>YEAR(Table2[[#This Row],[Ngày
date]])</f>
        <v>2025</v>
      </c>
      <c r="AA83" s="327" t="str">
        <f t="shared" si="25"/>
        <v>HN</v>
      </c>
    </row>
    <row r="84" spans="1:27" ht="229.5" x14ac:dyDescent="0.2">
      <c r="A84" s="401">
        <f>IF(Table2[[#This Row],[Code 
CC- ]]="", "", A83+1)</f>
        <v>81</v>
      </c>
      <c r="B84" s="625" t="s">
        <v>2151</v>
      </c>
      <c r="C84" s="517">
        <v>45859</v>
      </c>
      <c r="D84" s="410" t="s">
        <v>1156</v>
      </c>
      <c r="E84" s="591"/>
      <c r="F84" s="412" t="s">
        <v>1157</v>
      </c>
      <c r="G84" s="405" t="s">
        <v>1158</v>
      </c>
      <c r="H84" s="404" t="s">
        <v>1159</v>
      </c>
      <c r="I84" s="353" t="s">
        <v>13</v>
      </c>
      <c r="J84" s="460" t="s">
        <v>13</v>
      </c>
      <c r="K84" s="534" t="s">
        <v>13</v>
      </c>
      <c r="L84" s="353" t="s">
        <v>13</v>
      </c>
      <c r="M84" s="353" t="s">
        <v>13</v>
      </c>
      <c r="N84" s="344" t="s">
        <v>1160</v>
      </c>
      <c r="O84" s="344" t="s">
        <v>13</v>
      </c>
      <c r="P84" s="344" t="s">
        <v>1161</v>
      </c>
      <c r="Q84" s="343"/>
      <c r="R84" s="343"/>
      <c r="S84" s="344" t="s">
        <v>815</v>
      </c>
      <c r="T84" s="345"/>
      <c r="U84" s="345">
        <f>MONTH(Table2[[#This Row],[Ngày
date]])</f>
        <v>7</v>
      </c>
      <c r="V84" s="375" t="str">
        <f t="shared" ref="V84:V89" si="32">IF(K84="","CHƯA NHẬP NGÀY",TEXT(K84,"dd/mm/yyyy"))</f>
        <v>NA</v>
      </c>
      <c r="W84" s="376" t="str">
        <f t="shared" ref="W84:W89" si="33">IF(T84="","CHƯA NHẬP NGÀY",TEXT(T84,"dd/mm/yyyy"))</f>
        <v>CHƯA NHẬP NGÀY</v>
      </c>
      <c r="X84" s="495" t="str">
        <f t="shared" si="24"/>
        <v>NA</v>
      </c>
      <c r="Y84" s="367" t="str">
        <f>HYPERLINK('Danh mục'!$D$1&amp;"20"&amp;MID(D84,8,2)&amp;"\"&amp;D84,D84)</f>
        <v>CC_720725-HCM</v>
      </c>
      <c r="Z84" s="327">
        <f>YEAR(Table2[[#This Row],[Ngày
date]])</f>
        <v>2025</v>
      </c>
      <c r="AA84" s="327" t="str">
        <f t="shared" si="25"/>
        <v>HCM</v>
      </c>
    </row>
    <row r="85" spans="1:27" ht="102" x14ac:dyDescent="0.2">
      <c r="A85" s="401">
        <f>IF(Table2[[#This Row],[Code 
CC- ]]="", "", A84+1)</f>
        <v>82</v>
      </c>
      <c r="B85" s="625" t="s">
        <v>2160</v>
      </c>
      <c r="C85" s="517">
        <v>45860</v>
      </c>
      <c r="D85" s="410" t="s">
        <v>1162</v>
      </c>
      <c r="E85" s="410"/>
      <c r="F85" s="421" t="s">
        <v>1163</v>
      </c>
      <c r="G85" s="421" t="s">
        <v>1177</v>
      </c>
      <c r="H85" s="404" t="s">
        <v>196</v>
      </c>
      <c r="I85" s="353" t="s">
        <v>1180</v>
      </c>
      <c r="J85" s="464" t="s">
        <v>13</v>
      </c>
      <c r="K85" s="535">
        <v>46368</v>
      </c>
      <c r="L85" s="357" t="s">
        <v>1165</v>
      </c>
      <c r="M85" s="357">
        <v>5</v>
      </c>
      <c r="N85" s="358" t="s">
        <v>1164</v>
      </c>
      <c r="O85" s="358" t="s">
        <v>482</v>
      </c>
      <c r="P85" s="355" t="s">
        <v>1168</v>
      </c>
      <c r="Q85" s="354"/>
      <c r="R85" s="354"/>
      <c r="S85" s="355" t="s">
        <v>813</v>
      </c>
      <c r="T85" s="356"/>
      <c r="U85" s="356">
        <f>MONTH(Table2[[#This Row],[Ngày
date]])</f>
        <v>7</v>
      </c>
      <c r="V85" s="384" t="str">
        <f t="shared" si="32"/>
        <v>12/12/2026</v>
      </c>
      <c r="W85" s="385" t="str">
        <f t="shared" si="33"/>
        <v>CHƯA NHẬP NGÀY</v>
      </c>
      <c r="X85" s="498" t="str">
        <f t="shared" si="24"/>
        <v>NA</v>
      </c>
      <c r="Y85" s="367" t="str">
        <f>HYPERLINK('Danh mục'!$D$1&amp;"20"&amp;MID(D85,8,2)&amp;"\"&amp;D85,D85)</f>
        <v>CC_730725-HCM</v>
      </c>
      <c r="Z85" s="327">
        <f>YEAR(Table2[[#This Row],[Ngày
date]])</f>
        <v>2025</v>
      </c>
      <c r="AA85" s="327" t="str">
        <f t="shared" si="25"/>
        <v>HCM</v>
      </c>
    </row>
    <row r="86" spans="1:27" s="370" customFormat="1" ht="66.599999999999994" customHeight="1" x14ac:dyDescent="0.2">
      <c r="A86" s="401">
        <f>IF(Table2[[#This Row],[Code 
CC- ]]="", "", A85+1)</f>
        <v>83</v>
      </c>
      <c r="B86" s="625" t="s">
        <v>2155</v>
      </c>
      <c r="C86" s="517">
        <v>45861</v>
      </c>
      <c r="D86" s="415" t="s">
        <v>1166</v>
      </c>
      <c r="E86" s="592"/>
      <c r="F86" s="416" t="s">
        <v>1171</v>
      </c>
      <c r="G86" s="417" t="s">
        <v>1193</v>
      </c>
      <c r="H86" s="402" t="s">
        <v>1169</v>
      </c>
      <c r="I86" s="364" t="s">
        <v>1172</v>
      </c>
      <c r="J86" s="467">
        <v>45649</v>
      </c>
      <c r="K86" s="528">
        <v>46744</v>
      </c>
      <c r="L86" s="334" t="s">
        <v>507</v>
      </c>
      <c r="M86" s="334">
        <v>6</v>
      </c>
      <c r="N86" s="335" t="s">
        <v>1174</v>
      </c>
      <c r="O86" s="335" t="s">
        <v>482</v>
      </c>
      <c r="P86" s="348" t="s">
        <v>1209</v>
      </c>
      <c r="Q86" s="349"/>
      <c r="R86" s="349"/>
      <c r="S86" s="348" t="s">
        <v>813</v>
      </c>
      <c r="T86" s="350"/>
      <c r="U86" s="350">
        <f>MONTH(Table2[[#This Row],[Ngày
date]])</f>
        <v>7</v>
      </c>
      <c r="V86" s="375" t="str">
        <f t="shared" si="32"/>
        <v>23/12/2027</v>
      </c>
      <c r="W86" s="376" t="str">
        <f t="shared" si="33"/>
        <v>CHƯA NHẬP NGÀY</v>
      </c>
      <c r="X86" s="495" t="str">
        <f t="shared" si="24"/>
        <v>23/12/2024</v>
      </c>
      <c r="Y86" s="367" t="str">
        <f>HYPERLINK('Danh mục'!$D$1&amp;"20"&amp;MID(D86,8,2)&amp;"\"&amp;D86,D86)</f>
        <v>CC_740725-HCM</v>
      </c>
      <c r="Z86" s="370">
        <f>YEAR(Table2[[#This Row],[Ngày
date]])</f>
        <v>2025</v>
      </c>
      <c r="AA86" s="370" t="str">
        <f t="shared" si="25"/>
        <v>HCM</v>
      </c>
    </row>
    <row r="87" spans="1:27" s="370" customFormat="1" ht="68.849999999999994" customHeight="1" x14ac:dyDescent="0.2">
      <c r="A87" s="401">
        <f>IF(Table2[[#This Row],[Code 
CC- ]]="", "", A86+1)</f>
        <v>84</v>
      </c>
      <c r="B87" s="625" t="s">
        <v>2155</v>
      </c>
      <c r="C87" s="517">
        <v>45861</v>
      </c>
      <c r="D87" s="402" t="s">
        <v>1166</v>
      </c>
      <c r="E87" s="592"/>
      <c r="F87" s="416" t="s">
        <v>1171</v>
      </c>
      <c r="G87" s="422" t="s">
        <v>1193</v>
      </c>
      <c r="H87" s="402" t="s">
        <v>1170</v>
      </c>
      <c r="I87" s="364" t="s">
        <v>1173</v>
      </c>
      <c r="J87" s="467">
        <v>45567</v>
      </c>
      <c r="K87" s="528">
        <v>46662</v>
      </c>
      <c r="L87" s="334" t="s">
        <v>507</v>
      </c>
      <c r="M87" s="334">
        <v>5</v>
      </c>
      <c r="N87" s="335" t="s">
        <v>1174</v>
      </c>
      <c r="O87" s="335" t="s">
        <v>482</v>
      </c>
      <c r="P87" s="348" t="s">
        <v>1209</v>
      </c>
      <c r="Q87" s="334"/>
      <c r="R87" s="334"/>
      <c r="S87" s="335" t="s">
        <v>813</v>
      </c>
      <c r="T87" s="341"/>
      <c r="U87" s="341">
        <f>MONTH(Table2[[#This Row],[Ngày
date]])</f>
        <v>7</v>
      </c>
      <c r="V87" s="365" t="str">
        <f t="shared" si="32"/>
        <v>02/10/2027</v>
      </c>
      <c r="W87" s="366" t="str">
        <f t="shared" si="33"/>
        <v>CHƯA NHẬP NGÀY</v>
      </c>
      <c r="X87" s="495" t="str">
        <f t="shared" si="24"/>
        <v>02/10/2024</v>
      </c>
      <c r="Y87" s="367" t="str">
        <f>HYPERLINK('Danh mục'!$D$1&amp;"20"&amp;MID(D87,8,2)&amp;"\"&amp;D87,D87)</f>
        <v>CC_740725-HCM</v>
      </c>
      <c r="Z87" s="370">
        <f>YEAR(Table2[[#This Row],[Ngày
date]])</f>
        <v>2025</v>
      </c>
      <c r="AA87" s="370" t="str">
        <f t="shared" si="25"/>
        <v>HCM</v>
      </c>
    </row>
    <row r="88" spans="1:27" ht="63.75" x14ac:dyDescent="0.2">
      <c r="A88" s="401">
        <f>IF(Table2[[#This Row],[Code 
CC- ]]="", "", A87+1)</f>
        <v>85</v>
      </c>
      <c r="B88" s="625" t="s">
        <v>2150</v>
      </c>
      <c r="C88" s="517">
        <v>45862</v>
      </c>
      <c r="D88" s="410" t="s">
        <v>1167</v>
      </c>
      <c r="E88" s="591"/>
      <c r="F88" s="420" t="s">
        <v>1179</v>
      </c>
      <c r="G88" s="419" t="s">
        <v>1178</v>
      </c>
      <c r="H88" s="404" t="s">
        <v>1047</v>
      </c>
      <c r="I88" s="353" t="s">
        <v>1182</v>
      </c>
      <c r="J88" s="390" t="s">
        <v>1183</v>
      </c>
      <c r="K88" s="535">
        <v>46446</v>
      </c>
      <c r="L88" s="357"/>
      <c r="M88" s="357"/>
      <c r="N88" s="358" t="s">
        <v>1181</v>
      </c>
      <c r="O88" s="358" t="s">
        <v>482</v>
      </c>
      <c r="P88" s="355" t="s">
        <v>1191</v>
      </c>
      <c r="Q88" s="354"/>
      <c r="R88" s="354"/>
      <c r="S88" s="355" t="s">
        <v>813</v>
      </c>
      <c r="T88" s="356"/>
      <c r="U88" s="356">
        <f>MONTH(Table2[[#This Row],[Ngày
date]])</f>
        <v>7</v>
      </c>
      <c r="V88" s="384" t="str">
        <f t="shared" si="32"/>
        <v>28/02/2027</v>
      </c>
      <c r="W88" s="385" t="str">
        <f t="shared" si="33"/>
        <v>CHƯA NHẬP NGÀY</v>
      </c>
      <c r="X88" s="498" t="str">
        <f t="shared" si="24"/>
        <v>01/02/2024</v>
      </c>
      <c r="Y88" s="367" t="str">
        <f>HYPERLINK('Danh mục'!$D$1&amp;"20"&amp;MID(D88,8,2)&amp;"\"&amp;D88,D88)</f>
        <v>CC_750725-HN</v>
      </c>
      <c r="Z88" s="327">
        <f>YEAR(Table2[[#This Row],[Ngày
date]])</f>
        <v>2025</v>
      </c>
      <c r="AA88" s="327" t="str">
        <f t="shared" si="25"/>
        <v>HN</v>
      </c>
    </row>
    <row r="89" spans="1:27" ht="153" x14ac:dyDescent="0.2">
      <c r="A89" s="401">
        <f>IF(Table2[[#This Row],[Code 
CC- ]]="", "", A88+1)</f>
        <v>86</v>
      </c>
      <c r="B89" s="625" t="s">
        <v>2151</v>
      </c>
      <c r="C89" s="517">
        <v>45863</v>
      </c>
      <c r="D89" s="410" t="s">
        <v>1175</v>
      </c>
      <c r="E89" s="591"/>
      <c r="F89" s="420" t="s">
        <v>921</v>
      </c>
      <c r="G89" s="413" t="s">
        <v>922</v>
      </c>
      <c r="H89" s="404" t="s">
        <v>217</v>
      </c>
      <c r="I89" s="353" t="s">
        <v>13</v>
      </c>
      <c r="J89" s="460" t="s">
        <v>13</v>
      </c>
      <c r="K89" s="534" t="s">
        <v>13</v>
      </c>
      <c r="L89" s="353" t="s">
        <v>13</v>
      </c>
      <c r="M89" s="353" t="s">
        <v>13</v>
      </c>
      <c r="N89" s="355" t="s">
        <v>1176</v>
      </c>
      <c r="O89" s="355" t="s">
        <v>13</v>
      </c>
      <c r="P89" s="355" t="s">
        <v>1239</v>
      </c>
      <c r="Q89" s="354"/>
      <c r="R89" s="354"/>
      <c r="S89" s="355" t="s">
        <v>953</v>
      </c>
      <c r="T89" s="356"/>
      <c r="U89" s="356">
        <f>MONTH(Table2[[#This Row],[Ngày
date]])</f>
        <v>7</v>
      </c>
      <c r="V89" s="384" t="str">
        <f t="shared" si="32"/>
        <v>NA</v>
      </c>
      <c r="W89" s="385" t="str">
        <f t="shared" si="33"/>
        <v>CHƯA NHẬP NGÀY</v>
      </c>
      <c r="X89" s="498" t="str">
        <f t="shared" si="24"/>
        <v>NA</v>
      </c>
      <c r="Y89" s="367" t="str">
        <f>HYPERLINK('Danh mục'!$D$1&amp;"20"&amp;MID(D89,8,2)&amp;"\"&amp;D89,D89)</f>
        <v>CC_760725-HCM</v>
      </c>
      <c r="Z89" s="327">
        <f>YEAR(Table2[[#This Row],[Ngày
date]])</f>
        <v>2025</v>
      </c>
      <c r="AA89" s="327" t="str">
        <f t="shared" si="25"/>
        <v>HCM</v>
      </c>
    </row>
    <row r="90" spans="1:27" ht="63.75" x14ac:dyDescent="0.2">
      <c r="A90" s="401">
        <f>IF(Table2[[#This Row],[Code 
CC- ]]="", "", A89+1)</f>
        <v>87</v>
      </c>
      <c r="B90" s="625" t="s">
        <v>2158</v>
      </c>
      <c r="C90" s="517">
        <v>45863</v>
      </c>
      <c r="D90" s="410" t="s">
        <v>1187</v>
      </c>
      <c r="E90" s="591"/>
      <c r="F90" s="420" t="s">
        <v>1186</v>
      </c>
      <c r="G90" s="419" t="s">
        <v>1188</v>
      </c>
      <c r="H90" s="404" t="s">
        <v>539</v>
      </c>
      <c r="I90" s="353" t="s">
        <v>1184</v>
      </c>
      <c r="J90" s="463">
        <v>45642</v>
      </c>
      <c r="K90" s="536">
        <v>46371</v>
      </c>
      <c r="L90" s="354" t="s">
        <v>507</v>
      </c>
      <c r="M90" s="354">
        <v>1</v>
      </c>
      <c r="N90" s="355" t="s">
        <v>1185</v>
      </c>
      <c r="O90" s="358" t="s">
        <v>482</v>
      </c>
      <c r="P90" s="355" t="s">
        <v>1238</v>
      </c>
      <c r="Q90" s="354"/>
      <c r="R90" s="354"/>
      <c r="S90" s="355" t="s">
        <v>799</v>
      </c>
      <c r="T90" s="356"/>
      <c r="U90" s="356">
        <f>MONTH(Table2[[#This Row],[Ngày
date]])</f>
        <v>7</v>
      </c>
      <c r="V90" s="384" t="str">
        <f t="shared" ref="V90:V96" si="34">IF(K90="","CHƯA NHẬP NGÀY",TEXT(K90,"dd/mm/yyyy"))</f>
        <v>15/12/2026</v>
      </c>
      <c r="W90" s="385" t="str">
        <f t="shared" ref="W90:W96" si="35">IF(T90="","CHƯA NHẬP NGÀY",TEXT(T90,"dd/mm/yyyy"))</f>
        <v>CHƯA NHẬP NGÀY</v>
      </c>
      <c r="X90" s="498" t="str">
        <f t="shared" si="24"/>
        <v>16/12/2024</v>
      </c>
      <c r="Y90" s="367" t="str">
        <f>HYPERLINK('Danh mục'!$D$1&amp;"20"&amp;MID(D90,8,2)&amp;"\"&amp;D90,D90)</f>
        <v>CC_770725-HCM</v>
      </c>
      <c r="Z90" s="327">
        <f>YEAR(Table2[[#This Row],[Ngày
date]])</f>
        <v>2025</v>
      </c>
      <c r="AA90" s="327" t="str">
        <f t="shared" si="25"/>
        <v>HCM</v>
      </c>
    </row>
    <row r="91" spans="1:27" ht="63.75" x14ac:dyDescent="0.2">
      <c r="A91" s="401">
        <f>IF(Table2[[#This Row],[Code 
CC- ]]="", "", A90+1)</f>
        <v>88</v>
      </c>
      <c r="B91" s="625" t="s">
        <v>2155</v>
      </c>
      <c r="C91" s="517">
        <v>45868</v>
      </c>
      <c r="D91" s="410" t="s">
        <v>1196</v>
      </c>
      <c r="E91" s="591"/>
      <c r="F91" s="420" t="s">
        <v>47</v>
      </c>
      <c r="G91" s="419" t="s">
        <v>41</v>
      </c>
      <c r="H91" s="404" t="s">
        <v>1169</v>
      </c>
      <c r="I91" s="353" t="s">
        <v>1173</v>
      </c>
      <c r="J91" s="465" t="s">
        <v>13</v>
      </c>
      <c r="K91" s="536">
        <v>46662</v>
      </c>
      <c r="L91" s="354" t="s">
        <v>394</v>
      </c>
      <c r="M91" s="354">
        <v>1</v>
      </c>
      <c r="N91" s="355" t="s">
        <v>1197</v>
      </c>
      <c r="O91" s="358" t="s">
        <v>482</v>
      </c>
      <c r="P91" s="355" t="s">
        <v>1237</v>
      </c>
      <c r="Q91" s="354"/>
      <c r="R91" s="354"/>
      <c r="S91" s="355" t="s">
        <v>813</v>
      </c>
      <c r="T91" s="356"/>
      <c r="U91" s="356">
        <f>MONTH(Table2[[#This Row],[Ngày
date]])</f>
        <v>7</v>
      </c>
      <c r="V91" s="384" t="str">
        <f t="shared" si="34"/>
        <v>02/10/2027</v>
      </c>
      <c r="W91" s="385" t="str">
        <f t="shared" si="35"/>
        <v>CHƯA NHẬP NGÀY</v>
      </c>
      <c r="X91" s="498" t="str">
        <f t="shared" si="24"/>
        <v>NA</v>
      </c>
      <c r="Y91" s="367" t="str">
        <f>HYPERLINK('Danh mục'!$D$1&amp;"20"&amp;MID(D91,8,2)&amp;"\"&amp;D91,D91)</f>
        <v>CC_780725-HCM</v>
      </c>
      <c r="Z91" s="327">
        <f>YEAR(Table2[[#This Row],[Ngày
date]])</f>
        <v>2025</v>
      </c>
      <c r="AA91" s="327" t="str">
        <f t="shared" si="25"/>
        <v>HCM</v>
      </c>
    </row>
    <row r="92" spans="1:27" ht="63.75" x14ac:dyDescent="0.2">
      <c r="A92" s="401">
        <f>IF(Table2[[#This Row],[Code 
CC- ]]="", "", A91+1)</f>
        <v>89</v>
      </c>
      <c r="B92" s="625" t="s">
        <v>2153</v>
      </c>
      <c r="C92" s="517">
        <v>45869</v>
      </c>
      <c r="D92" s="410" t="s">
        <v>1198</v>
      </c>
      <c r="E92" s="591"/>
      <c r="F92" s="420" t="s">
        <v>1106</v>
      </c>
      <c r="G92" s="419" t="s">
        <v>1199</v>
      </c>
      <c r="H92" s="404" t="s">
        <v>1045</v>
      </c>
      <c r="I92" s="353" t="s">
        <v>1042</v>
      </c>
      <c r="J92" s="465" t="s">
        <v>13</v>
      </c>
      <c r="K92" s="536">
        <v>46312</v>
      </c>
      <c r="L92" s="354" t="s">
        <v>394</v>
      </c>
      <c r="M92" s="354">
        <v>1</v>
      </c>
      <c r="N92" s="355" t="s">
        <v>1200</v>
      </c>
      <c r="O92" s="358" t="s">
        <v>482</v>
      </c>
      <c r="P92" s="355" t="s">
        <v>1236</v>
      </c>
      <c r="Q92" s="354"/>
      <c r="R92" s="354"/>
      <c r="S92" s="355" t="s">
        <v>798</v>
      </c>
      <c r="T92" s="356"/>
      <c r="U92" s="356">
        <f>MONTH(Table2[[#This Row],[Ngày
date]])</f>
        <v>7</v>
      </c>
      <c r="V92" s="384" t="str">
        <f t="shared" si="34"/>
        <v>17/10/2026</v>
      </c>
      <c r="W92" s="385" t="str">
        <f t="shared" si="35"/>
        <v>CHƯA NHẬP NGÀY</v>
      </c>
      <c r="X92" s="498" t="str">
        <f t="shared" si="24"/>
        <v>NA</v>
      </c>
      <c r="Y92" s="367" t="str">
        <f>HYPERLINK('Danh mục'!$D$1&amp;"20"&amp;MID(D92,8,2)&amp;"\"&amp;D92,D92)</f>
        <v>CC_790725-HN</v>
      </c>
      <c r="Z92" s="327">
        <f>YEAR(Table2[[#This Row],[Ngày
date]])</f>
        <v>2025</v>
      </c>
      <c r="AA92" s="327" t="str">
        <f t="shared" si="25"/>
        <v>HN</v>
      </c>
    </row>
    <row r="93" spans="1:27" ht="38.25" x14ac:dyDescent="0.2">
      <c r="A93" s="401">
        <f>IF(Table2[[#This Row],[Code 
CC- ]]="", "", A92+1)</f>
        <v>90</v>
      </c>
      <c r="B93" s="625" t="s">
        <v>2162</v>
      </c>
      <c r="C93" s="517">
        <v>45874</v>
      </c>
      <c r="D93" s="410" t="s">
        <v>1202</v>
      </c>
      <c r="E93" s="591"/>
      <c r="F93" s="420" t="s">
        <v>1204</v>
      </c>
      <c r="G93" s="419" t="s">
        <v>1203</v>
      </c>
      <c r="H93" s="404" t="s">
        <v>474</v>
      </c>
      <c r="I93" s="353" t="s">
        <v>1206</v>
      </c>
      <c r="J93" s="465" t="s">
        <v>13</v>
      </c>
      <c r="K93" s="536">
        <v>46179</v>
      </c>
      <c r="L93" s="354" t="s">
        <v>1207</v>
      </c>
      <c r="M93" s="354">
        <v>24</v>
      </c>
      <c r="N93" s="355" t="s">
        <v>1205</v>
      </c>
      <c r="O93" s="355" t="s">
        <v>1053</v>
      </c>
      <c r="P93" s="355" t="s">
        <v>1234</v>
      </c>
      <c r="Q93" s="354" t="s">
        <v>1208</v>
      </c>
      <c r="R93" s="354" t="s">
        <v>835</v>
      </c>
      <c r="S93" s="355" t="s">
        <v>1255</v>
      </c>
      <c r="T93" s="356"/>
      <c r="U93" s="356">
        <f>MONTH(Table2[[#This Row],[Ngày
date]])</f>
        <v>8</v>
      </c>
      <c r="V93" s="384" t="str">
        <f t="shared" si="34"/>
        <v>06/06/2026</v>
      </c>
      <c r="W93" s="385" t="str">
        <f t="shared" si="35"/>
        <v>CHƯA NHẬP NGÀY</v>
      </c>
      <c r="X93" s="498" t="str">
        <f t="shared" si="24"/>
        <v>NA</v>
      </c>
      <c r="Y93" s="367" t="str">
        <f>HYPERLINK('Danh mục'!$D$1&amp;"20"&amp;MID(D93,8,2)&amp;"\"&amp;D93,D93)</f>
        <v>CC_800825-HCM</v>
      </c>
      <c r="Z93" s="327">
        <f>YEAR(Table2[[#This Row],[Ngày
date]])</f>
        <v>2025</v>
      </c>
      <c r="AA93" s="327" t="str">
        <f t="shared" si="25"/>
        <v>HCM</v>
      </c>
    </row>
    <row r="94" spans="1:27" ht="38.25" x14ac:dyDescent="0.2">
      <c r="A94" s="401">
        <f>IF(Table2[[#This Row],[Code 
CC- ]]="", "", A93+1)</f>
        <v>91</v>
      </c>
      <c r="B94" s="625" t="s">
        <v>2162</v>
      </c>
      <c r="C94" s="517">
        <v>45876</v>
      </c>
      <c r="D94" s="410" t="s">
        <v>1211</v>
      </c>
      <c r="E94" s="591"/>
      <c r="F94" s="423" t="s">
        <v>1212</v>
      </c>
      <c r="G94" s="419" t="s">
        <v>1213</v>
      </c>
      <c r="H94" s="414" t="s">
        <v>1214</v>
      </c>
      <c r="I94" s="378" t="s">
        <v>996</v>
      </c>
      <c r="J94" s="463">
        <v>45138</v>
      </c>
      <c r="K94" s="536">
        <v>46234</v>
      </c>
      <c r="L94" s="354" t="s">
        <v>65</v>
      </c>
      <c r="M94" s="354">
        <v>5</v>
      </c>
      <c r="N94" s="355" t="s">
        <v>1215</v>
      </c>
      <c r="O94" s="355" t="s">
        <v>1053</v>
      </c>
      <c r="P94" s="344" t="s">
        <v>1226</v>
      </c>
      <c r="Q94" s="354"/>
      <c r="R94" s="354"/>
      <c r="S94" s="355" t="s">
        <v>1255</v>
      </c>
      <c r="T94" s="356"/>
      <c r="U94" s="356">
        <f>MONTH(Table2[[#This Row],[Ngày
date]])</f>
        <v>8</v>
      </c>
      <c r="V94" s="384" t="str">
        <f t="shared" si="34"/>
        <v>31/07/2026</v>
      </c>
      <c r="W94" s="385" t="str">
        <f t="shared" si="35"/>
        <v>CHƯA NHẬP NGÀY</v>
      </c>
      <c r="X94" s="498" t="str">
        <f t="shared" si="24"/>
        <v>31/07/2023</v>
      </c>
      <c r="Y94" s="367" t="str">
        <f>HYPERLINK('Danh mục'!$D$1&amp;"20"&amp;MID(D94,8,2)&amp;"\"&amp;D94,D94)</f>
        <v>CC_810825-HCM</v>
      </c>
      <c r="Z94" s="327">
        <f>YEAR(Table2[[#This Row],[Ngày
date]])</f>
        <v>2025</v>
      </c>
      <c r="AA94" s="327" t="str">
        <f t="shared" si="25"/>
        <v>HCM</v>
      </c>
    </row>
    <row r="95" spans="1:27" ht="38.25" x14ac:dyDescent="0.2">
      <c r="A95" s="401">
        <f>IF(Table2[[#This Row],[Code 
CC- ]]="", "", A94+1)</f>
        <v>92</v>
      </c>
      <c r="B95" s="625" t="s">
        <v>2162</v>
      </c>
      <c r="C95" s="517">
        <v>45876</v>
      </c>
      <c r="D95" s="410" t="s">
        <v>1211</v>
      </c>
      <c r="E95" s="591"/>
      <c r="F95" s="423" t="s">
        <v>1212</v>
      </c>
      <c r="G95" s="419" t="s">
        <v>1213</v>
      </c>
      <c r="H95" s="414" t="s">
        <v>1214</v>
      </c>
      <c r="I95" s="378" t="s">
        <v>1135</v>
      </c>
      <c r="J95" s="463">
        <v>44930</v>
      </c>
      <c r="K95" s="536">
        <v>46026</v>
      </c>
      <c r="L95" s="354" t="s">
        <v>65</v>
      </c>
      <c r="M95" s="354">
        <v>1</v>
      </c>
      <c r="N95" s="355" t="s">
        <v>1215</v>
      </c>
      <c r="O95" s="355" t="s">
        <v>1053</v>
      </c>
      <c r="P95" s="344" t="s">
        <v>1226</v>
      </c>
      <c r="Q95" s="357"/>
      <c r="R95" s="357"/>
      <c r="S95" s="358" t="s">
        <v>1255</v>
      </c>
      <c r="T95" s="359"/>
      <c r="U95" s="359">
        <f>MONTH(Table2[[#This Row],[Ngày
date]])</f>
        <v>8</v>
      </c>
      <c r="V95" s="386" t="str">
        <f>IF(K95="","CHƯA NHẬP NGÀY",TEXT(K95,"dd/mm/yyyy"))</f>
        <v>04/01/2026</v>
      </c>
      <c r="W95" s="387" t="str">
        <f>IF(T95="","CHƯA NHẬP NGÀY",TEXT(T95,"dd/mm/yyyy"))</f>
        <v>CHƯA NHẬP NGÀY</v>
      </c>
      <c r="X95" s="498" t="str">
        <f t="shared" si="24"/>
        <v>04/01/2023</v>
      </c>
      <c r="Y95" s="367" t="str">
        <f>HYPERLINK('Danh mục'!$D$1&amp;"20"&amp;MID(D95,8,2)&amp;"\"&amp;D95,D95)</f>
        <v>CC_810825-HCM</v>
      </c>
      <c r="Z95" s="327">
        <f>YEAR(Table2[[#This Row],[Ngày
date]])</f>
        <v>2025</v>
      </c>
      <c r="AA95" s="327" t="str">
        <f t="shared" si="25"/>
        <v>HCM</v>
      </c>
    </row>
    <row r="96" spans="1:27" ht="38.25" x14ac:dyDescent="0.2">
      <c r="A96" s="401">
        <f>IF(Table2[[#This Row],[Code 
CC- ]]="", "", A95+1)</f>
        <v>93</v>
      </c>
      <c r="B96" s="625" t="s">
        <v>2150</v>
      </c>
      <c r="C96" s="517">
        <v>45880</v>
      </c>
      <c r="D96" s="410" t="s">
        <v>1217</v>
      </c>
      <c r="E96" s="591"/>
      <c r="F96" s="412" t="s">
        <v>1220</v>
      </c>
      <c r="G96" s="413" t="s">
        <v>1219</v>
      </c>
      <c r="H96" s="404" t="s">
        <v>1047</v>
      </c>
      <c r="I96" s="353" t="s">
        <v>1221</v>
      </c>
      <c r="J96" s="346" t="s">
        <v>13</v>
      </c>
      <c r="K96" s="536">
        <v>46326</v>
      </c>
      <c r="L96" s="354" t="s">
        <v>65</v>
      </c>
      <c r="M96" s="354">
        <v>19</v>
      </c>
      <c r="N96" s="344" t="s">
        <v>1235</v>
      </c>
      <c r="O96" s="358" t="s">
        <v>482</v>
      </c>
      <c r="P96" s="344" t="s">
        <v>1222</v>
      </c>
      <c r="Q96" s="354"/>
      <c r="R96" s="354"/>
      <c r="S96" s="355" t="s">
        <v>813</v>
      </c>
      <c r="T96" s="356"/>
      <c r="U96" s="356">
        <f>MONTH(Table2[[#This Row],[Ngày
date]])</f>
        <v>8</v>
      </c>
      <c r="V96" s="384" t="str">
        <f t="shared" si="34"/>
        <v>31/10/2026</v>
      </c>
      <c r="W96" s="385" t="str">
        <f t="shared" si="35"/>
        <v>CHƯA NHẬP NGÀY</v>
      </c>
      <c r="X96" s="498" t="str">
        <f t="shared" si="24"/>
        <v>NA</v>
      </c>
      <c r="Y96" s="367" t="str">
        <f>HYPERLINK('Danh mục'!$D$1&amp;"20"&amp;MID(D96,8,2)&amp;"\"&amp;D96,D96)</f>
        <v>CC_820825-HN</v>
      </c>
      <c r="Z96" s="327">
        <f>YEAR(Table2[[#This Row],[Ngày
date]])</f>
        <v>2025</v>
      </c>
      <c r="AA96" s="327" t="str">
        <f t="shared" si="25"/>
        <v>HN</v>
      </c>
    </row>
    <row r="97" spans="1:27" ht="89.25" x14ac:dyDescent="0.2">
      <c r="A97" s="401">
        <f>IF(Table2[[#This Row],[Code 
CC- ]]="", "", A96+1)</f>
        <v>94</v>
      </c>
      <c r="B97" s="625" t="s">
        <v>2152</v>
      </c>
      <c r="C97" s="517">
        <v>45882</v>
      </c>
      <c r="D97" s="410" t="s">
        <v>1223</v>
      </c>
      <c r="E97" s="591"/>
      <c r="F97" s="420" t="s">
        <v>402</v>
      </c>
      <c r="G97" s="413" t="s">
        <v>1259</v>
      </c>
      <c r="H97" s="404" t="s">
        <v>581</v>
      </c>
      <c r="I97" s="353" t="s">
        <v>1224</v>
      </c>
      <c r="J97" s="463">
        <v>45565</v>
      </c>
      <c r="K97" s="536">
        <v>46660</v>
      </c>
      <c r="L97" s="354" t="s">
        <v>65</v>
      </c>
      <c r="M97" s="354">
        <v>3</v>
      </c>
      <c r="N97" s="355" t="s">
        <v>1225</v>
      </c>
      <c r="O97" s="355" t="s">
        <v>736</v>
      </c>
      <c r="P97" s="344" t="s">
        <v>1233</v>
      </c>
      <c r="Q97" s="354" t="s">
        <v>1194</v>
      </c>
      <c r="R97" s="354"/>
      <c r="S97" s="355" t="s">
        <v>953</v>
      </c>
      <c r="T97" s="356"/>
      <c r="U97" s="356">
        <f>MONTH(Table2[[#This Row],[Ngày
date]])</f>
        <v>8</v>
      </c>
      <c r="V97" s="384" t="str">
        <f t="shared" ref="V97:V102" si="36">IF(K97="","CHƯA NHẬP NGÀY",TEXT(K97,"dd/mm/yyyy"))</f>
        <v>30/09/2027</v>
      </c>
      <c r="W97" s="385" t="str">
        <f t="shared" ref="W97:W102" si="37">IF(T97="","CHƯA NHẬP NGÀY",TEXT(T97,"dd/mm/yyyy"))</f>
        <v>CHƯA NHẬP NGÀY</v>
      </c>
      <c r="X97" s="498" t="str">
        <f t="shared" si="24"/>
        <v>30/09/2024</v>
      </c>
      <c r="Y97" s="367" t="str">
        <f>HYPERLINK('Danh mục'!$D$1&amp;"20"&amp;MID(D97,8,2)&amp;"\"&amp;D97,D97)</f>
        <v>CC_830825-HCM</v>
      </c>
      <c r="Z97" s="327">
        <f>YEAR(Table2[[#This Row],[Ngày
date]])</f>
        <v>2025</v>
      </c>
      <c r="AA97" s="327" t="str">
        <f t="shared" si="25"/>
        <v>HCM</v>
      </c>
    </row>
    <row r="98" spans="1:27" ht="51" x14ac:dyDescent="0.2">
      <c r="A98" s="401">
        <f>IF(Table2[[#This Row],[Code 
CC- ]]="", "", A97+1)</f>
        <v>95</v>
      </c>
      <c r="B98" s="625" t="s">
        <v>2150</v>
      </c>
      <c r="C98" s="517">
        <v>45882</v>
      </c>
      <c r="D98" s="410" t="s">
        <v>1227</v>
      </c>
      <c r="E98" s="591"/>
      <c r="F98" s="412" t="s">
        <v>1229</v>
      </c>
      <c r="G98" s="413" t="s">
        <v>1228</v>
      </c>
      <c r="H98" s="404" t="s">
        <v>1230</v>
      </c>
      <c r="I98" s="353" t="s">
        <v>1231</v>
      </c>
      <c r="J98" s="455">
        <v>45322</v>
      </c>
      <c r="K98" s="533">
        <v>46418</v>
      </c>
      <c r="L98" s="354" t="s">
        <v>65</v>
      </c>
      <c r="M98" s="343">
        <v>1</v>
      </c>
      <c r="N98" s="344" t="s">
        <v>1232</v>
      </c>
      <c r="O98" s="358" t="s">
        <v>482</v>
      </c>
      <c r="P98" s="344" t="s">
        <v>1103</v>
      </c>
      <c r="Q98" s="343"/>
      <c r="R98" s="343"/>
      <c r="S98" s="344" t="s">
        <v>1255</v>
      </c>
      <c r="T98" s="345"/>
      <c r="U98" s="345">
        <f>MONTH(Table2[[#This Row],[Ngày
date]])</f>
        <v>8</v>
      </c>
      <c r="V98" s="375" t="str">
        <f t="shared" si="36"/>
        <v>31/01/2027</v>
      </c>
      <c r="W98" s="376" t="str">
        <f t="shared" si="37"/>
        <v>CHƯA NHẬP NGÀY</v>
      </c>
      <c r="X98" s="495" t="str">
        <f t="shared" si="24"/>
        <v>31/01/2024</v>
      </c>
      <c r="Y98" s="367" t="str">
        <f>HYPERLINK('Danh mục'!$D$1&amp;"20"&amp;MID(D98,8,2)&amp;"\"&amp;D98,D98)</f>
        <v>CC_840825-HN</v>
      </c>
      <c r="Z98" s="327">
        <f>YEAR(Table2[[#This Row],[Ngày
date]])</f>
        <v>2025</v>
      </c>
      <c r="AA98" s="327" t="str">
        <f t="shared" si="25"/>
        <v>HN</v>
      </c>
    </row>
    <row r="99" spans="1:27" ht="51" x14ac:dyDescent="0.2">
      <c r="A99" s="401">
        <f>IF(Table2[[#This Row],[Code 
CC- ]]="", "", A98+1)</f>
        <v>96</v>
      </c>
      <c r="B99" s="625" t="s">
        <v>2151</v>
      </c>
      <c r="C99" s="517">
        <v>45882</v>
      </c>
      <c r="D99" s="410" t="s">
        <v>1243</v>
      </c>
      <c r="E99" s="591"/>
      <c r="F99" s="420" t="s">
        <v>954</v>
      </c>
      <c r="G99" s="419" t="s">
        <v>956</v>
      </c>
      <c r="H99" s="404" t="s">
        <v>1241</v>
      </c>
      <c r="I99" s="353" t="s">
        <v>1242</v>
      </c>
      <c r="J99" s="463">
        <v>44966</v>
      </c>
      <c r="K99" s="533">
        <v>46418</v>
      </c>
      <c r="L99" s="354" t="s">
        <v>65</v>
      </c>
      <c r="M99" s="354">
        <v>1</v>
      </c>
      <c r="N99" s="355" t="s">
        <v>1240</v>
      </c>
      <c r="O99" s="358" t="s">
        <v>482</v>
      </c>
      <c r="P99" s="344" t="s">
        <v>1103</v>
      </c>
      <c r="Q99" s="354"/>
      <c r="R99" s="354"/>
      <c r="S99" s="355" t="s">
        <v>798</v>
      </c>
      <c r="T99" s="356"/>
      <c r="U99" s="356">
        <f>MONTH(Table2[[#This Row],[Ngày
date]])</f>
        <v>8</v>
      </c>
      <c r="V99" s="384" t="str">
        <f t="shared" si="36"/>
        <v>31/01/2027</v>
      </c>
      <c r="W99" s="385" t="str">
        <f t="shared" si="37"/>
        <v>CHƯA NHẬP NGÀY</v>
      </c>
      <c r="X99" s="498" t="str">
        <f t="shared" si="24"/>
        <v>09/02/2023</v>
      </c>
      <c r="Y99" s="367" t="str">
        <f>HYPERLINK('Danh mục'!$D$1&amp;"20"&amp;MID(D99,8,2)&amp;"\"&amp;D99,D99)</f>
        <v>CC_850825-HCM</v>
      </c>
      <c r="Z99" s="327">
        <f>YEAR(Table2[[#This Row],[Ngày
date]])</f>
        <v>2025</v>
      </c>
      <c r="AA99" s="327" t="str">
        <f t="shared" si="25"/>
        <v>HCM</v>
      </c>
    </row>
    <row r="100" spans="1:27" ht="306" x14ac:dyDescent="0.2">
      <c r="A100" s="401">
        <f>IF(Table2[[#This Row],[Code 
CC- ]]="", "", A99+1)</f>
        <v>97</v>
      </c>
      <c r="B100" s="625" t="s">
        <v>2151</v>
      </c>
      <c r="C100" s="517">
        <v>45883</v>
      </c>
      <c r="D100" s="410" t="s">
        <v>1244</v>
      </c>
      <c r="E100" s="591"/>
      <c r="F100" s="412" t="s">
        <v>1247</v>
      </c>
      <c r="G100" s="413" t="s">
        <v>1251</v>
      </c>
      <c r="H100" s="404" t="s">
        <v>1092</v>
      </c>
      <c r="I100" s="353" t="s">
        <v>1248</v>
      </c>
      <c r="J100" s="455">
        <v>45432</v>
      </c>
      <c r="K100" s="533" t="s">
        <v>1249</v>
      </c>
      <c r="L100" s="354" t="s">
        <v>65</v>
      </c>
      <c r="M100" s="354">
        <v>1</v>
      </c>
      <c r="N100" s="344" t="s">
        <v>1250</v>
      </c>
      <c r="O100" s="358" t="s">
        <v>482</v>
      </c>
      <c r="P100" s="344" t="s">
        <v>1103</v>
      </c>
      <c r="Q100" s="354"/>
      <c r="R100" s="354"/>
      <c r="S100" s="355" t="s">
        <v>1254</v>
      </c>
      <c r="T100" s="356"/>
      <c r="U100" s="356">
        <f>MONTH(Table2[[#This Row],[Ngày
date]])</f>
        <v>8</v>
      </c>
      <c r="V100" s="384" t="str">
        <f t="shared" si="36"/>
        <v xml:space="preserve">30/04/2027    </v>
      </c>
      <c r="W100" s="385" t="str">
        <f t="shared" si="37"/>
        <v>CHƯA NHẬP NGÀY</v>
      </c>
      <c r="X100" s="498" t="str">
        <f t="shared" ref="X100:X131" si="38">IF(J100="","CHƯA NHẬP NGÀY",TEXT(J100,"dd/mm/yyyy"))</f>
        <v>20/05/2024</v>
      </c>
      <c r="Y100" s="367" t="str">
        <f>HYPERLINK('Danh mục'!$D$1&amp;"20"&amp;MID(D100,8,2)&amp;"\"&amp;D100,D100)</f>
        <v>CC_860825-HCM</v>
      </c>
      <c r="Z100" s="327">
        <f>YEAR(Table2[[#This Row],[Ngày
date]])</f>
        <v>2025</v>
      </c>
      <c r="AA100" s="327" t="str">
        <f t="shared" ref="AA100:AA131" si="39">IF(ISNUMBER(SEARCH("HCM",D100)),"HCM",
IF(ISNUMBER(SEARCH("HN",D100)),"HN",
IF(ISNUMBER(SEARCH("ĐN",D100)),"ĐN","")))</f>
        <v>HCM</v>
      </c>
    </row>
    <row r="101" spans="1:27" ht="51" x14ac:dyDescent="0.2">
      <c r="A101" s="401">
        <f>IF(Table2[[#This Row],[Code 
CC- ]]="", "", A100+1)</f>
        <v>98</v>
      </c>
      <c r="B101" s="625" t="s">
        <v>2151</v>
      </c>
      <c r="C101" s="517">
        <v>45884</v>
      </c>
      <c r="D101" s="410" t="s">
        <v>1245</v>
      </c>
      <c r="E101" s="591"/>
      <c r="F101" s="420" t="s">
        <v>1246</v>
      </c>
      <c r="G101" s="413" t="s">
        <v>1252</v>
      </c>
      <c r="H101" s="404" t="s">
        <v>586</v>
      </c>
      <c r="I101" s="353" t="s">
        <v>1095</v>
      </c>
      <c r="J101" s="455">
        <v>45236</v>
      </c>
      <c r="K101" s="536">
        <v>46326</v>
      </c>
      <c r="L101" s="354" t="s">
        <v>65</v>
      </c>
      <c r="M101" s="354">
        <v>1</v>
      </c>
      <c r="N101" s="344" t="s">
        <v>1253</v>
      </c>
      <c r="O101" s="358" t="s">
        <v>482</v>
      </c>
      <c r="P101" s="344" t="s">
        <v>1277</v>
      </c>
      <c r="Q101" s="354"/>
      <c r="R101" s="354"/>
      <c r="S101" s="355" t="s">
        <v>1254</v>
      </c>
      <c r="T101" s="356"/>
      <c r="U101" s="356">
        <f>MONTH(Table2[[#This Row],[Ngày
date]])</f>
        <v>8</v>
      </c>
      <c r="V101" s="384" t="str">
        <f t="shared" si="36"/>
        <v>31/10/2026</v>
      </c>
      <c r="W101" s="385" t="str">
        <f t="shared" si="37"/>
        <v>CHƯA NHẬP NGÀY</v>
      </c>
      <c r="X101" s="498" t="str">
        <f t="shared" si="38"/>
        <v>06/11/2023</v>
      </c>
      <c r="Y101" s="367" t="str">
        <f>HYPERLINK('Danh mục'!$D$1&amp;"20"&amp;MID(D101,8,2)&amp;"\"&amp;D101,D101)</f>
        <v>CC_870825-HCM</v>
      </c>
      <c r="Z101" s="327">
        <f>YEAR(Table2[[#This Row],[Ngày
date]])</f>
        <v>2025</v>
      </c>
      <c r="AA101" s="327" t="str">
        <f t="shared" si="39"/>
        <v>HCM</v>
      </c>
    </row>
    <row r="102" spans="1:27" ht="51" x14ac:dyDescent="0.2">
      <c r="A102" s="401">
        <f>IF(Table2[[#This Row],[Code 
CC- ]]="", "", A101+1)</f>
        <v>99</v>
      </c>
      <c r="B102" s="625" t="s">
        <v>2198</v>
      </c>
      <c r="C102" s="517">
        <v>45887</v>
      </c>
      <c r="D102" s="410" t="s">
        <v>1261</v>
      </c>
      <c r="E102" s="591"/>
      <c r="F102" s="412" t="s">
        <v>1271</v>
      </c>
      <c r="G102" s="413" t="s">
        <v>1272</v>
      </c>
      <c r="H102" s="414" t="s">
        <v>1260</v>
      </c>
      <c r="I102" s="378" t="s">
        <v>1273</v>
      </c>
      <c r="J102" s="346" t="s">
        <v>13</v>
      </c>
      <c r="K102" s="536">
        <v>46345</v>
      </c>
      <c r="L102" s="343" t="s">
        <v>65</v>
      </c>
      <c r="M102" s="354">
        <v>2</v>
      </c>
      <c r="N102" s="344" t="s">
        <v>1274</v>
      </c>
      <c r="O102" s="358" t="s">
        <v>482</v>
      </c>
      <c r="P102" s="344" t="s">
        <v>1276</v>
      </c>
      <c r="Q102" s="354"/>
      <c r="R102" s="354"/>
      <c r="S102" s="355" t="s">
        <v>799</v>
      </c>
      <c r="T102" s="356"/>
      <c r="U102" s="356">
        <f>MONTH(Table2[[#This Row],[Ngày
date]])</f>
        <v>8</v>
      </c>
      <c r="V102" s="388" t="str">
        <f t="shared" si="36"/>
        <v>19/11/2026</v>
      </c>
      <c r="W102" s="389" t="str">
        <f t="shared" si="37"/>
        <v>CHƯA NHẬP NGÀY</v>
      </c>
      <c r="X102" s="499" t="str">
        <f t="shared" si="38"/>
        <v>NA</v>
      </c>
      <c r="Y102" s="367" t="str">
        <f>HYPERLINK('Danh mục'!$D$1&amp;"20"&amp;MID(D102,8,2)&amp;"\"&amp;D102,D102)</f>
        <v>CC_880825-HCM</v>
      </c>
      <c r="Z102" s="327">
        <f>YEAR(Table2[[#This Row],[Ngày
date]])</f>
        <v>2025</v>
      </c>
      <c r="AA102" s="327" t="str">
        <f t="shared" si="39"/>
        <v>HCM</v>
      </c>
    </row>
    <row r="103" spans="1:27" ht="51" x14ac:dyDescent="0.2">
      <c r="A103" s="401">
        <f>IF(Table2[[#This Row],[Code 
CC- ]]="", "", A102+1)</f>
        <v>100</v>
      </c>
      <c r="B103" s="625" t="s">
        <v>2153</v>
      </c>
      <c r="C103" s="517">
        <v>45891</v>
      </c>
      <c r="D103" s="410" t="s">
        <v>1266</v>
      </c>
      <c r="E103" s="591"/>
      <c r="F103" s="420" t="s">
        <v>1270</v>
      </c>
      <c r="G103" s="419" t="s">
        <v>701</v>
      </c>
      <c r="H103" s="404" t="s">
        <v>1265</v>
      </c>
      <c r="I103" s="353" t="s">
        <v>1267</v>
      </c>
      <c r="J103" s="463">
        <v>45520</v>
      </c>
      <c r="K103" s="536">
        <v>46614</v>
      </c>
      <c r="L103" s="343" t="s">
        <v>523</v>
      </c>
      <c r="M103" s="354">
        <v>1</v>
      </c>
      <c r="N103" s="355" t="s">
        <v>1268</v>
      </c>
      <c r="O103" s="358" t="s">
        <v>482</v>
      </c>
      <c r="P103" s="344" t="s">
        <v>1333</v>
      </c>
      <c r="Q103" s="354" t="s">
        <v>312</v>
      </c>
      <c r="R103" s="354" t="s">
        <v>1275</v>
      </c>
      <c r="S103" s="355" t="s">
        <v>1255</v>
      </c>
      <c r="T103" s="356">
        <v>45967</v>
      </c>
      <c r="U103" s="356">
        <f>MONTH(Table2[[#This Row],[Ngày
date]])</f>
        <v>8</v>
      </c>
      <c r="V103" s="388" t="str">
        <f t="shared" ref="V103:V108" si="40">IF(K103="","CHƯA NHẬP NGÀY",TEXT(K103,"dd/mm/yyyy"))</f>
        <v>15/08/2027</v>
      </c>
      <c r="W103" s="389" t="str">
        <f t="shared" ref="W103:W108" si="41">IF(T103="","CHƯA NHẬP NGÀY",TEXT(T103,"dd/mm/yyyy"))</f>
        <v>06/11/2025</v>
      </c>
      <c r="X103" s="499" t="str">
        <f t="shared" si="38"/>
        <v>16/08/2024</v>
      </c>
      <c r="Z103" s="327">
        <f>YEAR(Table2[[#This Row],[Ngày
date]])</f>
        <v>2025</v>
      </c>
      <c r="AA103" s="327" t="str">
        <f t="shared" si="39"/>
        <v>HCM</v>
      </c>
    </row>
    <row r="104" spans="1:27" ht="51" x14ac:dyDescent="0.2">
      <c r="A104" s="401">
        <f>IF(Table2[[#This Row],[Code 
CC- ]]="", "", A103+1)</f>
        <v>101</v>
      </c>
      <c r="B104" s="625" t="s">
        <v>2153</v>
      </c>
      <c r="C104" s="517">
        <v>45891</v>
      </c>
      <c r="D104" s="410" t="s">
        <v>1266</v>
      </c>
      <c r="E104" s="591"/>
      <c r="F104" s="420" t="s">
        <v>1270</v>
      </c>
      <c r="G104" s="419" t="s">
        <v>701</v>
      </c>
      <c r="H104" s="424" t="s">
        <v>1265</v>
      </c>
      <c r="I104" s="353" t="s">
        <v>1017</v>
      </c>
      <c r="J104" s="463">
        <v>45522</v>
      </c>
      <c r="K104" s="536">
        <v>46616</v>
      </c>
      <c r="L104" s="343" t="s">
        <v>523</v>
      </c>
      <c r="M104" s="354">
        <v>1</v>
      </c>
      <c r="N104" s="355" t="s">
        <v>1269</v>
      </c>
      <c r="O104" s="358" t="s">
        <v>482</v>
      </c>
      <c r="P104" s="344" t="s">
        <v>1333</v>
      </c>
      <c r="Q104" s="354" t="s">
        <v>312</v>
      </c>
      <c r="R104" s="354" t="s">
        <v>1275</v>
      </c>
      <c r="S104" s="355" t="s">
        <v>1255</v>
      </c>
      <c r="T104" s="356">
        <v>45967</v>
      </c>
      <c r="U104" s="356">
        <f>MONTH(Table2[[#This Row],[Ngày
date]])</f>
        <v>8</v>
      </c>
      <c r="V104" s="388" t="str">
        <f t="shared" si="40"/>
        <v>17/08/2027</v>
      </c>
      <c r="W104" s="389" t="str">
        <f t="shared" si="41"/>
        <v>06/11/2025</v>
      </c>
      <c r="X104" s="499" t="str">
        <f t="shared" si="38"/>
        <v>18/08/2024</v>
      </c>
      <c r="Z104" s="327">
        <f>YEAR(Table2[[#This Row],[Ngày
date]])</f>
        <v>2025</v>
      </c>
      <c r="AA104" s="327" t="str">
        <f t="shared" si="39"/>
        <v>HCM</v>
      </c>
    </row>
    <row r="105" spans="1:27" ht="51" x14ac:dyDescent="0.2">
      <c r="A105" s="401">
        <f>IF(Table2[[#This Row],[Code 
CC- ]]="", "", A104+1)</f>
        <v>102</v>
      </c>
      <c r="B105" s="625" t="s">
        <v>2151</v>
      </c>
      <c r="C105" s="517">
        <v>45894</v>
      </c>
      <c r="D105" s="410" t="s">
        <v>1293</v>
      </c>
      <c r="E105" s="410"/>
      <c r="F105" s="421" t="s">
        <v>1278</v>
      </c>
      <c r="G105" s="421" t="s">
        <v>1279</v>
      </c>
      <c r="H105" s="404" t="s">
        <v>217</v>
      </c>
      <c r="I105" s="353" t="s">
        <v>1079</v>
      </c>
      <c r="J105" s="390" t="s">
        <v>1281</v>
      </c>
      <c r="K105" s="536">
        <v>46265</v>
      </c>
      <c r="L105" s="354" t="s">
        <v>523</v>
      </c>
      <c r="M105" s="354">
        <v>1</v>
      </c>
      <c r="N105" s="355" t="s">
        <v>1280</v>
      </c>
      <c r="O105" s="358" t="s">
        <v>482</v>
      </c>
      <c r="P105" s="344" t="s">
        <v>1287</v>
      </c>
      <c r="Q105" s="354"/>
      <c r="R105" s="354"/>
      <c r="S105" s="355" t="s">
        <v>1256</v>
      </c>
      <c r="T105" s="356"/>
      <c r="U105" s="356">
        <f>MONTH(Table2[[#This Row],[Ngày
date]])</f>
        <v>8</v>
      </c>
      <c r="V105" s="388" t="str">
        <f t="shared" si="40"/>
        <v>31/08/2026</v>
      </c>
      <c r="W105" s="389" t="str">
        <f t="shared" si="41"/>
        <v>CHƯA NHẬP NGÀY</v>
      </c>
      <c r="X105" s="499" t="str">
        <f t="shared" si="38"/>
        <v>01/03/2024</v>
      </c>
      <c r="Y105" s="367" t="str">
        <f>HYPERLINK('Danh mục'!$D$1&amp;"20"&amp;MID(D105,8,2)&amp;"\"&amp;D105,D105)</f>
        <v>CC_900825-HCM-HUY</v>
      </c>
      <c r="Z105" s="327">
        <f>YEAR(Table2[[#This Row],[Ngày
date]])</f>
        <v>2025</v>
      </c>
      <c r="AA105" s="327" t="str">
        <f t="shared" si="39"/>
        <v>HCM</v>
      </c>
    </row>
    <row r="106" spans="1:27" ht="38.25" x14ac:dyDescent="0.2">
      <c r="A106" s="401">
        <f>IF(Table2[[#This Row],[Code 
CC- ]]="", "", A105+1)</f>
        <v>103</v>
      </c>
      <c r="B106" s="625" t="s">
        <v>2151</v>
      </c>
      <c r="C106" s="517">
        <v>45895</v>
      </c>
      <c r="D106" s="410" t="s">
        <v>1282</v>
      </c>
      <c r="E106" s="591"/>
      <c r="F106" s="412" t="s">
        <v>1283</v>
      </c>
      <c r="G106" s="419" t="s">
        <v>1286</v>
      </c>
      <c r="H106" s="404" t="s">
        <v>293</v>
      </c>
      <c r="I106" s="353" t="s">
        <v>1284</v>
      </c>
      <c r="J106" s="463">
        <v>45718</v>
      </c>
      <c r="K106" s="536">
        <v>46081</v>
      </c>
      <c r="L106" s="354" t="s">
        <v>43</v>
      </c>
      <c r="M106" s="354">
        <v>1</v>
      </c>
      <c r="N106" s="355" t="s">
        <v>1291</v>
      </c>
      <c r="O106" s="358" t="s">
        <v>482</v>
      </c>
      <c r="P106" s="355" t="s">
        <v>1292</v>
      </c>
      <c r="Q106" s="343" t="s">
        <v>312</v>
      </c>
      <c r="R106" s="343" t="s">
        <v>759</v>
      </c>
      <c r="S106" s="355" t="s">
        <v>798</v>
      </c>
      <c r="T106" s="356"/>
      <c r="U106" s="356">
        <f>MONTH(Table2[[#This Row],[Ngày
date]])</f>
        <v>8</v>
      </c>
      <c r="V106" s="388" t="str">
        <f t="shared" si="40"/>
        <v>28/02/2026</v>
      </c>
      <c r="W106" s="389" t="str">
        <f t="shared" si="41"/>
        <v>CHƯA NHẬP NGÀY</v>
      </c>
      <c r="X106" s="499" t="str">
        <f t="shared" si="38"/>
        <v>02/03/2025</v>
      </c>
      <c r="Y106" s="367" t="str">
        <f>HYPERLINK('Danh mục'!$D$1&amp;"20"&amp;MID(D106,8,2)&amp;"\"&amp;D106,D106)</f>
        <v>CC_910825-HCM</v>
      </c>
      <c r="Z106" s="327">
        <f>YEAR(Table2[[#This Row],[Ngày
date]])</f>
        <v>2025</v>
      </c>
      <c r="AA106" s="327" t="str">
        <f t="shared" si="39"/>
        <v>HCM</v>
      </c>
    </row>
    <row r="107" spans="1:27" ht="69" customHeight="1" x14ac:dyDescent="0.2">
      <c r="A107" s="401">
        <f>IF(Table2[[#This Row],[Code 
CC- ]]="", "", A106+1)</f>
        <v>104</v>
      </c>
      <c r="B107" s="625" t="s">
        <v>2151</v>
      </c>
      <c r="C107" s="517">
        <v>45897</v>
      </c>
      <c r="D107" s="410" t="s">
        <v>1285</v>
      </c>
      <c r="E107" s="591"/>
      <c r="F107" s="420" t="s">
        <v>1288</v>
      </c>
      <c r="G107" s="419" t="s">
        <v>1289</v>
      </c>
      <c r="H107" s="404" t="s">
        <v>217</v>
      </c>
      <c r="I107" s="353" t="s">
        <v>1079</v>
      </c>
      <c r="J107" s="463">
        <v>45367</v>
      </c>
      <c r="K107" s="536">
        <v>46265</v>
      </c>
      <c r="L107" s="354" t="s">
        <v>43</v>
      </c>
      <c r="M107" s="354">
        <v>1</v>
      </c>
      <c r="N107" s="355" t="s">
        <v>628</v>
      </c>
      <c r="O107" s="358" t="s">
        <v>482</v>
      </c>
      <c r="P107" s="355" t="s">
        <v>1290</v>
      </c>
      <c r="Q107" s="354"/>
      <c r="R107" s="354"/>
      <c r="S107" s="355" t="s">
        <v>1255</v>
      </c>
      <c r="T107" s="356">
        <v>45940</v>
      </c>
      <c r="U107" s="356">
        <f>MONTH(Table2[[#This Row],[Ngày
date]])</f>
        <v>8</v>
      </c>
      <c r="V107" s="391" t="str">
        <f t="shared" si="40"/>
        <v>31/08/2026</v>
      </c>
      <c r="W107" s="392" t="str">
        <f t="shared" si="41"/>
        <v>10/10/2025</v>
      </c>
      <c r="X107" s="500" t="str">
        <f t="shared" si="38"/>
        <v>16/03/2024</v>
      </c>
      <c r="Y107" s="367" t="str">
        <f>HYPERLINK('Danh mục'!$D$1&amp;"20"&amp;MID(D107,8,2)&amp;"\"&amp;D107,D107)</f>
        <v>CC_920825-HCM</v>
      </c>
      <c r="Z107" s="327">
        <f>YEAR(Table2[[#This Row],[Ngày
date]])</f>
        <v>2025</v>
      </c>
      <c r="AA107" s="327" t="str">
        <f t="shared" si="39"/>
        <v>HCM</v>
      </c>
    </row>
    <row r="108" spans="1:27" ht="51" x14ac:dyDescent="0.2">
      <c r="A108" s="401">
        <f>IF(Table2[[#This Row],[Code 
CC- ]]="", "", A107+1)</f>
        <v>105</v>
      </c>
      <c r="B108" s="625" t="s">
        <v>2152</v>
      </c>
      <c r="C108" s="517">
        <v>45909</v>
      </c>
      <c r="D108" s="410" t="s">
        <v>1315</v>
      </c>
      <c r="E108" s="591"/>
      <c r="F108" s="420" t="s">
        <v>1295</v>
      </c>
      <c r="G108" s="419" t="s">
        <v>1296</v>
      </c>
      <c r="H108" s="404" t="s">
        <v>71</v>
      </c>
      <c r="I108" s="353" t="s">
        <v>1297</v>
      </c>
      <c r="J108" s="463">
        <v>45765</v>
      </c>
      <c r="K108" s="536">
        <v>46310</v>
      </c>
      <c r="L108" s="354" t="s">
        <v>507</v>
      </c>
      <c r="M108" s="354">
        <v>1</v>
      </c>
      <c r="N108" s="355" t="s">
        <v>1298</v>
      </c>
      <c r="O108" s="355" t="s">
        <v>736</v>
      </c>
      <c r="P108" s="355" t="s">
        <v>1314</v>
      </c>
      <c r="Q108" s="354"/>
      <c r="R108" s="354"/>
      <c r="S108" s="355" t="s">
        <v>1256</v>
      </c>
      <c r="T108" s="356"/>
      <c r="U108" s="356">
        <f>MONTH(Table2[[#This Row],[Ngày
date]])</f>
        <v>9</v>
      </c>
      <c r="V108" s="391" t="str">
        <f t="shared" si="40"/>
        <v>15/10/2026</v>
      </c>
      <c r="W108" s="392" t="str">
        <f t="shared" si="41"/>
        <v>CHƯA NHẬP NGÀY</v>
      </c>
      <c r="X108" s="500" t="str">
        <f t="shared" si="38"/>
        <v>18/04/2025</v>
      </c>
      <c r="Y108" s="367" t="str">
        <f>HYPERLINK('Danh mục'!$D$1&amp;"20"&amp;MID(D108,8,2)&amp;"\"&amp;D108,D108)</f>
        <v>CC_930925-HCM-HUY</v>
      </c>
      <c r="Z108" s="327">
        <f>YEAR(Table2[[#This Row],[Ngày
date]])</f>
        <v>2025</v>
      </c>
      <c r="AA108" s="327" t="str">
        <f t="shared" si="39"/>
        <v>HCM</v>
      </c>
    </row>
    <row r="109" spans="1:27" ht="89.25" x14ac:dyDescent="0.2">
      <c r="A109" s="401">
        <f>IF(Table2[[#This Row],[Code 
CC- ]]="", "", A108+1)</f>
        <v>106</v>
      </c>
      <c r="B109" s="625" t="s">
        <v>2151</v>
      </c>
      <c r="C109" s="517">
        <v>45910</v>
      </c>
      <c r="D109" s="410" t="s">
        <v>1299</v>
      </c>
      <c r="E109" s="591"/>
      <c r="F109" s="420" t="s">
        <v>727</v>
      </c>
      <c r="G109" s="419" t="s">
        <v>1100</v>
      </c>
      <c r="H109" s="404" t="s">
        <v>217</v>
      </c>
      <c r="I109" s="353" t="s">
        <v>567</v>
      </c>
      <c r="J109" s="463">
        <v>45324</v>
      </c>
      <c r="K109" s="536">
        <v>46234</v>
      </c>
      <c r="L109" s="354" t="s">
        <v>523</v>
      </c>
      <c r="M109" s="354">
        <v>1</v>
      </c>
      <c r="N109" s="355" t="s">
        <v>1300</v>
      </c>
      <c r="O109" s="358" t="s">
        <v>482</v>
      </c>
      <c r="P109" s="355" t="s">
        <v>1317</v>
      </c>
      <c r="Q109" s="354" t="s">
        <v>312</v>
      </c>
      <c r="R109" s="354" t="s">
        <v>1195</v>
      </c>
      <c r="S109" s="355" t="s">
        <v>798</v>
      </c>
      <c r="T109" s="356"/>
      <c r="U109" s="356">
        <f>MONTH(Table2[[#This Row],[Ngày
date]])</f>
        <v>9</v>
      </c>
      <c r="V109" s="391" t="str">
        <f t="shared" ref="V109:V115" si="42">IF(K109="","CHƯA NHẬP NGÀY",TEXT(K109,"dd/mm/yyyy"))</f>
        <v>31/07/2026</v>
      </c>
      <c r="W109" s="392" t="str">
        <f t="shared" ref="W109:W115" si="43">IF(T109="","CHƯA NHẬP NGÀY",TEXT(T109,"dd/mm/yyyy"))</f>
        <v>CHƯA NHẬP NGÀY</v>
      </c>
      <c r="X109" s="500" t="str">
        <f t="shared" si="38"/>
        <v>02/02/2024</v>
      </c>
      <c r="Y109" s="367" t="str">
        <f>HYPERLINK('Danh mục'!$D$1&amp;"20"&amp;MID(D109,8,2)&amp;"\"&amp;D109,D109)</f>
        <v>CC_940925-HCM</v>
      </c>
      <c r="Z109" s="327">
        <f>YEAR(Table2[[#This Row],[Ngày
date]])</f>
        <v>2025</v>
      </c>
      <c r="AA109" s="327" t="str">
        <f t="shared" si="39"/>
        <v>HCM</v>
      </c>
    </row>
    <row r="110" spans="1:27" ht="51" x14ac:dyDescent="0.2">
      <c r="A110" s="401">
        <f>IF(Table2[[#This Row],[Code 
CC- ]]="", "", A109+1)</f>
        <v>107</v>
      </c>
      <c r="B110" s="625" t="s">
        <v>2151</v>
      </c>
      <c r="C110" s="517">
        <v>45910</v>
      </c>
      <c r="D110" s="410" t="s">
        <v>1301</v>
      </c>
      <c r="E110" s="591"/>
      <c r="F110" s="412" t="s">
        <v>1302</v>
      </c>
      <c r="G110" s="413" t="s">
        <v>1320</v>
      </c>
      <c r="H110" s="404" t="s">
        <v>59</v>
      </c>
      <c r="I110" s="353" t="s">
        <v>1316</v>
      </c>
      <c r="J110" s="455">
        <v>45702</v>
      </c>
      <c r="K110" s="533">
        <v>46783</v>
      </c>
      <c r="L110" s="343" t="s">
        <v>20</v>
      </c>
      <c r="M110" s="343">
        <v>1</v>
      </c>
      <c r="N110" s="344" t="s">
        <v>1343</v>
      </c>
      <c r="O110" s="358" t="s">
        <v>482</v>
      </c>
      <c r="P110" s="344" t="s">
        <v>1345</v>
      </c>
      <c r="Q110" s="343"/>
      <c r="R110" s="343"/>
      <c r="S110" s="344" t="s">
        <v>1255</v>
      </c>
      <c r="T110" s="345">
        <v>45950</v>
      </c>
      <c r="U110" s="345">
        <f>MONTH(Table2[[#This Row],[Ngày
date]])</f>
        <v>9</v>
      </c>
      <c r="V110" s="375" t="str">
        <f t="shared" si="42"/>
        <v>31/01/2028</v>
      </c>
      <c r="W110" s="376" t="str">
        <f t="shared" si="43"/>
        <v>20/10/2025</v>
      </c>
      <c r="X110" s="495" t="str">
        <f t="shared" si="38"/>
        <v>14/02/2025</v>
      </c>
      <c r="Y110" s="367" t="str">
        <f>HYPERLINK('Danh mục'!$D$1&amp;"20"&amp;MID(D110,8,2)&amp;"\"&amp;D110,D110)</f>
        <v>CC_950925-HCM</v>
      </c>
      <c r="Z110" s="327">
        <f>YEAR(Table2[[#This Row],[Ngày
date]])</f>
        <v>2025</v>
      </c>
      <c r="AA110" s="327" t="str">
        <f t="shared" si="39"/>
        <v>HCM</v>
      </c>
    </row>
    <row r="111" spans="1:27" ht="51" x14ac:dyDescent="0.2">
      <c r="A111" s="401">
        <f>IF(Table2[[#This Row],[Code 
CC- ]]="", "", A110+1)</f>
        <v>108</v>
      </c>
      <c r="B111" s="625" t="s">
        <v>2156</v>
      </c>
      <c r="C111" s="517">
        <v>45911</v>
      </c>
      <c r="D111" s="410" t="s">
        <v>1303</v>
      </c>
      <c r="E111" s="591"/>
      <c r="F111" s="420" t="s">
        <v>1305</v>
      </c>
      <c r="G111" s="419" t="s">
        <v>1321</v>
      </c>
      <c r="H111" s="404" t="s">
        <v>1304</v>
      </c>
      <c r="I111" s="353" t="s">
        <v>1306</v>
      </c>
      <c r="J111" s="463">
        <v>45584</v>
      </c>
      <c r="K111" s="536"/>
      <c r="L111" s="354"/>
      <c r="M111" s="354"/>
      <c r="N111" s="355" t="s">
        <v>1307</v>
      </c>
      <c r="O111" s="358" t="s">
        <v>482</v>
      </c>
      <c r="P111" s="355" t="s">
        <v>1365</v>
      </c>
      <c r="Q111" s="354"/>
      <c r="R111" s="354"/>
      <c r="S111" s="355" t="s">
        <v>1255</v>
      </c>
      <c r="T111" s="356"/>
      <c r="U111" s="356">
        <f>MONTH(Table2[[#This Row],[Ngày
date]])</f>
        <v>9</v>
      </c>
      <c r="V111" s="391" t="str">
        <f t="shared" si="42"/>
        <v>CHƯA NHẬP NGÀY</v>
      </c>
      <c r="W111" s="392" t="str">
        <f t="shared" si="43"/>
        <v>CHƯA NHẬP NGÀY</v>
      </c>
      <c r="X111" s="500" t="str">
        <f t="shared" si="38"/>
        <v>19/10/2024</v>
      </c>
      <c r="Y111" s="367" t="str">
        <f>HYPERLINK('Danh mục'!$D$1&amp;"20"&amp;MID(D111,8,2)&amp;"\"&amp;D111,D111)</f>
        <v>CC_960925-HN</v>
      </c>
      <c r="Z111" s="327">
        <f>YEAR(Table2[[#This Row],[Ngày
date]])</f>
        <v>2025</v>
      </c>
      <c r="AA111" s="327" t="str">
        <f t="shared" si="39"/>
        <v>HN</v>
      </c>
    </row>
    <row r="112" spans="1:27" ht="51" x14ac:dyDescent="0.2">
      <c r="A112" s="401">
        <f>IF(Table2[[#This Row],[Code 
CC- ]]="", "", A111+1)</f>
        <v>109</v>
      </c>
      <c r="B112" s="625" t="s">
        <v>2156</v>
      </c>
      <c r="C112" s="517">
        <v>45912</v>
      </c>
      <c r="D112" s="410" t="s">
        <v>1308</v>
      </c>
      <c r="E112" s="591"/>
      <c r="F112" s="420" t="s">
        <v>1309</v>
      </c>
      <c r="G112" s="417" t="s">
        <v>222</v>
      </c>
      <c r="H112" s="404" t="s">
        <v>992</v>
      </c>
      <c r="I112" s="353" t="s">
        <v>1310</v>
      </c>
      <c r="J112" s="463">
        <v>45623</v>
      </c>
      <c r="K112" s="536">
        <v>46353</v>
      </c>
      <c r="L112" s="354" t="s">
        <v>15</v>
      </c>
      <c r="M112" s="354">
        <v>1</v>
      </c>
      <c r="N112" s="355" t="s">
        <v>1344</v>
      </c>
      <c r="O112" s="358" t="s">
        <v>482</v>
      </c>
      <c r="P112" s="355" t="s">
        <v>1318</v>
      </c>
      <c r="Q112" s="354"/>
      <c r="R112" s="354"/>
      <c r="S112" s="355" t="s">
        <v>1255</v>
      </c>
      <c r="T112" s="356"/>
      <c r="U112" s="356">
        <f>MONTH(Table2[[#This Row],[Ngày
date]])</f>
        <v>9</v>
      </c>
      <c r="V112" s="391" t="str">
        <f t="shared" si="42"/>
        <v>27/11/2026</v>
      </c>
      <c r="W112" s="392" t="str">
        <f t="shared" si="43"/>
        <v>CHƯA NHẬP NGÀY</v>
      </c>
      <c r="X112" s="500" t="str">
        <f t="shared" si="38"/>
        <v>27/11/2024</v>
      </c>
      <c r="Y112" s="367" t="str">
        <f>HYPERLINK('Danh mục'!$D$1&amp;"20"&amp;MID(D112,8,2)&amp;"\"&amp;D112,D112)</f>
        <v>CC_970925-HCM</v>
      </c>
      <c r="Z112" s="327">
        <f>YEAR(Table2[[#This Row],[Ngày
date]])</f>
        <v>2025</v>
      </c>
      <c r="AA112" s="327" t="str">
        <f t="shared" si="39"/>
        <v>HCM</v>
      </c>
    </row>
    <row r="113" spans="1:27" ht="63.75" x14ac:dyDescent="0.2">
      <c r="A113" s="401">
        <f>IF(Table2[[#This Row],[Code 
CC- ]]="", "", A112+1)</f>
        <v>110</v>
      </c>
      <c r="B113" s="625" t="s">
        <v>2155</v>
      </c>
      <c r="C113" s="517">
        <v>45915</v>
      </c>
      <c r="D113" s="410" t="s">
        <v>1311</v>
      </c>
      <c r="E113" s="410"/>
      <c r="F113" s="421" t="s">
        <v>898</v>
      </c>
      <c r="G113" s="421" t="s">
        <v>41</v>
      </c>
      <c r="H113" s="404" t="s">
        <v>1312</v>
      </c>
      <c r="I113" s="353" t="s">
        <v>1313</v>
      </c>
      <c r="J113" s="465" t="s">
        <v>13</v>
      </c>
      <c r="K113" s="536">
        <v>47232</v>
      </c>
      <c r="L113" s="354" t="s">
        <v>15</v>
      </c>
      <c r="M113" s="354">
        <v>1</v>
      </c>
      <c r="N113" s="355" t="s">
        <v>1319</v>
      </c>
      <c r="O113" s="358" t="s">
        <v>482</v>
      </c>
      <c r="P113" s="355" t="s">
        <v>1356</v>
      </c>
      <c r="Q113" s="354"/>
      <c r="R113" s="354"/>
      <c r="S113" s="355" t="s">
        <v>1255</v>
      </c>
      <c r="T113" s="356"/>
      <c r="U113" s="356">
        <f>MONTH(Table2[[#This Row],[Ngày
date]])</f>
        <v>9</v>
      </c>
      <c r="V113" s="391" t="str">
        <f t="shared" si="42"/>
        <v>24/04/2029</v>
      </c>
      <c r="W113" s="392" t="str">
        <f t="shared" si="43"/>
        <v>CHƯA NHẬP NGÀY</v>
      </c>
      <c r="X113" s="500" t="str">
        <f t="shared" si="38"/>
        <v>NA</v>
      </c>
      <c r="Y113" s="367" t="str">
        <f>HYPERLINK('Danh mục'!$D$1&amp;"20"&amp;MID(D113,8,2)&amp;"\"&amp;D113,D113)</f>
        <v>CC_980925-HCM</v>
      </c>
      <c r="Z113" s="327">
        <f>YEAR(Table2[[#This Row],[Ngày
date]])</f>
        <v>2025</v>
      </c>
      <c r="AA113" s="327" t="str">
        <f t="shared" si="39"/>
        <v>HCM</v>
      </c>
    </row>
    <row r="114" spans="1:27" ht="114.75" x14ac:dyDescent="0.2">
      <c r="A114" s="401">
        <f>IF(Table2[[#This Row],[Code 
CC- ]]="", "", A113+1)</f>
        <v>111</v>
      </c>
      <c r="B114" s="625" t="s">
        <v>2196</v>
      </c>
      <c r="C114" s="517">
        <v>45918</v>
      </c>
      <c r="D114" s="410" t="s">
        <v>1324</v>
      </c>
      <c r="E114" s="591"/>
      <c r="F114" s="420" t="s">
        <v>1322</v>
      </c>
      <c r="G114" s="419" t="s">
        <v>1323</v>
      </c>
      <c r="H114" s="404" t="s">
        <v>1325</v>
      </c>
      <c r="I114" s="353" t="s">
        <v>1354</v>
      </c>
      <c r="J114" s="434" t="s">
        <v>1411</v>
      </c>
      <c r="K114" s="536">
        <v>46630</v>
      </c>
      <c r="L114" s="354" t="s">
        <v>15</v>
      </c>
      <c r="M114" s="354">
        <v>1</v>
      </c>
      <c r="N114" s="355" t="s">
        <v>1355</v>
      </c>
      <c r="O114" s="358" t="s">
        <v>482</v>
      </c>
      <c r="P114" s="344" t="s">
        <v>1412</v>
      </c>
      <c r="Q114" s="354"/>
      <c r="R114" s="354"/>
      <c r="S114" s="355" t="s">
        <v>799</v>
      </c>
      <c r="T114" s="356"/>
      <c r="U114" s="356">
        <f>MONTH(Table2[[#This Row],[Ngày
date]])</f>
        <v>9</v>
      </c>
      <c r="V114" s="391" t="str">
        <f t="shared" si="42"/>
        <v>31/08/2027</v>
      </c>
      <c r="W114" s="392" t="str">
        <f t="shared" si="43"/>
        <v>CHƯA NHẬP NGÀY</v>
      </c>
      <c r="X114" s="500" t="str">
        <f t="shared" si="38"/>
        <v>01/09/2023</v>
      </c>
      <c r="Y114" s="367" t="str">
        <f>HYPERLINK('Danh mục'!$D$1&amp;"20"&amp;MID(D114,8,2)&amp;"\"&amp;D114,D114)</f>
        <v>CC_990925-HCM</v>
      </c>
      <c r="Z114" s="327">
        <f>YEAR(Table2[[#This Row],[Ngày
date]])</f>
        <v>2025</v>
      </c>
      <c r="AA114" s="327" t="str">
        <f t="shared" si="39"/>
        <v>HCM</v>
      </c>
    </row>
    <row r="115" spans="1:27" ht="38.25" x14ac:dyDescent="0.2">
      <c r="A115" s="401">
        <f>IF(Table2[[#This Row],[Code 
CC- ]]="", "", A114+1)</f>
        <v>112</v>
      </c>
      <c r="B115" s="625" t="s">
        <v>2151</v>
      </c>
      <c r="C115" s="517">
        <v>45922</v>
      </c>
      <c r="D115" s="410" t="s">
        <v>1326</v>
      </c>
      <c r="E115" s="591"/>
      <c r="F115" s="420" t="s">
        <v>1328</v>
      </c>
      <c r="G115" s="419" t="s">
        <v>1329</v>
      </c>
      <c r="H115" s="404" t="s">
        <v>39</v>
      </c>
      <c r="I115" s="353" t="s">
        <v>1327</v>
      </c>
      <c r="J115" s="463">
        <v>45539</v>
      </c>
      <c r="K115" s="536">
        <v>46630</v>
      </c>
      <c r="L115" s="354" t="s">
        <v>20</v>
      </c>
      <c r="M115" s="354">
        <v>1</v>
      </c>
      <c r="N115" s="355" t="s">
        <v>1330</v>
      </c>
      <c r="O115" s="358" t="s">
        <v>482</v>
      </c>
      <c r="P115" s="355" t="s">
        <v>1364</v>
      </c>
      <c r="Q115" s="354"/>
      <c r="R115" s="354" t="s">
        <v>1195</v>
      </c>
      <c r="S115" s="355" t="s">
        <v>798</v>
      </c>
      <c r="T115" s="356"/>
      <c r="U115" s="356">
        <f>MONTH(Table2[[#This Row],[Ngày
date]])</f>
        <v>9</v>
      </c>
      <c r="V115" s="391" t="str">
        <f t="shared" si="42"/>
        <v>31/08/2027</v>
      </c>
      <c r="W115" s="392" t="str">
        <f t="shared" si="43"/>
        <v>CHƯA NHẬP NGÀY</v>
      </c>
      <c r="X115" s="500" t="str">
        <f t="shared" si="38"/>
        <v>04/09/2024</v>
      </c>
      <c r="Y115" s="367" t="str">
        <f>HYPERLINK('Danh mục'!$D$1&amp;"20"&amp;MID(D115,8,2)&amp;"\"&amp;D115,D115)</f>
        <v>CC_1000925-HN</v>
      </c>
      <c r="Z115" s="327">
        <f>YEAR(Table2[[#This Row],[Ngày
date]])</f>
        <v>2025</v>
      </c>
      <c r="AA115" s="327" t="str">
        <f t="shared" si="39"/>
        <v>HN</v>
      </c>
    </row>
    <row r="116" spans="1:27" ht="38.25" x14ac:dyDescent="0.2">
      <c r="A116" s="401">
        <f>IF(Table2[[#This Row],[Code 
CC- ]]="", "", A115+1)</f>
        <v>113</v>
      </c>
      <c r="B116" s="625" t="s">
        <v>2151</v>
      </c>
      <c r="C116" s="517">
        <v>45923</v>
      </c>
      <c r="D116" s="410" t="s">
        <v>1336</v>
      </c>
      <c r="E116" s="591"/>
      <c r="F116" s="420" t="s">
        <v>1331</v>
      </c>
      <c r="G116" s="419" t="s">
        <v>1334</v>
      </c>
      <c r="H116" s="404" t="s">
        <v>59</v>
      </c>
      <c r="I116" s="353" t="s">
        <v>13</v>
      </c>
      <c r="J116" s="468" t="s">
        <v>13</v>
      </c>
      <c r="K116" s="538" t="s">
        <v>13</v>
      </c>
      <c r="L116" s="354" t="s">
        <v>65</v>
      </c>
      <c r="M116" s="354">
        <v>1</v>
      </c>
      <c r="N116" s="355" t="s">
        <v>1332</v>
      </c>
      <c r="O116" s="355" t="s">
        <v>736</v>
      </c>
      <c r="P116" s="355" t="s">
        <v>1335</v>
      </c>
      <c r="Q116" s="354"/>
      <c r="R116" s="354"/>
      <c r="S116" s="355" t="s">
        <v>1256</v>
      </c>
      <c r="T116" s="356"/>
      <c r="U116" s="356">
        <f>MONTH(Table2[[#This Row],[Ngày
date]])</f>
        <v>9</v>
      </c>
      <c r="V116" s="391" t="str">
        <f t="shared" ref="V116:V121" si="44">IF(K116="","CHƯA NHẬP NGÀY",TEXT(K116,"dd/mm/yyyy"))</f>
        <v>NA</v>
      </c>
      <c r="W116" s="392" t="str">
        <f t="shared" ref="W116:W121" si="45">IF(T116="","CHƯA NHẬP NGÀY",TEXT(T116,"dd/mm/yyyy"))</f>
        <v>CHƯA NHẬP NGÀY</v>
      </c>
      <c r="X116" s="500" t="str">
        <f t="shared" si="38"/>
        <v>NA</v>
      </c>
      <c r="Y116" s="367" t="str">
        <f>HYPERLINK('Danh mục'!$D$1&amp;"20"&amp;MID(D116,8,2)&amp;"\"&amp;D116,D116)</f>
        <v>CC_1010925-HCM-HUY</v>
      </c>
      <c r="Z116" s="327">
        <f>YEAR(Table2[[#This Row],[Ngày
date]])</f>
        <v>2025</v>
      </c>
      <c r="AA116" s="327" t="str">
        <f t="shared" si="39"/>
        <v>HCM</v>
      </c>
    </row>
    <row r="117" spans="1:27" ht="76.5" x14ac:dyDescent="0.2">
      <c r="A117" s="401">
        <f>IF(Table2[[#This Row],[Code 
CC- ]]="", "", A116+1)</f>
        <v>114</v>
      </c>
      <c r="B117" s="625" t="s">
        <v>2154</v>
      </c>
      <c r="C117" s="517">
        <v>45924</v>
      </c>
      <c r="D117" s="410" t="s">
        <v>1337</v>
      </c>
      <c r="E117" s="591"/>
      <c r="F117" s="420" t="s">
        <v>1338</v>
      </c>
      <c r="G117" s="419" t="s">
        <v>1339</v>
      </c>
      <c r="H117" s="414" t="s">
        <v>1340</v>
      </c>
      <c r="I117" s="378" t="s">
        <v>1341</v>
      </c>
      <c r="J117" s="465"/>
      <c r="K117" s="536">
        <v>47245</v>
      </c>
      <c r="L117" s="354" t="s">
        <v>1122</v>
      </c>
      <c r="M117" s="354">
        <v>2</v>
      </c>
      <c r="N117" s="355" t="s">
        <v>1342</v>
      </c>
      <c r="O117" s="358" t="s">
        <v>482</v>
      </c>
      <c r="P117" s="355" t="s">
        <v>1470</v>
      </c>
      <c r="Q117" s="354"/>
      <c r="R117" s="354" t="s">
        <v>1195</v>
      </c>
      <c r="S117" s="355" t="s">
        <v>1256</v>
      </c>
      <c r="T117" s="356"/>
      <c r="U117" s="356">
        <f>MONTH(Table2[[#This Row],[Ngày
date]])</f>
        <v>9</v>
      </c>
      <c r="V117" s="391" t="str">
        <f t="shared" si="44"/>
        <v>07/05/2029</v>
      </c>
      <c r="W117" s="392" t="str">
        <f t="shared" si="45"/>
        <v>CHƯA NHẬP NGÀY</v>
      </c>
      <c r="X117" s="500" t="str">
        <f t="shared" si="38"/>
        <v>CHƯA NHẬP NGÀY</v>
      </c>
      <c r="Y117" s="367" t="str">
        <f>HYPERLINK('Danh mục'!$D$1&amp;"20"&amp;MID(D117,8,2)&amp;"\"&amp;D117,D117)</f>
        <v>CC_1020925-HN</v>
      </c>
      <c r="Z117" s="327">
        <f>YEAR(Table2[[#This Row],[Ngày
date]])</f>
        <v>2025</v>
      </c>
      <c r="AA117" s="327" t="str">
        <f t="shared" si="39"/>
        <v>HN</v>
      </c>
    </row>
    <row r="118" spans="1:27" ht="51" x14ac:dyDescent="0.2">
      <c r="A118" s="401">
        <f>IF(Table2[[#This Row],[Code 
CC- ]]="", "", A117+1)</f>
        <v>115</v>
      </c>
      <c r="B118" s="625" t="s">
        <v>2151</v>
      </c>
      <c r="C118" s="517">
        <v>45925</v>
      </c>
      <c r="D118" s="410" t="s">
        <v>1346</v>
      </c>
      <c r="E118" s="591"/>
      <c r="F118" s="420" t="s">
        <v>954</v>
      </c>
      <c r="G118" s="417" t="s">
        <v>956</v>
      </c>
      <c r="H118" s="404" t="s">
        <v>1092</v>
      </c>
      <c r="I118" s="378" t="s">
        <v>832</v>
      </c>
      <c r="J118" s="463">
        <v>45328</v>
      </c>
      <c r="K118" s="536">
        <v>46418</v>
      </c>
      <c r="L118" s="354" t="s">
        <v>507</v>
      </c>
      <c r="M118" s="354">
        <v>1</v>
      </c>
      <c r="N118" s="355" t="s">
        <v>1347</v>
      </c>
      <c r="O118" s="358" t="s">
        <v>482</v>
      </c>
      <c r="P118" s="355" t="s">
        <v>1348</v>
      </c>
      <c r="Q118" s="354"/>
      <c r="R118" s="354"/>
      <c r="S118" s="355" t="s">
        <v>1255</v>
      </c>
      <c r="T118" s="356"/>
      <c r="U118" s="356">
        <f>MONTH(Table2[[#This Row],[Ngày
date]])</f>
        <v>9</v>
      </c>
      <c r="V118" s="391" t="str">
        <f t="shared" si="44"/>
        <v>31/01/2027</v>
      </c>
      <c r="W118" s="392" t="str">
        <f t="shared" si="45"/>
        <v>CHƯA NHẬP NGÀY</v>
      </c>
      <c r="X118" s="500" t="str">
        <f t="shared" si="38"/>
        <v>06/02/2024</v>
      </c>
      <c r="Y118" s="367" t="str">
        <f>HYPERLINK('Danh mục'!$D$1&amp;"20"&amp;MID(D118,8,2)&amp;"\"&amp;D118,D118)</f>
        <v>CC_1030925-HCM</v>
      </c>
      <c r="Z118" s="327">
        <f>YEAR(Table2[[#This Row],[Ngày
date]])</f>
        <v>2025</v>
      </c>
      <c r="AA118" s="327" t="str">
        <f t="shared" si="39"/>
        <v>HCM</v>
      </c>
    </row>
    <row r="119" spans="1:27" ht="51" x14ac:dyDescent="0.2">
      <c r="A119" s="401">
        <f>IF(Table2[[#This Row],[Code 
CC- ]]="", "", A118+1)</f>
        <v>116</v>
      </c>
      <c r="B119" s="625" t="s">
        <v>2150</v>
      </c>
      <c r="C119" s="517">
        <v>45926</v>
      </c>
      <c r="D119" s="410" t="s">
        <v>1349</v>
      </c>
      <c r="E119" s="591"/>
      <c r="F119" s="420" t="s">
        <v>1350</v>
      </c>
      <c r="G119" s="419" t="s">
        <v>1351</v>
      </c>
      <c r="H119" s="414" t="s">
        <v>1230</v>
      </c>
      <c r="I119" s="378" t="s">
        <v>1352</v>
      </c>
      <c r="J119" s="465" t="s">
        <v>13</v>
      </c>
      <c r="K119" s="536">
        <v>46326</v>
      </c>
      <c r="L119" s="354" t="s">
        <v>65</v>
      </c>
      <c r="M119" s="354">
        <v>1</v>
      </c>
      <c r="N119" s="355" t="s">
        <v>1353</v>
      </c>
      <c r="O119" s="355" t="s">
        <v>482</v>
      </c>
      <c r="P119" s="355" t="s">
        <v>1363</v>
      </c>
      <c r="Q119" s="354"/>
      <c r="R119" s="354" t="s">
        <v>1195</v>
      </c>
      <c r="S119" s="355" t="s">
        <v>1255</v>
      </c>
      <c r="T119" s="356"/>
      <c r="U119" s="356">
        <f>MONTH(Table2[[#This Row],[Ngày
date]])</f>
        <v>9</v>
      </c>
      <c r="V119" s="391" t="str">
        <f t="shared" si="44"/>
        <v>31/10/2026</v>
      </c>
      <c r="W119" s="392" t="str">
        <f t="shared" si="45"/>
        <v>CHƯA NHẬP NGÀY</v>
      </c>
      <c r="X119" s="500" t="str">
        <f t="shared" si="38"/>
        <v>NA</v>
      </c>
      <c r="Y119" s="367" t="str">
        <f>HYPERLINK('Danh mục'!$D$1&amp;"20"&amp;MID(D119,8,2)&amp;"\"&amp;D119,D119)</f>
        <v>CC_1040925-HN</v>
      </c>
      <c r="Z119" s="327">
        <f>YEAR(Table2[[#This Row],[Ngày
date]])</f>
        <v>2025</v>
      </c>
      <c r="AA119" s="327" t="str">
        <f t="shared" si="39"/>
        <v>HN</v>
      </c>
    </row>
    <row r="120" spans="1:27" ht="58.35" customHeight="1" x14ac:dyDescent="0.2">
      <c r="A120" s="401">
        <f>IF(Table2[[#This Row],[Code 
CC- ]]="", "", A119+1)</f>
        <v>117</v>
      </c>
      <c r="B120" s="625" t="s">
        <v>2164</v>
      </c>
      <c r="C120" s="517">
        <v>45930</v>
      </c>
      <c r="D120" s="410" t="s">
        <v>1357</v>
      </c>
      <c r="E120" s="591"/>
      <c r="F120" s="420" t="s">
        <v>1359</v>
      </c>
      <c r="G120" s="419" t="s">
        <v>1360</v>
      </c>
      <c r="H120" s="404" t="s">
        <v>1358</v>
      </c>
      <c r="I120" s="353" t="s">
        <v>1361</v>
      </c>
      <c r="J120" s="463">
        <v>45489</v>
      </c>
      <c r="K120" s="536">
        <v>46219</v>
      </c>
      <c r="L120" s="354" t="s">
        <v>65</v>
      </c>
      <c r="M120" s="354">
        <v>1</v>
      </c>
      <c r="N120" s="355" t="s">
        <v>1362</v>
      </c>
      <c r="O120" s="358" t="s">
        <v>482</v>
      </c>
      <c r="P120" s="355" t="s">
        <v>1398</v>
      </c>
      <c r="Q120" s="354"/>
      <c r="R120" s="354"/>
      <c r="S120" s="355" t="s">
        <v>814</v>
      </c>
      <c r="T120" s="356"/>
      <c r="U120" s="356">
        <f>MONTH(Table2[[#This Row],[Ngày
date]])</f>
        <v>9</v>
      </c>
      <c r="V120" s="391" t="str">
        <f t="shared" si="44"/>
        <v>16/07/2026</v>
      </c>
      <c r="W120" s="392" t="str">
        <f t="shared" si="45"/>
        <v>CHƯA NHẬP NGÀY</v>
      </c>
      <c r="X120" s="500" t="str">
        <f t="shared" si="38"/>
        <v>16/07/2024</v>
      </c>
      <c r="Y120" s="367" t="str">
        <f>HYPERLINK('Danh mục'!$D$1&amp;"20"&amp;MID(D120,8,2)&amp;"\"&amp;D120,D120)</f>
        <v>CC_1050925-HCM</v>
      </c>
      <c r="Z120" s="327">
        <f>YEAR(Table2[[#This Row],[Ngày
date]])</f>
        <v>2025</v>
      </c>
      <c r="AA120" s="327" t="str">
        <f t="shared" si="39"/>
        <v>HCM</v>
      </c>
    </row>
    <row r="121" spans="1:27" ht="61.35" customHeight="1" x14ac:dyDescent="0.2">
      <c r="A121" s="401">
        <f>IF(Table2[[#This Row],[Code 
CC- ]]="", "", A120+1)</f>
        <v>118</v>
      </c>
      <c r="B121" s="625" t="s">
        <v>2151</v>
      </c>
      <c r="C121" s="517">
        <v>45931</v>
      </c>
      <c r="D121" s="410" t="s">
        <v>1366</v>
      </c>
      <c r="E121" s="591"/>
      <c r="F121" s="420" t="s">
        <v>1367</v>
      </c>
      <c r="G121" s="419" t="s">
        <v>1368</v>
      </c>
      <c r="H121" s="404" t="s">
        <v>217</v>
      </c>
      <c r="I121" s="353" t="s">
        <v>1369</v>
      </c>
      <c r="J121" s="463">
        <v>45397</v>
      </c>
      <c r="K121" s="536">
        <v>46295</v>
      </c>
      <c r="L121" s="354" t="s">
        <v>15</v>
      </c>
      <c r="M121" s="354">
        <v>1</v>
      </c>
      <c r="N121" s="344" t="s">
        <v>1370</v>
      </c>
      <c r="O121" s="358" t="s">
        <v>482</v>
      </c>
      <c r="P121" s="344" t="s">
        <v>1560</v>
      </c>
      <c r="Q121" s="343" t="s">
        <v>1394</v>
      </c>
      <c r="R121" s="343" t="s">
        <v>1395</v>
      </c>
      <c r="S121" s="355" t="s">
        <v>1256</v>
      </c>
      <c r="T121" s="356"/>
      <c r="U121" s="356">
        <f>MONTH(Table2[[#This Row],[Ngày
date]])</f>
        <v>10</v>
      </c>
      <c r="V121" s="427" t="str">
        <f t="shared" si="44"/>
        <v>30/09/2026</v>
      </c>
      <c r="W121" s="428" t="str">
        <f t="shared" si="45"/>
        <v>CHƯA NHẬP NGÀY</v>
      </c>
      <c r="X121" s="501" t="str">
        <f t="shared" si="38"/>
        <v>15/04/2024</v>
      </c>
      <c r="Y121" s="367" t="str">
        <f>HYPERLINK('Danh mục'!$D$1&amp;"20"&amp;MID(D121,8,2)&amp;"\"&amp;D121,D121)</f>
        <v>CC_1061025-ĐN</v>
      </c>
      <c r="Z121" s="327">
        <f>YEAR(Table2[[#This Row],[Ngày
date]])</f>
        <v>2025</v>
      </c>
      <c r="AA121" s="327" t="str">
        <f t="shared" si="39"/>
        <v>ĐN</v>
      </c>
    </row>
    <row r="122" spans="1:27" ht="63.75" x14ac:dyDescent="0.2">
      <c r="A122" s="401">
        <f>IF(Table2[[#This Row],[Code 
CC- ]]="", "", A121+1)</f>
        <v>119</v>
      </c>
      <c r="B122" s="625" t="s">
        <v>2150</v>
      </c>
      <c r="C122" s="517">
        <v>45932</v>
      </c>
      <c r="D122" s="410" t="s">
        <v>1399</v>
      </c>
      <c r="E122" s="591"/>
      <c r="F122" s="412" t="s">
        <v>1384</v>
      </c>
      <c r="G122" s="413" t="s">
        <v>1383</v>
      </c>
      <c r="H122" s="404" t="s">
        <v>1385</v>
      </c>
      <c r="I122" s="353" t="s">
        <v>1371</v>
      </c>
      <c r="J122" s="346" t="s">
        <v>13</v>
      </c>
      <c r="K122" s="536">
        <v>46539</v>
      </c>
      <c r="L122" s="343" t="s">
        <v>48</v>
      </c>
      <c r="M122" s="354">
        <v>3</v>
      </c>
      <c r="N122" s="344" t="s">
        <v>1372</v>
      </c>
      <c r="O122" s="355" t="s">
        <v>1053</v>
      </c>
      <c r="P122" s="355" t="s">
        <v>1396</v>
      </c>
      <c r="Q122" s="354" t="s">
        <v>1394</v>
      </c>
      <c r="R122" s="354" t="s">
        <v>1395</v>
      </c>
      <c r="S122" s="355" t="s">
        <v>1256</v>
      </c>
      <c r="T122" s="356"/>
      <c r="U122" s="356">
        <f>MONTH(Table2[[#This Row],[Ngày
date]])</f>
        <v>10</v>
      </c>
      <c r="V122" s="429" t="str">
        <f t="shared" ref="V122:V128" si="46">IF(K122="","CHƯA NHẬP NGÀY",TEXT(K122,"dd/mm/yyyy"))</f>
        <v>01/06/2027</v>
      </c>
      <c r="W122" s="430" t="str">
        <f t="shared" ref="W122:W128" si="47">IF(T122="","CHƯA NHẬP NGÀY",TEXT(T122,"dd/mm/yyyy"))</f>
        <v>CHƯA NHẬP NGÀY</v>
      </c>
      <c r="X122" s="502" t="str">
        <f t="shared" si="38"/>
        <v>NA</v>
      </c>
      <c r="Y122" s="367" t="str">
        <f>HYPERLINK('Danh mục'!$D$1&amp;"20"&amp;MID(D122,8,2)&amp;"\"&amp;D122,D122)</f>
        <v>CC_1071025-ĐN-HUY</v>
      </c>
      <c r="Z122" s="327">
        <f>YEAR(Table2[[#This Row],[Ngày
date]])</f>
        <v>2025</v>
      </c>
      <c r="AA122" s="327" t="str">
        <f t="shared" si="39"/>
        <v>ĐN</v>
      </c>
    </row>
    <row r="123" spans="1:27" ht="76.5" x14ac:dyDescent="0.2">
      <c r="A123" s="401">
        <f>IF(Table2[[#This Row],[Code 
CC- ]]="", "", A122+1)</f>
        <v>120</v>
      </c>
      <c r="B123" s="625" t="s">
        <v>2153</v>
      </c>
      <c r="C123" s="517">
        <v>45932</v>
      </c>
      <c r="D123" s="410" t="s">
        <v>1373</v>
      </c>
      <c r="E123" s="591"/>
      <c r="F123" s="420" t="s">
        <v>1378</v>
      </c>
      <c r="G123" s="413" t="s">
        <v>1379</v>
      </c>
      <c r="H123" s="404" t="s">
        <v>1375</v>
      </c>
      <c r="I123" s="353" t="s">
        <v>1376</v>
      </c>
      <c r="J123" s="434" t="s">
        <v>1036</v>
      </c>
      <c r="K123" s="536">
        <v>46477</v>
      </c>
      <c r="L123" s="343" t="s">
        <v>50</v>
      </c>
      <c r="M123" s="354">
        <v>1</v>
      </c>
      <c r="N123" s="344" t="s">
        <v>1377</v>
      </c>
      <c r="O123" s="358" t="s">
        <v>482</v>
      </c>
      <c r="P123" s="344" t="s">
        <v>1510</v>
      </c>
      <c r="Q123" s="354"/>
      <c r="R123" s="354" t="s">
        <v>1195</v>
      </c>
      <c r="S123" s="355" t="s">
        <v>1255</v>
      </c>
      <c r="T123" s="356"/>
      <c r="U123" s="356">
        <f>MONTH(Table2[[#This Row],[Ngày
date]])</f>
        <v>10</v>
      </c>
      <c r="V123" s="429" t="str">
        <f t="shared" si="46"/>
        <v>31/03/2027</v>
      </c>
      <c r="W123" s="430" t="str">
        <f t="shared" si="47"/>
        <v>CHƯA NHẬP NGÀY</v>
      </c>
      <c r="X123" s="502" t="str">
        <f t="shared" si="38"/>
        <v>01/04/2024</v>
      </c>
      <c r="Y123" s="367" t="str">
        <f>HYPERLINK('Danh mục'!$D$1&amp;"20"&amp;MID(D123,8,2)&amp;"\"&amp;D123,D123)</f>
        <v>CC_1081025-HN</v>
      </c>
      <c r="Z123" s="327">
        <f>YEAR(Table2[[#This Row],[Ngày
date]])</f>
        <v>2025</v>
      </c>
      <c r="AA123" s="327" t="str">
        <f t="shared" si="39"/>
        <v>HN</v>
      </c>
    </row>
    <row r="124" spans="1:27" ht="60" customHeight="1" x14ac:dyDescent="0.2">
      <c r="A124" s="401">
        <f>IF(Table2[[#This Row],[Code 
CC- ]]="", "", A123+1)</f>
        <v>121</v>
      </c>
      <c r="B124" s="625" t="s">
        <v>2151</v>
      </c>
      <c r="C124" s="517">
        <v>45932</v>
      </c>
      <c r="D124" s="410" t="s">
        <v>1374</v>
      </c>
      <c r="E124" s="591"/>
      <c r="F124" s="412" t="s">
        <v>54</v>
      </c>
      <c r="G124" s="419" t="s">
        <v>55</v>
      </c>
      <c r="H124" s="404" t="s">
        <v>586</v>
      </c>
      <c r="I124" s="431" t="s">
        <v>1095</v>
      </c>
      <c r="J124" s="463">
        <v>45236</v>
      </c>
      <c r="K124" s="536">
        <v>46326</v>
      </c>
      <c r="L124" s="354" t="s">
        <v>65</v>
      </c>
      <c r="M124" s="354">
        <v>1</v>
      </c>
      <c r="N124" s="344" t="s">
        <v>1380</v>
      </c>
      <c r="O124" s="358" t="s">
        <v>482</v>
      </c>
      <c r="P124" s="344" t="s">
        <v>1381</v>
      </c>
      <c r="Q124" s="343" t="s">
        <v>1382</v>
      </c>
      <c r="R124" s="343" t="s">
        <v>759</v>
      </c>
      <c r="S124" s="355" t="s">
        <v>1255</v>
      </c>
      <c r="T124" s="356"/>
      <c r="U124" s="356">
        <f>MONTH(Table2[[#This Row],[Ngày
date]])</f>
        <v>10</v>
      </c>
      <c r="V124" s="429" t="str">
        <f t="shared" si="46"/>
        <v>31/10/2026</v>
      </c>
      <c r="W124" s="430" t="str">
        <f t="shared" si="47"/>
        <v>CHƯA NHẬP NGÀY</v>
      </c>
      <c r="X124" s="502" t="str">
        <f t="shared" si="38"/>
        <v>06/11/2023</v>
      </c>
      <c r="Y124" s="367" t="str">
        <f>HYPERLINK('Danh mục'!$D$1&amp;"20"&amp;MID(D124,8,2)&amp;"\"&amp;D124,D124)</f>
        <v>CC_1091025-HCM</v>
      </c>
      <c r="Z124" s="327">
        <f>YEAR(Table2[[#This Row],[Ngày
date]])</f>
        <v>2025</v>
      </c>
      <c r="AA124" s="327" t="str">
        <f t="shared" si="39"/>
        <v>HCM</v>
      </c>
    </row>
    <row r="125" spans="1:27" ht="63.75" x14ac:dyDescent="0.2">
      <c r="A125" s="401">
        <f>IF(Table2[[#This Row],[Code 
CC- ]]="", "", A124+1)</f>
        <v>122</v>
      </c>
      <c r="B125" s="625" t="s">
        <v>2160</v>
      </c>
      <c r="C125" s="517">
        <v>45933</v>
      </c>
      <c r="D125" s="410" t="s">
        <v>1397</v>
      </c>
      <c r="E125" s="591"/>
      <c r="F125" s="412" t="s">
        <v>1163</v>
      </c>
      <c r="G125" s="419" t="s">
        <v>1177</v>
      </c>
      <c r="H125" s="414" t="s">
        <v>1386</v>
      </c>
      <c r="I125" s="378" t="s">
        <v>1387</v>
      </c>
      <c r="J125" s="463">
        <v>45792</v>
      </c>
      <c r="K125" s="536">
        <v>46522</v>
      </c>
      <c r="L125" s="354" t="s">
        <v>65</v>
      </c>
      <c r="M125" s="354">
        <v>10</v>
      </c>
      <c r="N125" s="344" t="s">
        <v>1388</v>
      </c>
      <c r="O125" s="358" t="s">
        <v>736</v>
      </c>
      <c r="P125" s="374" t="s">
        <v>1685</v>
      </c>
      <c r="Q125" s="343"/>
      <c r="R125" s="343"/>
      <c r="S125" s="355" t="s">
        <v>1256</v>
      </c>
      <c r="T125" s="356"/>
      <c r="U125" s="356">
        <f>MONTH(Table2[[#This Row],[Ngày
date]])</f>
        <v>10</v>
      </c>
      <c r="V125" s="432" t="str">
        <f t="shared" si="46"/>
        <v>15/05/2027</v>
      </c>
      <c r="W125" s="433" t="str">
        <f t="shared" si="47"/>
        <v>CHƯA NHẬP NGÀY</v>
      </c>
      <c r="X125" s="503" t="str">
        <f t="shared" si="38"/>
        <v>15/05/2025</v>
      </c>
      <c r="Y125" s="367" t="str">
        <f>HYPERLINK('Danh mục'!$D$1&amp;"20"&amp;MID(D125,8,2)&amp;"\"&amp;D125,D125)</f>
        <v>CC_1101025-HCM-HUY</v>
      </c>
      <c r="Z125" s="327">
        <f>YEAR(Table2[[#This Row],[Ngày
date]])</f>
        <v>2025</v>
      </c>
      <c r="AA125" s="327" t="str">
        <f t="shared" si="39"/>
        <v>HCM</v>
      </c>
    </row>
    <row r="126" spans="1:27" ht="38.25" x14ac:dyDescent="0.2">
      <c r="A126" s="401">
        <f>IF(Table2[[#This Row],[Code 
CC- ]]="", "", A125+1)</f>
        <v>123</v>
      </c>
      <c r="B126" s="625" t="s">
        <v>2153</v>
      </c>
      <c r="C126" s="517">
        <v>45936</v>
      </c>
      <c r="D126" s="404" t="s">
        <v>1393</v>
      </c>
      <c r="E126" s="591"/>
      <c r="F126" s="412" t="s">
        <v>1389</v>
      </c>
      <c r="G126" s="419" t="s">
        <v>1390</v>
      </c>
      <c r="H126" s="414" t="s">
        <v>1391</v>
      </c>
      <c r="I126" s="378" t="s">
        <v>1392</v>
      </c>
      <c r="J126" s="463" t="s">
        <v>13</v>
      </c>
      <c r="K126" s="536">
        <v>46551</v>
      </c>
      <c r="L126" s="354" t="s">
        <v>65</v>
      </c>
      <c r="M126" s="354">
        <v>1</v>
      </c>
      <c r="N126" s="337" t="s">
        <v>1452</v>
      </c>
      <c r="O126" s="358" t="s">
        <v>482</v>
      </c>
      <c r="P126" s="372" t="s">
        <v>1511</v>
      </c>
      <c r="Q126" s="336"/>
      <c r="R126" s="336" t="s">
        <v>1195</v>
      </c>
      <c r="S126" s="355" t="s">
        <v>1255</v>
      </c>
      <c r="T126" s="359"/>
      <c r="U126" s="359">
        <f>MONTH(Table2[[#This Row],[Ngày
date]])</f>
        <v>10</v>
      </c>
      <c r="V126" s="435" t="str">
        <f t="shared" si="46"/>
        <v>13/06/2027</v>
      </c>
      <c r="W126" s="436" t="str">
        <f t="shared" si="47"/>
        <v>CHƯA NHẬP NGÀY</v>
      </c>
      <c r="X126" s="503" t="str">
        <f t="shared" si="38"/>
        <v>NA</v>
      </c>
      <c r="Y126" s="367" t="str">
        <f>HYPERLINK('Danh mục'!$D$1&amp;"20"&amp;MID(D126,8,2)&amp;"\"&amp;D126,D126)</f>
        <v>CC_1111025-HN</v>
      </c>
      <c r="Z126" s="327">
        <f>YEAR(Table2[[#This Row],[Ngày
date]])</f>
        <v>2025</v>
      </c>
      <c r="AA126" s="327" t="str">
        <f t="shared" si="39"/>
        <v>HN</v>
      </c>
    </row>
    <row r="127" spans="1:27" ht="51" x14ac:dyDescent="0.2">
      <c r="A127" s="401">
        <f>IF(Table2[[#This Row],[Code 
CC- ]]="", "", A126+1)</f>
        <v>124</v>
      </c>
      <c r="B127" s="625" t="s">
        <v>2160</v>
      </c>
      <c r="C127" s="517">
        <v>45937</v>
      </c>
      <c r="D127" s="410" t="s">
        <v>1400</v>
      </c>
      <c r="E127" s="591"/>
      <c r="F127" s="412" t="s">
        <v>1401</v>
      </c>
      <c r="G127" s="413" t="s">
        <v>1402</v>
      </c>
      <c r="H127" s="404" t="s">
        <v>1403</v>
      </c>
      <c r="I127" s="353" t="s">
        <v>1404</v>
      </c>
      <c r="J127" s="456">
        <v>45511</v>
      </c>
      <c r="K127" s="533">
        <v>46606</v>
      </c>
      <c r="L127" s="354" t="s">
        <v>65</v>
      </c>
      <c r="M127" s="343">
        <v>1</v>
      </c>
      <c r="N127" s="344" t="s">
        <v>1405</v>
      </c>
      <c r="O127" s="358" t="s">
        <v>736</v>
      </c>
      <c r="P127" s="374" t="s">
        <v>1406</v>
      </c>
      <c r="Q127" s="343" t="s">
        <v>1382</v>
      </c>
      <c r="R127" s="343" t="s">
        <v>906</v>
      </c>
      <c r="S127" s="344" t="s">
        <v>814</v>
      </c>
      <c r="T127" s="345"/>
      <c r="U127" s="345">
        <f>MONTH(Table2[[#This Row],[Ngày
date]])</f>
        <v>10</v>
      </c>
      <c r="V127" s="375" t="str">
        <f t="shared" si="46"/>
        <v>07/08/2027</v>
      </c>
      <c r="W127" s="376" t="str">
        <f t="shared" si="47"/>
        <v>CHƯA NHẬP NGÀY</v>
      </c>
      <c r="X127" s="495" t="str">
        <f t="shared" si="38"/>
        <v>07/08/2024</v>
      </c>
      <c r="Y127" s="367" t="str">
        <f>HYPERLINK('Danh mục'!$D$1&amp;"20"&amp;MID(D127,8,2)&amp;"\"&amp;D127,D127)</f>
        <v>CC_1121025-HCM</v>
      </c>
      <c r="Z127" s="327">
        <f>YEAR(Table2[[#This Row],[Ngày
date]])</f>
        <v>2025</v>
      </c>
      <c r="AA127" s="327" t="str">
        <f t="shared" si="39"/>
        <v>HCM</v>
      </c>
    </row>
    <row r="128" spans="1:27" ht="38.25" x14ac:dyDescent="0.2">
      <c r="A128" s="401">
        <f>IF(Table2[[#This Row],[Code 
CC- ]]="", "", A127+1)</f>
        <v>125</v>
      </c>
      <c r="B128" s="625" t="s">
        <v>2154</v>
      </c>
      <c r="C128" s="517">
        <v>45937</v>
      </c>
      <c r="D128" s="410" t="s">
        <v>1407</v>
      </c>
      <c r="E128" s="591"/>
      <c r="F128" s="412" t="s">
        <v>1408</v>
      </c>
      <c r="G128" s="413" t="s">
        <v>1415</v>
      </c>
      <c r="H128" s="413" t="s">
        <v>1119</v>
      </c>
      <c r="I128" s="378" t="s">
        <v>1409</v>
      </c>
      <c r="J128" s="455" t="s">
        <v>13</v>
      </c>
      <c r="K128" s="533">
        <v>47272</v>
      </c>
      <c r="L128" s="343" t="s">
        <v>50</v>
      </c>
      <c r="M128" s="343">
        <v>1</v>
      </c>
      <c r="N128" s="344" t="s">
        <v>1410</v>
      </c>
      <c r="O128" s="358" t="s">
        <v>482</v>
      </c>
      <c r="P128" s="374" t="s">
        <v>1414</v>
      </c>
      <c r="Q128" s="343" t="s">
        <v>1382</v>
      </c>
      <c r="R128" s="343" t="s">
        <v>666</v>
      </c>
      <c r="S128" s="344" t="s">
        <v>1255</v>
      </c>
      <c r="T128" s="345"/>
      <c r="U128" s="345">
        <f>MONTH(Table2[[#This Row],[Ngày
date]])</f>
        <v>10</v>
      </c>
      <c r="V128" s="375" t="str">
        <f t="shared" si="46"/>
        <v>03/06/2029</v>
      </c>
      <c r="W128" s="376" t="str">
        <f t="shared" si="47"/>
        <v>CHƯA NHẬP NGÀY</v>
      </c>
      <c r="X128" s="495" t="str">
        <f t="shared" si="38"/>
        <v>NA</v>
      </c>
      <c r="Y128" s="367" t="str">
        <f>HYPERLINK('Danh mục'!$D$1&amp;"20"&amp;MID(D128,8,2)&amp;"\"&amp;D128,D128)</f>
        <v>CC_1131025-HCM</v>
      </c>
      <c r="Z128" s="327">
        <f>YEAR(Table2[[#This Row],[Ngày
date]])</f>
        <v>2025</v>
      </c>
      <c r="AA128" s="327" t="str">
        <f t="shared" si="39"/>
        <v>HCM</v>
      </c>
    </row>
    <row r="129" spans="1:27" ht="127.5" x14ac:dyDescent="0.2">
      <c r="A129" s="401">
        <f>IF(Table2[[#This Row],[Code 
CC- ]]="", "", A128+1)</f>
        <v>126</v>
      </c>
      <c r="B129" s="625" t="s">
        <v>2163</v>
      </c>
      <c r="C129" s="517">
        <v>45937</v>
      </c>
      <c r="D129" s="410" t="s">
        <v>1413</v>
      </c>
      <c r="E129" s="410"/>
      <c r="F129" s="421" t="s">
        <v>898</v>
      </c>
      <c r="G129" s="421" t="s">
        <v>41</v>
      </c>
      <c r="H129" s="404" t="s">
        <v>1192</v>
      </c>
      <c r="I129" s="353" t="s">
        <v>1416</v>
      </c>
      <c r="J129" s="462" t="s">
        <v>13</v>
      </c>
      <c r="K129" s="539">
        <v>46534</v>
      </c>
      <c r="L129" s="357" t="s">
        <v>65</v>
      </c>
      <c r="M129" s="357">
        <v>4</v>
      </c>
      <c r="N129" s="358" t="s">
        <v>1430</v>
      </c>
      <c r="O129" s="358" t="s">
        <v>482</v>
      </c>
      <c r="P129" s="374" t="s">
        <v>1555</v>
      </c>
      <c r="Q129" s="343"/>
      <c r="R129" s="343"/>
      <c r="S129" s="344" t="s">
        <v>799</v>
      </c>
      <c r="T129" s="345"/>
      <c r="U129" s="345">
        <f>MONTH(Table2[[#This Row],[Ngày
date]])</f>
        <v>10</v>
      </c>
      <c r="V129" s="432" t="str">
        <f t="shared" ref="V129:V134" si="48">IF(K129="","CHƯA NHẬP NGÀY",TEXT(K129,"dd/mm/yyyy"))</f>
        <v>27/05/2027</v>
      </c>
      <c r="W129" s="433" t="str">
        <f t="shared" ref="W129:W134" si="49">IF(T129="","CHƯA NHẬP NGÀY",TEXT(T129,"dd/mm/yyyy"))</f>
        <v>CHƯA NHẬP NGÀY</v>
      </c>
      <c r="X129" s="503" t="str">
        <f t="shared" si="38"/>
        <v>NA</v>
      </c>
      <c r="Y129" s="367" t="str">
        <f>HYPERLINK('Danh mục'!$D$1&amp;"20"&amp;MID(D129,8,2)&amp;"\"&amp;D129,D129)</f>
        <v>CC_1141025-HCM</v>
      </c>
      <c r="Z129" s="327">
        <f>YEAR(Table2[[#This Row],[Ngày
date]])</f>
        <v>2025</v>
      </c>
      <c r="AA129" s="327" t="str">
        <f t="shared" si="39"/>
        <v>HCM</v>
      </c>
    </row>
    <row r="130" spans="1:27" ht="63.6" customHeight="1" x14ac:dyDescent="0.2">
      <c r="A130" s="401">
        <f>IF(Table2[[#This Row],[Code 
CC- ]]="", "", A129+1)</f>
        <v>127</v>
      </c>
      <c r="B130" s="625" t="s">
        <v>2151</v>
      </c>
      <c r="C130" s="517">
        <v>45939</v>
      </c>
      <c r="D130" s="410" t="s">
        <v>1417</v>
      </c>
      <c r="E130" s="591"/>
      <c r="F130" s="412" t="s">
        <v>954</v>
      </c>
      <c r="G130" s="419" t="s">
        <v>956</v>
      </c>
      <c r="H130" s="404" t="s">
        <v>1030</v>
      </c>
      <c r="I130" s="353" t="s">
        <v>1419</v>
      </c>
      <c r="J130" s="455" t="s">
        <v>13</v>
      </c>
      <c r="K130" s="533">
        <v>46507</v>
      </c>
      <c r="L130" s="357" t="s">
        <v>65</v>
      </c>
      <c r="M130" s="343">
        <v>1</v>
      </c>
      <c r="N130" s="344" t="s">
        <v>1420</v>
      </c>
      <c r="O130" s="358" t="s">
        <v>482</v>
      </c>
      <c r="P130" s="374" t="s">
        <v>1421</v>
      </c>
      <c r="Q130" s="343"/>
      <c r="R130" s="343"/>
      <c r="S130" s="344" t="s">
        <v>1255</v>
      </c>
      <c r="T130" s="345"/>
      <c r="U130" s="345">
        <f>MONTH(Table2[[#This Row],[Ngày
date]])</f>
        <v>10</v>
      </c>
      <c r="V130" s="375" t="str">
        <f t="shared" si="48"/>
        <v>30/04/2027</v>
      </c>
      <c r="W130" s="376" t="str">
        <f t="shared" si="49"/>
        <v>CHƯA NHẬP NGÀY</v>
      </c>
      <c r="X130" s="495" t="str">
        <f t="shared" si="38"/>
        <v>NA</v>
      </c>
      <c r="Y130" s="367" t="str">
        <f>HYPERLINK('Danh mục'!$D$1&amp;"20"&amp;MID(D130,8,2)&amp;"\"&amp;D130,D130)</f>
        <v>CC_1151025-HCM</v>
      </c>
      <c r="Z130" s="327">
        <f>YEAR(Table2[[#This Row],[Ngày
date]])</f>
        <v>2025</v>
      </c>
      <c r="AA130" s="327" t="str">
        <f t="shared" si="39"/>
        <v>HCM</v>
      </c>
    </row>
    <row r="131" spans="1:27" ht="51" x14ac:dyDescent="0.2">
      <c r="A131" s="401">
        <f>IF(Table2[[#This Row],[Code 
CC- ]]="", "", A130+1)</f>
        <v>128</v>
      </c>
      <c r="B131" s="625" t="s">
        <v>2152</v>
      </c>
      <c r="C131" s="517">
        <v>45939</v>
      </c>
      <c r="D131" s="410" t="s">
        <v>1418</v>
      </c>
      <c r="E131" s="591"/>
      <c r="F131" s="412" t="s">
        <v>1423</v>
      </c>
      <c r="G131" s="413" t="s">
        <v>1424</v>
      </c>
      <c r="H131" s="410" t="s">
        <v>1422</v>
      </c>
      <c r="I131" s="431" t="s">
        <v>1425</v>
      </c>
      <c r="J131" s="455">
        <v>45855</v>
      </c>
      <c r="K131" s="533">
        <v>46400</v>
      </c>
      <c r="L131" s="343" t="s">
        <v>1426</v>
      </c>
      <c r="M131" s="343">
        <v>1</v>
      </c>
      <c r="N131" s="344" t="s">
        <v>1427</v>
      </c>
      <c r="O131" s="344" t="s">
        <v>736</v>
      </c>
      <c r="P131" s="374" t="s">
        <v>1428</v>
      </c>
      <c r="Q131" s="343"/>
      <c r="R131" s="343"/>
      <c r="S131" s="344" t="s">
        <v>1256</v>
      </c>
      <c r="T131" s="345"/>
      <c r="U131" s="345">
        <f>MONTH(Table2[[#This Row],[Ngày
date]])</f>
        <v>10</v>
      </c>
      <c r="V131" s="375" t="str">
        <f t="shared" si="48"/>
        <v>13/01/2027</v>
      </c>
      <c r="W131" s="376" t="str">
        <f t="shared" si="49"/>
        <v>CHƯA NHẬP NGÀY</v>
      </c>
      <c r="X131" s="495" t="str">
        <f t="shared" si="38"/>
        <v>17/07/2025</v>
      </c>
      <c r="Y131" s="367" t="str">
        <f>HYPERLINK('Danh mục'!$D$1&amp;"20"&amp;MID(D131,8,2)&amp;"\"&amp;D131,D131)</f>
        <v>CC_1161025-HCM-HUY</v>
      </c>
      <c r="Z131" s="327">
        <f>YEAR(Table2[[#This Row],[Ngày
date]])</f>
        <v>2025</v>
      </c>
      <c r="AA131" s="327" t="str">
        <f t="shared" si="39"/>
        <v>HCM</v>
      </c>
    </row>
    <row r="132" spans="1:27" ht="63.75" x14ac:dyDescent="0.2">
      <c r="A132" s="401">
        <f>IF(Table2[[#This Row],[Code 
CC- ]]="", "", A131+1)</f>
        <v>129</v>
      </c>
      <c r="B132" s="625" t="s">
        <v>2150</v>
      </c>
      <c r="C132" s="517">
        <v>45940</v>
      </c>
      <c r="D132" s="410" t="s">
        <v>1432</v>
      </c>
      <c r="E132" s="410"/>
      <c r="F132" s="421" t="s">
        <v>898</v>
      </c>
      <c r="G132" s="440" t="s">
        <v>1133</v>
      </c>
      <c r="H132" s="404" t="s">
        <v>1230</v>
      </c>
      <c r="I132" s="353" t="s">
        <v>1231</v>
      </c>
      <c r="J132" s="453">
        <v>45322</v>
      </c>
      <c r="K132" s="533">
        <v>46418</v>
      </c>
      <c r="L132" s="354" t="s">
        <v>65</v>
      </c>
      <c r="M132" s="343">
        <v>1</v>
      </c>
      <c r="N132" s="344" t="s">
        <v>1232</v>
      </c>
      <c r="O132" s="358" t="s">
        <v>482</v>
      </c>
      <c r="P132" s="374" t="s">
        <v>1512</v>
      </c>
      <c r="Q132" s="343"/>
      <c r="R132" s="343"/>
      <c r="S132" s="344" t="s">
        <v>798</v>
      </c>
      <c r="T132" s="345"/>
      <c r="U132" s="345">
        <f>MONTH(Table2[[#This Row],[Ngày
date]])</f>
        <v>10</v>
      </c>
      <c r="V132" s="438" t="str">
        <f t="shared" si="48"/>
        <v>31/01/2027</v>
      </c>
      <c r="W132" s="439" t="str">
        <f t="shared" si="49"/>
        <v>CHƯA NHẬP NGÀY</v>
      </c>
      <c r="X132" s="504" t="str">
        <f t="shared" ref="X132:X163" si="50">IF(J132="","CHƯA NHẬP NGÀY",TEXT(J132,"dd/mm/yyyy"))</f>
        <v>31/01/2024</v>
      </c>
      <c r="Y132" s="367" t="str">
        <f>HYPERLINK('Danh mục'!$D$1&amp;"20"&amp;MID(D132,8,2)&amp;"\"&amp;D132,D132)</f>
        <v>CC_1171025-HN</v>
      </c>
      <c r="Z132" s="327">
        <f>YEAR(Table2[[#This Row],[Ngày
date]])</f>
        <v>2025</v>
      </c>
      <c r="AA132" s="327" t="str">
        <f t="shared" ref="AA132:AA163" si="51">IF(ISNUMBER(SEARCH("HCM",D132)),"HCM",
IF(ISNUMBER(SEARCH("HN",D132)),"HN",
IF(ISNUMBER(SEARCH("ĐN",D132)),"ĐN","")))</f>
        <v>HN</v>
      </c>
    </row>
    <row r="133" spans="1:27" ht="58.35" customHeight="1" x14ac:dyDescent="0.2">
      <c r="A133" s="401">
        <f>IF(Table2[[#This Row],[Code 
CC- ]]="", "", A132+1)</f>
        <v>130</v>
      </c>
      <c r="B133" s="625" t="s">
        <v>2152</v>
      </c>
      <c r="C133" s="517">
        <v>45943</v>
      </c>
      <c r="D133" s="410" t="s">
        <v>1433</v>
      </c>
      <c r="E133" s="591"/>
      <c r="F133" s="420" t="s">
        <v>423</v>
      </c>
      <c r="G133" s="419" t="s">
        <v>424</v>
      </c>
      <c r="H133" s="404" t="s">
        <v>581</v>
      </c>
      <c r="I133" s="353" t="s">
        <v>1224</v>
      </c>
      <c r="J133" s="463">
        <v>45565</v>
      </c>
      <c r="K133" s="536">
        <v>46660</v>
      </c>
      <c r="L133" s="354" t="s">
        <v>33</v>
      </c>
      <c r="M133" s="343">
        <v>1</v>
      </c>
      <c r="N133" s="344" t="s">
        <v>828</v>
      </c>
      <c r="O133" s="344" t="s">
        <v>1496</v>
      </c>
      <c r="P133" s="374" t="s">
        <v>1497</v>
      </c>
      <c r="Q133" s="343"/>
      <c r="R133" s="343"/>
      <c r="S133" s="344" t="s">
        <v>798</v>
      </c>
      <c r="T133" s="345"/>
      <c r="U133" s="345">
        <f>MONTH(Table2[[#This Row],[Ngày
date]])</f>
        <v>10</v>
      </c>
      <c r="V133" s="438" t="str">
        <f t="shared" si="48"/>
        <v>30/09/2027</v>
      </c>
      <c r="W133" s="439" t="str">
        <f t="shared" si="49"/>
        <v>CHƯA NHẬP NGÀY</v>
      </c>
      <c r="X133" s="504" t="str">
        <f t="shared" si="50"/>
        <v>30/09/2024</v>
      </c>
      <c r="Y133" s="367" t="str">
        <f>HYPERLINK('Danh mục'!$D$1&amp;"20"&amp;MID(D133,8,2)&amp;"\"&amp;D133,D133)</f>
        <v>CC_1181025-HCM</v>
      </c>
      <c r="Z133" s="327">
        <f>YEAR(Table2[[#This Row],[Ngày
date]])</f>
        <v>2025</v>
      </c>
      <c r="AA133" s="327" t="str">
        <f t="shared" si="51"/>
        <v>HCM</v>
      </c>
    </row>
    <row r="134" spans="1:27" ht="51" x14ac:dyDescent="0.2">
      <c r="A134" s="401">
        <f>IF(Table2[[#This Row],[Code 
CC- ]]="", "", A133+1)</f>
        <v>131</v>
      </c>
      <c r="B134" s="625" t="s">
        <v>2156</v>
      </c>
      <c r="C134" s="517">
        <v>45944</v>
      </c>
      <c r="D134" s="410" t="s">
        <v>1434</v>
      </c>
      <c r="E134" s="591"/>
      <c r="F134" s="412" t="s">
        <v>1309</v>
      </c>
      <c r="G134" s="413" t="s">
        <v>222</v>
      </c>
      <c r="H134" s="404" t="s">
        <v>223</v>
      </c>
      <c r="I134" s="353" t="s">
        <v>1306</v>
      </c>
      <c r="J134" s="456">
        <v>45584</v>
      </c>
      <c r="K134" s="529">
        <v>46314</v>
      </c>
      <c r="L134" s="343" t="s">
        <v>15</v>
      </c>
      <c r="M134" s="343">
        <v>1</v>
      </c>
      <c r="N134" s="344" t="s">
        <v>1435</v>
      </c>
      <c r="O134" s="358" t="s">
        <v>482</v>
      </c>
      <c r="P134" s="374" t="s">
        <v>1506</v>
      </c>
      <c r="Q134" s="343"/>
      <c r="R134" s="343"/>
      <c r="S134" s="344" t="s">
        <v>1255</v>
      </c>
      <c r="T134" s="345"/>
      <c r="U134" s="345">
        <f>MONTH(Table2[[#This Row],[Ngày
date]])</f>
        <v>10</v>
      </c>
      <c r="V134" s="438" t="str">
        <f t="shared" si="48"/>
        <v>19/10/2026</v>
      </c>
      <c r="W134" s="439" t="str">
        <f t="shared" si="49"/>
        <v>CHƯA NHẬP NGÀY</v>
      </c>
      <c r="X134" s="504" t="str">
        <f t="shared" si="50"/>
        <v>19/10/2024</v>
      </c>
      <c r="Y134" s="367" t="str">
        <f>HYPERLINK('Danh mục'!$D$1&amp;"20"&amp;MID(D134,8,2)&amp;"\"&amp;D134,D134)</f>
        <v>CC_1191025-HCM</v>
      </c>
      <c r="Z134" s="327">
        <f>YEAR(Table2[[#This Row],[Ngày
date]])</f>
        <v>2025</v>
      </c>
      <c r="AA134" s="327" t="str">
        <f t="shared" si="51"/>
        <v>HCM</v>
      </c>
    </row>
    <row r="135" spans="1:27" ht="38.85" customHeight="1" x14ac:dyDescent="0.2">
      <c r="A135" s="401">
        <f>IF(Table2[[#This Row],[Code 
CC- ]]="", "", A134+1)</f>
        <v>132</v>
      </c>
      <c r="B135" s="625" t="s">
        <v>2151</v>
      </c>
      <c r="C135" s="517">
        <v>45947</v>
      </c>
      <c r="D135" s="410" t="s">
        <v>1436</v>
      </c>
      <c r="E135" s="591"/>
      <c r="F135" s="412" t="s">
        <v>1437</v>
      </c>
      <c r="G135" s="413" t="s">
        <v>1438</v>
      </c>
      <c r="H135" s="414" t="s">
        <v>1439</v>
      </c>
      <c r="I135" s="378" t="s">
        <v>1440</v>
      </c>
      <c r="J135" s="455">
        <v>45538</v>
      </c>
      <c r="K135" s="533">
        <v>46446</v>
      </c>
      <c r="L135" s="343" t="s">
        <v>523</v>
      </c>
      <c r="M135" s="343">
        <v>1</v>
      </c>
      <c r="N135" s="344" t="s">
        <v>1441</v>
      </c>
      <c r="O135" s="358" t="s">
        <v>482</v>
      </c>
      <c r="P135" s="374" t="s">
        <v>1468</v>
      </c>
      <c r="Q135" s="343"/>
      <c r="R135" s="343"/>
      <c r="S135" s="344" t="s">
        <v>1256</v>
      </c>
      <c r="T135" s="345"/>
      <c r="U135" s="345">
        <f>MONTH(Table2[[#This Row],[Ngày
date]])</f>
        <v>10</v>
      </c>
      <c r="V135" s="438" t="str">
        <f>IF(K135="","CHƯA NHẬP NGÀY",TEXT(K135,"dd/mm/yyyy"))</f>
        <v>28/02/2027</v>
      </c>
      <c r="W135" s="439" t="str">
        <f>IF(T135="","CHƯA NHẬP NGÀY",TEXT(T135,"dd/mm/yyyy"))</f>
        <v>CHƯA NHẬP NGÀY</v>
      </c>
      <c r="X135" s="504" t="str">
        <f t="shared" si="50"/>
        <v>03/09/2024</v>
      </c>
      <c r="Y135" s="367" t="str">
        <f>HYPERLINK('Danh mục'!$D$1&amp;"20"&amp;MID(D135,8,2)&amp;"\"&amp;D135,D135)</f>
        <v>CC_1201025-HCM</v>
      </c>
      <c r="Z135" s="327">
        <f>YEAR(Table2[[#This Row],[Ngày
date]])</f>
        <v>2025</v>
      </c>
      <c r="AA135" s="327" t="str">
        <f t="shared" si="51"/>
        <v>HCM</v>
      </c>
    </row>
    <row r="136" spans="1:27" ht="38.25" x14ac:dyDescent="0.2">
      <c r="A136" s="401">
        <f>IF(Table2[[#This Row],[Code 
CC- ]]="", "", A135+1)</f>
        <v>133</v>
      </c>
      <c r="B136" s="625" t="s">
        <v>2159</v>
      </c>
      <c r="C136" s="517">
        <v>45952</v>
      </c>
      <c r="D136" s="410" t="s">
        <v>1442</v>
      </c>
      <c r="E136" s="591"/>
      <c r="F136" s="412" t="s">
        <v>1445</v>
      </c>
      <c r="G136" s="412" t="s">
        <v>32</v>
      </c>
      <c r="H136" s="414" t="s">
        <v>1443</v>
      </c>
      <c r="I136" s="378" t="s">
        <v>1446</v>
      </c>
      <c r="J136" s="441" t="s">
        <v>1455</v>
      </c>
      <c r="K136" s="540" t="s">
        <v>1456</v>
      </c>
      <c r="L136" s="343" t="s">
        <v>855</v>
      </c>
      <c r="M136" s="343">
        <v>1</v>
      </c>
      <c r="N136" s="344" t="s">
        <v>1447</v>
      </c>
      <c r="O136" s="344" t="s">
        <v>736</v>
      </c>
      <c r="P136" s="374" t="s">
        <v>1454</v>
      </c>
      <c r="Q136" s="343"/>
      <c r="R136" s="343"/>
      <c r="S136" s="344" t="s">
        <v>1256</v>
      </c>
      <c r="T136" s="345"/>
      <c r="U136" s="345">
        <f>MONTH(Table2[[#This Row],[Ngày
date]])</f>
        <v>10</v>
      </c>
      <c r="V136" s="438" t="str">
        <f>IF(K136="","CHƯA NHẬP NGÀY",TEXT(K136,"dd/mm/yyyy"))</f>
        <v>01/09/2027</v>
      </c>
      <c r="W136" s="439" t="str">
        <f>IF(T136="","CHƯA NHẬP NGÀY",TEXT(T136,"dd/mm/yyyy"))</f>
        <v>CHƯA NHẬP NGÀY</v>
      </c>
      <c r="X136" s="504" t="str">
        <f t="shared" si="50"/>
        <v>01/10/2024</v>
      </c>
      <c r="Y136" s="367" t="str">
        <f>HYPERLINK('Danh mục'!$D$1&amp;"20"&amp;MID(D136,8,2)&amp;"\"&amp;D136,D136)</f>
        <v>CC_1211025-HCM</v>
      </c>
      <c r="Z136" s="327">
        <f>YEAR(Table2[[#This Row],[Ngày
date]])</f>
        <v>2025</v>
      </c>
      <c r="AA136" s="327" t="str">
        <f t="shared" si="51"/>
        <v>HCM</v>
      </c>
    </row>
    <row r="137" spans="1:27" ht="47.1" customHeight="1" x14ac:dyDescent="0.2">
      <c r="A137" s="401">
        <f>IF(Table2[[#This Row],[Code 
CC- ]]="", "", A136+1)</f>
        <v>134</v>
      </c>
      <c r="B137" s="625" t="s">
        <v>2155</v>
      </c>
      <c r="C137" s="517">
        <v>45952</v>
      </c>
      <c r="D137" s="410" t="s">
        <v>1444</v>
      </c>
      <c r="E137" s="591"/>
      <c r="F137" s="412" t="s">
        <v>1451</v>
      </c>
      <c r="G137" s="412" t="s">
        <v>1490</v>
      </c>
      <c r="H137" s="414" t="s">
        <v>1448</v>
      </c>
      <c r="I137" s="378" t="s">
        <v>1449</v>
      </c>
      <c r="J137" s="455"/>
      <c r="K137" s="533">
        <v>46976</v>
      </c>
      <c r="L137" s="343" t="s">
        <v>394</v>
      </c>
      <c r="M137" s="343">
        <v>1</v>
      </c>
      <c r="N137" s="344" t="s">
        <v>1450</v>
      </c>
      <c r="O137" s="358" t="s">
        <v>482</v>
      </c>
      <c r="P137" s="374" t="s">
        <v>1469</v>
      </c>
      <c r="Q137" s="343"/>
      <c r="R137" s="343"/>
      <c r="S137" s="344" t="s">
        <v>1255</v>
      </c>
      <c r="T137" s="345"/>
      <c r="U137" s="345">
        <f>MONTH(Table2[[#This Row],[Ngày
date]])</f>
        <v>10</v>
      </c>
      <c r="V137" s="438" t="str">
        <f>IF(K137="","CHƯA NHẬP NGÀY",TEXT(K137,"dd/mm/yyyy"))</f>
        <v>11/08/2028</v>
      </c>
      <c r="W137" s="439" t="str">
        <f>IF(T137="","CHƯA NHẬP NGÀY",TEXT(T137,"dd/mm/yyyy"))</f>
        <v>CHƯA NHẬP NGÀY</v>
      </c>
      <c r="X137" s="504" t="str">
        <f t="shared" si="50"/>
        <v>CHƯA NHẬP NGÀY</v>
      </c>
      <c r="Y137" s="367" t="str">
        <f>HYPERLINK('Danh mục'!$D$1&amp;"20"&amp;MID(D137,8,2)&amp;"\"&amp;D137,D137)</f>
        <v>CC_1221025-HN</v>
      </c>
      <c r="Z137" s="327">
        <f>YEAR(Table2[[#This Row],[Ngày
date]])</f>
        <v>2025</v>
      </c>
      <c r="AA137" s="327" t="str">
        <f t="shared" si="51"/>
        <v>HN</v>
      </c>
    </row>
    <row r="138" spans="1:27" ht="63.75" x14ac:dyDescent="0.2">
      <c r="A138" s="401">
        <f>IF(Table2[[#This Row],[Code 
CC- ]]="", "", A137+1)</f>
        <v>135</v>
      </c>
      <c r="B138" s="625" t="s">
        <v>2150</v>
      </c>
      <c r="C138" s="517">
        <v>45953</v>
      </c>
      <c r="D138" s="410" t="s">
        <v>1453</v>
      </c>
      <c r="E138" s="591"/>
      <c r="F138" s="412" t="s">
        <v>1458</v>
      </c>
      <c r="G138" s="409" t="s">
        <v>1489</v>
      </c>
      <c r="H138" s="404" t="s">
        <v>1457</v>
      </c>
      <c r="I138" s="353" t="s">
        <v>1459</v>
      </c>
      <c r="J138" s="442" t="s">
        <v>1183</v>
      </c>
      <c r="K138" s="533">
        <v>46446</v>
      </c>
      <c r="L138" s="343" t="s">
        <v>48</v>
      </c>
      <c r="M138" s="343">
        <v>1</v>
      </c>
      <c r="N138" s="344" t="s">
        <v>1460</v>
      </c>
      <c r="O138" s="358" t="s">
        <v>482</v>
      </c>
      <c r="P138" s="374" t="s">
        <v>1513</v>
      </c>
      <c r="Q138" s="343"/>
      <c r="R138" s="343"/>
      <c r="S138" s="344" t="s">
        <v>798</v>
      </c>
      <c r="T138" s="345"/>
      <c r="U138" s="345">
        <f>MONTH(Table2[[#This Row],[Ngày
date]])</f>
        <v>10</v>
      </c>
      <c r="V138" s="438" t="str">
        <f>IF(K138="","CHƯA NHẬP NGÀY",TEXT(K138,"dd/mm/yyyy"))</f>
        <v>28/02/2027</v>
      </c>
      <c r="W138" s="439" t="str">
        <f>IF(T138="","CHƯA NHẬP NGÀY",TEXT(T138,"dd/mm/yyyy"))</f>
        <v>CHƯA NHẬP NGÀY</v>
      </c>
      <c r="X138" s="504" t="str">
        <f t="shared" si="50"/>
        <v>01/02/2024</v>
      </c>
      <c r="Y138" s="367" t="str">
        <f>HYPERLINK('Danh mục'!$D$1&amp;"20"&amp;MID(D138,8,2)&amp;"\"&amp;D138,D138)</f>
        <v>CC_1231025-HN</v>
      </c>
      <c r="Z138" s="327">
        <f>YEAR(Table2[[#This Row],[Ngày
date]])</f>
        <v>2025</v>
      </c>
      <c r="AA138" s="327" t="str">
        <f t="shared" si="51"/>
        <v>HN</v>
      </c>
    </row>
    <row r="139" spans="1:27" ht="102" x14ac:dyDescent="0.2">
      <c r="A139" s="401">
        <f>IF(Table2[[#This Row],[Code 
CC- ]]="", "", A138+1)</f>
        <v>136</v>
      </c>
      <c r="B139" s="625" t="s">
        <v>2161</v>
      </c>
      <c r="C139" s="517">
        <v>45954</v>
      </c>
      <c r="D139" s="410" t="s">
        <v>1461</v>
      </c>
      <c r="E139" s="591"/>
      <c r="F139" s="408" t="s">
        <v>1462</v>
      </c>
      <c r="G139" s="409" t="s">
        <v>1466</v>
      </c>
      <c r="H139" s="404" t="s">
        <v>1463</v>
      </c>
      <c r="I139" s="353" t="s">
        <v>1464</v>
      </c>
      <c r="J139" s="461" t="s">
        <v>212</v>
      </c>
      <c r="K139" s="529">
        <v>46538</v>
      </c>
      <c r="L139" s="336" t="s">
        <v>27</v>
      </c>
      <c r="M139" s="336">
        <v>1</v>
      </c>
      <c r="N139" s="337" t="s">
        <v>1465</v>
      </c>
      <c r="O139" s="355" t="s">
        <v>1053</v>
      </c>
      <c r="P139" s="372" t="s">
        <v>1561</v>
      </c>
      <c r="Q139" s="336" t="s">
        <v>1467</v>
      </c>
      <c r="R139" s="336" t="s">
        <v>1395</v>
      </c>
      <c r="S139" s="344" t="s">
        <v>799</v>
      </c>
      <c r="T139" s="338">
        <v>45961</v>
      </c>
      <c r="U139" s="338">
        <f>MONTH(Table2[[#This Row],[Ngày
date]])</f>
        <v>10</v>
      </c>
      <c r="V139" s="444" t="str">
        <f>IF(K139="","CHƯA NHẬP NGÀY",TEXT(K139,"dd/mm/yyyy"))</f>
        <v>31/05/2027</v>
      </c>
      <c r="W139" s="445" t="str">
        <f>IF(T139="","CHƯA NHẬP NGÀY",TEXT(T139,"dd/mm/yyyy"))</f>
        <v>31/10/2025</v>
      </c>
      <c r="X139" s="496" t="str">
        <f t="shared" si="50"/>
        <v>01/06/2025</v>
      </c>
      <c r="Y139" s="367" t="str">
        <f>HYPERLINK('Danh mục'!$D$1&amp;"20"&amp;MID(D139,8,2)&amp;"\"&amp;D139,D139)</f>
        <v>CC_1241025-ĐN</v>
      </c>
      <c r="Z139" s="327">
        <f>YEAR(Table2[[#This Row],[Ngày
date]])</f>
        <v>2025</v>
      </c>
      <c r="AA139" s="327" t="str">
        <f t="shared" si="51"/>
        <v>ĐN</v>
      </c>
    </row>
    <row r="140" spans="1:27" s="2" customFormat="1" ht="63.75" x14ac:dyDescent="0.2">
      <c r="A140" s="401">
        <f>IF(Table2[[#This Row],[Code 
CC- ]]="", "", A139+1)</f>
        <v>137</v>
      </c>
      <c r="B140" s="625" t="s">
        <v>2158</v>
      </c>
      <c r="C140" s="517">
        <v>45957</v>
      </c>
      <c r="D140" s="404" t="s">
        <v>1471</v>
      </c>
      <c r="E140" s="590"/>
      <c r="F140" s="408" t="s">
        <v>1473</v>
      </c>
      <c r="G140" s="409" t="s">
        <v>1472</v>
      </c>
      <c r="H140" s="443" t="s">
        <v>539</v>
      </c>
      <c r="I140" s="377" t="s">
        <v>1474</v>
      </c>
      <c r="J140" s="461">
        <v>45706</v>
      </c>
      <c r="K140" s="529">
        <v>46435</v>
      </c>
      <c r="L140" s="336" t="s">
        <v>15</v>
      </c>
      <c r="M140" s="336">
        <v>1</v>
      </c>
      <c r="N140" s="337" t="s">
        <v>1475</v>
      </c>
      <c r="O140" s="358" t="s">
        <v>482</v>
      </c>
      <c r="P140" s="374" t="s">
        <v>1652</v>
      </c>
      <c r="Q140" s="336"/>
      <c r="R140" s="336"/>
      <c r="S140" s="337" t="s">
        <v>799</v>
      </c>
      <c r="T140" s="338"/>
      <c r="U140" s="338">
        <f>MONTH(Table2[[#This Row],[Ngày
date]])</f>
        <v>10</v>
      </c>
      <c r="V140" s="365" t="str">
        <f t="shared" ref="V140" si="52">IF(K140="","CHƯA NHẬP NGÀY",TEXT(K140,"dd/mm/yyyy"))</f>
        <v>17/02/2027</v>
      </c>
      <c r="W140" s="366" t="str">
        <f t="shared" ref="W140" si="53">IF(T140="","CHƯA NHẬP NGÀY",TEXT(T140,"dd/mm/yyyy"))</f>
        <v>CHƯA NHẬP NGÀY</v>
      </c>
      <c r="X140" s="495" t="str">
        <f t="shared" si="50"/>
        <v>18/02/2025</v>
      </c>
      <c r="Y140" s="367" t="str">
        <f>HYPERLINK('Danh mục'!$D$1&amp;"20"&amp;MID(D140,8,2)&amp;"\"&amp;D140,D140)</f>
        <v>CC_1251025-HCM</v>
      </c>
      <c r="Z140" s="370">
        <f>YEAR(Table2[[#This Row],[Ngày
date]])</f>
        <v>2025</v>
      </c>
      <c r="AA140" s="370" t="str">
        <f t="shared" si="51"/>
        <v>HCM</v>
      </c>
    </row>
    <row r="141" spans="1:27" s="2" customFormat="1" ht="76.5" x14ac:dyDescent="0.2">
      <c r="A141" s="401">
        <f>IF(Table2[[#This Row],[Code 
CC- ]]="", "", A140+1)</f>
        <v>138</v>
      </c>
      <c r="B141" s="625" t="s">
        <v>2151</v>
      </c>
      <c r="C141" s="517">
        <v>45958</v>
      </c>
      <c r="D141" s="404" t="s">
        <v>1476</v>
      </c>
      <c r="E141" s="591"/>
      <c r="F141" s="412" t="s">
        <v>1477</v>
      </c>
      <c r="G141" s="413" t="s">
        <v>1478</v>
      </c>
      <c r="H141" s="414" t="s">
        <v>39</v>
      </c>
      <c r="I141" s="378" t="s">
        <v>1479</v>
      </c>
      <c r="J141" s="442" t="s">
        <v>1480</v>
      </c>
      <c r="K141" s="541" t="s">
        <v>1481</v>
      </c>
      <c r="L141" s="336" t="s">
        <v>15</v>
      </c>
      <c r="M141" s="343">
        <v>1</v>
      </c>
      <c r="N141" s="344" t="s">
        <v>1482</v>
      </c>
      <c r="O141" s="358" t="s">
        <v>482</v>
      </c>
      <c r="P141" s="374" t="s">
        <v>1514</v>
      </c>
      <c r="Q141" s="343"/>
      <c r="R141" s="343"/>
      <c r="S141" s="344" t="s">
        <v>1254</v>
      </c>
      <c r="T141" s="345"/>
      <c r="U141" s="345">
        <f>MONTH(Table2[[#This Row],[Ngày
date]])</f>
        <v>10</v>
      </c>
      <c r="V141" s="446" t="str">
        <f t="shared" ref="V141:V146" si="54">IF(K141="","CHƯA NHẬP NGÀY",TEXT(K141,"dd/mm/yyyy"))</f>
        <v>01/04/2027</v>
      </c>
      <c r="W141" s="447" t="str">
        <f t="shared" ref="W141:W146" si="55">IF(T141="","CHƯA NHẬP NGÀY",TEXT(T141,"dd/mm/yyyy"))</f>
        <v>CHƯA NHẬP NGÀY</v>
      </c>
      <c r="X141" s="505" t="str">
        <f t="shared" si="50"/>
        <v>01/05/2024</v>
      </c>
      <c r="Y141" s="367" t="str">
        <f>HYPERLINK('Danh mục'!$D$1&amp;"20"&amp;MID(D141,8,2)&amp;"\"&amp;D141,D141)</f>
        <v>CC_1261025-HN</v>
      </c>
      <c r="Z141" s="370">
        <f>YEAR(Table2[[#This Row],[Ngày
date]])</f>
        <v>2025</v>
      </c>
      <c r="AA141" s="370" t="str">
        <f t="shared" si="51"/>
        <v>HN</v>
      </c>
    </row>
    <row r="142" spans="1:27" s="2" customFormat="1" ht="63.75" x14ac:dyDescent="0.2">
      <c r="A142" s="401">
        <f>IF(Table2[[#This Row],[Code 
CC- ]]="", "", A141+1)</f>
        <v>139</v>
      </c>
      <c r="B142" s="625" t="s">
        <v>2150</v>
      </c>
      <c r="C142" s="517">
        <v>45964</v>
      </c>
      <c r="D142" s="404" t="s">
        <v>1483</v>
      </c>
      <c r="E142" s="591"/>
      <c r="F142" s="412" t="s">
        <v>1485</v>
      </c>
      <c r="G142" s="413" t="s">
        <v>1486</v>
      </c>
      <c r="H142" s="404" t="s">
        <v>1047</v>
      </c>
      <c r="I142" s="353" t="s">
        <v>1487</v>
      </c>
      <c r="J142" s="461" t="s">
        <v>13</v>
      </c>
      <c r="K142" s="542">
        <v>46507</v>
      </c>
      <c r="L142" s="336" t="s">
        <v>48</v>
      </c>
      <c r="M142" s="336">
        <v>1</v>
      </c>
      <c r="N142" s="344" t="s">
        <v>1488</v>
      </c>
      <c r="O142" s="358" t="s">
        <v>482</v>
      </c>
      <c r="P142" s="374" t="s">
        <v>1515</v>
      </c>
      <c r="Q142" s="343"/>
      <c r="R142" s="343"/>
      <c r="S142" s="344" t="s">
        <v>798</v>
      </c>
      <c r="T142" s="345"/>
      <c r="U142" s="345">
        <f>MONTH(Table2[[#This Row],[Ngày
date]])</f>
        <v>11</v>
      </c>
      <c r="V142" s="446" t="str">
        <f t="shared" si="54"/>
        <v>30/04/2027</v>
      </c>
      <c r="W142" s="447" t="str">
        <f t="shared" si="55"/>
        <v>CHƯA NHẬP NGÀY</v>
      </c>
      <c r="X142" s="505" t="str">
        <f t="shared" si="50"/>
        <v>NA</v>
      </c>
      <c r="Y142" s="367" t="str">
        <f>HYPERLINK('Danh mục'!$D$1&amp;"20"&amp;MID(D142,8,2)&amp;"\"&amp;D142,D142)</f>
        <v>CC_1271125-HN</v>
      </c>
      <c r="Z142" s="370">
        <f>YEAR(Table2[[#This Row],[Ngày
date]])</f>
        <v>2025</v>
      </c>
      <c r="AA142" s="370" t="str">
        <f t="shared" si="51"/>
        <v>HN</v>
      </c>
    </row>
    <row r="143" spans="1:27" s="2" customFormat="1" ht="51" x14ac:dyDescent="0.2">
      <c r="A143" s="401">
        <f>IF(Table2[[#This Row],[Code 
CC- ]]="", "", A142+1)</f>
        <v>140</v>
      </c>
      <c r="B143" s="625" t="s">
        <v>2152</v>
      </c>
      <c r="C143" s="517">
        <v>45964</v>
      </c>
      <c r="D143" s="410" t="s">
        <v>1484</v>
      </c>
      <c r="E143" s="591"/>
      <c r="F143" s="412" t="s">
        <v>1491</v>
      </c>
      <c r="G143" s="413" t="s">
        <v>1492</v>
      </c>
      <c r="H143" s="404" t="s">
        <v>1493</v>
      </c>
      <c r="I143" s="353" t="s">
        <v>1494</v>
      </c>
      <c r="J143" s="461">
        <v>45658</v>
      </c>
      <c r="K143" s="542">
        <v>46388</v>
      </c>
      <c r="L143" s="336" t="s">
        <v>65</v>
      </c>
      <c r="M143" s="336">
        <v>4</v>
      </c>
      <c r="N143" s="344" t="s">
        <v>1495</v>
      </c>
      <c r="O143" s="358" t="s">
        <v>482</v>
      </c>
      <c r="P143" s="374" t="s">
        <v>1318</v>
      </c>
      <c r="Q143" s="343"/>
      <c r="R143" s="343"/>
      <c r="S143" s="344" t="s">
        <v>1255</v>
      </c>
      <c r="T143" s="345"/>
      <c r="U143" s="345">
        <f>MONTH(Table2[[#This Row],[Ngày
date]])</f>
        <v>11</v>
      </c>
      <c r="V143" s="446" t="str">
        <f t="shared" si="54"/>
        <v>01/01/2027</v>
      </c>
      <c r="W143" s="447" t="str">
        <f t="shared" si="55"/>
        <v>CHƯA NHẬP NGÀY</v>
      </c>
      <c r="X143" s="505" t="str">
        <f t="shared" si="50"/>
        <v>01/01/2025</v>
      </c>
      <c r="Y143" s="367" t="str">
        <f>HYPERLINK('Danh mục'!$D$1&amp;"20"&amp;MID(D143,8,2)&amp;"\"&amp;D143,D143)</f>
        <v>CC_1281125-HCM</v>
      </c>
      <c r="Z143" s="370">
        <f>YEAR(Table2[[#This Row],[Ngày
date]])</f>
        <v>2025</v>
      </c>
      <c r="AA143" s="370" t="str">
        <f t="shared" si="51"/>
        <v>HCM</v>
      </c>
    </row>
    <row r="144" spans="1:27" s="2" customFormat="1" ht="63.75" x14ac:dyDescent="0.2">
      <c r="A144" s="401">
        <f>IF(Table2[[#This Row],[Code 
CC- ]]="", "", A143+1)</f>
        <v>141</v>
      </c>
      <c r="B144" s="625" t="s">
        <v>2159</v>
      </c>
      <c r="C144" s="517">
        <v>45965</v>
      </c>
      <c r="D144" s="410" t="s">
        <v>1498</v>
      </c>
      <c r="E144" s="591"/>
      <c r="F144" s="412" t="s">
        <v>1499</v>
      </c>
      <c r="G144" s="421" t="s">
        <v>41</v>
      </c>
      <c r="H144" s="404" t="s">
        <v>1500</v>
      </c>
      <c r="I144" s="353" t="s">
        <v>1501</v>
      </c>
      <c r="J144" s="461" t="s">
        <v>212</v>
      </c>
      <c r="K144" s="542">
        <v>46904</v>
      </c>
      <c r="L144" s="336" t="s">
        <v>65</v>
      </c>
      <c r="M144" s="336">
        <v>17</v>
      </c>
      <c r="N144" s="344" t="s">
        <v>1502</v>
      </c>
      <c r="O144" s="355" t="s">
        <v>1503</v>
      </c>
      <c r="P144" s="374" t="s">
        <v>1525</v>
      </c>
      <c r="Q144" s="343"/>
      <c r="R144" s="343"/>
      <c r="S144" s="344" t="s">
        <v>816</v>
      </c>
      <c r="T144" s="345"/>
      <c r="U144" s="345">
        <f>MONTH(Table2[[#This Row],[Ngày
date]])</f>
        <v>11</v>
      </c>
      <c r="V144" s="446" t="str">
        <f t="shared" si="54"/>
        <v>31/05/2028</v>
      </c>
      <c r="W144" s="447" t="str">
        <f t="shared" si="55"/>
        <v>CHƯA NHẬP NGÀY</v>
      </c>
      <c r="X144" s="505" t="str">
        <f t="shared" si="50"/>
        <v>01/06/2025</v>
      </c>
      <c r="Y144" s="367" t="str">
        <f>HYPERLINK('Danh mục'!$D$1&amp;"20"&amp;MID(D144,8,2)&amp;"\"&amp;D144,D144)</f>
        <v>CC_1291125-HCM</v>
      </c>
      <c r="Z144" s="370">
        <f>YEAR(Table2[[#This Row],[Ngày
date]])</f>
        <v>2025</v>
      </c>
      <c r="AA144" s="370" t="str">
        <f t="shared" si="51"/>
        <v>HCM</v>
      </c>
    </row>
    <row r="145" spans="1:27" s="2" customFormat="1" ht="51" x14ac:dyDescent="0.2">
      <c r="A145" s="401">
        <f>IF(Table2[[#This Row],[Code 
CC- ]]="", "", A144+1)</f>
        <v>142</v>
      </c>
      <c r="B145" s="625" t="s">
        <v>2153</v>
      </c>
      <c r="C145" s="517">
        <v>45967</v>
      </c>
      <c r="D145" s="410" t="s">
        <v>1507</v>
      </c>
      <c r="E145" s="591"/>
      <c r="F145" s="412" t="s">
        <v>954</v>
      </c>
      <c r="G145" s="419" t="s">
        <v>956</v>
      </c>
      <c r="H145" s="404" t="s">
        <v>1504</v>
      </c>
      <c r="I145" s="353" t="s">
        <v>1042</v>
      </c>
      <c r="J145" s="461">
        <v>45583</v>
      </c>
      <c r="K145" s="542">
        <v>46312</v>
      </c>
      <c r="L145" s="336" t="s">
        <v>65</v>
      </c>
      <c r="M145" s="336">
        <v>1</v>
      </c>
      <c r="N145" s="344" t="s">
        <v>1505</v>
      </c>
      <c r="O145" s="358" t="s">
        <v>482</v>
      </c>
      <c r="P145" s="374" t="s">
        <v>1569</v>
      </c>
      <c r="Q145" s="343"/>
      <c r="R145" s="343"/>
      <c r="S145" s="344" t="s">
        <v>1255</v>
      </c>
      <c r="T145" s="345"/>
      <c r="U145" s="345">
        <f>MONTH(Table2[[#This Row],[Ngày
date]])</f>
        <v>11</v>
      </c>
      <c r="V145" s="446" t="str">
        <f t="shared" si="54"/>
        <v>17/10/2026</v>
      </c>
      <c r="W145" s="447" t="str">
        <f t="shared" si="55"/>
        <v>CHƯA NHẬP NGÀY</v>
      </c>
      <c r="X145" s="505" t="str">
        <f t="shared" si="50"/>
        <v>18/10/2024</v>
      </c>
      <c r="Y145" s="367" t="str">
        <f>HYPERLINK('Danh mục'!$D$1&amp;"20"&amp;MID(D145,8,2)&amp;"\"&amp;D145,D145)</f>
        <v>CC_1301125-HCM</v>
      </c>
      <c r="Z145" s="370">
        <f>YEAR(Table2[[#This Row],[Ngày
date]])</f>
        <v>2025</v>
      </c>
      <c r="AA145" s="370" t="str">
        <f t="shared" si="51"/>
        <v>HCM</v>
      </c>
    </row>
    <row r="146" spans="1:27" s="2" customFormat="1" ht="52.35" customHeight="1" x14ac:dyDescent="0.2">
      <c r="A146" s="401">
        <f>IF(Table2[[#This Row],[Code 
CC- ]]="", "", A145+1)</f>
        <v>143</v>
      </c>
      <c r="B146" s="625" t="s">
        <v>2161</v>
      </c>
      <c r="C146" s="517">
        <v>45971</v>
      </c>
      <c r="D146" s="410" t="s">
        <v>1508</v>
      </c>
      <c r="E146" s="591"/>
      <c r="F146" s="507" t="s">
        <v>1662</v>
      </c>
      <c r="G146" s="412" t="s">
        <v>32</v>
      </c>
      <c r="H146" s="404" t="s">
        <v>1509</v>
      </c>
      <c r="I146" s="353" t="s">
        <v>1517</v>
      </c>
      <c r="J146" s="461" t="s">
        <v>1105</v>
      </c>
      <c r="K146" s="542">
        <v>46446</v>
      </c>
      <c r="L146" s="336" t="s">
        <v>65</v>
      </c>
      <c r="M146" s="336">
        <v>1</v>
      </c>
      <c r="N146" s="344" t="s">
        <v>1518</v>
      </c>
      <c r="O146" s="358" t="s">
        <v>482</v>
      </c>
      <c r="P146" s="374" t="s">
        <v>1519</v>
      </c>
      <c r="Q146" s="343" t="s">
        <v>1524</v>
      </c>
      <c r="R146" s="343" t="s">
        <v>835</v>
      </c>
      <c r="S146" s="344" t="s">
        <v>799</v>
      </c>
      <c r="T146" s="345"/>
      <c r="U146" s="345">
        <f>MONTH(Table2[[#This Row],[Ngày
date]])</f>
        <v>11</v>
      </c>
      <c r="V146" s="446" t="str">
        <f t="shared" si="54"/>
        <v>28/02/2027</v>
      </c>
      <c r="W146" s="447" t="str">
        <f t="shared" si="55"/>
        <v>CHƯA NHẬP NGÀY</v>
      </c>
      <c r="X146" s="505" t="str">
        <f t="shared" si="50"/>
        <v>01/03/2025</v>
      </c>
      <c r="Y146" s="367" t="str">
        <f>HYPERLINK('Danh mục'!$D$1&amp;"20"&amp;MID(D146,8,2)&amp;"\"&amp;D146,D146)</f>
        <v>CC_1311125-HCM</v>
      </c>
      <c r="Z146" s="370">
        <f>YEAR(Table2[[#This Row],[Ngày
date]])</f>
        <v>2025</v>
      </c>
      <c r="AA146" s="370" t="str">
        <f t="shared" si="51"/>
        <v>HCM</v>
      </c>
    </row>
    <row r="147" spans="1:27" s="2" customFormat="1" ht="38.25" x14ac:dyDescent="0.2">
      <c r="A147" s="401">
        <f>IF(Table2[[#This Row],[Code 
CC- ]]="", "", A146+1)</f>
        <v>144</v>
      </c>
      <c r="B147" s="625" t="s">
        <v>2150</v>
      </c>
      <c r="C147" s="517">
        <v>45973</v>
      </c>
      <c r="D147" s="410" t="s">
        <v>1516</v>
      </c>
      <c r="E147" s="591"/>
      <c r="F147" s="412" t="s">
        <v>1522</v>
      </c>
      <c r="G147" s="413" t="s">
        <v>1523</v>
      </c>
      <c r="H147" s="404" t="s">
        <v>614</v>
      </c>
      <c r="I147" s="378" t="s">
        <v>1520</v>
      </c>
      <c r="J147" s="442" t="s">
        <v>212</v>
      </c>
      <c r="K147" s="541">
        <v>46934</v>
      </c>
      <c r="L147" s="336" t="s">
        <v>65</v>
      </c>
      <c r="M147" s="343">
        <v>1</v>
      </c>
      <c r="N147" s="344" t="s">
        <v>1521</v>
      </c>
      <c r="O147" s="358" t="s">
        <v>482</v>
      </c>
      <c r="P147" s="374" t="s">
        <v>1103</v>
      </c>
      <c r="Q147" s="343"/>
      <c r="R147" s="343"/>
      <c r="S147" s="344" t="s">
        <v>1255</v>
      </c>
      <c r="T147" s="345"/>
      <c r="U147" s="345">
        <f>MONTH(Table2[[#This Row],[Ngày
date]])</f>
        <v>11</v>
      </c>
      <c r="V147" s="446" t="str">
        <f t="shared" ref="V147:V152" si="56">IF(K147="","CHƯA NHẬP NGÀY",TEXT(K147,"dd/mm/yyyy"))</f>
        <v>30/06/2028</v>
      </c>
      <c r="W147" s="447" t="str">
        <f t="shared" ref="W147:W152" si="57">IF(T147="","CHƯA NHẬP NGÀY",TEXT(T147,"dd/mm/yyyy"))</f>
        <v>CHƯA NHẬP NGÀY</v>
      </c>
      <c r="X147" s="505" t="str">
        <f t="shared" si="50"/>
        <v>01/06/2025</v>
      </c>
      <c r="Y147" s="367" t="str">
        <f>HYPERLINK('Danh mục'!$D$1&amp;"20"&amp;MID(D147,8,2)&amp;"\"&amp;D147,D147)</f>
        <v>CC_1321125-HCM</v>
      </c>
      <c r="Z147" s="370">
        <f>YEAR(Table2[[#This Row],[Ngày
date]])</f>
        <v>2025</v>
      </c>
      <c r="AA147" s="370" t="str">
        <f t="shared" si="51"/>
        <v>HCM</v>
      </c>
    </row>
    <row r="148" spans="1:27" s="2" customFormat="1" ht="38.25" x14ac:dyDescent="0.2">
      <c r="A148" s="401">
        <f>IF(Table2[[#This Row],[Code 
CC- ]]="", "", A147+1)</f>
        <v>145</v>
      </c>
      <c r="B148" s="625" t="s">
        <v>2151</v>
      </c>
      <c r="C148" s="517">
        <v>45979</v>
      </c>
      <c r="D148" s="410" t="s">
        <v>1526</v>
      </c>
      <c r="E148" s="591"/>
      <c r="F148" s="412" t="s">
        <v>1527</v>
      </c>
      <c r="G148" s="413" t="s">
        <v>1529</v>
      </c>
      <c r="H148" s="404" t="s">
        <v>1092</v>
      </c>
      <c r="I148" s="353" t="s">
        <v>1528</v>
      </c>
      <c r="J148" s="461">
        <v>45434</v>
      </c>
      <c r="K148" s="541">
        <v>46507</v>
      </c>
      <c r="L148" s="343" t="s">
        <v>507</v>
      </c>
      <c r="M148" s="343">
        <v>1</v>
      </c>
      <c r="N148" s="344" t="s">
        <v>1530</v>
      </c>
      <c r="O148" s="358" t="s">
        <v>482</v>
      </c>
      <c r="P148" s="374" t="s">
        <v>1103</v>
      </c>
      <c r="Q148" s="343"/>
      <c r="R148" s="343"/>
      <c r="S148" s="344" t="s">
        <v>1255</v>
      </c>
      <c r="T148" s="345">
        <v>46020</v>
      </c>
      <c r="U148" s="345">
        <f>MONTH(Table2[[#This Row],[Ngày
date]])</f>
        <v>11</v>
      </c>
      <c r="V148" s="446" t="str">
        <f t="shared" si="56"/>
        <v>30/04/2027</v>
      </c>
      <c r="W148" s="447" t="str">
        <f t="shared" si="57"/>
        <v>29/12/2025</v>
      </c>
      <c r="X148" s="505" t="str">
        <f t="shared" si="50"/>
        <v>22/05/2024</v>
      </c>
      <c r="Y148" s="367" t="str">
        <f>HYPERLINK('Danh mục'!$D$1&amp;"20"&amp;MID(D148,8,2)&amp;"\"&amp;D148,D148)</f>
        <v>CC_1331125-HCM</v>
      </c>
      <c r="Z148" s="370">
        <f>YEAR(Table2[[#This Row],[Ngày
date]])</f>
        <v>2025</v>
      </c>
      <c r="AA148" s="370" t="str">
        <f t="shared" si="51"/>
        <v>HCM</v>
      </c>
    </row>
    <row r="149" spans="1:27" s="2" customFormat="1" ht="51" x14ac:dyDescent="0.2">
      <c r="A149" s="401">
        <f>IF(Table2[[#This Row],[Code 
CC- ]]="", "", A148+1)</f>
        <v>146</v>
      </c>
      <c r="B149" s="625" t="s">
        <v>2153</v>
      </c>
      <c r="C149" s="517">
        <v>45981</v>
      </c>
      <c r="D149" s="410" t="s">
        <v>1531</v>
      </c>
      <c r="E149" s="591"/>
      <c r="F149" s="412" t="s">
        <v>1533</v>
      </c>
      <c r="G149" s="413" t="s">
        <v>1532</v>
      </c>
      <c r="H149" s="404" t="s">
        <v>1045</v>
      </c>
      <c r="I149" s="353" t="s">
        <v>1534</v>
      </c>
      <c r="J149" s="461">
        <v>45597</v>
      </c>
      <c r="K149" s="541">
        <v>46326</v>
      </c>
      <c r="L149" s="343" t="s">
        <v>394</v>
      </c>
      <c r="M149" s="343">
        <v>1</v>
      </c>
      <c r="N149" s="344" t="s">
        <v>1535</v>
      </c>
      <c r="O149" s="358" t="s">
        <v>482</v>
      </c>
      <c r="P149" s="374" t="s">
        <v>1103</v>
      </c>
      <c r="Q149" s="343" t="s">
        <v>1524</v>
      </c>
      <c r="R149" s="343" t="s">
        <v>835</v>
      </c>
      <c r="S149" s="344" t="s">
        <v>1255</v>
      </c>
      <c r="T149" s="345"/>
      <c r="U149" s="345">
        <f>MONTH(Table2[[#This Row],[Ngày
date]])</f>
        <v>11</v>
      </c>
      <c r="V149" s="446" t="str">
        <f t="shared" si="56"/>
        <v>31/10/2026</v>
      </c>
      <c r="W149" s="447" t="str">
        <f t="shared" si="57"/>
        <v>CHƯA NHẬP NGÀY</v>
      </c>
      <c r="X149" s="505" t="str">
        <f t="shared" si="50"/>
        <v>01/11/2024</v>
      </c>
      <c r="Y149" s="367" t="str">
        <f>HYPERLINK('Danh mục'!$D$1&amp;"20"&amp;MID(D149,8,2)&amp;"\"&amp;D149,D149)</f>
        <v>CC_1341125-HCM</v>
      </c>
      <c r="Z149" s="370">
        <f>YEAR(Table2[[#This Row],[Ngày
date]])</f>
        <v>2025</v>
      </c>
      <c r="AA149" s="370" t="str">
        <f t="shared" si="51"/>
        <v>HCM</v>
      </c>
    </row>
    <row r="150" spans="1:27" s="2" customFormat="1" ht="51" x14ac:dyDescent="0.2">
      <c r="A150" s="401">
        <f>IF(Table2[[#This Row],[Code 
CC- ]]="", "", A149+1)</f>
        <v>147</v>
      </c>
      <c r="B150" s="625" t="s">
        <v>2154</v>
      </c>
      <c r="C150" s="517">
        <v>45981</v>
      </c>
      <c r="D150" s="415" t="s">
        <v>1537</v>
      </c>
      <c r="E150" s="592"/>
      <c r="F150" s="472" t="s">
        <v>1536</v>
      </c>
      <c r="G150" s="473" t="s">
        <v>1539</v>
      </c>
      <c r="H150" s="477" t="s">
        <v>1119</v>
      </c>
      <c r="I150" s="353" t="s">
        <v>1538</v>
      </c>
      <c r="J150" s="479" t="s">
        <v>13</v>
      </c>
      <c r="K150" s="543">
        <v>47281</v>
      </c>
      <c r="L150" s="474" t="s">
        <v>1122</v>
      </c>
      <c r="M150" s="474">
        <v>1</v>
      </c>
      <c r="N150" s="475" t="s">
        <v>1540</v>
      </c>
      <c r="O150" s="358" t="s">
        <v>482</v>
      </c>
      <c r="P150" s="374" t="s">
        <v>1103</v>
      </c>
      <c r="Q150" s="336"/>
      <c r="R150" s="336"/>
      <c r="S150" s="337" t="s">
        <v>1255</v>
      </c>
      <c r="T150" s="338"/>
      <c r="U150" s="338">
        <f>MONTH(Table2[[#This Row],[Ngày
date]])</f>
        <v>11</v>
      </c>
      <c r="V150" s="481" t="str">
        <f t="shared" si="56"/>
        <v>12/06/2029</v>
      </c>
      <c r="W150" s="482" t="str">
        <f t="shared" si="57"/>
        <v>CHƯA NHẬP NGÀY</v>
      </c>
      <c r="X150" s="505" t="str">
        <f t="shared" si="50"/>
        <v>NA</v>
      </c>
      <c r="Y150" s="367" t="str">
        <f>HYPERLINK('Danh mục'!$D$1&amp;"20"&amp;MID(D150,8,2)&amp;"\"&amp;D150,D150)</f>
        <v>CC_1351125-HCM</v>
      </c>
      <c r="Z150" s="370">
        <f>YEAR(Table2[[#This Row],[Ngày
date]])</f>
        <v>2025</v>
      </c>
      <c r="AA150" s="370" t="str">
        <f t="shared" si="51"/>
        <v>HCM</v>
      </c>
    </row>
    <row r="151" spans="1:27" s="2" customFormat="1" ht="63.75" x14ac:dyDescent="0.2">
      <c r="A151" s="401">
        <f>IF(Table2[[#This Row],[Code 
CC- ]]="", "", A150+1)</f>
        <v>148</v>
      </c>
      <c r="B151" s="625" t="s">
        <v>2158</v>
      </c>
      <c r="C151" s="517">
        <v>45981</v>
      </c>
      <c r="D151" s="415" t="s">
        <v>1541</v>
      </c>
      <c r="E151" s="592"/>
      <c r="F151" s="472" t="s">
        <v>1542</v>
      </c>
      <c r="G151" s="473" t="s">
        <v>1544</v>
      </c>
      <c r="H151" s="477" t="s">
        <v>539</v>
      </c>
      <c r="I151" s="353" t="s">
        <v>1543</v>
      </c>
      <c r="J151" s="480">
        <v>45706</v>
      </c>
      <c r="K151" s="544">
        <v>46435</v>
      </c>
      <c r="L151" s="474" t="s">
        <v>65</v>
      </c>
      <c r="M151" s="474">
        <v>1</v>
      </c>
      <c r="N151" s="475" t="s">
        <v>1545</v>
      </c>
      <c r="O151" s="358" t="s">
        <v>482</v>
      </c>
      <c r="P151" s="372" t="s">
        <v>1607</v>
      </c>
      <c r="Q151" s="336"/>
      <c r="R151" s="336"/>
      <c r="S151" s="337" t="s">
        <v>814</v>
      </c>
      <c r="T151" s="338"/>
      <c r="U151" s="338">
        <f>MONTH(Table2[[#This Row],[Ngày
date]])</f>
        <v>11</v>
      </c>
      <c r="V151" s="481" t="str">
        <f t="shared" si="56"/>
        <v>17/02/2027</v>
      </c>
      <c r="W151" s="482" t="str">
        <f t="shared" si="57"/>
        <v>CHƯA NHẬP NGÀY</v>
      </c>
      <c r="X151" s="505" t="str">
        <f t="shared" si="50"/>
        <v>18/02/2025</v>
      </c>
      <c r="Y151" s="367" t="str">
        <f>HYPERLINK('Danh mục'!$D$1&amp;"20"&amp;MID(D151,8,2)&amp;"\"&amp;D151,D151)</f>
        <v>CC_1361125-HCM</v>
      </c>
      <c r="Z151" s="370">
        <f>YEAR(Table2[[#This Row],[Ngày
date]])</f>
        <v>2025</v>
      </c>
      <c r="AA151" s="370" t="str">
        <f t="shared" si="51"/>
        <v>HCM</v>
      </c>
    </row>
    <row r="152" spans="1:27" s="2" customFormat="1" ht="63.75" x14ac:dyDescent="0.2">
      <c r="A152" s="401">
        <f>IF(Table2[[#This Row],[Code 
CC- ]]="", "", A151+1)</f>
        <v>149</v>
      </c>
      <c r="B152" s="625" t="s">
        <v>2151</v>
      </c>
      <c r="C152" s="517">
        <v>45987</v>
      </c>
      <c r="D152" s="415" t="s">
        <v>1546</v>
      </c>
      <c r="E152" s="592"/>
      <c r="F152" s="472" t="s">
        <v>54</v>
      </c>
      <c r="G152" s="473" t="s">
        <v>55</v>
      </c>
      <c r="H152" s="404" t="s">
        <v>867</v>
      </c>
      <c r="I152" s="353" t="s">
        <v>1551</v>
      </c>
      <c r="J152" s="480">
        <v>44855</v>
      </c>
      <c r="K152" s="545">
        <v>46295</v>
      </c>
      <c r="L152" s="474" t="s">
        <v>65</v>
      </c>
      <c r="M152" s="474">
        <v>1</v>
      </c>
      <c r="N152" s="475" t="s">
        <v>1554</v>
      </c>
      <c r="O152" s="355" t="s">
        <v>1705</v>
      </c>
      <c r="P152" s="374" t="s">
        <v>1706</v>
      </c>
      <c r="Q152" s="343" t="s">
        <v>1524</v>
      </c>
      <c r="R152" s="343" t="s">
        <v>835</v>
      </c>
      <c r="S152" s="344" t="s">
        <v>953</v>
      </c>
      <c r="T152" s="345"/>
      <c r="U152" s="345">
        <f>MONTH(Table2[[#This Row],[Ngày
date]])</f>
        <v>11</v>
      </c>
      <c r="V152" s="446" t="str">
        <f t="shared" si="56"/>
        <v>30/09/2026</v>
      </c>
      <c r="W152" s="447" t="str">
        <f t="shared" si="57"/>
        <v>CHƯA NHẬP NGÀY</v>
      </c>
      <c r="X152" s="505" t="str">
        <f t="shared" si="50"/>
        <v>21/10/2022</v>
      </c>
      <c r="Y152" s="367" t="str">
        <f>HYPERLINK('Danh mục'!$D$1&amp;"20"&amp;MID(D152,8,2)&amp;"\"&amp;D152,D152)</f>
        <v>CC_1371125-HCM</v>
      </c>
      <c r="Z152" s="370">
        <f>YEAR(Table2[[#This Row],[Ngày
date]])</f>
        <v>2025</v>
      </c>
      <c r="AA152" s="370" t="str">
        <f t="shared" si="51"/>
        <v>HCM</v>
      </c>
    </row>
    <row r="153" spans="1:27" s="2" customFormat="1" ht="63.75" x14ac:dyDescent="0.2">
      <c r="A153" s="401">
        <f>IF(Table2[[#This Row],[Code 
CC- ]]="", "", A152+1)</f>
        <v>150</v>
      </c>
      <c r="B153" s="625" t="s">
        <v>2151</v>
      </c>
      <c r="C153" s="517">
        <v>45987</v>
      </c>
      <c r="D153" s="415" t="s">
        <v>1546</v>
      </c>
      <c r="E153" s="592"/>
      <c r="F153" s="472" t="s">
        <v>54</v>
      </c>
      <c r="G153" s="473" t="s">
        <v>55</v>
      </c>
      <c r="H153" s="404" t="s">
        <v>867</v>
      </c>
      <c r="I153" s="371" t="s">
        <v>1552</v>
      </c>
      <c r="J153" s="480">
        <v>44966</v>
      </c>
      <c r="K153" s="545" t="s">
        <v>1553</v>
      </c>
      <c r="L153" s="474" t="s">
        <v>65</v>
      </c>
      <c r="M153" s="483">
        <v>10</v>
      </c>
      <c r="N153" s="484" t="s">
        <v>1554</v>
      </c>
      <c r="O153" s="355" t="s">
        <v>1705</v>
      </c>
      <c r="P153" s="374" t="s">
        <v>1706</v>
      </c>
      <c r="Q153" s="343" t="s">
        <v>1524</v>
      </c>
      <c r="R153" s="343" t="s">
        <v>835</v>
      </c>
      <c r="S153" s="344" t="s">
        <v>953</v>
      </c>
      <c r="T153" s="338"/>
      <c r="U153" s="338">
        <f>MONTH(Table2[[#This Row],[Ngày
date]])</f>
        <v>11</v>
      </c>
      <c r="V153" s="481" t="str">
        <f t="shared" ref="V153:V158" si="58">IF(K153="","CHƯA NHẬP NGÀY",TEXT(K153,"dd/mm/yyyy"))</f>
        <v xml:space="preserve">31/01/2027
</v>
      </c>
      <c r="W153" s="482" t="str">
        <f t="shared" ref="W153:W158" si="59">IF(T153="","CHƯA NHẬP NGÀY",TEXT(T153,"dd/mm/yyyy"))</f>
        <v>CHƯA NHẬP NGÀY</v>
      </c>
      <c r="X153" s="505" t="str">
        <f t="shared" si="50"/>
        <v>09/02/2023</v>
      </c>
      <c r="Y153" s="367" t="str">
        <f>HYPERLINK('Danh mục'!$D$1&amp;"20"&amp;MID(D153,8,2)&amp;"\"&amp;D153,D153)</f>
        <v>CC_1371125-HCM</v>
      </c>
      <c r="Z153" s="370">
        <f>YEAR(Table2[[#This Row],[Ngày
date]])</f>
        <v>2025</v>
      </c>
      <c r="AA153" s="370" t="str">
        <f t="shared" si="51"/>
        <v>HCM</v>
      </c>
    </row>
    <row r="154" spans="1:27" s="2" customFormat="1" ht="51" x14ac:dyDescent="0.2">
      <c r="A154" s="401">
        <f>IF(Table2[[#This Row],[Code 
CC- ]]="", "", A153+1)</f>
        <v>151</v>
      </c>
      <c r="B154" s="625" t="s">
        <v>2155</v>
      </c>
      <c r="C154" s="517">
        <v>45987</v>
      </c>
      <c r="D154" s="415" t="s">
        <v>1547</v>
      </c>
      <c r="E154" s="592"/>
      <c r="F154" s="472" t="s">
        <v>1499</v>
      </c>
      <c r="G154" s="473" t="s">
        <v>41</v>
      </c>
      <c r="H154" s="477" t="s">
        <v>1548</v>
      </c>
      <c r="I154" s="478" t="s">
        <v>1549</v>
      </c>
      <c r="J154" s="480" t="s">
        <v>13</v>
      </c>
      <c r="K154" s="544">
        <v>47373</v>
      </c>
      <c r="L154" s="474" t="s">
        <v>65</v>
      </c>
      <c r="M154" s="474">
        <v>1</v>
      </c>
      <c r="N154" s="475" t="s">
        <v>1550</v>
      </c>
      <c r="O154" s="358" t="s">
        <v>482</v>
      </c>
      <c r="P154" s="374" t="s">
        <v>1558</v>
      </c>
      <c r="Q154" s="343"/>
      <c r="R154" s="343"/>
      <c r="S154" s="344" t="s">
        <v>1255</v>
      </c>
      <c r="T154" s="345"/>
      <c r="U154" s="345">
        <f>MONTH(Table2[[#This Row],[Ngày
date]])</f>
        <v>11</v>
      </c>
      <c r="V154" s="446" t="str">
        <f t="shared" si="58"/>
        <v>12/09/2029</v>
      </c>
      <c r="W154" s="447" t="str">
        <f t="shared" si="59"/>
        <v>CHƯA NHẬP NGÀY</v>
      </c>
      <c r="X154" s="505" t="str">
        <f t="shared" si="50"/>
        <v>NA</v>
      </c>
      <c r="Y154" s="367" t="str">
        <f>HYPERLINK('Danh mục'!$D$1&amp;"20"&amp;MID(D154,8,2)&amp;"\"&amp;D154,D154)</f>
        <v>CC_1381125-HCM</v>
      </c>
      <c r="Z154" s="370">
        <f>YEAR(Table2[[#This Row],[Ngày
date]])</f>
        <v>2025</v>
      </c>
      <c r="AA154" s="370" t="str">
        <f t="shared" si="51"/>
        <v>HCM</v>
      </c>
    </row>
    <row r="155" spans="1:27" s="2" customFormat="1" ht="46.5" customHeight="1" x14ac:dyDescent="0.2">
      <c r="A155" s="401">
        <f>IF(Table2[[#This Row],[Code 
CC- ]]="", "", A154+1)</f>
        <v>152</v>
      </c>
      <c r="B155" s="625" t="s">
        <v>2151</v>
      </c>
      <c r="C155" s="517">
        <v>45994</v>
      </c>
      <c r="D155" s="415" t="s">
        <v>1568</v>
      </c>
      <c r="E155" s="592"/>
      <c r="F155" s="472" t="s">
        <v>1556</v>
      </c>
      <c r="G155" s="473" t="s">
        <v>1559</v>
      </c>
      <c r="H155" s="485" t="s">
        <v>217</v>
      </c>
      <c r="I155" s="378" t="s">
        <v>1369</v>
      </c>
      <c r="J155" s="476">
        <v>45397</v>
      </c>
      <c r="K155" s="544">
        <v>46295</v>
      </c>
      <c r="L155" s="474" t="s">
        <v>30</v>
      </c>
      <c r="M155" s="474">
        <v>1</v>
      </c>
      <c r="N155" s="475" t="s">
        <v>1557</v>
      </c>
      <c r="O155" s="358" t="s">
        <v>482</v>
      </c>
      <c r="P155" s="374" t="s">
        <v>1558</v>
      </c>
      <c r="Q155" s="343"/>
      <c r="R155" s="343"/>
      <c r="S155" s="344" t="s">
        <v>1256</v>
      </c>
      <c r="T155" s="345"/>
      <c r="U155" s="345">
        <f>MONTH(Table2[[#This Row],[Ngày
date]])</f>
        <v>12</v>
      </c>
      <c r="V155" s="486" t="str">
        <f t="shared" si="58"/>
        <v>30/09/2026</v>
      </c>
      <c r="W155" s="487" t="str">
        <f t="shared" si="59"/>
        <v>CHƯA NHẬP NGÀY</v>
      </c>
      <c r="X155" s="506" t="str">
        <f t="shared" si="50"/>
        <v>15/04/2024</v>
      </c>
      <c r="Y155" s="367" t="str">
        <f>HYPERLINK('Danh mục'!$D$1&amp;"20"&amp;MID(D155,8,2)&amp;"\"&amp;D155,D155)</f>
        <v>CC_1391225-HCM-HUY</v>
      </c>
      <c r="Z155" s="370">
        <f>YEAR(Table2[[#This Row],[Ngày
date]])</f>
        <v>2025</v>
      </c>
      <c r="AA155" s="370" t="str">
        <f t="shared" si="51"/>
        <v>HCM</v>
      </c>
    </row>
    <row r="156" spans="1:27" s="2" customFormat="1" ht="51" x14ac:dyDescent="0.2">
      <c r="A156" s="401">
        <f>IF(Table2[[#This Row],[Code 
CC- ]]="", "", A155+1)</f>
        <v>153</v>
      </c>
      <c r="B156" s="625" t="s">
        <v>2151</v>
      </c>
      <c r="C156" s="517">
        <v>45996</v>
      </c>
      <c r="D156" s="415" t="s">
        <v>1562</v>
      </c>
      <c r="E156" s="592"/>
      <c r="F156" s="472" t="s">
        <v>1563</v>
      </c>
      <c r="G156" s="473" t="s">
        <v>1565</v>
      </c>
      <c r="H156" s="485" t="s">
        <v>1564</v>
      </c>
      <c r="I156" s="378" t="s">
        <v>1566</v>
      </c>
      <c r="J156" s="476">
        <v>45497</v>
      </c>
      <c r="K156" s="544">
        <v>46568</v>
      </c>
      <c r="L156" s="474" t="s">
        <v>30</v>
      </c>
      <c r="M156" s="474">
        <v>1</v>
      </c>
      <c r="N156" s="475" t="s">
        <v>1567</v>
      </c>
      <c r="O156" s="358" t="s">
        <v>482</v>
      </c>
      <c r="P156" s="374" t="s">
        <v>1558</v>
      </c>
      <c r="Q156" s="343"/>
      <c r="R156" s="343"/>
      <c r="S156" s="344" t="s">
        <v>798</v>
      </c>
      <c r="T156" s="345"/>
      <c r="U156" s="345">
        <f>MONTH(Table2[[#This Row],[Ngày
date]])</f>
        <v>12</v>
      </c>
      <c r="V156" s="486" t="str">
        <f t="shared" si="58"/>
        <v>30/06/2027</v>
      </c>
      <c r="W156" s="487" t="str">
        <f t="shared" si="59"/>
        <v>CHƯA NHẬP NGÀY</v>
      </c>
      <c r="X156" s="506" t="str">
        <f t="shared" si="50"/>
        <v>24/07/2024</v>
      </c>
      <c r="Y156" s="367" t="str">
        <f>HYPERLINK('Danh mục'!$D$1&amp;"20"&amp;MID(D156,8,2)&amp;"\"&amp;D156,D156)</f>
        <v>CC_1401225-HCM</v>
      </c>
      <c r="Z156" s="370">
        <f>YEAR(Table2[[#This Row],[Ngày
date]])</f>
        <v>2025</v>
      </c>
      <c r="AA156" s="370" t="str">
        <f t="shared" si="51"/>
        <v>HCM</v>
      </c>
    </row>
    <row r="157" spans="1:27" s="2" customFormat="1" ht="51" x14ac:dyDescent="0.2">
      <c r="A157" s="401">
        <f>IF(Table2[[#This Row],[Code 
CC- ]]="", "", A156+1)</f>
        <v>154</v>
      </c>
      <c r="B157" s="625" t="s">
        <v>2154</v>
      </c>
      <c r="C157" s="517">
        <v>45996</v>
      </c>
      <c r="D157" s="415" t="s">
        <v>1570</v>
      </c>
      <c r="E157" s="592"/>
      <c r="F157" s="472" t="s">
        <v>1536</v>
      </c>
      <c r="G157" s="473" t="s">
        <v>1571</v>
      </c>
      <c r="H157" s="477" t="s">
        <v>1119</v>
      </c>
      <c r="I157" s="353" t="s">
        <v>1572</v>
      </c>
      <c r="J157" s="476" t="s">
        <v>13</v>
      </c>
      <c r="K157" s="544" t="s">
        <v>1573</v>
      </c>
      <c r="L157" s="474" t="s">
        <v>855</v>
      </c>
      <c r="M157" s="474">
        <v>1</v>
      </c>
      <c r="N157" s="475" t="s">
        <v>1574</v>
      </c>
      <c r="O157" s="358" t="s">
        <v>482</v>
      </c>
      <c r="P157" s="374" t="s">
        <v>1575</v>
      </c>
      <c r="Q157" s="343" t="s">
        <v>1524</v>
      </c>
      <c r="R157" s="343" t="s">
        <v>835</v>
      </c>
      <c r="S157" s="344" t="s">
        <v>1255</v>
      </c>
      <c r="T157" s="345"/>
      <c r="U157" s="345">
        <f>MONTH(Table2[[#This Row],[Ngày
date]])</f>
        <v>12</v>
      </c>
      <c r="V157" s="375" t="str">
        <f t="shared" si="58"/>
        <v xml:space="preserve"> 01/07/2029</v>
      </c>
      <c r="W157" s="376" t="str">
        <f t="shared" si="59"/>
        <v>CHƯA NHẬP NGÀY</v>
      </c>
      <c r="X157" s="495" t="str">
        <f t="shared" si="50"/>
        <v>NA</v>
      </c>
      <c r="Y157" s="367" t="str">
        <f>HYPERLINK('Danh mục'!$D$1&amp;"20"&amp;MID(D157,8,2)&amp;"\"&amp;D157,D157)</f>
        <v>CC_1411225-HCM</v>
      </c>
      <c r="Z157" s="370">
        <f>YEAR(Table2[[#This Row],[Ngày
date]])</f>
        <v>2025</v>
      </c>
      <c r="AA157" s="370" t="str">
        <f t="shared" si="51"/>
        <v>HCM</v>
      </c>
    </row>
    <row r="158" spans="1:27" s="2" customFormat="1" ht="38.25" x14ac:dyDescent="0.2">
      <c r="A158" s="401">
        <f>IF(Table2[[#This Row],[Code 
CC- ]]="", "", A157+1)</f>
        <v>155</v>
      </c>
      <c r="B158" s="625" t="s">
        <v>2154</v>
      </c>
      <c r="C158" s="517">
        <v>45999</v>
      </c>
      <c r="D158" s="415" t="s">
        <v>1576</v>
      </c>
      <c r="E158" s="592"/>
      <c r="F158" s="472" t="s">
        <v>1577</v>
      </c>
      <c r="G158" s="473" t="s">
        <v>1578</v>
      </c>
      <c r="H158" s="477" t="s">
        <v>1119</v>
      </c>
      <c r="I158" s="353" t="s">
        <v>1409</v>
      </c>
      <c r="J158" s="476" t="s">
        <v>13</v>
      </c>
      <c r="K158" s="544">
        <v>47272</v>
      </c>
      <c r="L158" s="474" t="s">
        <v>50</v>
      </c>
      <c r="M158" s="474">
        <v>1</v>
      </c>
      <c r="N158" s="475" t="s">
        <v>1579</v>
      </c>
      <c r="O158" s="358" t="s">
        <v>482</v>
      </c>
      <c r="P158" s="374" t="s">
        <v>1647</v>
      </c>
      <c r="Q158" s="343" t="s">
        <v>1524</v>
      </c>
      <c r="R158" s="343" t="s">
        <v>835</v>
      </c>
      <c r="S158" s="344" t="s">
        <v>1255</v>
      </c>
      <c r="T158" s="345"/>
      <c r="U158" s="345">
        <f>MONTH(Table2[[#This Row],[Ngày
date]])</f>
        <v>12</v>
      </c>
      <c r="V158" s="486" t="str">
        <f t="shared" si="58"/>
        <v>03/06/2029</v>
      </c>
      <c r="W158" s="487" t="str">
        <f t="shared" si="59"/>
        <v>CHƯA NHẬP NGÀY</v>
      </c>
      <c r="X158" s="506" t="str">
        <f t="shared" si="50"/>
        <v>NA</v>
      </c>
      <c r="Y158" s="367" t="str">
        <f>HYPERLINK('Danh mục'!$D$1&amp;"20"&amp;MID(D158,8,2)&amp;"\"&amp;D158,D158)</f>
        <v>CC_1421225-HN</v>
      </c>
      <c r="Z158" s="370">
        <f>YEAR(Table2[[#This Row],[Ngày
date]])</f>
        <v>2025</v>
      </c>
      <c r="AA158" s="370" t="str">
        <f t="shared" si="51"/>
        <v>HN</v>
      </c>
    </row>
    <row r="159" spans="1:27" s="2" customFormat="1" ht="51" x14ac:dyDescent="0.2">
      <c r="A159" s="401">
        <f>IF(Table2[[#This Row],[Code 
CC- ]]="", "", A158+1)</f>
        <v>156</v>
      </c>
      <c r="B159" s="625" t="s">
        <v>2155</v>
      </c>
      <c r="C159" s="517">
        <v>45999</v>
      </c>
      <c r="D159" s="415" t="s">
        <v>1580</v>
      </c>
      <c r="E159" s="592"/>
      <c r="F159" s="472" t="s">
        <v>1499</v>
      </c>
      <c r="G159" s="473" t="s">
        <v>41</v>
      </c>
      <c r="H159" s="477" t="s">
        <v>1581</v>
      </c>
      <c r="I159" s="353" t="s">
        <v>1582</v>
      </c>
      <c r="J159" s="476" t="s">
        <v>13</v>
      </c>
      <c r="K159" s="544">
        <v>47025</v>
      </c>
      <c r="L159" s="474" t="s">
        <v>14</v>
      </c>
      <c r="M159" s="474">
        <v>1</v>
      </c>
      <c r="N159" s="475" t="s">
        <v>1583</v>
      </c>
      <c r="O159" s="355" t="s">
        <v>1743</v>
      </c>
      <c r="P159" s="374" t="s">
        <v>1674</v>
      </c>
      <c r="Q159" s="343"/>
      <c r="R159" s="343"/>
      <c r="S159" s="344" t="s">
        <v>799</v>
      </c>
      <c r="T159" s="345"/>
      <c r="U159" s="345">
        <f>MONTH(Table2[[#This Row],[Ngày
date]])</f>
        <v>12</v>
      </c>
      <c r="V159" s="486" t="str">
        <f t="shared" ref="V159:V166" si="60">IF(K159="","CHƯA NHẬP NGÀY",TEXT(K159,"dd/mm/yyyy"))</f>
        <v>29/09/2028</v>
      </c>
      <c r="W159" s="487" t="str">
        <f t="shared" ref="W159:W166" si="61">IF(T159="","CHƯA NHẬP NGÀY",TEXT(T159,"dd/mm/yyyy"))</f>
        <v>CHƯA NHẬP NGÀY</v>
      </c>
      <c r="X159" s="506" t="str">
        <f t="shared" si="50"/>
        <v>NA</v>
      </c>
      <c r="Y159" s="367" t="str">
        <f>HYPERLINK('Danh mục'!$D$1&amp;"20"&amp;MID(D159,8,2)&amp;"\"&amp;D159,D159)</f>
        <v>CC_1431225-HCM</v>
      </c>
      <c r="Z159" s="370">
        <f>YEAR(Table2[[#This Row],[Ngày
date]])</f>
        <v>2025</v>
      </c>
      <c r="AA159" s="370" t="str">
        <f t="shared" si="51"/>
        <v>HCM</v>
      </c>
    </row>
    <row r="160" spans="1:27" s="2" customFormat="1" ht="63.75" x14ac:dyDescent="0.2">
      <c r="A160" s="401">
        <f>IF(Table2[[#This Row],[Code 
CC- ]]="", "", A159+1)</f>
        <v>157</v>
      </c>
      <c r="B160" s="625" t="s">
        <v>2162</v>
      </c>
      <c r="C160" s="517">
        <v>46000</v>
      </c>
      <c r="D160" s="415" t="s">
        <v>1584</v>
      </c>
      <c r="E160" s="592"/>
      <c r="F160" s="472" t="s">
        <v>1585</v>
      </c>
      <c r="G160" s="473" t="s">
        <v>1586</v>
      </c>
      <c r="H160" s="477" t="s">
        <v>1587</v>
      </c>
      <c r="I160" s="353" t="s">
        <v>1588</v>
      </c>
      <c r="J160" s="476" t="s">
        <v>13</v>
      </c>
      <c r="K160" s="544">
        <v>47061</v>
      </c>
      <c r="L160" s="474" t="s">
        <v>65</v>
      </c>
      <c r="M160" s="474">
        <v>1</v>
      </c>
      <c r="N160" s="475" t="s">
        <v>1589</v>
      </c>
      <c r="O160" s="358" t="s">
        <v>482</v>
      </c>
      <c r="P160" s="374" t="s">
        <v>1673</v>
      </c>
      <c r="Q160" s="343"/>
      <c r="R160" s="343"/>
      <c r="S160" s="344" t="s">
        <v>1255</v>
      </c>
      <c r="T160" s="345"/>
      <c r="U160" s="345">
        <f>MONTH(Table2[[#This Row],[Ngày
date]])</f>
        <v>12</v>
      </c>
      <c r="V160" s="486" t="str">
        <f t="shared" si="60"/>
        <v>04/11/2028</v>
      </c>
      <c r="W160" s="487" t="str">
        <f t="shared" si="61"/>
        <v>CHƯA NHẬP NGÀY</v>
      </c>
      <c r="X160" s="506" t="str">
        <f t="shared" si="50"/>
        <v>NA</v>
      </c>
      <c r="Y160" s="367" t="str">
        <f>HYPERLINK('Danh mục'!$D$1&amp;"20"&amp;MID(D160,8,2)&amp;"\"&amp;D160,D160)</f>
        <v>CC_1441225-HCM</v>
      </c>
      <c r="Z160" s="370">
        <f>YEAR(Table2[[#This Row],[Ngày
date]])</f>
        <v>2025</v>
      </c>
      <c r="AA160" s="370" t="str">
        <f t="shared" si="51"/>
        <v>HCM</v>
      </c>
    </row>
    <row r="161" spans="1:27" s="2" customFormat="1" ht="51" x14ac:dyDescent="0.2">
      <c r="A161" s="401">
        <f>IF(Table2[[#This Row],[Code 
CC- ]]="", "", A160+1)</f>
        <v>158</v>
      </c>
      <c r="B161" s="625" t="s">
        <v>2163</v>
      </c>
      <c r="C161" s="517">
        <v>46002</v>
      </c>
      <c r="D161" s="415" t="s">
        <v>1590</v>
      </c>
      <c r="E161" s="592"/>
      <c r="F161" s="472" t="s">
        <v>1499</v>
      </c>
      <c r="G161" s="473" t="s">
        <v>41</v>
      </c>
      <c r="H161" s="485" t="s">
        <v>1591</v>
      </c>
      <c r="I161" s="378" t="s">
        <v>1592</v>
      </c>
      <c r="J161" s="476" t="s">
        <v>13</v>
      </c>
      <c r="K161" s="544">
        <v>46377</v>
      </c>
      <c r="L161" s="474" t="s">
        <v>65</v>
      </c>
      <c r="M161" s="474">
        <v>1</v>
      </c>
      <c r="N161" s="475" t="s">
        <v>1593</v>
      </c>
      <c r="O161" s="358" t="s">
        <v>482</v>
      </c>
      <c r="P161" s="374" t="s">
        <v>1653</v>
      </c>
      <c r="Q161" s="343"/>
      <c r="R161" s="343"/>
      <c r="S161" s="344" t="s">
        <v>799</v>
      </c>
      <c r="T161" s="345"/>
      <c r="U161" s="345">
        <f>MONTH(Table2[[#This Row],[Ngày
date]])</f>
        <v>12</v>
      </c>
      <c r="V161" s="486" t="str">
        <f t="shared" si="60"/>
        <v>21/12/2026</v>
      </c>
      <c r="W161" s="487" t="str">
        <f t="shared" si="61"/>
        <v>CHƯA NHẬP NGÀY</v>
      </c>
      <c r="X161" s="506" t="str">
        <f t="shared" si="50"/>
        <v>NA</v>
      </c>
      <c r="Y161" s="367" t="str">
        <f>HYPERLINK('Danh mục'!$D$1&amp;"20"&amp;MID(D161,8,2)&amp;"\"&amp;D161,D161)</f>
        <v>CC_1451225-HCM</v>
      </c>
      <c r="Z161" s="370">
        <f>YEAR(Table2[[#This Row],[Ngày
date]])</f>
        <v>2025</v>
      </c>
      <c r="AA161" s="370" t="str">
        <f t="shared" si="51"/>
        <v>HCM</v>
      </c>
    </row>
    <row r="162" spans="1:27" s="2" customFormat="1" ht="51" x14ac:dyDescent="0.2">
      <c r="A162" s="401">
        <f>IF(Table2[[#This Row],[Code 
CC- ]]="", "", A161+1)</f>
        <v>159</v>
      </c>
      <c r="B162" s="625" t="s">
        <v>2156</v>
      </c>
      <c r="C162" s="517">
        <v>46003</v>
      </c>
      <c r="D162" s="415" t="s">
        <v>1595</v>
      </c>
      <c r="E162" s="592"/>
      <c r="F162" s="472" t="s">
        <v>1594</v>
      </c>
      <c r="G162" s="473" t="s">
        <v>1648</v>
      </c>
      <c r="H162" s="485" t="s">
        <v>223</v>
      </c>
      <c r="I162" s="378" t="s">
        <v>1306</v>
      </c>
      <c r="J162" s="476" t="s">
        <v>13</v>
      </c>
      <c r="K162" s="544">
        <v>46314</v>
      </c>
      <c r="L162" s="474" t="s">
        <v>65</v>
      </c>
      <c r="M162" s="474">
        <v>1</v>
      </c>
      <c r="N162" s="475" t="s">
        <v>1596</v>
      </c>
      <c r="O162" s="355" t="s">
        <v>482</v>
      </c>
      <c r="P162" s="374" t="s">
        <v>1649</v>
      </c>
      <c r="Q162" s="343"/>
      <c r="R162" s="343" t="s">
        <v>835</v>
      </c>
      <c r="S162" s="344" t="s">
        <v>1255</v>
      </c>
      <c r="T162" s="345"/>
      <c r="U162" s="345">
        <f>MONTH(Table2[[#This Row],[Ngày
date]])</f>
        <v>12</v>
      </c>
      <c r="V162" s="486" t="str">
        <f t="shared" si="60"/>
        <v>19/10/2026</v>
      </c>
      <c r="W162" s="515">
        <v>46041</v>
      </c>
      <c r="X162" s="506" t="str">
        <f t="shared" si="50"/>
        <v>NA</v>
      </c>
      <c r="Y162" s="367" t="str">
        <f>HYPERLINK('Danh mục'!$D$1&amp;"20"&amp;MID(D162,8,2)&amp;"\"&amp;D162,D162)</f>
        <v>CC_1461225-HN</v>
      </c>
      <c r="Z162" s="370">
        <f>YEAR(Table2[[#This Row],[Ngày
date]])</f>
        <v>2025</v>
      </c>
      <c r="AA162" s="370" t="str">
        <f t="shared" si="51"/>
        <v>HN</v>
      </c>
    </row>
    <row r="163" spans="1:27" s="2" customFormat="1" ht="63.75" x14ac:dyDescent="0.2">
      <c r="A163" s="401">
        <f>IF(Table2[[#This Row],[Code 
CC- ]]="", "", A162+1)</f>
        <v>160</v>
      </c>
      <c r="B163" s="625" t="s">
        <v>2151</v>
      </c>
      <c r="C163" s="517">
        <v>46010</v>
      </c>
      <c r="D163" s="415" t="s">
        <v>1614</v>
      </c>
      <c r="E163" s="592"/>
      <c r="F163" s="472" t="s">
        <v>1597</v>
      </c>
      <c r="G163" s="473" t="s">
        <v>1598</v>
      </c>
      <c r="H163" s="485" t="s">
        <v>59</v>
      </c>
      <c r="I163" s="378" t="s">
        <v>1599</v>
      </c>
      <c r="J163" s="476" t="s">
        <v>13</v>
      </c>
      <c r="K163" s="544">
        <v>46812</v>
      </c>
      <c r="L163" s="474" t="s">
        <v>65</v>
      </c>
      <c r="M163" s="474">
        <v>1</v>
      </c>
      <c r="N163" s="475" t="s">
        <v>1600</v>
      </c>
      <c r="O163" s="355" t="s">
        <v>482</v>
      </c>
      <c r="P163" s="374" t="s">
        <v>1613</v>
      </c>
      <c r="Q163" s="343"/>
      <c r="R163" s="343"/>
      <c r="S163" s="344" t="s">
        <v>1256</v>
      </c>
      <c r="T163" s="345"/>
      <c r="U163" s="345">
        <f>MONTH(Table2[[#This Row],[Ngày
date]])</f>
        <v>12</v>
      </c>
      <c r="V163" s="486" t="str">
        <f t="shared" si="60"/>
        <v>29/02/2028</v>
      </c>
      <c r="W163" s="487" t="str">
        <f t="shared" si="61"/>
        <v>CHƯA NHẬP NGÀY</v>
      </c>
      <c r="X163" s="506" t="str">
        <f t="shared" si="50"/>
        <v>NA</v>
      </c>
      <c r="Y163" s="367" t="str">
        <f>HYPERLINK('Danh mục'!$D$1&amp;"20"&amp;MID(D163,8,2)&amp;"\"&amp;D163,D163)</f>
        <v>CC_1471225-HCM-HUY</v>
      </c>
      <c r="Z163" s="370">
        <f>YEAR(Table2[[#This Row],[Ngày
date]])</f>
        <v>2025</v>
      </c>
      <c r="AA163" s="370" t="str">
        <f t="shared" si="51"/>
        <v>HCM</v>
      </c>
    </row>
    <row r="164" spans="1:27" s="2" customFormat="1" ht="38.25" x14ac:dyDescent="0.2">
      <c r="A164" s="401">
        <f>IF(Table2[[#This Row],[Code 
CC- ]]="", "", A163+1)</f>
        <v>161</v>
      </c>
      <c r="B164" s="625" t="s">
        <v>2161</v>
      </c>
      <c r="C164" s="517">
        <v>46010</v>
      </c>
      <c r="D164" s="415" t="s">
        <v>1601</v>
      </c>
      <c r="E164" s="592"/>
      <c r="F164" s="472" t="s">
        <v>1615</v>
      </c>
      <c r="G164" s="473" t="s">
        <v>1616</v>
      </c>
      <c r="H164" s="485" t="s">
        <v>1509</v>
      </c>
      <c r="I164" s="378" t="s">
        <v>1617</v>
      </c>
      <c r="J164" s="476" t="s">
        <v>13</v>
      </c>
      <c r="K164" s="544">
        <v>46599</v>
      </c>
      <c r="L164" s="474" t="s">
        <v>65</v>
      </c>
      <c r="M164" s="474">
        <v>1</v>
      </c>
      <c r="N164" s="475" t="s">
        <v>1618</v>
      </c>
      <c r="O164" s="355" t="s">
        <v>482</v>
      </c>
      <c r="P164" s="374" t="s">
        <v>1604</v>
      </c>
      <c r="Q164" s="343" t="s">
        <v>1524</v>
      </c>
      <c r="R164" s="343" t="s">
        <v>759</v>
      </c>
      <c r="S164" s="344" t="s">
        <v>814</v>
      </c>
      <c r="T164" s="345"/>
      <c r="U164" s="345">
        <f>MONTH(Table2[[#This Row],[Ngày
date]])</f>
        <v>12</v>
      </c>
      <c r="V164" s="486" t="str">
        <f t="shared" si="60"/>
        <v>31/07/2027</v>
      </c>
      <c r="W164" s="487" t="str">
        <f t="shared" si="61"/>
        <v>CHƯA NHẬP NGÀY</v>
      </c>
      <c r="X164" s="506" t="str">
        <f t="shared" ref="X164:X173" si="62">IF(J164="","CHƯA NHẬP NGÀY",TEXT(J164,"dd/mm/yyyy"))</f>
        <v>NA</v>
      </c>
      <c r="Y164" s="367" t="str">
        <f>HYPERLINK('Danh mục'!$D$1&amp;"20"&amp;MID(D164,8,2)&amp;"\"&amp;D164,D164)</f>
        <v>CC_1481225-HCM</v>
      </c>
      <c r="Z164" s="370">
        <f>YEAR(Table2[[#This Row],[Ngày
date]])</f>
        <v>2025</v>
      </c>
      <c r="AA164" s="370" t="str">
        <f t="shared" ref="AA164:AA176" si="63">IF(ISNUMBER(SEARCH("HCM",D164)),"HCM",
IF(ISNUMBER(SEARCH("HN",D164)),"HN",
IF(ISNUMBER(SEARCH("ĐN",D164)),"ĐN","")))</f>
        <v>HCM</v>
      </c>
    </row>
    <row r="165" spans="1:27" s="2" customFormat="1" ht="25.5" x14ac:dyDescent="0.2">
      <c r="A165" s="401">
        <f>IF(Table2[[#This Row],[Code 
CC- ]]="", "", A164+1)</f>
        <v>162</v>
      </c>
      <c r="B165" s="625" t="s">
        <v>2151</v>
      </c>
      <c r="C165" s="517">
        <v>46013</v>
      </c>
      <c r="D165" s="415" t="s">
        <v>1602</v>
      </c>
      <c r="E165" s="592"/>
      <c r="F165" s="472" t="s">
        <v>1627</v>
      </c>
      <c r="G165" s="473" t="s">
        <v>1630</v>
      </c>
      <c r="H165" s="485" t="s">
        <v>1605</v>
      </c>
      <c r="I165" s="378" t="s">
        <v>1628</v>
      </c>
      <c r="J165" s="476">
        <v>44975</v>
      </c>
      <c r="K165" s="544">
        <v>46418</v>
      </c>
      <c r="L165" s="474" t="s">
        <v>65</v>
      </c>
      <c r="M165" s="474">
        <v>20</v>
      </c>
      <c r="N165" s="475" t="s">
        <v>1629</v>
      </c>
      <c r="O165" s="355" t="s">
        <v>1742</v>
      </c>
      <c r="P165" s="374" t="s">
        <v>1741</v>
      </c>
      <c r="Q165" s="343" t="s">
        <v>1524</v>
      </c>
      <c r="R165" s="343" t="s">
        <v>759</v>
      </c>
      <c r="S165" s="344" t="s">
        <v>953</v>
      </c>
      <c r="T165" s="345"/>
      <c r="U165" s="345">
        <f>MONTH(Table2[[#This Row],[Ngày
date]])</f>
        <v>12</v>
      </c>
      <c r="V165" s="486" t="str">
        <f t="shared" si="60"/>
        <v>31/01/2027</v>
      </c>
      <c r="W165" s="487" t="str">
        <f t="shared" si="61"/>
        <v>CHƯA NHẬP NGÀY</v>
      </c>
      <c r="X165" s="506" t="str">
        <f t="shared" si="62"/>
        <v>18/02/2023</v>
      </c>
      <c r="Y165" s="367" t="str">
        <f>HYPERLINK('Danh mục'!$D$1&amp;"20"&amp;MID(D165,8,2)&amp;"\"&amp;D165,D165)</f>
        <v>CC_1491225-HCM</v>
      </c>
      <c r="Z165" s="370">
        <f>YEAR(Table2[[#This Row],[Ngày
date]])</f>
        <v>2025</v>
      </c>
      <c r="AA165" s="370" t="str">
        <f t="shared" si="63"/>
        <v>HCM</v>
      </c>
    </row>
    <row r="166" spans="1:27" s="2" customFormat="1" ht="25.5" x14ac:dyDescent="0.2">
      <c r="A166" s="401">
        <f>IF(Table2[[#This Row],[Code 
CC- ]]="", "", A165+1)</f>
        <v>163</v>
      </c>
      <c r="B166" s="625" t="s">
        <v>2151</v>
      </c>
      <c r="C166" s="517">
        <v>46013</v>
      </c>
      <c r="D166" s="415" t="s">
        <v>1603</v>
      </c>
      <c r="E166" s="592"/>
      <c r="F166" s="472" t="s">
        <v>1627</v>
      </c>
      <c r="G166" s="473" t="s">
        <v>1630</v>
      </c>
      <c r="H166" s="485" t="s">
        <v>1606</v>
      </c>
      <c r="I166" s="378" t="s">
        <v>1095</v>
      </c>
      <c r="J166" s="476">
        <v>45236</v>
      </c>
      <c r="K166" s="544">
        <v>46326</v>
      </c>
      <c r="L166" s="474" t="s">
        <v>65</v>
      </c>
      <c r="M166" s="474">
        <v>15</v>
      </c>
      <c r="N166" s="475" t="s">
        <v>1629</v>
      </c>
      <c r="O166" s="355" t="s">
        <v>1742</v>
      </c>
      <c r="P166" s="374" t="s">
        <v>1741</v>
      </c>
      <c r="Q166" s="343" t="s">
        <v>1524</v>
      </c>
      <c r="R166" s="343" t="s">
        <v>759</v>
      </c>
      <c r="S166" s="344" t="s">
        <v>953</v>
      </c>
      <c r="T166" s="345"/>
      <c r="U166" s="345">
        <f>MONTH(Table2[[#This Row],[Ngày
date]])</f>
        <v>12</v>
      </c>
      <c r="V166" s="486" t="str">
        <f t="shared" si="60"/>
        <v>31/10/2026</v>
      </c>
      <c r="W166" s="487" t="str">
        <f t="shared" si="61"/>
        <v>CHƯA NHẬP NGÀY</v>
      </c>
      <c r="X166" s="506" t="str">
        <f t="shared" si="62"/>
        <v>06/11/2023</v>
      </c>
      <c r="Y166" s="367" t="str">
        <f>HYPERLINK('Danh mục'!$D$1&amp;"20"&amp;MID(D166,8,2)&amp;"\"&amp;D166,D166)</f>
        <v>CC_1501225-HCM</v>
      </c>
      <c r="Z166" s="370">
        <f>YEAR(Table2[[#This Row],[Ngày
date]])</f>
        <v>2025</v>
      </c>
      <c r="AA166" s="370" t="str">
        <f t="shared" si="63"/>
        <v>HCM</v>
      </c>
    </row>
    <row r="167" spans="1:27" s="2" customFormat="1" ht="51" x14ac:dyDescent="0.2">
      <c r="A167" s="401">
        <f>IF(Table2[[#This Row],[Code 
CC- ]]="", "", A166+1)</f>
        <v>164</v>
      </c>
      <c r="B167" s="625" t="s">
        <v>2153</v>
      </c>
      <c r="C167" s="517">
        <v>46013</v>
      </c>
      <c r="D167" s="415" t="s">
        <v>1608</v>
      </c>
      <c r="E167" s="592"/>
      <c r="F167" s="472" t="s">
        <v>1611</v>
      </c>
      <c r="G167" s="473" t="s">
        <v>1610</v>
      </c>
      <c r="H167" s="485" t="s">
        <v>1609</v>
      </c>
      <c r="I167" s="378" t="s">
        <v>1612</v>
      </c>
      <c r="J167" s="476" t="s">
        <v>13</v>
      </c>
      <c r="K167" s="544">
        <v>46417</v>
      </c>
      <c r="L167" s="474" t="s">
        <v>65</v>
      </c>
      <c r="M167" s="474">
        <v>1</v>
      </c>
      <c r="N167" s="475" t="s">
        <v>1636</v>
      </c>
      <c r="O167" s="355" t="s">
        <v>482</v>
      </c>
      <c r="P167" s="374" t="s">
        <v>1651</v>
      </c>
      <c r="Q167" s="343" t="s">
        <v>1524</v>
      </c>
      <c r="R167" s="343" t="s">
        <v>1195</v>
      </c>
      <c r="S167" s="344" t="s">
        <v>1255</v>
      </c>
      <c r="T167" s="345"/>
      <c r="U167" s="345">
        <f>MONTH(Table2[[#This Row],[Ngày
date]])</f>
        <v>12</v>
      </c>
      <c r="V167" s="486" t="str">
        <f>IF(K167="","CHƯA NHẬP NGÀY",TEXT(K167,"dd/mm/yyyy"))</f>
        <v>30/01/2027</v>
      </c>
      <c r="W167" s="487" t="str">
        <f>IF(T167="","CHƯA NHẬP NGÀY",TEXT(T167,"dd/mm/yyyy"))</f>
        <v>CHƯA NHẬP NGÀY</v>
      </c>
      <c r="X167" s="506" t="str">
        <f t="shared" si="62"/>
        <v>NA</v>
      </c>
      <c r="Y167" s="367" t="str">
        <f>HYPERLINK('Danh mục'!$D$1&amp;"20"&amp;MID(D167,8,2)&amp;"\"&amp;D167,D167)</f>
        <v>CC_1511225-HCM</v>
      </c>
      <c r="Z167" s="370">
        <f>YEAR(Table2[[#This Row],[Ngày
date]])</f>
        <v>2025</v>
      </c>
      <c r="AA167" s="370" t="str">
        <f t="shared" si="63"/>
        <v>HCM</v>
      </c>
    </row>
    <row r="168" spans="1:27" s="2" customFormat="1" ht="51" x14ac:dyDescent="0.2">
      <c r="A168" s="401">
        <f>IF(Table2[[#This Row],[Code 
CC- ]]="", "", A167+1)</f>
        <v>165</v>
      </c>
      <c r="B168" s="625" t="s">
        <v>2150</v>
      </c>
      <c r="C168" s="517">
        <v>46015</v>
      </c>
      <c r="D168" s="402" t="s">
        <v>1622</v>
      </c>
      <c r="E168" s="402"/>
      <c r="F168" s="488" t="s">
        <v>1619</v>
      </c>
      <c r="G168" s="488" t="s">
        <v>1621</v>
      </c>
      <c r="H168" s="477" t="s">
        <v>1230</v>
      </c>
      <c r="I168" s="353" t="s">
        <v>1231</v>
      </c>
      <c r="J168" s="489" t="s">
        <v>1620</v>
      </c>
      <c r="K168" s="543">
        <v>46418</v>
      </c>
      <c r="L168" s="483" t="s">
        <v>15</v>
      </c>
      <c r="M168" s="483">
        <v>1</v>
      </c>
      <c r="N168" s="484" t="s">
        <v>1488</v>
      </c>
      <c r="O168" s="358" t="s">
        <v>482</v>
      </c>
      <c r="P168" s="372" t="s">
        <v>1623</v>
      </c>
      <c r="Q168" s="336"/>
      <c r="R168" s="336"/>
      <c r="S168" s="337" t="s">
        <v>798</v>
      </c>
      <c r="T168" s="338"/>
      <c r="U168" s="345">
        <f>MONTH(Table2[[#This Row],[Ngày
date]])</f>
        <v>12</v>
      </c>
      <c r="V168" s="486" t="str">
        <f>IF(K168="","CHƯA NHẬP NGÀY",TEXT(K168,"dd/mm/yyyy"))</f>
        <v>31/01/2027</v>
      </c>
      <c r="W168" s="487" t="str">
        <f>IF(T168="","CHƯA NHẬP NGÀY",TEXT(T168,"dd/mm/yyyy"))</f>
        <v>CHƯA NHẬP NGÀY</v>
      </c>
      <c r="X168" s="506" t="str">
        <f t="shared" si="62"/>
        <v>01/01/2024</v>
      </c>
      <c r="Y168" s="367" t="str">
        <f>HYPERLINK('Danh mục'!$D$1&amp;"20"&amp;MID(D168,8,2)&amp;"\"&amp;D168,D168)</f>
        <v>CC_1521225-HN</v>
      </c>
      <c r="Z168" s="370">
        <f>YEAR(Table2[[#This Row],[Ngày
date]])</f>
        <v>2025</v>
      </c>
      <c r="AA168" s="370" t="str">
        <f t="shared" si="63"/>
        <v>HN</v>
      </c>
    </row>
    <row r="169" spans="1:27" s="2" customFormat="1" ht="51" x14ac:dyDescent="0.2">
      <c r="A169" s="401">
        <f>IF(Table2[[#This Row],[Code 
CC- ]]="", "", A168+1)</f>
        <v>166</v>
      </c>
      <c r="B169" s="625" t="s">
        <v>2150</v>
      </c>
      <c r="C169" s="517">
        <v>46016</v>
      </c>
      <c r="D169" s="415" t="s">
        <v>1624</v>
      </c>
      <c r="E169" s="592"/>
      <c r="F169" s="472" t="s">
        <v>1499</v>
      </c>
      <c r="G169" s="473" t="s">
        <v>41</v>
      </c>
      <c r="H169" s="485" t="s">
        <v>1047</v>
      </c>
      <c r="I169" s="378" t="s">
        <v>1625</v>
      </c>
      <c r="J169" s="490" t="s">
        <v>13</v>
      </c>
      <c r="K169" s="544">
        <v>46326</v>
      </c>
      <c r="L169" s="474" t="s">
        <v>65</v>
      </c>
      <c r="M169" s="474">
        <v>1</v>
      </c>
      <c r="N169" s="475" t="s">
        <v>1626</v>
      </c>
      <c r="O169" s="355" t="s">
        <v>482</v>
      </c>
      <c r="P169" s="374" t="s">
        <v>1650</v>
      </c>
      <c r="Q169" s="343"/>
      <c r="R169" s="343"/>
      <c r="S169" s="344" t="s">
        <v>799</v>
      </c>
      <c r="T169" s="345"/>
      <c r="U169" s="345">
        <f>MONTH(Table2[[#This Row],[Ngày
date]])</f>
        <v>12</v>
      </c>
      <c r="V169" s="486" t="str">
        <f>IF(K169="","CHƯA NHẬP NGÀY",TEXT(K169,"dd/mm/yyyy"))</f>
        <v>31/10/2026</v>
      </c>
      <c r="W169" s="487" t="str">
        <f>IF(T169="","CHƯA NHẬP NGÀY",TEXT(T169,"dd/mm/yyyy"))</f>
        <v>CHƯA NHẬP NGÀY</v>
      </c>
      <c r="X169" s="506" t="str">
        <f t="shared" si="62"/>
        <v>NA</v>
      </c>
      <c r="Y169" s="367" t="str">
        <f>HYPERLINK('Danh mục'!$D$1&amp;"20"&amp;MID(D169,8,2)&amp;"\"&amp;D169,D169)</f>
        <v>CC_1531225-HCM</v>
      </c>
      <c r="Z169" s="370">
        <f>YEAR(Table2[[#This Row],[Ngày
date]])</f>
        <v>2025</v>
      </c>
      <c r="AA169" s="370" t="str">
        <f t="shared" si="63"/>
        <v>HCM</v>
      </c>
    </row>
    <row r="170" spans="1:27" s="2" customFormat="1" ht="63.75" x14ac:dyDescent="0.2">
      <c r="A170" s="401">
        <f>IF(Table2[[#This Row],[Code 
CC- ]]="", "", A169+1)</f>
        <v>167</v>
      </c>
      <c r="B170" s="625" t="s">
        <v>2158</v>
      </c>
      <c r="C170" s="517">
        <v>46017</v>
      </c>
      <c r="D170" s="402" t="s">
        <v>1631</v>
      </c>
      <c r="E170" s="402"/>
      <c r="F170" s="488" t="s">
        <v>1632</v>
      </c>
      <c r="G170" s="473" t="s">
        <v>1644</v>
      </c>
      <c r="H170" s="477" t="s">
        <v>1633</v>
      </c>
      <c r="I170" s="371" t="s">
        <v>1635</v>
      </c>
      <c r="J170" s="489" t="s">
        <v>13</v>
      </c>
      <c r="K170" s="546">
        <v>46421</v>
      </c>
      <c r="L170" s="483" t="s">
        <v>15</v>
      </c>
      <c r="M170" s="444">
        <v>4</v>
      </c>
      <c r="N170" s="484" t="s">
        <v>1634</v>
      </c>
      <c r="O170" s="355" t="s">
        <v>482</v>
      </c>
      <c r="P170" s="372" t="s">
        <v>1767</v>
      </c>
      <c r="Q170" s="336"/>
      <c r="R170" s="343" t="s">
        <v>835</v>
      </c>
      <c r="S170" s="337" t="s">
        <v>799</v>
      </c>
      <c r="T170" s="338"/>
      <c r="U170" s="338">
        <f>MONTH(Table2[[#This Row],[Ngày
date]])</f>
        <v>12</v>
      </c>
      <c r="V170" s="491" t="str">
        <f>IF(K170="","CHƯA NHẬP NGÀY",TEXT(K170,"dd/mm/yyyy"))</f>
        <v>03/02/2027</v>
      </c>
      <c r="W170" s="491" t="str">
        <f>IF(T170="","CHƯA NHẬP NGÀY",TEXT(T170,"dd/mm/yyyy"))</f>
        <v>CHƯA NHẬP NGÀY</v>
      </c>
      <c r="X170" s="491" t="str">
        <f t="shared" si="62"/>
        <v>NA</v>
      </c>
      <c r="Y170" s="367" t="str">
        <f>HYPERLINK('Danh mục'!$D$1&amp;"20"&amp;MID(D170,8,2)&amp;"\"&amp;D170,D170)</f>
        <v>CC_1541225-HN</v>
      </c>
      <c r="Z170" s="370">
        <f>YEAR(Table2[[#This Row],[Ngày
date]])</f>
        <v>2025</v>
      </c>
      <c r="AA170" s="370" t="str">
        <f t="shared" si="63"/>
        <v>HN</v>
      </c>
    </row>
    <row r="171" spans="1:27" s="2" customFormat="1" ht="63.75" x14ac:dyDescent="0.2">
      <c r="A171" s="401">
        <f>IF(Table2[[#This Row],[Code 
CC- ]]="", "", A170+1)</f>
        <v>168</v>
      </c>
      <c r="B171" s="625" t="s">
        <v>2158</v>
      </c>
      <c r="C171" s="517">
        <v>46017</v>
      </c>
      <c r="D171" s="402" t="s">
        <v>1631</v>
      </c>
      <c r="E171" s="402"/>
      <c r="F171" s="488" t="s">
        <v>1632</v>
      </c>
      <c r="G171" s="488" t="s">
        <v>1644</v>
      </c>
      <c r="H171" s="477" t="s">
        <v>1633</v>
      </c>
      <c r="I171" s="371" t="s">
        <v>1645</v>
      </c>
      <c r="J171" s="489" t="s">
        <v>13</v>
      </c>
      <c r="K171" s="546" t="s">
        <v>1646</v>
      </c>
      <c r="L171" s="483" t="s">
        <v>15</v>
      </c>
      <c r="M171" s="444">
        <v>2</v>
      </c>
      <c r="N171" s="484" t="s">
        <v>1634</v>
      </c>
      <c r="O171" s="355" t="s">
        <v>482</v>
      </c>
      <c r="P171" s="372" t="s">
        <v>1767</v>
      </c>
      <c r="Q171" s="336"/>
      <c r="R171" s="343" t="s">
        <v>835</v>
      </c>
      <c r="S171" s="337" t="s">
        <v>799</v>
      </c>
      <c r="T171" s="338"/>
      <c r="U171" s="338">
        <f>MONTH(Table2[[#This Row],[Ngày
date]])</f>
        <v>12</v>
      </c>
      <c r="V171" s="491" t="str">
        <f>IF(K171="","CHƯA NHẬP NGÀY",TEXT(K171,"dd/mm/yyyy"))</f>
        <v xml:space="preserve">13/02/2027
</v>
      </c>
      <c r="W171" s="491" t="str">
        <f>IF(T171="","CHƯA NHẬP NGÀY",TEXT(T171,"dd/mm/yyyy"))</f>
        <v>CHƯA NHẬP NGÀY</v>
      </c>
      <c r="X171" s="491" t="str">
        <f t="shared" si="62"/>
        <v>NA</v>
      </c>
      <c r="Y171" s="367" t="str">
        <f>HYPERLINK('Danh mục'!$D$1&amp;"20"&amp;MID(D171,8,2)&amp;"\"&amp;D171,D171)</f>
        <v>CC_1541225-HN</v>
      </c>
      <c r="Z171" s="370">
        <f>YEAR(Table2[[#This Row],[Ngày
date]])</f>
        <v>2025</v>
      </c>
      <c r="AA171" s="370" t="str">
        <f t="shared" si="63"/>
        <v>HN</v>
      </c>
    </row>
    <row r="172" spans="1:27" s="2" customFormat="1" ht="65.099999999999994" customHeight="1" x14ac:dyDescent="0.2">
      <c r="A172" s="401">
        <f>IF(Table2[[#This Row],[Code 
CC- ]]="", "", A171+1)</f>
        <v>169</v>
      </c>
      <c r="B172" s="625" t="s">
        <v>2151</v>
      </c>
      <c r="C172" s="517">
        <v>46017</v>
      </c>
      <c r="D172" s="402" t="s">
        <v>1637</v>
      </c>
      <c r="E172" s="402"/>
      <c r="F172" s="488" t="s">
        <v>954</v>
      </c>
      <c r="G172" s="421" t="s">
        <v>956</v>
      </c>
      <c r="H172" s="477" t="s">
        <v>1639</v>
      </c>
      <c r="I172" s="371" t="s">
        <v>1641</v>
      </c>
      <c r="J172" s="489">
        <v>45470</v>
      </c>
      <c r="K172" s="546">
        <v>46931</v>
      </c>
      <c r="L172" s="483" t="s">
        <v>15</v>
      </c>
      <c r="M172" s="444">
        <v>1</v>
      </c>
      <c r="N172" s="484" t="s">
        <v>1642</v>
      </c>
      <c r="O172" s="358" t="s">
        <v>482</v>
      </c>
      <c r="P172" s="374" t="s">
        <v>1650</v>
      </c>
      <c r="Q172" s="336"/>
      <c r="R172" s="336"/>
      <c r="S172" s="337" t="s">
        <v>1255</v>
      </c>
      <c r="T172" s="338"/>
      <c r="U172" s="338">
        <f>MONTH(Table2[[#This Row],[Ngày
date]])</f>
        <v>12</v>
      </c>
      <c r="V172" s="524">
        <v>46931</v>
      </c>
      <c r="W172" s="524">
        <v>46063</v>
      </c>
      <c r="X172" s="491" t="str">
        <f t="shared" si="62"/>
        <v>27/06/2024</v>
      </c>
      <c r="Y172" s="367" t="str">
        <f>HYPERLINK('Danh mục'!$D$1&amp;"20"&amp;MID(D172,8,2)&amp;"\"&amp;D172,D172)</f>
        <v>CC_1551225-HCM</v>
      </c>
      <c r="Z172" s="370">
        <f>YEAR(Table2[[#This Row],[Ngày
date]])</f>
        <v>2025</v>
      </c>
      <c r="AA172" s="370" t="str">
        <f t="shared" si="63"/>
        <v>HCM</v>
      </c>
    </row>
    <row r="173" spans="1:27" s="2" customFormat="1" ht="76.5" customHeight="1" x14ac:dyDescent="0.2">
      <c r="A173" s="401">
        <f>IF(Table2[[#This Row],[Code 
CC- ]]="", "", A172+1)</f>
        <v>170</v>
      </c>
      <c r="B173" s="625" t="s">
        <v>2151</v>
      </c>
      <c r="C173" s="517">
        <v>46017</v>
      </c>
      <c r="D173" s="402" t="s">
        <v>1638</v>
      </c>
      <c r="E173" s="402"/>
      <c r="F173" s="488" t="s">
        <v>954</v>
      </c>
      <c r="G173" s="421" t="s">
        <v>956</v>
      </c>
      <c r="H173" s="477" t="s">
        <v>16</v>
      </c>
      <c r="I173" s="371" t="s">
        <v>1640</v>
      </c>
      <c r="J173" s="489">
        <v>45523</v>
      </c>
      <c r="K173" s="546">
        <v>46291</v>
      </c>
      <c r="L173" s="483" t="s">
        <v>15</v>
      </c>
      <c r="M173" s="444">
        <v>1</v>
      </c>
      <c r="N173" s="484" t="s">
        <v>1643</v>
      </c>
      <c r="O173" s="358" t="s">
        <v>482</v>
      </c>
      <c r="P173" s="374" t="s">
        <v>1650</v>
      </c>
      <c r="Q173" s="336"/>
      <c r="R173" s="336"/>
      <c r="S173" s="337" t="s">
        <v>1255</v>
      </c>
      <c r="T173" s="338"/>
      <c r="U173" s="338">
        <f>MONTH(Table2[[#This Row],[Ngày
date]])</f>
        <v>12</v>
      </c>
      <c r="V173" s="524">
        <v>46291</v>
      </c>
      <c r="W173" s="524">
        <v>46063</v>
      </c>
      <c r="X173" s="491" t="str">
        <f t="shared" si="62"/>
        <v>19/08/2024</v>
      </c>
      <c r="Y173" s="367" t="str">
        <f>HYPERLINK('Danh mục'!$D$1&amp;"20"&amp;MID(D173,8,2)&amp;"\"&amp;D173,D173)</f>
        <v>CC_1561225-HCM</v>
      </c>
      <c r="Z173" s="370">
        <f>YEAR(Table2[[#This Row],[Ngày
date]])</f>
        <v>2025</v>
      </c>
      <c r="AA173" s="370" t="str">
        <f t="shared" si="63"/>
        <v>HCM</v>
      </c>
    </row>
    <row r="174" spans="1:27" s="368" customFormat="1" ht="68.099999999999994" customHeight="1" x14ac:dyDescent="0.2">
      <c r="A174" s="401">
        <f>IF(Table2[[#This Row],[Code 
CC- ]]="", "", A173+1)</f>
        <v>171</v>
      </c>
      <c r="B174" s="625" t="s">
        <v>2151</v>
      </c>
      <c r="C174" s="517">
        <v>46030</v>
      </c>
      <c r="D174" s="402" t="s">
        <v>1654</v>
      </c>
      <c r="E174" s="593"/>
      <c r="F174" s="507" t="s">
        <v>954</v>
      </c>
      <c r="G174" s="409" t="s">
        <v>956</v>
      </c>
      <c r="H174" s="443" t="s">
        <v>1092</v>
      </c>
      <c r="I174" s="508" t="s">
        <v>832</v>
      </c>
      <c r="J174" s="467">
        <v>45328</v>
      </c>
      <c r="K174" s="528">
        <v>46418</v>
      </c>
      <c r="L174" s="334" t="s">
        <v>507</v>
      </c>
      <c r="M174" s="334">
        <v>1</v>
      </c>
      <c r="N174" s="335" t="s">
        <v>1668</v>
      </c>
      <c r="O174" s="358" t="s">
        <v>482</v>
      </c>
      <c r="P174" s="335" t="s">
        <v>1661</v>
      </c>
      <c r="Q174" s="336"/>
      <c r="R174" s="336"/>
      <c r="S174" s="337" t="s">
        <v>1255</v>
      </c>
      <c r="T174" s="338"/>
      <c r="U174" s="338">
        <f>MONTH(Table2[[#This Row],[Ngày
date]])</f>
        <v>1</v>
      </c>
      <c r="V174" s="365" t="str">
        <f t="shared" ref="V174:V179" si="64">IF(K174="","CHƯA NHẬP NGÀY",TEXT(K174,"dd/mm/yyyy"))</f>
        <v>31/01/2027</v>
      </c>
      <c r="W174" s="525">
        <v>46064</v>
      </c>
      <c r="X174" s="509" t="str">
        <f t="shared" ref="X174:X176" si="65">IF(J174="","CHƯA NHẬP NGÀY",TEXT(J174,"dd/mm/yyyy"))</f>
        <v>06/02/2024</v>
      </c>
      <c r="Y174" s="367" t="str">
        <f>HYPERLINK('Danh mục'!$D$1&amp;"20"&amp;MID(D174,8,2)&amp;"\"&amp;D174,D174)</f>
        <v>CC_010126-HCM</v>
      </c>
      <c r="Z174" s="368">
        <f>YEAR(Table2[[#This Row],[Ngày
date]])</f>
        <v>2026</v>
      </c>
      <c r="AA174" s="368" t="str">
        <f t="shared" si="63"/>
        <v>HCM</v>
      </c>
    </row>
    <row r="175" spans="1:27" s="368" customFormat="1" ht="68.099999999999994" customHeight="1" x14ac:dyDescent="0.2">
      <c r="A175" s="401">
        <f>IF(Table2[[#This Row],[Code 
CC- ]]="", "", A174+1)</f>
        <v>172</v>
      </c>
      <c r="B175" s="625" t="s">
        <v>2150</v>
      </c>
      <c r="C175" s="517">
        <v>46031</v>
      </c>
      <c r="D175" s="402" t="s">
        <v>1667</v>
      </c>
      <c r="E175" s="593"/>
      <c r="F175" s="507" t="s">
        <v>1662</v>
      </c>
      <c r="G175" s="409" t="s">
        <v>1663</v>
      </c>
      <c r="H175" s="443" t="s">
        <v>1664</v>
      </c>
      <c r="I175" s="508" t="s">
        <v>1459</v>
      </c>
      <c r="J175" s="467">
        <v>45350</v>
      </c>
      <c r="K175" s="528">
        <v>46446</v>
      </c>
      <c r="L175" s="334" t="s">
        <v>15</v>
      </c>
      <c r="M175" s="334">
        <v>1</v>
      </c>
      <c r="N175" s="335" t="s">
        <v>1488</v>
      </c>
      <c r="O175" s="358" t="s">
        <v>482</v>
      </c>
      <c r="P175" s="335" t="s">
        <v>1950</v>
      </c>
      <c r="Q175" s="336"/>
      <c r="R175" s="336"/>
      <c r="S175" s="337" t="s">
        <v>798</v>
      </c>
      <c r="T175" s="338"/>
      <c r="U175" s="338">
        <f>MONTH(Table2[[#This Row],[Ngày
date]])</f>
        <v>1</v>
      </c>
      <c r="V175" s="365" t="str">
        <f t="shared" si="64"/>
        <v>28/02/2027</v>
      </c>
      <c r="W175" s="366" t="str">
        <f t="shared" ref="W175:W179" si="66">IF(T175="","CHƯA NHẬP NGÀY",TEXT(T175,"dd/mm/yyyy"))</f>
        <v>CHƯA NHẬP NGÀY</v>
      </c>
      <c r="X175" s="509" t="str">
        <f t="shared" si="65"/>
        <v>28/02/2024</v>
      </c>
      <c r="Y175" s="367" t="str">
        <f>HYPERLINK('Danh mục'!$D$1&amp;"20"&amp;MID(D175,8,2)&amp;"\"&amp;D175,D175)</f>
        <v>CC_020126-HN</v>
      </c>
      <c r="Z175" s="368">
        <f>YEAR(Table2[[#This Row],[Ngày
date]])</f>
        <v>2026</v>
      </c>
      <c r="AA175" s="368" t="str">
        <f t="shared" si="63"/>
        <v>HN</v>
      </c>
    </row>
    <row r="176" spans="1:27" s="368" customFormat="1" ht="68.099999999999994" customHeight="1" x14ac:dyDescent="0.2">
      <c r="A176" s="401">
        <f>IF(Table2[[#This Row],[Code 
CC- ]]="", "", A175+1)</f>
        <v>173</v>
      </c>
      <c r="B176" s="625" t="s">
        <v>2152</v>
      </c>
      <c r="C176" s="517">
        <v>46031</v>
      </c>
      <c r="D176" s="415" t="s">
        <v>1656</v>
      </c>
      <c r="E176" s="592"/>
      <c r="F176" s="472" t="s">
        <v>1655</v>
      </c>
      <c r="G176" s="413" t="s">
        <v>1658</v>
      </c>
      <c r="H176" s="414" t="s">
        <v>1657</v>
      </c>
      <c r="I176" s="492" t="s">
        <v>1659</v>
      </c>
      <c r="J176" s="493">
        <v>45972</v>
      </c>
      <c r="K176" s="547">
        <v>46702</v>
      </c>
      <c r="L176" s="349" t="s">
        <v>15</v>
      </c>
      <c r="M176" s="349" t="s">
        <v>13</v>
      </c>
      <c r="N176" s="348" t="s">
        <v>1660</v>
      </c>
      <c r="O176" s="358" t="s">
        <v>482</v>
      </c>
      <c r="P176" s="335" t="s">
        <v>1661</v>
      </c>
      <c r="Q176" s="343"/>
      <c r="R176" s="343"/>
      <c r="S176" s="344" t="s">
        <v>1255</v>
      </c>
      <c r="T176" s="345"/>
      <c r="U176" s="345">
        <f>MONTH(Table2[[#This Row],[Ngày
date]])</f>
        <v>1</v>
      </c>
      <c r="V176" s="375" t="str">
        <f t="shared" si="64"/>
        <v>11/11/2027</v>
      </c>
      <c r="W176" s="376" t="str">
        <f t="shared" si="66"/>
        <v>CHƯA NHẬP NGÀY</v>
      </c>
      <c r="X176" s="510" t="str">
        <f t="shared" si="65"/>
        <v>11/11/2025</v>
      </c>
      <c r="Y176" s="367" t="str">
        <f>HYPERLINK('Danh mục'!$D$1&amp;"20"&amp;MID(D176,8,2)&amp;"\"&amp;D176,D176)</f>
        <v>CC_030126-HCM</v>
      </c>
      <c r="Z176" s="368">
        <f>YEAR(Table2[[#This Row],[Ngày
date]])</f>
        <v>2026</v>
      </c>
      <c r="AA176" s="368" t="str">
        <f t="shared" si="63"/>
        <v>HCM</v>
      </c>
    </row>
    <row r="177" spans="1:27" s="368" customFormat="1" ht="97.35" customHeight="1" x14ac:dyDescent="0.2">
      <c r="A177" s="511">
        <f t="shared" ref="A177:A183" si="67">ROW(C177)-4</f>
        <v>173</v>
      </c>
      <c r="B177" s="625" t="s">
        <v>2152</v>
      </c>
      <c r="C177" s="517">
        <v>46035</v>
      </c>
      <c r="D177" s="415" t="s">
        <v>1670</v>
      </c>
      <c r="E177" s="592"/>
      <c r="F177" s="472" t="s">
        <v>1655</v>
      </c>
      <c r="G177" s="413" t="s">
        <v>1658</v>
      </c>
      <c r="H177" s="414" t="s">
        <v>1657</v>
      </c>
      <c r="I177" s="492" t="s">
        <v>1671</v>
      </c>
      <c r="J177" s="516">
        <v>45989</v>
      </c>
      <c r="K177" s="547">
        <v>46719</v>
      </c>
      <c r="L177" s="349" t="s">
        <v>65</v>
      </c>
      <c r="M177" s="349" t="s">
        <v>13</v>
      </c>
      <c r="N177" s="348" t="s">
        <v>1672</v>
      </c>
      <c r="O177" s="358" t="s">
        <v>482</v>
      </c>
      <c r="P177" s="335" t="s">
        <v>1951</v>
      </c>
      <c r="Q177" s="343"/>
      <c r="R177" s="343"/>
      <c r="S177" s="344" t="s">
        <v>815</v>
      </c>
      <c r="T177" s="345"/>
      <c r="U177" s="345">
        <f>MONTH(Table2[[#This Row],[Ngày
date]])</f>
        <v>1</v>
      </c>
      <c r="V177" s="512" t="str">
        <f t="shared" si="64"/>
        <v>28/11/2027</v>
      </c>
      <c r="W177" s="513" t="str">
        <f t="shared" si="66"/>
        <v>CHƯA NHẬP NGÀY</v>
      </c>
      <c r="X177" s="514" t="str">
        <f t="shared" ref="X177:X183" si="68">IF(J177="","CHƯA NHẬP NGÀY",TEXT(J177,"dd/mm/yyyy"))</f>
        <v>28/11/2025</v>
      </c>
      <c r="Y177" s="367" t="str">
        <f>HYPERLINK('Danh mục'!$D$1&amp;"20"&amp;MID(D177,8,2)&amp;"\"&amp;D177,D177)</f>
        <v>CC_040126-HCM</v>
      </c>
      <c r="Z177" s="368">
        <f>YEAR(Table2[[#This Row],[Ngày
date]])</f>
        <v>2026</v>
      </c>
      <c r="AA177" s="368" t="str">
        <f t="shared" ref="AA177:AA183" si="69">IF(ISNUMBER(SEARCH("HCM",D177)),"HCM",
IF(ISNUMBER(SEARCH("HN",D177)),"HN",
IF(ISNUMBER(SEARCH("ĐN",D177)),"ĐN","")))</f>
        <v>HCM</v>
      </c>
    </row>
    <row r="178" spans="1:27" s="368" customFormat="1" ht="177.6" customHeight="1" x14ac:dyDescent="0.2">
      <c r="A178" s="511">
        <f t="shared" si="67"/>
        <v>174</v>
      </c>
      <c r="B178" s="625" t="s">
        <v>2152</v>
      </c>
      <c r="C178" s="517">
        <v>46036</v>
      </c>
      <c r="D178" s="415" t="s">
        <v>1675</v>
      </c>
      <c r="E178" s="592"/>
      <c r="F178" s="472" t="s">
        <v>1676</v>
      </c>
      <c r="G178" s="413" t="s">
        <v>1677</v>
      </c>
      <c r="H178" s="414" t="s">
        <v>1678</v>
      </c>
      <c r="I178" s="492" t="s">
        <v>1695</v>
      </c>
      <c r="J178" s="516">
        <v>45631</v>
      </c>
      <c r="K178" s="547">
        <v>46356</v>
      </c>
      <c r="L178" s="349" t="s">
        <v>65</v>
      </c>
      <c r="M178" s="349">
        <v>4</v>
      </c>
      <c r="N178" s="348" t="s">
        <v>1693</v>
      </c>
      <c r="O178" s="355" t="s">
        <v>1694</v>
      </c>
      <c r="P178" s="348" t="s">
        <v>1952</v>
      </c>
      <c r="Q178" s="343" t="s">
        <v>1194</v>
      </c>
      <c r="R178" s="343" t="s">
        <v>1056</v>
      </c>
      <c r="S178" s="344" t="s">
        <v>953</v>
      </c>
      <c r="T178" s="345"/>
      <c r="U178" s="345">
        <f>MONTH(Table2[[#This Row],[Ngày
date]])</f>
        <v>1</v>
      </c>
      <c r="V178" s="512" t="str">
        <f t="shared" si="64"/>
        <v>30/11/2026</v>
      </c>
      <c r="W178" s="513" t="str">
        <f t="shared" si="66"/>
        <v>CHƯA NHẬP NGÀY</v>
      </c>
      <c r="X178" s="514" t="str">
        <f t="shared" si="68"/>
        <v>05/12/2024</v>
      </c>
      <c r="Y178" s="367" t="str">
        <f>HYPERLINK('Danh mục'!$D$1&amp;"20"&amp;MID(D178,8,2)&amp;"\"&amp;D178,D178)</f>
        <v>CC_050126-ĐN</v>
      </c>
      <c r="Z178" s="368">
        <f>YEAR(Table2[[#This Row],[Ngày
date]])</f>
        <v>2026</v>
      </c>
      <c r="AA178" s="368" t="str">
        <f t="shared" si="69"/>
        <v>ĐN</v>
      </c>
    </row>
    <row r="179" spans="1:27" s="368" customFormat="1" ht="97.35" customHeight="1" x14ac:dyDescent="0.2">
      <c r="A179" s="511">
        <f t="shared" si="67"/>
        <v>175</v>
      </c>
      <c r="B179" s="625" t="s">
        <v>2161</v>
      </c>
      <c r="C179" s="517">
        <v>46036</v>
      </c>
      <c r="D179" s="415" t="s">
        <v>1679</v>
      </c>
      <c r="E179" s="592"/>
      <c r="F179" s="472" t="s">
        <v>1655</v>
      </c>
      <c r="G179" s="413" t="s">
        <v>1658</v>
      </c>
      <c r="H179" s="414" t="s">
        <v>1680</v>
      </c>
      <c r="I179" s="492" t="s">
        <v>1684</v>
      </c>
      <c r="J179" s="516" t="s">
        <v>38</v>
      </c>
      <c r="K179" s="547">
        <v>46387</v>
      </c>
      <c r="L179" s="349" t="s">
        <v>65</v>
      </c>
      <c r="M179" s="349">
        <v>1</v>
      </c>
      <c r="N179" s="348" t="s">
        <v>828</v>
      </c>
      <c r="O179" s="358" t="s">
        <v>482</v>
      </c>
      <c r="P179" s="335" t="s">
        <v>1661</v>
      </c>
      <c r="Q179" s="343"/>
      <c r="R179" s="343"/>
      <c r="S179" s="344" t="s">
        <v>799</v>
      </c>
      <c r="T179" s="345"/>
      <c r="U179" s="345">
        <f>MONTH(Table2[[#This Row],[Ngày
date]])</f>
        <v>1</v>
      </c>
      <c r="V179" s="512" t="str">
        <f t="shared" si="64"/>
        <v>31/12/2026</v>
      </c>
      <c r="W179" s="513" t="str">
        <f t="shared" si="66"/>
        <v>CHƯA NHẬP NGÀY</v>
      </c>
      <c r="X179" s="514" t="str">
        <f t="shared" si="68"/>
        <v>01/01/2025</v>
      </c>
      <c r="Y179" s="367" t="str">
        <f>HYPERLINK('Danh mục'!$D$1&amp;"20"&amp;MID(D179,8,2)&amp;"\"&amp;D179,D179)</f>
        <v>CC_060126-HCM</v>
      </c>
      <c r="Z179" s="368">
        <f>YEAR(Table2[[#This Row],[Ngày
date]])</f>
        <v>2026</v>
      </c>
      <c r="AA179" s="368" t="str">
        <f t="shared" si="69"/>
        <v>HCM</v>
      </c>
    </row>
    <row r="180" spans="1:27" s="368" customFormat="1" ht="97.35" customHeight="1" x14ac:dyDescent="0.2">
      <c r="A180" s="511">
        <f t="shared" si="67"/>
        <v>176</v>
      </c>
      <c r="B180" s="625" t="s">
        <v>2159</v>
      </c>
      <c r="C180" s="517">
        <v>46041</v>
      </c>
      <c r="D180" s="415" t="s">
        <v>1681</v>
      </c>
      <c r="E180" s="592"/>
      <c r="F180" s="472" t="s">
        <v>1078</v>
      </c>
      <c r="G180" s="413" t="s">
        <v>36</v>
      </c>
      <c r="H180" s="404" t="s">
        <v>1682</v>
      </c>
      <c r="I180" s="364" t="s">
        <v>1683</v>
      </c>
      <c r="J180" s="516" t="s">
        <v>1711</v>
      </c>
      <c r="K180" s="547">
        <v>46965</v>
      </c>
      <c r="L180" s="349" t="s">
        <v>1207</v>
      </c>
      <c r="M180" s="349">
        <v>1</v>
      </c>
      <c r="N180" s="348" t="s">
        <v>1691</v>
      </c>
      <c r="O180" s="358" t="s">
        <v>482</v>
      </c>
      <c r="P180" s="335" t="s">
        <v>1826</v>
      </c>
      <c r="Q180" s="343"/>
      <c r="R180" s="343"/>
      <c r="S180" s="344" t="s">
        <v>799</v>
      </c>
      <c r="T180" s="345"/>
      <c r="U180" s="345">
        <f>MONTH(Table2[[#This Row],[Ngày
date]])</f>
        <v>1</v>
      </c>
      <c r="V180" s="512" t="str">
        <f t="shared" ref="V180:V185" si="70">IF(K180="","CHƯA NHẬP NGÀY",TEXT(K180,"dd/mm/yyyy"))</f>
        <v>31/07/2028</v>
      </c>
      <c r="W180" s="513" t="str">
        <f t="shared" ref="W180:W185" si="71">IF(T180="","CHƯA NHẬP NGÀY",TEXT(T180,"dd/mm/yyyy"))</f>
        <v>CHƯA NHẬP NGÀY</v>
      </c>
      <c r="X180" s="514" t="str">
        <f t="shared" si="68"/>
        <v>01/08/2025</v>
      </c>
      <c r="Y180" s="367" t="str">
        <f>HYPERLINK('Danh mục'!$D$1&amp;"20"&amp;MID(D180,8,2)&amp;"\"&amp;D180,D180)</f>
        <v>CC_070126-HCM</v>
      </c>
      <c r="Z180" s="368">
        <f>YEAR(Table2[[#This Row],[Ngày
date]])</f>
        <v>2026</v>
      </c>
      <c r="AA180" s="368" t="str">
        <f t="shared" si="69"/>
        <v>HCM</v>
      </c>
    </row>
    <row r="181" spans="1:27" s="368" customFormat="1" ht="97.35" customHeight="1" x14ac:dyDescent="0.2">
      <c r="A181" s="511">
        <f t="shared" si="67"/>
        <v>177</v>
      </c>
      <c r="B181" s="625" t="s">
        <v>2161</v>
      </c>
      <c r="C181" s="517">
        <v>46042</v>
      </c>
      <c r="D181" s="415" t="s">
        <v>1686</v>
      </c>
      <c r="E181" s="592"/>
      <c r="F181" s="472" t="s">
        <v>1687</v>
      </c>
      <c r="G181" s="413" t="s">
        <v>1688</v>
      </c>
      <c r="H181" s="404" t="s">
        <v>1689</v>
      </c>
      <c r="I181" s="364" t="s">
        <v>1690</v>
      </c>
      <c r="J181" s="516" t="s">
        <v>1701</v>
      </c>
      <c r="K181" s="547">
        <v>46660</v>
      </c>
      <c r="L181" s="349" t="s">
        <v>50</v>
      </c>
      <c r="M181" s="349">
        <v>1</v>
      </c>
      <c r="N181" s="348" t="s">
        <v>1692</v>
      </c>
      <c r="O181" s="358" t="s">
        <v>482</v>
      </c>
      <c r="P181" s="335" t="s">
        <v>1661</v>
      </c>
      <c r="Q181" s="343"/>
      <c r="R181" s="343"/>
      <c r="S181" s="344" t="s">
        <v>799</v>
      </c>
      <c r="T181" s="345"/>
      <c r="U181" s="345">
        <f>MONTH(Table2[[#This Row],[Ngày
date]])</f>
        <v>1</v>
      </c>
      <c r="V181" s="512" t="str">
        <f t="shared" si="70"/>
        <v>30/09/2027</v>
      </c>
      <c r="W181" s="513" t="str">
        <f t="shared" si="71"/>
        <v>CHƯA NHẬP NGÀY</v>
      </c>
      <c r="X181" s="514" t="str">
        <f t="shared" si="68"/>
        <v>01/10/2025</v>
      </c>
      <c r="Y181" s="367" t="str">
        <f>HYPERLINK('Danh mục'!$D$1&amp;"20"&amp;MID(D181,8,2)&amp;"\"&amp;D181,D181)</f>
        <v>CC_080126-HCM</v>
      </c>
      <c r="Z181" s="368">
        <f>YEAR(Table2[[#This Row],[Ngày
date]])</f>
        <v>2026</v>
      </c>
      <c r="AA181" s="368" t="str">
        <f t="shared" si="69"/>
        <v>HCM</v>
      </c>
    </row>
    <row r="182" spans="1:27" s="368" customFormat="1" ht="97.35" customHeight="1" x14ac:dyDescent="0.2">
      <c r="A182" s="511">
        <f t="shared" si="67"/>
        <v>178</v>
      </c>
      <c r="B182" s="625" t="s">
        <v>2161</v>
      </c>
      <c r="C182" s="517">
        <v>46044</v>
      </c>
      <c r="D182" s="415" t="s">
        <v>1696</v>
      </c>
      <c r="E182" s="592"/>
      <c r="F182" s="472" t="s">
        <v>1698</v>
      </c>
      <c r="G182" s="413" t="s">
        <v>1699</v>
      </c>
      <c r="H182" s="404" t="s">
        <v>1700</v>
      </c>
      <c r="I182" s="364" t="s">
        <v>1702</v>
      </c>
      <c r="J182" s="516" t="s">
        <v>1701</v>
      </c>
      <c r="K182" s="547">
        <v>46660</v>
      </c>
      <c r="L182" s="349" t="s">
        <v>1703</v>
      </c>
      <c r="M182" s="349">
        <v>3</v>
      </c>
      <c r="N182" s="348" t="s">
        <v>1704</v>
      </c>
      <c r="O182" s="355" t="s">
        <v>1953</v>
      </c>
      <c r="P182" s="335" t="s">
        <v>1820</v>
      </c>
      <c r="Q182" s="343"/>
      <c r="R182" s="343"/>
      <c r="S182" s="344" t="s">
        <v>799</v>
      </c>
      <c r="T182" s="345"/>
      <c r="U182" s="345">
        <f>MONTH(Table2[[#This Row],[Ngày
date]])</f>
        <v>1</v>
      </c>
      <c r="V182" s="512" t="str">
        <f t="shared" si="70"/>
        <v>30/09/2027</v>
      </c>
      <c r="W182" s="513" t="str">
        <f t="shared" si="71"/>
        <v>CHƯA NHẬP NGÀY</v>
      </c>
      <c r="X182" s="514" t="str">
        <f t="shared" si="68"/>
        <v>01/10/2025</v>
      </c>
      <c r="Y182" s="367" t="str">
        <f>HYPERLINK('Danh mục'!$D$1&amp;"20"&amp;MID(D182,8,2)&amp;"\"&amp;D182,D182)</f>
        <v>CC_090126-HCM</v>
      </c>
      <c r="Z182" s="368">
        <f>YEAR(Table2[[#This Row],[Ngày
date]])</f>
        <v>2026</v>
      </c>
      <c r="AA182" s="368" t="str">
        <f t="shared" si="69"/>
        <v>HCM</v>
      </c>
    </row>
    <row r="183" spans="1:27" s="368" customFormat="1" ht="97.35" customHeight="1" x14ac:dyDescent="0.2">
      <c r="A183" s="511">
        <f t="shared" si="67"/>
        <v>179</v>
      </c>
      <c r="B183" s="625" t="s">
        <v>2151</v>
      </c>
      <c r="C183" s="517">
        <v>46044</v>
      </c>
      <c r="D183" s="415" t="s">
        <v>1697</v>
      </c>
      <c r="E183" s="592"/>
      <c r="F183" s="472" t="s">
        <v>1707</v>
      </c>
      <c r="G183" s="413" t="s">
        <v>1708</v>
      </c>
      <c r="H183" s="404" t="s">
        <v>217</v>
      </c>
      <c r="I183" s="364" t="s">
        <v>1709</v>
      </c>
      <c r="J183" s="516">
        <v>45568</v>
      </c>
      <c r="K183" s="547">
        <v>46447</v>
      </c>
      <c r="L183" s="349" t="s">
        <v>43</v>
      </c>
      <c r="M183" s="349">
        <v>3</v>
      </c>
      <c r="N183" s="348" t="s">
        <v>1710</v>
      </c>
      <c r="O183" s="355" t="s">
        <v>482</v>
      </c>
      <c r="P183" s="335" t="s">
        <v>1661</v>
      </c>
      <c r="Q183" s="343"/>
      <c r="R183" s="343"/>
      <c r="S183" s="344" t="s">
        <v>798</v>
      </c>
      <c r="T183" s="345">
        <v>46083</v>
      </c>
      <c r="U183" s="345">
        <f>MONTH(Table2[[#This Row],[Ngày
date]])</f>
        <v>1</v>
      </c>
      <c r="V183" s="512" t="str">
        <f t="shared" si="70"/>
        <v>01/03/2027</v>
      </c>
      <c r="W183" s="513" t="str">
        <f t="shared" si="71"/>
        <v>02/03/2026</v>
      </c>
      <c r="X183" s="514" t="str">
        <f t="shared" si="68"/>
        <v>03/10/2024</v>
      </c>
      <c r="Y183" s="367" t="str">
        <f>HYPERLINK('Danh mục'!$D$1&amp;"20"&amp;MID(D183,8,2)&amp;"\"&amp;D183,D183)</f>
        <v>CC_100126-HCM</v>
      </c>
      <c r="Z183" s="368">
        <f>YEAR(Table2[[#This Row],[Ngày
date]])</f>
        <v>2026</v>
      </c>
      <c r="AA183" s="368" t="str">
        <f t="shared" si="69"/>
        <v>HCM</v>
      </c>
    </row>
    <row r="184" spans="1:27" s="368" customFormat="1" ht="110.1" customHeight="1" x14ac:dyDescent="0.2">
      <c r="A184" s="511">
        <f t="shared" ref="A184:A189" si="72">ROW(C184)-4</f>
        <v>180</v>
      </c>
      <c r="B184" s="625" t="s">
        <v>2151</v>
      </c>
      <c r="C184" s="517">
        <v>46045</v>
      </c>
      <c r="D184" s="415" t="s">
        <v>1713</v>
      </c>
      <c r="E184" s="592" t="s">
        <v>2114</v>
      </c>
      <c r="F184" s="472" t="s">
        <v>1712</v>
      </c>
      <c r="G184" s="413" t="s">
        <v>1714</v>
      </c>
      <c r="H184" s="404" t="s">
        <v>1605</v>
      </c>
      <c r="I184" s="364" t="s">
        <v>1727</v>
      </c>
      <c r="J184" s="516">
        <v>44964</v>
      </c>
      <c r="K184" s="547">
        <v>46418</v>
      </c>
      <c r="L184" s="349" t="s">
        <v>507</v>
      </c>
      <c r="M184" s="349">
        <v>1</v>
      </c>
      <c r="N184" s="348" t="s">
        <v>1715</v>
      </c>
      <c r="O184" s="355" t="s">
        <v>482</v>
      </c>
      <c r="P184" s="335" t="s">
        <v>2115</v>
      </c>
      <c r="Q184" s="343"/>
      <c r="R184" s="343"/>
      <c r="S184" s="344" t="s">
        <v>798</v>
      </c>
      <c r="T184" s="345"/>
      <c r="U184" s="345">
        <f>MONTH(Table2[[#This Row],[Ngày
date]])</f>
        <v>1</v>
      </c>
      <c r="V184" s="512" t="str">
        <f t="shared" si="70"/>
        <v>31/01/2027</v>
      </c>
      <c r="W184" s="513" t="str">
        <f t="shared" si="71"/>
        <v>CHƯA NHẬP NGÀY</v>
      </c>
      <c r="X184" s="514" t="str">
        <f t="shared" ref="X184:X189" si="73">IF(J184="","CHƯA NHẬP NGÀY",TEXT(J184,"dd/mm/yyyy"))</f>
        <v>07/02/2023</v>
      </c>
      <c r="Y184" s="367" t="str">
        <f>HYPERLINK('Danh mục'!$D$1&amp;"20"&amp;MID(D184,8,2)&amp;"\"&amp;D184,D184)</f>
        <v>CC_110126-HCM</v>
      </c>
      <c r="Z184" s="368">
        <f>YEAR(Table2[[#This Row],[Ngày
date]])</f>
        <v>2026</v>
      </c>
      <c r="AA184" s="368" t="str">
        <f t="shared" ref="AA184:AA189" si="74">IF(ISNUMBER(SEARCH("HCM",D184)),"HCM",
IF(ISNUMBER(SEARCH("HN",D184)),"HN",
IF(ISNUMBER(SEARCH("ĐN",D184)),"ĐN","")))</f>
        <v>HCM</v>
      </c>
    </row>
    <row r="185" spans="1:27" s="368" customFormat="1" ht="97.35" customHeight="1" x14ac:dyDescent="0.2">
      <c r="A185" s="511">
        <f t="shared" si="72"/>
        <v>181</v>
      </c>
      <c r="B185" s="625" t="s">
        <v>2161</v>
      </c>
      <c r="C185" s="517">
        <v>46048</v>
      </c>
      <c r="D185" s="415" t="s">
        <v>1717</v>
      </c>
      <c r="E185" s="592"/>
      <c r="F185" s="472" t="s">
        <v>1716</v>
      </c>
      <c r="G185" s="413" t="s">
        <v>1718</v>
      </c>
      <c r="H185" s="404" t="s">
        <v>1720</v>
      </c>
      <c r="I185" s="364" t="s">
        <v>1719</v>
      </c>
      <c r="J185" s="516" t="s">
        <v>212</v>
      </c>
      <c r="K185" s="548" t="s">
        <v>1721</v>
      </c>
      <c r="L185" s="349" t="s">
        <v>507</v>
      </c>
      <c r="M185" s="349">
        <v>1</v>
      </c>
      <c r="N185" s="348" t="s">
        <v>1722</v>
      </c>
      <c r="O185" s="355" t="s">
        <v>1953</v>
      </c>
      <c r="P185" s="348" t="s">
        <v>1964</v>
      </c>
      <c r="Q185" s="343"/>
      <c r="R185" s="343" t="s">
        <v>1195</v>
      </c>
      <c r="S185" s="344" t="s">
        <v>799</v>
      </c>
      <c r="T185" s="345"/>
      <c r="U185" s="345">
        <f>MONTH(Table2[[#This Row],[Ngày
date]])</f>
        <v>1</v>
      </c>
      <c r="V185" s="512" t="str">
        <f t="shared" si="70"/>
        <v xml:space="preserve">31/05/2027
</v>
      </c>
      <c r="W185" s="513" t="str">
        <f t="shared" si="71"/>
        <v>CHƯA NHẬP NGÀY</v>
      </c>
      <c r="X185" s="514" t="str">
        <f t="shared" si="73"/>
        <v>01/06/2025</v>
      </c>
      <c r="Y185" s="367" t="str">
        <f>HYPERLINK('Danh mục'!$D$1&amp;"20"&amp;MID(D185,8,2)&amp;"\"&amp;D185,D185)</f>
        <v>CC_120126-HN</v>
      </c>
      <c r="Z185" s="368">
        <f>YEAR(Table2[[#This Row],[Ngày
date]])</f>
        <v>2026</v>
      </c>
      <c r="AA185" s="368" t="str">
        <f t="shared" si="74"/>
        <v>HN</v>
      </c>
    </row>
    <row r="186" spans="1:27" s="368" customFormat="1" ht="97.35" customHeight="1" x14ac:dyDescent="0.2">
      <c r="A186" s="511">
        <f t="shared" si="72"/>
        <v>182</v>
      </c>
      <c r="B186" s="625" t="s">
        <v>2161</v>
      </c>
      <c r="C186" s="517">
        <v>46051</v>
      </c>
      <c r="D186" s="415" t="s">
        <v>1723</v>
      </c>
      <c r="E186" s="592"/>
      <c r="F186" s="472" t="s">
        <v>1769</v>
      </c>
      <c r="G186" s="413" t="s">
        <v>1725</v>
      </c>
      <c r="H186" s="404" t="s">
        <v>1768</v>
      </c>
      <c r="I186" s="364" t="s">
        <v>1724</v>
      </c>
      <c r="J186" s="516" t="s">
        <v>1105</v>
      </c>
      <c r="K186" s="549">
        <v>46812</v>
      </c>
      <c r="L186" s="349" t="s">
        <v>15</v>
      </c>
      <c r="M186" s="349">
        <v>1</v>
      </c>
      <c r="N186" s="348" t="s">
        <v>1726</v>
      </c>
      <c r="O186" s="355" t="s">
        <v>1953</v>
      </c>
      <c r="P186" s="348" t="s">
        <v>1965</v>
      </c>
      <c r="Q186" s="343"/>
      <c r="R186" s="343" t="s">
        <v>1195</v>
      </c>
      <c r="S186" s="344" t="s">
        <v>799</v>
      </c>
      <c r="T186" s="345"/>
      <c r="U186" s="345">
        <f>MONTH(Table2[[#This Row],[Ngày
date]])</f>
        <v>1</v>
      </c>
      <c r="V186" s="512" t="str">
        <f t="shared" ref="V186:V193" si="75">IF(K186="","CHƯA NHẬP NGÀY",TEXT(K186,"dd/mm/yyyy"))</f>
        <v>29/02/2028</v>
      </c>
      <c r="W186" s="513" t="str">
        <f t="shared" ref="W186:W193" si="76">IF(T186="","CHƯA NHẬP NGÀY",TEXT(T186,"dd/mm/yyyy"))</f>
        <v>CHƯA NHẬP NGÀY</v>
      </c>
      <c r="X186" s="514" t="str">
        <f t="shared" si="73"/>
        <v>01/03/2025</v>
      </c>
      <c r="Y186" s="367" t="str">
        <f>HYPERLINK('Danh mục'!$D$1&amp;"20"&amp;MID(D186,8,2)&amp;"\"&amp;D186,D186)</f>
        <v>CC_130126-HN</v>
      </c>
      <c r="Z186" s="368">
        <f>YEAR(Table2[[#This Row],[Ngày
date]])</f>
        <v>2026</v>
      </c>
      <c r="AA186" s="368" t="str">
        <f t="shared" si="74"/>
        <v>HN</v>
      </c>
    </row>
    <row r="187" spans="1:27" s="368" customFormat="1" ht="97.35" customHeight="1" x14ac:dyDescent="0.2">
      <c r="A187" s="511">
        <f t="shared" si="72"/>
        <v>183</v>
      </c>
      <c r="B187" s="625" t="s">
        <v>2151</v>
      </c>
      <c r="C187" s="517">
        <v>46056</v>
      </c>
      <c r="D187" s="415" t="s">
        <v>1728</v>
      </c>
      <c r="E187" s="592"/>
      <c r="F187" s="472" t="s">
        <v>954</v>
      </c>
      <c r="G187" s="413" t="s">
        <v>956</v>
      </c>
      <c r="H187" s="404" t="s">
        <v>1001</v>
      </c>
      <c r="I187" s="518" t="s">
        <v>1729</v>
      </c>
      <c r="J187" s="516">
        <v>45679</v>
      </c>
      <c r="K187" s="549">
        <v>46774</v>
      </c>
      <c r="L187" s="349" t="s">
        <v>15</v>
      </c>
      <c r="M187" s="349">
        <v>1</v>
      </c>
      <c r="N187" s="348" t="s">
        <v>1730</v>
      </c>
      <c r="O187" s="355" t="s">
        <v>1953</v>
      </c>
      <c r="P187" s="348" t="s">
        <v>1740</v>
      </c>
      <c r="Q187" s="343"/>
      <c r="R187" s="343" t="s">
        <v>1195</v>
      </c>
      <c r="S187" s="344" t="s">
        <v>1255</v>
      </c>
      <c r="T187" s="345"/>
      <c r="U187" s="345">
        <f>MONTH(Table2[[#This Row],[Ngày
date]])</f>
        <v>2</v>
      </c>
      <c r="V187" s="512" t="str">
        <f t="shared" si="75"/>
        <v>22/01/2028</v>
      </c>
      <c r="W187" s="513" t="str">
        <f t="shared" si="76"/>
        <v>CHƯA NHẬP NGÀY</v>
      </c>
      <c r="X187" s="514" t="str">
        <f t="shared" si="73"/>
        <v>22/01/2025</v>
      </c>
      <c r="Y187" s="367" t="str">
        <f>HYPERLINK('Danh mục'!$D$1&amp;"20"&amp;MID(D187,8,2)&amp;"\"&amp;D187,D187)</f>
        <v>CC_140226-HN</v>
      </c>
      <c r="Z187" s="368">
        <f>YEAR(Table2[[#This Row],[Ngày
date]])</f>
        <v>2026</v>
      </c>
      <c r="AA187" s="368" t="str">
        <f t="shared" si="74"/>
        <v>HN</v>
      </c>
    </row>
    <row r="188" spans="1:27" s="368" customFormat="1" ht="97.35" customHeight="1" x14ac:dyDescent="0.2">
      <c r="A188" s="511">
        <f t="shared" si="72"/>
        <v>184</v>
      </c>
      <c r="B188" s="625" t="s">
        <v>2151</v>
      </c>
      <c r="C188" s="517">
        <v>46057</v>
      </c>
      <c r="D188" s="415" t="s">
        <v>2045</v>
      </c>
      <c r="E188" s="592" t="s">
        <v>2133</v>
      </c>
      <c r="F188" s="472" t="s">
        <v>1731</v>
      </c>
      <c r="G188" s="405" t="s">
        <v>1735</v>
      </c>
      <c r="H188" s="404" t="s">
        <v>1564</v>
      </c>
      <c r="I188" s="364" t="s">
        <v>1566</v>
      </c>
      <c r="J188" s="519" t="s">
        <v>1733</v>
      </c>
      <c r="K188" s="550">
        <v>46568</v>
      </c>
      <c r="L188" s="334" t="s">
        <v>43</v>
      </c>
      <c r="M188" s="334">
        <v>1</v>
      </c>
      <c r="N188" s="348" t="s">
        <v>1732</v>
      </c>
      <c r="O188" s="355" t="s">
        <v>1749</v>
      </c>
      <c r="P188" s="348" t="s">
        <v>1734</v>
      </c>
      <c r="Q188" s="343" t="s">
        <v>1772</v>
      </c>
      <c r="R188" s="343" t="s">
        <v>1056</v>
      </c>
      <c r="S188" s="344" t="s">
        <v>1256</v>
      </c>
      <c r="T188" s="345"/>
      <c r="U188" s="345">
        <f>MONTH(Table2[[#This Row],[Ngày
date]])</f>
        <v>2</v>
      </c>
      <c r="V188" s="512" t="str">
        <f t="shared" si="75"/>
        <v>30/06/2027</v>
      </c>
      <c r="W188" s="513" t="str">
        <f t="shared" si="76"/>
        <v>CHƯA NHẬP NGÀY</v>
      </c>
      <c r="X188" s="514" t="str">
        <f t="shared" si="73"/>
        <v>01/07/2024</v>
      </c>
      <c r="Y188" s="367" t="str">
        <f>HYPERLINK('Danh mục'!$D$1&amp;"20"&amp;MID(D188,8,2)&amp;"\"&amp;D188,D188)</f>
        <v>CC_150226-ĐN-HUY</v>
      </c>
      <c r="Z188" s="368">
        <f>YEAR(Table2[[#This Row],[Ngày
date]])</f>
        <v>2026</v>
      </c>
      <c r="AA188" s="368" t="str">
        <f t="shared" si="74"/>
        <v>ĐN</v>
      </c>
    </row>
    <row r="189" spans="1:27" s="368" customFormat="1" ht="97.35" customHeight="1" x14ac:dyDescent="0.2">
      <c r="A189" s="511">
        <f t="shared" si="72"/>
        <v>185</v>
      </c>
      <c r="B189" s="625" t="s">
        <v>2163</v>
      </c>
      <c r="C189" s="517">
        <v>46076</v>
      </c>
      <c r="D189" s="415" t="s">
        <v>1736</v>
      </c>
      <c r="E189" s="592" t="s">
        <v>2165</v>
      </c>
      <c r="F189" s="472" t="s">
        <v>727</v>
      </c>
      <c r="G189" s="413" t="s">
        <v>731</v>
      </c>
      <c r="H189" s="404" t="s">
        <v>1737</v>
      </c>
      <c r="I189" s="364" t="s">
        <v>1738</v>
      </c>
      <c r="J189" s="516">
        <v>45721</v>
      </c>
      <c r="K189" s="549">
        <v>46817</v>
      </c>
      <c r="L189" s="349" t="s">
        <v>20</v>
      </c>
      <c r="M189" s="349">
        <v>1</v>
      </c>
      <c r="N189" s="348" t="s">
        <v>1739</v>
      </c>
      <c r="O189" s="355" t="s">
        <v>1743</v>
      </c>
      <c r="P189" s="348" t="s">
        <v>2166</v>
      </c>
      <c r="Q189" s="343"/>
      <c r="R189" s="343"/>
      <c r="S189" s="344" t="s">
        <v>814</v>
      </c>
      <c r="T189" s="345"/>
      <c r="U189" s="345">
        <f>MONTH(Table2[[#This Row],[Ngày
date]])</f>
        <v>2</v>
      </c>
      <c r="V189" s="512" t="str">
        <f t="shared" si="75"/>
        <v>05/03/2028</v>
      </c>
      <c r="W189" s="513" t="str">
        <f t="shared" si="76"/>
        <v>CHƯA NHẬP NGÀY</v>
      </c>
      <c r="X189" s="514" t="str">
        <f t="shared" si="73"/>
        <v>05/03/2025</v>
      </c>
      <c r="Y189" s="367" t="str">
        <f>HYPERLINK('Danh mục'!$D$1&amp;"20"&amp;MID(D189,8,2)&amp;"\"&amp;D189,D189)</f>
        <v>CC_160226-HCM</v>
      </c>
      <c r="Z189" s="368">
        <f>YEAR(Table2[[#This Row],[Ngày
date]])</f>
        <v>2026</v>
      </c>
      <c r="AA189" s="368" t="str">
        <f t="shared" si="74"/>
        <v>HCM</v>
      </c>
    </row>
    <row r="190" spans="1:27" s="368" customFormat="1" ht="97.35" customHeight="1" x14ac:dyDescent="0.2">
      <c r="A190" s="511">
        <f>ROW(C190)-4</f>
        <v>186</v>
      </c>
      <c r="B190" s="625" t="s">
        <v>2151</v>
      </c>
      <c r="C190" s="517">
        <v>46077</v>
      </c>
      <c r="D190" s="415" t="s">
        <v>1744</v>
      </c>
      <c r="E190" s="592"/>
      <c r="F190" s="472" t="s">
        <v>1745</v>
      </c>
      <c r="G190" s="405" t="s">
        <v>1746</v>
      </c>
      <c r="H190" s="404" t="s">
        <v>1748</v>
      </c>
      <c r="I190" s="364" t="s">
        <v>13</v>
      </c>
      <c r="J190" s="364" t="s">
        <v>13</v>
      </c>
      <c r="K190" s="364" t="s">
        <v>13</v>
      </c>
      <c r="L190" s="364" t="s">
        <v>13</v>
      </c>
      <c r="M190" s="364" t="s">
        <v>13</v>
      </c>
      <c r="N190" s="348" t="s">
        <v>1747</v>
      </c>
      <c r="O190" s="355" t="s">
        <v>13</v>
      </c>
      <c r="P190" s="348" t="s">
        <v>1954</v>
      </c>
      <c r="Q190" s="343"/>
      <c r="R190" s="343"/>
      <c r="S190" s="344" t="s">
        <v>815</v>
      </c>
      <c r="T190" s="345"/>
      <c r="U190" s="345">
        <f>MONTH(Table2[[#This Row],[Ngày
date]])</f>
        <v>2</v>
      </c>
      <c r="V190" s="512" t="str">
        <f t="shared" si="75"/>
        <v>NA</v>
      </c>
      <c r="W190" s="513" t="str">
        <f t="shared" si="76"/>
        <v>CHƯA NHẬP NGÀY</v>
      </c>
      <c r="X190" s="514" t="str">
        <f t="shared" ref="X190:X195" si="77">IF(J190="","CHƯA NHẬP NGÀY",TEXT(J190,"dd/mm/yyyy"))</f>
        <v>NA</v>
      </c>
      <c r="Y190" s="367" t="str">
        <f>HYPERLINK('Danh mục'!$D$1&amp;"20"&amp;MID(D190,8,2)&amp;"\"&amp;D190,D190)</f>
        <v>CC_170226-HCM</v>
      </c>
      <c r="Z190" s="368">
        <f>YEAR(Table2[[#This Row],[Ngày
date]])</f>
        <v>2026</v>
      </c>
      <c r="AA190" s="368" t="str">
        <f t="shared" ref="AA190:AA195" si="78">IF(ISNUMBER(SEARCH("HCM",D190)),"HCM",
IF(ISNUMBER(SEARCH("HN",D190)),"HN",
IF(ISNUMBER(SEARCH("ĐN",D190)),"ĐN","")))</f>
        <v>HCM</v>
      </c>
    </row>
    <row r="191" spans="1:27" s="368" customFormat="1" ht="183.95" customHeight="1" x14ac:dyDescent="0.2">
      <c r="A191" s="511">
        <f>ROW(C191)-4</f>
        <v>187</v>
      </c>
      <c r="B191" s="625" t="s">
        <v>2151</v>
      </c>
      <c r="C191" s="517">
        <v>46079</v>
      </c>
      <c r="D191" s="415" t="s">
        <v>1750</v>
      </c>
      <c r="E191" s="592" t="s">
        <v>2132</v>
      </c>
      <c r="F191" s="472" t="s">
        <v>1754</v>
      </c>
      <c r="G191" s="413" t="s">
        <v>1759</v>
      </c>
      <c r="H191" s="404" t="s">
        <v>1753</v>
      </c>
      <c r="I191" s="364" t="s">
        <v>1770</v>
      </c>
      <c r="J191" s="553" t="s">
        <v>1771</v>
      </c>
      <c r="K191" s="554">
        <v>46568</v>
      </c>
      <c r="L191" s="555" t="s">
        <v>65</v>
      </c>
      <c r="M191" s="555" t="s">
        <v>1752</v>
      </c>
      <c r="N191" s="348" t="s">
        <v>1751</v>
      </c>
      <c r="O191" s="355" t="s">
        <v>482</v>
      </c>
      <c r="P191" s="348" t="s">
        <v>1955</v>
      </c>
      <c r="Q191" s="343" t="s">
        <v>1194</v>
      </c>
      <c r="R191" s="343" t="s">
        <v>1056</v>
      </c>
      <c r="S191" s="344" t="s">
        <v>1255</v>
      </c>
      <c r="T191" s="345"/>
      <c r="U191" s="345">
        <f>MONTH(Table2[[#This Row],[Ngày
date]])</f>
        <v>2</v>
      </c>
      <c r="V191" s="512" t="str">
        <f t="shared" si="75"/>
        <v>30/06/2027</v>
      </c>
      <c r="W191" s="513" t="str">
        <f t="shared" si="76"/>
        <v>CHƯA NHẬP NGÀY</v>
      </c>
      <c r="X191" s="514" t="str">
        <f t="shared" si="77"/>
        <v>12/07/2024</v>
      </c>
      <c r="Y191" s="367" t="str">
        <f>HYPERLINK('Danh mục'!$D$1&amp;"20"&amp;MID(D191,8,2)&amp;"\"&amp;D191,D191)</f>
        <v>CC_180226-ĐN</v>
      </c>
      <c r="Z191" s="368">
        <f>YEAR(Table2[[#This Row],[Ngày
date]])</f>
        <v>2026</v>
      </c>
      <c r="AA191" s="368" t="str">
        <f t="shared" si="78"/>
        <v>ĐN</v>
      </c>
    </row>
    <row r="192" spans="1:27" s="368" customFormat="1" ht="97.35" customHeight="1" x14ac:dyDescent="0.2">
      <c r="A192" s="511">
        <f>ROW(C192)-4</f>
        <v>188</v>
      </c>
      <c r="B192" s="625" t="s">
        <v>2151</v>
      </c>
      <c r="C192" s="517">
        <v>46079</v>
      </c>
      <c r="D192" s="415" t="s">
        <v>1760</v>
      </c>
      <c r="E192" s="592"/>
      <c r="F192" s="472" t="s">
        <v>1755</v>
      </c>
      <c r="G192" s="413" t="s">
        <v>1756</v>
      </c>
      <c r="H192" s="404" t="s">
        <v>59</v>
      </c>
      <c r="I192" s="364" t="s">
        <v>1757</v>
      </c>
      <c r="J192" s="553" t="s">
        <v>1758</v>
      </c>
      <c r="K192" s="554">
        <v>46904</v>
      </c>
      <c r="L192" s="555" t="s">
        <v>65</v>
      </c>
      <c r="M192" s="555" t="s">
        <v>1752</v>
      </c>
      <c r="N192" s="348" t="s">
        <v>828</v>
      </c>
      <c r="O192" s="355" t="s">
        <v>482</v>
      </c>
      <c r="P192" s="348" t="s">
        <v>1761</v>
      </c>
      <c r="Q192" s="343"/>
      <c r="R192" s="343"/>
      <c r="S192" s="344" t="s">
        <v>1256</v>
      </c>
      <c r="T192" s="345"/>
      <c r="U192" s="345">
        <f>MONTH(Table2[[#This Row],[Ngày
date]])</f>
        <v>2</v>
      </c>
      <c r="V192" s="512" t="str">
        <f t="shared" si="75"/>
        <v>31/05/2028</v>
      </c>
      <c r="W192" s="513" t="str">
        <f t="shared" si="76"/>
        <v>CHƯA NHẬP NGÀY</v>
      </c>
      <c r="X192" s="514" t="str">
        <f t="shared" si="77"/>
        <v>13/06/2025</v>
      </c>
      <c r="Y192" s="367" t="str">
        <f>HYPERLINK('Danh mục'!$D$1&amp;"20"&amp;MID(D192,8,2)&amp;"\"&amp;D192,D192)</f>
        <v>CC_190226-HCM-HUY</v>
      </c>
      <c r="Z192" s="368">
        <f>YEAR(Table2[[#This Row],[Ngày
date]])</f>
        <v>2026</v>
      </c>
      <c r="AA192" s="368" t="str">
        <f t="shared" si="78"/>
        <v>HCM</v>
      </c>
    </row>
    <row r="193" spans="1:27" s="370" customFormat="1" ht="97.35" customHeight="1" x14ac:dyDescent="0.2">
      <c r="A193" s="577">
        <f>ROW(C193)-4</f>
        <v>189</v>
      </c>
      <c r="B193" s="625" t="s">
        <v>2151</v>
      </c>
      <c r="C193" s="517">
        <v>46079</v>
      </c>
      <c r="D193" s="415" t="s">
        <v>1762</v>
      </c>
      <c r="E193" s="592"/>
      <c r="F193" s="472" t="s">
        <v>1764</v>
      </c>
      <c r="G193" s="417" t="s">
        <v>1765</v>
      </c>
      <c r="H193" s="402" t="s">
        <v>217</v>
      </c>
      <c r="I193" s="364" t="s">
        <v>1440</v>
      </c>
      <c r="J193" s="553" t="s">
        <v>1766</v>
      </c>
      <c r="K193" s="554">
        <v>46446</v>
      </c>
      <c r="L193" s="555" t="s">
        <v>523</v>
      </c>
      <c r="M193" s="555" t="s">
        <v>1752</v>
      </c>
      <c r="N193" s="348" t="s">
        <v>1763</v>
      </c>
      <c r="O193" s="348" t="s">
        <v>1953</v>
      </c>
      <c r="P193" s="348" t="s">
        <v>1956</v>
      </c>
      <c r="Q193" s="349"/>
      <c r="R193" s="349"/>
      <c r="S193" s="348" t="s">
        <v>1255</v>
      </c>
      <c r="T193" s="350"/>
      <c r="U193" s="350">
        <f>MONTH(Table2[[#This Row],[Ngày
date]])</f>
        <v>2</v>
      </c>
      <c r="V193" s="579" t="str">
        <f t="shared" si="75"/>
        <v>28/02/2027</v>
      </c>
      <c r="W193" s="580" t="str">
        <f t="shared" si="76"/>
        <v>CHƯA NHẬP NGÀY</v>
      </c>
      <c r="X193" s="581" t="str">
        <f t="shared" si="77"/>
        <v>03/09/2024</v>
      </c>
      <c r="Y193" s="587" t="str">
        <f>HYPERLINK('Danh mục'!$D$1&amp;"20"&amp;MID(D193,8,2)&amp;"\"&amp;D193,D193)</f>
        <v>CC_200226-HCM</v>
      </c>
      <c r="Z193" s="582">
        <f>YEAR(Table2[[#This Row],[Ngày
date]])</f>
        <v>2026</v>
      </c>
      <c r="AA193" s="582" t="str">
        <f t="shared" si="78"/>
        <v>HCM</v>
      </c>
    </row>
    <row r="194" spans="1:27" s="368" customFormat="1" ht="97.35" customHeight="1" x14ac:dyDescent="0.2">
      <c r="A194" s="511">
        <v>190</v>
      </c>
      <c r="B194" s="625" t="s">
        <v>2151</v>
      </c>
      <c r="C194" s="517">
        <v>46080</v>
      </c>
      <c r="D194" s="415" t="s">
        <v>1773</v>
      </c>
      <c r="E194" s="592" t="s">
        <v>2131</v>
      </c>
      <c r="F194" s="472" t="s">
        <v>1781</v>
      </c>
      <c r="G194" s="413" t="s">
        <v>1774</v>
      </c>
      <c r="H194" s="404" t="s">
        <v>49</v>
      </c>
      <c r="I194" s="364" t="s">
        <v>903</v>
      </c>
      <c r="J194" s="556" t="s">
        <v>1775</v>
      </c>
      <c r="K194" s="554">
        <v>46295</v>
      </c>
      <c r="L194" s="555" t="s">
        <v>507</v>
      </c>
      <c r="M194" s="555" t="s">
        <v>1752</v>
      </c>
      <c r="N194" s="348" t="s">
        <v>1778</v>
      </c>
      <c r="O194" s="355" t="s">
        <v>482</v>
      </c>
      <c r="P194" s="348" t="s">
        <v>1776</v>
      </c>
      <c r="Q194" s="343" t="s">
        <v>1777</v>
      </c>
      <c r="R194" s="343" t="s">
        <v>1056</v>
      </c>
      <c r="S194" s="344" t="s">
        <v>798</v>
      </c>
      <c r="T194" s="345"/>
      <c r="U194" s="345">
        <f>MONTH(Table2[[#This Row],[Ngày
date]])</f>
        <v>2</v>
      </c>
      <c r="V194" s="512" t="str">
        <f>IF(K194="","CHƯA NHẬP NGÀY",TEXT(K194,"dd/mm/yyyy"))</f>
        <v>30/09/2026</v>
      </c>
      <c r="W194" s="513" t="str">
        <f>IF(T194="","CHƯA NHẬP NGÀY",TEXT(T194,"dd/mm/yyyy"))</f>
        <v>CHƯA NHẬP NGÀY</v>
      </c>
      <c r="X194" s="514" t="str">
        <f t="shared" si="77"/>
        <v>09/10/2023</v>
      </c>
      <c r="Y194" s="367" t="str">
        <f>HYPERLINK('Danh mục'!$D$1&amp;"20"&amp;MID(D194,8,2)&amp;"\"&amp;D194,D194)</f>
        <v>CC_210226-ĐN</v>
      </c>
      <c r="Z194" s="368">
        <f>YEAR(Table2[[#This Row],[Ngày
date]])</f>
        <v>2026</v>
      </c>
      <c r="AA194" s="368" t="str">
        <f t="shared" si="78"/>
        <v>ĐN</v>
      </c>
    </row>
    <row r="195" spans="1:27" s="368" customFormat="1" ht="97.35" customHeight="1" x14ac:dyDescent="0.2">
      <c r="A195" s="511">
        <f t="shared" ref="A195:A200" si="79">ROW(C195)-4</f>
        <v>191</v>
      </c>
      <c r="B195" s="577" t="s">
        <v>2152</v>
      </c>
      <c r="C195" s="559">
        <v>46087</v>
      </c>
      <c r="D195" s="402" t="s">
        <v>1779</v>
      </c>
      <c r="E195" s="402"/>
      <c r="F195" s="488" t="s">
        <v>1782</v>
      </c>
      <c r="G195" s="405" t="s">
        <v>13</v>
      </c>
      <c r="H195" s="404" t="s">
        <v>1792</v>
      </c>
      <c r="I195" s="364" t="s">
        <v>1783</v>
      </c>
      <c r="J195" s="364" t="s">
        <v>13</v>
      </c>
      <c r="K195" s="557" t="s">
        <v>1784</v>
      </c>
      <c r="L195" s="364" t="s">
        <v>13</v>
      </c>
      <c r="M195" s="364" t="s">
        <v>13</v>
      </c>
      <c r="N195" s="348" t="s">
        <v>1780</v>
      </c>
      <c r="O195" s="355" t="s">
        <v>13</v>
      </c>
      <c r="P195" s="348" t="s">
        <v>1957</v>
      </c>
      <c r="Q195" s="343"/>
      <c r="R195" s="343"/>
      <c r="S195" s="344" t="s">
        <v>815</v>
      </c>
      <c r="T195" s="345"/>
      <c r="U195" s="345">
        <f>MONTH(Table2[[#This Row],[Ngày
date]])</f>
        <v>3</v>
      </c>
      <c r="V195" s="512" t="str">
        <f>IF(K195="","CHƯA NHẬP NGÀY",TEXT(K195,"dd/mm/yyyy"))</f>
        <v>04/11/2027</v>
      </c>
      <c r="W195" s="513" t="str">
        <f>IF(T195="","CHƯA NHẬP NGÀY",TEXT(T195,"dd/mm/yyyy"))</f>
        <v>CHƯA NHẬP NGÀY</v>
      </c>
      <c r="X195" s="514" t="str">
        <f t="shared" si="77"/>
        <v>NA</v>
      </c>
      <c r="Y195" s="367" t="str">
        <f>HYPERLINK('Danh mục'!$D$1&amp;"20"&amp;MID(D195,8,2)&amp;"\"&amp;D195,D195)</f>
        <v>CC_220326-HCM</v>
      </c>
      <c r="Z195" s="368">
        <f>YEAR(Table2[[#This Row],[Ngày
date]])</f>
        <v>2026</v>
      </c>
      <c r="AA195" s="368" t="str">
        <f t="shared" si="78"/>
        <v>HCM</v>
      </c>
    </row>
    <row r="196" spans="1:27" s="368" customFormat="1" ht="97.35" customHeight="1" x14ac:dyDescent="0.2">
      <c r="A196" s="511">
        <f t="shared" si="79"/>
        <v>192</v>
      </c>
      <c r="B196" s="577" t="s">
        <v>2158</v>
      </c>
      <c r="C196" s="559">
        <v>46091</v>
      </c>
      <c r="D196" s="402" t="s">
        <v>1790</v>
      </c>
      <c r="E196" s="592"/>
      <c r="F196" s="472" t="s">
        <v>1785</v>
      </c>
      <c r="G196" s="405" t="s">
        <v>1791</v>
      </c>
      <c r="H196" s="404" t="s">
        <v>1786</v>
      </c>
      <c r="I196" s="364" t="s">
        <v>1787</v>
      </c>
      <c r="J196" s="556" t="s">
        <v>1789</v>
      </c>
      <c r="K196" s="557">
        <v>46522</v>
      </c>
      <c r="L196" s="558" t="s">
        <v>15</v>
      </c>
      <c r="M196" s="558" t="s">
        <v>1752</v>
      </c>
      <c r="N196" s="348" t="s">
        <v>1788</v>
      </c>
      <c r="O196" s="355" t="s">
        <v>482</v>
      </c>
      <c r="P196" s="348" t="s">
        <v>1966</v>
      </c>
      <c r="Q196" s="343"/>
      <c r="R196" s="343"/>
      <c r="S196" s="344" t="s">
        <v>799</v>
      </c>
      <c r="T196" s="345"/>
      <c r="U196" s="345">
        <f>MONTH(Table2[[#This Row],[Ngày
date]])</f>
        <v>3</v>
      </c>
      <c r="V196" s="512" t="str">
        <f>IF(K196="","CHƯA NHẬP NGÀY",TEXT(K196,"dd/mm/yyyy"))</f>
        <v>15/05/2027</v>
      </c>
      <c r="W196" s="513" t="str">
        <f>IF(T196="","CHƯA NHẬP NGÀY",TEXT(T196,"dd/mm/yyyy"))</f>
        <v>CHƯA NHẬP NGÀY</v>
      </c>
      <c r="X196" s="514" t="str">
        <f>IF(J196="","CHƯA NHẬP NGÀY",TEXT(J196,"dd/mm/yyyy"))</f>
        <v>16/05/2025</v>
      </c>
      <c r="Y196" s="367" t="str">
        <f>HYPERLINK('Danh mục'!$D$1&amp;"20"&amp;MID(D196,8,2)&amp;"\"&amp;D196,D196)</f>
        <v>CC_230326-HN</v>
      </c>
      <c r="Z196" s="368">
        <f>YEAR(Table2[[#This Row],[Ngày
date]])</f>
        <v>2026</v>
      </c>
      <c r="AA196" s="368" t="str">
        <f>IF(ISNUMBER(SEARCH("HCM",D196)),"HCM",
IF(ISNUMBER(SEARCH("HN",D196)),"HN",
IF(ISNUMBER(SEARCH("ĐN",D196)),"ĐN","")))</f>
        <v>HN</v>
      </c>
    </row>
    <row r="197" spans="1:27" s="368" customFormat="1" ht="77.099999999999994" customHeight="1" x14ac:dyDescent="0.2">
      <c r="A197" s="560">
        <f t="shared" si="79"/>
        <v>193</v>
      </c>
      <c r="B197" s="625" t="s">
        <v>2162</v>
      </c>
      <c r="C197" s="517">
        <v>46097</v>
      </c>
      <c r="D197" s="415" t="s">
        <v>1859</v>
      </c>
      <c r="E197" s="592"/>
      <c r="F197" s="472" t="s">
        <v>1797</v>
      </c>
      <c r="G197" s="413" t="s">
        <v>1798</v>
      </c>
      <c r="H197" s="404" t="s">
        <v>1794</v>
      </c>
      <c r="I197" s="492" t="s">
        <v>1793</v>
      </c>
      <c r="J197" s="553" t="s">
        <v>1802</v>
      </c>
      <c r="K197" s="554">
        <v>47009</v>
      </c>
      <c r="L197" s="558" t="s">
        <v>1122</v>
      </c>
      <c r="M197" s="555" t="s">
        <v>1796</v>
      </c>
      <c r="N197" s="348" t="s">
        <v>1795</v>
      </c>
      <c r="O197" s="355" t="s">
        <v>736</v>
      </c>
      <c r="P197" s="348" t="s">
        <v>1858</v>
      </c>
      <c r="Q197" s="343"/>
      <c r="R197" s="343"/>
      <c r="S197" s="344" t="s">
        <v>1256</v>
      </c>
      <c r="T197" s="345"/>
      <c r="U197" s="345">
        <f>MONTH(Table2[[#This Row],[Ngày
date]])</f>
        <v>3</v>
      </c>
      <c r="V197" s="561" t="str">
        <f>IF(K197="","CHƯA NHẬP NGÀY",TEXT(K197,"dd/mm/yyyy"))</f>
        <v>13/09/2028</v>
      </c>
      <c r="W197" s="562" t="str">
        <f>IF(T197="","CHƯA NHẬP NGÀY",TEXT(T197,"dd/mm/yyyy"))</f>
        <v>CHƯA NHẬP NGÀY</v>
      </c>
      <c r="X197" s="563" t="str">
        <f>IF(J197="","CHƯA NHẬP NGÀY",TEXT(J197,"dd/mm/yyyy"))</f>
        <v>13/09/2025</v>
      </c>
      <c r="Y197" s="367" t="str">
        <f>HYPERLINK('Danh mục'!$D$1&amp;"20"&amp;MID(D197,8,2)&amp;"\"&amp;D197,D197)</f>
        <v>CC_240326-HCM
HUY</v>
      </c>
      <c r="Z197" s="368">
        <f>YEAR(Table2[[#This Row],[Ngày
date]])</f>
        <v>2026</v>
      </c>
      <c r="AA197" s="368" t="str">
        <f>IF(ISNUMBER(SEARCH("HCM",D197)),"HCM",
IF(ISNUMBER(SEARCH("HN",D197)),"HN",
IF(ISNUMBER(SEARCH("ĐN",D197)),"ĐN","")))</f>
        <v>HCM</v>
      </c>
    </row>
    <row r="198" spans="1:27" s="368" customFormat="1" ht="97.35" customHeight="1" x14ac:dyDescent="0.2">
      <c r="A198" s="560">
        <f t="shared" si="79"/>
        <v>194</v>
      </c>
      <c r="B198" s="625" t="s">
        <v>2151</v>
      </c>
      <c r="C198" s="517">
        <v>46098</v>
      </c>
      <c r="D198" s="415" t="s">
        <v>1799</v>
      </c>
      <c r="E198" s="592"/>
      <c r="F198" s="472" t="s">
        <v>954</v>
      </c>
      <c r="G198" s="421" t="s">
        <v>956</v>
      </c>
      <c r="H198" s="404" t="s">
        <v>1030</v>
      </c>
      <c r="I198" s="492" t="s">
        <v>1800</v>
      </c>
      <c r="J198" s="553" t="s">
        <v>1771</v>
      </c>
      <c r="K198" s="554">
        <v>46568</v>
      </c>
      <c r="L198" s="555" t="s">
        <v>507</v>
      </c>
      <c r="M198" s="555" t="s">
        <v>1752</v>
      </c>
      <c r="N198" s="348" t="s">
        <v>1801</v>
      </c>
      <c r="O198" s="355" t="s">
        <v>482</v>
      </c>
      <c r="P198" s="348" t="s">
        <v>1818</v>
      </c>
      <c r="Q198" s="343" t="s">
        <v>1382</v>
      </c>
      <c r="R198" s="343" t="s">
        <v>1195</v>
      </c>
      <c r="S198" s="344" t="s">
        <v>1255</v>
      </c>
      <c r="T198" s="345">
        <v>46129</v>
      </c>
      <c r="U198" s="345">
        <f>MONTH(Table2[[#This Row],[Ngày
date]])</f>
        <v>3</v>
      </c>
      <c r="V198" s="561" t="str">
        <f>IF(K198="","CHƯA NHẬP NGÀY",TEXT(K198,"dd/mm/yyyy"))</f>
        <v>30/06/2027</v>
      </c>
      <c r="W198" s="562" t="str">
        <f>IF(T198="","CHƯA NHẬP NGÀY",TEXT(T198,"dd/mm/yyyy"))</f>
        <v>17/04/2026</v>
      </c>
      <c r="X198" s="563" t="str">
        <f>IF(J198="","CHƯA NHẬP NGÀY",TEXT(J198,"dd/mm/yyyy"))</f>
        <v>12/07/2024</v>
      </c>
      <c r="Y198" s="367" t="str">
        <f>HYPERLINK('Danh mục'!$D$1&amp;"20"&amp;MID(D198,8,2)&amp;"\"&amp;D198,D198)</f>
        <v>CC_250326-HCM</v>
      </c>
      <c r="Z198" s="368">
        <f>YEAR(Table2[[#This Row],[Ngày
date]])</f>
        <v>2026</v>
      </c>
      <c r="AA198" s="368" t="str">
        <f>IF(ISNUMBER(SEARCH("HCM",D198)),"HCM",
IF(ISNUMBER(SEARCH("HN",D198)),"HN",
IF(ISNUMBER(SEARCH("ĐN",D198)),"ĐN","")))</f>
        <v>HCM</v>
      </c>
    </row>
    <row r="199" spans="1:27" s="368" customFormat="1" ht="97.35" customHeight="1" x14ac:dyDescent="0.2">
      <c r="A199" s="560">
        <f t="shared" si="79"/>
        <v>195</v>
      </c>
      <c r="B199" s="625" t="s">
        <v>2153</v>
      </c>
      <c r="C199" s="564">
        <v>46100</v>
      </c>
      <c r="D199" s="402" t="s">
        <v>1803</v>
      </c>
      <c r="E199" s="593" t="s">
        <v>2130</v>
      </c>
      <c r="F199" s="507" t="s">
        <v>1804</v>
      </c>
      <c r="G199" s="440" t="s">
        <v>1816</v>
      </c>
      <c r="H199" s="404" t="s">
        <v>876</v>
      </c>
      <c r="I199" s="364" t="s">
        <v>1805</v>
      </c>
      <c r="J199" s="556" t="s">
        <v>1807</v>
      </c>
      <c r="K199" s="557">
        <v>46994</v>
      </c>
      <c r="L199" s="558" t="s">
        <v>523</v>
      </c>
      <c r="M199" s="558" t="s">
        <v>1752</v>
      </c>
      <c r="N199" s="335" t="s">
        <v>1806</v>
      </c>
      <c r="O199" s="355" t="s">
        <v>482</v>
      </c>
      <c r="P199" s="335" t="s">
        <v>1958</v>
      </c>
      <c r="Q199" s="336" t="s">
        <v>1777</v>
      </c>
      <c r="R199" s="336" t="s">
        <v>1056</v>
      </c>
      <c r="S199" s="337" t="s">
        <v>1256</v>
      </c>
      <c r="T199" s="338"/>
      <c r="U199" s="338">
        <f>MONTH(Table2[[#This Row],[Ngày
date]])</f>
        <v>3</v>
      </c>
      <c r="V199" s="565" t="str">
        <f t="shared" ref="V199:V200" si="80">IF(K199="","CHƯA NHẬP NGÀY",TEXT(K199,"dd/mm/yyyy"))</f>
        <v>29/08/2028</v>
      </c>
      <c r="W199" s="566" t="str">
        <f t="shared" ref="W199:W200" si="81">IF(T199="","CHƯA NHẬP NGÀY",TEXT(T199,"dd/mm/yyyy"))</f>
        <v>CHƯA NHẬP NGÀY</v>
      </c>
      <c r="X199" s="567" t="str">
        <f t="shared" ref="X199:X200" si="82">IF(J199="","CHƯA NHẬP NGÀY",TEXT(J199,"dd/mm/yyyy"))</f>
        <v>30/08/2025</v>
      </c>
      <c r="Y199" s="367" t="str">
        <f>HYPERLINK('Danh mục'!$D$1&amp;"20"&amp;MID(D199,8,2)&amp;"\"&amp;D199,D199)</f>
        <v>CC_260326-ĐN</v>
      </c>
      <c r="Z199" s="368">
        <f>YEAR(Table2[[#This Row],[Ngày
date]])</f>
        <v>2026</v>
      </c>
      <c r="AA199" s="368" t="str">
        <f t="shared" ref="AA199:AA200" si="83">IF(ISNUMBER(SEARCH("HCM",D199)),"HCM",
IF(ISNUMBER(SEARCH("HN",D199)),"HN",
IF(ISNUMBER(SEARCH("ĐN",D199)),"ĐN","")))</f>
        <v>ĐN</v>
      </c>
    </row>
    <row r="200" spans="1:27" s="368" customFormat="1" ht="97.35" customHeight="1" x14ac:dyDescent="0.2">
      <c r="A200" s="560">
        <f t="shared" si="79"/>
        <v>196</v>
      </c>
      <c r="B200" s="625" t="s">
        <v>2159</v>
      </c>
      <c r="C200" s="564">
        <v>46104</v>
      </c>
      <c r="D200" s="402" t="s">
        <v>1819</v>
      </c>
      <c r="E200" s="593"/>
      <c r="F200" s="507" t="s">
        <v>1078</v>
      </c>
      <c r="G200" s="440" t="s">
        <v>36</v>
      </c>
      <c r="H200" s="443" t="s">
        <v>1808</v>
      </c>
      <c r="I200" s="508" t="s">
        <v>1809</v>
      </c>
      <c r="J200" s="556" t="s">
        <v>1811</v>
      </c>
      <c r="K200" s="557">
        <v>46996</v>
      </c>
      <c r="L200" s="558" t="s">
        <v>1207</v>
      </c>
      <c r="M200" s="558" t="s">
        <v>1817</v>
      </c>
      <c r="N200" s="335" t="s">
        <v>1810</v>
      </c>
      <c r="O200" s="355" t="s">
        <v>482</v>
      </c>
      <c r="P200" s="335" t="s">
        <v>1959</v>
      </c>
      <c r="Q200" s="336" t="s">
        <v>1777</v>
      </c>
      <c r="R200" s="336" t="s">
        <v>835</v>
      </c>
      <c r="S200" s="337" t="s">
        <v>1256</v>
      </c>
      <c r="T200" s="338"/>
      <c r="U200" s="338">
        <f>MONTH(Table2[[#This Row],[Ngày
date]])</f>
        <v>3</v>
      </c>
      <c r="V200" s="565" t="str">
        <f t="shared" si="80"/>
        <v>31/08/2028</v>
      </c>
      <c r="W200" s="566" t="str">
        <f t="shared" si="81"/>
        <v>CHƯA NHẬP NGÀY</v>
      </c>
      <c r="X200" s="567" t="str">
        <f t="shared" si="82"/>
        <v>01/09/2025</v>
      </c>
      <c r="Y200" s="367" t="str">
        <f>HYPERLINK('Danh mục'!$D$1&amp;"20"&amp;MID(D200,8,2)&amp;"\"&amp;D200,D200)</f>
        <v>CC_270326-HCM
HUY</v>
      </c>
      <c r="Z200" s="368">
        <f>YEAR(Table2[[#This Row],[Ngày
date]])</f>
        <v>2026</v>
      </c>
      <c r="AA200" s="368" t="str">
        <f t="shared" si="83"/>
        <v>HCM</v>
      </c>
    </row>
    <row r="201" spans="1:27" s="368" customFormat="1" ht="97.35" customHeight="1" x14ac:dyDescent="0.2">
      <c r="A201" s="560">
        <f>ROW(C201)-4</f>
        <v>197</v>
      </c>
      <c r="B201" s="577" t="s">
        <v>2161</v>
      </c>
      <c r="C201" s="559">
        <v>46104</v>
      </c>
      <c r="D201" s="402" t="s">
        <v>1812</v>
      </c>
      <c r="E201" s="402"/>
      <c r="F201" s="488" t="s">
        <v>1815</v>
      </c>
      <c r="G201" s="421" t="s">
        <v>1821</v>
      </c>
      <c r="H201" s="404" t="s">
        <v>1700</v>
      </c>
      <c r="I201" s="364" t="s">
        <v>1813</v>
      </c>
      <c r="J201" s="556" t="s">
        <v>1701</v>
      </c>
      <c r="K201" s="557">
        <v>46660</v>
      </c>
      <c r="L201" s="558" t="s">
        <v>13</v>
      </c>
      <c r="M201" s="558" t="s">
        <v>13</v>
      </c>
      <c r="N201" s="335" t="s">
        <v>1814</v>
      </c>
      <c r="O201" s="358" t="s">
        <v>736</v>
      </c>
      <c r="P201" s="335" t="s">
        <v>1847</v>
      </c>
      <c r="Q201" s="343" t="s">
        <v>1848</v>
      </c>
      <c r="R201" s="343" t="s">
        <v>759</v>
      </c>
      <c r="S201" s="344" t="s">
        <v>1256</v>
      </c>
      <c r="T201" s="345"/>
      <c r="U201" s="345">
        <f>MONTH(Table2[[#This Row],[Ngày
date]])</f>
        <v>3</v>
      </c>
      <c r="V201" s="561" t="str">
        <f t="shared" ref="V201:V206" si="84">IF(K201="","CHƯA NHẬP NGÀY",TEXT(K201,"dd/mm/yyyy"))</f>
        <v>30/09/2027</v>
      </c>
      <c r="W201" s="562" t="str">
        <f t="shared" ref="W201:W206" si="85">IF(T201="","CHƯA NHẬP NGÀY",TEXT(T201,"dd/mm/yyyy"))</f>
        <v>CHƯA NHẬP NGÀY</v>
      </c>
      <c r="X201" s="563" t="str">
        <f t="shared" ref="X201:X206" si="86">IF(J201="","CHƯA NHẬP NGÀY",TEXT(J201,"dd/mm/yyyy"))</f>
        <v>01/10/2025</v>
      </c>
      <c r="Y201" s="367" t="str">
        <f>HYPERLINK('Danh mục'!$D$1&amp;"20"&amp;MID(D201,8,2)&amp;"\"&amp;D201,D201)</f>
        <v>CC_280326-HCM</v>
      </c>
      <c r="Z201" s="368">
        <f>YEAR(Table2[[#This Row],[Ngày
date]])</f>
        <v>2026</v>
      </c>
      <c r="AA201" s="368" t="str">
        <f t="shared" ref="AA201:AA206" si="87">IF(ISNUMBER(SEARCH("HCM",D201)),"HCM",
IF(ISNUMBER(SEARCH("HN",D201)),"HN",
IF(ISNUMBER(SEARCH("ĐN",D201)),"ĐN","")))</f>
        <v>HCM</v>
      </c>
    </row>
    <row r="202" spans="1:27" ht="58.5" customHeight="1" x14ac:dyDescent="0.2">
      <c r="A202" s="560">
        <f>ROW(C202)-4</f>
        <v>198</v>
      </c>
      <c r="B202" s="625" t="s">
        <v>2155</v>
      </c>
      <c r="C202" s="517">
        <v>46108</v>
      </c>
      <c r="D202" s="415" t="s">
        <v>1822</v>
      </c>
      <c r="E202" s="592"/>
      <c r="F202" s="472" t="s">
        <v>1823</v>
      </c>
      <c r="G202" s="419" t="s">
        <v>770</v>
      </c>
      <c r="H202" s="419" t="s">
        <v>1824</v>
      </c>
      <c r="I202" s="414" t="s">
        <v>1825</v>
      </c>
      <c r="J202" s="553"/>
      <c r="K202" s="554">
        <v>47041</v>
      </c>
      <c r="L202" s="555" t="s">
        <v>65</v>
      </c>
      <c r="M202" s="555" t="s">
        <v>1752</v>
      </c>
      <c r="N202" s="348" t="s">
        <v>1846</v>
      </c>
      <c r="O202" s="355" t="s">
        <v>482</v>
      </c>
      <c r="P202" s="348" t="s">
        <v>1860</v>
      </c>
      <c r="Q202" s="343"/>
      <c r="R202" s="343"/>
      <c r="S202" s="344" t="s">
        <v>1255</v>
      </c>
      <c r="T202" s="345"/>
      <c r="U202" s="345">
        <f>MONTH(Table2[[#This Row],[Ngày
date]])</f>
        <v>3</v>
      </c>
      <c r="V202" s="561" t="str">
        <f t="shared" si="84"/>
        <v>15/10/2028</v>
      </c>
      <c r="W202" s="562" t="str">
        <f t="shared" si="85"/>
        <v>CHƯA NHẬP NGÀY</v>
      </c>
      <c r="X202" s="563" t="str">
        <f t="shared" si="86"/>
        <v>CHƯA NHẬP NGÀY</v>
      </c>
      <c r="Y202" s="367" t="str">
        <f>HYPERLINK('Danh mục'!$D$1&amp;"20"&amp;MID(D202,8,2)&amp;"\"&amp;D202,D202)</f>
        <v>CC_290326-HCM</v>
      </c>
      <c r="Z202" s="368">
        <f>YEAR(Table2[[#This Row],[Ngày
date]])</f>
        <v>2026</v>
      </c>
      <c r="AA202" s="368" t="str">
        <f t="shared" si="87"/>
        <v>HCM</v>
      </c>
    </row>
    <row r="203" spans="1:27" ht="96.95" customHeight="1" x14ac:dyDescent="0.2">
      <c r="A203" s="560">
        <f t="shared" ref="A203:A207" si="88">ROW(C203)-4</f>
        <v>199</v>
      </c>
      <c r="B203" s="625" t="s">
        <v>2152</v>
      </c>
      <c r="C203" s="517">
        <v>46112</v>
      </c>
      <c r="D203" s="415" t="s">
        <v>1830</v>
      </c>
      <c r="E203" s="592"/>
      <c r="F203" s="472" t="s">
        <v>1827</v>
      </c>
      <c r="G203" s="419" t="s">
        <v>1663</v>
      </c>
      <c r="H203" s="569" t="s">
        <v>581</v>
      </c>
      <c r="I203" s="371" t="s">
        <v>1828</v>
      </c>
      <c r="J203" s="568" t="s">
        <v>13</v>
      </c>
      <c r="K203" s="554">
        <v>46999</v>
      </c>
      <c r="L203" s="555" t="s">
        <v>15</v>
      </c>
      <c r="M203" s="555" t="s">
        <v>568</v>
      </c>
      <c r="N203" s="348" t="s">
        <v>1829</v>
      </c>
      <c r="O203" s="355" t="s">
        <v>1960</v>
      </c>
      <c r="P203" s="348" t="s">
        <v>1961</v>
      </c>
      <c r="Q203" s="343"/>
      <c r="R203" s="343" t="s">
        <v>835</v>
      </c>
      <c r="S203" s="344" t="s">
        <v>953</v>
      </c>
      <c r="T203" s="345"/>
      <c r="U203" s="345">
        <f>MONTH(Table2[[#This Row],[Ngày
date]])</f>
        <v>3</v>
      </c>
      <c r="V203" s="561" t="str">
        <f t="shared" si="84"/>
        <v>03/09/2028</v>
      </c>
      <c r="W203" s="562" t="str">
        <f t="shared" si="85"/>
        <v>CHƯA NHẬP NGÀY</v>
      </c>
      <c r="X203" s="563" t="str">
        <f t="shared" si="86"/>
        <v>NA</v>
      </c>
      <c r="Y203" s="367" t="str">
        <f>HYPERLINK('Danh mục'!$D$1&amp;"20"&amp;MID(D203,8,2)&amp;"\"&amp;D203,D203)</f>
        <v>CC_300326-HN</v>
      </c>
      <c r="Z203" s="368">
        <f>YEAR(Table2[[#This Row],[Ngày
date]])</f>
        <v>2026</v>
      </c>
      <c r="AA203" s="368" t="str">
        <f t="shared" si="87"/>
        <v>HN</v>
      </c>
    </row>
    <row r="204" spans="1:27" ht="68.099999999999994" customHeight="1" x14ac:dyDescent="0.2">
      <c r="A204" s="560">
        <f t="shared" si="88"/>
        <v>200</v>
      </c>
      <c r="B204" s="625" t="s">
        <v>2152</v>
      </c>
      <c r="C204" s="564">
        <v>46113</v>
      </c>
      <c r="D204" s="402" t="s">
        <v>1834</v>
      </c>
      <c r="E204" s="593"/>
      <c r="F204" s="507" t="s">
        <v>1831</v>
      </c>
      <c r="G204" s="440" t="s">
        <v>1835</v>
      </c>
      <c r="H204" s="569" t="s">
        <v>581</v>
      </c>
      <c r="I204" s="371" t="s">
        <v>1832</v>
      </c>
      <c r="J204" s="568" t="s">
        <v>13</v>
      </c>
      <c r="K204" s="557">
        <v>46984</v>
      </c>
      <c r="L204" s="555" t="s">
        <v>15</v>
      </c>
      <c r="M204" s="555" t="s">
        <v>568</v>
      </c>
      <c r="N204" s="335" t="s">
        <v>1833</v>
      </c>
      <c r="O204" s="355" t="s">
        <v>1960</v>
      </c>
      <c r="P204" s="348" t="s">
        <v>1961</v>
      </c>
      <c r="Q204" s="336"/>
      <c r="R204" s="343" t="s">
        <v>835</v>
      </c>
      <c r="S204" s="344" t="s">
        <v>953</v>
      </c>
      <c r="T204" s="338"/>
      <c r="U204" s="338">
        <f>MONTH(Table2[[#This Row],[Ngày
date]])</f>
        <v>4</v>
      </c>
      <c r="V204" s="565" t="str">
        <f t="shared" si="84"/>
        <v>19/08/2028</v>
      </c>
      <c r="W204" s="566" t="str">
        <f t="shared" si="85"/>
        <v>CHƯA NHẬP NGÀY</v>
      </c>
      <c r="X204" s="567" t="str">
        <f t="shared" si="86"/>
        <v>NA</v>
      </c>
      <c r="Y204" s="367" t="str">
        <f>HYPERLINK('Danh mục'!$D$1&amp;"20"&amp;MID(D204,8,2)&amp;"\"&amp;D204,D204)</f>
        <v>CC_310426-HN</v>
      </c>
      <c r="Z204" s="368">
        <f>YEAR(Table2[[#This Row],[Ngày
date]])</f>
        <v>2026</v>
      </c>
      <c r="AA204" s="368" t="str">
        <f t="shared" si="87"/>
        <v>HN</v>
      </c>
    </row>
    <row r="205" spans="1:27" ht="68.099999999999994" customHeight="1" x14ac:dyDescent="0.2">
      <c r="A205" s="560">
        <f t="shared" si="88"/>
        <v>201</v>
      </c>
      <c r="B205" s="625" t="s">
        <v>2150</v>
      </c>
      <c r="C205" s="564">
        <v>46113</v>
      </c>
      <c r="D205" s="402" t="s">
        <v>1840</v>
      </c>
      <c r="E205" s="592"/>
      <c r="F205" s="472" t="s">
        <v>1836</v>
      </c>
      <c r="G205" s="421" t="s">
        <v>1862</v>
      </c>
      <c r="H205" s="404" t="s">
        <v>1837</v>
      </c>
      <c r="I205" s="353" t="s">
        <v>1838</v>
      </c>
      <c r="J205" s="568" t="s">
        <v>13</v>
      </c>
      <c r="K205" s="557">
        <v>47118</v>
      </c>
      <c r="L205" s="555" t="s">
        <v>15</v>
      </c>
      <c r="M205" s="555" t="s">
        <v>568</v>
      </c>
      <c r="N205" s="348" t="s">
        <v>1839</v>
      </c>
      <c r="O205" s="355" t="s">
        <v>482</v>
      </c>
      <c r="P205" s="348" t="s">
        <v>1962</v>
      </c>
      <c r="Q205" s="343"/>
      <c r="R205" s="343" t="s">
        <v>835</v>
      </c>
      <c r="S205" s="344" t="s">
        <v>798</v>
      </c>
      <c r="T205" s="345"/>
      <c r="U205" s="345">
        <f>MONTH(Table2[[#This Row],[Ngày
date]])</f>
        <v>4</v>
      </c>
      <c r="V205" s="561" t="str">
        <f t="shared" si="84"/>
        <v>31/12/2028</v>
      </c>
      <c r="W205" s="562" t="str">
        <f t="shared" si="85"/>
        <v>CHƯA NHẬP NGÀY</v>
      </c>
      <c r="X205" s="563" t="str">
        <f t="shared" si="86"/>
        <v>NA</v>
      </c>
      <c r="Y205" s="367" t="str">
        <f>HYPERLINK('Danh mục'!$D$1&amp;"20"&amp;MID(D205,8,2)&amp;"\"&amp;D205,D205)</f>
        <v>CC_320426-HN</v>
      </c>
      <c r="Z205" s="368">
        <f>YEAR(Table2[[#This Row],[Ngày
date]])</f>
        <v>2026</v>
      </c>
      <c r="AA205" s="368" t="str">
        <f t="shared" si="87"/>
        <v>HN</v>
      </c>
    </row>
    <row r="206" spans="1:27" ht="88.35" customHeight="1" x14ac:dyDescent="0.2">
      <c r="A206" s="560">
        <f t="shared" si="88"/>
        <v>202</v>
      </c>
      <c r="B206" s="625" t="s">
        <v>2156</v>
      </c>
      <c r="C206" s="564">
        <v>46113</v>
      </c>
      <c r="D206" s="402" t="s">
        <v>1841</v>
      </c>
      <c r="E206" s="593"/>
      <c r="F206" s="507" t="s">
        <v>1842</v>
      </c>
      <c r="G206" s="440" t="s">
        <v>1861</v>
      </c>
      <c r="H206" s="569" t="s">
        <v>1843</v>
      </c>
      <c r="I206" s="353" t="s">
        <v>1844</v>
      </c>
      <c r="J206" s="568" t="s">
        <v>13</v>
      </c>
      <c r="K206" s="557">
        <v>46510</v>
      </c>
      <c r="L206" s="555" t="s">
        <v>15</v>
      </c>
      <c r="M206" s="555" t="s">
        <v>568</v>
      </c>
      <c r="N206" s="335" t="s">
        <v>1845</v>
      </c>
      <c r="O206" s="355" t="s">
        <v>482</v>
      </c>
      <c r="P206" s="348" t="s">
        <v>1944</v>
      </c>
      <c r="Q206" s="336"/>
      <c r="R206" s="343" t="s">
        <v>835</v>
      </c>
      <c r="S206" s="337" t="s">
        <v>798</v>
      </c>
      <c r="T206" s="338"/>
      <c r="U206" s="338">
        <f>MONTH(Table2[[#This Row],[Ngày
date]])</f>
        <v>4</v>
      </c>
      <c r="V206" s="565" t="str">
        <f t="shared" si="84"/>
        <v>03/05/2027</v>
      </c>
      <c r="W206" s="566" t="str">
        <f t="shared" si="85"/>
        <v>CHƯA NHẬP NGÀY</v>
      </c>
      <c r="X206" s="567" t="str">
        <f t="shared" si="86"/>
        <v>NA</v>
      </c>
      <c r="Y206" s="367" t="str">
        <f>HYPERLINK('Danh mục'!$D$1&amp;"20"&amp;MID(D206,8,2)&amp;"\"&amp;D206,D206)</f>
        <v>CC_330426-HN</v>
      </c>
      <c r="Z206" s="368">
        <f>YEAR(Table2[[#This Row],[Ngày
date]])</f>
        <v>2026</v>
      </c>
      <c r="AA206" s="368" t="str">
        <f t="shared" si="87"/>
        <v>HN</v>
      </c>
    </row>
    <row r="207" spans="1:27" ht="59.85" customHeight="1" x14ac:dyDescent="0.2">
      <c r="A207" s="560">
        <f t="shared" si="88"/>
        <v>203</v>
      </c>
      <c r="B207" s="625" t="s">
        <v>2159</v>
      </c>
      <c r="C207" s="517">
        <v>46115</v>
      </c>
      <c r="D207" s="402" t="s">
        <v>1853</v>
      </c>
      <c r="E207" s="592"/>
      <c r="F207" s="472" t="s">
        <v>1849</v>
      </c>
      <c r="G207" s="419" t="s">
        <v>1852</v>
      </c>
      <c r="H207" s="569" t="s">
        <v>1808</v>
      </c>
      <c r="I207" s="353" t="s">
        <v>1851</v>
      </c>
      <c r="J207" s="556" t="s">
        <v>13</v>
      </c>
      <c r="K207" s="557">
        <v>46996</v>
      </c>
      <c r="L207" s="558" t="s">
        <v>50</v>
      </c>
      <c r="M207" s="558" t="s">
        <v>568</v>
      </c>
      <c r="N207" s="348" t="s">
        <v>1850</v>
      </c>
      <c r="O207" s="355" t="s">
        <v>482</v>
      </c>
      <c r="P207" s="348" t="s">
        <v>1967</v>
      </c>
      <c r="Q207" s="343"/>
      <c r="R207" s="343" t="s">
        <v>835</v>
      </c>
      <c r="S207" s="344" t="s">
        <v>799</v>
      </c>
      <c r="T207" s="345"/>
      <c r="U207" s="345">
        <f>MONTH(Table2[[#This Row],[Ngày
date]])</f>
        <v>4</v>
      </c>
      <c r="V207" s="561" t="str">
        <f t="shared" ref="V207:V212" si="89">IF(K207="","CHƯA NHẬP NGÀY",TEXT(K207,"dd/mm/yyyy"))</f>
        <v>31/08/2028</v>
      </c>
      <c r="W207" s="562" t="str">
        <f t="shared" ref="W207:W212" si="90">IF(T207="","CHƯA NHẬP NGÀY",TEXT(T207,"dd/mm/yyyy"))</f>
        <v>CHƯA NHẬP NGÀY</v>
      </c>
      <c r="X207" s="563" t="str">
        <f t="shared" ref="X207:X212" si="91">IF(J207="","CHƯA NHẬP NGÀY",TEXT(J207,"dd/mm/yyyy"))</f>
        <v>NA</v>
      </c>
      <c r="Y207" s="367" t="str">
        <f>HYPERLINK('Danh mục'!$D$1&amp;"20"&amp;MID(D207,8,2)&amp;"\"&amp;D207,D207)</f>
        <v>CC_340426-HN</v>
      </c>
      <c r="Z207" s="368">
        <f>YEAR(Table2[[#This Row],[Ngày
date]])</f>
        <v>2026</v>
      </c>
      <c r="AA207" s="368" t="str">
        <f t="shared" ref="AA207:AA212" si="92">IF(ISNUMBER(SEARCH("HCM",D207)),"HCM",
IF(ISNUMBER(SEARCH("HN",D207)),"HN",
IF(ISNUMBER(SEARCH("ĐN",D207)),"ĐN","")))</f>
        <v>HN</v>
      </c>
    </row>
    <row r="208" spans="1:27" ht="51" customHeight="1" x14ac:dyDescent="0.2">
      <c r="A208" s="560">
        <f t="shared" ref="A208:A215" si="93">ROW(C208)-4</f>
        <v>204</v>
      </c>
      <c r="B208" s="625" t="s">
        <v>2151</v>
      </c>
      <c r="C208" s="517">
        <v>46115</v>
      </c>
      <c r="D208" s="415" t="s">
        <v>1854</v>
      </c>
      <c r="E208" s="592"/>
      <c r="F208" s="472" t="s">
        <v>954</v>
      </c>
      <c r="G208" s="421" t="s">
        <v>956</v>
      </c>
      <c r="H208" s="569" t="s">
        <v>1030</v>
      </c>
      <c r="I208" s="353" t="s">
        <v>1770</v>
      </c>
      <c r="J208" s="556" t="s">
        <v>1771</v>
      </c>
      <c r="K208" s="557">
        <v>46568</v>
      </c>
      <c r="L208" s="558" t="s">
        <v>1147</v>
      </c>
      <c r="M208" s="558" t="s">
        <v>1856</v>
      </c>
      <c r="N208" s="348" t="s">
        <v>1857</v>
      </c>
      <c r="O208" s="355" t="s">
        <v>482</v>
      </c>
      <c r="P208" s="348" t="s">
        <v>1899</v>
      </c>
      <c r="Q208" s="343" t="s">
        <v>312</v>
      </c>
      <c r="R208" s="343" t="s">
        <v>835</v>
      </c>
      <c r="S208" s="344" t="s">
        <v>1255</v>
      </c>
      <c r="T208" s="345"/>
      <c r="U208" s="345">
        <f>MONTH(Table2[[#This Row],[Ngày
date]])</f>
        <v>4</v>
      </c>
      <c r="V208" s="561" t="str">
        <f t="shared" si="89"/>
        <v>30/06/2027</v>
      </c>
      <c r="W208" s="562" t="str">
        <f t="shared" si="90"/>
        <v>CHƯA NHẬP NGÀY</v>
      </c>
      <c r="X208" s="563" t="str">
        <f t="shared" si="91"/>
        <v>12/07/2024</v>
      </c>
      <c r="Y208" s="367" t="str">
        <f>HYPERLINK('Danh mục'!$D$1&amp;"20"&amp;MID(D208,8,2)&amp;"\"&amp;D208,D208)</f>
        <v>CC_350426-HCM</v>
      </c>
      <c r="Z208" s="368">
        <f>YEAR(Table2[[#This Row],[Ngày
date]])</f>
        <v>2026</v>
      </c>
      <c r="AA208" s="368" t="str">
        <f t="shared" si="92"/>
        <v>HCM</v>
      </c>
    </row>
    <row r="209" spans="1:27" ht="76.5" x14ac:dyDescent="0.2">
      <c r="A209" s="570">
        <f t="shared" si="93"/>
        <v>205</v>
      </c>
      <c r="B209" s="625" t="s">
        <v>2153</v>
      </c>
      <c r="C209" s="517">
        <v>46119</v>
      </c>
      <c r="D209" s="415" t="s">
        <v>1863</v>
      </c>
      <c r="E209" s="592"/>
      <c r="F209" s="472" t="s">
        <v>1864</v>
      </c>
      <c r="G209" s="419" t="s">
        <v>1865</v>
      </c>
      <c r="H209" s="404" t="s">
        <v>876</v>
      </c>
      <c r="I209" s="353" t="s">
        <v>1866</v>
      </c>
      <c r="J209" s="553" t="s">
        <v>1871</v>
      </c>
      <c r="K209" s="554">
        <v>46993</v>
      </c>
      <c r="L209" s="555" t="s">
        <v>523</v>
      </c>
      <c r="M209" s="555" t="s">
        <v>1869</v>
      </c>
      <c r="N209" s="348" t="s">
        <v>1870</v>
      </c>
      <c r="O209" s="355" t="s">
        <v>482</v>
      </c>
      <c r="P209" s="348" t="s">
        <v>1941</v>
      </c>
      <c r="Q209" s="343"/>
      <c r="R209" s="343"/>
      <c r="S209" s="344" t="s">
        <v>1255</v>
      </c>
      <c r="T209" s="345"/>
      <c r="U209" s="345">
        <f>MONTH(Table2[[#This Row],[Ngày
date]])</f>
        <v>4</v>
      </c>
      <c r="V209" s="571" t="str">
        <f t="shared" si="89"/>
        <v>28/08/2028</v>
      </c>
      <c r="W209" s="572" t="str">
        <f t="shared" si="90"/>
        <v>CHƯA NHẬP NGÀY</v>
      </c>
      <c r="X209" s="573" t="str">
        <f t="shared" si="91"/>
        <v>29/08/2025</v>
      </c>
      <c r="Y209" s="367" t="str">
        <f>HYPERLINK('Danh mục'!$D$1&amp;"20"&amp;MID(D209,8,2)&amp;"\"&amp;D209,D209)</f>
        <v>CC_360426-HCM</v>
      </c>
      <c r="Z209" s="368">
        <f>YEAR(Table2[[#This Row],[Ngày
date]])</f>
        <v>2026</v>
      </c>
      <c r="AA209" s="368" t="str">
        <f t="shared" si="92"/>
        <v>HCM</v>
      </c>
    </row>
    <row r="210" spans="1:27" ht="76.5" x14ac:dyDescent="0.2">
      <c r="A210" s="570">
        <f t="shared" si="93"/>
        <v>206</v>
      </c>
      <c r="B210" s="625" t="s">
        <v>2153</v>
      </c>
      <c r="C210" s="517">
        <v>46119</v>
      </c>
      <c r="D210" s="415" t="s">
        <v>1867</v>
      </c>
      <c r="E210" s="592"/>
      <c r="F210" s="472" t="s">
        <v>1864</v>
      </c>
      <c r="G210" s="419" t="s">
        <v>1865</v>
      </c>
      <c r="H210" s="404" t="s">
        <v>876</v>
      </c>
      <c r="I210" s="353" t="s">
        <v>1868</v>
      </c>
      <c r="J210" s="553" t="s">
        <v>1855</v>
      </c>
      <c r="K210" s="554">
        <v>46996</v>
      </c>
      <c r="L210" s="555" t="s">
        <v>523</v>
      </c>
      <c r="M210" s="555" t="s">
        <v>568</v>
      </c>
      <c r="N210" s="348" t="s">
        <v>1870</v>
      </c>
      <c r="O210" s="355" t="s">
        <v>482</v>
      </c>
      <c r="P210" s="348" t="s">
        <v>1941</v>
      </c>
      <c r="Q210" s="343"/>
      <c r="R210" s="343"/>
      <c r="S210" s="344" t="s">
        <v>1255</v>
      </c>
      <c r="T210" s="345"/>
      <c r="U210" s="345">
        <f>MONTH(Table2[[#This Row],[Ngày
date]])</f>
        <v>4</v>
      </c>
      <c r="V210" s="571" t="str">
        <f t="shared" si="89"/>
        <v>31/08/2028</v>
      </c>
      <c r="W210" s="572" t="str">
        <f t="shared" si="90"/>
        <v>CHƯA NHẬP NGÀY</v>
      </c>
      <c r="X210" s="573" t="str">
        <f t="shared" si="91"/>
        <v>01/09/2025</v>
      </c>
      <c r="Y210" s="367" t="str">
        <f>HYPERLINK('Danh mục'!$D$1&amp;"20"&amp;MID(D210,8,2)&amp;"\"&amp;D210,D210)</f>
        <v>CC_370426-HCM</v>
      </c>
      <c r="Z210" s="368">
        <f>YEAR(Table2[[#This Row],[Ngày
date]])</f>
        <v>2026</v>
      </c>
      <c r="AA210" s="368" t="str">
        <f t="shared" si="92"/>
        <v>HCM</v>
      </c>
    </row>
    <row r="211" spans="1:27" ht="63.75" x14ac:dyDescent="0.2">
      <c r="A211" s="570">
        <f t="shared" si="93"/>
        <v>207</v>
      </c>
      <c r="B211" s="625" t="s">
        <v>2151</v>
      </c>
      <c r="C211" s="517">
        <v>46120</v>
      </c>
      <c r="D211" s="415" t="s">
        <v>1872</v>
      </c>
      <c r="E211" s="592" t="s">
        <v>1991</v>
      </c>
      <c r="F211" s="472" t="s">
        <v>1873</v>
      </c>
      <c r="G211" s="419" t="s">
        <v>1874</v>
      </c>
      <c r="H211" s="404" t="s">
        <v>1092</v>
      </c>
      <c r="I211" s="353" t="s">
        <v>1770</v>
      </c>
      <c r="J211" s="556" t="s">
        <v>1771</v>
      </c>
      <c r="K211" s="557">
        <v>46568</v>
      </c>
      <c r="L211" s="555" t="s">
        <v>507</v>
      </c>
      <c r="M211" s="555" t="s">
        <v>568</v>
      </c>
      <c r="N211" s="348" t="s">
        <v>1875</v>
      </c>
      <c r="O211" s="355" t="s">
        <v>482</v>
      </c>
      <c r="P211" s="348" t="s">
        <v>1898</v>
      </c>
      <c r="Q211" s="343"/>
      <c r="R211" s="343"/>
      <c r="S211" s="344" t="s">
        <v>1255</v>
      </c>
      <c r="T211" s="345">
        <v>46162</v>
      </c>
      <c r="U211" s="345">
        <f>MONTH(Table2[[#This Row],[Ngày
date]])</f>
        <v>4</v>
      </c>
      <c r="V211" s="571" t="str">
        <f t="shared" si="89"/>
        <v>30/06/2027</v>
      </c>
      <c r="W211" s="572" t="str">
        <f t="shared" si="90"/>
        <v>20/05/2026</v>
      </c>
      <c r="X211" s="573" t="str">
        <f t="shared" si="91"/>
        <v>12/07/2024</v>
      </c>
      <c r="Y211" s="367" t="str">
        <f>HYPERLINK('Danh mục'!$D$1&amp;"20"&amp;MID(D211,8,2)&amp;"\"&amp;D211,D211)</f>
        <v>CC_380426-HCM</v>
      </c>
      <c r="Z211" s="368">
        <f>YEAR(Table2[[#This Row],[Ngày
date]])</f>
        <v>2026</v>
      </c>
      <c r="AA211" s="368" t="str">
        <f t="shared" si="92"/>
        <v>HCM</v>
      </c>
    </row>
    <row r="212" spans="1:27" ht="51" x14ac:dyDescent="0.2">
      <c r="A212" s="570">
        <f t="shared" si="93"/>
        <v>208</v>
      </c>
      <c r="B212" s="625" t="s">
        <v>2151</v>
      </c>
      <c r="C212" s="517">
        <v>46120</v>
      </c>
      <c r="D212" s="415" t="s">
        <v>1876</v>
      </c>
      <c r="E212" s="592"/>
      <c r="F212" s="472" t="s">
        <v>1877</v>
      </c>
      <c r="G212" s="419" t="s">
        <v>1878</v>
      </c>
      <c r="H212" s="404" t="s">
        <v>1897</v>
      </c>
      <c r="I212" s="353" t="s">
        <v>13</v>
      </c>
      <c r="J212" s="378" t="s">
        <v>13</v>
      </c>
      <c r="K212" s="378" t="s">
        <v>13</v>
      </c>
      <c r="L212" s="378" t="s">
        <v>13</v>
      </c>
      <c r="M212" s="378" t="s">
        <v>13</v>
      </c>
      <c r="N212" s="348" t="s">
        <v>1879</v>
      </c>
      <c r="O212" s="355" t="s">
        <v>13</v>
      </c>
      <c r="P212" s="348" t="s">
        <v>1896</v>
      </c>
      <c r="Q212" s="343"/>
      <c r="R212" s="343"/>
      <c r="S212" s="344" t="s">
        <v>815</v>
      </c>
      <c r="T212" s="345"/>
      <c r="U212" s="345">
        <f>MONTH(Table2[[#This Row],[Ngày
date]])</f>
        <v>4</v>
      </c>
      <c r="V212" s="571" t="str">
        <f t="shared" si="89"/>
        <v>NA</v>
      </c>
      <c r="W212" s="572" t="str">
        <f t="shared" si="90"/>
        <v>CHƯA NHẬP NGÀY</v>
      </c>
      <c r="X212" s="573" t="str">
        <f t="shared" si="91"/>
        <v>NA</v>
      </c>
      <c r="Y212" s="367" t="str">
        <f>HYPERLINK('Danh mục'!$D$1&amp;"20"&amp;MID(D212,8,2)&amp;"\"&amp;D212,D212)</f>
        <v>CC_390426-HCM</v>
      </c>
      <c r="Z212" s="368">
        <f>YEAR(Table2[[#This Row],[Ngày
date]])</f>
        <v>2026</v>
      </c>
      <c r="AA212" s="368" t="str">
        <f t="shared" si="92"/>
        <v>HCM</v>
      </c>
    </row>
    <row r="213" spans="1:27" ht="63.75" x14ac:dyDescent="0.2">
      <c r="A213" s="570">
        <f t="shared" si="93"/>
        <v>209</v>
      </c>
      <c r="B213" s="625" t="s">
        <v>2160</v>
      </c>
      <c r="C213" s="517">
        <v>46125</v>
      </c>
      <c r="D213" s="415" t="s">
        <v>1880</v>
      </c>
      <c r="E213" s="592"/>
      <c r="F213" s="472" t="s">
        <v>1882</v>
      </c>
      <c r="G213" s="421" t="s">
        <v>1881</v>
      </c>
      <c r="H213" s="404" t="s">
        <v>1904</v>
      </c>
      <c r="I213" s="353" t="s">
        <v>1893</v>
      </c>
      <c r="J213" s="460" t="s">
        <v>1894</v>
      </c>
      <c r="K213" s="575">
        <v>46725</v>
      </c>
      <c r="L213" s="576" t="s">
        <v>50</v>
      </c>
      <c r="M213" s="576" t="s">
        <v>1752</v>
      </c>
      <c r="N213" s="348" t="s">
        <v>1886</v>
      </c>
      <c r="O213" s="355" t="s">
        <v>482</v>
      </c>
      <c r="P213" s="348" t="s">
        <v>1905</v>
      </c>
      <c r="Q213" s="343"/>
      <c r="R213" s="343"/>
      <c r="S213" s="344" t="s">
        <v>1254</v>
      </c>
      <c r="T213" s="345"/>
      <c r="U213" s="345">
        <f>MONTH(Table2[[#This Row],[Ngày
date]])</f>
        <v>4</v>
      </c>
      <c r="V213" s="571" t="str">
        <f t="shared" ref="V213:V218" si="94">IF(K213="","CHƯA NHẬP NGÀY",TEXT(K213,"dd/mm/yyyy"))</f>
        <v>04/12/2027</v>
      </c>
      <c r="W213" s="572" t="str">
        <f t="shared" ref="W213:W218" si="95">IF(T213="","CHƯA NHẬP NGÀY",TEXT(T213,"dd/mm/yyyy"))</f>
        <v>CHƯA NHẬP NGÀY</v>
      </c>
      <c r="X213" s="573" t="str">
        <f t="shared" ref="X213:X218" si="96">IF(J213="","CHƯA NHẬP NGÀY",TEXT(J213,"dd/mm/yyyy"))</f>
        <v>04/12/2024</v>
      </c>
      <c r="Y213" s="367" t="str">
        <f>HYPERLINK('Danh mục'!$D$1&amp;"20"&amp;MID(D213,8,2)&amp;"\"&amp;D213,D213)</f>
        <v>CC_400426-HCM</v>
      </c>
      <c r="Z213" s="368">
        <f>YEAR(Table2[[#This Row],[Ngày
date]])</f>
        <v>2026</v>
      </c>
      <c r="AA213" s="368" t="str">
        <f t="shared" ref="AA213:AA218" si="97">IF(ISNUMBER(SEARCH("HCM",D213)),"HCM",
IF(ISNUMBER(SEARCH("HN",D213)),"HN",
IF(ISNUMBER(SEARCH("ĐN",D213)),"ĐN","")))</f>
        <v>HCM</v>
      </c>
    </row>
    <row r="214" spans="1:27" ht="45.6" customHeight="1" x14ac:dyDescent="0.2">
      <c r="A214" s="577">
        <f t="shared" si="93"/>
        <v>210</v>
      </c>
      <c r="B214" s="625" t="s">
        <v>2151</v>
      </c>
      <c r="C214" s="517">
        <v>46125</v>
      </c>
      <c r="D214" s="415" t="s">
        <v>1883</v>
      </c>
      <c r="E214" s="592"/>
      <c r="F214" s="472" t="s">
        <v>657</v>
      </c>
      <c r="G214" s="413" t="s">
        <v>1895</v>
      </c>
      <c r="H214" s="404" t="s">
        <v>59</v>
      </c>
      <c r="I214" s="353" t="s">
        <v>1884</v>
      </c>
      <c r="J214" s="574" t="s">
        <v>1701</v>
      </c>
      <c r="K214" s="575">
        <v>47026</v>
      </c>
      <c r="L214" s="576" t="s">
        <v>507</v>
      </c>
      <c r="M214" s="576" t="s">
        <v>1752</v>
      </c>
      <c r="N214" s="348" t="s">
        <v>1885</v>
      </c>
      <c r="O214" s="355" t="s">
        <v>482</v>
      </c>
      <c r="P214" s="348" t="s">
        <v>1903</v>
      </c>
      <c r="Q214" s="343"/>
      <c r="R214" s="343"/>
      <c r="S214" s="344" t="s">
        <v>1255</v>
      </c>
      <c r="T214" s="345">
        <v>46129</v>
      </c>
      <c r="U214" s="345">
        <f>MONTH(Table2[[#This Row],[Ngày
date]])</f>
        <v>4</v>
      </c>
      <c r="V214" s="375" t="str">
        <f t="shared" si="94"/>
        <v>30/09/2028</v>
      </c>
      <c r="W214" s="376" t="str">
        <f t="shared" si="95"/>
        <v>17/04/2026</v>
      </c>
      <c r="X214" s="510" t="str">
        <f t="shared" si="96"/>
        <v>01/10/2025</v>
      </c>
      <c r="Y214" s="367" t="str">
        <f>HYPERLINK('Danh mục'!$D$1&amp;"20"&amp;MID(D214,8,2)&amp;"\"&amp;D214,D214)</f>
        <v>CC_410426-HCM</v>
      </c>
      <c r="Z214" s="368">
        <f>YEAR(Table2[[#This Row],[Ngày
date]])</f>
        <v>2026</v>
      </c>
      <c r="AA214" s="368" t="str">
        <f t="shared" si="97"/>
        <v>HCM</v>
      </c>
    </row>
    <row r="215" spans="1:27" ht="38.25" x14ac:dyDescent="0.2">
      <c r="A215" s="577">
        <f t="shared" si="93"/>
        <v>211</v>
      </c>
      <c r="B215" s="625" t="s">
        <v>2150</v>
      </c>
      <c r="C215" s="517">
        <v>46125</v>
      </c>
      <c r="D215" s="415" t="s">
        <v>1891</v>
      </c>
      <c r="E215" s="592"/>
      <c r="F215" s="472" t="s">
        <v>1887</v>
      </c>
      <c r="G215" s="413" t="s">
        <v>1892</v>
      </c>
      <c r="H215" s="404" t="s">
        <v>1888</v>
      </c>
      <c r="I215" s="353" t="s">
        <v>1889</v>
      </c>
      <c r="J215" s="578" t="s">
        <v>1620</v>
      </c>
      <c r="K215" s="575">
        <v>46418</v>
      </c>
      <c r="L215" s="576" t="s">
        <v>15</v>
      </c>
      <c r="M215" s="576" t="s">
        <v>568</v>
      </c>
      <c r="N215" s="348" t="s">
        <v>1890</v>
      </c>
      <c r="O215" s="355" t="s">
        <v>482</v>
      </c>
      <c r="P215" s="348" t="s">
        <v>1920</v>
      </c>
      <c r="Q215" s="343"/>
      <c r="R215" s="343" t="s">
        <v>835</v>
      </c>
      <c r="S215" s="344" t="s">
        <v>798</v>
      </c>
      <c r="T215" s="345"/>
      <c r="U215" s="345">
        <f>MONTH(Table2[[#This Row],[Ngày
date]])</f>
        <v>4</v>
      </c>
      <c r="V215" s="571" t="str">
        <f t="shared" si="94"/>
        <v>31/01/2027</v>
      </c>
      <c r="W215" s="572" t="str">
        <f t="shared" si="95"/>
        <v>CHƯA NHẬP NGÀY</v>
      </c>
      <c r="X215" s="573" t="str">
        <f t="shared" si="96"/>
        <v>01/01/2024</v>
      </c>
      <c r="Y215" s="367" t="str">
        <f>HYPERLINK('Danh mục'!$D$1&amp;"20"&amp;MID(D215,8,2)&amp;"\"&amp;D215,D215)</f>
        <v>CC_420426-HN</v>
      </c>
      <c r="Z215" s="368">
        <f>YEAR(Table2[[#This Row],[Ngày
date]])</f>
        <v>2026</v>
      </c>
      <c r="AA215" s="368" t="str">
        <f t="shared" si="97"/>
        <v>HN</v>
      </c>
    </row>
    <row r="216" spans="1:27" ht="71.099999999999994" customHeight="1" x14ac:dyDescent="0.2">
      <c r="A216" s="570">
        <f t="shared" ref="A216:A221" si="98">ROW(C216)-4</f>
        <v>212</v>
      </c>
      <c r="B216" s="625" t="s">
        <v>2151</v>
      </c>
      <c r="C216" s="517">
        <v>46128</v>
      </c>
      <c r="D216" s="415" t="s">
        <v>1906</v>
      </c>
      <c r="E216" s="592"/>
      <c r="F216" s="472" t="s">
        <v>1907</v>
      </c>
      <c r="G216" s="413" t="s">
        <v>1911</v>
      </c>
      <c r="H216" s="404" t="s">
        <v>1908</v>
      </c>
      <c r="I216" s="353" t="s">
        <v>1909</v>
      </c>
      <c r="J216" s="578" t="s">
        <v>1912</v>
      </c>
      <c r="K216" s="575">
        <v>46418</v>
      </c>
      <c r="L216" s="576" t="s">
        <v>20</v>
      </c>
      <c r="M216" s="576" t="s">
        <v>1856</v>
      </c>
      <c r="N216" s="348" t="s">
        <v>1910</v>
      </c>
      <c r="O216" s="355" t="s">
        <v>482</v>
      </c>
      <c r="P216" s="348" t="s">
        <v>1924</v>
      </c>
      <c r="Q216" s="343" t="s">
        <v>1208</v>
      </c>
      <c r="R216" s="343" t="s">
        <v>666</v>
      </c>
      <c r="S216" s="344" t="s">
        <v>798</v>
      </c>
      <c r="T216" s="345"/>
      <c r="U216" s="345">
        <f>MONTH(Table2[[#This Row],[Ngày
date]])</f>
        <v>4</v>
      </c>
      <c r="V216" s="571" t="str">
        <f t="shared" si="94"/>
        <v>31/01/2027</v>
      </c>
      <c r="W216" s="572" t="str">
        <f t="shared" si="95"/>
        <v>CHƯA NHẬP NGÀY</v>
      </c>
      <c r="X216" s="573" t="str">
        <f t="shared" si="96"/>
        <v>04/02/2025</v>
      </c>
      <c r="Y216" s="367" t="str">
        <f>HYPERLINK('Danh mục'!$D$1&amp;"20"&amp;MID(D216,8,2)&amp;"\"&amp;D216,D216)</f>
        <v>CC_430426-HCM</v>
      </c>
      <c r="Z216" s="368">
        <f>YEAR(Table2[[#This Row],[Ngày
date]])</f>
        <v>2026</v>
      </c>
      <c r="AA216" s="368" t="str">
        <f t="shared" si="97"/>
        <v>HCM</v>
      </c>
    </row>
    <row r="217" spans="1:27" ht="76.5" x14ac:dyDescent="0.2">
      <c r="A217" s="570">
        <f t="shared" si="98"/>
        <v>213</v>
      </c>
      <c r="B217" s="625" t="s">
        <v>2159</v>
      </c>
      <c r="C217" s="584">
        <v>46129</v>
      </c>
      <c r="D217" s="415" t="s">
        <v>1913</v>
      </c>
      <c r="E217" s="592"/>
      <c r="F217" s="472" t="s">
        <v>1915</v>
      </c>
      <c r="G217" s="419" t="s">
        <v>1916</v>
      </c>
      <c r="H217" s="404" t="s">
        <v>1808</v>
      </c>
      <c r="I217" s="364" t="s">
        <v>1917</v>
      </c>
      <c r="J217" s="553" t="s">
        <v>1918</v>
      </c>
      <c r="K217" s="554" t="s">
        <v>1914</v>
      </c>
      <c r="L217" s="555" t="s">
        <v>15</v>
      </c>
      <c r="M217" s="555" t="s">
        <v>568</v>
      </c>
      <c r="N217" s="348" t="s">
        <v>1919</v>
      </c>
      <c r="O217" s="355" t="s">
        <v>2447</v>
      </c>
      <c r="P217" s="348" t="s">
        <v>1971</v>
      </c>
      <c r="Q217" s="343" t="s">
        <v>1382</v>
      </c>
      <c r="R217" s="343" t="s">
        <v>835</v>
      </c>
      <c r="S217" s="344" t="s">
        <v>1256</v>
      </c>
      <c r="T217" s="345"/>
      <c r="U217" s="345">
        <f>MONTH(Table2[[#This Row],[Ngày
date]])</f>
        <v>4</v>
      </c>
      <c r="V217" s="571" t="str">
        <f t="shared" si="94"/>
        <v>31/05/2027</v>
      </c>
      <c r="W217" s="572" t="str">
        <f t="shared" si="95"/>
        <v>CHƯA NHẬP NGÀY</v>
      </c>
      <c r="X217" s="573" t="str">
        <f t="shared" si="96"/>
        <v>01/06/2024</v>
      </c>
      <c r="Y217" s="367" t="str">
        <f>HYPERLINK('Danh mục'!$D$1&amp;"20"&amp;MID(D217,8,2)&amp;"\"&amp;D217,D217)</f>
        <v>CC_440426-HN</v>
      </c>
      <c r="Z217" s="368">
        <f>YEAR(Table2[[#This Row],[Ngày
date]])</f>
        <v>2026</v>
      </c>
      <c r="AA217" s="368" t="str">
        <f t="shared" si="97"/>
        <v>HN</v>
      </c>
    </row>
    <row r="218" spans="1:27" ht="168" customHeight="1" x14ac:dyDescent="0.2">
      <c r="A218" s="570">
        <f t="shared" si="98"/>
        <v>214</v>
      </c>
      <c r="B218" s="625" t="s">
        <v>2158</v>
      </c>
      <c r="C218" s="517">
        <v>46134</v>
      </c>
      <c r="D218" s="415" t="s">
        <v>1921</v>
      </c>
      <c r="E218" s="592"/>
      <c r="F218" s="472" t="s">
        <v>1925</v>
      </c>
      <c r="G218" s="419" t="s">
        <v>1926</v>
      </c>
      <c r="H218" s="404" t="s">
        <v>1923</v>
      </c>
      <c r="I218" s="364" t="s">
        <v>13</v>
      </c>
      <c r="J218" s="492" t="s">
        <v>13</v>
      </c>
      <c r="K218" s="492" t="s">
        <v>13</v>
      </c>
      <c r="L218" s="492" t="s">
        <v>13</v>
      </c>
      <c r="M218" s="492" t="s">
        <v>13</v>
      </c>
      <c r="N218" s="348" t="s">
        <v>1922</v>
      </c>
      <c r="O218" s="355" t="s">
        <v>1933</v>
      </c>
      <c r="P218" s="348" t="s">
        <v>1948</v>
      </c>
      <c r="Q218" s="343"/>
      <c r="R218" s="343"/>
      <c r="S218" s="344" t="s">
        <v>815</v>
      </c>
      <c r="T218" s="345"/>
      <c r="U218" s="345">
        <f>MONTH(Table2[[#This Row],[Ngày
date]])</f>
        <v>4</v>
      </c>
      <c r="V218" s="571" t="str">
        <f t="shared" si="94"/>
        <v>NA</v>
      </c>
      <c r="W218" s="572" t="str">
        <f t="shared" si="95"/>
        <v>CHƯA NHẬP NGÀY</v>
      </c>
      <c r="X218" s="573" t="str">
        <f t="shared" si="96"/>
        <v>NA</v>
      </c>
      <c r="Y218" s="367" t="str">
        <f>HYPERLINK('Danh mục'!$D$1&amp;"20"&amp;MID(D218,8,2)&amp;"\"&amp;D218,D218)</f>
        <v>CC_450426-HCM</v>
      </c>
      <c r="Z218" s="368">
        <f>YEAR(Table2[[#This Row],[Ngày
date]])</f>
        <v>2026</v>
      </c>
      <c r="AA218" s="368" t="str">
        <f t="shared" si="97"/>
        <v>HCM</v>
      </c>
    </row>
    <row r="219" spans="1:27" ht="168" customHeight="1" x14ac:dyDescent="0.2">
      <c r="A219" s="570">
        <f t="shared" si="98"/>
        <v>215</v>
      </c>
      <c r="B219" s="625" t="s">
        <v>2153</v>
      </c>
      <c r="C219" s="517">
        <v>46135</v>
      </c>
      <c r="D219" s="415" t="s">
        <v>1928</v>
      </c>
      <c r="E219" s="592"/>
      <c r="F219" s="472" t="s">
        <v>1927</v>
      </c>
      <c r="G219" s="421" t="s">
        <v>1930</v>
      </c>
      <c r="H219" s="404" t="s">
        <v>876</v>
      </c>
      <c r="I219" s="508" t="s">
        <v>1929</v>
      </c>
      <c r="J219" s="553" t="s">
        <v>1931</v>
      </c>
      <c r="K219" s="554">
        <v>46984</v>
      </c>
      <c r="L219" s="555" t="s">
        <v>523</v>
      </c>
      <c r="M219" s="555" t="s">
        <v>1817</v>
      </c>
      <c r="N219" s="348" t="s">
        <v>1932</v>
      </c>
      <c r="O219" s="355" t="s">
        <v>482</v>
      </c>
      <c r="P219" s="348" t="s">
        <v>1949</v>
      </c>
      <c r="Q219" s="343"/>
      <c r="R219" s="343"/>
      <c r="S219" s="344" t="s">
        <v>814</v>
      </c>
      <c r="T219" s="345"/>
      <c r="U219" s="345">
        <f>MONTH(Table2[[#This Row],[Ngày
date]])</f>
        <v>4</v>
      </c>
      <c r="V219" s="571" t="str">
        <f t="shared" ref="V219:V224" si="99">IF(K219="","CHƯA NHẬP NGÀY",TEXT(K219,"dd/mm/yyyy"))</f>
        <v>19/08/2028</v>
      </c>
      <c r="W219" s="572" t="str">
        <f t="shared" ref="W219:W224" si="100">IF(T219="","CHƯA NHẬP NGÀY",TEXT(T219,"dd/mm/yyyy"))</f>
        <v>CHƯA NHẬP NGÀY</v>
      </c>
      <c r="X219" s="573" t="str">
        <f t="shared" ref="X219:X224" si="101">IF(J219="","CHƯA NHẬP NGÀY",TEXT(J219,"dd/mm/yyyy"))</f>
        <v>20/09/2025</v>
      </c>
      <c r="Y219" s="367" t="str">
        <f>HYPERLINK('Danh mục'!$D$1&amp;"20"&amp;MID(D219,8,2)&amp;"\"&amp;D219,D219)</f>
        <v>CC_460426-HCM</v>
      </c>
      <c r="Z219" s="368">
        <f>YEAR(Table2[[#This Row],[Ngày
date]])</f>
        <v>2026</v>
      </c>
      <c r="AA219" s="368" t="str">
        <f t="shared" ref="AA219:AA224" si="102">IF(ISNUMBER(SEARCH("HCM",D219)),"HCM",
IF(ISNUMBER(SEARCH("HN",D219)),"HN",
IF(ISNUMBER(SEARCH("ĐN",D219)),"ĐN","")))</f>
        <v>HCM</v>
      </c>
    </row>
    <row r="220" spans="1:27" ht="117" customHeight="1" x14ac:dyDescent="0.2">
      <c r="A220" s="570">
        <f t="shared" si="98"/>
        <v>216</v>
      </c>
      <c r="B220" s="625" t="s">
        <v>2156</v>
      </c>
      <c r="C220" s="517">
        <v>46136</v>
      </c>
      <c r="D220" s="415" t="s">
        <v>1934</v>
      </c>
      <c r="E220" s="592"/>
      <c r="F220" s="472" t="s">
        <v>1935</v>
      </c>
      <c r="G220" s="421" t="s">
        <v>1936</v>
      </c>
      <c r="H220" s="404" t="s">
        <v>1937</v>
      </c>
      <c r="I220" s="492" t="s">
        <v>1938</v>
      </c>
      <c r="J220" s="553" t="s">
        <v>1939</v>
      </c>
      <c r="K220" s="554">
        <v>46554</v>
      </c>
      <c r="L220" s="555" t="s">
        <v>523</v>
      </c>
      <c r="M220" s="555" t="s">
        <v>1752</v>
      </c>
      <c r="N220" s="348" t="s">
        <v>1940</v>
      </c>
      <c r="O220" s="355" t="s">
        <v>2447</v>
      </c>
      <c r="P220" s="348" t="s">
        <v>2199</v>
      </c>
      <c r="Q220" s="343"/>
      <c r="R220" s="343"/>
      <c r="S220" s="344" t="s">
        <v>798</v>
      </c>
      <c r="T220" s="345"/>
      <c r="U220" s="345">
        <f>MONTH(Table2[[#This Row],[Ngày
date]])</f>
        <v>4</v>
      </c>
      <c r="V220" s="571" t="str">
        <f t="shared" si="99"/>
        <v>16/06/2027</v>
      </c>
      <c r="W220" s="572" t="str">
        <f t="shared" si="100"/>
        <v>CHƯA NHẬP NGÀY</v>
      </c>
      <c r="X220" s="573" t="str">
        <f t="shared" si="101"/>
        <v>16/06/2025</v>
      </c>
      <c r="Y220" s="367" t="str">
        <f>HYPERLINK('Danh mục'!$D$1&amp;"20"&amp;MID(D220,8,2)&amp;"\"&amp;D220,D220)</f>
        <v>CC_470426-HCM</v>
      </c>
      <c r="Z220" s="368">
        <f>YEAR(Table2[[#This Row],[Ngày
date]])</f>
        <v>2026</v>
      </c>
      <c r="AA220" s="368" t="str">
        <f t="shared" si="102"/>
        <v>HCM</v>
      </c>
    </row>
    <row r="221" spans="1:27" ht="168" customHeight="1" x14ac:dyDescent="0.2">
      <c r="A221" s="570">
        <f t="shared" si="98"/>
        <v>217</v>
      </c>
      <c r="B221" s="625" t="s">
        <v>2151</v>
      </c>
      <c r="C221" s="517">
        <v>46140</v>
      </c>
      <c r="D221" s="415" t="s">
        <v>1943</v>
      </c>
      <c r="E221" s="592" t="s">
        <v>2129</v>
      </c>
      <c r="F221" s="472" t="s">
        <v>1945</v>
      </c>
      <c r="G221" s="419" t="s">
        <v>1946</v>
      </c>
      <c r="H221" s="404" t="s">
        <v>1564</v>
      </c>
      <c r="I221" s="364" t="s">
        <v>1566</v>
      </c>
      <c r="J221" s="586" t="s">
        <v>1733</v>
      </c>
      <c r="K221" s="550">
        <v>46568</v>
      </c>
      <c r="L221" s="334" t="s">
        <v>43</v>
      </c>
      <c r="M221" s="555" t="s">
        <v>1752</v>
      </c>
      <c r="N221" s="348" t="s">
        <v>1947</v>
      </c>
      <c r="O221" s="355" t="s">
        <v>482</v>
      </c>
      <c r="P221" s="348" t="s">
        <v>1963</v>
      </c>
      <c r="Q221" s="343" t="s">
        <v>1777</v>
      </c>
      <c r="R221" s="343" t="s">
        <v>835</v>
      </c>
      <c r="S221" s="344" t="s">
        <v>1255</v>
      </c>
      <c r="T221" s="345"/>
      <c r="U221" s="345">
        <f>MONTH(Table2[[#This Row],[Ngày
date]])</f>
        <v>4</v>
      </c>
      <c r="V221" s="571" t="str">
        <f t="shared" si="99"/>
        <v>30/06/2027</v>
      </c>
      <c r="W221" s="572" t="str">
        <f t="shared" si="100"/>
        <v>CHƯA NHẬP NGÀY</v>
      </c>
      <c r="X221" s="573" t="str">
        <f t="shared" si="101"/>
        <v>01/07/2024</v>
      </c>
      <c r="Y221" s="367" t="str">
        <f>HYPERLINK('Danh mục'!$D$1&amp;"20"&amp;MID(D221,8,2)&amp;"\"&amp;D221,D221)</f>
        <v>CC_480426-ĐN</v>
      </c>
      <c r="Z221" s="368">
        <f>YEAR(Table2[[#This Row],[Ngày
date]])</f>
        <v>2026</v>
      </c>
      <c r="AA221" s="368" t="str">
        <f t="shared" si="102"/>
        <v>ĐN</v>
      </c>
    </row>
    <row r="222" spans="1:27" ht="168" customHeight="1" x14ac:dyDescent="0.2">
      <c r="A222" s="570">
        <f t="shared" ref="A222:A227" si="103">ROW(C222)-4</f>
        <v>218</v>
      </c>
      <c r="B222" s="625" t="s">
        <v>2151</v>
      </c>
      <c r="C222" s="517">
        <v>46154</v>
      </c>
      <c r="D222" s="415" t="s">
        <v>1968</v>
      </c>
      <c r="E222" s="592" t="s">
        <v>1973</v>
      </c>
      <c r="F222" s="472" t="s">
        <v>1283</v>
      </c>
      <c r="G222" s="419" t="s">
        <v>1974</v>
      </c>
      <c r="H222" s="414" t="s">
        <v>398</v>
      </c>
      <c r="I222" s="492" t="s">
        <v>1969</v>
      </c>
      <c r="J222" s="594" t="s">
        <v>1975</v>
      </c>
      <c r="K222" s="549">
        <v>46418</v>
      </c>
      <c r="L222" s="349" t="s">
        <v>20</v>
      </c>
      <c r="M222" s="555" t="s">
        <v>1752</v>
      </c>
      <c r="N222" s="348" t="s">
        <v>1970</v>
      </c>
      <c r="O222" s="344" t="s">
        <v>482</v>
      </c>
      <c r="P222" s="348" t="s">
        <v>1976</v>
      </c>
      <c r="Q222" s="343" t="s">
        <v>1382</v>
      </c>
      <c r="R222" s="343"/>
      <c r="S222" s="344" t="s">
        <v>798</v>
      </c>
      <c r="T222" s="345">
        <v>46190</v>
      </c>
      <c r="U222" s="345">
        <f>MONTH(Table2[[#This Row],[Ngày
date]])</f>
        <v>5</v>
      </c>
      <c r="V222" s="571" t="str">
        <f t="shared" si="99"/>
        <v>31/01/2027</v>
      </c>
      <c r="W222" s="572" t="str">
        <f t="shared" si="100"/>
        <v>17/06/2026</v>
      </c>
      <c r="X222" s="573" t="str">
        <f t="shared" si="101"/>
        <v>15/02/2023</v>
      </c>
      <c r="Y222" s="367" t="str">
        <f>HYPERLINK('Danh mục'!$D$1&amp;"20"&amp;MID(D222,8,2)&amp;"\"&amp;D222,D222)</f>
        <v>CC_490526-HCM</v>
      </c>
      <c r="Z222" s="368">
        <f>YEAR(Table2[[#This Row],[Ngày
date]])</f>
        <v>2026</v>
      </c>
      <c r="AA222" s="368" t="str">
        <f t="shared" si="102"/>
        <v>HCM</v>
      </c>
    </row>
    <row r="223" spans="1:27" ht="168" customHeight="1" x14ac:dyDescent="0.2">
      <c r="A223" s="595">
        <f t="shared" si="103"/>
        <v>219</v>
      </c>
      <c r="B223" s="595" t="s">
        <v>2151</v>
      </c>
      <c r="C223" s="559">
        <v>46156</v>
      </c>
      <c r="D223" s="402" t="s">
        <v>1977</v>
      </c>
      <c r="E223" s="402" t="s">
        <v>1978</v>
      </c>
      <c r="F223" s="488" t="s">
        <v>954</v>
      </c>
      <c r="G223" s="421" t="s">
        <v>956</v>
      </c>
      <c r="H223" s="404" t="s">
        <v>1092</v>
      </c>
      <c r="I223" s="492" t="s">
        <v>1770</v>
      </c>
      <c r="J223" s="594" t="s">
        <v>1771</v>
      </c>
      <c r="K223" s="549">
        <v>46568</v>
      </c>
      <c r="L223" s="349" t="s">
        <v>507</v>
      </c>
      <c r="M223" s="555" t="s">
        <v>1817</v>
      </c>
      <c r="N223" s="348" t="s">
        <v>1801</v>
      </c>
      <c r="O223" s="355" t="s">
        <v>482</v>
      </c>
      <c r="P223" s="348" t="s">
        <v>1990</v>
      </c>
      <c r="Q223" s="343" t="s">
        <v>1524</v>
      </c>
      <c r="R223" s="343" t="s">
        <v>1056</v>
      </c>
      <c r="S223" s="344" t="s">
        <v>1255</v>
      </c>
      <c r="T223" s="345"/>
      <c r="U223" s="345">
        <f>MONTH(Table2[[#This Row],[Ngày
date]])</f>
        <v>5</v>
      </c>
      <c r="V223" s="375" t="str">
        <f t="shared" si="99"/>
        <v>30/06/2027</v>
      </c>
      <c r="W223" s="376" t="str">
        <f t="shared" si="100"/>
        <v>CHƯA NHẬP NGÀY</v>
      </c>
      <c r="X223" s="510" t="str">
        <f t="shared" si="101"/>
        <v>12/07/2024</v>
      </c>
      <c r="Y223" s="367" t="str">
        <f>HYPERLINK('Danh mục'!$D$1&amp;"20"&amp;MID(D223,8,2)&amp;"\"&amp;D223,D223)</f>
        <v>CC_500526-HCM</v>
      </c>
      <c r="Z223" s="368">
        <f>YEAR(Table2[[#This Row],[Ngày
date]])</f>
        <v>2026</v>
      </c>
      <c r="AA223" s="368" t="str">
        <f t="shared" si="102"/>
        <v>HCM</v>
      </c>
    </row>
    <row r="224" spans="1:27" ht="168" customHeight="1" x14ac:dyDescent="0.2">
      <c r="A224" s="577">
        <f t="shared" si="103"/>
        <v>220</v>
      </c>
      <c r="B224" s="625" t="s">
        <v>2151</v>
      </c>
      <c r="C224" s="517">
        <v>46156</v>
      </c>
      <c r="D224" s="415" t="s">
        <v>1979</v>
      </c>
      <c r="E224" s="592" t="s">
        <v>1978</v>
      </c>
      <c r="F224" s="472" t="s">
        <v>954</v>
      </c>
      <c r="G224" s="421" t="s">
        <v>956</v>
      </c>
      <c r="H224" s="404" t="s">
        <v>398</v>
      </c>
      <c r="I224" s="364" t="s">
        <v>1969</v>
      </c>
      <c r="J224" s="597" t="s">
        <v>1975</v>
      </c>
      <c r="K224" s="550">
        <v>46418</v>
      </c>
      <c r="L224" s="349" t="s">
        <v>65</v>
      </c>
      <c r="M224" s="555" t="s">
        <v>1752</v>
      </c>
      <c r="N224" s="348" t="s">
        <v>1980</v>
      </c>
      <c r="O224" s="355" t="s">
        <v>482</v>
      </c>
      <c r="P224" s="348" t="s">
        <v>1990</v>
      </c>
      <c r="Q224" s="343" t="s">
        <v>1524</v>
      </c>
      <c r="R224" s="343" t="s">
        <v>1056</v>
      </c>
      <c r="S224" s="344" t="s">
        <v>1255</v>
      </c>
      <c r="T224" s="345"/>
      <c r="U224" s="345">
        <f>MONTH(Table2[[#This Row],[Ngày
date]])</f>
        <v>5</v>
      </c>
      <c r="V224" s="375" t="str">
        <f t="shared" si="99"/>
        <v>31/01/2027</v>
      </c>
      <c r="W224" s="376" t="str">
        <f t="shared" si="100"/>
        <v>CHƯA NHẬP NGÀY</v>
      </c>
      <c r="X224" s="510" t="str">
        <f t="shared" si="101"/>
        <v>15/02/2023</v>
      </c>
      <c r="Y224" s="367" t="str">
        <f>HYPERLINK('Danh mục'!$D$1&amp;"20"&amp;MID(D224,8,2)&amp;"\"&amp;D224,D224)</f>
        <v>CC_510526-HCM</v>
      </c>
      <c r="Z224" s="368">
        <f>YEAR(Table2[[#This Row],[Ngày
date]])</f>
        <v>2026</v>
      </c>
      <c r="AA224" s="368" t="str">
        <f t="shared" si="102"/>
        <v>HCM</v>
      </c>
    </row>
    <row r="225" spans="1:27" ht="168" customHeight="1" x14ac:dyDescent="0.2">
      <c r="A225" s="570">
        <f t="shared" si="103"/>
        <v>221</v>
      </c>
      <c r="B225" s="625" t="s">
        <v>2157</v>
      </c>
      <c r="C225" s="517">
        <v>46163</v>
      </c>
      <c r="D225" s="415" t="s">
        <v>1982</v>
      </c>
      <c r="E225" s="596" t="s">
        <v>1985</v>
      </c>
      <c r="F225" s="472" t="s">
        <v>1983</v>
      </c>
      <c r="G225" s="419" t="s">
        <v>1984</v>
      </c>
      <c r="H225" s="414" t="s">
        <v>1986</v>
      </c>
      <c r="I225" s="492" t="s">
        <v>1987</v>
      </c>
      <c r="J225" s="594" t="s">
        <v>1989</v>
      </c>
      <c r="K225" s="549">
        <v>46535</v>
      </c>
      <c r="L225" s="349" t="s">
        <v>2003</v>
      </c>
      <c r="M225" s="555" t="s">
        <v>2028</v>
      </c>
      <c r="N225" s="348" t="s">
        <v>1988</v>
      </c>
      <c r="O225" s="355" t="s">
        <v>2447</v>
      </c>
      <c r="P225" s="348" t="s">
        <v>2021</v>
      </c>
      <c r="Q225" s="343" t="s">
        <v>1208</v>
      </c>
      <c r="R225" s="343" t="s">
        <v>759</v>
      </c>
      <c r="S225" s="344" t="s">
        <v>814</v>
      </c>
      <c r="T225" s="345"/>
      <c r="U225" s="345">
        <f>MONTH(Table2[[#This Row],[Ngày
date]])</f>
        <v>5</v>
      </c>
      <c r="V225" s="571" t="str">
        <f t="shared" ref="V225:V230" si="104">IF(K225="","CHƯA NHẬP NGÀY",TEXT(K225,"dd/mm/yyyy"))</f>
        <v>28/05/2027</v>
      </c>
      <c r="W225" s="572" t="str">
        <f t="shared" ref="W225:W230" si="105">IF(T225="","CHƯA NHẬP NGÀY",TEXT(T225,"dd/mm/yyyy"))</f>
        <v>CHƯA NHẬP NGÀY</v>
      </c>
      <c r="X225" s="573" t="str">
        <f t="shared" ref="X225:X230" si="106">IF(J225="","CHƯA NHẬP NGÀY",TEXT(J225,"dd/mm/yyyy"))</f>
        <v>29/05/2025</v>
      </c>
      <c r="Y225" s="367" t="str">
        <f>HYPERLINK('Danh mục'!$D$1&amp;"20"&amp;MID(D225,8,2)&amp;"\"&amp;D225,D225)</f>
        <v>CC_520526-HCM</v>
      </c>
      <c r="Z225" s="368">
        <f>YEAR(Table2[[#This Row],[Ngày
date]])</f>
        <v>2026</v>
      </c>
      <c r="AA225" s="368" t="str">
        <f t="shared" ref="AA225:AA230" si="107">IF(ISNUMBER(SEARCH("HCM",D225)),"HCM",
IF(ISNUMBER(SEARCH("HN",D225)),"HN",
IF(ISNUMBER(SEARCH("ĐN",D225)),"ĐN","")))</f>
        <v>HCM</v>
      </c>
    </row>
    <row r="226" spans="1:27" ht="168" customHeight="1" x14ac:dyDescent="0.2">
      <c r="A226" s="570">
        <f t="shared" si="103"/>
        <v>222</v>
      </c>
      <c r="B226" s="625" t="s">
        <v>2153</v>
      </c>
      <c r="C226" s="517">
        <v>46164</v>
      </c>
      <c r="D226" s="415" t="s">
        <v>1992</v>
      </c>
      <c r="E226" s="596" t="s">
        <v>1995</v>
      </c>
      <c r="F226" s="472" t="s">
        <v>1993</v>
      </c>
      <c r="G226" s="419" t="s">
        <v>1994</v>
      </c>
      <c r="H226" s="404" t="s">
        <v>876</v>
      </c>
      <c r="I226" s="364" t="s">
        <v>1997</v>
      </c>
      <c r="J226" s="597" t="s">
        <v>2009</v>
      </c>
      <c r="K226" s="550">
        <v>46755</v>
      </c>
      <c r="L226" s="349" t="s">
        <v>523</v>
      </c>
      <c r="M226" s="555" t="s">
        <v>1752</v>
      </c>
      <c r="N226" s="348" t="s">
        <v>1998</v>
      </c>
      <c r="O226" s="355" t="s">
        <v>482</v>
      </c>
      <c r="P226" s="348" t="s">
        <v>1981</v>
      </c>
      <c r="Q226" s="343"/>
      <c r="R226" s="343"/>
      <c r="S226" s="344" t="s">
        <v>798</v>
      </c>
      <c r="T226" s="345"/>
      <c r="U226" s="345">
        <f>MONTH(Table2[[#This Row],[Ngày
date]])</f>
        <v>5</v>
      </c>
      <c r="V226" s="571" t="str">
        <f t="shared" si="104"/>
        <v>03/01/2028</v>
      </c>
      <c r="W226" s="572" t="str">
        <f t="shared" si="105"/>
        <v>CHƯA NHẬP NGÀY</v>
      </c>
      <c r="X226" s="573" t="str">
        <f t="shared" si="106"/>
        <v>04/01/2025</v>
      </c>
      <c r="Y226" s="367" t="str">
        <f>HYPERLINK('Danh mục'!$D$1&amp;"20"&amp;MID(D226,8,2)&amp;"\"&amp;D226,D226)</f>
        <v>CC_530526-HCM</v>
      </c>
      <c r="Z226" s="368">
        <f>YEAR(Table2[[#This Row],[Ngày
date]])</f>
        <v>2026</v>
      </c>
      <c r="AA226" s="368" t="str">
        <f t="shared" si="107"/>
        <v>HCM</v>
      </c>
    </row>
    <row r="227" spans="1:27" ht="168" customHeight="1" x14ac:dyDescent="0.2">
      <c r="A227" s="570">
        <f t="shared" si="103"/>
        <v>223</v>
      </c>
      <c r="B227" s="625" t="s">
        <v>2153</v>
      </c>
      <c r="C227" s="517">
        <v>46164</v>
      </c>
      <c r="D227" s="415" t="s">
        <v>1996</v>
      </c>
      <c r="E227" s="596" t="s">
        <v>1995</v>
      </c>
      <c r="F227" s="472" t="s">
        <v>1993</v>
      </c>
      <c r="G227" s="419" t="s">
        <v>1994</v>
      </c>
      <c r="H227" s="404" t="s">
        <v>876</v>
      </c>
      <c r="I227" s="364" t="s">
        <v>1929</v>
      </c>
      <c r="J227" s="594" t="s">
        <v>1931</v>
      </c>
      <c r="K227" s="549">
        <v>47015</v>
      </c>
      <c r="L227" s="349" t="s">
        <v>523</v>
      </c>
      <c r="M227" s="555" t="s">
        <v>1752</v>
      </c>
      <c r="N227" s="348" t="s">
        <v>1998</v>
      </c>
      <c r="O227" s="355" t="s">
        <v>482</v>
      </c>
      <c r="P227" s="348" t="s">
        <v>1976</v>
      </c>
      <c r="Q227" s="343"/>
      <c r="R227" s="343"/>
      <c r="S227" s="344" t="s">
        <v>798</v>
      </c>
      <c r="T227" s="345"/>
      <c r="U227" s="345">
        <f>MONTH(Table2[[#This Row],[Ngày
date]])</f>
        <v>5</v>
      </c>
      <c r="V227" s="571" t="str">
        <f t="shared" si="104"/>
        <v>19/09/2028</v>
      </c>
      <c r="W227" s="572" t="str">
        <f t="shared" si="105"/>
        <v>CHƯA NHẬP NGÀY</v>
      </c>
      <c r="X227" s="573" t="str">
        <f t="shared" si="106"/>
        <v>20/09/2025</v>
      </c>
      <c r="Y227" s="367" t="str">
        <f>HYPERLINK('Danh mục'!$D$1&amp;"20"&amp;MID(D227,8,2)&amp;"\"&amp;D227,D227)</f>
        <v>CC_540526-HCM</v>
      </c>
      <c r="Z227" s="368">
        <f>YEAR(Table2[[#This Row],[Ngày
date]])</f>
        <v>2026</v>
      </c>
      <c r="AA227" s="368" t="str">
        <f t="shared" si="107"/>
        <v>HCM</v>
      </c>
    </row>
    <row r="228" spans="1:27" ht="168" customHeight="1" x14ac:dyDescent="0.2">
      <c r="A228" s="570">
        <f t="shared" ref="A228:A233" si="108">ROW(C228)-4</f>
        <v>224</v>
      </c>
      <c r="B228" s="625" t="s">
        <v>2153</v>
      </c>
      <c r="C228" s="517">
        <v>46164</v>
      </c>
      <c r="D228" s="415" t="s">
        <v>1999</v>
      </c>
      <c r="E228" s="596" t="s">
        <v>1995</v>
      </c>
      <c r="F228" s="472" t="s">
        <v>1993</v>
      </c>
      <c r="G228" s="419" t="s">
        <v>1994</v>
      </c>
      <c r="H228" s="404" t="s">
        <v>876</v>
      </c>
      <c r="I228" s="364" t="s">
        <v>1929</v>
      </c>
      <c r="J228" s="594" t="s">
        <v>1931</v>
      </c>
      <c r="K228" s="549">
        <v>47015</v>
      </c>
      <c r="L228" s="349" t="s">
        <v>523</v>
      </c>
      <c r="M228" s="555" t="s">
        <v>1817</v>
      </c>
      <c r="N228" s="348" t="s">
        <v>2023</v>
      </c>
      <c r="O228" s="355" t="s">
        <v>482</v>
      </c>
      <c r="P228" s="348" t="s">
        <v>1976</v>
      </c>
      <c r="Q228" s="343"/>
      <c r="R228" s="343"/>
      <c r="S228" s="344" t="s">
        <v>798</v>
      </c>
      <c r="T228" s="345"/>
      <c r="U228" s="345">
        <f>MONTH(Table2[[#This Row],[Ngày
date]])</f>
        <v>5</v>
      </c>
      <c r="V228" s="571" t="str">
        <f t="shared" si="104"/>
        <v>19/09/2028</v>
      </c>
      <c r="W228" s="572" t="str">
        <f t="shared" si="105"/>
        <v>CHƯA NHẬP NGÀY</v>
      </c>
      <c r="X228" s="573" t="str">
        <f t="shared" si="106"/>
        <v>20/09/2025</v>
      </c>
      <c r="Y228" s="367" t="str">
        <f>HYPERLINK('Danh mục'!$D$1&amp;"20"&amp;MID(D228,8,2)&amp;"\"&amp;D228,D228)</f>
        <v>CC_550526-HCM</v>
      </c>
      <c r="Z228" s="368">
        <f>YEAR(Table2[[#This Row],[Ngày
date]])</f>
        <v>2026</v>
      </c>
      <c r="AA228" s="368" t="str">
        <f t="shared" si="107"/>
        <v>HCM</v>
      </c>
    </row>
    <row r="229" spans="1:27" ht="168" customHeight="1" x14ac:dyDescent="0.2">
      <c r="A229" s="570">
        <f t="shared" si="108"/>
        <v>225</v>
      </c>
      <c r="B229" s="625" t="s">
        <v>2152</v>
      </c>
      <c r="C229" s="517">
        <v>46167</v>
      </c>
      <c r="D229" s="415" t="s">
        <v>2016</v>
      </c>
      <c r="E229" s="596" t="s">
        <v>2015</v>
      </c>
      <c r="F229" s="412" t="s">
        <v>2020</v>
      </c>
      <c r="G229" s="409" t="s">
        <v>1663</v>
      </c>
      <c r="H229" s="404" t="s">
        <v>1657</v>
      </c>
      <c r="I229" s="364" t="s">
        <v>2001</v>
      </c>
      <c r="J229" s="594" t="s">
        <v>2010</v>
      </c>
      <c r="K229" s="549">
        <v>46809</v>
      </c>
      <c r="L229" s="349" t="s">
        <v>2003</v>
      </c>
      <c r="M229" s="555" t="s">
        <v>1752</v>
      </c>
      <c r="N229" s="348" t="s">
        <v>2002</v>
      </c>
      <c r="O229" s="355" t="s">
        <v>482</v>
      </c>
      <c r="P229" s="348" t="s">
        <v>2022</v>
      </c>
      <c r="Q229" s="343"/>
      <c r="R229" s="343"/>
      <c r="S229" s="344" t="s">
        <v>798</v>
      </c>
      <c r="T229" s="345"/>
      <c r="U229" s="345">
        <f>MONTH(Table2[[#This Row],[Ngày
date]])</f>
        <v>5</v>
      </c>
      <c r="V229" s="571" t="str">
        <f t="shared" si="104"/>
        <v>26/02/2028</v>
      </c>
      <c r="W229" s="572" t="str">
        <f t="shared" si="105"/>
        <v>CHƯA NHẬP NGÀY</v>
      </c>
      <c r="X229" s="573" t="str">
        <f t="shared" si="106"/>
        <v>26/02/2026</v>
      </c>
      <c r="Y229" s="367" t="str">
        <f>HYPERLINK('Danh mục'!$D$1&amp;"20"&amp;MID(D229,8,2)&amp;"\"&amp;D229,D229)</f>
        <v>CC_560526-HN</v>
      </c>
      <c r="Z229" s="368">
        <f>YEAR(Table2[[#This Row],[Ngày
date]])</f>
        <v>2026</v>
      </c>
      <c r="AA229" s="368" t="str">
        <f t="shared" si="107"/>
        <v>HN</v>
      </c>
    </row>
    <row r="230" spans="1:27" ht="168" customHeight="1" x14ac:dyDescent="0.2">
      <c r="A230" s="570">
        <f t="shared" si="108"/>
        <v>226</v>
      </c>
      <c r="B230" s="625" t="s">
        <v>2151</v>
      </c>
      <c r="C230" s="517">
        <v>46167</v>
      </c>
      <c r="D230" s="415" t="s">
        <v>2000</v>
      </c>
      <c r="E230" s="592" t="s">
        <v>2007</v>
      </c>
      <c r="F230" s="472" t="s">
        <v>2004</v>
      </c>
      <c r="G230" s="421" t="s">
        <v>2005</v>
      </c>
      <c r="H230" s="404" t="s">
        <v>52</v>
      </c>
      <c r="I230" s="364" t="s">
        <v>2006</v>
      </c>
      <c r="J230" s="597" t="s">
        <v>1811</v>
      </c>
      <c r="K230" s="550">
        <v>46996</v>
      </c>
      <c r="L230" s="349" t="s">
        <v>65</v>
      </c>
      <c r="M230" s="555" t="s">
        <v>1752</v>
      </c>
      <c r="N230" s="348" t="s">
        <v>2008</v>
      </c>
      <c r="O230" s="355" t="s">
        <v>482</v>
      </c>
      <c r="P230" s="348" t="s">
        <v>1976</v>
      </c>
      <c r="Q230" s="343"/>
      <c r="R230" s="343"/>
      <c r="S230" s="344" t="s">
        <v>798</v>
      </c>
      <c r="T230" s="345">
        <v>46181</v>
      </c>
      <c r="U230" s="345">
        <f>MONTH(Table2[[#This Row],[Ngày
date]])</f>
        <v>5</v>
      </c>
      <c r="V230" s="571" t="str">
        <f t="shared" si="104"/>
        <v>31/08/2028</v>
      </c>
      <c r="W230" s="572" t="str">
        <f t="shared" si="105"/>
        <v>08/06/2026</v>
      </c>
      <c r="X230" s="573" t="str">
        <f t="shared" si="106"/>
        <v>01/09/2025</v>
      </c>
      <c r="Y230" s="367" t="str">
        <f>HYPERLINK('Danh mục'!$D$1&amp;"20"&amp;MID(D230,8,2)&amp;"\"&amp;D230,D230)</f>
        <v>CC_570526-HCM</v>
      </c>
      <c r="Z230" s="368">
        <f>YEAR(Table2[[#This Row],[Ngày
date]])</f>
        <v>2026</v>
      </c>
      <c r="AA230" s="368" t="str">
        <f t="shared" si="107"/>
        <v>HCM</v>
      </c>
    </row>
    <row r="231" spans="1:27" ht="168" customHeight="1" x14ac:dyDescent="0.2">
      <c r="A231" s="570">
        <f t="shared" si="108"/>
        <v>227</v>
      </c>
      <c r="B231" s="625" t="s">
        <v>2157</v>
      </c>
      <c r="C231" s="517">
        <v>46169</v>
      </c>
      <c r="D231" s="415" t="s">
        <v>2052</v>
      </c>
      <c r="E231" s="596" t="s">
        <v>2011</v>
      </c>
      <c r="F231" s="472" t="s">
        <v>2012</v>
      </c>
      <c r="G231" s="421" t="s">
        <v>2013</v>
      </c>
      <c r="H231" s="404" t="s">
        <v>1986</v>
      </c>
      <c r="I231" s="364" t="s">
        <v>2014</v>
      </c>
      <c r="J231" s="597" t="s">
        <v>2017</v>
      </c>
      <c r="K231" s="550">
        <v>46465</v>
      </c>
      <c r="L231" s="349" t="s">
        <v>1207</v>
      </c>
      <c r="M231" s="555" t="s">
        <v>2018</v>
      </c>
      <c r="N231" s="348" t="s">
        <v>2019</v>
      </c>
      <c r="O231" s="344" t="s">
        <v>2054</v>
      </c>
      <c r="P231" s="348" t="s">
        <v>2055</v>
      </c>
      <c r="Q231" s="344" t="s">
        <v>2080</v>
      </c>
      <c r="R231" s="343" t="s">
        <v>1056</v>
      </c>
      <c r="S231" s="348" t="s">
        <v>2053</v>
      </c>
      <c r="T231" s="345"/>
      <c r="U231" s="345">
        <f>MONTH(Table2[[#This Row],[Ngày
date]])</f>
        <v>5</v>
      </c>
      <c r="V231" s="571" t="str">
        <f t="shared" ref="V231:V236" si="109">IF(K231="","CHƯA NHẬP NGÀY",TEXT(K231,"dd/mm/yyyy"))</f>
        <v>19/03/2027</v>
      </c>
      <c r="W231" s="572" t="str">
        <f t="shared" ref="W231:W236" si="110">IF(T231="","CHƯA NHẬP NGÀY",TEXT(T231,"dd/mm/yyyy"))</f>
        <v>CHƯA NHẬP NGÀY</v>
      </c>
      <c r="X231" s="573" t="str">
        <f t="shared" ref="X231:X236" si="111">IF(J231="","CHƯA NHẬP NGÀY",TEXT(J231,"dd/mm/yyyy"))</f>
        <v>20/03/2025</v>
      </c>
      <c r="Y231" s="367" t="str">
        <f>HYPERLINK('Danh mục'!$D$1&amp;"20"&amp;MID(D231,8,2)&amp;"\"&amp;D231,D231)</f>
        <v>CC_580526-ĐN-HUY</v>
      </c>
      <c r="Z231" s="368">
        <f>YEAR(Table2[[#This Row],[Ngày
date]])</f>
        <v>2026</v>
      </c>
      <c r="AA231" s="368" t="str">
        <f t="shared" ref="AA231:AA236" si="112">IF(ISNUMBER(SEARCH("HCM",D231)),"HCM",
IF(ISNUMBER(SEARCH("HN",D231)),"HN",
IF(ISNUMBER(SEARCH("ĐN",D231)),"ĐN","")))</f>
        <v>ĐN</v>
      </c>
    </row>
    <row r="232" spans="1:27" ht="53.1" customHeight="1" x14ac:dyDescent="0.2">
      <c r="A232" s="570">
        <f t="shared" si="108"/>
        <v>228</v>
      </c>
      <c r="B232" s="625" t="s">
        <v>2150</v>
      </c>
      <c r="C232" s="517">
        <v>46170</v>
      </c>
      <c r="D232" s="415" t="s">
        <v>2029</v>
      </c>
      <c r="E232" s="596" t="s">
        <v>2031</v>
      </c>
      <c r="F232" s="472" t="s">
        <v>2024</v>
      </c>
      <c r="G232" s="419" t="s">
        <v>2030</v>
      </c>
      <c r="H232" s="414" t="s">
        <v>2025</v>
      </c>
      <c r="I232" s="492" t="s">
        <v>2026</v>
      </c>
      <c r="J232" s="594" t="s">
        <v>2033</v>
      </c>
      <c r="K232" s="549">
        <v>47163</v>
      </c>
      <c r="L232" s="349" t="s">
        <v>65</v>
      </c>
      <c r="M232" s="555" t="s">
        <v>1752</v>
      </c>
      <c r="N232" s="348" t="s">
        <v>2027</v>
      </c>
      <c r="O232" s="355" t="s">
        <v>482</v>
      </c>
      <c r="P232" s="348" t="s">
        <v>2032</v>
      </c>
      <c r="Q232" s="343"/>
      <c r="R232" s="343"/>
      <c r="S232" s="344" t="s">
        <v>1255</v>
      </c>
      <c r="T232" s="345"/>
      <c r="U232" s="345">
        <f>MONTH(Table2[[#This Row],[Ngày
date]])</f>
        <v>5</v>
      </c>
      <c r="V232" s="571" t="str">
        <f t="shared" si="109"/>
        <v>14/02/2029</v>
      </c>
      <c r="W232" s="572" t="str">
        <f t="shared" si="110"/>
        <v>CHƯA NHẬP NGÀY</v>
      </c>
      <c r="X232" s="573" t="str">
        <f t="shared" si="111"/>
        <v>14/02/2026</v>
      </c>
      <c r="Y232" s="367" t="str">
        <f>HYPERLINK('Danh mục'!$D$1&amp;"20"&amp;MID(D232,8,2)&amp;"\"&amp;D232,D232)</f>
        <v>CC_590526-HCM</v>
      </c>
      <c r="Z232" s="368">
        <f>YEAR(Table2[[#This Row],[Ngày
date]])</f>
        <v>2026</v>
      </c>
      <c r="AA232" s="368" t="str">
        <f t="shared" si="112"/>
        <v>HCM</v>
      </c>
    </row>
    <row r="233" spans="1:27" ht="53.1" customHeight="1" x14ac:dyDescent="0.2">
      <c r="A233" s="600">
        <f t="shared" si="108"/>
        <v>229</v>
      </c>
      <c r="B233" s="625" t="s">
        <v>2153</v>
      </c>
      <c r="C233" s="517">
        <v>46174</v>
      </c>
      <c r="D233" s="415" t="s">
        <v>2035</v>
      </c>
      <c r="E233" s="599"/>
      <c r="F233" s="472" t="s">
        <v>1499</v>
      </c>
      <c r="G233" s="421" t="s">
        <v>2170</v>
      </c>
      <c r="H233" s="604" t="s">
        <v>1609</v>
      </c>
      <c r="I233" s="364" t="s">
        <v>2036</v>
      </c>
      <c r="J233" s="597" t="s">
        <v>2064</v>
      </c>
      <c r="K233" s="594" t="s">
        <v>2037</v>
      </c>
      <c r="L233" s="349" t="s">
        <v>65</v>
      </c>
      <c r="M233" s="555" t="s">
        <v>1752</v>
      </c>
      <c r="N233" s="348" t="s">
        <v>2038</v>
      </c>
      <c r="O233" s="355" t="s">
        <v>2447</v>
      </c>
      <c r="P233" s="348" t="s">
        <v>2105</v>
      </c>
      <c r="Q233" s="343"/>
      <c r="R233" s="343" t="s">
        <v>1195</v>
      </c>
      <c r="S233" s="344" t="s">
        <v>1255</v>
      </c>
      <c r="T233" s="345"/>
      <c r="U233" s="356">
        <f>MONTH(Table2[[#This Row],[Ngày
date]])</f>
        <v>6</v>
      </c>
      <c r="V233" s="601" t="str">
        <f t="shared" si="109"/>
        <v>07/11/2027</v>
      </c>
      <c r="W233" s="602" t="str">
        <f t="shared" si="110"/>
        <v>CHƯA NHẬP NGÀY</v>
      </c>
      <c r="X233" s="603" t="str">
        <f t="shared" si="111"/>
        <v>08/11/2025</v>
      </c>
      <c r="Y233" s="367" t="str">
        <f>HYPERLINK('Danh mục'!$D$1&amp;"20"&amp;MID(D233,8,2)&amp;"\"&amp;D233,D233)</f>
        <v>CC_600626-HN</v>
      </c>
      <c r="Z233" s="368">
        <f>YEAR(Table2[[#This Row],[Ngày
date]])</f>
        <v>2026</v>
      </c>
      <c r="AA233" s="368" t="str">
        <f t="shared" si="112"/>
        <v>HN</v>
      </c>
    </row>
    <row r="234" spans="1:27" ht="53.1" customHeight="1" x14ac:dyDescent="0.2">
      <c r="A234" s="600">
        <f t="shared" ref="A234:A239" si="113">ROW(C234)-4</f>
        <v>230</v>
      </c>
      <c r="B234" s="625" t="s">
        <v>2151</v>
      </c>
      <c r="C234" s="517">
        <v>46175</v>
      </c>
      <c r="D234" s="415" t="s">
        <v>2039</v>
      </c>
      <c r="E234" s="599" t="s">
        <v>2040</v>
      </c>
      <c r="F234" s="472" t="s">
        <v>2041</v>
      </c>
      <c r="G234" s="413" t="s">
        <v>2056</v>
      </c>
      <c r="H234" s="414" t="s">
        <v>398</v>
      </c>
      <c r="I234" s="364" t="s">
        <v>2042</v>
      </c>
      <c r="J234" s="594" t="s">
        <v>2063</v>
      </c>
      <c r="K234" s="549" t="s">
        <v>2043</v>
      </c>
      <c r="L234" s="349" t="s">
        <v>20</v>
      </c>
      <c r="M234" s="555" t="s">
        <v>1752</v>
      </c>
      <c r="N234" s="348" t="s">
        <v>2044</v>
      </c>
      <c r="O234" s="355" t="s">
        <v>482</v>
      </c>
      <c r="P234" s="348" t="s">
        <v>2067</v>
      </c>
      <c r="Q234" s="343" t="s">
        <v>1777</v>
      </c>
      <c r="R234" s="343" t="s">
        <v>1056</v>
      </c>
      <c r="S234" s="344" t="s">
        <v>798</v>
      </c>
      <c r="T234" s="345"/>
      <c r="U234" s="356">
        <f>MONTH(Table2[[#This Row],[Ngày
date]])</f>
        <v>6</v>
      </c>
      <c r="V234" s="601" t="str">
        <f t="shared" si="109"/>
        <v xml:space="preserve"> 29/02/2028</v>
      </c>
      <c r="W234" s="602" t="str">
        <f t="shared" si="110"/>
        <v>CHƯA NHẬP NGÀY</v>
      </c>
      <c r="X234" s="603" t="str">
        <f t="shared" si="111"/>
        <v>02/03/2024</v>
      </c>
      <c r="Y234" s="367" t="str">
        <f>HYPERLINK('Danh mục'!$D$1&amp;"20"&amp;MID(D234,8,2)&amp;"\"&amp;D234,D234)</f>
        <v>CC_610626-ĐN</v>
      </c>
      <c r="Z234" s="368">
        <f>YEAR(Table2[[#This Row],[Ngày
date]])</f>
        <v>2026</v>
      </c>
      <c r="AA234" s="368" t="str">
        <f t="shared" si="112"/>
        <v>ĐN</v>
      </c>
    </row>
    <row r="235" spans="1:27" s="651" customFormat="1" ht="68.45" customHeight="1" x14ac:dyDescent="0.2">
      <c r="A235" s="634">
        <f t="shared" si="113"/>
        <v>231</v>
      </c>
      <c r="B235" s="635" t="s">
        <v>2156</v>
      </c>
      <c r="C235" s="636">
        <v>46176</v>
      </c>
      <c r="D235" s="637" t="s">
        <v>2223</v>
      </c>
      <c r="E235" s="638" t="s">
        <v>2051</v>
      </c>
      <c r="F235" s="661" t="s">
        <v>2046</v>
      </c>
      <c r="G235" s="662" t="s">
        <v>2047</v>
      </c>
      <c r="H235" s="640" t="s">
        <v>2048</v>
      </c>
      <c r="I235" s="663" t="s">
        <v>2049</v>
      </c>
      <c r="J235" s="664" t="s">
        <v>2062</v>
      </c>
      <c r="K235" s="643">
        <v>46787</v>
      </c>
      <c r="L235" s="644" t="s">
        <v>13</v>
      </c>
      <c r="M235" s="645" t="s">
        <v>13</v>
      </c>
      <c r="N235" s="646" t="s">
        <v>2050</v>
      </c>
      <c r="O235" s="355" t="s">
        <v>2447</v>
      </c>
      <c r="P235" s="646" t="s">
        <v>2222</v>
      </c>
      <c r="Q235" s="644"/>
      <c r="R235" s="644" t="s">
        <v>1056</v>
      </c>
      <c r="S235" s="646" t="s">
        <v>1256</v>
      </c>
      <c r="T235" s="647"/>
      <c r="U235" s="647">
        <f>MONTH(Table2[[#This Row],[Ngày
date]])</f>
        <v>6</v>
      </c>
      <c r="V235" s="648" t="str">
        <f t="shared" si="109"/>
        <v>04/02/2028</v>
      </c>
      <c r="W235" s="649" t="str">
        <f t="shared" si="110"/>
        <v>CHƯA NHẬP NGÀY</v>
      </c>
      <c r="X235" s="650" t="str">
        <f t="shared" si="111"/>
        <v>04/08/2025</v>
      </c>
      <c r="Y235" s="367" t="str">
        <f>HYPERLINK('Danh mục'!$D$1&amp;"20"&amp;MID(D235,8,2)&amp;"\"&amp;D235,D235)</f>
        <v>CC_620626-HN HUY</v>
      </c>
      <c r="Z235" s="651">
        <f>YEAR(Table2[[#This Row],[Ngày
date]])</f>
        <v>2026</v>
      </c>
      <c r="AA235" s="651" t="str">
        <f t="shared" si="112"/>
        <v>HN</v>
      </c>
    </row>
    <row r="236" spans="1:27" ht="103.35" customHeight="1" x14ac:dyDescent="0.2">
      <c r="A236" s="606">
        <f t="shared" si="113"/>
        <v>232</v>
      </c>
      <c r="B236" s="625" t="s">
        <v>2151</v>
      </c>
      <c r="C236" s="517">
        <v>46177</v>
      </c>
      <c r="D236" s="415" t="s">
        <v>2057</v>
      </c>
      <c r="E236" s="605" t="s">
        <v>2058</v>
      </c>
      <c r="F236" s="472" t="s">
        <v>2059</v>
      </c>
      <c r="G236" s="419" t="s">
        <v>2066</v>
      </c>
      <c r="H236" s="414" t="s">
        <v>398</v>
      </c>
      <c r="I236" s="492" t="s">
        <v>2061</v>
      </c>
      <c r="J236" s="594" t="s">
        <v>2065</v>
      </c>
      <c r="K236" s="549">
        <v>46873</v>
      </c>
      <c r="L236" s="349" t="s">
        <v>15</v>
      </c>
      <c r="M236" s="555" t="s">
        <v>1752</v>
      </c>
      <c r="N236" s="348" t="s">
        <v>2060</v>
      </c>
      <c r="O236" s="355"/>
      <c r="P236" s="348" t="s">
        <v>2081</v>
      </c>
      <c r="Q236" s="343"/>
      <c r="R236" s="343"/>
      <c r="S236" s="344" t="s">
        <v>1255</v>
      </c>
      <c r="T236" s="345"/>
      <c r="U236" s="356">
        <f>MONTH(Table2[[#This Row],[Ngày
date]])</f>
        <v>6</v>
      </c>
      <c r="V236" s="607" t="str">
        <f t="shared" si="109"/>
        <v>30/04/2028</v>
      </c>
      <c r="W236" s="608" t="str">
        <f t="shared" si="110"/>
        <v>CHƯA NHẬP NGÀY</v>
      </c>
      <c r="X236" s="609" t="str">
        <f t="shared" si="111"/>
        <v>20/05/2024</v>
      </c>
      <c r="Y236" s="367" t="str">
        <f>HYPERLINK('Danh mục'!$D$1&amp;"20"&amp;MID(D236,8,2)&amp;"\"&amp;D236,D236)</f>
        <v>CC_630626-HCM</v>
      </c>
      <c r="Z236" s="368">
        <f>YEAR(Table2[[#This Row],[Ngày
date]])</f>
        <v>2026</v>
      </c>
      <c r="AA236" s="368" t="str">
        <f t="shared" si="112"/>
        <v>HCM</v>
      </c>
    </row>
    <row r="237" spans="1:27" ht="51" x14ac:dyDescent="0.2">
      <c r="A237" s="611">
        <f t="shared" si="113"/>
        <v>233</v>
      </c>
      <c r="B237" s="625" t="s">
        <v>2155</v>
      </c>
      <c r="C237" s="517">
        <v>46177</v>
      </c>
      <c r="D237" s="415" t="s">
        <v>2068</v>
      </c>
      <c r="E237" s="610" t="s">
        <v>2069</v>
      </c>
      <c r="F237" s="472" t="s">
        <v>1499</v>
      </c>
      <c r="G237" s="472" t="s">
        <v>41</v>
      </c>
      <c r="H237" s="414" t="s">
        <v>2070</v>
      </c>
      <c r="I237" s="492" t="s">
        <v>2071</v>
      </c>
      <c r="J237" s="594" t="s">
        <v>2073</v>
      </c>
      <c r="K237" s="549">
        <v>47190</v>
      </c>
      <c r="L237" s="349" t="s">
        <v>15</v>
      </c>
      <c r="M237" s="555" t="s">
        <v>568</v>
      </c>
      <c r="N237" s="348" t="s">
        <v>2072</v>
      </c>
      <c r="O237" s="355" t="s">
        <v>482</v>
      </c>
      <c r="P237" s="348" t="s">
        <v>1981</v>
      </c>
      <c r="Q237" s="343"/>
      <c r="R237" s="343"/>
      <c r="S237" s="344" t="s">
        <v>1255</v>
      </c>
      <c r="T237" s="345"/>
      <c r="U237" s="356">
        <f>MONTH(Table2[[#This Row],[Ngày
date]])</f>
        <v>6</v>
      </c>
      <c r="V237" s="612" t="str">
        <f t="shared" ref="V237:V244" si="114">IF(K237="","CHƯA NHẬP NGÀY",TEXT(K237,"dd/mm/yyyy"))</f>
        <v>13/03/2029</v>
      </c>
      <c r="W237" s="613" t="str">
        <f t="shared" ref="W237:W244" si="115">IF(T237="","CHƯA NHẬP NGÀY",TEXT(T237,"dd/mm/yyyy"))</f>
        <v>CHƯA NHẬP NGÀY</v>
      </c>
      <c r="X237" s="614" t="str">
        <f t="shared" ref="X237:X244" si="116">IF(J237="","CHƯA NHẬP NGÀY",TEXT(J237,"dd/mm/yyyy"))</f>
        <v>13/03/2026</v>
      </c>
      <c r="Y237" s="367" t="str">
        <f>HYPERLINK('Danh mục'!$D$1&amp;"20"&amp;MID(D237,8,2)&amp;"\"&amp;D237,D237)</f>
        <v>CC_640626-HCM</v>
      </c>
      <c r="Z237" s="368">
        <f>YEAR(Table2[[#This Row],[Ngày
date]])</f>
        <v>2026</v>
      </c>
      <c r="AA237" s="368" t="str">
        <f t="shared" ref="AA237:AA244" si="117">IF(ISNUMBER(SEARCH("HCM",D237)),"HCM",
IF(ISNUMBER(SEARCH("HN",D237)),"HN",
IF(ISNUMBER(SEARCH("ĐN",D237)),"ĐN","")))</f>
        <v>HCM</v>
      </c>
    </row>
    <row r="238" spans="1:27" ht="157.35" customHeight="1" x14ac:dyDescent="0.2">
      <c r="A238" s="611">
        <f t="shared" si="113"/>
        <v>234</v>
      </c>
      <c r="B238" s="625" t="s">
        <v>2151</v>
      </c>
      <c r="C238" s="517">
        <v>46178</v>
      </c>
      <c r="D238" s="415" t="s">
        <v>2079</v>
      </c>
      <c r="E238" s="610"/>
      <c r="F238" s="472" t="s">
        <v>2074</v>
      </c>
      <c r="G238" s="473" t="s">
        <v>2075</v>
      </c>
      <c r="H238" s="404" t="s">
        <v>1129</v>
      </c>
      <c r="I238" s="364" t="s">
        <v>2076</v>
      </c>
      <c r="J238" s="594" t="s">
        <v>13</v>
      </c>
      <c r="K238" s="549">
        <v>46996</v>
      </c>
      <c r="L238" s="349" t="s">
        <v>15</v>
      </c>
      <c r="M238" s="555" t="s">
        <v>2077</v>
      </c>
      <c r="N238" s="348" t="s">
        <v>2078</v>
      </c>
      <c r="O238" s="355"/>
      <c r="P238" s="348" t="s">
        <v>2259</v>
      </c>
      <c r="Q238" s="343"/>
      <c r="R238" s="343"/>
      <c r="S238" s="344"/>
      <c r="T238" s="345"/>
      <c r="U238" s="356">
        <f>MONTH(Table2[[#This Row],[Ngày
date]])</f>
        <v>6</v>
      </c>
      <c r="V238" s="612" t="str">
        <f t="shared" si="114"/>
        <v>31/08/2028</v>
      </c>
      <c r="W238" s="613" t="str">
        <f t="shared" si="115"/>
        <v>CHƯA NHẬP NGÀY</v>
      </c>
      <c r="X238" s="614" t="str">
        <f t="shared" si="116"/>
        <v>NA</v>
      </c>
      <c r="Y238" s="367" t="str">
        <f>HYPERLINK('Danh mục'!$D$1&amp;"20"&amp;MID(D238,8,2)&amp;"\"&amp;D238,D238)</f>
        <v>CC_650626-HN</v>
      </c>
      <c r="Z238" s="368">
        <f>YEAR(Table2[[#This Row],[Ngày
date]])</f>
        <v>2026</v>
      </c>
      <c r="AA238" s="368" t="str">
        <f t="shared" si="117"/>
        <v>HN</v>
      </c>
    </row>
    <row r="239" spans="1:27" ht="51" x14ac:dyDescent="0.2">
      <c r="A239" s="616">
        <f t="shared" si="113"/>
        <v>235</v>
      </c>
      <c r="B239" s="625" t="s">
        <v>2155</v>
      </c>
      <c r="C239" s="517">
        <v>46181</v>
      </c>
      <c r="D239" s="415" t="s">
        <v>2249</v>
      </c>
      <c r="E239" s="592" t="s">
        <v>2106</v>
      </c>
      <c r="F239" s="472" t="s">
        <v>1499</v>
      </c>
      <c r="G239" s="473" t="s">
        <v>41</v>
      </c>
      <c r="H239" s="404" t="s">
        <v>2082</v>
      </c>
      <c r="I239" s="364" t="s">
        <v>2084</v>
      </c>
      <c r="J239" s="594" t="s">
        <v>2174</v>
      </c>
      <c r="K239" s="549">
        <v>47559</v>
      </c>
      <c r="L239" s="349" t="s">
        <v>65</v>
      </c>
      <c r="M239" s="555" t="s">
        <v>568</v>
      </c>
      <c r="N239" s="348" t="s">
        <v>2083</v>
      </c>
      <c r="O239" s="355" t="s">
        <v>482</v>
      </c>
      <c r="P239" s="348" t="s">
        <v>2248</v>
      </c>
      <c r="Q239" s="343"/>
      <c r="R239" s="343"/>
      <c r="S239" s="344" t="s">
        <v>1256</v>
      </c>
      <c r="T239" s="345"/>
      <c r="U239" s="356">
        <f>MONTH(Table2[[#This Row],[Ngày
date]])</f>
        <v>6</v>
      </c>
      <c r="V239" s="617" t="str">
        <f t="shared" si="114"/>
        <v>17/03/2030</v>
      </c>
      <c r="W239" s="618" t="str">
        <f t="shared" si="115"/>
        <v>CHƯA NHẬP NGÀY</v>
      </c>
      <c r="X239" s="619" t="str">
        <f t="shared" si="116"/>
        <v>17/03/2026</v>
      </c>
      <c r="Y239" s="367" t="str">
        <f>HYPERLINK('Danh mục'!$D$1&amp;"20"&amp;MID(D239,8,2)&amp;"\"&amp;D239,D239)</f>
        <v>CC_660626-HCM HUY</v>
      </c>
      <c r="Z239" s="368">
        <f>YEAR(Table2[[#This Row],[Ngày
date]])</f>
        <v>2026</v>
      </c>
      <c r="AA239" s="368" t="str">
        <f t="shared" si="117"/>
        <v>HCM</v>
      </c>
    </row>
    <row r="240" spans="1:27" ht="51" x14ac:dyDescent="0.2">
      <c r="A240" s="616">
        <f t="shared" ref="A240:A245" si="118">ROW(C240)-4</f>
        <v>236</v>
      </c>
      <c r="B240" s="625" t="s">
        <v>2154</v>
      </c>
      <c r="C240" s="517">
        <v>46181</v>
      </c>
      <c r="D240" s="415" t="s">
        <v>2090</v>
      </c>
      <c r="E240" s="615"/>
      <c r="F240" s="472" t="s">
        <v>2085</v>
      </c>
      <c r="G240" s="473" t="s">
        <v>2086</v>
      </c>
      <c r="H240" s="404" t="s">
        <v>1119</v>
      </c>
      <c r="I240" s="364" t="s">
        <v>2087</v>
      </c>
      <c r="J240" s="594" t="s">
        <v>2089</v>
      </c>
      <c r="K240" s="549">
        <v>47327</v>
      </c>
      <c r="L240" s="349" t="s">
        <v>50</v>
      </c>
      <c r="M240" s="555" t="s">
        <v>568</v>
      </c>
      <c r="N240" s="348" t="s">
        <v>2088</v>
      </c>
      <c r="O240" s="355" t="s">
        <v>482</v>
      </c>
      <c r="P240" s="348" t="s">
        <v>2124</v>
      </c>
      <c r="Q240" s="343"/>
      <c r="R240" s="343" t="s">
        <v>1195</v>
      </c>
      <c r="S240" s="344" t="s">
        <v>1256</v>
      </c>
      <c r="T240" s="345"/>
      <c r="U240" s="356">
        <f>MONTH(Table2[[#This Row],[Ngày
date]])</f>
        <v>6</v>
      </c>
      <c r="V240" s="617" t="str">
        <f t="shared" si="114"/>
        <v>28/07/2029</v>
      </c>
      <c r="W240" s="618" t="str">
        <f t="shared" si="115"/>
        <v>CHƯA NHẬP NGÀY</v>
      </c>
      <c r="X240" s="619" t="str">
        <f t="shared" si="116"/>
        <v>28/07/2025</v>
      </c>
      <c r="Y240" s="367" t="str">
        <f>HYPERLINK('Danh mục'!$D$1&amp;"20"&amp;MID(D240,8,2)&amp;"\"&amp;D240,D240)</f>
        <v>CC_670626-HN</v>
      </c>
      <c r="Z240" s="368">
        <f>YEAR(Table2[[#This Row],[Ngày
date]])</f>
        <v>2026</v>
      </c>
      <c r="AA240" s="368" t="str">
        <f t="shared" si="117"/>
        <v>HN</v>
      </c>
    </row>
    <row r="241" spans="1:27" s="651" customFormat="1" ht="63.75" x14ac:dyDescent="0.2">
      <c r="A241" s="634">
        <f t="shared" si="118"/>
        <v>237</v>
      </c>
      <c r="B241" s="635" t="s">
        <v>2153</v>
      </c>
      <c r="C241" s="636">
        <v>46182</v>
      </c>
      <c r="D241" s="637" t="s">
        <v>2368</v>
      </c>
      <c r="E241" s="638"/>
      <c r="F241" s="661" t="s">
        <v>2091</v>
      </c>
      <c r="G241" s="639" t="s">
        <v>2092</v>
      </c>
      <c r="H241" s="640" t="s">
        <v>2093</v>
      </c>
      <c r="I241" s="663" t="s">
        <v>2094</v>
      </c>
      <c r="J241" s="664" t="s">
        <v>2247</v>
      </c>
      <c r="K241" s="688">
        <v>46793</v>
      </c>
      <c r="L241" s="644" t="s">
        <v>53</v>
      </c>
      <c r="M241" s="645" t="s">
        <v>2103</v>
      </c>
      <c r="N241" s="646" t="s">
        <v>2104</v>
      </c>
      <c r="O241" s="646" t="s">
        <v>2367</v>
      </c>
      <c r="P241" s="646" t="s">
        <v>2366</v>
      </c>
      <c r="Q241" s="644"/>
      <c r="R241" s="644"/>
      <c r="S241" s="646" t="s">
        <v>1256</v>
      </c>
      <c r="T241" s="647"/>
      <c r="U241" s="647">
        <f>MONTH(Table2[[#This Row],[Ngày
date]])</f>
        <v>6</v>
      </c>
      <c r="V241" s="648" t="str">
        <f t="shared" si="114"/>
        <v>10/02/2028</v>
      </c>
      <c r="W241" s="649" t="str">
        <f t="shared" si="115"/>
        <v>CHƯA NHẬP NGÀY</v>
      </c>
      <c r="X241" s="650" t="str">
        <f t="shared" si="116"/>
        <v>11/02/2026</v>
      </c>
      <c r="Y241" s="689" t="str">
        <f>HYPERLINK('Danh mục'!$D$1&amp;"20"&amp;MID(D241,8,2)&amp;"\"&amp;D241,D241)</f>
        <v>CC_680626-HN HUY</v>
      </c>
      <c r="Z241" s="651">
        <f>YEAR(Table2[[#This Row],[Ngày
date]])</f>
        <v>2026</v>
      </c>
      <c r="AA241" s="651" t="str">
        <f t="shared" si="117"/>
        <v>HN</v>
      </c>
    </row>
    <row r="242" spans="1:27" s="651" customFormat="1" ht="63.75" x14ac:dyDescent="0.2">
      <c r="A242" s="634">
        <f t="shared" si="118"/>
        <v>238</v>
      </c>
      <c r="B242" s="635" t="s">
        <v>2153</v>
      </c>
      <c r="C242" s="636">
        <v>46182</v>
      </c>
      <c r="D242" s="637" t="s">
        <v>2369</v>
      </c>
      <c r="E242" s="638"/>
      <c r="F242" s="661" t="s">
        <v>2091</v>
      </c>
      <c r="G242" s="639" t="s">
        <v>2092</v>
      </c>
      <c r="H242" s="690" t="s">
        <v>2095</v>
      </c>
      <c r="I242" s="663" t="s">
        <v>2097</v>
      </c>
      <c r="J242" s="664" t="s">
        <v>2064</v>
      </c>
      <c r="K242" s="688">
        <v>46698</v>
      </c>
      <c r="L242" s="644" t="s">
        <v>53</v>
      </c>
      <c r="M242" s="645" t="s">
        <v>2099</v>
      </c>
      <c r="N242" s="646" t="s">
        <v>2104</v>
      </c>
      <c r="O242" s="646" t="s">
        <v>2367</v>
      </c>
      <c r="P242" s="646" t="s">
        <v>2366</v>
      </c>
      <c r="Q242" s="644"/>
      <c r="R242" s="644"/>
      <c r="S242" s="646" t="s">
        <v>1256</v>
      </c>
      <c r="T242" s="647"/>
      <c r="U242" s="647">
        <f>MONTH(Table2[[#This Row],[Ngày
date]])</f>
        <v>6</v>
      </c>
      <c r="V242" s="648" t="str">
        <f t="shared" si="114"/>
        <v>07/11/2027</v>
      </c>
      <c r="W242" s="649" t="str">
        <f t="shared" si="115"/>
        <v>CHƯA NHẬP NGÀY</v>
      </c>
      <c r="X242" s="650" t="str">
        <f t="shared" si="116"/>
        <v>08/11/2025</v>
      </c>
      <c r="Y242" s="689" t="str">
        <f>HYPERLINK('Danh mục'!$D$1&amp;"20"&amp;MID(D242,8,2)&amp;"\"&amp;D242,D242)</f>
        <v>CC_690626-HN HUY</v>
      </c>
      <c r="Z242" s="651">
        <f>YEAR(Table2[[#This Row],[Ngày
date]])</f>
        <v>2026</v>
      </c>
      <c r="AA242" s="651" t="str">
        <f t="shared" si="117"/>
        <v>HN</v>
      </c>
    </row>
    <row r="243" spans="1:27" s="651" customFormat="1" ht="63.75" x14ac:dyDescent="0.2">
      <c r="A243" s="634">
        <f t="shared" si="118"/>
        <v>239</v>
      </c>
      <c r="B243" s="635" t="s">
        <v>2153</v>
      </c>
      <c r="C243" s="636">
        <v>46182</v>
      </c>
      <c r="D243" s="637" t="s">
        <v>2370</v>
      </c>
      <c r="E243" s="638"/>
      <c r="F243" s="661" t="s">
        <v>2091</v>
      </c>
      <c r="G243" s="639" t="s">
        <v>2092</v>
      </c>
      <c r="H243" s="690" t="s">
        <v>2095</v>
      </c>
      <c r="I243" s="663" t="s">
        <v>2100</v>
      </c>
      <c r="J243" s="664" t="s">
        <v>2064</v>
      </c>
      <c r="K243" s="688">
        <v>46698</v>
      </c>
      <c r="L243" s="644" t="s">
        <v>53</v>
      </c>
      <c r="M243" s="645" t="s">
        <v>2101</v>
      </c>
      <c r="N243" s="646" t="s">
        <v>2104</v>
      </c>
      <c r="O243" s="646" t="s">
        <v>2367</v>
      </c>
      <c r="P243" s="646" t="s">
        <v>2366</v>
      </c>
      <c r="Q243" s="644"/>
      <c r="R243" s="644"/>
      <c r="S243" s="646" t="s">
        <v>1256</v>
      </c>
      <c r="T243" s="647"/>
      <c r="U243" s="647">
        <f>MONTH(Table2[[#This Row],[Ngày
date]])</f>
        <v>6</v>
      </c>
      <c r="V243" s="648" t="str">
        <f t="shared" si="114"/>
        <v>07/11/2027</v>
      </c>
      <c r="W243" s="649" t="str">
        <f t="shared" si="115"/>
        <v>CHƯA NHẬP NGÀY</v>
      </c>
      <c r="X243" s="650" t="str">
        <f t="shared" si="116"/>
        <v>08/11/2025</v>
      </c>
      <c r="Y243" s="689" t="str">
        <f>HYPERLINK('Danh mục'!$D$1&amp;"20"&amp;MID(D243,8,2)&amp;"\"&amp;D243,D243)</f>
        <v>CC_700626-HN HUY</v>
      </c>
      <c r="Z243" s="651">
        <f>YEAR(Table2[[#This Row],[Ngày
date]])</f>
        <v>2026</v>
      </c>
      <c r="AA243" s="651" t="str">
        <f t="shared" si="117"/>
        <v>HN</v>
      </c>
    </row>
    <row r="244" spans="1:27" s="651" customFormat="1" ht="63.75" x14ac:dyDescent="0.2">
      <c r="A244" s="634">
        <f t="shared" si="118"/>
        <v>240</v>
      </c>
      <c r="B244" s="635" t="s">
        <v>2153</v>
      </c>
      <c r="C244" s="636">
        <v>46182</v>
      </c>
      <c r="D244" s="637" t="s">
        <v>2371</v>
      </c>
      <c r="E244" s="638"/>
      <c r="F244" s="661" t="s">
        <v>2091</v>
      </c>
      <c r="G244" s="639" t="s">
        <v>2092</v>
      </c>
      <c r="H244" s="690" t="s">
        <v>2096</v>
      </c>
      <c r="I244" s="663" t="s">
        <v>2102</v>
      </c>
      <c r="J244" s="664" t="s">
        <v>2246</v>
      </c>
      <c r="K244" s="688">
        <v>47164</v>
      </c>
      <c r="L244" s="644" t="s">
        <v>53</v>
      </c>
      <c r="M244" s="645" t="s">
        <v>2098</v>
      </c>
      <c r="N244" s="646" t="s">
        <v>2104</v>
      </c>
      <c r="O244" s="646" t="s">
        <v>2367</v>
      </c>
      <c r="P244" s="646" t="s">
        <v>2366</v>
      </c>
      <c r="Q244" s="644"/>
      <c r="R244" s="644"/>
      <c r="S244" s="646" t="s">
        <v>1256</v>
      </c>
      <c r="T244" s="647"/>
      <c r="U244" s="647">
        <f>MONTH(Table2[[#This Row],[Ngày
date]])</f>
        <v>6</v>
      </c>
      <c r="V244" s="648" t="str">
        <f t="shared" si="114"/>
        <v>15/02/2029</v>
      </c>
      <c r="W244" s="649" t="str">
        <f t="shared" si="115"/>
        <v>CHƯA NHẬP NGÀY</v>
      </c>
      <c r="X244" s="650" t="str">
        <f t="shared" si="116"/>
        <v>16/02/2026</v>
      </c>
      <c r="Y244" s="689" t="str">
        <f>HYPERLINK('Danh mục'!$D$1&amp;"20"&amp;MID(D244,8,2)&amp;"\"&amp;D244,D244)</f>
        <v>CC_710626-HN HUY</v>
      </c>
      <c r="Z244" s="651">
        <f>YEAR(Table2[[#This Row],[Ngày
date]])</f>
        <v>2026</v>
      </c>
      <c r="AA244" s="651" t="str">
        <f t="shared" si="117"/>
        <v>HN</v>
      </c>
    </row>
    <row r="245" spans="1:27" ht="51" x14ac:dyDescent="0.2">
      <c r="A245" s="621">
        <f t="shared" si="118"/>
        <v>241</v>
      </c>
      <c r="B245" s="626" t="s">
        <v>2150</v>
      </c>
      <c r="C245" s="517">
        <v>46184</v>
      </c>
      <c r="D245" s="415" t="s">
        <v>2108</v>
      </c>
      <c r="E245" s="620" t="s">
        <v>2113</v>
      </c>
      <c r="F245" s="472" t="s">
        <v>2107</v>
      </c>
      <c r="G245" s="473" t="s">
        <v>2109</v>
      </c>
      <c r="H245" s="414" t="s">
        <v>129</v>
      </c>
      <c r="I245" s="492" t="s">
        <v>2110</v>
      </c>
      <c r="J245" s="594" t="s">
        <v>2112</v>
      </c>
      <c r="K245" s="549">
        <v>46812</v>
      </c>
      <c r="L245" s="349" t="s">
        <v>65</v>
      </c>
      <c r="M245" s="555" t="s">
        <v>568</v>
      </c>
      <c r="N245" s="348" t="s">
        <v>2111</v>
      </c>
      <c r="O245" s="355" t="s">
        <v>2447</v>
      </c>
      <c r="P245" s="348" t="s">
        <v>2081</v>
      </c>
      <c r="Q245" s="343" t="s">
        <v>1208</v>
      </c>
      <c r="R245" s="343" t="s">
        <v>759</v>
      </c>
      <c r="S245" s="344" t="s">
        <v>1255</v>
      </c>
      <c r="T245" s="345"/>
      <c r="U245" s="356">
        <f>MONTH(Table2[[#This Row],[Ngày
date]])</f>
        <v>6</v>
      </c>
      <c r="V245" s="622" t="str">
        <f t="shared" ref="V245:V250" si="119">IF(K245="","CHƯA NHẬP NGÀY",TEXT(K245,"dd/mm/yyyy"))</f>
        <v>29/02/2028</v>
      </c>
      <c r="W245" s="623" t="str">
        <f t="shared" ref="W245:W250" si="120">IF(T245="","CHƯA NHẬP NGÀY",TEXT(T245,"dd/mm/yyyy"))</f>
        <v>CHƯA NHẬP NGÀY</v>
      </c>
      <c r="X245" s="624" t="str">
        <f t="shared" ref="X245:X250" si="121">IF(J245="","CHƯA NHẬP NGÀY",TEXT(J245,"dd/mm/yyyy"))</f>
        <v>18/08/2025</v>
      </c>
      <c r="Y245" s="367" t="str">
        <f>HYPERLINK('Danh mục'!$D$1&amp;"20"&amp;MID(D245,8,2)&amp;"\"&amp;D245,D245)</f>
        <v>CC_720626-HCM</v>
      </c>
      <c r="Z245" s="368">
        <f>YEAR(Table2[[#This Row],[Ngày
date]])</f>
        <v>2026</v>
      </c>
      <c r="AA245" s="368" t="str">
        <f t="shared" ref="AA245:AA250" si="122">IF(ISNUMBER(SEARCH("HCM",D245)),"HCM",
IF(ISNUMBER(SEARCH("HN",D245)),"HN",
IF(ISNUMBER(SEARCH("ĐN",D245)),"ĐN","")))</f>
        <v>HCM</v>
      </c>
    </row>
    <row r="246" spans="1:27" ht="38.25" x14ac:dyDescent="0.2">
      <c r="A246" s="621">
        <f t="shared" ref="A246:A251" si="123">ROW(C246)-4</f>
        <v>242</v>
      </c>
      <c r="B246" s="626" t="s">
        <v>2151</v>
      </c>
      <c r="C246" s="517">
        <v>46185</v>
      </c>
      <c r="D246" s="415" t="s">
        <v>2117</v>
      </c>
      <c r="E246" s="592" t="s">
        <v>2122</v>
      </c>
      <c r="F246" s="472" t="s">
        <v>2116</v>
      </c>
      <c r="G246" s="473" t="s">
        <v>2118</v>
      </c>
      <c r="H246" s="414" t="s">
        <v>2119</v>
      </c>
      <c r="I246" s="492" t="s">
        <v>2120</v>
      </c>
      <c r="J246" s="374">
        <v>45894</v>
      </c>
      <c r="K246" s="549">
        <v>46965</v>
      </c>
      <c r="L246" s="349" t="s">
        <v>65</v>
      </c>
      <c r="M246" s="555" t="s">
        <v>568</v>
      </c>
      <c r="N246" s="348" t="s">
        <v>2121</v>
      </c>
      <c r="O246" s="355" t="s">
        <v>482</v>
      </c>
      <c r="P246" s="348" t="s">
        <v>2081</v>
      </c>
      <c r="Q246" s="343" t="s">
        <v>1208</v>
      </c>
      <c r="R246" s="343" t="s">
        <v>759</v>
      </c>
      <c r="S246" s="344" t="s">
        <v>1255</v>
      </c>
      <c r="T246" s="345">
        <v>46195</v>
      </c>
      <c r="U246" s="356">
        <f>MONTH(Table2[[#This Row],[Ngày
date]])</f>
        <v>6</v>
      </c>
      <c r="V246" s="622" t="str">
        <f t="shared" si="119"/>
        <v>31/07/2028</v>
      </c>
      <c r="W246" s="623" t="str">
        <f t="shared" si="120"/>
        <v>22/06/2026</v>
      </c>
      <c r="X246" s="624" t="str">
        <f t="shared" si="121"/>
        <v>25/08/2025</v>
      </c>
      <c r="Y246" s="367" t="str">
        <f>HYPERLINK('Danh mục'!$D$1&amp;"20"&amp;MID(D246,8,2)&amp;"\"&amp;D246,D246)</f>
        <v>CC_730626-HCM</v>
      </c>
      <c r="Z246" s="368">
        <f>YEAR(Table2[[#This Row],[Ngày
date]])</f>
        <v>2026</v>
      </c>
      <c r="AA246" s="368" t="str">
        <f t="shared" si="122"/>
        <v>HCM</v>
      </c>
    </row>
    <row r="247" spans="1:27" ht="93" customHeight="1" x14ac:dyDescent="0.2">
      <c r="A247" s="621">
        <f t="shared" si="123"/>
        <v>243</v>
      </c>
      <c r="B247" s="626" t="s">
        <v>2152</v>
      </c>
      <c r="C247" s="517">
        <v>46188</v>
      </c>
      <c r="D247" s="415" t="s">
        <v>2169</v>
      </c>
      <c r="E247" s="620" t="s">
        <v>2134</v>
      </c>
      <c r="F247" s="472" t="s">
        <v>2135</v>
      </c>
      <c r="G247" s="473" t="s">
        <v>2136</v>
      </c>
      <c r="H247" s="414" t="s">
        <v>581</v>
      </c>
      <c r="I247" s="492" t="s">
        <v>2137</v>
      </c>
      <c r="J247" s="455">
        <v>45813</v>
      </c>
      <c r="K247" s="549">
        <v>46909</v>
      </c>
      <c r="L247" s="349" t="s">
        <v>714</v>
      </c>
      <c r="M247" s="555" t="s">
        <v>2138</v>
      </c>
      <c r="N247" s="348" t="s">
        <v>2139</v>
      </c>
      <c r="O247" s="355" t="s">
        <v>2447</v>
      </c>
      <c r="P247" s="348" t="s">
        <v>2148</v>
      </c>
      <c r="Q247" s="343" t="s">
        <v>1194</v>
      </c>
      <c r="R247" s="343" t="s">
        <v>1056</v>
      </c>
      <c r="S247" s="344" t="s">
        <v>1256</v>
      </c>
      <c r="T247" s="345"/>
      <c r="U247" s="356">
        <f>MONTH(Table2[[#This Row],[Ngày
date]])</f>
        <v>6</v>
      </c>
      <c r="V247" s="622" t="str">
        <f t="shared" si="119"/>
        <v>05/06/2028</v>
      </c>
      <c r="W247" s="623" t="str">
        <f t="shared" si="120"/>
        <v>CHƯA NHẬP NGÀY</v>
      </c>
      <c r="X247" s="624" t="str">
        <f t="shared" si="121"/>
        <v>05/06/2025</v>
      </c>
      <c r="Y247" s="367" t="str">
        <f>HYPERLINK('Danh mục'!$D$1&amp;"20"&amp;MID(D247,8,2)&amp;"\"&amp;D247,D247)</f>
        <v>CC_740626-ĐN HUY</v>
      </c>
      <c r="Z247" s="368">
        <f>YEAR(Table2[[#This Row],[Ngày
date]])</f>
        <v>2026</v>
      </c>
      <c r="AA247" s="368" t="str">
        <f t="shared" si="122"/>
        <v>ĐN</v>
      </c>
    </row>
    <row r="248" spans="1:27" ht="51" x14ac:dyDescent="0.2">
      <c r="A248" s="621">
        <f t="shared" si="123"/>
        <v>244</v>
      </c>
      <c r="B248" s="626" t="s">
        <v>2151</v>
      </c>
      <c r="C248" s="517">
        <v>46189</v>
      </c>
      <c r="D248" s="415" t="s">
        <v>2123</v>
      </c>
      <c r="E248" s="592" t="s">
        <v>2128</v>
      </c>
      <c r="F248" s="472" t="s">
        <v>2125</v>
      </c>
      <c r="G248" s="473" t="s">
        <v>2127</v>
      </c>
      <c r="H248" s="414" t="s">
        <v>1092</v>
      </c>
      <c r="I248" s="492" t="s">
        <v>2126</v>
      </c>
      <c r="J248" s="455">
        <v>45614</v>
      </c>
      <c r="K248" s="549">
        <v>46691</v>
      </c>
      <c r="L248" s="349" t="s">
        <v>507</v>
      </c>
      <c r="M248" s="555" t="s">
        <v>568</v>
      </c>
      <c r="N248" s="348" t="s">
        <v>2167</v>
      </c>
      <c r="O248" s="344" t="s">
        <v>482</v>
      </c>
      <c r="P248" s="348" t="s">
        <v>2168</v>
      </c>
      <c r="Q248" s="343"/>
      <c r="R248" s="343"/>
      <c r="S248" s="344" t="s">
        <v>798</v>
      </c>
      <c r="T248" s="345"/>
      <c r="U248" s="356">
        <f>MONTH(Table2[[#This Row],[Ngày
date]])</f>
        <v>6</v>
      </c>
      <c r="V248" s="622" t="str">
        <f t="shared" si="119"/>
        <v>31/10/2027</v>
      </c>
      <c r="W248" s="623" t="str">
        <f t="shared" si="120"/>
        <v>CHƯA NHẬP NGÀY</v>
      </c>
      <c r="X248" s="624" t="str">
        <f t="shared" si="121"/>
        <v>18/11/2024</v>
      </c>
      <c r="Y248" s="367" t="str">
        <f>HYPERLINK('Danh mục'!$D$1&amp;"20"&amp;MID(D248,8,2)&amp;"\"&amp;D248,D248)</f>
        <v>CC_750626-HCM</v>
      </c>
      <c r="Z248" s="368">
        <f>YEAR(Table2[[#This Row],[Ngày
date]])</f>
        <v>2026</v>
      </c>
      <c r="AA248" s="368" t="str">
        <f t="shared" si="122"/>
        <v>HCM</v>
      </c>
    </row>
    <row r="249" spans="1:27" ht="38.25" x14ac:dyDescent="0.2">
      <c r="A249" s="621">
        <f t="shared" si="123"/>
        <v>245</v>
      </c>
      <c r="B249" s="626" t="s">
        <v>2150</v>
      </c>
      <c r="C249" s="517">
        <v>46191</v>
      </c>
      <c r="D249" s="415" t="s">
        <v>2145</v>
      </c>
      <c r="E249" s="620"/>
      <c r="F249" s="488" t="s">
        <v>2140</v>
      </c>
      <c r="G249" s="488" t="s">
        <v>2147</v>
      </c>
      <c r="H249" s="404" t="s">
        <v>2142</v>
      </c>
      <c r="I249" s="364" t="s">
        <v>2143</v>
      </c>
      <c r="J249" s="597" t="s">
        <v>2245</v>
      </c>
      <c r="K249" s="550">
        <v>46446</v>
      </c>
      <c r="L249" s="334" t="s">
        <v>15</v>
      </c>
      <c r="M249" s="558" t="s">
        <v>568</v>
      </c>
      <c r="N249" s="335" t="s">
        <v>1488</v>
      </c>
      <c r="O249" s="344" t="s">
        <v>482</v>
      </c>
      <c r="P249" s="348" t="s">
        <v>2081</v>
      </c>
      <c r="Q249" s="343"/>
      <c r="R249" s="343" t="s">
        <v>1056</v>
      </c>
      <c r="S249" s="344" t="s">
        <v>798</v>
      </c>
      <c r="T249" s="345"/>
      <c r="U249" s="356">
        <f>MONTH(Table2[[#This Row],[Ngày
date]])</f>
        <v>6</v>
      </c>
      <c r="V249" s="622" t="str">
        <f t="shared" si="119"/>
        <v>28/02/2027</v>
      </c>
      <c r="W249" s="623" t="str">
        <f t="shared" si="120"/>
        <v>CHƯA NHẬP NGÀY</v>
      </c>
      <c r="X249" s="624" t="str">
        <f t="shared" si="121"/>
        <v>15/02/2024</v>
      </c>
      <c r="Y249" s="367" t="str">
        <f>HYPERLINK('Danh mục'!$D$1&amp;"20"&amp;MID(D249,8,2)&amp;"\"&amp;D249,D249)</f>
        <v>CC_760626-HN</v>
      </c>
      <c r="Z249" s="368">
        <f>YEAR(Table2[[#This Row],[Ngày
date]])</f>
        <v>2026</v>
      </c>
      <c r="AA249" s="368" t="str">
        <f t="shared" si="122"/>
        <v>HN</v>
      </c>
    </row>
    <row r="250" spans="1:27" ht="38.25" x14ac:dyDescent="0.2">
      <c r="A250" s="621">
        <f t="shared" si="123"/>
        <v>246</v>
      </c>
      <c r="B250" s="626" t="s">
        <v>2150</v>
      </c>
      <c r="C250" s="517">
        <v>46191</v>
      </c>
      <c r="D250" s="415" t="s">
        <v>2146</v>
      </c>
      <c r="E250" s="620"/>
      <c r="F250" s="472" t="s">
        <v>2144</v>
      </c>
      <c r="G250" s="488" t="s">
        <v>2141</v>
      </c>
      <c r="H250" s="414" t="s">
        <v>1888</v>
      </c>
      <c r="I250" s="492" t="s">
        <v>1889</v>
      </c>
      <c r="J250" s="442">
        <v>45315</v>
      </c>
      <c r="K250" s="549">
        <v>46418</v>
      </c>
      <c r="L250" s="334" t="s">
        <v>15</v>
      </c>
      <c r="M250" s="558" t="s">
        <v>568</v>
      </c>
      <c r="N250" s="335" t="s">
        <v>1488</v>
      </c>
      <c r="O250" s="344" t="s">
        <v>482</v>
      </c>
      <c r="P250" s="348" t="s">
        <v>2081</v>
      </c>
      <c r="Q250" s="343"/>
      <c r="R250" s="343" t="s">
        <v>1056</v>
      </c>
      <c r="S250" s="344" t="s">
        <v>798</v>
      </c>
      <c r="T250" s="345"/>
      <c r="U250" s="356">
        <f>MONTH(Table2[[#This Row],[Ngày
date]])</f>
        <v>6</v>
      </c>
      <c r="V250" s="622" t="str">
        <f t="shared" si="119"/>
        <v>31/01/2027</v>
      </c>
      <c r="W250" s="623" t="str">
        <f t="shared" si="120"/>
        <v>CHƯA NHẬP NGÀY</v>
      </c>
      <c r="X250" s="624" t="str">
        <f t="shared" si="121"/>
        <v>24/01/2024</v>
      </c>
      <c r="Y250" s="367" t="str">
        <f>HYPERLINK('Danh mục'!$D$1&amp;"20"&amp;MID(D250,8,2)&amp;"\"&amp;D250,D250)</f>
        <v>CC_770626-HN</v>
      </c>
      <c r="Z250" s="368">
        <f>YEAR(Table2[[#This Row],[Ngày
date]])</f>
        <v>2026</v>
      </c>
      <c r="AA250" s="368" t="str">
        <f t="shared" si="122"/>
        <v>HN</v>
      </c>
    </row>
    <row r="251" spans="1:27" s="651" customFormat="1" ht="48" customHeight="1" x14ac:dyDescent="0.2">
      <c r="A251" s="634">
        <f t="shared" si="123"/>
        <v>247</v>
      </c>
      <c r="B251" s="635" t="s">
        <v>2152</v>
      </c>
      <c r="C251" s="636">
        <v>46197</v>
      </c>
      <c r="D251" s="637" t="s">
        <v>2207</v>
      </c>
      <c r="E251" s="638"/>
      <c r="F251" s="639" t="s">
        <v>2171</v>
      </c>
      <c r="G251" s="639" t="s">
        <v>1478</v>
      </c>
      <c r="H251" s="640" t="s">
        <v>1678</v>
      </c>
      <c r="I251" s="641" t="s">
        <v>2172</v>
      </c>
      <c r="J251" s="642">
        <v>45798</v>
      </c>
      <c r="K251" s="643">
        <v>46507</v>
      </c>
      <c r="L251" s="644" t="s">
        <v>33</v>
      </c>
      <c r="M251" s="645" t="s">
        <v>568</v>
      </c>
      <c r="N251" s="646" t="s">
        <v>2206</v>
      </c>
      <c r="O251" s="646" t="s">
        <v>736</v>
      </c>
      <c r="P251" s="646" t="s">
        <v>2205</v>
      </c>
      <c r="Q251" s="644"/>
      <c r="R251" s="644" t="s">
        <v>1056</v>
      </c>
      <c r="S251" s="646" t="s">
        <v>1256</v>
      </c>
      <c r="T251" s="647"/>
      <c r="U251" s="647">
        <f>MONTH(Table2[[#This Row],[Ngày
date]])</f>
        <v>6</v>
      </c>
      <c r="V251" s="648" t="str">
        <f t="shared" ref="V251:V256" si="124">IF(K251="","CHƯA NHẬP NGÀY",TEXT(K251,"dd/mm/yyyy"))</f>
        <v>30/04/2027</v>
      </c>
      <c r="W251" s="649" t="str">
        <f t="shared" ref="W251:W256" si="125">IF(T251="","CHƯA NHẬP NGÀY",TEXT(T251,"dd/mm/yyyy"))</f>
        <v>CHƯA NHẬP NGÀY</v>
      </c>
      <c r="X251" s="650" t="str">
        <f t="shared" ref="X251:X256" si="126">IF(J251="","CHƯA NHẬP NGÀY",TEXT(J251,"dd/mm/yyyy"))</f>
        <v>21/05/2025</v>
      </c>
      <c r="Y251" s="367" t="str">
        <f>HYPERLINK('Danh mục'!$D$1&amp;"20"&amp;MID(D251,8,2)&amp;"\"&amp;D251,D251)</f>
        <v>CC_780626-HN HUY</v>
      </c>
      <c r="Z251" s="651">
        <f>YEAR(Table2[[#This Row],[Ngày
date]])</f>
        <v>2026</v>
      </c>
      <c r="AA251" s="651" t="str">
        <f t="shared" ref="AA251:AA256" si="127">IF(ISNUMBER(SEARCH("HCM",D251)),"HCM",
IF(ISNUMBER(SEARCH("HN",D251)),"HN",
IF(ISNUMBER(SEARCH("ĐN",D251)),"ĐN","")))</f>
        <v>HN</v>
      </c>
    </row>
    <row r="252" spans="1:27" ht="51" x14ac:dyDescent="0.2">
      <c r="A252" s="621">
        <f t="shared" ref="A252:A257" si="128">ROW(C252)-4</f>
        <v>248</v>
      </c>
      <c r="B252" s="626" t="s">
        <v>2150</v>
      </c>
      <c r="C252" s="517">
        <v>46203</v>
      </c>
      <c r="D252" s="415" t="s">
        <v>2179</v>
      </c>
      <c r="E252" s="620" t="s">
        <v>2175</v>
      </c>
      <c r="F252" s="472" t="s">
        <v>2176</v>
      </c>
      <c r="G252" s="473" t="s">
        <v>2178</v>
      </c>
      <c r="H252" s="414" t="s">
        <v>2177</v>
      </c>
      <c r="I252" s="492" t="s">
        <v>2180</v>
      </c>
      <c r="J252" s="442">
        <v>45594</v>
      </c>
      <c r="K252" s="549">
        <v>46660</v>
      </c>
      <c r="L252" s="349" t="s">
        <v>1147</v>
      </c>
      <c r="M252" s="555" t="s">
        <v>2182</v>
      </c>
      <c r="N252" s="344" t="s">
        <v>2181</v>
      </c>
      <c r="O252" s="355" t="s">
        <v>2447</v>
      </c>
      <c r="P252" s="348" t="s">
        <v>2363</v>
      </c>
      <c r="Q252" s="343" t="s">
        <v>2080</v>
      </c>
      <c r="R252" s="343" t="s">
        <v>1056</v>
      </c>
      <c r="S252" s="344" t="s">
        <v>816</v>
      </c>
      <c r="T252" s="345"/>
      <c r="U252" s="356">
        <f>MONTH(Table2[[#This Row],[Ngày
date]])</f>
        <v>6</v>
      </c>
      <c r="V252" s="622" t="str">
        <f t="shared" si="124"/>
        <v>30/09/2027</v>
      </c>
      <c r="W252" s="623" t="str">
        <f t="shared" si="125"/>
        <v>CHƯA NHẬP NGÀY</v>
      </c>
      <c r="X252" s="624" t="str">
        <f t="shared" si="126"/>
        <v>29/10/2024</v>
      </c>
      <c r="Y252" s="367" t="str">
        <f>HYPERLINK('Danh mục'!$D$1&amp;"20"&amp;MID(D252,8,2)&amp;"\"&amp;D252,D252)</f>
        <v>CC_790626-ĐN</v>
      </c>
      <c r="Z252" s="368">
        <f>YEAR(Table2[[#This Row],[Ngày
date]])</f>
        <v>2026</v>
      </c>
      <c r="AA252" s="368" t="str">
        <f t="shared" si="127"/>
        <v>ĐN</v>
      </c>
    </row>
    <row r="253" spans="1:27" ht="38.25" x14ac:dyDescent="0.2">
      <c r="A253" s="621">
        <f t="shared" si="128"/>
        <v>249</v>
      </c>
      <c r="B253" s="626" t="s">
        <v>2153</v>
      </c>
      <c r="C253" s="517">
        <v>46204</v>
      </c>
      <c r="D253" s="415" t="s">
        <v>2183</v>
      </c>
      <c r="E253" s="620" t="s">
        <v>2190</v>
      </c>
      <c r="F253" s="472" t="s">
        <v>1927</v>
      </c>
      <c r="G253" s="473" t="s">
        <v>1930</v>
      </c>
      <c r="H253" s="414" t="s">
        <v>876</v>
      </c>
      <c r="I253" s="492" t="s">
        <v>1805</v>
      </c>
      <c r="J253" s="442">
        <v>45807</v>
      </c>
      <c r="K253" s="549">
        <v>46994</v>
      </c>
      <c r="L253" s="349" t="s">
        <v>523</v>
      </c>
      <c r="M253" s="555" t="s">
        <v>1817</v>
      </c>
      <c r="N253" s="344" t="s">
        <v>1932</v>
      </c>
      <c r="O253" s="355" t="s">
        <v>482</v>
      </c>
      <c r="P253" s="348" t="s">
        <v>2081</v>
      </c>
      <c r="Q253" s="343"/>
      <c r="R253" s="343"/>
      <c r="S253" s="344" t="s">
        <v>1255</v>
      </c>
      <c r="T253" s="345"/>
      <c r="U253" s="356">
        <f>MONTH(Table2[[#This Row],[Ngày
date]])</f>
        <v>7</v>
      </c>
      <c r="V253" s="622" t="str">
        <f t="shared" si="124"/>
        <v>29/08/2028</v>
      </c>
      <c r="W253" s="623" t="str">
        <f t="shared" si="125"/>
        <v>CHƯA NHẬP NGÀY</v>
      </c>
      <c r="X253" s="624" t="str">
        <f t="shared" si="126"/>
        <v>30/05/2025</v>
      </c>
      <c r="Y253" s="367" t="str">
        <f>HYPERLINK('Danh mục'!$D$1&amp;"20"&amp;MID(D253,8,2)&amp;"\"&amp;D253,D253)</f>
        <v>CC_800726-HCM</v>
      </c>
      <c r="Z253" s="368">
        <f>YEAR(Table2[[#This Row],[Ngày
date]])</f>
        <v>2026</v>
      </c>
      <c r="AA253" s="368" t="str">
        <f t="shared" si="127"/>
        <v>HCM</v>
      </c>
    </row>
    <row r="254" spans="1:27" ht="51" x14ac:dyDescent="0.2">
      <c r="A254" s="621">
        <f t="shared" si="128"/>
        <v>250</v>
      </c>
      <c r="B254" s="626" t="s">
        <v>2151</v>
      </c>
      <c r="C254" s="517">
        <v>46204</v>
      </c>
      <c r="D254" s="415" t="s">
        <v>2184</v>
      </c>
      <c r="E254" s="592" t="s">
        <v>2185</v>
      </c>
      <c r="F254" s="472" t="s">
        <v>2186</v>
      </c>
      <c r="G254" s="473" t="s">
        <v>2189</v>
      </c>
      <c r="H254" s="414" t="s">
        <v>1092</v>
      </c>
      <c r="I254" s="492" t="s">
        <v>2187</v>
      </c>
      <c r="J254" s="442">
        <v>45582</v>
      </c>
      <c r="K254" s="549">
        <v>46660</v>
      </c>
      <c r="L254" s="349" t="s">
        <v>507</v>
      </c>
      <c r="M254" s="627" t="s">
        <v>568</v>
      </c>
      <c r="N254" s="344" t="s">
        <v>2188</v>
      </c>
      <c r="O254" s="355" t="s">
        <v>2447</v>
      </c>
      <c r="P254" s="348" t="s">
        <v>2081</v>
      </c>
      <c r="Q254" s="343" t="s">
        <v>1777</v>
      </c>
      <c r="R254" s="343" t="s">
        <v>1056</v>
      </c>
      <c r="S254" s="344" t="s">
        <v>798</v>
      </c>
      <c r="T254" s="345"/>
      <c r="U254" s="356">
        <f>MONTH(Table2[[#This Row],[Ngày
date]])</f>
        <v>7</v>
      </c>
      <c r="V254" s="622" t="str">
        <f t="shared" si="124"/>
        <v>30/09/2027</v>
      </c>
      <c r="W254" s="623" t="str">
        <f t="shared" si="125"/>
        <v>CHƯA NHẬP NGÀY</v>
      </c>
      <c r="X254" s="624" t="str">
        <f t="shared" si="126"/>
        <v>17/10/2024</v>
      </c>
      <c r="Y254" s="367" t="str">
        <f>HYPERLINK('Danh mục'!$D$1&amp;"20"&amp;MID(D254,8,2)&amp;"\"&amp;D254,D254)</f>
        <v>CC_810726-ĐN</v>
      </c>
      <c r="Z254" s="368">
        <f>YEAR(Table2[[#This Row],[Ngày
date]])</f>
        <v>2026</v>
      </c>
      <c r="AA254" s="368" t="str">
        <f t="shared" si="127"/>
        <v>ĐN</v>
      </c>
    </row>
    <row r="255" spans="1:27" ht="63.75" x14ac:dyDescent="0.2">
      <c r="A255" s="621">
        <f t="shared" si="128"/>
        <v>251</v>
      </c>
      <c r="B255" s="626" t="s">
        <v>2150</v>
      </c>
      <c r="C255" s="517">
        <v>46204</v>
      </c>
      <c r="D255" s="415" t="s">
        <v>2365</v>
      </c>
      <c r="E255" s="592" t="s">
        <v>2191</v>
      </c>
      <c r="F255" s="472" t="s">
        <v>2192</v>
      </c>
      <c r="G255" s="473" t="s">
        <v>253</v>
      </c>
      <c r="H255" s="414" t="s">
        <v>2177</v>
      </c>
      <c r="I255" s="492" t="s">
        <v>2180</v>
      </c>
      <c r="J255" s="442">
        <v>45594</v>
      </c>
      <c r="K255" s="549">
        <v>46660</v>
      </c>
      <c r="L255" s="349" t="s">
        <v>1147</v>
      </c>
      <c r="M255" s="627" t="s">
        <v>2193</v>
      </c>
      <c r="N255" s="344" t="s">
        <v>2181</v>
      </c>
      <c r="O255" s="355" t="s">
        <v>2447</v>
      </c>
      <c r="P255" s="348" t="s">
        <v>2364</v>
      </c>
      <c r="Q255" s="343"/>
      <c r="R255" s="343"/>
      <c r="S255" s="344" t="s">
        <v>1256</v>
      </c>
      <c r="T255" s="345"/>
      <c r="U255" s="356">
        <f>MONTH(Table2[[#This Row],[Ngày
date]])</f>
        <v>7</v>
      </c>
      <c r="V255" s="622" t="str">
        <f t="shared" si="124"/>
        <v>30/09/2027</v>
      </c>
      <c r="W255" s="623" t="str">
        <f t="shared" si="125"/>
        <v>CHƯA NHẬP NGÀY</v>
      </c>
      <c r="X255" s="624" t="str">
        <f t="shared" si="126"/>
        <v>29/10/2024</v>
      </c>
      <c r="Y255" s="367" t="str">
        <f>HYPERLINK('Danh mục'!$D$1&amp;"20"&amp;MID(D255,8,2)&amp;"\"&amp;D255,D255)</f>
        <v>CC_820726-HCM HUY</v>
      </c>
      <c r="Z255" s="368">
        <f>YEAR(Table2[[#This Row],[Ngày
date]])</f>
        <v>2026</v>
      </c>
      <c r="AA255" s="368" t="str">
        <f t="shared" si="127"/>
        <v>HCM</v>
      </c>
    </row>
    <row r="256" spans="1:27" ht="102" x14ac:dyDescent="0.2">
      <c r="A256" s="630">
        <f t="shared" si="128"/>
        <v>252</v>
      </c>
      <c r="B256" s="628" t="s">
        <v>2158</v>
      </c>
      <c r="C256" s="517">
        <v>46206</v>
      </c>
      <c r="D256" s="415" t="s">
        <v>2200</v>
      </c>
      <c r="E256" s="629" t="s">
        <v>2191</v>
      </c>
      <c r="F256" s="472" t="s">
        <v>1925</v>
      </c>
      <c r="G256" s="473" t="s">
        <v>1926</v>
      </c>
      <c r="H256" s="404" t="s">
        <v>2202</v>
      </c>
      <c r="I256" s="364" t="s">
        <v>2203</v>
      </c>
      <c r="J256" s="442">
        <v>46003</v>
      </c>
      <c r="K256" s="549">
        <v>46732</v>
      </c>
      <c r="L256" s="349" t="s">
        <v>1147</v>
      </c>
      <c r="M256" s="627" t="s">
        <v>1752</v>
      </c>
      <c r="N256" s="344" t="s">
        <v>2201</v>
      </c>
      <c r="O256" s="355" t="s">
        <v>2447</v>
      </c>
      <c r="P256" s="348" t="s">
        <v>2204</v>
      </c>
      <c r="Q256" s="343" t="s">
        <v>1208</v>
      </c>
      <c r="R256" s="343" t="s">
        <v>759</v>
      </c>
      <c r="S256" s="344" t="s">
        <v>799</v>
      </c>
      <c r="T256" s="345"/>
      <c r="U256" s="356">
        <f>MONTH(Table2[[#This Row],[Ngày
date]])</f>
        <v>7</v>
      </c>
      <c r="V256" s="631" t="str">
        <f t="shared" si="124"/>
        <v>11/12/2027</v>
      </c>
      <c r="W256" s="632" t="str">
        <f t="shared" si="125"/>
        <v>CHƯA NHẬP NGÀY</v>
      </c>
      <c r="X256" s="633" t="str">
        <f t="shared" si="126"/>
        <v>12/12/2025</v>
      </c>
      <c r="Y256" s="367" t="str">
        <f>HYPERLINK('Danh mục'!$D$1&amp;"20"&amp;MID(D256,8,2)&amp;"\"&amp;D256,D256)</f>
        <v>CC_830726-HCM</v>
      </c>
      <c r="Z256" s="368">
        <f>YEAR(Table2[[#This Row],[Ngày
date]])</f>
        <v>2026</v>
      </c>
      <c r="AA256" s="368" t="str">
        <f t="shared" si="127"/>
        <v>HCM</v>
      </c>
    </row>
    <row r="257" spans="1:27" ht="51" x14ac:dyDescent="0.2">
      <c r="A257" s="630">
        <f t="shared" si="128"/>
        <v>253</v>
      </c>
      <c r="B257" s="628" t="s">
        <v>2162</v>
      </c>
      <c r="C257" s="517">
        <v>46209</v>
      </c>
      <c r="D257" s="415" t="s">
        <v>2209</v>
      </c>
      <c r="E257" s="629" t="s">
        <v>2210</v>
      </c>
      <c r="F257" s="472" t="s">
        <v>2211</v>
      </c>
      <c r="G257" s="473" t="s">
        <v>2212</v>
      </c>
      <c r="H257" s="404" t="s">
        <v>2213</v>
      </c>
      <c r="I257" s="364" t="s">
        <v>2214</v>
      </c>
      <c r="J257" s="442">
        <v>46080</v>
      </c>
      <c r="K257" s="549">
        <v>47176</v>
      </c>
      <c r="L257" s="349" t="s">
        <v>65</v>
      </c>
      <c r="M257" s="627" t="s">
        <v>1752</v>
      </c>
      <c r="N257" s="344" t="s">
        <v>2216</v>
      </c>
      <c r="O257" s="344" t="s">
        <v>482</v>
      </c>
      <c r="P257" s="348" t="s">
        <v>2215</v>
      </c>
      <c r="Q257" s="343"/>
      <c r="R257" s="343"/>
      <c r="S257" s="344" t="s">
        <v>1255</v>
      </c>
      <c r="T257" s="345"/>
      <c r="U257" s="356">
        <f>MONTH(Table2[[#This Row],[Ngày
date]])</f>
        <v>7</v>
      </c>
      <c r="V257" s="631" t="str">
        <f t="shared" ref="V257:V261" si="129">IF(K257="","CHƯA NHẬP NGÀY",TEXT(K257,"dd/mm/yyyy"))</f>
        <v>27/02/2029</v>
      </c>
      <c r="W257" s="632" t="str">
        <f t="shared" ref="W257:W261" si="130">IF(T257="","CHƯA NHẬP NGÀY",TEXT(T257,"dd/mm/yyyy"))</f>
        <v>CHƯA NHẬP NGÀY</v>
      </c>
      <c r="X257" s="633" t="str">
        <f t="shared" ref="X257:X261" si="131">IF(J257="","CHƯA NHẬP NGÀY",TEXT(J257,"dd/mm/yyyy"))</f>
        <v>27/02/2026</v>
      </c>
      <c r="Y257" s="367" t="str">
        <f>HYPERLINK('Danh mục'!$D$1&amp;"20"&amp;MID(D257,8,2)&amp;"\"&amp;D257,D257)</f>
        <v>CC_840726-HCM</v>
      </c>
      <c r="Z257" s="368">
        <f>YEAR(Table2[[#This Row],[Ngày
date]])</f>
        <v>2026</v>
      </c>
      <c r="AA257" s="368" t="str">
        <f t="shared" ref="AA257:AA261" si="132">IF(ISNUMBER(SEARCH("HCM",D257)),"HCM",
IF(ISNUMBER(SEARCH("HN",D257)),"HN",
IF(ISNUMBER(SEARCH("ĐN",D257)),"ĐN","")))</f>
        <v>HCM</v>
      </c>
    </row>
    <row r="258" spans="1:27" ht="51" x14ac:dyDescent="0.2">
      <c r="A258" s="630">
        <f t="shared" ref="A258:A262" si="133">ROW(C258)-4</f>
        <v>254</v>
      </c>
      <c r="B258" s="628" t="s">
        <v>2151</v>
      </c>
      <c r="C258" s="517">
        <v>46211</v>
      </c>
      <c r="D258" s="415" t="s">
        <v>2217</v>
      </c>
      <c r="E258" s="592" t="s">
        <v>2234</v>
      </c>
      <c r="F258" s="488" t="s">
        <v>954</v>
      </c>
      <c r="G258" s="421" t="s">
        <v>956</v>
      </c>
      <c r="H258" s="404" t="s">
        <v>1092</v>
      </c>
      <c r="I258" s="492" t="s">
        <v>1770</v>
      </c>
      <c r="J258" s="442">
        <v>45485</v>
      </c>
      <c r="K258" s="549">
        <v>46568</v>
      </c>
      <c r="L258" s="349" t="s">
        <v>507</v>
      </c>
      <c r="M258" s="627" t="s">
        <v>1817</v>
      </c>
      <c r="N258" s="344" t="s">
        <v>1801</v>
      </c>
      <c r="O258" s="355" t="s">
        <v>2447</v>
      </c>
      <c r="P258" s="348" t="s">
        <v>2081</v>
      </c>
      <c r="Q258" s="343"/>
      <c r="R258" s="343"/>
      <c r="S258" s="344" t="s">
        <v>798</v>
      </c>
      <c r="T258" s="345"/>
      <c r="U258" s="356">
        <f>MONTH(Table2[[#This Row],[Ngày
date]])</f>
        <v>7</v>
      </c>
      <c r="V258" s="631" t="str">
        <f t="shared" si="129"/>
        <v>30/06/2027</v>
      </c>
      <c r="W258" s="632" t="str">
        <f t="shared" si="130"/>
        <v>CHƯA NHẬP NGÀY</v>
      </c>
      <c r="X258" s="633" t="str">
        <f t="shared" si="131"/>
        <v>12/07/2024</v>
      </c>
      <c r="Y258" s="367" t="str">
        <f>HYPERLINK('Danh mục'!$D$1&amp;"20"&amp;MID(D258,8,2)&amp;"\"&amp;D258,D258)</f>
        <v>CC_850726-HCM</v>
      </c>
      <c r="Z258" s="368">
        <f>YEAR(Table2[[#This Row],[Ngày
date]])</f>
        <v>2026</v>
      </c>
      <c r="AA258" s="368" t="str">
        <f t="shared" si="132"/>
        <v>HCM</v>
      </c>
    </row>
    <row r="259" spans="1:27" ht="51" x14ac:dyDescent="0.2">
      <c r="A259" s="630">
        <f t="shared" si="133"/>
        <v>255</v>
      </c>
      <c r="B259" s="628" t="s">
        <v>2151</v>
      </c>
      <c r="C259" s="517">
        <v>46211</v>
      </c>
      <c r="D259" s="415" t="s">
        <v>2218</v>
      </c>
      <c r="E259" s="629" t="s">
        <v>2234</v>
      </c>
      <c r="F259" s="488" t="s">
        <v>954</v>
      </c>
      <c r="G259" s="421" t="s">
        <v>956</v>
      </c>
      <c r="H259" s="414" t="s">
        <v>2219</v>
      </c>
      <c r="I259" s="660" t="s">
        <v>2220</v>
      </c>
      <c r="J259" s="442">
        <v>45799</v>
      </c>
      <c r="K259" s="549">
        <v>46873</v>
      </c>
      <c r="L259" s="349" t="s">
        <v>507</v>
      </c>
      <c r="M259" s="627" t="s">
        <v>1752</v>
      </c>
      <c r="N259" s="344" t="s">
        <v>2221</v>
      </c>
      <c r="O259" s="355" t="s">
        <v>2447</v>
      </c>
      <c r="P259" s="348" t="s">
        <v>2081</v>
      </c>
      <c r="Q259" s="343"/>
      <c r="R259" s="343"/>
      <c r="S259" s="344" t="s">
        <v>798</v>
      </c>
      <c r="T259" s="345"/>
      <c r="U259" s="356">
        <f>MONTH(Table2[[#This Row],[Ngày
date]])</f>
        <v>7</v>
      </c>
      <c r="V259" s="631" t="str">
        <f t="shared" si="129"/>
        <v>30/04/2028</v>
      </c>
      <c r="W259" s="632" t="str">
        <f t="shared" si="130"/>
        <v>CHƯA NHẬP NGÀY</v>
      </c>
      <c r="X259" s="633" t="str">
        <f t="shared" si="131"/>
        <v>22/05/2025</v>
      </c>
      <c r="Y259" s="367" t="str">
        <f>HYPERLINK('Danh mục'!$D$1&amp;"20"&amp;MID(D259,8,2)&amp;"\"&amp;D259,D259)</f>
        <v>CC_860726-HCM</v>
      </c>
      <c r="Z259" s="368">
        <f>YEAR(Table2[[#This Row],[Ngày
date]])</f>
        <v>2026</v>
      </c>
      <c r="AA259" s="368" t="str">
        <f t="shared" si="132"/>
        <v>HCM</v>
      </c>
    </row>
    <row r="260" spans="1:27" ht="51" x14ac:dyDescent="0.2">
      <c r="A260" s="630">
        <f t="shared" si="133"/>
        <v>256</v>
      </c>
      <c r="B260" s="628" t="s">
        <v>2152</v>
      </c>
      <c r="C260" s="517">
        <v>46213</v>
      </c>
      <c r="D260" s="415" t="s">
        <v>2224</v>
      </c>
      <c r="E260" s="629"/>
      <c r="F260" s="472" t="s">
        <v>2250</v>
      </c>
      <c r="G260" s="419" t="s">
        <v>2244</v>
      </c>
      <c r="H260" s="414" t="s">
        <v>1678</v>
      </c>
      <c r="I260" s="492" t="s">
        <v>2231</v>
      </c>
      <c r="J260" s="442">
        <v>45856</v>
      </c>
      <c r="K260" s="549">
        <v>46568</v>
      </c>
      <c r="L260" s="349" t="s">
        <v>1426</v>
      </c>
      <c r="M260" s="627" t="s">
        <v>1796</v>
      </c>
      <c r="N260" s="344" t="s">
        <v>2232</v>
      </c>
      <c r="O260" s="344" t="s">
        <v>482</v>
      </c>
      <c r="P260" s="348" t="s">
        <v>2233</v>
      </c>
      <c r="Q260" s="343"/>
      <c r="R260" s="343"/>
      <c r="S260" s="344" t="s">
        <v>798</v>
      </c>
      <c r="T260" s="345"/>
      <c r="U260" s="356">
        <f>MONTH(Table2[[#This Row],[Ngày
date]])</f>
        <v>7</v>
      </c>
      <c r="V260" s="631" t="str">
        <f t="shared" si="129"/>
        <v>30/06/2027</v>
      </c>
      <c r="W260" s="632" t="str">
        <f t="shared" si="130"/>
        <v>CHƯA NHẬP NGÀY</v>
      </c>
      <c r="X260" s="633" t="str">
        <f t="shared" si="131"/>
        <v>18/07/2025</v>
      </c>
      <c r="Y260" s="367" t="str">
        <f>HYPERLINK('Danh mục'!$D$1&amp;"20"&amp;MID(D260,8,2)&amp;"\"&amp;D260,D260)</f>
        <v>CC_870726-HN</v>
      </c>
      <c r="Z260" s="368">
        <f>YEAR(Table2[[#This Row],[Ngày
date]])</f>
        <v>2026</v>
      </c>
      <c r="AA260" s="368" t="str">
        <f t="shared" si="132"/>
        <v>HN</v>
      </c>
    </row>
    <row r="261" spans="1:27" ht="63.75" x14ac:dyDescent="0.2">
      <c r="A261" s="630">
        <f t="shared" si="133"/>
        <v>257</v>
      </c>
      <c r="B261" s="625" t="s">
        <v>2151</v>
      </c>
      <c r="C261" s="517">
        <v>46213</v>
      </c>
      <c r="D261" s="415" t="s">
        <v>2362</v>
      </c>
      <c r="E261" s="592" t="s">
        <v>2229</v>
      </c>
      <c r="F261" s="472" t="s">
        <v>2227</v>
      </c>
      <c r="G261" s="413" t="s">
        <v>2230</v>
      </c>
      <c r="H261" s="414" t="s">
        <v>2225</v>
      </c>
      <c r="I261" s="492" t="s">
        <v>2226</v>
      </c>
      <c r="J261" s="442">
        <v>45401</v>
      </c>
      <c r="K261" s="549">
        <v>46477</v>
      </c>
      <c r="L261" s="349" t="s">
        <v>65</v>
      </c>
      <c r="M261" s="627" t="s">
        <v>1817</v>
      </c>
      <c r="N261" s="344" t="s">
        <v>2228</v>
      </c>
      <c r="O261" s="355" t="s">
        <v>2447</v>
      </c>
      <c r="P261" s="348" t="s">
        <v>2253</v>
      </c>
      <c r="Q261" s="343"/>
      <c r="R261" s="343"/>
      <c r="S261" s="344" t="s">
        <v>953</v>
      </c>
      <c r="T261" s="345"/>
      <c r="U261" s="356">
        <f>MONTH(Table2[[#This Row],[Ngày
date]])</f>
        <v>7</v>
      </c>
      <c r="V261" s="631" t="str">
        <f t="shared" si="129"/>
        <v>31/03/2027</v>
      </c>
      <c r="W261" s="632" t="str">
        <f t="shared" si="130"/>
        <v>CHƯA NHẬP NGÀY</v>
      </c>
      <c r="X261" s="633" t="str">
        <f t="shared" si="131"/>
        <v>19/04/2024</v>
      </c>
      <c r="Y261" s="367" t="str">
        <f>HYPERLINK('Danh mục'!$D$1&amp;"20"&amp;MID(D261,8,2)&amp;"\"&amp;D261,D261)</f>
        <v>CC_880726-HCM</v>
      </c>
      <c r="Z261" s="368">
        <f>YEAR(Table2[[#This Row],[Ngày
date]])</f>
        <v>2026</v>
      </c>
      <c r="AA261" s="368" t="str">
        <f t="shared" si="132"/>
        <v>HCM</v>
      </c>
    </row>
    <row r="262" spans="1:27" ht="38.25" x14ac:dyDescent="0.2">
      <c r="A262" s="630">
        <f t="shared" si="133"/>
        <v>258</v>
      </c>
      <c r="B262" s="628" t="s">
        <v>2153</v>
      </c>
      <c r="C262" s="517">
        <v>46218</v>
      </c>
      <c r="D262" s="415" t="s">
        <v>2286</v>
      </c>
      <c r="E262" s="629" t="s">
        <v>2237</v>
      </c>
      <c r="F262" s="472" t="s">
        <v>2235</v>
      </c>
      <c r="G262" s="413" t="s">
        <v>2252</v>
      </c>
      <c r="H262" s="404" t="s">
        <v>876</v>
      </c>
      <c r="I262" s="492" t="s">
        <v>2251</v>
      </c>
      <c r="J262" s="442">
        <v>45995</v>
      </c>
      <c r="K262" s="549">
        <v>47090</v>
      </c>
      <c r="L262" s="349" t="s">
        <v>30</v>
      </c>
      <c r="M262" s="627" t="s">
        <v>1752</v>
      </c>
      <c r="N262" s="344" t="s">
        <v>2236</v>
      </c>
      <c r="O262" s="344" t="s">
        <v>482</v>
      </c>
      <c r="P262" s="348" t="s">
        <v>2284</v>
      </c>
      <c r="Q262" s="343" t="s">
        <v>1777</v>
      </c>
      <c r="R262" s="343" t="s">
        <v>1195</v>
      </c>
      <c r="S262" s="344" t="s">
        <v>1256</v>
      </c>
      <c r="T262" s="345"/>
      <c r="U262" s="356">
        <f>MONTH(Table2[[#This Row],[Ngày
date]])</f>
        <v>7</v>
      </c>
      <c r="V262" s="631" t="str">
        <f t="shared" ref="V262:V267" si="134">IF(K262="","CHƯA NHẬP NGÀY",TEXT(K262,"dd/mm/yyyy"))</f>
        <v>03/12/2028</v>
      </c>
      <c r="W262" s="632" t="str">
        <f t="shared" ref="W262:W267" si="135">IF(T262="","CHƯA NHẬP NGÀY",TEXT(T262,"dd/mm/yyyy"))</f>
        <v>CHƯA NHẬP NGÀY</v>
      </c>
      <c r="X262" s="633" t="str">
        <f t="shared" ref="X262:X267" si="136">IF(J262="","CHƯA NHẬP NGÀY",TEXT(J262,"dd/mm/yyyy"))</f>
        <v>04/12/2025</v>
      </c>
      <c r="Y262" s="367" t="str">
        <f>HYPERLINK('Danh mục'!$D$1&amp;"20"&amp;MID(D262,8,2)&amp;"\"&amp;D262,D262)</f>
        <v>CC_890726-HCM HUY</v>
      </c>
      <c r="Z262" s="368">
        <f>YEAR(Table2[[#This Row],[Ngày
date]])</f>
        <v>2026</v>
      </c>
      <c r="AA262" s="368" t="str">
        <f t="shared" ref="AA262:AA267" si="137">IF(ISNUMBER(SEARCH("HCM",D262)),"HCM",
IF(ISNUMBER(SEARCH("HN",D262)),"HN",
IF(ISNUMBER(SEARCH("ĐN",D262)),"ĐN","")))</f>
        <v>HCM</v>
      </c>
    </row>
    <row r="263" spans="1:27" ht="76.5" x14ac:dyDescent="0.2">
      <c r="A263" s="630">
        <f t="shared" ref="A263:A268" si="138">ROW(C263)-4</f>
        <v>259</v>
      </c>
      <c r="B263" s="628" t="s">
        <v>2242</v>
      </c>
      <c r="C263" s="517">
        <v>46219</v>
      </c>
      <c r="D263" s="415" t="s">
        <v>2361</v>
      </c>
      <c r="E263" s="592" t="s">
        <v>2243</v>
      </c>
      <c r="F263" s="472" t="s">
        <v>2238</v>
      </c>
      <c r="G263" s="413" t="s">
        <v>2239</v>
      </c>
      <c r="H263" s="404" t="s">
        <v>2240</v>
      </c>
      <c r="I263" s="492" t="s">
        <v>2241</v>
      </c>
      <c r="J263" s="442">
        <v>46091</v>
      </c>
      <c r="K263" s="549">
        <v>46821</v>
      </c>
      <c r="L263" s="349" t="s">
        <v>65</v>
      </c>
      <c r="M263" s="627" t="s">
        <v>1817</v>
      </c>
      <c r="N263" s="344" t="s">
        <v>679</v>
      </c>
      <c r="O263" s="348" t="s">
        <v>2285</v>
      </c>
      <c r="P263" s="348" t="s">
        <v>2273</v>
      </c>
      <c r="Q263" s="343"/>
      <c r="R263" s="343"/>
      <c r="S263" s="344" t="s">
        <v>953</v>
      </c>
      <c r="T263" s="345"/>
      <c r="U263" s="356">
        <f>MONTH(Table2[[#This Row],[Ngày
date]])</f>
        <v>7</v>
      </c>
      <c r="V263" s="631" t="str">
        <f t="shared" si="134"/>
        <v>09/03/2028</v>
      </c>
      <c r="W263" s="632" t="str">
        <f t="shared" si="135"/>
        <v>CHƯA NHẬP NGÀY</v>
      </c>
      <c r="X263" s="633" t="str">
        <f t="shared" si="136"/>
        <v>10/03/2026</v>
      </c>
      <c r="Y263" s="367" t="str">
        <f>HYPERLINK('Danh mục'!$D$1&amp;"20"&amp;MID(D263,8,2)&amp;"\"&amp;D263,D263)</f>
        <v xml:space="preserve">CC_900726-HCM </v>
      </c>
      <c r="Z263" s="368">
        <f>YEAR(Table2[[#This Row],[Ngày
date]])</f>
        <v>2026</v>
      </c>
      <c r="AA263" s="368" t="str">
        <f t="shared" si="137"/>
        <v>HCM</v>
      </c>
    </row>
    <row r="264" spans="1:27" ht="63.75" x14ac:dyDescent="0.2">
      <c r="A264" s="630">
        <f t="shared" si="138"/>
        <v>260</v>
      </c>
      <c r="B264" s="628" t="s">
        <v>2151</v>
      </c>
      <c r="C264" s="517">
        <v>46224</v>
      </c>
      <c r="D264" s="415" t="s">
        <v>2260</v>
      </c>
      <c r="E264" s="592" t="s">
        <v>2258</v>
      </c>
      <c r="F264" s="472" t="s">
        <v>2255</v>
      </c>
      <c r="G264" s="413" t="s">
        <v>2256</v>
      </c>
      <c r="H264" s="404" t="s">
        <v>29</v>
      </c>
      <c r="I264" s="492" t="s">
        <v>2254</v>
      </c>
      <c r="J264" s="442">
        <v>46048</v>
      </c>
      <c r="K264" s="549">
        <v>47118</v>
      </c>
      <c r="L264" s="349" t="s">
        <v>43</v>
      </c>
      <c r="M264" s="627" t="s">
        <v>1752</v>
      </c>
      <c r="N264" s="344" t="s">
        <v>2257</v>
      </c>
      <c r="O264" s="344" t="s">
        <v>2266</v>
      </c>
      <c r="P264" s="348" t="s">
        <v>2261</v>
      </c>
      <c r="Q264" s="343" t="s">
        <v>1777</v>
      </c>
      <c r="R264" s="343" t="s">
        <v>759</v>
      </c>
      <c r="S264" s="344" t="s">
        <v>1256</v>
      </c>
      <c r="T264" s="345"/>
      <c r="U264" s="356">
        <f>MONTH(Table2[[#This Row],[Ngày
date]])</f>
        <v>7</v>
      </c>
      <c r="V264" s="631" t="str">
        <f t="shared" si="134"/>
        <v>31/12/2028</v>
      </c>
      <c r="W264" s="632" t="str">
        <f t="shared" si="135"/>
        <v>CHƯA NHẬP NGÀY</v>
      </c>
      <c r="X264" s="633" t="str">
        <f t="shared" si="136"/>
        <v>26/01/2026</v>
      </c>
      <c r="Y264" s="367" t="str">
        <f>HYPERLINK('Danh mục'!$D$1&amp;"20"&amp;MID(D264,8,2)&amp;"\"&amp;D264,D264)</f>
        <v>CC_910726-HCM HUY</v>
      </c>
      <c r="Z264" s="368">
        <f>YEAR(Table2[[#This Row],[Ngày
date]])</f>
        <v>2026</v>
      </c>
      <c r="AA264" s="368" t="str">
        <f t="shared" si="137"/>
        <v>HCM</v>
      </c>
    </row>
    <row r="265" spans="1:27" ht="38.25" x14ac:dyDescent="0.2">
      <c r="A265" s="577">
        <f t="shared" si="138"/>
        <v>261</v>
      </c>
      <c r="B265" s="625" t="s">
        <v>2151</v>
      </c>
      <c r="C265" s="517">
        <v>46225</v>
      </c>
      <c r="D265" s="415" t="s">
        <v>2264</v>
      </c>
      <c r="E265" s="592" t="s">
        <v>2272</v>
      </c>
      <c r="F265" s="472" t="s">
        <v>2262</v>
      </c>
      <c r="G265" s="413" t="s">
        <v>2263</v>
      </c>
      <c r="H265" s="414" t="s">
        <v>52</v>
      </c>
      <c r="I265" s="492" t="s">
        <v>2006</v>
      </c>
      <c r="J265" s="442" t="s">
        <v>1811</v>
      </c>
      <c r="K265" s="549">
        <v>46996</v>
      </c>
      <c r="L265" s="349" t="s">
        <v>65</v>
      </c>
      <c r="M265" s="627" t="s">
        <v>1752</v>
      </c>
      <c r="N265" s="344" t="s">
        <v>2267</v>
      </c>
      <c r="O265" s="344" t="s">
        <v>1496</v>
      </c>
      <c r="P265" s="348" t="s">
        <v>2287</v>
      </c>
      <c r="Q265" s="343"/>
      <c r="R265" s="343"/>
      <c r="S265" s="344" t="s">
        <v>1255</v>
      </c>
      <c r="T265" s="345"/>
      <c r="U265" s="345">
        <f>MONTH(Table2[[#This Row],[Ngày
date]])</f>
        <v>7</v>
      </c>
      <c r="V265" s="375" t="str">
        <f t="shared" si="134"/>
        <v>31/08/2028</v>
      </c>
      <c r="W265" s="376" t="str">
        <f t="shared" si="135"/>
        <v>CHƯA NHẬP NGÀY</v>
      </c>
      <c r="X265" s="510" t="str">
        <f t="shared" si="136"/>
        <v>01/09/2025</v>
      </c>
      <c r="Y265" s="367" t="str">
        <f>HYPERLINK('Danh mục'!$D$1&amp;"20"&amp;MID(D265,8,2)&amp;"\"&amp;D265,D265)</f>
        <v>CC_920726-HCM</v>
      </c>
      <c r="Z265" s="368">
        <f>YEAR(Table2[[#This Row],[Ngày
date]])</f>
        <v>2026</v>
      </c>
      <c r="AA265" s="368" t="str">
        <f t="shared" si="137"/>
        <v>HCM</v>
      </c>
    </row>
    <row r="266" spans="1:27" ht="191.25" x14ac:dyDescent="0.2">
      <c r="A266" s="667">
        <f t="shared" si="138"/>
        <v>262</v>
      </c>
      <c r="B266" s="665" t="s">
        <v>2265</v>
      </c>
      <c r="C266" s="517">
        <v>46226</v>
      </c>
      <c r="D266" s="415" t="s">
        <v>2325</v>
      </c>
      <c r="E266" s="592" t="s">
        <v>2283</v>
      </c>
      <c r="F266" s="472" t="s">
        <v>2275</v>
      </c>
      <c r="G266" s="413" t="s">
        <v>2274</v>
      </c>
      <c r="H266" s="414" t="s">
        <v>2268</v>
      </c>
      <c r="I266" s="492" t="s">
        <v>2269</v>
      </c>
      <c r="J266" s="442" t="s">
        <v>2270</v>
      </c>
      <c r="K266" s="549">
        <v>46690</v>
      </c>
      <c r="L266" s="349" t="s">
        <v>65</v>
      </c>
      <c r="M266" s="627" t="s">
        <v>1752</v>
      </c>
      <c r="N266" s="344" t="s">
        <v>2271</v>
      </c>
      <c r="O266" s="344" t="s">
        <v>1496</v>
      </c>
      <c r="P266" s="348" t="s">
        <v>2324</v>
      </c>
      <c r="Q266" s="343"/>
      <c r="R266" s="343"/>
      <c r="S266" s="344" t="s">
        <v>1256</v>
      </c>
      <c r="T266" s="345"/>
      <c r="U266" s="356">
        <f>MONTH(Table2[[#This Row],[Ngày
date]])</f>
        <v>7</v>
      </c>
      <c r="V266" s="668" t="str">
        <f t="shared" si="134"/>
        <v>30/10/2027</v>
      </c>
      <c r="W266" s="669" t="str">
        <f t="shared" si="135"/>
        <v>CHƯA NHẬP NGÀY</v>
      </c>
      <c r="X266" s="670" t="str">
        <f t="shared" si="136"/>
        <v>31/10/2024</v>
      </c>
      <c r="Y266" s="367" t="str">
        <f>HYPERLINK('Danh mục'!$D$1&amp;"20"&amp;MID(D266,8,2)&amp;"\"&amp;D266,D266)</f>
        <v>CC_930726-HN HUY</v>
      </c>
      <c r="Z266" s="368">
        <f>YEAR(Table2[[#This Row],[Ngày
date]])</f>
        <v>2026</v>
      </c>
      <c r="AA266" s="368" t="str">
        <f t="shared" si="137"/>
        <v>HN</v>
      </c>
    </row>
    <row r="267" spans="1:27" ht="63.75" x14ac:dyDescent="0.2">
      <c r="A267" s="667">
        <f t="shared" si="138"/>
        <v>263</v>
      </c>
      <c r="B267" s="665" t="s">
        <v>2151</v>
      </c>
      <c r="C267" s="517">
        <v>46230</v>
      </c>
      <c r="D267" s="415" t="s">
        <v>2276</v>
      </c>
      <c r="E267" s="666" t="s">
        <v>2277</v>
      </c>
      <c r="F267" s="472" t="s">
        <v>2278</v>
      </c>
      <c r="G267" s="413" t="s">
        <v>2279</v>
      </c>
      <c r="H267" s="414" t="s">
        <v>2280</v>
      </c>
      <c r="I267" s="492" t="s">
        <v>2281</v>
      </c>
      <c r="J267" s="442">
        <v>45915</v>
      </c>
      <c r="K267" s="549">
        <v>46630</v>
      </c>
      <c r="L267" s="349" t="s">
        <v>507</v>
      </c>
      <c r="M267" s="627" t="s">
        <v>1817</v>
      </c>
      <c r="N267" s="374" t="s">
        <v>2282</v>
      </c>
      <c r="O267" s="344" t="s">
        <v>1496</v>
      </c>
      <c r="P267" s="348" t="s">
        <v>2333</v>
      </c>
      <c r="Q267" s="343"/>
      <c r="R267" s="343"/>
      <c r="S267" s="344"/>
      <c r="T267" s="345"/>
      <c r="U267" s="356">
        <f>MONTH(Table2[[#This Row],[Ngày
date]])</f>
        <v>7</v>
      </c>
      <c r="V267" s="668" t="str">
        <f t="shared" si="134"/>
        <v>31/08/2027</v>
      </c>
      <c r="W267" s="669" t="str">
        <f t="shared" si="135"/>
        <v>CHƯA NHẬP NGÀY</v>
      </c>
      <c r="X267" s="670" t="str">
        <f t="shared" si="136"/>
        <v>15/09/2025</v>
      </c>
      <c r="Y267" s="367" t="str">
        <f>HYPERLINK('Danh mục'!$D$1&amp;"20"&amp;MID(D267,8,2)&amp;"\"&amp;D267,D267)</f>
        <v>CC_940726-HCM</v>
      </c>
      <c r="Z267" s="368">
        <f>YEAR(Table2[[#This Row],[Ngày
date]])</f>
        <v>2026</v>
      </c>
      <c r="AA267" s="368" t="str">
        <f t="shared" si="137"/>
        <v>HCM</v>
      </c>
    </row>
    <row r="268" spans="1:27" ht="51" x14ac:dyDescent="0.2">
      <c r="A268" s="667">
        <f t="shared" si="138"/>
        <v>264</v>
      </c>
      <c r="B268" s="665" t="s">
        <v>2150</v>
      </c>
      <c r="C268" s="517">
        <v>46233</v>
      </c>
      <c r="D268" s="415" t="s">
        <v>2288</v>
      </c>
      <c r="E268" s="666" t="s">
        <v>2289</v>
      </c>
      <c r="F268" s="472" t="s">
        <v>2290</v>
      </c>
      <c r="G268" s="413" t="s">
        <v>2291</v>
      </c>
      <c r="H268" s="414" t="s">
        <v>614</v>
      </c>
      <c r="I268" s="492" t="s">
        <v>2292</v>
      </c>
      <c r="J268" s="442">
        <v>46054</v>
      </c>
      <c r="K268" s="549">
        <v>47149</v>
      </c>
      <c r="L268" s="349" t="s">
        <v>1207</v>
      </c>
      <c r="M268" s="627" t="s">
        <v>1752</v>
      </c>
      <c r="N268" s="374" t="s">
        <v>2293</v>
      </c>
      <c r="O268" s="344" t="s">
        <v>1496</v>
      </c>
      <c r="P268" s="348" t="s">
        <v>2301</v>
      </c>
      <c r="Q268" s="343" t="s">
        <v>1777</v>
      </c>
      <c r="R268" s="343" t="s">
        <v>1056</v>
      </c>
      <c r="S268" s="344" t="s">
        <v>814</v>
      </c>
      <c r="T268" s="345"/>
      <c r="U268" s="356">
        <f>MONTH(Table2[[#This Row],[Ngày
date]])</f>
        <v>7</v>
      </c>
      <c r="V268" s="668" t="str">
        <f t="shared" ref="V268:V273" si="139">IF(K268="","CHƯA NHẬP NGÀY",TEXT(K268,"dd/mm/yyyy"))</f>
        <v>31/01/2029</v>
      </c>
      <c r="W268" s="669" t="str">
        <f t="shared" ref="W268:W273" si="140">IF(T268="","CHƯA NHẬP NGÀY",TEXT(T268,"dd/mm/yyyy"))</f>
        <v>CHƯA NHẬP NGÀY</v>
      </c>
      <c r="X268" s="670" t="str">
        <f t="shared" ref="X268:X273" si="141">IF(J268="","CHƯA NHẬP NGÀY",TEXT(J268,"dd/mm/yyyy"))</f>
        <v>01/02/2026</v>
      </c>
      <c r="Y268" s="367" t="str">
        <f>HYPERLINK('Danh mục'!$D$1&amp;"20"&amp;MID(D268,8,2)&amp;"\"&amp;D268,D268)</f>
        <v>CC_950726-ĐN</v>
      </c>
      <c r="Z268" s="368">
        <f>YEAR(Table2[[#This Row],[Ngày
date]])</f>
        <v>2026</v>
      </c>
      <c r="AA268" s="368" t="str">
        <f t="shared" ref="AA268:AA273" si="142">IF(ISNUMBER(SEARCH("HCM",D268)),"HCM",
IF(ISNUMBER(SEARCH("HN",D268)),"HN",
IF(ISNUMBER(SEARCH("ĐN",D268)),"ĐN","")))</f>
        <v>ĐN</v>
      </c>
    </row>
    <row r="269" spans="1:27" ht="63.75" x14ac:dyDescent="0.2">
      <c r="A269" s="667">
        <f t="shared" ref="A269:A275" si="143">ROW(C269)-4</f>
        <v>265</v>
      </c>
      <c r="B269" s="665" t="s">
        <v>2151</v>
      </c>
      <c r="C269" s="517">
        <v>46234</v>
      </c>
      <c r="D269" s="415" t="s">
        <v>2322</v>
      </c>
      <c r="E269" s="666" t="s">
        <v>2294</v>
      </c>
      <c r="F269" s="472" t="s">
        <v>2295</v>
      </c>
      <c r="G269" s="413" t="s">
        <v>2296</v>
      </c>
      <c r="H269" s="414" t="s">
        <v>217</v>
      </c>
      <c r="I269" s="492" t="s">
        <v>2297</v>
      </c>
      <c r="J269" s="442">
        <v>45861</v>
      </c>
      <c r="K269" s="549">
        <v>46752</v>
      </c>
      <c r="L269" s="349" t="s">
        <v>523</v>
      </c>
      <c r="M269" s="627" t="s">
        <v>1752</v>
      </c>
      <c r="N269" s="374" t="s">
        <v>2298</v>
      </c>
      <c r="O269" s="344" t="s">
        <v>1496</v>
      </c>
      <c r="P269" s="348" t="s">
        <v>2321</v>
      </c>
      <c r="Q269" s="343"/>
      <c r="R269" s="343"/>
      <c r="S269" s="344" t="s">
        <v>1256</v>
      </c>
      <c r="T269" s="345"/>
      <c r="U269" s="356">
        <f>MONTH(Table2[[#This Row],[Ngày
date]])</f>
        <v>7</v>
      </c>
      <c r="V269" s="668" t="str">
        <f t="shared" si="139"/>
        <v>31/12/2027</v>
      </c>
      <c r="W269" s="669" t="str">
        <f t="shared" si="140"/>
        <v>CHƯA NHẬP NGÀY</v>
      </c>
      <c r="X269" s="670" t="str">
        <f t="shared" si="141"/>
        <v>23/07/2025</v>
      </c>
      <c r="Y269" s="367" t="str">
        <f>HYPERLINK('Danh mục'!$D$1&amp;"20"&amp;MID(D269,8,2)&amp;"\"&amp;D269,D269)</f>
        <v>CC_960726-HCM HUY</v>
      </c>
      <c r="Z269" s="368">
        <f>YEAR(Table2[[#This Row],[Ngày
date]])</f>
        <v>2026</v>
      </c>
      <c r="AA269" s="368" t="str">
        <f t="shared" si="142"/>
        <v>HCM</v>
      </c>
    </row>
    <row r="270" spans="1:27" ht="63.75" x14ac:dyDescent="0.2">
      <c r="A270" s="667">
        <f t="shared" si="143"/>
        <v>266</v>
      </c>
      <c r="B270" s="665" t="s">
        <v>2163</v>
      </c>
      <c r="C270" s="517">
        <v>46234</v>
      </c>
      <c r="D270" s="415" t="s">
        <v>2359</v>
      </c>
      <c r="E270" s="592" t="s">
        <v>2299</v>
      </c>
      <c r="F270" s="472" t="s">
        <v>2308</v>
      </c>
      <c r="G270" s="413" t="s">
        <v>2309</v>
      </c>
      <c r="H270" s="404" t="s">
        <v>1192</v>
      </c>
      <c r="I270" s="492" t="s">
        <v>2310</v>
      </c>
      <c r="J270" s="442">
        <v>46091</v>
      </c>
      <c r="K270" s="549">
        <v>47187</v>
      </c>
      <c r="L270" s="349" t="s">
        <v>353</v>
      </c>
      <c r="M270" s="627" t="s">
        <v>1752</v>
      </c>
      <c r="N270" s="374" t="s">
        <v>2300</v>
      </c>
      <c r="O270" s="344" t="s">
        <v>736</v>
      </c>
      <c r="P270" s="348" t="s">
        <v>2358</v>
      </c>
      <c r="Q270" s="343"/>
      <c r="R270" s="343"/>
      <c r="S270" s="344" t="s">
        <v>1256</v>
      </c>
      <c r="T270" s="345"/>
      <c r="U270" s="356">
        <f>MONTH(Table2[[#This Row],[Ngày
date]])</f>
        <v>7</v>
      </c>
      <c r="V270" s="668" t="str">
        <f t="shared" si="139"/>
        <v>10/03/2029</v>
      </c>
      <c r="W270" s="669" t="str">
        <f t="shared" si="140"/>
        <v>CHƯA NHẬP NGÀY</v>
      </c>
      <c r="X270" s="670" t="str">
        <f t="shared" si="141"/>
        <v>10/03/2026</v>
      </c>
      <c r="Y270" s="367" t="str">
        <f>HYPERLINK('Danh mục'!$D$1&amp;"20"&amp;MID(D270,8,2)&amp;"\"&amp;D270,D270)</f>
        <v>CC_970726-HCM HUY</v>
      </c>
      <c r="Z270" s="368">
        <f>YEAR(Table2[[#This Row],[Ngày
date]])</f>
        <v>2026</v>
      </c>
      <c r="AA270" s="368" t="str">
        <f t="shared" si="142"/>
        <v>HCM</v>
      </c>
    </row>
    <row r="271" spans="1:27" ht="51" x14ac:dyDescent="0.2">
      <c r="A271" s="667">
        <f t="shared" si="143"/>
        <v>267</v>
      </c>
      <c r="B271" s="665" t="s">
        <v>2196</v>
      </c>
      <c r="C271" s="517">
        <v>46240</v>
      </c>
      <c r="D271" s="415" t="s">
        <v>2328</v>
      </c>
      <c r="E271" s="666" t="s">
        <v>2304</v>
      </c>
      <c r="F271" s="472" t="s">
        <v>2302</v>
      </c>
      <c r="G271" s="413" t="s">
        <v>2303</v>
      </c>
      <c r="H271" s="414" t="s">
        <v>2305</v>
      </c>
      <c r="I271" s="492" t="s">
        <v>2307</v>
      </c>
      <c r="J271" s="442"/>
      <c r="K271" s="549" t="s">
        <v>2311</v>
      </c>
      <c r="L271" s="349" t="s">
        <v>65</v>
      </c>
      <c r="M271" s="627" t="s">
        <v>1752</v>
      </c>
      <c r="N271" s="374" t="s">
        <v>2306</v>
      </c>
      <c r="O271" s="344"/>
      <c r="P271" s="348" t="s">
        <v>2327</v>
      </c>
      <c r="Q271" s="343" t="s">
        <v>1382</v>
      </c>
      <c r="R271" s="343" t="s">
        <v>835</v>
      </c>
      <c r="S271" s="344" t="s">
        <v>1256</v>
      </c>
      <c r="T271" s="345"/>
      <c r="U271" s="356">
        <f>MONTH(Table2[[#This Row],[Ngày
date]])</f>
        <v>8</v>
      </c>
      <c r="V271" s="668" t="str">
        <f t="shared" si="139"/>
        <v xml:space="preserve"> 31/12/2027</v>
      </c>
      <c r="W271" s="669" t="str">
        <f t="shared" si="140"/>
        <v>CHƯA NHẬP NGÀY</v>
      </c>
      <c r="X271" s="670" t="str">
        <f t="shared" si="141"/>
        <v>CHƯA NHẬP NGÀY</v>
      </c>
      <c r="Y271" s="367" t="str">
        <f>HYPERLINK('Danh mục'!$D$1&amp;"20"&amp;MID(D271,8,2)&amp;"\"&amp;D271,D271)</f>
        <v>CC_980826-HN HUY</v>
      </c>
      <c r="Z271" s="368">
        <f>YEAR(Table2[[#This Row],[Ngày
date]])</f>
        <v>2026</v>
      </c>
      <c r="AA271" s="368" t="str">
        <f t="shared" si="142"/>
        <v>HN</v>
      </c>
    </row>
    <row r="272" spans="1:27" ht="140.25" x14ac:dyDescent="0.2">
      <c r="A272" s="671">
        <f t="shared" si="143"/>
        <v>268</v>
      </c>
      <c r="B272" s="672" t="s">
        <v>2151</v>
      </c>
      <c r="C272" s="564">
        <v>46240</v>
      </c>
      <c r="D272" s="415" t="s">
        <v>2316</v>
      </c>
      <c r="E272" s="592" t="s">
        <v>13</v>
      </c>
      <c r="F272" s="507" t="s">
        <v>2318</v>
      </c>
      <c r="G272" s="409" t="s">
        <v>2332</v>
      </c>
      <c r="H272" s="443" t="s">
        <v>2319</v>
      </c>
      <c r="I272" s="676" t="s">
        <v>2329</v>
      </c>
      <c r="J272" s="676" t="s">
        <v>2330</v>
      </c>
      <c r="K272" s="676" t="s">
        <v>2331</v>
      </c>
      <c r="L272" s="508" t="s">
        <v>65</v>
      </c>
      <c r="M272" s="508" t="s">
        <v>13</v>
      </c>
      <c r="N272" s="372" t="s">
        <v>2317</v>
      </c>
      <c r="O272" s="337" t="s">
        <v>13</v>
      </c>
      <c r="P272" s="335" t="s">
        <v>2320</v>
      </c>
      <c r="Q272" s="343" t="s">
        <v>2080</v>
      </c>
      <c r="R272" s="336" t="s">
        <v>2392</v>
      </c>
      <c r="S272" s="337" t="s">
        <v>815</v>
      </c>
      <c r="T272" s="338"/>
      <c r="U272" s="356">
        <f>MONTH(Table2[[#This Row],[Ngày
date]])</f>
        <v>8</v>
      </c>
      <c r="V272" s="673" t="str">
        <f t="shared" si="139"/>
        <v>Tetraxim: 28/02/2027; Avaxim: 31/07/2027</v>
      </c>
      <c r="W272" s="674" t="str">
        <f t="shared" si="140"/>
        <v>CHƯA NHẬP NGÀY</v>
      </c>
      <c r="X272" s="675" t="str">
        <f t="shared" si="141"/>
        <v>Tetraxim: 22/03/2024; Avaxim: 25/08/2024</v>
      </c>
      <c r="Y272" s="367" t="str">
        <f>HYPERLINK('Danh mục'!$D$1&amp;"20"&amp;MID(D272,8,2)&amp;"\"&amp;D272,D272)</f>
        <v>CC_990826-ĐN</v>
      </c>
      <c r="Z272" s="368">
        <f>YEAR(Table2[[#This Row],[Ngày
date]])</f>
        <v>2026</v>
      </c>
      <c r="AA272" s="368" t="str">
        <f t="shared" si="142"/>
        <v>ĐN</v>
      </c>
    </row>
    <row r="273" spans="1:27" ht="38.25" x14ac:dyDescent="0.2">
      <c r="A273" s="667">
        <f t="shared" si="143"/>
        <v>269</v>
      </c>
      <c r="B273" s="625" t="s">
        <v>2154</v>
      </c>
      <c r="C273" s="517">
        <v>46241</v>
      </c>
      <c r="D273" s="415" t="s">
        <v>2323</v>
      </c>
      <c r="E273" s="666"/>
      <c r="F273" s="472" t="s">
        <v>1499</v>
      </c>
      <c r="G273" s="413" t="s">
        <v>2312</v>
      </c>
      <c r="H273" s="414" t="s">
        <v>2313</v>
      </c>
      <c r="I273" s="492" t="s">
        <v>2314</v>
      </c>
      <c r="J273" s="442">
        <v>45867</v>
      </c>
      <c r="K273" s="549">
        <v>47328</v>
      </c>
      <c r="L273" s="349" t="s">
        <v>50</v>
      </c>
      <c r="M273" s="627" t="s">
        <v>1752</v>
      </c>
      <c r="N273" s="374" t="s">
        <v>2315</v>
      </c>
      <c r="O273" s="355" t="s">
        <v>482</v>
      </c>
      <c r="P273" s="348" t="s">
        <v>2326</v>
      </c>
      <c r="Q273" s="343" t="s">
        <v>1382</v>
      </c>
      <c r="R273" s="343" t="s">
        <v>835</v>
      </c>
      <c r="S273" s="344" t="s">
        <v>1255</v>
      </c>
      <c r="T273" s="345"/>
      <c r="U273" s="356">
        <f>MONTH(Table2[[#This Row],[Ngày
date]])</f>
        <v>8</v>
      </c>
      <c r="V273" s="668" t="str">
        <f t="shared" si="139"/>
        <v>29/07/2029</v>
      </c>
      <c r="W273" s="669" t="str">
        <f t="shared" si="140"/>
        <v>CHƯA NHẬP NGÀY</v>
      </c>
      <c r="X273" s="670" t="str">
        <f t="shared" si="141"/>
        <v>29/07/2025</v>
      </c>
      <c r="Y273" s="367" t="str">
        <f>HYPERLINK('Danh mục'!$D$1&amp;"20"&amp;MID(D273,8,2)&amp;"\"&amp;D273,D273)</f>
        <v>CC_1000826-HN</v>
      </c>
      <c r="Z273" s="368">
        <f>YEAR(Table2[[#This Row],[Ngày
date]])</f>
        <v>2026</v>
      </c>
      <c r="AA273" s="368" t="str">
        <f t="shared" si="142"/>
        <v>HN</v>
      </c>
    </row>
    <row r="274" spans="1:27" ht="76.5" x14ac:dyDescent="0.2">
      <c r="A274" s="677">
        <f t="shared" si="143"/>
        <v>270</v>
      </c>
      <c r="B274" s="678" t="s">
        <v>2155</v>
      </c>
      <c r="C274" s="517">
        <v>46244</v>
      </c>
      <c r="D274" s="402" t="s">
        <v>2334</v>
      </c>
      <c r="E274" s="592" t="s">
        <v>2346</v>
      </c>
      <c r="F274" s="507" t="s">
        <v>2341</v>
      </c>
      <c r="G274" s="409" t="s">
        <v>2342</v>
      </c>
      <c r="H274" s="443" t="s">
        <v>2343</v>
      </c>
      <c r="I274" s="508" t="s">
        <v>2344</v>
      </c>
      <c r="J274" s="461" t="s">
        <v>13</v>
      </c>
      <c r="K274" s="550">
        <v>47294</v>
      </c>
      <c r="L274" s="334" t="s">
        <v>394</v>
      </c>
      <c r="M274" s="680" t="s">
        <v>1752</v>
      </c>
      <c r="N274" s="372" t="s">
        <v>2345</v>
      </c>
      <c r="O274" s="355" t="s">
        <v>1953</v>
      </c>
      <c r="P274" s="335" t="s">
        <v>2273</v>
      </c>
      <c r="Q274" s="336"/>
      <c r="R274" s="336"/>
      <c r="S274" s="337" t="s">
        <v>953</v>
      </c>
      <c r="T274" s="338"/>
      <c r="U274" s="356">
        <f>MONTH(Table2[[#This Row],[Ngày
date]])</f>
        <v>8</v>
      </c>
      <c r="V274" s="681" t="str">
        <f t="shared" ref="V274:V279" si="144">IF(K274="","CHƯA NHẬP NGÀY",TEXT(K274,"dd/mm/yyyy"))</f>
        <v>25/06/2029</v>
      </c>
      <c r="W274" s="682" t="str">
        <f t="shared" ref="W274:W279" si="145">IF(T274="","CHƯA NHẬP NGÀY",TEXT(T274,"dd/mm/yyyy"))</f>
        <v>CHƯA NHẬP NGÀY</v>
      </c>
      <c r="X274" s="683" t="str">
        <f t="shared" ref="X274:X279" si="146">IF(J274="","CHƯA NHẬP NGÀY",TEXT(J274,"dd/mm/yyyy"))</f>
        <v>NA</v>
      </c>
      <c r="Y274" s="367" t="str">
        <f>HYPERLINK('Danh mục'!$D$1&amp;"20"&amp;MID(D274,8,2)&amp;"\"&amp;D274,D274)</f>
        <v>CC_1010826-HCM</v>
      </c>
      <c r="Z274" s="368">
        <f>YEAR(Table2[[#This Row],[Ngày
date]])</f>
        <v>2026</v>
      </c>
      <c r="AA274" s="368" t="str">
        <f t="shared" ref="AA274:AA279" si="147">IF(ISNUMBER(SEARCH("HCM",D274)),"HCM",
IF(ISNUMBER(SEARCH("HN",D274)),"HN",
IF(ISNUMBER(SEARCH("ĐN",D274)),"ĐN","")))</f>
        <v>HCM</v>
      </c>
    </row>
    <row r="275" spans="1:27" ht="51" x14ac:dyDescent="0.2">
      <c r="A275" s="684">
        <f t="shared" si="143"/>
        <v>271</v>
      </c>
      <c r="B275" s="678" t="s">
        <v>2150</v>
      </c>
      <c r="C275" s="517">
        <v>46246</v>
      </c>
      <c r="D275" s="415" t="s">
        <v>2340</v>
      </c>
      <c r="E275" s="679" t="s">
        <v>2335</v>
      </c>
      <c r="F275" s="472" t="s">
        <v>2336</v>
      </c>
      <c r="G275" s="413" t="s">
        <v>32</v>
      </c>
      <c r="H275" s="414" t="s">
        <v>2337</v>
      </c>
      <c r="I275" s="492" t="s">
        <v>2338</v>
      </c>
      <c r="J275" s="442">
        <v>45850</v>
      </c>
      <c r="K275" s="549">
        <v>46936</v>
      </c>
      <c r="L275" s="349" t="s">
        <v>65</v>
      </c>
      <c r="M275" s="627" t="s">
        <v>1752</v>
      </c>
      <c r="N275" s="374" t="s">
        <v>2339</v>
      </c>
      <c r="O275" s="355"/>
      <c r="P275" s="348" t="s">
        <v>2424</v>
      </c>
      <c r="Q275" s="343"/>
      <c r="R275" s="343"/>
      <c r="S275" s="344" t="s">
        <v>814</v>
      </c>
      <c r="T275" s="345"/>
      <c r="U275" s="356">
        <f>MONTH(Table2[[#This Row],[Ngày
date]])</f>
        <v>8</v>
      </c>
      <c r="V275" s="685" t="str">
        <f t="shared" si="144"/>
        <v>02/07/2028</v>
      </c>
      <c r="W275" s="686" t="str">
        <f t="shared" si="145"/>
        <v>CHƯA NHẬP NGÀY</v>
      </c>
      <c r="X275" s="687" t="str">
        <f t="shared" si="146"/>
        <v>12/07/2025</v>
      </c>
      <c r="Y275" s="367" t="str">
        <f>HYPERLINK('Danh mục'!$D$1&amp;"20"&amp;MID(D275,8,2)&amp;"\"&amp;D275,D275)</f>
        <v>CC_1020826-HCM</v>
      </c>
      <c r="Z275" s="368">
        <f>YEAR(Table2[[#This Row],[Ngày
date]])</f>
        <v>2026</v>
      </c>
      <c r="AA275" s="368" t="str">
        <f t="shared" si="147"/>
        <v>HCM</v>
      </c>
    </row>
    <row r="276" spans="1:27" ht="51" x14ac:dyDescent="0.2">
      <c r="A276" s="684">
        <f t="shared" ref="A276:A281" si="148">ROW(C276)-4</f>
        <v>272</v>
      </c>
      <c r="B276" s="678" t="s">
        <v>2151</v>
      </c>
      <c r="C276" s="517">
        <v>46248</v>
      </c>
      <c r="D276" s="415" t="s">
        <v>2347</v>
      </c>
      <c r="E276" s="592" t="s">
        <v>2357</v>
      </c>
      <c r="F276" s="488" t="s">
        <v>954</v>
      </c>
      <c r="G276" s="421" t="s">
        <v>956</v>
      </c>
      <c r="H276" s="414" t="s">
        <v>1753</v>
      </c>
      <c r="I276" s="492" t="s">
        <v>1770</v>
      </c>
      <c r="J276" s="442">
        <v>45485</v>
      </c>
      <c r="K276" s="549">
        <v>46568</v>
      </c>
      <c r="L276" s="349" t="s">
        <v>507</v>
      </c>
      <c r="M276" s="627" t="s">
        <v>1752</v>
      </c>
      <c r="N276" s="374" t="s">
        <v>1801</v>
      </c>
      <c r="O276" s="355" t="s">
        <v>1953</v>
      </c>
      <c r="P276" s="348" t="s">
        <v>2360</v>
      </c>
      <c r="Q276" s="343" t="s">
        <v>1382</v>
      </c>
      <c r="R276" s="343" t="s">
        <v>835</v>
      </c>
      <c r="S276" s="344" t="s">
        <v>1255</v>
      </c>
      <c r="T276" s="345"/>
      <c r="U276" s="356">
        <f>MONTH(Table2[[#This Row],[Ngày
date]])</f>
        <v>8</v>
      </c>
      <c r="V276" s="685" t="str">
        <f t="shared" si="144"/>
        <v>30/06/2027</v>
      </c>
      <c r="W276" s="686" t="str">
        <f t="shared" si="145"/>
        <v>CHƯA NHẬP NGÀY</v>
      </c>
      <c r="X276" s="687" t="str">
        <f t="shared" si="146"/>
        <v>12/07/2024</v>
      </c>
      <c r="Y276" s="367" t="str">
        <f>HYPERLINK('Danh mục'!$D$1&amp;"20"&amp;MID(D276,8,2)&amp;"\"&amp;D276,D276)</f>
        <v>CC_1030826-HCM</v>
      </c>
      <c r="Z276" s="368">
        <f>YEAR(Table2[[#This Row],[Ngày
date]])</f>
        <v>2026</v>
      </c>
      <c r="AA276" s="368" t="str">
        <f t="shared" si="147"/>
        <v>HCM</v>
      </c>
    </row>
    <row r="277" spans="1:27" ht="51" x14ac:dyDescent="0.2">
      <c r="A277" s="684">
        <f t="shared" si="148"/>
        <v>273</v>
      </c>
      <c r="B277" s="678" t="s">
        <v>2151</v>
      </c>
      <c r="C277" s="517">
        <v>46248</v>
      </c>
      <c r="D277" s="415" t="s">
        <v>2348</v>
      </c>
      <c r="E277" s="592" t="s">
        <v>2357</v>
      </c>
      <c r="F277" s="488" t="s">
        <v>954</v>
      </c>
      <c r="G277" s="421" t="s">
        <v>956</v>
      </c>
      <c r="H277" s="414" t="s">
        <v>1753</v>
      </c>
      <c r="I277" s="492" t="s">
        <v>2350</v>
      </c>
      <c r="J277" s="442">
        <v>45614</v>
      </c>
      <c r="K277" s="549">
        <v>46691</v>
      </c>
      <c r="L277" s="349" t="s">
        <v>507</v>
      </c>
      <c r="M277" s="627" t="s">
        <v>1752</v>
      </c>
      <c r="N277" s="374" t="s">
        <v>2355</v>
      </c>
      <c r="O277" s="355" t="s">
        <v>1953</v>
      </c>
      <c r="P277" s="348" t="s">
        <v>2360</v>
      </c>
      <c r="Q277" s="343" t="s">
        <v>1382</v>
      </c>
      <c r="R277" s="343" t="s">
        <v>835</v>
      </c>
      <c r="S277" s="344" t="s">
        <v>1255</v>
      </c>
      <c r="T277" s="345"/>
      <c r="U277" s="356">
        <f>MONTH(Table2[[#This Row],[Ngày
date]])</f>
        <v>8</v>
      </c>
      <c r="V277" s="685" t="str">
        <f t="shared" si="144"/>
        <v>31/10/2027</v>
      </c>
      <c r="W277" s="686" t="str">
        <f t="shared" si="145"/>
        <v>CHƯA NHẬP NGÀY</v>
      </c>
      <c r="X277" s="687" t="str">
        <f t="shared" si="146"/>
        <v>18/11/2024</v>
      </c>
      <c r="Y277" s="367" t="str">
        <f>HYPERLINK('Danh mục'!$D$1&amp;"20"&amp;MID(D277,8,2)&amp;"\"&amp;D277,D277)</f>
        <v>CC_1040826-HCM</v>
      </c>
      <c r="Z277" s="368">
        <f>YEAR(Table2[[#This Row],[Ngày
date]])</f>
        <v>2026</v>
      </c>
      <c r="AA277" s="368" t="str">
        <f t="shared" si="147"/>
        <v>HCM</v>
      </c>
    </row>
    <row r="278" spans="1:27" ht="51" x14ac:dyDescent="0.2">
      <c r="A278" s="684">
        <f t="shared" si="148"/>
        <v>274</v>
      </c>
      <c r="B278" s="678" t="s">
        <v>2151</v>
      </c>
      <c r="C278" s="517">
        <v>46248</v>
      </c>
      <c r="D278" s="415" t="s">
        <v>2349</v>
      </c>
      <c r="E278" s="592" t="s">
        <v>2357</v>
      </c>
      <c r="F278" s="488" t="s">
        <v>954</v>
      </c>
      <c r="G278" s="421" t="s">
        <v>956</v>
      </c>
      <c r="H278" s="414" t="s">
        <v>2351</v>
      </c>
      <c r="I278" s="492" t="s">
        <v>2352</v>
      </c>
      <c r="J278" s="442">
        <v>45758</v>
      </c>
      <c r="K278" s="549">
        <v>46843</v>
      </c>
      <c r="L278" s="349" t="s">
        <v>507</v>
      </c>
      <c r="M278" s="627" t="s">
        <v>1752</v>
      </c>
      <c r="N278" s="374" t="s">
        <v>2353</v>
      </c>
      <c r="O278" s="355" t="s">
        <v>1953</v>
      </c>
      <c r="P278" s="348" t="s">
        <v>2360</v>
      </c>
      <c r="Q278" s="343" t="s">
        <v>1382</v>
      </c>
      <c r="R278" s="343" t="s">
        <v>835</v>
      </c>
      <c r="S278" s="344" t="s">
        <v>1255</v>
      </c>
      <c r="T278" s="345"/>
      <c r="U278" s="356">
        <f>MONTH(Table2[[#This Row],[Ngày
date]])</f>
        <v>8</v>
      </c>
      <c r="V278" s="685" t="str">
        <f t="shared" si="144"/>
        <v>31/03/2028</v>
      </c>
      <c r="W278" s="686" t="str">
        <f t="shared" si="145"/>
        <v>CHƯA NHẬP NGÀY</v>
      </c>
      <c r="X278" s="687" t="str">
        <f t="shared" si="146"/>
        <v>11/04/2025</v>
      </c>
      <c r="Y278" s="367" t="str">
        <f>HYPERLINK('Danh mục'!$D$1&amp;"20"&amp;MID(D278,8,2)&amp;"\"&amp;D278,D278)</f>
        <v>CC_1050826-HCM</v>
      </c>
      <c r="Z278" s="368">
        <f>YEAR(Table2[[#This Row],[Ngày
date]])</f>
        <v>2026</v>
      </c>
      <c r="AA278" s="368" t="str">
        <f t="shared" si="147"/>
        <v>HCM</v>
      </c>
    </row>
    <row r="279" spans="1:27" ht="51" x14ac:dyDescent="0.2">
      <c r="A279" s="577">
        <f t="shared" si="148"/>
        <v>275</v>
      </c>
      <c r="B279" s="625" t="s">
        <v>2151</v>
      </c>
      <c r="C279" s="517">
        <v>46248</v>
      </c>
      <c r="D279" s="415" t="s">
        <v>2354</v>
      </c>
      <c r="E279" s="592" t="s">
        <v>2357</v>
      </c>
      <c r="F279" s="488" t="s">
        <v>954</v>
      </c>
      <c r="G279" s="421" t="s">
        <v>956</v>
      </c>
      <c r="H279" s="414" t="s">
        <v>1605</v>
      </c>
      <c r="I279" s="492" t="s">
        <v>1969</v>
      </c>
      <c r="J279" s="442">
        <v>44972</v>
      </c>
      <c r="K279" s="549">
        <v>46418</v>
      </c>
      <c r="L279" s="349" t="s">
        <v>507</v>
      </c>
      <c r="M279" s="627" t="s">
        <v>1752</v>
      </c>
      <c r="N279" s="374" t="s">
        <v>2356</v>
      </c>
      <c r="O279" s="355" t="s">
        <v>1953</v>
      </c>
      <c r="P279" s="348" t="s">
        <v>2360</v>
      </c>
      <c r="Q279" s="343" t="s">
        <v>1382</v>
      </c>
      <c r="R279" s="343" t="s">
        <v>835</v>
      </c>
      <c r="S279" s="344" t="s">
        <v>1255</v>
      </c>
      <c r="T279" s="345"/>
      <c r="U279" s="345">
        <f>MONTH(Table2[[#This Row],[Ngày
date]])</f>
        <v>8</v>
      </c>
      <c r="V279" s="375" t="str">
        <f t="shared" si="144"/>
        <v>31/01/2027</v>
      </c>
      <c r="W279" s="376" t="str">
        <f t="shared" si="145"/>
        <v>CHƯA NHẬP NGÀY</v>
      </c>
      <c r="X279" s="510" t="str">
        <f t="shared" si="146"/>
        <v>15/02/2023</v>
      </c>
      <c r="Y279" s="367" t="str">
        <f>HYPERLINK('Danh mục'!$D$1&amp;"20"&amp;MID(D279,8,2)&amp;"\"&amp;D279,D279)</f>
        <v>CC_1060826-HCM</v>
      </c>
      <c r="Z279" s="368">
        <f>YEAR(Table2[[#This Row],[Ngày
date]])</f>
        <v>2026</v>
      </c>
      <c r="AA279" s="368" t="str">
        <f t="shared" si="147"/>
        <v>HCM</v>
      </c>
    </row>
    <row r="280" spans="1:27" ht="51" x14ac:dyDescent="0.2">
      <c r="A280" s="684">
        <f t="shared" si="148"/>
        <v>276</v>
      </c>
      <c r="B280" s="678" t="s">
        <v>2156</v>
      </c>
      <c r="C280" s="517">
        <v>46254</v>
      </c>
      <c r="D280" s="415" t="s">
        <v>2372</v>
      </c>
      <c r="E280" s="679"/>
      <c r="F280" s="472" t="s">
        <v>1106</v>
      </c>
      <c r="G280" s="419" t="s">
        <v>1199</v>
      </c>
      <c r="H280" s="414" t="s">
        <v>1843</v>
      </c>
      <c r="I280" s="492" t="s">
        <v>1844</v>
      </c>
      <c r="J280" s="442">
        <v>45780</v>
      </c>
      <c r="K280" s="549">
        <v>46510</v>
      </c>
      <c r="L280" s="349" t="s">
        <v>2373</v>
      </c>
      <c r="M280" s="627" t="s">
        <v>1752</v>
      </c>
      <c r="N280" s="374" t="s">
        <v>2374</v>
      </c>
      <c r="O280" s="355" t="s">
        <v>1953</v>
      </c>
      <c r="P280" s="348" t="s">
        <v>2384</v>
      </c>
      <c r="Q280" s="343" t="s">
        <v>1382</v>
      </c>
      <c r="R280" s="343" t="s">
        <v>835</v>
      </c>
      <c r="S280" s="344"/>
      <c r="T280" s="345"/>
      <c r="U280" s="356">
        <f>MONTH(Table2[[#This Row],[Ngày
date]])</f>
        <v>8</v>
      </c>
      <c r="V280" s="685" t="str">
        <f t="shared" ref="V280:V285" si="149">IF(K280="","CHƯA NHẬP NGÀY",TEXT(K280,"dd/mm/yyyy"))</f>
        <v>03/05/2027</v>
      </c>
      <c r="W280" s="686" t="str">
        <f t="shared" ref="W280:W285" si="150">IF(T280="","CHƯA NHẬP NGÀY",TEXT(T280,"dd/mm/yyyy"))</f>
        <v>CHƯA NHẬP NGÀY</v>
      </c>
      <c r="X280" s="687" t="str">
        <f t="shared" ref="X280:X285" si="151">IF(J280="","CHƯA NHẬP NGÀY",TEXT(J280,"dd/mm/yyyy"))</f>
        <v>03/05/2025</v>
      </c>
      <c r="Y280" s="367" t="str">
        <f>HYPERLINK('Danh mục'!$D$1&amp;"20"&amp;MID(D280,8,2)&amp;"\"&amp;D280,D280)</f>
        <v>CC_1070826-HN</v>
      </c>
      <c r="Z280" s="368">
        <f>YEAR(Table2[[#This Row],[Ngày
date]])</f>
        <v>2026</v>
      </c>
      <c r="AA280" s="368" t="str">
        <f t="shared" ref="AA280:AA285" si="152">IF(ISNUMBER(SEARCH("HCM",D280)),"HCM",
IF(ISNUMBER(SEARCH("HN",D280)),"HN",
IF(ISNUMBER(SEARCH("ĐN",D280)),"ĐN","")))</f>
        <v>HN</v>
      </c>
    </row>
    <row r="281" spans="1:27" ht="76.5" x14ac:dyDescent="0.2">
      <c r="A281" s="684">
        <f t="shared" si="148"/>
        <v>277</v>
      </c>
      <c r="B281" s="678" t="s">
        <v>2152</v>
      </c>
      <c r="C281" s="517">
        <v>46255</v>
      </c>
      <c r="D281" s="415" t="s">
        <v>2379</v>
      </c>
      <c r="E281" s="679"/>
      <c r="F281" s="472" t="s">
        <v>2375</v>
      </c>
      <c r="G281" s="473" t="s">
        <v>2376</v>
      </c>
      <c r="H281" s="414" t="s">
        <v>581</v>
      </c>
      <c r="I281" s="492" t="s">
        <v>2377</v>
      </c>
      <c r="J281" s="442">
        <v>46056</v>
      </c>
      <c r="K281" s="442">
        <v>47152</v>
      </c>
      <c r="L281" s="349" t="s">
        <v>15</v>
      </c>
      <c r="M281" s="627" t="s">
        <v>2380</v>
      </c>
      <c r="N281" s="348" t="s">
        <v>2378</v>
      </c>
      <c r="O281" s="355" t="s">
        <v>1953</v>
      </c>
      <c r="P281" s="348" t="s">
        <v>2401</v>
      </c>
      <c r="Q281" s="343" t="s">
        <v>1382</v>
      </c>
      <c r="R281" s="343" t="s">
        <v>835</v>
      </c>
      <c r="S281" s="344" t="s">
        <v>953</v>
      </c>
      <c r="T281" s="345"/>
      <c r="U281" s="356">
        <f>MONTH(Table2[[#This Row],[Ngày
date]])</f>
        <v>8</v>
      </c>
      <c r="V281" s="685" t="str">
        <f t="shared" si="149"/>
        <v>03/02/2029</v>
      </c>
      <c r="W281" s="686" t="str">
        <f t="shared" si="150"/>
        <v>CHƯA NHẬP NGÀY</v>
      </c>
      <c r="X281" s="687" t="str">
        <f t="shared" si="151"/>
        <v>03/02/2026</v>
      </c>
      <c r="Y281" s="367" t="str">
        <f>HYPERLINK('Danh mục'!$D$1&amp;"20"&amp;MID(D281,8,2)&amp;"\"&amp;D281,D281)</f>
        <v>CC_1080826-HN</v>
      </c>
      <c r="Z281" s="368">
        <f>YEAR(Table2[[#This Row],[Ngày
date]])</f>
        <v>2026</v>
      </c>
      <c r="AA281" s="368" t="str">
        <f t="shared" si="152"/>
        <v>HN</v>
      </c>
    </row>
    <row r="282" spans="1:27" ht="89.25" x14ac:dyDescent="0.2">
      <c r="A282" s="684">
        <f t="shared" ref="A282:A287" si="153">ROW(C282)-4</f>
        <v>278</v>
      </c>
      <c r="B282" s="678" t="s">
        <v>2152</v>
      </c>
      <c r="C282" s="517">
        <v>46258</v>
      </c>
      <c r="D282" s="415" t="s">
        <v>2400</v>
      </c>
      <c r="E282" s="592" t="s">
        <v>2398</v>
      </c>
      <c r="F282" s="472" t="s">
        <v>2381</v>
      </c>
      <c r="G282" s="473" t="s">
        <v>1946</v>
      </c>
      <c r="H282" s="404" t="s">
        <v>1657</v>
      </c>
      <c r="I282" s="364" t="s">
        <v>2382</v>
      </c>
      <c r="J282" s="442">
        <v>46192</v>
      </c>
      <c r="K282" s="442">
        <v>46922</v>
      </c>
      <c r="L282" s="349" t="s">
        <v>1207</v>
      </c>
      <c r="M282" s="627" t="s">
        <v>1752</v>
      </c>
      <c r="N282" s="348" t="s">
        <v>2383</v>
      </c>
      <c r="O282" s="355" t="s">
        <v>1953</v>
      </c>
      <c r="P282" s="348" t="s">
        <v>2399</v>
      </c>
      <c r="Q282" s="343" t="s">
        <v>1467</v>
      </c>
      <c r="R282" s="343" t="s">
        <v>1056</v>
      </c>
      <c r="S282" s="344" t="s">
        <v>1256</v>
      </c>
      <c r="T282" s="345"/>
      <c r="U282" s="356">
        <f>MONTH(Table2[[#This Row],[Ngày
date]])</f>
        <v>8</v>
      </c>
      <c r="V282" s="685" t="str">
        <f t="shared" si="149"/>
        <v>18/06/2028</v>
      </c>
      <c r="W282" s="686" t="str">
        <f t="shared" si="150"/>
        <v>CHƯA NHẬP NGÀY</v>
      </c>
      <c r="X282" s="687" t="str">
        <f t="shared" si="151"/>
        <v>19/06/2026</v>
      </c>
      <c r="Y282" s="367" t="str">
        <f>HYPERLINK('Danh mục'!$D$1&amp;"20"&amp;MID(D282,8,2)&amp;"\"&amp;D282,D282)</f>
        <v>CC_1090826-ĐN-HUY</v>
      </c>
      <c r="Z282" s="368">
        <f>YEAR(Table2[[#This Row],[Ngày
date]])</f>
        <v>2026</v>
      </c>
      <c r="AA282" s="368" t="str">
        <f t="shared" si="152"/>
        <v>ĐN</v>
      </c>
    </row>
    <row r="283" spans="1:27" ht="89.25" x14ac:dyDescent="0.2">
      <c r="A283" s="684">
        <f t="shared" si="153"/>
        <v>279</v>
      </c>
      <c r="B283" s="678" t="s">
        <v>2152</v>
      </c>
      <c r="C283" s="517">
        <v>46258</v>
      </c>
      <c r="D283" s="415" t="s">
        <v>2385</v>
      </c>
      <c r="E283" s="679" t="s">
        <v>2386</v>
      </c>
      <c r="F283" s="472" t="s">
        <v>1295</v>
      </c>
      <c r="G283" s="473" t="s">
        <v>646</v>
      </c>
      <c r="H283" s="404" t="s">
        <v>2390</v>
      </c>
      <c r="I283" s="364" t="s">
        <v>2387</v>
      </c>
      <c r="J283" s="442">
        <v>46175</v>
      </c>
      <c r="K283" s="541" t="s">
        <v>2388</v>
      </c>
      <c r="L283" s="349" t="s">
        <v>65</v>
      </c>
      <c r="M283" s="627" t="s">
        <v>1752</v>
      </c>
      <c r="N283" s="348" t="s">
        <v>2389</v>
      </c>
      <c r="O283" s="355" t="s">
        <v>1953</v>
      </c>
      <c r="P283" s="348" t="s">
        <v>2391</v>
      </c>
      <c r="Q283" s="343" t="s">
        <v>1777</v>
      </c>
      <c r="R283" s="343" t="s">
        <v>835</v>
      </c>
      <c r="S283" s="344" t="s">
        <v>1255</v>
      </c>
      <c r="T283" s="345"/>
      <c r="U283" s="356">
        <f>MONTH(Table2[[#This Row],[Ngày
date]])</f>
        <v>8</v>
      </c>
      <c r="V283" s="685" t="str">
        <f t="shared" si="149"/>
        <v xml:space="preserve"> 29/11/2027</v>
      </c>
      <c r="W283" s="686" t="str">
        <f t="shared" si="150"/>
        <v>CHƯA NHẬP NGÀY</v>
      </c>
      <c r="X283" s="687" t="str">
        <f t="shared" si="151"/>
        <v>02/06/2026</v>
      </c>
      <c r="Y283" s="367" t="str">
        <f>HYPERLINK('Danh mục'!$D$1&amp;"20"&amp;MID(D283,8,2)&amp;"\"&amp;D283,D283)</f>
        <v>CC_1100826-HCM</v>
      </c>
      <c r="Z283" s="368">
        <f>YEAR(Table2[[#This Row],[Ngày
date]])</f>
        <v>2026</v>
      </c>
      <c r="AA283" s="368" t="str">
        <f t="shared" si="152"/>
        <v>HCM</v>
      </c>
    </row>
    <row r="284" spans="1:27" ht="89.25" x14ac:dyDescent="0.2">
      <c r="A284" s="704">
        <f t="shared" si="153"/>
        <v>280</v>
      </c>
      <c r="B284" s="703" t="s">
        <v>2151</v>
      </c>
      <c r="C284" s="517">
        <v>46259</v>
      </c>
      <c r="D284" s="415" t="s">
        <v>2393</v>
      </c>
      <c r="E284" s="592" t="s">
        <v>2403</v>
      </c>
      <c r="F284" s="472" t="s">
        <v>2394</v>
      </c>
      <c r="G284" s="473" t="s">
        <v>2402</v>
      </c>
      <c r="H284" s="404" t="s">
        <v>1564</v>
      </c>
      <c r="I284" s="364" t="s">
        <v>2395</v>
      </c>
      <c r="J284" s="442" t="s">
        <v>2396</v>
      </c>
      <c r="K284" s="541">
        <v>46660</v>
      </c>
      <c r="L284" s="349" t="s">
        <v>43</v>
      </c>
      <c r="M284" s="627" t="s">
        <v>1752</v>
      </c>
      <c r="N284" s="348" t="s">
        <v>2397</v>
      </c>
      <c r="O284" s="355" t="s">
        <v>482</v>
      </c>
      <c r="P284" s="348" t="s">
        <v>2421</v>
      </c>
      <c r="Q284" s="343"/>
      <c r="R284" s="343"/>
      <c r="S284" s="344" t="s">
        <v>798</v>
      </c>
      <c r="T284" s="345"/>
      <c r="U284" s="356">
        <f>MONTH(Table2[[#This Row],[Ngày
date]])</f>
        <v>8</v>
      </c>
      <c r="V284" s="705" t="str">
        <f t="shared" si="149"/>
        <v>30/09/2027</v>
      </c>
      <c r="W284" s="706" t="str">
        <f t="shared" si="150"/>
        <v>CHƯA NHẬP NGÀY</v>
      </c>
      <c r="X284" s="707" t="str">
        <f t="shared" si="151"/>
        <v>11/10/2024</v>
      </c>
      <c r="Y284" s="588"/>
      <c r="Z284" s="368">
        <f>YEAR(Table2[[#This Row],[Ngày
date]])</f>
        <v>2026</v>
      </c>
      <c r="AA284" s="368" t="str">
        <f t="shared" si="152"/>
        <v>HCM</v>
      </c>
    </row>
    <row r="285" spans="1:27" ht="71.45" customHeight="1" x14ac:dyDescent="0.2">
      <c r="A285" s="684">
        <f t="shared" si="153"/>
        <v>281</v>
      </c>
      <c r="B285" s="625" t="s">
        <v>2156</v>
      </c>
      <c r="C285" s="564">
        <v>46268</v>
      </c>
      <c r="D285" s="415" t="s">
        <v>2404</v>
      </c>
      <c r="E285" s="592" t="s">
        <v>2405</v>
      </c>
      <c r="F285" s="507" t="s">
        <v>2406</v>
      </c>
      <c r="G285" s="713" t="s">
        <v>1714</v>
      </c>
      <c r="H285" s="404" t="s">
        <v>1843</v>
      </c>
      <c r="I285" s="508" t="s">
        <v>2407</v>
      </c>
      <c r="J285" s="461">
        <v>45787</v>
      </c>
      <c r="K285" s="461">
        <v>46517</v>
      </c>
      <c r="L285" s="334" t="s">
        <v>65</v>
      </c>
      <c r="M285" s="680" t="s">
        <v>1752</v>
      </c>
      <c r="N285" s="335" t="s">
        <v>2408</v>
      </c>
      <c r="O285" s="355" t="s">
        <v>1953</v>
      </c>
      <c r="P285" s="335" t="s">
        <v>2448</v>
      </c>
      <c r="Q285" s="336"/>
      <c r="R285" s="336"/>
      <c r="S285" s="337"/>
      <c r="T285" s="338"/>
      <c r="U285" s="345">
        <f>MONTH(Table2[[#This Row],[Ngày
date]])</f>
        <v>9</v>
      </c>
      <c r="V285" s="365" t="str">
        <f t="shared" si="149"/>
        <v>10/05/2027</v>
      </c>
      <c r="W285" s="366" t="str">
        <f t="shared" si="150"/>
        <v>CHƯA NHẬP NGÀY</v>
      </c>
      <c r="X285" s="509" t="str">
        <f t="shared" si="151"/>
        <v>10/05/2025</v>
      </c>
      <c r="Y285" s="367" t="str">
        <f>HYPERLINK('Danh mục'!$D$1&amp;"20"&amp;MID(D285,8,2)&amp;"\"&amp;D285,D285)</f>
        <v>CC_1120926-HCM</v>
      </c>
      <c r="Z285" s="368">
        <f>YEAR(Table2[[#This Row],[Ngày
date]])</f>
        <v>2026</v>
      </c>
      <c r="AA285" s="368" t="str">
        <f t="shared" si="152"/>
        <v>HCM</v>
      </c>
    </row>
    <row r="286" spans="1:27" ht="51" x14ac:dyDescent="0.2">
      <c r="A286" s="716">
        <f t="shared" si="153"/>
        <v>282</v>
      </c>
      <c r="B286" s="714" t="s">
        <v>2153</v>
      </c>
      <c r="C286" s="517">
        <v>46269</v>
      </c>
      <c r="D286" s="415" t="s">
        <v>2409</v>
      </c>
      <c r="E286" s="715" t="s">
        <v>2410</v>
      </c>
      <c r="F286" s="472" t="s">
        <v>2411</v>
      </c>
      <c r="G286" s="473" t="s">
        <v>2412</v>
      </c>
      <c r="H286" s="404" t="s">
        <v>1045</v>
      </c>
      <c r="I286" s="364" t="s">
        <v>2413</v>
      </c>
      <c r="J286" s="461">
        <v>45567</v>
      </c>
      <c r="K286" s="541">
        <v>46296</v>
      </c>
      <c r="L286" s="334" t="s">
        <v>65</v>
      </c>
      <c r="M286" s="627" t="s">
        <v>1752</v>
      </c>
      <c r="N286" s="348" t="s">
        <v>2414</v>
      </c>
      <c r="O286" s="355" t="s">
        <v>482</v>
      </c>
      <c r="P286" s="348" t="s">
        <v>2420</v>
      </c>
      <c r="Q286" s="343"/>
      <c r="R286" s="343"/>
      <c r="S286" s="344" t="s">
        <v>798</v>
      </c>
      <c r="T286" s="345"/>
      <c r="U286" s="356">
        <f>MONTH(Table2[[#This Row],[Ngày
date]])</f>
        <v>9</v>
      </c>
      <c r="V286" s="717" t="str">
        <f>IF(K286="","CHƯA NHẬP NGÀY",TEXT(K286,"dd/mm/yyyy"))</f>
        <v>01/10/2026</v>
      </c>
      <c r="W286" s="718" t="str">
        <f>IF(T286="","CHƯA NHẬP NGÀY",TEXT(T286,"dd/mm/yyyy"))</f>
        <v>CHƯA NHẬP NGÀY</v>
      </c>
      <c r="X286" s="719" t="str">
        <f>IF(J286="","CHƯA NHẬP NGÀY",TEXT(J286,"dd/mm/yyyy"))</f>
        <v>02/10/2024</v>
      </c>
      <c r="Y286" s="588"/>
      <c r="Z286" s="368">
        <f>YEAR(Table2[[#This Row],[Ngày
date]])</f>
        <v>2026</v>
      </c>
      <c r="AA286" s="368" t="str">
        <f>IF(ISNUMBER(SEARCH("HCM",D286)),"HCM",
IF(ISNUMBER(SEARCH("HN",D286)),"HN",
IF(ISNUMBER(SEARCH("ĐN",D286)),"ĐN","")))</f>
        <v>HCM</v>
      </c>
    </row>
    <row r="287" spans="1:27" ht="63.75" x14ac:dyDescent="0.2">
      <c r="A287" s="577">
        <f t="shared" si="153"/>
        <v>283</v>
      </c>
      <c r="B287" s="625" t="s">
        <v>2155</v>
      </c>
      <c r="C287" s="517">
        <v>46272</v>
      </c>
      <c r="D287" s="415" t="s">
        <v>2449</v>
      </c>
      <c r="E287" s="592" t="s">
        <v>2422</v>
      </c>
      <c r="F287" s="472" t="s">
        <v>2415</v>
      </c>
      <c r="G287" s="473" t="s">
        <v>2423</v>
      </c>
      <c r="H287" s="404" t="s">
        <v>2417</v>
      </c>
      <c r="I287" s="364" t="s">
        <v>2418</v>
      </c>
      <c r="J287" s="461">
        <v>45838</v>
      </c>
      <c r="K287" s="541">
        <v>46568</v>
      </c>
      <c r="L287" s="349" t="s">
        <v>394</v>
      </c>
      <c r="M287" s="627" t="s">
        <v>1752</v>
      </c>
      <c r="N287" s="348" t="s">
        <v>2419</v>
      </c>
      <c r="O287" s="355" t="s">
        <v>1953</v>
      </c>
      <c r="P287" s="348" t="s">
        <v>2446</v>
      </c>
      <c r="Q287" s="343" t="s">
        <v>1777</v>
      </c>
      <c r="R287" s="343" t="s">
        <v>759</v>
      </c>
      <c r="S287" s="344" t="s">
        <v>953</v>
      </c>
      <c r="T287" s="345"/>
      <c r="U287" s="345">
        <f>MONTH(Table2[[#This Row],[Ngày
date]])</f>
        <v>9</v>
      </c>
      <c r="V287" s="375" t="str">
        <f>IF(K287="","CHƯA NHẬP NGÀY",TEXT(K287,"dd/mm/yyyy"))</f>
        <v>30/06/2027</v>
      </c>
      <c r="W287" s="376" t="str">
        <f>IF(T287="","CHƯA NHẬP NGÀY",TEXT(T287,"dd/mm/yyyy"))</f>
        <v>CHƯA NHẬP NGÀY</v>
      </c>
      <c r="X287" s="510" t="str">
        <f>IF(J287="","CHƯA NHẬP NGÀY",TEXT(J287,"dd/mm/yyyy"))</f>
        <v>30/06/2025</v>
      </c>
      <c r="Y287" s="367" t="str">
        <f>HYPERLINK('Danh mục'!$D$1&amp;"20"&amp;MID(D287,8,2)&amp;"\"&amp;D287,D287)</f>
        <v>CC_1140926-HCM
HUY</v>
      </c>
      <c r="Z287" s="368">
        <f>YEAR(Table2[[#This Row],[Ngày
date]])</f>
        <v>2026</v>
      </c>
      <c r="AA287" s="368" t="str">
        <f>IF(ISNUMBER(SEARCH("HCM",D287)),"HCM",
IF(ISNUMBER(SEARCH("HN",D287)),"HN",
IF(ISNUMBER(SEARCH("ĐN",D287)),"ĐN","")))</f>
        <v>HCM</v>
      </c>
    </row>
    <row r="288" spans="1:27" ht="63.75" x14ac:dyDescent="0.2">
      <c r="A288" s="722">
        <f>ROW(C288)-4</f>
        <v>284</v>
      </c>
      <c r="B288" s="720" t="s">
        <v>2161</v>
      </c>
      <c r="C288" s="517">
        <v>46275</v>
      </c>
      <c r="D288" s="415" t="s">
        <v>2450</v>
      </c>
      <c r="E288" s="721"/>
      <c r="F288" s="472" t="s">
        <v>2451</v>
      </c>
      <c r="G288" s="473" t="s">
        <v>2455</v>
      </c>
      <c r="H288" s="414" t="s">
        <v>2452</v>
      </c>
      <c r="I288" s="492" t="s">
        <v>2453</v>
      </c>
      <c r="J288" s="442" t="s">
        <v>2456</v>
      </c>
      <c r="K288" s="541">
        <v>47118</v>
      </c>
      <c r="L288" s="349" t="s">
        <v>507</v>
      </c>
      <c r="M288" s="627" t="s">
        <v>1752</v>
      </c>
      <c r="N288" s="348" t="s">
        <v>2454</v>
      </c>
      <c r="O288" s="355" t="s">
        <v>1953</v>
      </c>
      <c r="P288" s="348" t="s">
        <v>2457</v>
      </c>
      <c r="Q288" s="343"/>
      <c r="R288" s="343"/>
      <c r="S288" s="344"/>
      <c r="T288" s="345"/>
      <c r="U288" s="356">
        <f>MONTH(Table2[[#This Row],[Ngày
date]])</f>
        <v>9</v>
      </c>
      <c r="V288" s="723" t="str">
        <f>IF(K288="","CHƯA NHẬP NGÀY",TEXT(K288,"dd/mm/yyyy"))</f>
        <v>31/12/2028</v>
      </c>
      <c r="W288" s="724" t="str">
        <f>IF(T288="","CHƯA NHẬP NGÀY",TEXT(T288,"dd/mm/yyyy"))</f>
        <v>CHƯA NHẬP NGÀY</v>
      </c>
      <c r="X288" s="725" t="str">
        <f>IF(J288="","CHƯA NHẬP NGÀY",TEXT(J288,"dd/mm/yyyy"))</f>
        <v>01/01/2026</v>
      </c>
      <c r="Y288" s="588"/>
      <c r="Z288" s="368">
        <f>YEAR(Table2[[#This Row],[Ngày
date]])</f>
        <v>2026</v>
      </c>
      <c r="AA288" s="368" t="str">
        <f>IF(ISNUMBER(SEARCH("HCM",D288)),"HCM",
IF(ISNUMBER(SEARCH("HN",D288)),"HN",
IF(ISNUMBER(SEARCH("ĐN",D288)),"ĐN","")))</f>
        <v>HCM</v>
      </c>
    </row>
    <row r="289" spans="1:27" x14ac:dyDescent="0.2">
      <c r="A289" s="708"/>
      <c r="B289" s="708"/>
      <c r="C289" s="692"/>
      <c r="D289" s="693"/>
      <c r="E289" s="709"/>
      <c r="F289" s="250"/>
      <c r="G289" s="250"/>
      <c r="I289" s="695"/>
      <c r="J289" s="696"/>
      <c r="K289" s="710"/>
      <c r="L289" s="370"/>
      <c r="M289" s="697"/>
      <c r="N289" s="698"/>
      <c r="O289" s="699"/>
      <c r="P289" s="348"/>
      <c r="Q289" s="368"/>
      <c r="R289" s="368"/>
      <c r="S289" s="699"/>
      <c r="T289" s="700"/>
      <c r="V289" s="711"/>
      <c r="W289" s="711"/>
      <c r="X289" s="712"/>
      <c r="Y289" s="588"/>
      <c r="Z289" s="368"/>
      <c r="AA289" s="368"/>
    </row>
    <row r="290" spans="1:27" x14ac:dyDescent="0.2">
      <c r="A290" s="691"/>
      <c r="B290" s="691"/>
      <c r="C290" s="692"/>
      <c r="D290" s="693"/>
      <c r="E290" s="694"/>
      <c r="F290" s="250"/>
      <c r="G290" s="250"/>
      <c r="I290" s="695"/>
      <c r="J290" s="696"/>
      <c r="K290" s="696"/>
      <c r="L290" s="370"/>
      <c r="M290" s="697"/>
      <c r="N290" s="698"/>
      <c r="O290" s="699"/>
      <c r="P290" s="348"/>
      <c r="Q290" s="368"/>
      <c r="R290" s="368"/>
      <c r="S290" s="699"/>
      <c r="T290" s="700"/>
      <c r="V290" s="701"/>
      <c r="W290" s="701"/>
      <c r="X290" s="702"/>
      <c r="Y290" s="588"/>
      <c r="Z290" s="368"/>
      <c r="AA290" s="368"/>
    </row>
    <row r="291" spans="1:27" ht="15" x14ac:dyDescent="0.2">
      <c r="A291" s="38"/>
      <c r="B291" s="38"/>
      <c r="C291" s="522"/>
      <c r="D291" s="67" t="s">
        <v>530</v>
      </c>
      <c r="E291" s="67"/>
      <c r="F291" s="2"/>
      <c r="G291" s="2"/>
      <c r="H291" s="8"/>
      <c r="I291" s="2"/>
      <c r="J291" s="469"/>
      <c r="K291" s="551"/>
      <c r="L291" s="12"/>
      <c r="M291" s="12"/>
      <c r="N291" s="67" t="s">
        <v>22</v>
      </c>
      <c r="O291" s="54"/>
      <c r="P291" s="348"/>
      <c r="Q291" s="1"/>
      <c r="R291" s="1"/>
      <c r="S291" s="2"/>
      <c r="T291" s="2"/>
      <c r="U291" s="2"/>
      <c r="V291" s="2"/>
      <c r="W291" s="2"/>
      <c r="X291" s="2"/>
      <c r="Y291" s="2"/>
    </row>
    <row r="292" spans="1:27" x14ac:dyDescent="0.2">
      <c r="A292" s="38"/>
      <c r="B292" s="38"/>
      <c r="C292" s="522"/>
      <c r="D292" s="2"/>
      <c r="E292" s="2"/>
      <c r="F292" s="2"/>
      <c r="G292" s="2"/>
      <c r="H292" s="8"/>
      <c r="I292" s="2"/>
      <c r="J292" s="469"/>
      <c r="K292" s="551"/>
      <c r="L292" s="12"/>
      <c r="M292" s="12"/>
      <c r="N292" s="2"/>
      <c r="O292" s="2"/>
      <c r="P292" s="54"/>
      <c r="Q292" s="1"/>
      <c r="R292" s="1"/>
      <c r="S292" s="2"/>
      <c r="T292" s="2"/>
      <c r="U292" s="2"/>
      <c r="V292" s="2"/>
      <c r="W292" s="2"/>
      <c r="X292" s="2"/>
      <c r="Y292" s="2"/>
    </row>
    <row r="294" spans="1:27" x14ac:dyDescent="0.2">
      <c r="H294" s="585"/>
    </row>
    <row r="295" spans="1:27" x14ac:dyDescent="0.2">
      <c r="J295" s="471"/>
    </row>
    <row r="297" spans="1:27" x14ac:dyDescent="0.2">
      <c r="F297" s="329"/>
    </row>
  </sheetData>
  <sheetProtection sort="0" autoFilter="0" pivotTables="0"/>
  <dataConsolidate/>
  <conditionalFormatting sqref="A1:Y3 D4:Y139 A4:B226 D140:X161 Y140:Y284 D162:J169 O162:X169 D170:F173 H170:J173 G170:G207 O170:O226 Q171 Q172:X173 I174:N176 D174:E186 F174:F207 H174:H226 P174:X226 J177:N186 I177:I226 K187:N189 C187:E226 L195:N195 J196:N220 F208:G226 J221:J226 M221:O226 K221:L232 M227:X232 A227:J233 N233:X280 A234:H248 J234:J248 I234:I290 A249:E249 J249:K271 A250:F250 A251:E280 F258:H280 J272:M290 A281:H290 N281:Y290 A291:Y1048576">
    <cfRule type="expression" dxfId="133" priority="369">
      <formula>IF(IFERROR(SEARCH("HUY",$D1,1),0)&gt;0,TRUE,FALSE)</formula>
    </cfRule>
    <cfRule type="expression" dxfId="132" priority="307">
      <formula>IF($S1="Chờ xử lý", TRUE, FALSE)</formula>
    </cfRule>
    <cfRule type="expression" dxfId="131" priority="368">
      <formula>IF(AND($S1="",$D1&gt;0),TRUE,FALSE)</formula>
    </cfRule>
  </conditionalFormatting>
  <conditionalFormatting sqref="C4:C186">
    <cfRule type="expression" dxfId="130" priority="124">
      <formula>IF($S4="Chờ xử lý", TRUE, FALSE)</formula>
    </cfRule>
    <cfRule type="expression" dxfId="129" priority="125">
      <formula>IF(AND($S4="",$D4&gt;0),TRUE,FALSE)</formula>
    </cfRule>
    <cfRule type="expression" dxfId="128" priority="126">
      <formula>IF(IFERROR(SEARCH("HUY",$D4,1),0)&gt;0,TRUE,FALSE)</formula>
    </cfRule>
  </conditionalFormatting>
  <conditionalFormatting sqref="F251:F257">
    <cfRule type="expression" dxfId="127" priority="13">
      <formula>IF($S251="Chờ xử lý", TRUE, FALSE)</formula>
    </cfRule>
    <cfRule type="expression" dxfId="126" priority="14">
      <formula>IF(AND($S251="",$D251&gt;0),TRUE,FALSE)</formula>
    </cfRule>
    <cfRule type="expression" dxfId="125" priority="15">
      <formula>IF(IFERROR(SEARCH("HUY",$D251,1),0)&gt;0,TRUE,FALSE)</formula>
    </cfRule>
  </conditionalFormatting>
  <conditionalFormatting sqref="F249:H249">
    <cfRule type="expression" dxfId="124" priority="34">
      <formula>IF($S249="Chờ xử lý", TRUE, FALSE)</formula>
    </cfRule>
    <cfRule type="expression" dxfId="123" priority="35">
      <formula>IF(AND($S249="",$D249&gt;0),TRUE,FALSE)</formula>
    </cfRule>
    <cfRule type="expression" dxfId="122" priority="36">
      <formula>IF(IFERROR(SEARCH("HUY",$D249,1),0)&gt;0,TRUE,FALSE)</formula>
    </cfRule>
  </conditionalFormatting>
  <conditionalFormatting sqref="G250:H257">
    <cfRule type="expression" dxfId="121" priority="16">
      <formula>IF($S250="Chờ xử lý", TRUE, FALSE)</formula>
    </cfRule>
    <cfRule type="expression" dxfId="120" priority="17">
      <formula>IF(AND($S250="",$D250&gt;0),TRUE,FALSE)</formula>
    </cfRule>
    <cfRule type="expression" dxfId="119" priority="18">
      <formula>IF(IFERROR(SEARCH("HUY",$D250,1),0)&gt;0,TRUE,FALSE)</formula>
    </cfRule>
  </conditionalFormatting>
  <conditionalFormatting sqref="J187:J189">
    <cfRule type="expression" dxfId="118" priority="78">
      <formula>IF(IFERROR(SEARCH("HUY",$D187,1),0)&gt;0,TRUE,FALSE)</formula>
    </cfRule>
    <cfRule type="expression" dxfId="117" priority="77">
      <formula>IF(AND($S187="",$D187&gt;0),TRUE,FALSE)</formula>
    </cfRule>
    <cfRule type="expression" dxfId="116" priority="76">
      <formula>IF($S187="Chờ xử lý", TRUE, FALSE)</formula>
    </cfRule>
  </conditionalFormatting>
  <conditionalFormatting sqref="J195">
    <cfRule type="expression" dxfId="115" priority="64">
      <formula>IF($S195="Chờ xử lý", TRUE, FALSE)</formula>
    </cfRule>
    <cfRule type="expression" dxfId="114" priority="65">
      <formula>IF(AND($S195="",$D195&gt;0),TRUE,FALSE)</formula>
    </cfRule>
    <cfRule type="expression" dxfId="113" priority="66">
      <formula>IF(IFERROR(SEARCH("HUY",$D195,1),0)&gt;0,TRUE,FALSE)</formula>
    </cfRule>
  </conditionalFormatting>
  <conditionalFormatting sqref="J190:N194">
    <cfRule type="expression" dxfId="112" priority="73">
      <formula>IF($S190="Chờ xử lý", TRUE, FALSE)</formula>
    </cfRule>
    <cfRule type="expression" dxfId="111" priority="75">
      <formula>IF(IFERROR(SEARCH("HUY",$D190,1),0)&gt;0,TRUE,FALSE)</formula>
    </cfRule>
    <cfRule type="expression" dxfId="110" priority="74">
      <formula>IF(AND($S190="",$D190&gt;0),TRUE,FALSE)</formula>
    </cfRule>
  </conditionalFormatting>
  <conditionalFormatting sqref="K195">
    <cfRule type="expression" dxfId="109" priority="61">
      <formula>IF($S195="Chờ xử lý", TRUE, FALSE)</formula>
    </cfRule>
    <cfRule type="expression" dxfId="108" priority="62">
      <formula>IF(AND($S195="",$D195&gt;0),TRUE,FALSE)</formula>
    </cfRule>
    <cfRule type="expression" dxfId="107" priority="63">
      <formula>IF(IFERROR(SEARCH("HUY",$D195,1),0)&gt;0,TRUE,FALSE)</formula>
    </cfRule>
  </conditionalFormatting>
  <conditionalFormatting sqref="K233:K248">
    <cfRule type="expression" dxfId="106" priority="37">
      <formula>IF($S233="Chờ xử lý", TRUE, FALSE)</formula>
    </cfRule>
    <cfRule type="expression" dxfId="105" priority="38">
      <formula>IF(AND($S233="",$D233&gt;0),TRUE,FALSE)</formula>
    </cfRule>
    <cfRule type="expression" dxfId="104" priority="39">
      <formula>IF(IFERROR(SEARCH("HUY",$D233,1),0)&gt;0,TRUE,FALSE)</formula>
    </cfRule>
  </conditionalFormatting>
  <conditionalFormatting sqref="K162:N173">
    <cfRule type="expression" dxfId="103" priority="162">
      <formula>IF($S162="Chờ xử lý", TRUE, FALSE)</formula>
    </cfRule>
    <cfRule type="expression" dxfId="102" priority="163">
      <formula>IF(AND($S162="",$D162&gt;0),TRUE,FALSE)</formula>
    </cfRule>
    <cfRule type="expression" dxfId="101" priority="164">
      <formula>IF(IFERROR(SEARCH("HUY",$D162,1),0)&gt;0,TRUE,FALSE)</formula>
    </cfRule>
  </conditionalFormatting>
  <conditionalFormatting sqref="L233:M271">
    <cfRule type="expression" dxfId="100" priority="32">
      <formula>IF(AND($S233="",$D233&gt;0),TRUE,FALSE)</formula>
    </cfRule>
    <cfRule type="expression" dxfId="99" priority="31">
      <formula>IF($S233="Chờ xử lý", TRUE, FALSE)</formula>
    </cfRule>
    <cfRule type="expression" dxfId="98" priority="33">
      <formula>IF(IFERROR(SEARCH("HUY",$D233,1),0)&gt;0,TRUE,FALSE)</formula>
    </cfRule>
  </conditionalFormatting>
  <conditionalFormatting sqref="P171:P173">
    <cfRule type="expression" dxfId="97" priority="69">
      <formula>IF(IFERROR(SEARCH("HUY",$D171,1),0)&gt;0,TRUE,FALSE)</formula>
    </cfRule>
    <cfRule type="expression" dxfId="96" priority="68">
      <formula>IF(AND($S171="",$D171&gt;0),TRUE,FALSE)</formula>
    </cfRule>
    <cfRule type="expression" dxfId="95" priority="67">
      <formula>IF($S171="Chờ xử lý", TRUE, FALSE)</formula>
    </cfRule>
  </conditionalFormatting>
  <conditionalFormatting sqref="P170:Q170">
    <cfRule type="expression" dxfId="94" priority="171">
      <formula>IF($S170="Chờ xử lý", TRUE, FALSE)</formula>
    </cfRule>
    <cfRule type="expression" dxfId="93" priority="172">
      <formula>IF(AND($S170="",$D170&gt;0),TRUE,FALSE)</formula>
    </cfRule>
    <cfRule type="expression" dxfId="92" priority="173">
      <formula>IF(IFERROR(SEARCH("HUY",$D170,1),0)&gt;0,TRUE,FALSE)</formula>
    </cfRule>
  </conditionalFormatting>
  <conditionalFormatting sqref="R170:R171">
    <cfRule type="expression" dxfId="91" priority="127">
      <formula>IF($S170="Chờ xử lý", TRUE, FALSE)</formula>
    </cfRule>
    <cfRule type="expression" dxfId="90" priority="128">
      <formula>IF(AND($S170="",$D170&gt;0),TRUE,FALSE)</formula>
    </cfRule>
    <cfRule type="expression" dxfId="89" priority="129">
      <formula>IF(IFERROR(SEARCH("HUY",$D170,1),0)&gt;0,TRUE,FALSE)</formula>
    </cfRule>
  </conditionalFormatting>
  <conditionalFormatting sqref="S170:X171">
    <cfRule type="expression" dxfId="88" priority="165">
      <formula>IF($S170="Chờ xử lý", TRUE, FALSE)</formula>
    </cfRule>
    <cfRule type="expression" dxfId="87" priority="166">
      <formula>IF(AND($S170="",$D170&gt;0),TRUE,FALSE)</formula>
    </cfRule>
    <cfRule type="expression" dxfId="86" priority="167">
      <formula>IF(IFERROR(SEARCH("HUY",$D170,1),0)&gt;0,TRUE,FALSE)</formula>
    </cfRule>
  </conditionalFormatting>
  <pageMargins left="0.7" right="0.7" top="0.75" bottom="0.75" header="0.3" footer="0.3"/>
  <pageSetup paperSize="9" scale="39" fitToHeight="0" orientation="landscape" r:id="rId1"/>
  <headerFooter>
    <oddFooter>&amp;LBM-QT-QLCL-009-10-02&amp;RTrang/Page &amp;N/&amp;P</oddFooter>
  </headerFooter>
  <colBreaks count="1" manualBreakCount="1">
    <brk id="17"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'Danh mục'!$A$1:$A$13</xm:f>
          </x14:formula1>
          <xm:sqref>S1:S230 S232:S1048576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F0"/>
  </sheetPr>
  <dimension ref="A1:D10"/>
  <sheetViews>
    <sheetView workbookViewId="0">
      <selection activeCell="E48" sqref="E48"/>
    </sheetView>
  </sheetViews>
  <sheetFormatPr defaultRowHeight="12.75" x14ac:dyDescent="0.2"/>
  <cols>
    <col min="1" max="1" width="29.5703125" customWidth="1"/>
  </cols>
  <sheetData>
    <row r="1" spans="1:4" x14ac:dyDescent="0.2">
      <c r="A1" s="322" t="s">
        <v>797</v>
      </c>
      <c r="D1" t="s">
        <v>1262</v>
      </c>
    </row>
    <row r="2" spans="1:4" x14ac:dyDescent="0.2">
      <c r="A2" s="319" t="s">
        <v>1255</v>
      </c>
      <c r="D2" t="s">
        <v>1263</v>
      </c>
    </row>
    <row r="3" spans="1:4" x14ac:dyDescent="0.2">
      <c r="A3" s="319" t="s">
        <v>798</v>
      </c>
    </row>
    <row r="4" spans="1:4" x14ac:dyDescent="0.2">
      <c r="A4" s="319" t="s">
        <v>799</v>
      </c>
    </row>
    <row r="5" spans="1:4" x14ac:dyDescent="0.2">
      <c r="A5" s="319" t="s">
        <v>814</v>
      </c>
    </row>
    <row r="6" spans="1:4" x14ac:dyDescent="0.2">
      <c r="A6" s="319" t="s">
        <v>815</v>
      </c>
    </row>
    <row r="7" spans="1:4" x14ac:dyDescent="0.2">
      <c r="A7" s="319" t="s">
        <v>816</v>
      </c>
    </row>
    <row r="8" spans="1:4" x14ac:dyDescent="0.2">
      <c r="A8" s="320" t="s">
        <v>1256</v>
      </c>
    </row>
    <row r="9" spans="1:4" x14ac:dyDescent="0.2">
      <c r="A9" s="321" t="s">
        <v>953</v>
      </c>
    </row>
    <row r="10" spans="1:4" x14ac:dyDescent="0.2">
      <c r="A10" s="321" t="s">
        <v>1254</v>
      </c>
    </row>
  </sheetData>
  <dataConsolid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FF00"/>
  </sheetPr>
  <dimension ref="A1:R934"/>
  <sheetViews>
    <sheetView workbookViewId="0">
      <pane ySplit="1" topLeftCell="A2" activePane="bottomLeft" state="frozen"/>
      <selection pane="bottomLeft" activeCell="B12" sqref="B12"/>
    </sheetView>
  </sheetViews>
  <sheetFormatPr defaultRowHeight="12.75" x14ac:dyDescent="0.2"/>
  <cols>
    <col min="1" max="1" width="50.42578125" customWidth="1"/>
    <col min="2" max="2" width="22" customWidth="1"/>
    <col min="3" max="3" width="21.85546875" customWidth="1"/>
    <col min="4" max="4" width="13.42578125" customWidth="1"/>
    <col min="5" max="5" width="12.140625" style="318" customWidth="1"/>
    <col min="6" max="6" width="10.5703125" customWidth="1"/>
    <col min="7" max="7" width="11.42578125" customWidth="1"/>
    <col min="8" max="8" width="21.5703125" customWidth="1"/>
    <col min="9" max="9" width="23.85546875" customWidth="1"/>
    <col min="10" max="10" width="26.42578125" customWidth="1"/>
    <col min="11" max="11" width="15" bestFit="1" customWidth="1"/>
    <col min="12" max="12" width="28.140625" customWidth="1"/>
    <col min="13" max="13" width="11.85546875" bestFit="1" customWidth="1"/>
    <col min="14" max="14" width="11.42578125" customWidth="1"/>
    <col min="15" max="15" width="11.140625" bestFit="1" customWidth="1"/>
    <col min="18" max="18" width="11.85546875" bestFit="1" customWidth="1"/>
  </cols>
  <sheetData>
    <row r="1" spans="1:18" s="308" customFormat="1" ht="25.5" x14ac:dyDescent="0.2">
      <c r="A1" s="311" t="s">
        <v>819</v>
      </c>
      <c r="B1" s="309" t="s">
        <v>818</v>
      </c>
      <c r="C1" s="307" t="s">
        <v>802</v>
      </c>
      <c r="D1" s="307" t="s">
        <v>803</v>
      </c>
      <c r="E1" s="583" t="s">
        <v>809</v>
      </c>
      <c r="F1" s="307" t="s">
        <v>804</v>
      </c>
      <c r="G1" s="307" t="s">
        <v>805</v>
      </c>
      <c r="H1" s="307" t="s">
        <v>801</v>
      </c>
      <c r="I1" s="317" t="s">
        <v>1666</v>
      </c>
      <c r="J1" s="307" t="s">
        <v>795</v>
      </c>
      <c r="K1" s="307" t="s">
        <v>796</v>
      </c>
      <c r="L1" s="310" t="s">
        <v>806</v>
      </c>
      <c r="M1" s="317" t="s">
        <v>811</v>
      </c>
      <c r="N1" s="317" t="s">
        <v>808</v>
      </c>
      <c r="O1" s="317" t="s">
        <v>807</v>
      </c>
      <c r="P1"/>
      <c r="Q1"/>
      <c r="R1"/>
    </row>
    <row r="2" spans="1:18" x14ac:dyDescent="0.2">
      <c r="A2" s="313" t="s">
        <v>820</v>
      </c>
      <c r="B2" t="s">
        <v>2393</v>
      </c>
      <c r="C2" t="s">
        <v>1564</v>
      </c>
      <c r="D2" t="s">
        <v>2395</v>
      </c>
      <c r="E2" t="s">
        <v>2396</v>
      </c>
      <c r="F2" t="s">
        <v>1752</v>
      </c>
      <c r="G2" t="s">
        <v>523</v>
      </c>
      <c r="H2" t="s">
        <v>2438</v>
      </c>
      <c r="I2" t="s">
        <v>2396</v>
      </c>
      <c r="J2" t="s">
        <v>2439</v>
      </c>
      <c r="K2" t="s">
        <v>2173</v>
      </c>
      <c r="L2" t="s">
        <v>2394</v>
      </c>
      <c r="M2" t="s">
        <v>2397</v>
      </c>
      <c r="N2" t="s">
        <v>2402</v>
      </c>
      <c r="O2" s="318">
        <v>46259</v>
      </c>
    </row>
    <row r="3" spans="1:18" x14ac:dyDescent="0.2">
      <c r="A3" s="312" t="s">
        <v>821</v>
      </c>
      <c r="B3" t="s">
        <v>2404</v>
      </c>
      <c r="C3" t="s">
        <v>1843</v>
      </c>
      <c r="D3" t="s">
        <v>2407</v>
      </c>
      <c r="E3" s="318">
        <v>45787</v>
      </c>
      <c r="F3" t="s">
        <v>1752</v>
      </c>
      <c r="G3" t="s">
        <v>15</v>
      </c>
      <c r="H3" t="s">
        <v>2438</v>
      </c>
      <c r="I3" t="s">
        <v>2440</v>
      </c>
      <c r="J3" t="s">
        <v>2441</v>
      </c>
      <c r="K3" t="s">
        <v>2173</v>
      </c>
      <c r="L3" t="s">
        <v>2406</v>
      </c>
      <c r="M3" t="s">
        <v>2408</v>
      </c>
      <c r="N3" t="s">
        <v>1714</v>
      </c>
      <c r="O3" s="318">
        <v>46268</v>
      </c>
    </row>
    <row r="4" spans="1:18" x14ac:dyDescent="0.2">
      <c r="A4" s="312" t="s">
        <v>822</v>
      </c>
      <c r="B4" t="s">
        <v>2409</v>
      </c>
      <c r="C4" t="s">
        <v>1045</v>
      </c>
      <c r="D4" t="s">
        <v>2413</v>
      </c>
      <c r="E4" s="318">
        <v>45567</v>
      </c>
      <c r="F4" t="s">
        <v>1752</v>
      </c>
      <c r="G4" t="s">
        <v>15</v>
      </c>
      <c r="H4" t="s">
        <v>2438</v>
      </c>
      <c r="I4" t="s">
        <v>2442</v>
      </c>
      <c r="J4" t="s">
        <v>2443</v>
      </c>
      <c r="K4" t="s">
        <v>2173</v>
      </c>
      <c r="L4" t="s">
        <v>2411</v>
      </c>
      <c r="M4" t="s">
        <v>2414</v>
      </c>
      <c r="N4" t="s">
        <v>2412</v>
      </c>
      <c r="O4" s="318">
        <v>46269</v>
      </c>
    </row>
    <row r="5" spans="1:18" ht="25.5" x14ac:dyDescent="0.2">
      <c r="A5" s="311" t="s">
        <v>823</v>
      </c>
      <c r="B5" t="s">
        <v>2416</v>
      </c>
      <c r="C5" t="s">
        <v>2417</v>
      </c>
      <c r="D5" t="s">
        <v>2418</v>
      </c>
      <c r="E5" s="318">
        <v>45838</v>
      </c>
      <c r="F5" t="s">
        <v>1752</v>
      </c>
      <c r="G5" t="s">
        <v>394</v>
      </c>
      <c r="H5" t="s">
        <v>2438</v>
      </c>
      <c r="I5" t="s">
        <v>2444</v>
      </c>
      <c r="J5" t="s">
        <v>2445</v>
      </c>
      <c r="K5" t="s">
        <v>2173</v>
      </c>
      <c r="L5" t="s">
        <v>2415</v>
      </c>
      <c r="M5" t="s">
        <v>2419</v>
      </c>
      <c r="N5" t="s">
        <v>2423</v>
      </c>
      <c r="O5" s="318">
        <v>46272</v>
      </c>
    </row>
    <row r="6" spans="1:18" ht="25.5" x14ac:dyDescent="0.2">
      <c r="A6" s="311" t="s">
        <v>824</v>
      </c>
      <c r="E6"/>
    </row>
    <row r="7" spans="1:18" x14ac:dyDescent="0.2">
      <c r="E7"/>
    </row>
    <row r="8" spans="1:18" x14ac:dyDescent="0.2">
      <c r="E8"/>
    </row>
    <row r="9" spans="1:18" x14ac:dyDescent="0.2">
      <c r="E9"/>
    </row>
    <row r="10" spans="1:18" x14ac:dyDescent="0.2">
      <c r="E10"/>
    </row>
    <row r="11" spans="1:18" x14ac:dyDescent="0.2">
      <c r="E11"/>
    </row>
    <row r="12" spans="1:18" x14ac:dyDescent="0.2">
      <c r="E12"/>
    </row>
    <row r="13" spans="1:18" x14ac:dyDescent="0.2">
      <c r="E13"/>
    </row>
    <row r="14" spans="1:18" x14ac:dyDescent="0.2">
      <c r="E14"/>
    </row>
    <row r="15" spans="1:18" x14ac:dyDescent="0.2">
      <c r="E15"/>
    </row>
    <row r="16" spans="1:18"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29" spans="5:5" x14ac:dyDescent="0.2">
      <c r="E29"/>
    </row>
    <row r="30" spans="5:5" x14ac:dyDescent="0.2">
      <c r="E30"/>
    </row>
    <row r="31" spans="5:5" x14ac:dyDescent="0.2">
      <c r="E31"/>
    </row>
    <row r="32" spans="5:5" x14ac:dyDescent="0.2">
      <c r="E32"/>
    </row>
    <row r="33" spans="5:5" x14ac:dyDescent="0.2">
      <c r="E33"/>
    </row>
    <row r="34" spans="5:5" x14ac:dyDescent="0.2">
      <c r="E34"/>
    </row>
    <row r="35" spans="5:5" x14ac:dyDescent="0.2">
      <c r="E35"/>
    </row>
    <row r="36" spans="5:5" x14ac:dyDescent="0.2">
      <c r="E36"/>
    </row>
    <row r="37" spans="5:5" x14ac:dyDescent="0.2">
      <c r="E37"/>
    </row>
    <row r="38" spans="5:5" x14ac:dyDescent="0.2">
      <c r="E38"/>
    </row>
    <row r="39" spans="5:5" x14ac:dyDescent="0.2">
      <c r="E39"/>
    </row>
    <row r="40" spans="5:5" x14ac:dyDescent="0.2">
      <c r="E40"/>
    </row>
    <row r="41" spans="5:5" x14ac:dyDescent="0.2">
      <c r="E41"/>
    </row>
    <row r="42" spans="5:5" x14ac:dyDescent="0.2">
      <c r="E42"/>
    </row>
    <row r="43" spans="5:5" x14ac:dyDescent="0.2">
      <c r="E43"/>
    </row>
    <row r="44" spans="5:5" x14ac:dyDescent="0.2">
      <c r="E44"/>
    </row>
    <row r="45" spans="5:5" x14ac:dyDescent="0.2">
      <c r="E45"/>
    </row>
    <row r="46" spans="5:5" x14ac:dyDescent="0.2">
      <c r="E46"/>
    </row>
    <row r="47" spans="5:5" x14ac:dyDescent="0.2">
      <c r="E47"/>
    </row>
    <row r="48" spans="5:5" x14ac:dyDescent="0.2">
      <c r="E48"/>
    </row>
    <row r="49" spans="5:5" x14ac:dyDescent="0.2">
      <c r="E49"/>
    </row>
    <row r="50" spans="5:5" x14ac:dyDescent="0.2">
      <c r="E50"/>
    </row>
    <row r="51" spans="5:5" x14ac:dyDescent="0.2">
      <c r="E51"/>
    </row>
    <row r="52" spans="5:5" x14ac:dyDescent="0.2">
      <c r="E52"/>
    </row>
    <row r="53" spans="5:5" x14ac:dyDescent="0.2">
      <c r="E53"/>
    </row>
    <row r="54" spans="5:5" x14ac:dyDescent="0.2">
      <c r="E54"/>
    </row>
    <row r="55" spans="5:5" x14ac:dyDescent="0.2">
      <c r="E55"/>
    </row>
    <row r="56" spans="5:5" x14ac:dyDescent="0.2">
      <c r="E56"/>
    </row>
    <row r="57" spans="5:5" x14ac:dyDescent="0.2">
      <c r="E57"/>
    </row>
    <row r="58" spans="5:5" x14ac:dyDescent="0.2">
      <c r="E58"/>
    </row>
    <row r="59" spans="5:5" x14ac:dyDescent="0.2">
      <c r="E59"/>
    </row>
    <row r="60" spans="5:5" x14ac:dyDescent="0.2">
      <c r="E60"/>
    </row>
    <row r="61" spans="5:5" x14ac:dyDescent="0.2">
      <c r="E61"/>
    </row>
    <row r="62" spans="5:5" x14ac:dyDescent="0.2">
      <c r="E62"/>
    </row>
    <row r="63" spans="5:5" x14ac:dyDescent="0.2">
      <c r="E63"/>
    </row>
    <row r="64" spans="5:5" x14ac:dyDescent="0.2">
      <c r="E64"/>
    </row>
    <row r="65" spans="5:5" x14ac:dyDescent="0.2">
      <c r="E65"/>
    </row>
    <row r="66" spans="5:5" x14ac:dyDescent="0.2">
      <c r="E66"/>
    </row>
    <row r="67" spans="5:5" x14ac:dyDescent="0.2">
      <c r="E67"/>
    </row>
    <row r="68" spans="5:5" x14ac:dyDescent="0.2">
      <c r="E68"/>
    </row>
    <row r="69" spans="5:5" x14ac:dyDescent="0.2">
      <c r="E69"/>
    </row>
    <row r="70" spans="5:5" x14ac:dyDescent="0.2">
      <c r="E70"/>
    </row>
    <row r="71" spans="5:5" x14ac:dyDescent="0.2">
      <c r="E71"/>
    </row>
    <row r="72" spans="5:5" x14ac:dyDescent="0.2">
      <c r="E72"/>
    </row>
    <row r="73" spans="5:5" x14ac:dyDescent="0.2">
      <c r="E73"/>
    </row>
    <row r="74" spans="5:5" x14ac:dyDescent="0.2">
      <c r="E74"/>
    </row>
    <row r="75" spans="5:5" x14ac:dyDescent="0.2">
      <c r="E75"/>
    </row>
    <row r="76" spans="5:5" x14ac:dyDescent="0.2">
      <c r="E76"/>
    </row>
    <row r="77" spans="5:5" x14ac:dyDescent="0.2">
      <c r="E77"/>
    </row>
    <row r="78" spans="5:5" x14ac:dyDescent="0.2">
      <c r="E78"/>
    </row>
    <row r="79" spans="5:5" x14ac:dyDescent="0.2">
      <c r="E79"/>
    </row>
    <row r="80" spans="5:5" x14ac:dyDescent="0.2">
      <c r="E80"/>
    </row>
    <row r="81" spans="5:5" x14ac:dyDescent="0.2">
      <c r="E81"/>
    </row>
    <row r="82" spans="5:5" x14ac:dyDescent="0.2">
      <c r="E82"/>
    </row>
    <row r="83" spans="5:5" x14ac:dyDescent="0.2">
      <c r="E83"/>
    </row>
    <row r="84" spans="5:5" x14ac:dyDescent="0.2">
      <c r="E84"/>
    </row>
    <row r="85" spans="5:5" x14ac:dyDescent="0.2">
      <c r="E85"/>
    </row>
    <row r="86" spans="5:5" x14ac:dyDescent="0.2">
      <c r="E86"/>
    </row>
    <row r="87" spans="5:5" x14ac:dyDescent="0.2">
      <c r="E87"/>
    </row>
    <row r="88" spans="5:5" x14ac:dyDescent="0.2">
      <c r="E88"/>
    </row>
    <row r="89" spans="5:5" x14ac:dyDescent="0.2">
      <c r="E89"/>
    </row>
    <row r="90" spans="5:5" x14ac:dyDescent="0.2">
      <c r="E90"/>
    </row>
    <row r="91" spans="5:5" x14ac:dyDescent="0.2">
      <c r="E91"/>
    </row>
    <row r="92" spans="5:5" x14ac:dyDescent="0.2">
      <c r="E92"/>
    </row>
    <row r="93" spans="5:5" x14ac:dyDescent="0.2">
      <c r="E93"/>
    </row>
    <row r="94" spans="5:5" x14ac:dyDescent="0.2">
      <c r="E94"/>
    </row>
    <row r="95" spans="5:5" x14ac:dyDescent="0.2">
      <c r="E95"/>
    </row>
    <row r="96" spans="5:5" x14ac:dyDescent="0.2">
      <c r="E96"/>
    </row>
    <row r="97" spans="5:5" x14ac:dyDescent="0.2">
      <c r="E97"/>
    </row>
    <row r="98" spans="5:5" x14ac:dyDescent="0.2">
      <c r="E98"/>
    </row>
    <row r="99" spans="5:5" x14ac:dyDescent="0.2">
      <c r="E99"/>
    </row>
    <row r="100" spans="5:5" x14ac:dyDescent="0.2">
      <c r="E100"/>
    </row>
    <row r="101" spans="5:5" x14ac:dyDescent="0.2">
      <c r="E101"/>
    </row>
    <row r="102" spans="5:5" x14ac:dyDescent="0.2">
      <c r="E102"/>
    </row>
    <row r="103" spans="5:5" x14ac:dyDescent="0.2">
      <c r="E103"/>
    </row>
    <row r="104" spans="5:5" x14ac:dyDescent="0.2">
      <c r="E104"/>
    </row>
    <row r="105" spans="5:5" x14ac:dyDescent="0.2">
      <c r="E105"/>
    </row>
    <row r="106" spans="5:5" x14ac:dyDescent="0.2">
      <c r="E106"/>
    </row>
    <row r="107" spans="5:5" x14ac:dyDescent="0.2">
      <c r="E107"/>
    </row>
    <row r="108" spans="5:5" x14ac:dyDescent="0.2">
      <c r="E108"/>
    </row>
    <row r="109" spans="5:5" x14ac:dyDescent="0.2">
      <c r="E109"/>
    </row>
    <row r="110" spans="5:5" x14ac:dyDescent="0.2">
      <c r="E110"/>
    </row>
    <row r="111" spans="5:5" x14ac:dyDescent="0.2">
      <c r="E111"/>
    </row>
    <row r="112" spans="5:5" x14ac:dyDescent="0.2">
      <c r="E112"/>
    </row>
    <row r="113" spans="5:5" x14ac:dyDescent="0.2">
      <c r="E113"/>
    </row>
    <row r="114" spans="5:5" x14ac:dyDescent="0.2">
      <c r="E114"/>
    </row>
    <row r="115" spans="5:5" x14ac:dyDescent="0.2">
      <c r="E115"/>
    </row>
    <row r="116" spans="5:5" x14ac:dyDescent="0.2">
      <c r="E116"/>
    </row>
    <row r="117" spans="5:5" x14ac:dyDescent="0.2">
      <c r="E117"/>
    </row>
    <row r="118" spans="5:5" x14ac:dyDescent="0.2">
      <c r="E118"/>
    </row>
    <row r="119" spans="5:5" x14ac:dyDescent="0.2">
      <c r="E119"/>
    </row>
    <row r="120" spans="5:5" x14ac:dyDescent="0.2">
      <c r="E120"/>
    </row>
    <row r="121" spans="5:5" x14ac:dyDescent="0.2">
      <c r="E121"/>
    </row>
    <row r="122" spans="5:5" x14ac:dyDescent="0.2">
      <c r="E122"/>
    </row>
    <row r="123" spans="5:5" x14ac:dyDescent="0.2">
      <c r="E123"/>
    </row>
    <row r="124" spans="5:5" x14ac:dyDescent="0.2">
      <c r="E124"/>
    </row>
    <row r="125" spans="5:5" x14ac:dyDescent="0.2">
      <c r="E125"/>
    </row>
    <row r="126" spans="5:5" x14ac:dyDescent="0.2">
      <c r="E126"/>
    </row>
    <row r="127" spans="5:5" x14ac:dyDescent="0.2">
      <c r="E127"/>
    </row>
    <row r="128" spans="5:5" x14ac:dyDescent="0.2">
      <c r="E128"/>
    </row>
    <row r="129" spans="5:5" x14ac:dyDescent="0.2">
      <c r="E129"/>
    </row>
    <row r="130" spans="5:5" x14ac:dyDescent="0.2">
      <c r="E130"/>
    </row>
    <row r="131" spans="5:5" x14ac:dyDescent="0.2">
      <c r="E131"/>
    </row>
    <row r="132" spans="5:5" x14ac:dyDescent="0.2">
      <c r="E132"/>
    </row>
    <row r="133" spans="5:5" x14ac:dyDescent="0.2">
      <c r="E133"/>
    </row>
    <row r="134" spans="5:5" x14ac:dyDescent="0.2">
      <c r="E134"/>
    </row>
    <row r="135" spans="5:5" x14ac:dyDescent="0.2">
      <c r="E135"/>
    </row>
    <row r="136" spans="5:5" x14ac:dyDescent="0.2">
      <c r="E136"/>
    </row>
    <row r="137" spans="5:5" x14ac:dyDescent="0.2">
      <c r="E137"/>
    </row>
    <row r="138" spans="5:5" x14ac:dyDescent="0.2">
      <c r="E138"/>
    </row>
    <row r="139" spans="5:5" x14ac:dyDescent="0.2">
      <c r="E139"/>
    </row>
    <row r="140" spans="5:5" x14ac:dyDescent="0.2">
      <c r="E140"/>
    </row>
    <row r="141" spans="5:5" x14ac:dyDescent="0.2">
      <c r="E141"/>
    </row>
    <row r="142" spans="5:5" x14ac:dyDescent="0.2">
      <c r="E142"/>
    </row>
    <row r="143" spans="5:5" x14ac:dyDescent="0.2">
      <c r="E143"/>
    </row>
    <row r="144" spans="5:5" x14ac:dyDescent="0.2">
      <c r="E144"/>
    </row>
    <row r="145" spans="5:5" x14ac:dyDescent="0.2">
      <c r="E145"/>
    </row>
    <row r="146" spans="5:5" x14ac:dyDescent="0.2">
      <c r="E146"/>
    </row>
    <row r="147" spans="5:5" x14ac:dyDescent="0.2">
      <c r="E147"/>
    </row>
    <row r="148" spans="5:5" x14ac:dyDescent="0.2">
      <c r="E148"/>
    </row>
    <row r="149" spans="5:5" x14ac:dyDescent="0.2">
      <c r="E149"/>
    </row>
    <row r="150" spans="5:5" x14ac:dyDescent="0.2">
      <c r="E150"/>
    </row>
    <row r="151" spans="5:5" x14ac:dyDescent="0.2">
      <c r="E151"/>
    </row>
    <row r="152" spans="5:5" x14ac:dyDescent="0.2">
      <c r="E152"/>
    </row>
    <row r="153" spans="5:5" x14ac:dyDescent="0.2">
      <c r="E153"/>
    </row>
    <row r="154" spans="5:5" x14ac:dyDescent="0.2">
      <c r="E154"/>
    </row>
    <row r="155" spans="5:5" x14ac:dyDescent="0.2">
      <c r="E155"/>
    </row>
    <row r="156" spans="5:5" x14ac:dyDescent="0.2">
      <c r="E156"/>
    </row>
    <row r="157" spans="5:5" x14ac:dyDescent="0.2">
      <c r="E157"/>
    </row>
    <row r="158" spans="5:5" x14ac:dyDescent="0.2">
      <c r="E158"/>
    </row>
    <row r="159" spans="5:5" x14ac:dyDescent="0.2">
      <c r="E159"/>
    </row>
    <row r="160" spans="5:5" x14ac:dyDescent="0.2">
      <c r="E160"/>
    </row>
    <row r="161" spans="5:5" x14ac:dyDescent="0.2">
      <c r="E161"/>
    </row>
    <row r="162" spans="5:5" x14ac:dyDescent="0.2">
      <c r="E162"/>
    </row>
    <row r="163" spans="5:5" x14ac:dyDescent="0.2">
      <c r="E163"/>
    </row>
    <row r="164" spans="5:5" x14ac:dyDescent="0.2">
      <c r="E164"/>
    </row>
    <row r="165" spans="5:5" x14ac:dyDescent="0.2">
      <c r="E165"/>
    </row>
    <row r="166" spans="5:5" x14ac:dyDescent="0.2">
      <c r="E166"/>
    </row>
    <row r="167" spans="5:5" x14ac:dyDescent="0.2">
      <c r="E167"/>
    </row>
    <row r="168" spans="5:5" x14ac:dyDescent="0.2">
      <c r="E168"/>
    </row>
    <row r="169" spans="5:5" x14ac:dyDescent="0.2">
      <c r="E169"/>
    </row>
    <row r="170" spans="5:5" x14ac:dyDescent="0.2">
      <c r="E170"/>
    </row>
    <row r="171" spans="5:5" x14ac:dyDescent="0.2">
      <c r="E171"/>
    </row>
    <row r="172" spans="5:5" x14ac:dyDescent="0.2">
      <c r="E172"/>
    </row>
    <row r="173" spans="5:5" x14ac:dyDescent="0.2">
      <c r="E173"/>
    </row>
    <row r="174" spans="5:5" x14ac:dyDescent="0.2">
      <c r="E174"/>
    </row>
    <row r="175" spans="5:5" x14ac:dyDescent="0.2">
      <c r="E175"/>
    </row>
    <row r="176" spans="5:5" x14ac:dyDescent="0.2">
      <c r="E176"/>
    </row>
    <row r="177" spans="5:5" x14ac:dyDescent="0.2">
      <c r="E177"/>
    </row>
    <row r="178" spans="5:5" x14ac:dyDescent="0.2">
      <c r="E178"/>
    </row>
    <row r="179" spans="5:5" x14ac:dyDescent="0.2">
      <c r="E179"/>
    </row>
    <row r="180" spans="5:5" x14ac:dyDescent="0.2">
      <c r="E180"/>
    </row>
    <row r="181" spans="5:5" x14ac:dyDescent="0.2">
      <c r="E181"/>
    </row>
    <row r="182" spans="5:5" x14ac:dyDescent="0.2">
      <c r="E182"/>
    </row>
    <row r="183" spans="5:5" x14ac:dyDescent="0.2">
      <c r="E183"/>
    </row>
    <row r="184" spans="5:5" x14ac:dyDescent="0.2">
      <c r="E184"/>
    </row>
    <row r="185" spans="5:5" x14ac:dyDescent="0.2">
      <c r="E185"/>
    </row>
    <row r="186" spans="5:5" x14ac:dyDescent="0.2">
      <c r="E186"/>
    </row>
    <row r="187" spans="5:5" x14ac:dyDescent="0.2">
      <c r="E187"/>
    </row>
    <row r="188" spans="5:5" x14ac:dyDescent="0.2">
      <c r="E188"/>
    </row>
    <row r="189" spans="5:5" x14ac:dyDescent="0.2">
      <c r="E189"/>
    </row>
    <row r="190" spans="5:5" x14ac:dyDescent="0.2">
      <c r="E190"/>
    </row>
    <row r="191" spans="5:5" x14ac:dyDescent="0.2">
      <c r="E191"/>
    </row>
    <row r="192" spans="5:5" x14ac:dyDescent="0.2">
      <c r="E192"/>
    </row>
    <row r="193" spans="5:5" x14ac:dyDescent="0.2">
      <c r="E193"/>
    </row>
    <row r="194" spans="5:5" x14ac:dyDescent="0.2">
      <c r="E194"/>
    </row>
    <row r="195" spans="5:5" x14ac:dyDescent="0.2">
      <c r="E195"/>
    </row>
    <row r="196" spans="5:5" x14ac:dyDescent="0.2">
      <c r="E196"/>
    </row>
    <row r="197" spans="5:5" x14ac:dyDescent="0.2">
      <c r="E197"/>
    </row>
    <row r="198" spans="5:5" x14ac:dyDescent="0.2">
      <c r="E198"/>
    </row>
    <row r="199" spans="5:5" x14ac:dyDescent="0.2">
      <c r="E199"/>
    </row>
    <row r="200" spans="5:5" x14ac:dyDescent="0.2">
      <c r="E200"/>
    </row>
    <row r="201" spans="5:5" x14ac:dyDescent="0.2">
      <c r="E201"/>
    </row>
    <row r="202" spans="5:5" x14ac:dyDescent="0.2">
      <c r="E202"/>
    </row>
    <row r="203" spans="5:5" x14ac:dyDescent="0.2">
      <c r="E203"/>
    </row>
    <row r="204" spans="5:5" x14ac:dyDescent="0.2">
      <c r="E204"/>
    </row>
    <row r="205" spans="5:5" x14ac:dyDescent="0.2">
      <c r="E205"/>
    </row>
    <row r="206" spans="5:5" x14ac:dyDescent="0.2">
      <c r="E206"/>
    </row>
    <row r="207" spans="5:5" x14ac:dyDescent="0.2">
      <c r="E207"/>
    </row>
    <row r="208" spans="5:5" x14ac:dyDescent="0.2">
      <c r="E208"/>
    </row>
    <row r="209" spans="5:5" x14ac:dyDescent="0.2">
      <c r="E209"/>
    </row>
    <row r="210" spans="5:5" x14ac:dyDescent="0.2">
      <c r="E210"/>
    </row>
    <row r="211" spans="5:5" x14ac:dyDescent="0.2">
      <c r="E211"/>
    </row>
    <row r="212" spans="5:5" x14ac:dyDescent="0.2">
      <c r="E212"/>
    </row>
    <row r="213" spans="5:5" x14ac:dyDescent="0.2">
      <c r="E213"/>
    </row>
    <row r="214" spans="5:5" x14ac:dyDescent="0.2">
      <c r="E214"/>
    </row>
    <row r="215" spans="5:5" x14ac:dyDescent="0.2">
      <c r="E215"/>
    </row>
    <row r="216" spans="5:5" x14ac:dyDescent="0.2">
      <c r="E216"/>
    </row>
    <row r="217" spans="5:5" x14ac:dyDescent="0.2">
      <c r="E217"/>
    </row>
    <row r="218" spans="5:5" x14ac:dyDescent="0.2">
      <c r="E218"/>
    </row>
    <row r="219" spans="5:5" x14ac:dyDescent="0.2">
      <c r="E219"/>
    </row>
    <row r="220" spans="5:5" x14ac:dyDescent="0.2">
      <c r="E220"/>
    </row>
    <row r="221" spans="5:5" x14ac:dyDescent="0.2">
      <c r="E221"/>
    </row>
    <row r="222" spans="5:5" x14ac:dyDescent="0.2">
      <c r="E222"/>
    </row>
    <row r="223" spans="5:5" x14ac:dyDescent="0.2">
      <c r="E223"/>
    </row>
    <row r="224" spans="5:5" x14ac:dyDescent="0.2">
      <c r="E224"/>
    </row>
    <row r="225" spans="5:5" x14ac:dyDescent="0.2">
      <c r="E225"/>
    </row>
    <row r="226" spans="5:5" x14ac:dyDescent="0.2">
      <c r="E226"/>
    </row>
    <row r="227" spans="5:5" x14ac:dyDescent="0.2">
      <c r="E227"/>
    </row>
    <row r="228" spans="5:5" x14ac:dyDescent="0.2">
      <c r="E228"/>
    </row>
    <row r="229" spans="5:5" x14ac:dyDescent="0.2">
      <c r="E229"/>
    </row>
    <row r="230" spans="5:5" x14ac:dyDescent="0.2">
      <c r="E230"/>
    </row>
    <row r="231" spans="5:5" x14ac:dyDescent="0.2">
      <c r="E231"/>
    </row>
    <row r="232" spans="5:5" x14ac:dyDescent="0.2">
      <c r="E232"/>
    </row>
    <row r="233" spans="5:5" x14ac:dyDescent="0.2">
      <c r="E233"/>
    </row>
    <row r="234" spans="5:5" x14ac:dyDescent="0.2">
      <c r="E234"/>
    </row>
    <row r="235" spans="5:5" x14ac:dyDescent="0.2">
      <c r="E235"/>
    </row>
    <row r="236" spans="5:5" x14ac:dyDescent="0.2">
      <c r="E236"/>
    </row>
    <row r="237" spans="5:5" x14ac:dyDescent="0.2">
      <c r="E237"/>
    </row>
    <row r="238" spans="5:5" x14ac:dyDescent="0.2">
      <c r="E238"/>
    </row>
    <row r="239" spans="5:5" x14ac:dyDescent="0.2">
      <c r="E239"/>
    </row>
    <row r="240" spans="5:5" x14ac:dyDescent="0.2">
      <c r="E240"/>
    </row>
    <row r="241" spans="5:5" x14ac:dyDescent="0.2">
      <c r="E241"/>
    </row>
    <row r="242" spans="5:5" x14ac:dyDescent="0.2">
      <c r="E242"/>
    </row>
    <row r="243" spans="5:5" x14ac:dyDescent="0.2">
      <c r="E243"/>
    </row>
    <row r="244" spans="5:5" x14ac:dyDescent="0.2">
      <c r="E244"/>
    </row>
    <row r="245" spans="5:5" x14ac:dyDescent="0.2">
      <c r="E245"/>
    </row>
    <row r="246" spans="5:5" x14ac:dyDescent="0.2">
      <c r="E246"/>
    </row>
    <row r="247" spans="5:5" x14ac:dyDescent="0.2">
      <c r="E247"/>
    </row>
    <row r="248" spans="5:5" x14ac:dyDescent="0.2">
      <c r="E248"/>
    </row>
    <row r="249" spans="5:5" x14ac:dyDescent="0.2">
      <c r="E249"/>
    </row>
    <row r="250" spans="5:5" x14ac:dyDescent="0.2">
      <c r="E250"/>
    </row>
    <row r="251" spans="5:5" x14ac:dyDescent="0.2">
      <c r="E251"/>
    </row>
    <row r="252" spans="5:5" x14ac:dyDescent="0.2">
      <c r="E252"/>
    </row>
    <row r="253" spans="5:5" x14ac:dyDescent="0.2">
      <c r="E253"/>
    </row>
    <row r="254" spans="5:5" x14ac:dyDescent="0.2">
      <c r="E254"/>
    </row>
    <row r="255" spans="5:5" x14ac:dyDescent="0.2">
      <c r="E255"/>
    </row>
    <row r="256" spans="5:5" x14ac:dyDescent="0.2">
      <c r="E256"/>
    </row>
    <row r="257" spans="5:5" x14ac:dyDescent="0.2">
      <c r="E257"/>
    </row>
    <row r="258" spans="5:5" x14ac:dyDescent="0.2">
      <c r="E258"/>
    </row>
    <row r="259" spans="5:5" x14ac:dyDescent="0.2">
      <c r="E259"/>
    </row>
    <row r="260" spans="5:5" x14ac:dyDescent="0.2">
      <c r="E260"/>
    </row>
    <row r="261" spans="5:5" x14ac:dyDescent="0.2">
      <c r="E261"/>
    </row>
    <row r="262" spans="5:5" x14ac:dyDescent="0.2">
      <c r="E262"/>
    </row>
    <row r="263" spans="5:5" x14ac:dyDescent="0.2">
      <c r="E263"/>
    </row>
    <row r="264" spans="5:5" x14ac:dyDescent="0.2">
      <c r="E264"/>
    </row>
    <row r="265" spans="5:5" x14ac:dyDescent="0.2">
      <c r="E265"/>
    </row>
    <row r="266" spans="5:5" x14ac:dyDescent="0.2">
      <c r="E266"/>
    </row>
    <row r="267" spans="5:5" x14ac:dyDescent="0.2">
      <c r="E267"/>
    </row>
    <row r="268" spans="5:5" x14ac:dyDescent="0.2">
      <c r="E268"/>
    </row>
    <row r="269" spans="5:5" x14ac:dyDescent="0.2">
      <c r="E269"/>
    </row>
    <row r="270" spans="5:5" x14ac:dyDescent="0.2">
      <c r="E270"/>
    </row>
    <row r="271" spans="5:5" x14ac:dyDescent="0.2">
      <c r="E271"/>
    </row>
    <row r="272" spans="5:5" x14ac:dyDescent="0.2">
      <c r="E272"/>
    </row>
    <row r="273" spans="5:5" x14ac:dyDescent="0.2">
      <c r="E273"/>
    </row>
    <row r="274" spans="5:5" x14ac:dyDescent="0.2">
      <c r="E274"/>
    </row>
    <row r="275" spans="5:5" x14ac:dyDescent="0.2">
      <c r="E275"/>
    </row>
    <row r="276" spans="5:5" x14ac:dyDescent="0.2">
      <c r="E276"/>
    </row>
    <row r="277" spans="5:5" x14ac:dyDescent="0.2">
      <c r="E277"/>
    </row>
    <row r="278" spans="5:5" x14ac:dyDescent="0.2">
      <c r="E278"/>
    </row>
    <row r="279" spans="5:5" x14ac:dyDescent="0.2">
      <c r="E279"/>
    </row>
    <row r="280" spans="5:5" x14ac:dyDescent="0.2">
      <c r="E280"/>
    </row>
    <row r="281" spans="5:5" x14ac:dyDescent="0.2">
      <c r="E281"/>
    </row>
    <row r="282" spans="5:5" x14ac:dyDescent="0.2">
      <c r="E282"/>
    </row>
    <row r="283" spans="5:5" x14ac:dyDescent="0.2">
      <c r="E283"/>
    </row>
    <row r="284" spans="5:5" x14ac:dyDescent="0.2">
      <c r="E284"/>
    </row>
    <row r="285" spans="5:5" x14ac:dyDescent="0.2">
      <c r="E285"/>
    </row>
    <row r="286" spans="5:5" x14ac:dyDescent="0.2">
      <c r="E286"/>
    </row>
    <row r="287" spans="5:5" x14ac:dyDescent="0.2">
      <c r="E287"/>
    </row>
    <row r="288" spans="5:5" x14ac:dyDescent="0.2">
      <c r="E288"/>
    </row>
    <row r="289" spans="5:5" x14ac:dyDescent="0.2">
      <c r="E289"/>
    </row>
    <row r="290" spans="5:5" x14ac:dyDescent="0.2">
      <c r="E290"/>
    </row>
    <row r="291" spans="5:5" x14ac:dyDescent="0.2">
      <c r="E291"/>
    </row>
    <row r="292" spans="5:5" x14ac:dyDescent="0.2">
      <c r="E292"/>
    </row>
    <row r="293" spans="5:5" x14ac:dyDescent="0.2">
      <c r="E293"/>
    </row>
    <row r="294" spans="5:5" x14ac:dyDescent="0.2">
      <c r="E294"/>
    </row>
    <row r="295" spans="5:5" x14ac:dyDescent="0.2">
      <c r="E295"/>
    </row>
    <row r="296" spans="5:5" x14ac:dyDescent="0.2">
      <c r="E296"/>
    </row>
    <row r="297" spans="5:5" x14ac:dyDescent="0.2">
      <c r="E297"/>
    </row>
    <row r="298" spans="5:5" x14ac:dyDescent="0.2">
      <c r="E298"/>
    </row>
    <row r="299" spans="5:5" x14ac:dyDescent="0.2">
      <c r="E299"/>
    </row>
    <row r="300" spans="5:5" x14ac:dyDescent="0.2">
      <c r="E300"/>
    </row>
    <row r="301" spans="5:5" x14ac:dyDescent="0.2">
      <c r="E301"/>
    </row>
    <row r="302" spans="5:5" x14ac:dyDescent="0.2">
      <c r="E302"/>
    </row>
    <row r="303" spans="5:5" x14ac:dyDescent="0.2">
      <c r="E303"/>
    </row>
    <row r="304" spans="5:5" x14ac:dyDescent="0.2">
      <c r="E304"/>
    </row>
    <row r="305" spans="5:5" x14ac:dyDescent="0.2">
      <c r="E305"/>
    </row>
    <row r="306" spans="5:5" x14ac:dyDescent="0.2">
      <c r="E306"/>
    </row>
    <row r="307" spans="5:5" x14ac:dyDescent="0.2">
      <c r="E307"/>
    </row>
    <row r="308" spans="5:5" x14ac:dyDescent="0.2">
      <c r="E308"/>
    </row>
    <row r="309" spans="5:5" x14ac:dyDescent="0.2">
      <c r="E309"/>
    </row>
    <row r="310" spans="5:5" x14ac:dyDescent="0.2">
      <c r="E310"/>
    </row>
    <row r="311" spans="5:5" x14ac:dyDescent="0.2">
      <c r="E311"/>
    </row>
    <row r="312" spans="5:5" x14ac:dyDescent="0.2">
      <c r="E312"/>
    </row>
    <row r="313" spans="5:5" x14ac:dyDescent="0.2">
      <c r="E313"/>
    </row>
    <row r="314" spans="5:5" x14ac:dyDescent="0.2">
      <c r="E314"/>
    </row>
    <row r="315" spans="5:5" x14ac:dyDescent="0.2">
      <c r="E315"/>
    </row>
    <row r="316" spans="5:5" x14ac:dyDescent="0.2">
      <c r="E316"/>
    </row>
    <row r="317" spans="5:5" x14ac:dyDescent="0.2">
      <c r="E317"/>
    </row>
    <row r="318" spans="5:5" x14ac:dyDescent="0.2">
      <c r="E318"/>
    </row>
    <row r="319" spans="5:5" x14ac:dyDescent="0.2">
      <c r="E319"/>
    </row>
    <row r="320" spans="5:5" x14ac:dyDescent="0.2">
      <c r="E320"/>
    </row>
    <row r="321" spans="5:5" x14ac:dyDescent="0.2">
      <c r="E321"/>
    </row>
    <row r="322" spans="5:5" x14ac:dyDescent="0.2">
      <c r="E322"/>
    </row>
    <row r="323" spans="5:5" x14ac:dyDescent="0.2">
      <c r="E323"/>
    </row>
    <row r="324" spans="5:5" x14ac:dyDescent="0.2">
      <c r="E324"/>
    </row>
    <row r="325" spans="5:5" x14ac:dyDescent="0.2">
      <c r="E325"/>
    </row>
    <row r="326" spans="5:5" x14ac:dyDescent="0.2">
      <c r="E326"/>
    </row>
    <row r="327" spans="5:5" x14ac:dyDescent="0.2">
      <c r="E327"/>
    </row>
    <row r="328" spans="5:5" x14ac:dyDescent="0.2">
      <c r="E328"/>
    </row>
    <row r="329" spans="5:5" x14ac:dyDescent="0.2">
      <c r="E329"/>
    </row>
    <row r="330" spans="5:5" x14ac:dyDescent="0.2">
      <c r="E330"/>
    </row>
    <row r="331" spans="5:5" x14ac:dyDescent="0.2">
      <c r="E331"/>
    </row>
    <row r="332" spans="5:5" x14ac:dyDescent="0.2">
      <c r="E332"/>
    </row>
    <row r="333" spans="5:5" x14ac:dyDescent="0.2">
      <c r="E333"/>
    </row>
    <row r="334" spans="5:5" x14ac:dyDescent="0.2">
      <c r="E334"/>
    </row>
    <row r="335" spans="5:5" x14ac:dyDescent="0.2">
      <c r="E335"/>
    </row>
    <row r="336" spans="5:5" x14ac:dyDescent="0.2">
      <c r="E336"/>
    </row>
    <row r="337" spans="5:5" x14ac:dyDescent="0.2">
      <c r="E337"/>
    </row>
    <row r="338" spans="5:5" x14ac:dyDescent="0.2">
      <c r="E338"/>
    </row>
    <row r="339" spans="5:5" x14ac:dyDescent="0.2">
      <c r="E339"/>
    </row>
    <row r="340" spans="5:5" x14ac:dyDescent="0.2">
      <c r="E340"/>
    </row>
    <row r="341" spans="5:5" x14ac:dyDescent="0.2">
      <c r="E341"/>
    </row>
    <row r="342" spans="5:5" x14ac:dyDescent="0.2">
      <c r="E342"/>
    </row>
    <row r="343" spans="5:5" x14ac:dyDescent="0.2">
      <c r="E343"/>
    </row>
    <row r="344" spans="5:5" x14ac:dyDescent="0.2">
      <c r="E344"/>
    </row>
    <row r="345" spans="5:5" x14ac:dyDescent="0.2">
      <c r="E345"/>
    </row>
    <row r="346" spans="5:5" x14ac:dyDescent="0.2">
      <c r="E346"/>
    </row>
    <row r="347" spans="5:5" x14ac:dyDescent="0.2">
      <c r="E347"/>
    </row>
    <row r="348" spans="5:5" x14ac:dyDescent="0.2">
      <c r="E348"/>
    </row>
    <row r="349" spans="5:5" x14ac:dyDescent="0.2">
      <c r="E349"/>
    </row>
    <row r="350" spans="5:5" x14ac:dyDescent="0.2">
      <c r="E350"/>
    </row>
    <row r="351" spans="5:5" x14ac:dyDescent="0.2">
      <c r="E351"/>
    </row>
    <row r="352" spans="5:5" x14ac:dyDescent="0.2">
      <c r="E352"/>
    </row>
    <row r="353" spans="5:5" x14ac:dyDescent="0.2">
      <c r="E353"/>
    </row>
    <row r="354" spans="5:5" x14ac:dyDescent="0.2">
      <c r="E354"/>
    </row>
    <row r="355" spans="5:5" x14ac:dyDescent="0.2">
      <c r="E355"/>
    </row>
    <row r="356" spans="5:5" x14ac:dyDescent="0.2">
      <c r="E356"/>
    </row>
    <row r="357" spans="5:5" x14ac:dyDescent="0.2">
      <c r="E357"/>
    </row>
    <row r="358" spans="5:5" x14ac:dyDescent="0.2">
      <c r="E358"/>
    </row>
    <row r="359" spans="5:5" x14ac:dyDescent="0.2">
      <c r="E359"/>
    </row>
    <row r="360" spans="5:5" x14ac:dyDescent="0.2">
      <c r="E360"/>
    </row>
    <row r="361" spans="5:5" x14ac:dyDescent="0.2">
      <c r="E361"/>
    </row>
    <row r="362" spans="5:5" x14ac:dyDescent="0.2">
      <c r="E362"/>
    </row>
    <row r="363" spans="5:5" x14ac:dyDescent="0.2">
      <c r="E363"/>
    </row>
    <row r="364" spans="5:5" x14ac:dyDescent="0.2">
      <c r="E364"/>
    </row>
    <row r="365" spans="5:5" x14ac:dyDescent="0.2">
      <c r="E365"/>
    </row>
    <row r="366" spans="5:5" x14ac:dyDescent="0.2">
      <c r="E366"/>
    </row>
    <row r="367" spans="5:5" x14ac:dyDescent="0.2">
      <c r="E367"/>
    </row>
    <row r="368" spans="5:5" x14ac:dyDescent="0.2">
      <c r="E368"/>
    </row>
    <row r="369" spans="5:5" x14ac:dyDescent="0.2">
      <c r="E369"/>
    </row>
    <row r="370" spans="5:5" x14ac:dyDescent="0.2">
      <c r="E370"/>
    </row>
    <row r="371" spans="5:5" x14ac:dyDescent="0.2">
      <c r="E371"/>
    </row>
    <row r="372" spans="5:5" x14ac:dyDescent="0.2">
      <c r="E372"/>
    </row>
    <row r="373" spans="5:5" x14ac:dyDescent="0.2">
      <c r="E373"/>
    </row>
    <row r="374" spans="5:5" x14ac:dyDescent="0.2">
      <c r="E374"/>
    </row>
    <row r="375" spans="5:5" x14ac:dyDescent="0.2">
      <c r="E375"/>
    </row>
    <row r="376" spans="5:5" x14ac:dyDescent="0.2">
      <c r="E376"/>
    </row>
    <row r="377" spans="5:5" x14ac:dyDescent="0.2">
      <c r="E377"/>
    </row>
    <row r="378" spans="5:5" x14ac:dyDescent="0.2">
      <c r="E378"/>
    </row>
    <row r="379" spans="5:5" x14ac:dyDescent="0.2">
      <c r="E379"/>
    </row>
    <row r="380" spans="5:5" x14ac:dyDescent="0.2">
      <c r="E380"/>
    </row>
    <row r="381" spans="5:5" x14ac:dyDescent="0.2">
      <c r="E381"/>
    </row>
    <row r="382" spans="5:5" x14ac:dyDescent="0.2">
      <c r="E382"/>
    </row>
    <row r="383" spans="5:5" x14ac:dyDescent="0.2">
      <c r="E383"/>
    </row>
    <row r="384" spans="5:5" x14ac:dyDescent="0.2">
      <c r="E384"/>
    </row>
    <row r="385" spans="5:5" x14ac:dyDescent="0.2">
      <c r="E385"/>
    </row>
    <row r="386" spans="5:5" x14ac:dyDescent="0.2">
      <c r="E386"/>
    </row>
    <row r="387" spans="5:5" x14ac:dyDescent="0.2">
      <c r="E387"/>
    </row>
    <row r="388" spans="5:5" x14ac:dyDescent="0.2">
      <c r="E388"/>
    </row>
    <row r="389" spans="5:5" x14ac:dyDescent="0.2">
      <c r="E389"/>
    </row>
    <row r="390" spans="5:5" x14ac:dyDescent="0.2">
      <c r="E390"/>
    </row>
    <row r="391" spans="5:5" x14ac:dyDescent="0.2">
      <c r="E391"/>
    </row>
    <row r="392" spans="5:5" x14ac:dyDescent="0.2">
      <c r="E392"/>
    </row>
    <row r="393" spans="5:5" x14ac:dyDescent="0.2">
      <c r="E393"/>
    </row>
    <row r="394" spans="5:5" x14ac:dyDescent="0.2">
      <c r="E394"/>
    </row>
    <row r="395" spans="5:5" x14ac:dyDescent="0.2">
      <c r="E395"/>
    </row>
    <row r="396" spans="5:5" x14ac:dyDescent="0.2">
      <c r="E396"/>
    </row>
    <row r="397" spans="5:5" x14ac:dyDescent="0.2">
      <c r="E397"/>
    </row>
    <row r="398" spans="5:5" x14ac:dyDescent="0.2">
      <c r="E398"/>
    </row>
    <row r="399" spans="5:5" x14ac:dyDescent="0.2">
      <c r="E399"/>
    </row>
    <row r="400" spans="5:5" x14ac:dyDescent="0.2">
      <c r="E400"/>
    </row>
    <row r="401" spans="5:5" x14ac:dyDescent="0.2">
      <c r="E401"/>
    </row>
    <row r="402" spans="5:5" x14ac:dyDescent="0.2">
      <c r="E402"/>
    </row>
    <row r="403" spans="5:5" x14ac:dyDescent="0.2">
      <c r="E403"/>
    </row>
    <row r="404" spans="5:5" x14ac:dyDescent="0.2">
      <c r="E404"/>
    </row>
    <row r="405" spans="5:5" x14ac:dyDescent="0.2">
      <c r="E405"/>
    </row>
    <row r="406" spans="5:5" x14ac:dyDescent="0.2">
      <c r="E406"/>
    </row>
    <row r="407" spans="5:5" x14ac:dyDescent="0.2">
      <c r="E407"/>
    </row>
    <row r="408" spans="5:5" x14ac:dyDescent="0.2">
      <c r="E408"/>
    </row>
    <row r="409" spans="5:5" x14ac:dyDescent="0.2">
      <c r="E409"/>
    </row>
    <row r="410" spans="5:5" x14ac:dyDescent="0.2">
      <c r="E410"/>
    </row>
    <row r="411" spans="5:5" x14ac:dyDescent="0.2">
      <c r="E411"/>
    </row>
    <row r="412" spans="5:5" x14ac:dyDescent="0.2">
      <c r="E412"/>
    </row>
    <row r="413" spans="5:5" x14ac:dyDescent="0.2">
      <c r="E413"/>
    </row>
    <row r="414" spans="5:5" x14ac:dyDescent="0.2">
      <c r="E414"/>
    </row>
    <row r="415" spans="5:5" x14ac:dyDescent="0.2">
      <c r="E415"/>
    </row>
    <row r="416" spans="5:5" x14ac:dyDescent="0.2">
      <c r="E416"/>
    </row>
    <row r="417" spans="5:5" x14ac:dyDescent="0.2">
      <c r="E417"/>
    </row>
    <row r="418" spans="5:5" x14ac:dyDescent="0.2">
      <c r="E418"/>
    </row>
    <row r="419" spans="5:5" x14ac:dyDescent="0.2">
      <c r="E419"/>
    </row>
    <row r="420" spans="5:5" x14ac:dyDescent="0.2">
      <c r="E420"/>
    </row>
    <row r="421" spans="5:5" x14ac:dyDescent="0.2">
      <c r="E421"/>
    </row>
    <row r="422" spans="5:5" x14ac:dyDescent="0.2">
      <c r="E422"/>
    </row>
    <row r="423" spans="5:5" x14ac:dyDescent="0.2">
      <c r="E423"/>
    </row>
    <row r="424" spans="5:5" x14ac:dyDescent="0.2">
      <c r="E424"/>
    </row>
    <row r="425" spans="5:5" x14ac:dyDescent="0.2">
      <c r="E425"/>
    </row>
    <row r="426" spans="5:5" x14ac:dyDescent="0.2">
      <c r="E426"/>
    </row>
    <row r="427" spans="5:5" x14ac:dyDescent="0.2">
      <c r="E427"/>
    </row>
    <row r="428" spans="5:5" x14ac:dyDescent="0.2">
      <c r="E428"/>
    </row>
    <row r="429" spans="5:5" x14ac:dyDescent="0.2">
      <c r="E429"/>
    </row>
    <row r="430" spans="5:5" x14ac:dyDescent="0.2">
      <c r="E430"/>
    </row>
    <row r="431" spans="5:5" x14ac:dyDescent="0.2">
      <c r="E431"/>
    </row>
    <row r="432" spans="5:5" x14ac:dyDescent="0.2">
      <c r="E432"/>
    </row>
    <row r="433" spans="5:5" x14ac:dyDescent="0.2">
      <c r="E433"/>
    </row>
    <row r="434" spans="5:5" x14ac:dyDescent="0.2">
      <c r="E434"/>
    </row>
    <row r="435" spans="5:5" x14ac:dyDescent="0.2">
      <c r="E435"/>
    </row>
    <row r="436" spans="5:5" x14ac:dyDescent="0.2">
      <c r="E436"/>
    </row>
    <row r="437" spans="5:5" x14ac:dyDescent="0.2">
      <c r="E437"/>
    </row>
    <row r="438" spans="5:5" x14ac:dyDescent="0.2">
      <c r="E438"/>
    </row>
    <row r="439" spans="5:5" x14ac:dyDescent="0.2">
      <c r="E439"/>
    </row>
    <row r="440" spans="5:5" x14ac:dyDescent="0.2">
      <c r="E440"/>
    </row>
    <row r="441" spans="5:5" x14ac:dyDescent="0.2">
      <c r="E441"/>
    </row>
    <row r="442" spans="5:5" x14ac:dyDescent="0.2">
      <c r="E442"/>
    </row>
    <row r="443" spans="5:5" x14ac:dyDescent="0.2">
      <c r="E443"/>
    </row>
    <row r="444" spans="5:5" x14ac:dyDescent="0.2">
      <c r="E444"/>
    </row>
    <row r="445" spans="5:5" x14ac:dyDescent="0.2">
      <c r="E445"/>
    </row>
    <row r="446" spans="5:5" x14ac:dyDescent="0.2">
      <c r="E446"/>
    </row>
    <row r="447" spans="5:5" x14ac:dyDescent="0.2">
      <c r="E447"/>
    </row>
    <row r="448" spans="5:5" x14ac:dyDescent="0.2">
      <c r="E448"/>
    </row>
    <row r="449" spans="5:5" x14ac:dyDescent="0.2">
      <c r="E449"/>
    </row>
    <row r="450" spans="5:5" x14ac:dyDescent="0.2">
      <c r="E450"/>
    </row>
    <row r="451" spans="5:5" x14ac:dyDescent="0.2">
      <c r="E451"/>
    </row>
    <row r="452" spans="5:5" x14ac:dyDescent="0.2">
      <c r="E452"/>
    </row>
    <row r="453" spans="5:5" x14ac:dyDescent="0.2">
      <c r="E453"/>
    </row>
    <row r="454" spans="5:5" x14ac:dyDescent="0.2">
      <c r="E454"/>
    </row>
    <row r="455" spans="5:5" x14ac:dyDescent="0.2">
      <c r="E455"/>
    </row>
    <row r="456" spans="5:5" x14ac:dyDescent="0.2">
      <c r="E456"/>
    </row>
    <row r="457" spans="5:5" x14ac:dyDescent="0.2">
      <c r="E457"/>
    </row>
    <row r="458" spans="5:5" x14ac:dyDescent="0.2">
      <c r="E458"/>
    </row>
    <row r="459" spans="5:5" x14ac:dyDescent="0.2">
      <c r="E459"/>
    </row>
    <row r="460" spans="5:5" x14ac:dyDescent="0.2">
      <c r="E460"/>
    </row>
    <row r="461" spans="5:5" x14ac:dyDescent="0.2">
      <c r="E461"/>
    </row>
    <row r="462" spans="5:5" x14ac:dyDescent="0.2">
      <c r="E462"/>
    </row>
    <row r="463" spans="5:5" x14ac:dyDescent="0.2">
      <c r="E463"/>
    </row>
    <row r="464" spans="5:5" x14ac:dyDescent="0.2">
      <c r="E464"/>
    </row>
    <row r="465" spans="5:5" x14ac:dyDescent="0.2">
      <c r="E465"/>
    </row>
    <row r="466" spans="5:5" x14ac:dyDescent="0.2">
      <c r="E466"/>
    </row>
    <row r="467" spans="5:5" x14ac:dyDescent="0.2">
      <c r="E467"/>
    </row>
    <row r="468" spans="5:5" x14ac:dyDescent="0.2">
      <c r="E468"/>
    </row>
    <row r="469" spans="5:5" x14ac:dyDescent="0.2">
      <c r="E469"/>
    </row>
    <row r="470" spans="5:5" x14ac:dyDescent="0.2">
      <c r="E470"/>
    </row>
    <row r="471" spans="5:5" x14ac:dyDescent="0.2">
      <c r="E471"/>
    </row>
    <row r="472" spans="5:5" x14ac:dyDescent="0.2">
      <c r="E472"/>
    </row>
    <row r="473" spans="5:5" x14ac:dyDescent="0.2">
      <c r="E473"/>
    </row>
    <row r="474" spans="5:5" x14ac:dyDescent="0.2">
      <c r="E474"/>
    </row>
    <row r="475" spans="5:5" x14ac:dyDescent="0.2">
      <c r="E475"/>
    </row>
    <row r="476" spans="5:5" x14ac:dyDescent="0.2">
      <c r="E476"/>
    </row>
    <row r="477" spans="5:5" x14ac:dyDescent="0.2">
      <c r="E477"/>
    </row>
    <row r="478" spans="5:5" x14ac:dyDescent="0.2">
      <c r="E478"/>
    </row>
    <row r="479" spans="5:5" x14ac:dyDescent="0.2">
      <c r="E479"/>
    </row>
    <row r="480" spans="5:5" x14ac:dyDescent="0.2">
      <c r="E480"/>
    </row>
    <row r="481" spans="5:5" x14ac:dyDescent="0.2">
      <c r="E481"/>
    </row>
    <row r="482" spans="5:5" x14ac:dyDescent="0.2">
      <c r="E482"/>
    </row>
    <row r="483" spans="5:5" x14ac:dyDescent="0.2">
      <c r="E483"/>
    </row>
    <row r="484" spans="5:5" x14ac:dyDescent="0.2">
      <c r="E484"/>
    </row>
    <row r="485" spans="5:5" x14ac:dyDescent="0.2">
      <c r="E485"/>
    </row>
    <row r="486" spans="5:5" x14ac:dyDescent="0.2">
      <c r="E486"/>
    </row>
    <row r="487" spans="5:5" x14ac:dyDescent="0.2">
      <c r="E487"/>
    </row>
    <row r="488" spans="5:5" x14ac:dyDescent="0.2">
      <c r="E488"/>
    </row>
    <row r="489" spans="5:5" x14ac:dyDescent="0.2">
      <c r="E489"/>
    </row>
    <row r="490" spans="5:5" x14ac:dyDescent="0.2">
      <c r="E490"/>
    </row>
    <row r="491" spans="5:5" x14ac:dyDescent="0.2">
      <c r="E491"/>
    </row>
    <row r="492" spans="5:5" x14ac:dyDescent="0.2">
      <c r="E492"/>
    </row>
    <row r="493" spans="5:5" x14ac:dyDescent="0.2">
      <c r="E493"/>
    </row>
    <row r="494" spans="5:5" x14ac:dyDescent="0.2">
      <c r="E494"/>
    </row>
    <row r="495" spans="5:5" x14ac:dyDescent="0.2">
      <c r="E495"/>
    </row>
    <row r="496" spans="5:5" x14ac:dyDescent="0.2">
      <c r="E496"/>
    </row>
    <row r="497" spans="5:5" x14ac:dyDescent="0.2">
      <c r="E497"/>
    </row>
    <row r="498" spans="5:5" x14ac:dyDescent="0.2">
      <c r="E498"/>
    </row>
    <row r="499" spans="5:5" x14ac:dyDescent="0.2">
      <c r="E499"/>
    </row>
    <row r="500" spans="5:5" x14ac:dyDescent="0.2">
      <c r="E500"/>
    </row>
    <row r="501" spans="5:5" x14ac:dyDescent="0.2">
      <c r="E501"/>
    </row>
    <row r="502" spans="5:5" x14ac:dyDescent="0.2">
      <c r="E502"/>
    </row>
    <row r="503" spans="5:5" x14ac:dyDescent="0.2">
      <c r="E503"/>
    </row>
    <row r="504" spans="5:5" x14ac:dyDescent="0.2">
      <c r="E504"/>
    </row>
    <row r="505" spans="5:5" x14ac:dyDescent="0.2">
      <c r="E505"/>
    </row>
    <row r="506" spans="5:5" x14ac:dyDescent="0.2">
      <c r="E506"/>
    </row>
    <row r="507" spans="5:5" x14ac:dyDescent="0.2">
      <c r="E507"/>
    </row>
    <row r="508" spans="5:5" x14ac:dyDescent="0.2">
      <c r="E508"/>
    </row>
    <row r="509" spans="5:5" x14ac:dyDescent="0.2">
      <c r="E509"/>
    </row>
    <row r="510" spans="5:5" x14ac:dyDescent="0.2">
      <c r="E510"/>
    </row>
    <row r="511" spans="5:5" x14ac:dyDescent="0.2">
      <c r="E511"/>
    </row>
    <row r="512" spans="5:5" x14ac:dyDescent="0.2">
      <c r="E512"/>
    </row>
    <row r="513" spans="5:5" x14ac:dyDescent="0.2">
      <c r="E513"/>
    </row>
    <row r="514" spans="5:5" x14ac:dyDescent="0.2">
      <c r="E514"/>
    </row>
    <row r="515" spans="5:5" x14ac:dyDescent="0.2">
      <c r="E515"/>
    </row>
    <row r="516" spans="5:5" x14ac:dyDescent="0.2">
      <c r="E516"/>
    </row>
    <row r="517" spans="5:5" x14ac:dyDescent="0.2">
      <c r="E517"/>
    </row>
    <row r="518" spans="5:5" x14ac:dyDescent="0.2">
      <c r="E518"/>
    </row>
    <row r="519" spans="5:5" x14ac:dyDescent="0.2">
      <c r="E519"/>
    </row>
    <row r="520" spans="5:5" x14ac:dyDescent="0.2">
      <c r="E520"/>
    </row>
    <row r="521" spans="5:5" x14ac:dyDescent="0.2">
      <c r="E521"/>
    </row>
    <row r="522" spans="5:5" x14ac:dyDescent="0.2">
      <c r="E522"/>
    </row>
    <row r="523" spans="5:5" x14ac:dyDescent="0.2">
      <c r="E523"/>
    </row>
    <row r="524" spans="5:5" x14ac:dyDescent="0.2">
      <c r="E524"/>
    </row>
    <row r="525" spans="5:5" x14ac:dyDescent="0.2">
      <c r="E525"/>
    </row>
    <row r="526" spans="5:5" x14ac:dyDescent="0.2">
      <c r="E526"/>
    </row>
    <row r="527" spans="5:5" x14ac:dyDescent="0.2">
      <c r="E527"/>
    </row>
    <row r="528" spans="5:5" x14ac:dyDescent="0.2">
      <c r="E528"/>
    </row>
    <row r="529" spans="5:5" x14ac:dyDescent="0.2">
      <c r="E529"/>
    </row>
    <row r="530" spans="5:5" x14ac:dyDescent="0.2">
      <c r="E530"/>
    </row>
    <row r="531" spans="5:5" x14ac:dyDescent="0.2">
      <c r="E531"/>
    </row>
    <row r="532" spans="5:5" x14ac:dyDescent="0.2">
      <c r="E532"/>
    </row>
    <row r="533" spans="5:5" x14ac:dyDescent="0.2">
      <c r="E533"/>
    </row>
    <row r="534" spans="5:5" x14ac:dyDescent="0.2">
      <c r="E534"/>
    </row>
    <row r="535" spans="5:5" x14ac:dyDescent="0.2">
      <c r="E535"/>
    </row>
    <row r="536" spans="5:5" x14ac:dyDescent="0.2">
      <c r="E536"/>
    </row>
    <row r="537" spans="5:5" x14ac:dyDescent="0.2">
      <c r="E537"/>
    </row>
    <row r="538" spans="5:5" x14ac:dyDescent="0.2">
      <c r="E538"/>
    </row>
    <row r="539" spans="5:5" x14ac:dyDescent="0.2">
      <c r="E539"/>
    </row>
    <row r="540" spans="5:5" x14ac:dyDescent="0.2">
      <c r="E540"/>
    </row>
    <row r="541" spans="5:5" x14ac:dyDescent="0.2">
      <c r="E541"/>
    </row>
    <row r="542" spans="5:5" x14ac:dyDescent="0.2">
      <c r="E542"/>
    </row>
    <row r="543" spans="5:5" x14ac:dyDescent="0.2">
      <c r="E543"/>
    </row>
    <row r="544" spans="5:5" x14ac:dyDescent="0.2">
      <c r="E544"/>
    </row>
    <row r="545" spans="5:5" x14ac:dyDescent="0.2">
      <c r="E545"/>
    </row>
    <row r="546" spans="5:5" x14ac:dyDescent="0.2">
      <c r="E546"/>
    </row>
    <row r="547" spans="5:5" x14ac:dyDescent="0.2">
      <c r="E547"/>
    </row>
    <row r="548" spans="5:5" x14ac:dyDescent="0.2">
      <c r="E548"/>
    </row>
    <row r="549" spans="5:5" x14ac:dyDescent="0.2">
      <c r="E549"/>
    </row>
    <row r="550" spans="5:5" x14ac:dyDescent="0.2">
      <c r="E550"/>
    </row>
    <row r="551" spans="5:5" x14ac:dyDescent="0.2">
      <c r="E551"/>
    </row>
    <row r="552" spans="5:5" x14ac:dyDescent="0.2">
      <c r="E552"/>
    </row>
    <row r="553" spans="5:5" x14ac:dyDescent="0.2">
      <c r="E553"/>
    </row>
    <row r="554" spans="5:5" x14ac:dyDescent="0.2">
      <c r="E554"/>
    </row>
    <row r="555" spans="5:5" x14ac:dyDescent="0.2">
      <c r="E555"/>
    </row>
    <row r="556" spans="5:5" x14ac:dyDescent="0.2">
      <c r="E556"/>
    </row>
    <row r="557" spans="5:5" x14ac:dyDescent="0.2">
      <c r="E557"/>
    </row>
    <row r="558" spans="5:5" x14ac:dyDescent="0.2">
      <c r="E558"/>
    </row>
    <row r="559" spans="5:5" x14ac:dyDescent="0.2">
      <c r="E559"/>
    </row>
    <row r="560" spans="5:5" x14ac:dyDescent="0.2">
      <c r="E560"/>
    </row>
    <row r="561" spans="5:5" x14ac:dyDescent="0.2">
      <c r="E561"/>
    </row>
    <row r="562" spans="5:5" x14ac:dyDescent="0.2">
      <c r="E562"/>
    </row>
    <row r="563" spans="5:5" x14ac:dyDescent="0.2">
      <c r="E563"/>
    </row>
    <row r="564" spans="5:5" x14ac:dyDescent="0.2">
      <c r="E564"/>
    </row>
    <row r="565" spans="5:5" x14ac:dyDescent="0.2">
      <c r="E565"/>
    </row>
    <row r="566" spans="5:5" x14ac:dyDescent="0.2">
      <c r="E566"/>
    </row>
    <row r="567" spans="5:5" x14ac:dyDescent="0.2">
      <c r="E567"/>
    </row>
    <row r="568" spans="5:5" x14ac:dyDescent="0.2">
      <c r="E568"/>
    </row>
    <row r="569" spans="5:5" x14ac:dyDescent="0.2">
      <c r="E569"/>
    </row>
    <row r="570" spans="5:5" x14ac:dyDescent="0.2">
      <c r="E570"/>
    </row>
    <row r="571" spans="5:5" x14ac:dyDescent="0.2">
      <c r="E571"/>
    </row>
    <row r="572" spans="5:5" x14ac:dyDescent="0.2">
      <c r="E572"/>
    </row>
    <row r="573" spans="5:5" x14ac:dyDescent="0.2">
      <c r="E573"/>
    </row>
    <row r="574" spans="5:5" x14ac:dyDescent="0.2">
      <c r="E574"/>
    </row>
    <row r="575" spans="5:5" x14ac:dyDescent="0.2">
      <c r="E575"/>
    </row>
    <row r="576" spans="5:5" x14ac:dyDescent="0.2">
      <c r="E576"/>
    </row>
    <row r="577" spans="5:5" x14ac:dyDescent="0.2">
      <c r="E577"/>
    </row>
    <row r="578" spans="5:5" x14ac:dyDescent="0.2">
      <c r="E578"/>
    </row>
    <row r="579" spans="5:5" x14ac:dyDescent="0.2">
      <c r="E579"/>
    </row>
    <row r="580" spans="5:5" x14ac:dyDescent="0.2">
      <c r="E580"/>
    </row>
    <row r="581" spans="5:5" x14ac:dyDescent="0.2">
      <c r="E581"/>
    </row>
    <row r="582" spans="5:5" x14ac:dyDescent="0.2">
      <c r="E582"/>
    </row>
    <row r="583" spans="5:5" x14ac:dyDescent="0.2">
      <c r="E583"/>
    </row>
    <row r="584" spans="5:5" x14ac:dyDescent="0.2">
      <c r="E584"/>
    </row>
    <row r="585" spans="5:5" x14ac:dyDescent="0.2">
      <c r="E585"/>
    </row>
    <row r="586" spans="5:5" x14ac:dyDescent="0.2">
      <c r="E586"/>
    </row>
    <row r="587" spans="5:5" x14ac:dyDescent="0.2">
      <c r="E587"/>
    </row>
    <row r="588" spans="5:5" x14ac:dyDescent="0.2">
      <c r="E588"/>
    </row>
    <row r="589" spans="5:5" x14ac:dyDescent="0.2">
      <c r="E589"/>
    </row>
    <row r="590" spans="5:5" x14ac:dyDescent="0.2">
      <c r="E590"/>
    </row>
    <row r="591" spans="5:5" x14ac:dyDescent="0.2">
      <c r="E591"/>
    </row>
    <row r="592" spans="5:5" x14ac:dyDescent="0.2">
      <c r="E592"/>
    </row>
    <row r="593" spans="5:5" x14ac:dyDescent="0.2">
      <c r="E593"/>
    </row>
    <row r="594" spans="5:5" x14ac:dyDescent="0.2">
      <c r="E594"/>
    </row>
    <row r="595" spans="5:5" x14ac:dyDescent="0.2">
      <c r="E595"/>
    </row>
    <row r="596" spans="5:5" x14ac:dyDescent="0.2">
      <c r="E596"/>
    </row>
    <row r="597" spans="5:5" x14ac:dyDescent="0.2">
      <c r="E597"/>
    </row>
    <row r="598" spans="5:5" x14ac:dyDescent="0.2">
      <c r="E598"/>
    </row>
    <row r="599" spans="5:5" x14ac:dyDescent="0.2">
      <c r="E599"/>
    </row>
    <row r="600" spans="5:5" x14ac:dyDescent="0.2">
      <c r="E600"/>
    </row>
    <row r="601" spans="5:5" x14ac:dyDescent="0.2">
      <c r="E601"/>
    </row>
    <row r="602" spans="5:5" x14ac:dyDescent="0.2">
      <c r="E602"/>
    </row>
    <row r="603" spans="5:5" x14ac:dyDescent="0.2">
      <c r="E603"/>
    </row>
    <row r="604" spans="5:5" x14ac:dyDescent="0.2">
      <c r="E604"/>
    </row>
    <row r="605" spans="5:5" x14ac:dyDescent="0.2">
      <c r="E605"/>
    </row>
    <row r="606" spans="5:5" x14ac:dyDescent="0.2">
      <c r="E606"/>
    </row>
    <row r="607" spans="5:5" x14ac:dyDescent="0.2">
      <c r="E607"/>
    </row>
    <row r="608" spans="5:5" x14ac:dyDescent="0.2">
      <c r="E608"/>
    </row>
    <row r="609" spans="5:5" x14ac:dyDescent="0.2">
      <c r="E609"/>
    </row>
    <row r="610" spans="5:5" x14ac:dyDescent="0.2">
      <c r="E610"/>
    </row>
    <row r="611" spans="5:5" x14ac:dyDescent="0.2">
      <c r="E611"/>
    </row>
    <row r="612" spans="5:5" x14ac:dyDescent="0.2">
      <c r="E612"/>
    </row>
    <row r="613" spans="5:5" x14ac:dyDescent="0.2">
      <c r="E613"/>
    </row>
    <row r="614" spans="5:5" x14ac:dyDescent="0.2">
      <c r="E614"/>
    </row>
    <row r="615" spans="5:5" x14ac:dyDescent="0.2">
      <c r="E615"/>
    </row>
    <row r="616" spans="5:5" x14ac:dyDescent="0.2">
      <c r="E616"/>
    </row>
    <row r="617" spans="5:5" x14ac:dyDescent="0.2">
      <c r="E617"/>
    </row>
    <row r="618" spans="5:5" x14ac:dyDescent="0.2">
      <c r="E618"/>
    </row>
    <row r="619" spans="5:5" x14ac:dyDescent="0.2">
      <c r="E619"/>
    </row>
    <row r="620" spans="5:5" x14ac:dyDescent="0.2">
      <c r="E620"/>
    </row>
    <row r="621" spans="5:5" x14ac:dyDescent="0.2">
      <c r="E621"/>
    </row>
    <row r="622" spans="5:5" x14ac:dyDescent="0.2">
      <c r="E622"/>
    </row>
    <row r="623" spans="5:5" x14ac:dyDescent="0.2">
      <c r="E623"/>
    </row>
    <row r="624" spans="5:5" x14ac:dyDescent="0.2">
      <c r="E624"/>
    </row>
    <row r="625" spans="5:5" x14ac:dyDescent="0.2">
      <c r="E625"/>
    </row>
    <row r="626" spans="5:5" x14ac:dyDescent="0.2">
      <c r="E626"/>
    </row>
    <row r="627" spans="5:5" x14ac:dyDescent="0.2">
      <c r="E627"/>
    </row>
    <row r="628" spans="5:5" x14ac:dyDescent="0.2">
      <c r="E628"/>
    </row>
    <row r="629" spans="5:5" x14ac:dyDescent="0.2">
      <c r="E629"/>
    </row>
    <row r="630" spans="5:5" x14ac:dyDescent="0.2">
      <c r="E630"/>
    </row>
    <row r="631" spans="5:5" x14ac:dyDescent="0.2">
      <c r="E631"/>
    </row>
    <row r="632" spans="5:5" x14ac:dyDescent="0.2">
      <c r="E632"/>
    </row>
    <row r="633" spans="5:5" x14ac:dyDescent="0.2">
      <c r="E633"/>
    </row>
    <row r="634" spans="5:5" x14ac:dyDescent="0.2">
      <c r="E634"/>
    </row>
    <row r="635" spans="5:5" x14ac:dyDescent="0.2">
      <c r="E635"/>
    </row>
    <row r="636" spans="5:5" x14ac:dyDescent="0.2">
      <c r="E636"/>
    </row>
    <row r="637" spans="5:5" x14ac:dyDescent="0.2">
      <c r="E637"/>
    </row>
    <row r="638" spans="5:5" x14ac:dyDescent="0.2">
      <c r="E638"/>
    </row>
    <row r="639" spans="5:5" x14ac:dyDescent="0.2">
      <c r="E639"/>
    </row>
    <row r="640" spans="5:5" x14ac:dyDescent="0.2">
      <c r="E640"/>
    </row>
    <row r="641" spans="5:5" x14ac:dyDescent="0.2">
      <c r="E641"/>
    </row>
    <row r="642" spans="5:5" x14ac:dyDescent="0.2">
      <c r="E642"/>
    </row>
    <row r="643" spans="5:5" x14ac:dyDescent="0.2">
      <c r="E643"/>
    </row>
    <row r="644" spans="5:5" x14ac:dyDescent="0.2">
      <c r="E644"/>
    </row>
    <row r="645" spans="5:5" x14ac:dyDescent="0.2">
      <c r="E645"/>
    </row>
    <row r="646" spans="5:5" x14ac:dyDescent="0.2">
      <c r="E646"/>
    </row>
    <row r="647" spans="5:5" x14ac:dyDescent="0.2">
      <c r="E647"/>
    </row>
    <row r="648" spans="5:5" x14ac:dyDescent="0.2">
      <c r="E648"/>
    </row>
    <row r="649" spans="5:5" x14ac:dyDescent="0.2">
      <c r="E649"/>
    </row>
    <row r="650" spans="5:5" x14ac:dyDescent="0.2">
      <c r="E650"/>
    </row>
    <row r="651" spans="5:5" x14ac:dyDescent="0.2">
      <c r="E651"/>
    </row>
    <row r="652" spans="5:5" x14ac:dyDescent="0.2">
      <c r="E652"/>
    </row>
    <row r="653" spans="5:5" x14ac:dyDescent="0.2">
      <c r="E653"/>
    </row>
    <row r="654" spans="5:5" x14ac:dyDescent="0.2">
      <c r="E654"/>
    </row>
    <row r="655" spans="5:5" x14ac:dyDescent="0.2">
      <c r="E655"/>
    </row>
    <row r="656" spans="5:5" x14ac:dyDescent="0.2">
      <c r="E656"/>
    </row>
    <row r="657" spans="5:5" x14ac:dyDescent="0.2">
      <c r="E657"/>
    </row>
    <row r="658" spans="5:5" x14ac:dyDescent="0.2">
      <c r="E658"/>
    </row>
    <row r="659" spans="5:5" x14ac:dyDescent="0.2">
      <c r="E659"/>
    </row>
    <row r="660" spans="5:5" x14ac:dyDescent="0.2">
      <c r="E660"/>
    </row>
    <row r="661" spans="5:5" x14ac:dyDescent="0.2">
      <c r="E661"/>
    </row>
    <row r="662" spans="5:5" x14ac:dyDescent="0.2">
      <c r="E662"/>
    </row>
    <row r="663" spans="5:5" x14ac:dyDescent="0.2">
      <c r="E663"/>
    </row>
    <row r="664" spans="5:5" x14ac:dyDescent="0.2">
      <c r="E664"/>
    </row>
    <row r="665" spans="5:5" x14ac:dyDescent="0.2">
      <c r="E665"/>
    </row>
    <row r="666" spans="5:5" x14ac:dyDescent="0.2">
      <c r="E666"/>
    </row>
    <row r="667" spans="5:5" x14ac:dyDescent="0.2">
      <c r="E667"/>
    </row>
    <row r="668" spans="5:5" x14ac:dyDescent="0.2">
      <c r="E668"/>
    </row>
    <row r="669" spans="5:5" x14ac:dyDescent="0.2">
      <c r="E669"/>
    </row>
    <row r="670" spans="5:5" x14ac:dyDescent="0.2">
      <c r="E670"/>
    </row>
    <row r="671" spans="5:5" x14ac:dyDescent="0.2">
      <c r="E671"/>
    </row>
    <row r="672" spans="5:5" x14ac:dyDescent="0.2">
      <c r="E672"/>
    </row>
    <row r="673" spans="5:5" x14ac:dyDescent="0.2">
      <c r="E673"/>
    </row>
    <row r="674" spans="5:5" x14ac:dyDescent="0.2">
      <c r="E674"/>
    </row>
    <row r="675" spans="5:5" x14ac:dyDescent="0.2">
      <c r="E675"/>
    </row>
    <row r="676" spans="5:5" x14ac:dyDescent="0.2">
      <c r="E676"/>
    </row>
    <row r="677" spans="5:5" x14ac:dyDescent="0.2">
      <c r="E677"/>
    </row>
    <row r="678" spans="5:5" x14ac:dyDescent="0.2">
      <c r="E678"/>
    </row>
    <row r="679" spans="5:5" x14ac:dyDescent="0.2">
      <c r="E679"/>
    </row>
    <row r="680" spans="5:5" x14ac:dyDescent="0.2">
      <c r="E680"/>
    </row>
    <row r="681" spans="5:5" x14ac:dyDescent="0.2">
      <c r="E681"/>
    </row>
    <row r="682" spans="5:5" x14ac:dyDescent="0.2">
      <c r="E682"/>
    </row>
    <row r="683" spans="5:5" x14ac:dyDescent="0.2">
      <c r="E683"/>
    </row>
    <row r="684" spans="5:5" x14ac:dyDescent="0.2">
      <c r="E684"/>
    </row>
    <row r="685" spans="5:5" x14ac:dyDescent="0.2">
      <c r="E685"/>
    </row>
    <row r="686" spans="5:5" x14ac:dyDescent="0.2">
      <c r="E686"/>
    </row>
    <row r="687" spans="5:5" x14ac:dyDescent="0.2">
      <c r="E687"/>
    </row>
    <row r="688" spans="5:5" x14ac:dyDescent="0.2">
      <c r="E688"/>
    </row>
    <row r="689" spans="5:5" x14ac:dyDescent="0.2">
      <c r="E689"/>
    </row>
    <row r="690" spans="5:5" x14ac:dyDescent="0.2">
      <c r="E690"/>
    </row>
    <row r="691" spans="5:5" x14ac:dyDescent="0.2">
      <c r="E691"/>
    </row>
    <row r="692" spans="5:5" x14ac:dyDescent="0.2">
      <c r="E692"/>
    </row>
    <row r="693" spans="5:5" x14ac:dyDescent="0.2">
      <c r="E693"/>
    </row>
    <row r="694" spans="5:5" x14ac:dyDescent="0.2">
      <c r="E694"/>
    </row>
    <row r="695" spans="5:5" x14ac:dyDescent="0.2">
      <c r="E695"/>
    </row>
    <row r="696" spans="5:5" x14ac:dyDescent="0.2">
      <c r="E696"/>
    </row>
    <row r="697" spans="5:5" x14ac:dyDescent="0.2">
      <c r="E697"/>
    </row>
    <row r="698" spans="5:5" x14ac:dyDescent="0.2">
      <c r="E698"/>
    </row>
    <row r="699" spans="5:5" x14ac:dyDescent="0.2">
      <c r="E699"/>
    </row>
    <row r="700" spans="5:5" x14ac:dyDescent="0.2">
      <c r="E700"/>
    </row>
    <row r="701" spans="5:5" x14ac:dyDescent="0.2">
      <c r="E701"/>
    </row>
    <row r="702" spans="5:5" x14ac:dyDescent="0.2">
      <c r="E702"/>
    </row>
    <row r="703" spans="5:5" x14ac:dyDescent="0.2">
      <c r="E703"/>
    </row>
    <row r="704" spans="5:5" x14ac:dyDescent="0.2">
      <c r="E704"/>
    </row>
    <row r="705" spans="5:5" x14ac:dyDescent="0.2">
      <c r="E705"/>
    </row>
    <row r="706" spans="5:5" x14ac:dyDescent="0.2">
      <c r="E706"/>
    </row>
    <row r="707" spans="5:5" x14ac:dyDescent="0.2">
      <c r="E707"/>
    </row>
    <row r="708" spans="5:5" x14ac:dyDescent="0.2">
      <c r="E708"/>
    </row>
    <row r="709" spans="5:5" x14ac:dyDescent="0.2">
      <c r="E709"/>
    </row>
    <row r="710" spans="5:5" x14ac:dyDescent="0.2">
      <c r="E710"/>
    </row>
    <row r="711" spans="5:5" x14ac:dyDescent="0.2">
      <c r="E711"/>
    </row>
    <row r="712" spans="5:5" x14ac:dyDescent="0.2">
      <c r="E712"/>
    </row>
    <row r="713" spans="5:5" x14ac:dyDescent="0.2">
      <c r="E713"/>
    </row>
    <row r="714" spans="5:5" x14ac:dyDescent="0.2">
      <c r="E714"/>
    </row>
    <row r="715" spans="5:5" x14ac:dyDescent="0.2">
      <c r="E715"/>
    </row>
    <row r="716" spans="5:5" x14ac:dyDescent="0.2">
      <c r="E716"/>
    </row>
    <row r="717" spans="5:5" x14ac:dyDescent="0.2">
      <c r="E717"/>
    </row>
    <row r="718" spans="5:5" x14ac:dyDescent="0.2">
      <c r="E718"/>
    </row>
    <row r="719" spans="5:5" x14ac:dyDescent="0.2">
      <c r="E719"/>
    </row>
    <row r="720" spans="5:5" x14ac:dyDescent="0.2">
      <c r="E720"/>
    </row>
    <row r="721" spans="5:5" x14ac:dyDescent="0.2">
      <c r="E721"/>
    </row>
    <row r="722" spans="5:5" x14ac:dyDescent="0.2">
      <c r="E722"/>
    </row>
    <row r="723" spans="5:5" x14ac:dyDescent="0.2">
      <c r="E723"/>
    </row>
    <row r="724" spans="5:5" x14ac:dyDescent="0.2">
      <c r="E724"/>
    </row>
    <row r="725" spans="5:5" x14ac:dyDescent="0.2">
      <c r="E725"/>
    </row>
    <row r="726" spans="5:5" x14ac:dyDescent="0.2">
      <c r="E726"/>
    </row>
    <row r="727" spans="5:5" x14ac:dyDescent="0.2">
      <c r="E727"/>
    </row>
    <row r="728" spans="5:5" x14ac:dyDescent="0.2">
      <c r="E728"/>
    </row>
    <row r="729" spans="5:5" x14ac:dyDescent="0.2">
      <c r="E729"/>
    </row>
    <row r="730" spans="5:5" x14ac:dyDescent="0.2">
      <c r="E730"/>
    </row>
    <row r="731" spans="5:5" x14ac:dyDescent="0.2">
      <c r="E731"/>
    </row>
    <row r="732" spans="5:5" x14ac:dyDescent="0.2">
      <c r="E732"/>
    </row>
    <row r="733" spans="5:5" x14ac:dyDescent="0.2">
      <c r="E733"/>
    </row>
    <row r="734" spans="5:5" x14ac:dyDescent="0.2">
      <c r="E734"/>
    </row>
    <row r="735" spans="5:5" x14ac:dyDescent="0.2">
      <c r="E735"/>
    </row>
    <row r="736" spans="5:5" x14ac:dyDescent="0.2">
      <c r="E736"/>
    </row>
    <row r="737" spans="5:5" x14ac:dyDescent="0.2">
      <c r="E737"/>
    </row>
    <row r="738" spans="5:5" x14ac:dyDescent="0.2">
      <c r="E738"/>
    </row>
    <row r="739" spans="5:5" x14ac:dyDescent="0.2">
      <c r="E739"/>
    </row>
    <row r="740" spans="5:5" x14ac:dyDescent="0.2">
      <c r="E740"/>
    </row>
    <row r="741" spans="5:5" x14ac:dyDescent="0.2">
      <c r="E741"/>
    </row>
    <row r="742" spans="5:5" x14ac:dyDescent="0.2">
      <c r="E742"/>
    </row>
    <row r="743" spans="5:5" x14ac:dyDescent="0.2">
      <c r="E743"/>
    </row>
    <row r="744" spans="5:5" x14ac:dyDescent="0.2">
      <c r="E744"/>
    </row>
    <row r="745" spans="5:5" x14ac:dyDescent="0.2">
      <c r="E745"/>
    </row>
    <row r="746" spans="5:5" x14ac:dyDescent="0.2">
      <c r="E746"/>
    </row>
    <row r="747" spans="5:5" x14ac:dyDescent="0.2">
      <c r="E747"/>
    </row>
    <row r="748" spans="5:5" x14ac:dyDescent="0.2">
      <c r="E748"/>
    </row>
    <row r="749" spans="5:5" x14ac:dyDescent="0.2">
      <c r="E749"/>
    </row>
    <row r="750" spans="5:5" x14ac:dyDescent="0.2">
      <c r="E750"/>
    </row>
    <row r="751" spans="5:5" x14ac:dyDescent="0.2">
      <c r="E751"/>
    </row>
    <row r="752" spans="5:5" x14ac:dyDescent="0.2">
      <c r="E752"/>
    </row>
    <row r="753" spans="5:5" x14ac:dyDescent="0.2">
      <c r="E753"/>
    </row>
    <row r="754" spans="5:5" x14ac:dyDescent="0.2">
      <c r="E754"/>
    </row>
    <row r="755" spans="5:5" x14ac:dyDescent="0.2">
      <c r="E755"/>
    </row>
    <row r="756" spans="5:5" x14ac:dyDescent="0.2">
      <c r="E756"/>
    </row>
    <row r="757" spans="5:5" x14ac:dyDescent="0.2">
      <c r="E757"/>
    </row>
    <row r="758" spans="5:5" x14ac:dyDescent="0.2">
      <c r="E758"/>
    </row>
    <row r="759" spans="5:5" x14ac:dyDescent="0.2">
      <c r="E759"/>
    </row>
    <row r="760" spans="5:5" x14ac:dyDescent="0.2">
      <c r="E760"/>
    </row>
    <row r="761" spans="5:5" x14ac:dyDescent="0.2">
      <c r="E761"/>
    </row>
    <row r="762" spans="5:5" x14ac:dyDescent="0.2">
      <c r="E762"/>
    </row>
    <row r="763" spans="5:5" x14ac:dyDescent="0.2">
      <c r="E763"/>
    </row>
    <row r="764" spans="5:5" x14ac:dyDescent="0.2">
      <c r="E764"/>
    </row>
    <row r="765" spans="5:5" x14ac:dyDescent="0.2">
      <c r="E765"/>
    </row>
    <row r="766" spans="5:5" x14ac:dyDescent="0.2">
      <c r="E766"/>
    </row>
    <row r="767" spans="5:5" x14ac:dyDescent="0.2">
      <c r="E767"/>
    </row>
    <row r="768" spans="5:5" x14ac:dyDescent="0.2">
      <c r="E768"/>
    </row>
    <row r="769" spans="5:5" x14ac:dyDescent="0.2">
      <c r="E769"/>
    </row>
    <row r="770" spans="5:5" x14ac:dyDescent="0.2">
      <c r="E770"/>
    </row>
    <row r="771" spans="5:5" x14ac:dyDescent="0.2">
      <c r="E771"/>
    </row>
    <row r="772" spans="5:5" x14ac:dyDescent="0.2">
      <c r="E772"/>
    </row>
    <row r="773" spans="5:5" x14ac:dyDescent="0.2">
      <c r="E773"/>
    </row>
    <row r="774" spans="5:5" x14ac:dyDescent="0.2">
      <c r="E774"/>
    </row>
    <row r="775" spans="5:5" x14ac:dyDescent="0.2">
      <c r="E775"/>
    </row>
    <row r="776" spans="5:5" x14ac:dyDescent="0.2">
      <c r="E776"/>
    </row>
    <row r="777" spans="5:5" x14ac:dyDescent="0.2">
      <c r="E777"/>
    </row>
    <row r="778" spans="5:5" x14ac:dyDescent="0.2">
      <c r="E778"/>
    </row>
    <row r="779" spans="5:5" x14ac:dyDescent="0.2">
      <c r="E779"/>
    </row>
    <row r="780" spans="5:5" x14ac:dyDescent="0.2">
      <c r="E780"/>
    </row>
    <row r="781" spans="5:5" x14ac:dyDescent="0.2">
      <c r="E781"/>
    </row>
    <row r="782" spans="5:5" x14ac:dyDescent="0.2">
      <c r="E782"/>
    </row>
    <row r="783" spans="5:5" x14ac:dyDescent="0.2">
      <c r="E783"/>
    </row>
    <row r="784" spans="5:5" x14ac:dyDescent="0.2">
      <c r="E784"/>
    </row>
    <row r="785" spans="5:5" x14ac:dyDescent="0.2">
      <c r="E785"/>
    </row>
    <row r="786" spans="5:5" x14ac:dyDescent="0.2">
      <c r="E786"/>
    </row>
    <row r="787" spans="5:5" x14ac:dyDescent="0.2">
      <c r="E787"/>
    </row>
    <row r="788" spans="5:5" x14ac:dyDescent="0.2">
      <c r="E788"/>
    </row>
    <row r="789" spans="5:5" x14ac:dyDescent="0.2">
      <c r="E789"/>
    </row>
    <row r="790" spans="5:5" x14ac:dyDescent="0.2">
      <c r="E790"/>
    </row>
    <row r="791" spans="5:5" x14ac:dyDescent="0.2">
      <c r="E791"/>
    </row>
    <row r="792" spans="5:5" x14ac:dyDescent="0.2">
      <c r="E792"/>
    </row>
    <row r="793" spans="5:5" x14ac:dyDescent="0.2">
      <c r="E793"/>
    </row>
    <row r="794" spans="5:5" x14ac:dyDescent="0.2">
      <c r="E794"/>
    </row>
    <row r="795" spans="5:5" x14ac:dyDescent="0.2">
      <c r="E795"/>
    </row>
    <row r="796" spans="5:5" x14ac:dyDescent="0.2">
      <c r="E796"/>
    </row>
    <row r="797" spans="5:5" x14ac:dyDescent="0.2">
      <c r="E797"/>
    </row>
    <row r="798" spans="5:5" x14ac:dyDescent="0.2">
      <c r="E798"/>
    </row>
    <row r="799" spans="5:5" x14ac:dyDescent="0.2">
      <c r="E799"/>
    </row>
    <row r="800" spans="5:5" x14ac:dyDescent="0.2">
      <c r="E800"/>
    </row>
    <row r="801" spans="5:5" x14ac:dyDescent="0.2">
      <c r="E801"/>
    </row>
    <row r="802" spans="5:5" x14ac:dyDescent="0.2">
      <c r="E802"/>
    </row>
    <row r="803" spans="5:5" x14ac:dyDescent="0.2">
      <c r="E803"/>
    </row>
    <row r="804" spans="5:5" x14ac:dyDescent="0.2">
      <c r="E804"/>
    </row>
    <row r="805" spans="5:5" x14ac:dyDescent="0.2">
      <c r="E805"/>
    </row>
    <row r="806" spans="5:5" x14ac:dyDescent="0.2">
      <c r="E806"/>
    </row>
    <row r="807" spans="5:5" x14ac:dyDescent="0.2">
      <c r="E807"/>
    </row>
    <row r="808" spans="5:5" x14ac:dyDescent="0.2">
      <c r="E808"/>
    </row>
    <row r="809" spans="5:5" x14ac:dyDescent="0.2">
      <c r="E809"/>
    </row>
    <row r="810" spans="5:5" x14ac:dyDescent="0.2">
      <c r="E810"/>
    </row>
    <row r="811" spans="5:5" x14ac:dyDescent="0.2">
      <c r="E811"/>
    </row>
    <row r="812" spans="5:5" x14ac:dyDescent="0.2">
      <c r="E812"/>
    </row>
    <row r="813" spans="5:5" x14ac:dyDescent="0.2">
      <c r="E813"/>
    </row>
    <row r="814" spans="5:5" x14ac:dyDescent="0.2">
      <c r="E814"/>
    </row>
    <row r="815" spans="5:5" x14ac:dyDescent="0.2">
      <c r="E815"/>
    </row>
    <row r="816" spans="5:5" x14ac:dyDescent="0.2">
      <c r="E816"/>
    </row>
    <row r="817" spans="5:5" x14ac:dyDescent="0.2">
      <c r="E817"/>
    </row>
    <row r="818" spans="5:5" x14ac:dyDescent="0.2">
      <c r="E818"/>
    </row>
    <row r="819" spans="5:5" x14ac:dyDescent="0.2">
      <c r="E819"/>
    </row>
    <row r="820" spans="5:5" x14ac:dyDescent="0.2">
      <c r="E820"/>
    </row>
    <row r="821" spans="5:5" x14ac:dyDescent="0.2">
      <c r="E821"/>
    </row>
    <row r="822" spans="5:5" x14ac:dyDescent="0.2">
      <c r="E822"/>
    </row>
    <row r="823" spans="5:5" x14ac:dyDescent="0.2">
      <c r="E823"/>
    </row>
    <row r="824" spans="5:5" x14ac:dyDescent="0.2">
      <c r="E824"/>
    </row>
    <row r="825" spans="5:5" x14ac:dyDescent="0.2">
      <c r="E825"/>
    </row>
    <row r="826" spans="5:5" x14ac:dyDescent="0.2">
      <c r="E826"/>
    </row>
    <row r="827" spans="5:5" x14ac:dyDescent="0.2">
      <c r="E827"/>
    </row>
    <row r="828" spans="5:5" x14ac:dyDescent="0.2">
      <c r="E828"/>
    </row>
    <row r="829" spans="5:5" x14ac:dyDescent="0.2">
      <c r="E829"/>
    </row>
    <row r="830" spans="5:5" x14ac:dyDescent="0.2">
      <c r="E830"/>
    </row>
    <row r="831" spans="5:5" x14ac:dyDescent="0.2">
      <c r="E831"/>
    </row>
    <row r="832" spans="5:5" x14ac:dyDescent="0.2">
      <c r="E832"/>
    </row>
    <row r="833" spans="5:5" x14ac:dyDescent="0.2">
      <c r="E833"/>
    </row>
    <row r="834" spans="5:5" x14ac:dyDescent="0.2">
      <c r="E834"/>
    </row>
    <row r="835" spans="5:5" x14ac:dyDescent="0.2">
      <c r="E835"/>
    </row>
    <row r="836" spans="5:5" x14ac:dyDescent="0.2">
      <c r="E836"/>
    </row>
    <row r="837" spans="5:5" x14ac:dyDescent="0.2">
      <c r="E837"/>
    </row>
    <row r="838" spans="5:5" x14ac:dyDescent="0.2">
      <c r="E838"/>
    </row>
    <row r="839" spans="5:5" x14ac:dyDescent="0.2">
      <c r="E839"/>
    </row>
    <row r="840" spans="5:5" x14ac:dyDescent="0.2">
      <c r="E840"/>
    </row>
    <row r="841" spans="5:5" x14ac:dyDescent="0.2">
      <c r="E841"/>
    </row>
    <row r="842" spans="5:5" x14ac:dyDescent="0.2">
      <c r="E842"/>
    </row>
    <row r="843" spans="5:5" x14ac:dyDescent="0.2">
      <c r="E843"/>
    </row>
    <row r="844" spans="5:5" x14ac:dyDescent="0.2">
      <c r="E844"/>
    </row>
    <row r="845" spans="5:5" x14ac:dyDescent="0.2">
      <c r="E845"/>
    </row>
    <row r="846" spans="5:5" x14ac:dyDescent="0.2">
      <c r="E846"/>
    </row>
    <row r="847" spans="5:5" x14ac:dyDescent="0.2">
      <c r="E847"/>
    </row>
    <row r="848" spans="5:5" x14ac:dyDescent="0.2">
      <c r="E848"/>
    </row>
    <row r="849" spans="5:5" x14ac:dyDescent="0.2">
      <c r="E849"/>
    </row>
    <row r="850" spans="5:5" x14ac:dyDescent="0.2">
      <c r="E850"/>
    </row>
    <row r="851" spans="5:5" x14ac:dyDescent="0.2">
      <c r="E851"/>
    </row>
    <row r="852" spans="5:5" x14ac:dyDescent="0.2">
      <c r="E852"/>
    </row>
    <row r="853" spans="5:5" x14ac:dyDescent="0.2">
      <c r="E853"/>
    </row>
    <row r="854" spans="5:5" x14ac:dyDescent="0.2">
      <c r="E854"/>
    </row>
    <row r="855" spans="5:5" x14ac:dyDescent="0.2">
      <c r="E855"/>
    </row>
    <row r="856" spans="5:5" x14ac:dyDescent="0.2">
      <c r="E856"/>
    </row>
    <row r="857" spans="5:5" x14ac:dyDescent="0.2">
      <c r="E857"/>
    </row>
    <row r="858" spans="5:5" x14ac:dyDescent="0.2">
      <c r="E858"/>
    </row>
    <row r="859" spans="5:5" x14ac:dyDescent="0.2">
      <c r="E859"/>
    </row>
    <row r="860" spans="5:5" x14ac:dyDescent="0.2">
      <c r="E860"/>
    </row>
    <row r="861" spans="5:5" x14ac:dyDescent="0.2">
      <c r="E861"/>
    </row>
    <row r="862" spans="5:5" x14ac:dyDescent="0.2">
      <c r="E862"/>
    </row>
    <row r="863" spans="5:5" x14ac:dyDescent="0.2">
      <c r="E863"/>
    </row>
    <row r="864" spans="5:5" x14ac:dyDescent="0.2">
      <c r="E864"/>
    </row>
    <row r="865" spans="5:5" x14ac:dyDescent="0.2">
      <c r="E865"/>
    </row>
    <row r="866" spans="5:5" x14ac:dyDescent="0.2">
      <c r="E866"/>
    </row>
    <row r="867" spans="5:5" x14ac:dyDescent="0.2">
      <c r="E867"/>
    </row>
    <row r="868" spans="5:5" x14ac:dyDescent="0.2">
      <c r="E868"/>
    </row>
    <row r="869" spans="5:5" x14ac:dyDescent="0.2">
      <c r="E869"/>
    </row>
    <row r="870" spans="5:5" x14ac:dyDescent="0.2">
      <c r="E870"/>
    </row>
    <row r="871" spans="5:5" x14ac:dyDescent="0.2">
      <c r="E871"/>
    </row>
    <row r="872" spans="5:5" x14ac:dyDescent="0.2">
      <c r="E872"/>
    </row>
    <row r="873" spans="5:5" x14ac:dyDescent="0.2">
      <c r="E873"/>
    </row>
    <row r="874" spans="5:5" x14ac:dyDescent="0.2">
      <c r="E874"/>
    </row>
    <row r="875" spans="5:5" x14ac:dyDescent="0.2">
      <c r="E875"/>
    </row>
    <row r="876" spans="5:5" x14ac:dyDescent="0.2">
      <c r="E876"/>
    </row>
    <row r="877" spans="5:5" x14ac:dyDescent="0.2">
      <c r="E877"/>
    </row>
    <row r="878" spans="5:5" x14ac:dyDescent="0.2">
      <c r="E878"/>
    </row>
    <row r="879" spans="5:5" x14ac:dyDescent="0.2">
      <c r="E879"/>
    </row>
    <row r="880" spans="5:5" x14ac:dyDescent="0.2">
      <c r="E880"/>
    </row>
    <row r="881" spans="5:5" x14ac:dyDescent="0.2">
      <c r="E881"/>
    </row>
    <row r="882" spans="5:5" x14ac:dyDescent="0.2">
      <c r="E882"/>
    </row>
    <row r="883" spans="5:5" x14ac:dyDescent="0.2">
      <c r="E883"/>
    </row>
    <row r="884" spans="5:5" x14ac:dyDescent="0.2">
      <c r="E884"/>
    </row>
    <row r="885" spans="5:5" x14ac:dyDescent="0.2">
      <c r="E885"/>
    </row>
    <row r="886" spans="5:5" x14ac:dyDescent="0.2">
      <c r="E886"/>
    </row>
    <row r="887" spans="5:5" x14ac:dyDescent="0.2">
      <c r="E887"/>
    </row>
    <row r="888" spans="5:5" x14ac:dyDescent="0.2">
      <c r="E888"/>
    </row>
    <row r="889" spans="5:5" x14ac:dyDescent="0.2">
      <c r="E889"/>
    </row>
    <row r="890" spans="5:5" x14ac:dyDescent="0.2">
      <c r="E890"/>
    </row>
    <row r="891" spans="5:5" x14ac:dyDescent="0.2">
      <c r="E891"/>
    </row>
    <row r="892" spans="5:5" x14ac:dyDescent="0.2">
      <c r="E892"/>
    </row>
    <row r="893" spans="5:5" x14ac:dyDescent="0.2">
      <c r="E893"/>
    </row>
    <row r="894" spans="5:5" x14ac:dyDescent="0.2">
      <c r="E894"/>
    </row>
    <row r="895" spans="5:5" x14ac:dyDescent="0.2">
      <c r="E895"/>
    </row>
    <row r="896" spans="5:5" x14ac:dyDescent="0.2">
      <c r="E896"/>
    </row>
    <row r="897" spans="5:5" x14ac:dyDescent="0.2">
      <c r="E897"/>
    </row>
    <row r="898" spans="5:5" x14ac:dyDescent="0.2">
      <c r="E898"/>
    </row>
    <row r="899" spans="5:5" x14ac:dyDescent="0.2">
      <c r="E899"/>
    </row>
    <row r="900" spans="5:5" x14ac:dyDescent="0.2">
      <c r="E900"/>
    </row>
    <row r="901" spans="5:5" x14ac:dyDescent="0.2">
      <c r="E901"/>
    </row>
    <row r="902" spans="5:5" x14ac:dyDescent="0.2">
      <c r="E902"/>
    </row>
    <row r="903" spans="5:5" x14ac:dyDescent="0.2">
      <c r="E903"/>
    </row>
    <row r="904" spans="5:5" x14ac:dyDescent="0.2">
      <c r="E904"/>
    </row>
    <row r="905" spans="5:5" x14ac:dyDescent="0.2">
      <c r="E905"/>
    </row>
    <row r="906" spans="5:5" x14ac:dyDescent="0.2">
      <c r="E906"/>
    </row>
    <row r="907" spans="5:5" x14ac:dyDescent="0.2">
      <c r="E907"/>
    </row>
    <row r="908" spans="5:5" x14ac:dyDescent="0.2">
      <c r="E908"/>
    </row>
    <row r="909" spans="5:5" x14ac:dyDescent="0.2">
      <c r="E909"/>
    </row>
    <row r="910" spans="5:5" x14ac:dyDescent="0.2">
      <c r="E910"/>
    </row>
    <row r="911" spans="5:5" x14ac:dyDescent="0.2">
      <c r="E911"/>
    </row>
    <row r="912" spans="5:5" x14ac:dyDescent="0.2">
      <c r="E912"/>
    </row>
    <row r="913" spans="5:5" x14ac:dyDescent="0.2">
      <c r="E913"/>
    </row>
    <row r="914" spans="5:5" x14ac:dyDescent="0.2">
      <c r="E914"/>
    </row>
    <row r="915" spans="5:5" x14ac:dyDescent="0.2">
      <c r="E915"/>
    </row>
    <row r="916" spans="5:5" x14ac:dyDescent="0.2">
      <c r="E916"/>
    </row>
    <row r="917" spans="5:5" x14ac:dyDescent="0.2">
      <c r="E917"/>
    </row>
    <row r="918" spans="5:5" x14ac:dyDescent="0.2">
      <c r="E918"/>
    </row>
    <row r="919" spans="5:5" x14ac:dyDescent="0.2">
      <c r="E919"/>
    </row>
    <row r="920" spans="5:5" x14ac:dyDescent="0.2">
      <c r="E920"/>
    </row>
    <row r="921" spans="5:5" x14ac:dyDescent="0.2">
      <c r="E921"/>
    </row>
    <row r="922" spans="5:5" x14ac:dyDescent="0.2">
      <c r="E922"/>
    </row>
    <row r="923" spans="5:5" x14ac:dyDescent="0.2">
      <c r="E923"/>
    </row>
    <row r="924" spans="5:5" x14ac:dyDescent="0.2">
      <c r="E924"/>
    </row>
    <row r="925" spans="5:5" x14ac:dyDescent="0.2">
      <c r="E925"/>
    </row>
    <row r="926" spans="5:5" x14ac:dyDescent="0.2">
      <c r="E926"/>
    </row>
    <row r="927" spans="5:5" x14ac:dyDescent="0.2">
      <c r="E927"/>
    </row>
    <row r="928" spans="5:5" x14ac:dyDescent="0.2">
      <c r="E928"/>
    </row>
    <row r="929" spans="5:5" x14ac:dyDescent="0.2">
      <c r="E929"/>
    </row>
    <row r="930" spans="5:5" x14ac:dyDescent="0.2">
      <c r="E930"/>
    </row>
    <row r="931" spans="5:5" x14ac:dyDescent="0.2">
      <c r="E931"/>
    </row>
    <row r="932" spans="5:5" x14ac:dyDescent="0.2">
      <c r="E932"/>
    </row>
    <row r="933" spans="5:5" x14ac:dyDescent="0.2">
      <c r="E933"/>
    </row>
    <row r="934" spans="5:5" x14ac:dyDescent="0.2">
      <c r="E934"/>
    </row>
  </sheetData>
  <conditionalFormatting sqref="G1:G1048576">
    <cfRule type="containsText" dxfId="50" priority="1" operator="containsText" text="blank">
      <formula>NOT(ISERROR(SEARCH("blank",G1)))</formula>
    </cfRule>
  </conditionalFormatting>
  <conditionalFormatting sqref="H1:I1048576">
    <cfRule type="containsText" dxfId="49" priority="2" operator="containsText" text="chưa">
      <formula>NOT(ISERROR(SEARCH("chưa",H1)))</formula>
    </cfRule>
  </conditionalFormatting>
  <pageMargins left="0.7" right="0.7" top="0.75" bottom="0.75" header="0.3" footer="0.3"/>
  <pageSetup paperSize="256" orientation="portrait" horizontalDpi="203" verticalDpi="203"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EQ17"/>
  <sheetViews>
    <sheetView topLeftCell="B2" zoomScale="85" zoomScaleNormal="85" workbookViewId="0">
      <selection activeCell="C14" sqref="C14"/>
    </sheetView>
  </sheetViews>
  <sheetFormatPr defaultColWidth="8.85546875" defaultRowHeight="12.75" x14ac:dyDescent="0.2"/>
  <cols>
    <col min="1" max="1" width="8.85546875" style="658"/>
    <col min="2" max="2" width="11.85546875" style="658" customWidth="1"/>
    <col min="3" max="3" width="14.140625" style="658" customWidth="1"/>
    <col min="4" max="4" width="12.42578125" style="658" customWidth="1"/>
    <col min="5" max="5" width="16.42578125" style="658" customWidth="1"/>
    <col min="6" max="6" width="15.42578125" style="658" customWidth="1"/>
    <col min="7" max="7" width="10.140625" style="658" customWidth="1"/>
    <col min="8" max="8" width="11.42578125" style="658" customWidth="1"/>
    <col min="9" max="9" width="12" style="658" customWidth="1"/>
    <col min="10" max="10" width="8.85546875" style="658"/>
    <col min="11" max="11" width="7.5703125" style="658" customWidth="1"/>
    <col min="12" max="12" width="31" style="658" customWidth="1"/>
    <col min="13" max="13" width="19.5703125" style="658" customWidth="1"/>
    <col min="14" max="14" width="25.85546875" style="658" customWidth="1"/>
    <col min="15" max="16384" width="8.85546875" style="658"/>
  </cols>
  <sheetData>
    <row r="1" spans="1:16371" s="652" customFormat="1" ht="56.85" customHeight="1" x14ac:dyDescent="0.2">
      <c r="A1" s="736"/>
      <c r="B1" s="737"/>
      <c r="C1" s="738"/>
      <c r="D1" s="733" t="s">
        <v>2425</v>
      </c>
      <c r="E1" s="734"/>
      <c r="F1" s="734"/>
      <c r="G1" s="734"/>
      <c r="H1" s="734"/>
      <c r="I1" s="734"/>
      <c r="J1" s="734"/>
      <c r="K1" s="734"/>
      <c r="L1" s="734"/>
      <c r="M1" s="734"/>
      <c r="N1" s="735"/>
    </row>
    <row r="4" spans="1:16371" ht="51" x14ac:dyDescent="0.2">
      <c r="A4" s="653" t="s">
        <v>812</v>
      </c>
      <c r="B4" s="654" t="s">
        <v>807</v>
      </c>
      <c r="C4" s="653" t="s">
        <v>2</v>
      </c>
      <c r="D4" s="653" t="s">
        <v>806</v>
      </c>
      <c r="E4" s="653" t="s">
        <v>808</v>
      </c>
      <c r="F4" s="653" t="s">
        <v>802</v>
      </c>
      <c r="G4" s="655" t="s">
        <v>803</v>
      </c>
      <c r="H4" s="655" t="s">
        <v>809</v>
      </c>
      <c r="I4" s="656" t="s">
        <v>810</v>
      </c>
      <c r="J4" s="655" t="s">
        <v>805</v>
      </c>
      <c r="K4" s="655" t="s">
        <v>804</v>
      </c>
      <c r="L4" s="655" t="s">
        <v>811</v>
      </c>
      <c r="M4" s="655" t="s">
        <v>453</v>
      </c>
      <c r="N4" s="655" t="s">
        <v>1942</v>
      </c>
      <c r="O4" s="657"/>
      <c r="P4" s="657"/>
      <c r="Q4" s="657"/>
      <c r="R4" s="657"/>
      <c r="S4" s="657"/>
      <c r="T4" s="657"/>
      <c r="U4" s="657"/>
      <c r="V4" s="657"/>
      <c r="W4" s="657"/>
      <c r="X4" s="657"/>
      <c r="Y4" s="657"/>
      <c r="Z4" s="657"/>
      <c r="AA4" s="657"/>
      <c r="AB4" s="657"/>
      <c r="AC4" s="657"/>
      <c r="AD4" s="657"/>
      <c r="AE4" s="657"/>
      <c r="AF4" s="657"/>
      <c r="AG4" s="657"/>
      <c r="AH4" s="657"/>
      <c r="AI4" s="657"/>
      <c r="AJ4" s="657"/>
      <c r="AK4" s="657"/>
      <c r="AL4" s="657"/>
      <c r="AM4" s="657"/>
      <c r="AN4" s="657"/>
      <c r="AO4" s="657"/>
      <c r="AP4" s="657"/>
      <c r="AQ4" s="657"/>
      <c r="AR4" s="657"/>
      <c r="AS4" s="657"/>
      <c r="AT4" s="657"/>
      <c r="AU4" s="657"/>
      <c r="AV4" s="657"/>
      <c r="AW4" s="657"/>
      <c r="AX4" s="657"/>
      <c r="AY4" s="657"/>
      <c r="AZ4" s="657"/>
      <c r="BA4" s="657"/>
      <c r="BB4" s="657"/>
      <c r="BC4" s="657"/>
      <c r="BD4" s="657"/>
      <c r="BE4" s="657"/>
      <c r="BF4" s="657"/>
      <c r="BG4" s="657"/>
      <c r="BH4" s="657"/>
      <c r="BI4" s="657"/>
      <c r="BJ4" s="657"/>
      <c r="BK4" s="657"/>
      <c r="BL4" s="657"/>
      <c r="BM4" s="657"/>
      <c r="BN4" s="657"/>
      <c r="BO4" s="657"/>
      <c r="BP4" s="657"/>
      <c r="BQ4" s="657"/>
      <c r="BR4" s="657"/>
      <c r="BS4" s="657"/>
      <c r="BT4" s="657"/>
      <c r="BU4" s="657"/>
      <c r="BV4" s="657"/>
      <c r="BW4" s="657"/>
      <c r="BX4" s="657"/>
      <c r="BY4" s="657"/>
      <c r="BZ4" s="657"/>
      <c r="CA4" s="657"/>
      <c r="CB4" s="657"/>
      <c r="CC4" s="657"/>
      <c r="CD4" s="657"/>
      <c r="CE4" s="657"/>
      <c r="CF4" s="657"/>
      <c r="CG4" s="657"/>
      <c r="CH4" s="657"/>
      <c r="CI4" s="657"/>
      <c r="CJ4" s="657"/>
      <c r="CK4" s="657"/>
      <c r="CL4" s="657"/>
      <c r="CM4" s="657"/>
      <c r="CN4" s="657"/>
      <c r="CO4" s="657"/>
      <c r="CP4" s="657"/>
      <c r="CQ4" s="657"/>
      <c r="CR4" s="657"/>
      <c r="CS4" s="657"/>
      <c r="CT4" s="657"/>
      <c r="CU4" s="657"/>
      <c r="CV4" s="657"/>
      <c r="CW4" s="657"/>
      <c r="CX4" s="657"/>
      <c r="CY4" s="657"/>
      <c r="CZ4" s="657"/>
      <c r="DA4" s="657"/>
      <c r="DB4" s="657"/>
      <c r="DC4" s="657"/>
      <c r="DD4" s="657"/>
      <c r="DE4" s="657"/>
      <c r="DF4" s="657"/>
      <c r="DG4" s="657"/>
      <c r="DH4" s="657"/>
      <c r="DI4" s="657"/>
      <c r="DJ4" s="657"/>
      <c r="DK4" s="657"/>
      <c r="DL4" s="657"/>
      <c r="DM4" s="657"/>
      <c r="DN4" s="657"/>
      <c r="DO4" s="657"/>
      <c r="DP4" s="657"/>
      <c r="DQ4" s="657"/>
      <c r="DR4" s="657"/>
      <c r="DS4" s="657"/>
      <c r="DT4" s="657"/>
      <c r="DU4" s="657"/>
      <c r="DV4" s="657"/>
      <c r="DW4" s="657"/>
      <c r="DX4" s="657"/>
      <c r="DY4" s="657"/>
      <c r="DZ4" s="657"/>
      <c r="EA4" s="657"/>
      <c r="EB4" s="657"/>
      <c r="EC4" s="657"/>
      <c r="ED4" s="657"/>
      <c r="EE4" s="657"/>
      <c r="EF4" s="657"/>
      <c r="EG4" s="657"/>
      <c r="EH4" s="657"/>
      <c r="EI4" s="657"/>
      <c r="EJ4" s="657"/>
      <c r="EK4" s="657"/>
      <c r="EL4" s="657"/>
      <c r="EM4" s="657"/>
      <c r="EN4" s="657"/>
      <c r="EO4" s="657"/>
      <c r="EP4" s="657"/>
      <c r="EQ4" s="657"/>
      <c r="ER4" s="657"/>
      <c r="ES4" s="657"/>
      <c r="ET4" s="657"/>
      <c r="EU4" s="657"/>
      <c r="EV4" s="657"/>
      <c r="EW4" s="657"/>
      <c r="EX4" s="657"/>
      <c r="EY4" s="657"/>
      <c r="EZ4" s="657"/>
      <c r="FA4" s="657"/>
      <c r="FB4" s="657"/>
      <c r="FC4" s="657"/>
      <c r="FD4" s="657"/>
      <c r="FE4" s="657"/>
      <c r="FF4" s="657"/>
      <c r="FG4" s="657"/>
      <c r="FH4" s="657"/>
      <c r="FI4" s="657"/>
      <c r="FJ4" s="657"/>
      <c r="FK4" s="657"/>
      <c r="FL4" s="657"/>
      <c r="FM4" s="657"/>
      <c r="FN4" s="657"/>
      <c r="FO4" s="657"/>
      <c r="FP4" s="657"/>
      <c r="FQ4" s="657"/>
      <c r="FR4" s="657"/>
      <c r="FS4" s="657"/>
      <c r="FT4" s="657"/>
      <c r="FU4" s="657"/>
      <c r="FV4" s="657"/>
      <c r="FW4" s="657"/>
      <c r="FX4" s="657"/>
      <c r="FY4" s="657"/>
      <c r="FZ4" s="657"/>
      <c r="GA4" s="657"/>
      <c r="GB4" s="657"/>
      <c r="GC4" s="657"/>
      <c r="GD4" s="657"/>
      <c r="GE4" s="657"/>
      <c r="GF4" s="657"/>
      <c r="GG4" s="657"/>
      <c r="GH4" s="657"/>
      <c r="GI4" s="657"/>
      <c r="GJ4" s="657"/>
      <c r="GK4" s="657"/>
      <c r="GL4" s="657"/>
      <c r="GM4" s="657"/>
      <c r="GN4" s="657"/>
      <c r="GO4" s="657"/>
      <c r="GP4" s="657"/>
      <c r="GQ4" s="657"/>
      <c r="GR4" s="657"/>
      <c r="GS4" s="657"/>
      <c r="GT4" s="657"/>
      <c r="GU4" s="657"/>
      <c r="GV4" s="657"/>
      <c r="GW4" s="657"/>
      <c r="GX4" s="657"/>
      <c r="GY4" s="657"/>
      <c r="GZ4" s="657"/>
      <c r="HA4" s="657"/>
      <c r="HB4" s="657"/>
      <c r="HC4" s="657"/>
      <c r="HD4" s="657"/>
      <c r="HE4" s="657"/>
      <c r="HF4" s="657"/>
      <c r="HG4" s="657"/>
      <c r="HH4" s="657"/>
      <c r="HI4" s="657"/>
      <c r="HJ4" s="657"/>
      <c r="HK4" s="657"/>
      <c r="HL4" s="657"/>
      <c r="HM4" s="657"/>
      <c r="HN4" s="657"/>
      <c r="HO4" s="657"/>
      <c r="HP4" s="657"/>
      <c r="HQ4" s="657"/>
      <c r="HR4" s="657"/>
      <c r="HS4" s="657"/>
      <c r="HT4" s="657"/>
      <c r="HU4" s="657"/>
      <c r="HV4" s="657"/>
      <c r="HW4" s="657"/>
      <c r="HX4" s="657"/>
      <c r="HY4" s="657"/>
      <c r="HZ4" s="657"/>
      <c r="IA4" s="657"/>
      <c r="IB4" s="657"/>
      <c r="IC4" s="657"/>
      <c r="ID4" s="657"/>
      <c r="IE4" s="657"/>
      <c r="IF4" s="657"/>
      <c r="IG4" s="657"/>
      <c r="IH4" s="657"/>
      <c r="II4" s="657"/>
      <c r="IJ4" s="657"/>
      <c r="IK4" s="657"/>
      <c r="IL4" s="657"/>
      <c r="IM4" s="657"/>
      <c r="IN4" s="657"/>
      <c r="IO4" s="657"/>
      <c r="IP4" s="657"/>
      <c r="IQ4" s="657"/>
      <c r="IR4" s="657"/>
      <c r="IS4" s="657"/>
      <c r="IT4" s="657"/>
      <c r="IU4" s="657"/>
      <c r="IV4" s="657"/>
      <c r="IW4" s="657"/>
      <c r="IX4" s="657"/>
      <c r="IY4" s="657"/>
      <c r="IZ4" s="657"/>
      <c r="JA4" s="657"/>
      <c r="JB4" s="657"/>
      <c r="JC4" s="657"/>
      <c r="JD4" s="657"/>
      <c r="JE4" s="657"/>
      <c r="JF4" s="657"/>
      <c r="JG4" s="657"/>
      <c r="JH4" s="657"/>
      <c r="JI4" s="657"/>
      <c r="JJ4" s="657"/>
      <c r="JK4" s="657"/>
      <c r="JL4" s="657"/>
      <c r="JM4" s="657"/>
      <c r="JN4" s="657"/>
      <c r="JO4" s="657"/>
      <c r="JP4" s="657"/>
      <c r="JQ4" s="657"/>
      <c r="JR4" s="657"/>
      <c r="JS4" s="657"/>
      <c r="JT4" s="657"/>
      <c r="JU4" s="657"/>
      <c r="JV4" s="657"/>
      <c r="JW4" s="657"/>
      <c r="JX4" s="657"/>
      <c r="JY4" s="657"/>
      <c r="JZ4" s="657"/>
      <c r="KA4" s="657"/>
      <c r="KB4" s="657"/>
      <c r="KC4" s="657"/>
      <c r="KD4" s="657"/>
      <c r="KE4" s="657"/>
      <c r="KF4" s="657"/>
      <c r="KG4" s="657"/>
      <c r="KH4" s="657"/>
      <c r="KI4" s="657"/>
      <c r="KJ4" s="657"/>
      <c r="KK4" s="657"/>
      <c r="KL4" s="657"/>
      <c r="KM4" s="657"/>
      <c r="KN4" s="657"/>
      <c r="KO4" s="657"/>
      <c r="KP4" s="657"/>
      <c r="KQ4" s="657"/>
      <c r="KR4" s="657"/>
      <c r="KS4" s="657"/>
      <c r="KT4" s="657"/>
      <c r="KU4" s="657"/>
      <c r="KV4" s="657"/>
      <c r="KW4" s="657"/>
      <c r="KX4" s="657"/>
      <c r="KY4" s="657"/>
      <c r="KZ4" s="657"/>
      <c r="LA4" s="657"/>
      <c r="LB4" s="657"/>
      <c r="LC4" s="657"/>
      <c r="LD4" s="657"/>
      <c r="LE4" s="657"/>
      <c r="LF4" s="657"/>
      <c r="LG4" s="657"/>
      <c r="LH4" s="657"/>
      <c r="LI4" s="657"/>
      <c r="LJ4" s="657"/>
      <c r="LK4" s="657"/>
      <c r="LL4" s="657"/>
      <c r="LM4" s="657"/>
      <c r="LN4" s="657"/>
      <c r="LO4" s="657"/>
      <c r="LP4" s="657"/>
      <c r="LQ4" s="657"/>
      <c r="LR4" s="657"/>
      <c r="LS4" s="657"/>
      <c r="LT4" s="657"/>
      <c r="LU4" s="657"/>
      <c r="LV4" s="657"/>
      <c r="LW4" s="657"/>
      <c r="LX4" s="657"/>
      <c r="LY4" s="657"/>
      <c r="LZ4" s="657"/>
      <c r="MA4" s="657"/>
      <c r="MB4" s="657"/>
      <c r="MC4" s="657"/>
      <c r="MD4" s="657"/>
      <c r="ME4" s="657"/>
      <c r="MF4" s="657"/>
      <c r="MG4" s="657"/>
      <c r="MH4" s="657"/>
      <c r="MI4" s="657"/>
      <c r="MJ4" s="657"/>
      <c r="MK4" s="657"/>
      <c r="ML4" s="657"/>
      <c r="MM4" s="657"/>
      <c r="MN4" s="657"/>
      <c r="MO4" s="657"/>
      <c r="MP4" s="657"/>
      <c r="MQ4" s="657"/>
      <c r="MR4" s="657"/>
      <c r="MS4" s="657"/>
      <c r="MT4" s="657"/>
      <c r="MU4" s="657"/>
      <c r="MV4" s="657"/>
      <c r="MW4" s="657"/>
      <c r="MX4" s="657"/>
      <c r="MY4" s="657"/>
      <c r="MZ4" s="657"/>
      <c r="NA4" s="657"/>
      <c r="NB4" s="657"/>
      <c r="NC4" s="657"/>
      <c r="ND4" s="657"/>
      <c r="NE4" s="657"/>
      <c r="NF4" s="657"/>
      <c r="NG4" s="657"/>
      <c r="NH4" s="657"/>
      <c r="NI4" s="657"/>
      <c r="NJ4" s="657"/>
      <c r="NK4" s="657"/>
      <c r="NL4" s="657"/>
      <c r="NM4" s="657"/>
      <c r="NN4" s="657"/>
      <c r="NO4" s="657"/>
      <c r="NP4" s="657"/>
      <c r="NQ4" s="657"/>
      <c r="NR4" s="657"/>
      <c r="NS4" s="657"/>
      <c r="NT4" s="657"/>
      <c r="NU4" s="657"/>
      <c r="NV4" s="657"/>
      <c r="NW4" s="657"/>
      <c r="NX4" s="657"/>
      <c r="NY4" s="657"/>
      <c r="NZ4" s="657"/>
      <c r="OA4" s="657"/>
      <c r="OB4" s="657"/>
      <c r="OC4" s="657"/>
      <c r="OD4" s="657"/>
      <c r="OE4" s="657"/>
      <c r="OF4" s="657"/>
      <c r="OG4" s="657"/>
      <c r="OH4" s="657"/>
      <c r="OI4" s="657"/>
      <c r="OJ4" s="657"/>
      <c r="OK4" s="657"/>
      <c r="OL4" s="657"/>
      <c r="OM4" s="657"/>
      <c r="ON4" s="657"/>
      <c r="OO4" s="657"/>
      <c r="OP4" s="657"/>
      <c r="OQ4" s="657"/>
      <c r="OR4" s="657"/>
      <c r="OS4" s="657"/>
      <c r="OT4" s="657"/>
      <c r="OU4" s="657"/>
      <c r="OV4" s="657"/>
      <c r="OW4" s="657"/>
      <c r="OX4" s="657"/>
      <c r="OY4" s="657"/>
      <c r="OZ4" s="657"/>
      <c r="PA4" s="657"/>
      <c r="PB4" s="657"/>
      <c r="PC4" s="657"/>
      <c r="PD4" s="657"/>
      <c r="PE4" s="657"/>
      <c r="PF4" s="657"/>
      <c r="PG4" s="657"/>
      <c r="PH4" s="657"/>
      <c r="PI4" s="657"/>
      <c r="PJ4" s="657"/>
      <c r="PK4" s="657"/>
      <c r="PL4" s="657"/>
      <c r="PM4" s="657"/>
      <c r="PN4" s="657"/>
      <c r="PO4" s="657"/>
      <c r="PP4" s="657"/>
      <c r="PQ4" s="657"/>
      <c r="PR4" s="657"/>
      <c r="PS4" s="657"/>
      <c r="PT4" s="657"/>
      <c r="PU4" s="657"/>
      <c r="PV4" s="657"/>
      <c r="PW4" s="657"/>
      <c r="PX4" s="657"/>
      <c r="PY4" s="657"/>
      <c r="PZ4" s="657"/>
      <c r="QA4" s="657"/>
      <c r="QB4" s="657"/>
      <c r="QC4" s="657"/>
      <c r="QD4" s="657"/>
      <c r="QE4" s="657"/>
      <c r="QF4" s="657"/>
      <c r="QG4" s="657"/>
      <c r="QH4" s="657"/>
      <c r="QI4" s="657"/>
      <c r="QJ4" s="657"/>
      <c r="QK4" s="657"/>
      <c r="QL4" s="657"/>
      <c r="QM4" s="657"/>
      <c r="QN4" s="657"/>
      <c r="QO4" s="657"/>
      <c r="QP4" s="657"/>
      <c r="QQ4" s="657"/>
      <c r="QR4" s="657"/>
      <c r="QS4" s="657"/>
      <c r="QT4" s="657"/>
      <c r="QU4" s="657"/>
      <c r="QV4" s="657"/>
      <c r="QW4" s="657"/>
      <c r="QX4" s="657"/>
      <c r="QY4" s="657"/>
      <c r="QZ4" s="657"/>
      <c r="RA4" s="657"/>
      <c r="RB4" s="657"/>
      <c r="RC4" s="657"/>
      <c r="RD4" s="657"/>
      <c r="RE4" s="657"/>
      <c r="RF4" s="657"/>
      <c r="RG4" s="657"/>
      <c r="RH4" s="657"/>
      <c r="RI4" s="657"/>
      <c r="RJ4" s="657"/>
      <c r="RK4" s="657"/>
      <c r="RL4" s="657"/>
      <c r="RM4" s="657"/>
      <c r="RN4" s="657"/>
      <c r="RO4" s="657"/>
      <c r="RP4" s="657"/>
      <c r="RQ4" s="657"/>
      <c r="RR4" s="657"/>
      <c r="RS4" s="657"/>
      <c r="RT4" s="657"/>
      <c r="RU4" s="657"/>
      <c r="RV4" s="657"/>
      <c r="RW4" s="657"/>
      <c r="RX4" s="657"/>
      <c r="RY4" s="657"/>
      <c r="RZ4" s="657"/>
      <c r="SA4" s="657"/>
      <c r="SB4" s="657"/>
      <c r="SC4" s="657"/>
      <c r="SD4" s="657"/>
      <c r="SE4" s="657"/>
      <c r="SF4" s="657"/>
      <c r="SG4" s="657"/>
      <c r="SH4" s="657"/>
      <c r="SI4" s="657"/>
      <c r="SJ4" s="657"/>
      <c r="SK4" s="657"/>
      <c r="SL4" s="657"/>
      <c r="SM4" s="657"/>
      <c r="SN4" s="657"/>
      <c r="SO4" s="657"/>
      <c r="SP4" s="657"/>
      <c r="SQ4" s="657"/>
      <c r="SR4" s="657"/>
      <c r="SS4" s="657"/>
      <c r="ST4" s="657"/>
      <c r="SU4" s="657"/>
      <c r="SV4" s="657"/>
      <c r="SW4" s="657"/>
      <c r="SX4" s="657"/>
      <c r="SY4" s="657"/>
      <c r="SZ4" s="657"/>
      <c r="TA4" s="657"/>
      <c r="TB4" s="657"/>
      <c r="TC4" s="657"/>
      <c r="TD4" s="657"/>
      <c r="TE4" s="657"/>
      <c r="TF4" s="657"/>
      <c r="TG4" s="657"/>
      <c r="TH4" s="657"/>
      <c r="TI4" s="657"/>
      <c r="TJ4" s="657"/>
      <c r="TK4" s="657"/>
      <c r="TL4" s="657"/>
      <c r="TM4" s="657"/>
      <c r="TN4" s="657"/>
      <c r="TO4" s="657"/>
      <c r="TP4" s="657"/>
      <c r="TQ4" s="657"/>
      <c r="TR4" s="657"/>
      <c r="TS4" s="657"/>
      <c r="TT4" s="657"/>
      <c r="TU4" s="657"/>
      <c r="TV4" s="657"/>
      <c r="TW4" s="657"/>
      <c r="TX4" s="657"/>
      <c r="TY4" s="657"/>
      <c r="TZ4" s="657"/>
      <c r="UA4" s="657"/>
      <c r="UB4" s="657"/>
      <c r="UC4" s="657"/>
      <c r="UD4" s="657"/>
      <c r="UE4" s="657"/>
      <c r="UF4" s="657"/>
      <c r="UG4" s="657"/>
      <c r="UH4" s="657"/>
      <c r="UI4" s="657"/>
      <c r="UJ4" s="657"/>
      <c r="UK4" s="657"/>
      <c r="UL4" s="657"/>
      <c r="UM4" s="657"/>
      <c r="UN4" s="657"/>
      <c r="UO4" s="657"/>
      <c r="UP4" s="657"/>
      <c r="UQ4" s="657"/>
      <c r="UR4" s="657"/>
      <c r="US4" s="657"/>
      <c r="UT4" s="657"/>
      <c r="UU4" s="657"/>
      <c r="UV4" s="657"/>
      <c r="UW4" s="657"/>
      <c r="UX4" s="657"/>
      <c r="UY4" s="657"/>
      <c r="UZ4" s="657"/>
      <c r="VA4" s="657"/>
      <c r="VB4" s="657"/>
      <c r="VC4" s="657"/>
      <c r="VD4" s="657"/>
      <c r="VE4" s="657"/>
      <c r="VF4" s="657"/>
      <c r="VG4" s="657"/>
      <c r="VH4" s="657"/>
      <c r="VI4" s="657"/>
      <c r="VJ4" s="657"/>
      <c r="VK4" s="657"/>
      <c r="VL4" s="657"/>
      <c r="VM4" s="657"/>
      <c r="VN4" s="657"/>
      <c r="VO4" s="657"/>
      <c r="VP4" s="657"/>
      <c r="VQ4" s="657"/>
      <c r="VR4" s="657"/>
      <c r="VS4" s="657"/>
      <c r="VT4" s="657"/>
      <c r="VU4" s="657"/>
      <c r="VV4" s="657"/>
      <c r="VW4" s="657"/>
      <c r="VX4" s="657"/>
      <c r="VY4" s="657"/>
      <c r="VZ4" s="657"/>
      <c r="WA4" s="657"/>
      <c r="WB4" s="657"/>
      <c r="WC4" s="657"/>
      <c r="WD4" s="657"/>
      <c r="WE4" s="657"/>
      <c r="WF4" s="657"/>
      <c r="WG4" s="657"/>
      <c r="WH4" s="657"/>
      <c r="WI4" s="657"/>
      <c r="WJ4" s="657"/>
      <c r="WK4" s="657"/>
      <c r="WL4" s="657"/>
      <c r="WM4" s="657"/>
      <c r="WN4" s="657"/>
      <c r="WO4" s="657"/>
      <c r="WP4" s="657"/>
      <c r="WQ4" s="657"/>
      <c r="WR4" s="657"/>
      <c r="WS4" s="657"/>
      <c r="WT4" s="657"/>
      <c r="WU4" s="657"/>
      <c r="WV4" s="657"/>
      <c r="WW4" s="657"/>
      <c r="WX4" s="657"/>
      <c r="WY4" s="657"/>
      <c r="WZ4" s="657"/>
      <c r="XA4" s="657"/>
      <c r="XB4" s="657"/>
      <c r="XC4" s="657"/>
      <c r="XD4" s="657"/>
      <c r="XE4" s="657"/>
      <c r="XF4" s="657"/>
      <c r="XG4" s="657"/>
      <c r="XH4" s="657"/>
      <c r="XI4" s="657"/>
      <c r="XJ4" s="657"/>
      <c r="XK4" s="657"/>
      <c r="XL4" s="657"/>
      <c r="XM4" s="657"/>
      <c r="XN4" s="657"/>
      <c r="XO4" s="657"/>
      <c r="XP4" s="657"/>
      <c r="XQ4" s="657"/>
      <c r="XR4" s="657"/>
      <c r="XS4" s="657"/>
      <c r="XT4" s="657"/>
      <c r="XU4" s="657"/>
      <c r="XV4" s="657"/>
      <c r="XW4" s="657"/>
      <c r="XX4" s="657"/>
      <c r="XY4" s="657"/>
      <c r="XZ4" s="657"/>
      <c r="YA4" s="657"/>
      <c r="YB4" s="657"/>
      <c r="YC4" s="657"/>
      <c r="YD4" s="657"/>
      <c r="YE4" s="657"/>
      <c r="YF4" s="657"/>
      <c r="YG4" s="657"/>
      <c r="YH4" s="657"/>
      <c r="YI4" s="657"/>
      <c r="YJ4" s="657"/>
      <c r="YK4" s="657"/>
      <c r="YL4" s="657"/>
      <c r="YM4" s="657"/>
      <c r="YN4" s="657"/>
      <c r="YO4" s="657"/>
      <c r="YP4" s="657"/>
      <c r="YQ4" s="657"/>
      <c r="YR4" s="657"/>
      <c r="YS4" s="657"/>
      <c r="YT4" s="657"/>
      <c r="YU4" s="657"/>
      <c r="YV4" s="657"/>
      <c r="YW4" s="657"/>
      <c r="YX4" s="657"/>
      <c r="YY4" s="657"/>
      <c r="YZ4" s="657"/>
      <c r="ZA4" s="657"/>
      <c r="ZB4" s="657"/>
      <c r="ZC4" s="657"/>
      <c r="ZD4" s="657"/>
      <c r="ZE4" s="657"/>
      <c r="ZF4" s="657"/>
      <c r="ZG4" s="657"/>
      <c r="ZH4" s="657"/>
      <c r="ZI4" s="657"/>
      <c r="ZJ4" s="657"/>
      <c r="ZK4" s="657"/>
      <c r="ZL4" s="657"/>
      <c r="ZM4" s="657"/>
      <c r="ZN4" s="657"/>
      <c r="ZO4" s="657"/>
      <c r="ZP4" s="657"/>
      <c r="ZQ4" s="657"/>
      <c r="ZR4" s="657"/>
      <c r="ZS4" s="657"/>
      <c r="ZT4" s="657"/>
      <c r="ZU4" s="657"/>
      <c r="ZV4" s="657"/>
      <c r="ZW4" s="657"/>
      <c r="ZX4" s="657"/>
      <c r="ZY4" s="657"/>
      <c r="ZZ4" s="657"/>
      <c r="AAA4" s="657"/>
      <c r="AAB4" s="657"/>
      <c r="AAC4" s="657"/>
      <c r="AAD4" s="657"/>
      <c r="AAE4" s="657"/>
      <c r="AAF4" s="657"/>
      <c r="AAG4" s="657"/>
      <c r="AAH4" s="657"/>
      <c r="AAI4" s="657"/>
      <c r="AAJ4" s="657"/>
      <c r="AAK4" s="657"/>
      <c r="AAL4" s="657"/>
      <c r="AAM4" s="657"/>
      <c r="AAN4" s="657"/>
      <c r="AAO4" s="657"/>
      <c r="AAP4" s="657"/>
      <c r="AAQ4" s="657"/>
      <c r="AAR4" s="657"/>
      <c r="AAS4" s="657"/>
      <c r="AAT4" s="657"/>
      <c r="AAU4" s="657"/>
      <c r="AAV4" s="657"/>
      <c r="AAW4" s="657"/>
      <c r="AAX4" s="657"/>
      <c r="AAY4" s="657"/>
      <c r="AAZ4" s="657"/>
      <c r="ABA4" s="657"/>
      <c r="ABB4" s="657"/>
      <c r="ABC4" s="657"/>
      <c r="ABD4" s="657"/>
      <c r="ABE4" s="657"/>
      <c r="ABF4" s="657"/>
      <c r="ABG4" s="657"/>
      <c r="ABH4" s="657"/>
      <c r="ABI4" s="657"/>
      <c r="ABJ4" s="657"/>
      <c r="ABK4" s="657"/>
      <c r="ABL4" s="657"/>
      <c r="ABM4" s="657"/>
      <c r="ABN4" s="657"/>
      <c r="ABO4" s="657"/>
      <c r="ABP4" s="657"/>
      <c r="ABQ4" s="657"/>
      <c r="ABR4" s="657"/>
      <c r="ABS4" s="657"/>
      <c r="ABT4" s="657"/>
      <c r="ABU4" s="657"/>
      <c r="ABV4" s="657"/>
      <c r="ABW4" s="657"/>
      <c r="ABX4" s="657"/>
      <c r="ABY4" s="657"/>
      <c r="ABZ4" s="657"/>
      <c r="ACA4" s="657"/>
      <c r="ACB4" s="657"/>
      <c r="ACC4" s="657"/>
      <c r="ACD4" s="657"/>
      <c r="ACE4" s="657"/>
      <c r="ACF4" s="657"/>
      <c r="ACG4" s="657"/>
      <c r="ACH4" s="657"/>
      <c r="ACI4" s="657"/>
      <c r="ACJ4" s="657"/>
      <c r="ACK4" s="657"/>
      <c r="ACL4" s="657"/>
      <c r="ACM4" s="657"/>
      <c r="ACN4" s="657"/>
      <c r="ACO4" s="657"/>
      <c r="ACP4" s="657"/>
      <c r="ACQ4" s="657"/>
      <c r="ACR4" s="657"/>
      <c r="ACS4" s="657"/>
      <c r="ACT4" s="657"/>
      <c r="ACU4" s="657"/>
      <c r="ACV4" s="657"/>
      <c r="ACW4" s="657"/>
      <c r="ACX4" s="657"/>
      <c r="ACY4" s="657"/>
      <c r="ACZ4" s="657"/>
      <c r="ADA4" s="657"/>
      <c r="ADB4" s="657"/>
      <c r="ADC4" s="657"/>
      <c r="ADD4" s="657"/>
      <c r="ADE4" s="657"/>
      <c r="ADF4" s="657"/>
      <c r="ADG4" s="657"/>
      <c r="ADH4" s="657"/>
      <c r="ADI4" s="657"/>
      <c r="ADJ4" s="657"/>
      <c r="ADK4" s="657"/>
      <c r="ADL4" s="657"/>
      <c r="ADM4" s="657"/>
      <c r="ADN4" s="657"/>
      <c r="ADO4" s="657"/>
      <c r="ADP4" s="657"/>
      <c r="ADQ4" s="657"/>
      <c r="ADR4" s="657"/>
      <c r="ADS4" s="657"/>
      <c r="ADT4" s="657"/>
      <c r="ADU4" s="657"/>
      <c r="ADV4" s="657"/>
      <c r="ADW4" s="657"/>
      <c r="ADX4" s="657"/>
      <c r="ADY4" s="657"/>
      <c r="ADZ4" s="657"/>
      <c r="AEA4" s="657"/>
      <c r="AEB4" s="657"/>
      <c r="AEC4" s="657"/>
      <c r="AED4" s="657"/>
      <c r="AEE4" s="657"/>
      <c r="AEF4" s="657"/>
      <c r="AEG4" s="657"/>
      <c r="AEH4" s="657"/>
      <c r="AEI4" s="657"/>
      <c r="AEJ4" s="657"/>
      <c r="AEK4" s="657"/>
      <c r="AEL4" s="657"/>
      <c r="AEM4" s="657"/>
      <c r="AEN4" s="657"/>
      <c r="AEO4" s="657"/>
      <c r="AEP4" s="657"/>
      <c r="AEQ4" s="657"/>
      <c r="AER4" s="657"/>
      <c r="AES4" s="657"/>
      <c r="AET4" s="657"/>
      <c r="AEU4" s="657"/>
      <c r="AEV4" s="657"/>
      <c r="AEW4" s="657"/>
      <c r="AEX4" s="657"/>
      <c r="AEY4" s="657"/>
      <c r="AEZ4" s="657"/>
      <c r="AFA4" s="657"/>
      <c r="AFB4" s="657"/>
      <c r="AFC4" s="657"/>
      <c r="AFD4" s="657"/>
      <c r="AFE4" s="657"/>
      <c r="AFF4" s="657"/>
      <c r="AFG4" s="657"/>
      <c r="AFH4" s="657"/>
      <c r="AFI4" s="657"/>
      <c r="AFJ4" s="657"/>
      <c r="AFK4" s="657"/>
      <c r="AFL4" s="657"/>
      <c r="AFM4" s="657"/>
      <c r="AFN4" s="657"/>
      <c r="AFO4" s="657"/>
      <c r="AFP4" s="657"/>
      <c r="AFQ4" s="657"/>
      <c r="AFR4" s="657"/>
      <c r="AFS4" s="657"/>
      <c r="AFT4" s="657"/>
      <c r="AFU4" s="657"/>
      <c r="AFV4" s="657"/>
      <c r="AFW4" s="657"/>
      <c r="AFX4" s="657"/>
      <c r="AFY4" s="657"/>
      <c r="AFZ4" s="657"/>
      <c r="AGA4" s="657"/>
      <c r="AGB4" s="657"/>
      <c r="AGC4" s="657"/>
      <c r="AGD4" s="657"/>
      <c r="AGE4" s="657"/>
      <c r="AGF4" s="657"/>
      <c r="AGG4" s="657"/>
      <c r="AGH4" s="657"/>
      <c r="AGI4" s="657"/>
      <c r="AGJ4" s="657"/>
      <c r="AGK4" s="657"/>
      <c r="AGL4" s="657"/>
      <c r="AGM4" s="657"/>
      <c r="AGN4" s="657"/>
      <c r="AGO4" s="657"/>
      <c r="AGP4" s="657"/>
      <c r="AGQ4" s="657"/>
      <c r="AGR4" s="657"/>
      <c r="AGS4" s="657"/>
      <c r="AGT4" s="657"/>
      <c r="AGU4" s="657"/>
      <c r="AGV4" s="657"/>
      <c r="AGW4" s="657"/>
      <c r="AGX4" s="657"/>
      <c r="AGY4" s="657"/>
      <c r="AGZ4" s="657"/>
      <c r="AHA4" s="657"/>
      <c r="AHB4" s="657"/>
      <c r="AHC4" s="657"/>
      <c r="AHD4" s="657"/>
      <c r="AHE4" s="657"/>
      <c r="AHF4" s="657"/>
      <c r="AHG4" s="657"/>
      <c r="AHH4" s="657"/>
      <c r="AHI4" s="657"/>
      <c r="AHJ4" s="657"/>
      <c r="AHK4" s="657"/>
      <c r="AHL4" s="657"/>
      <c r="AHM4" s="657"/>
      <c r="AHN4" s="657"/>
      <c r="AHO4" s="657"/>
      <c r="AHP4" s="657"/>
      <c r="AHQ4" s="657"/>
      <c r="AHR4" s="657"/>
      <c r="AHS4" s="657"/>
      <c r="AHT4" s="657"/>
      <c r="AHU4" s="657"/>
      <c r="AHV4" s="657"/>
      <c r="AHW4" s="657"/>
      <c r="AHX4" s="657"/>
      <c r="AHY4" s="657"/>
      <c r="AHZ4" s="657"/>
      <c r="AIA4" s="657"/>
      <c r="AIB4" s="657"/>
      <c r="AIC4" s="657"/>
      <c r="AID4" s="657"/>
      <c r="AIE4" s="657"/>
      <c r="AIF4" s="657"/>
      <c r="AIG4" s="657"/>
      <c r="AIH4" s="657"/>
      <c r="AII4" s="657"/>
      <c r="AIJ4" s="657"/>
      <c r="AIK4" s="657"/>
      <c r="AIL4" s="657"/>
      <c r="AIM4" s="657"/>
      <c r="AIN4" s="657"/>
      <c r="AIO4" s="657"/>
      <c r="AIP4" s="657"/>
      <c r="AIQ4" s="657"/>
      <c r="AIR4" s="657"/>
      <c r="AIS4" s="657"/>
      <c r="AIT4" s="657"/>
      <c r="AIU4" s="657"/>
      <c r="AIV4" s="657"/>
      <c r="AIW4" s="657"/>
      <c r="AIX4" s="657"/>
      <c r="AIY4" s="657"/>
      <c r="AIZ4" s="657"/>
      <c r="AJA4" s="657"/>
      <c r="AJB4" s="657"/>
      <c r="AJC4" s="657"/>
      <c r="AJD4" s="657"/>
      <c r="AJE4" s="657"/>
      <c r="AJF4" s="657"/>
      <c r="AJG4" s="657"/>
      <c r="AJH4" s="657"/>
      <c r="AJI4" s="657"/>
      <c r="AJJ4" s="657"/>
      <c r="AJK4" s="657"/>
      <c r="AJL4" s="657"/>
      <c r="AJM4" s="657"/>
      <c r="AJN4" s="657"/>
      <c r="AJO4" s="657"/>
      <c r="AJP4" s="657"/>
      <c r="AJQ4" s="657"/>
      <c r="AJR4" s="657"/>
      <c r="AJS4" s="657"/>
      <c r="AJT4" s="657"/>
      <c r="AJU4" s="657"/>
      <c r="AJV4" s="657"/>
      <c r="AJW4" s="657"/>
      <c r="AJX4" s="657"/>
      <c r="AJY4" s="657"/>
      <c r="AJZ4" s="657"/>
      <c r="AKA4" s="657"/>
      <c r="AKB4" s="657"/>
      <c r="AKC4" s="657"/>
      <c r="AKD4" s="657"/>
      <c r="AKE4" s="657"/>
      <c r="AKF4" s="657"/>
      <c r="AKG4" s="657"/>
      <c r="AKH4" s="657"/>
      <c r="AKI4" s="657"/>
      <c r="AKJ4" s="657"/>
      <c r="AKK4" s="657"/>
      <c r="AKL4" s="657"/>
      <c r="AKM4" s="657"/>
      <c r="AKN4" s="657"/>
      <c r="AKO4" s="657"/>
      <c r="AKP4" s="657"/>
      <c r="AKQ4" s="657"/>
      <c r="AKR4" s="657"/>
      <c r="AKS4" s="657"/>
      <c r="AKT4" s="657"/>
      <c r="AKU4" s="657"/>
      <c r="AKV4" s="657"/>
      <c r="AKW4" s="657"/>
      <c r="AKX4" s="657"/>
      <c r="AKY4" s="657"/>
      <c r="AKZ4" s="657"/>
      <c r="ALA4" s="657"/>
      <c r="ALB4" s="657"/>
      <c r="ALC4" s="657"/>
      <c r="ALD4" s="657"/>
      <c r="ALE4" s="657"/>
      <c r="ALF4" s="657"/>
      <c r="ALG4" s="657"/>
      <c r="ALH4" s="657"/>
      <c r="ALI4" s="657"/>
      <c r="ALJ4" s="657"/>
      <c r="ALK4" s="657"/>
      <c r="ALL4" s="657"/>
      <c r="ALM4" s="657"/>
      <c r="ALN4" s="657"/>
      <c r="ALO4" s="657"/>
      <c r="ALP4" s="657"/>
      <c r="ALQ4" s="657"/>
      <c r="ALR4" s="657"/>
      <c r="ALS4" s="657"/>
      <c r="ALT4" s="657"/>
      <c r="ALU4" s="657"/>
      <c r="ALV4" s="657"/>
      <c r="ALW4" s="657"/>
      <c r="ALX4" s="657"/>
      <c r="ALY4" s="657"/>
      <c r="ALZ4" s="657"/>
      <c r="AMA4" s="657"/>
      <c r="AMB4" s="657"/>
      <c r="AMC4" s="657"/>
      <c r="AMD4" s="657"/>
      <c r="AME4" s="657"/>
      <c r="AMF4" s="657"/>
      <c r="AMG4" s="657"/>
      <c r="AMH4" s="657"/>
      <c r="AMI4" s="657"/>
      <c r="AMJ4" s="657"/>
      <c r="AMK4" s="657"/>
      <c r="AML4" s="657"/>
      <c r="AMM4" s="657"/>
      <c r="AMN4" s="657"/>
      <c r="AMO4" s="657"/>
      <c r="AMP4" s="657"/>
      <c r="AMQ4" s="657"/>
      <c r="AMR4" s="657"/>
      <c r="AMS4" s="657"/>
      <c r="AMT4" s="657"/>
      <c r="AMU4" s="657"/>
      <c r="AMV4" s="657"/>
      <c r="AMW4" s="657"/>
      <c r="AMX4" s="657"/>
      <c r="AMY4" s="657"/>
      <c r="AMZ4" s="657"/>
      <c r="ANA4" s="657"/>
      <c r="ANB4" s="657"/>
      <c r="ANC4" s="657"/>
      <c r="AND4" s="657"/>
      <c r="ANE4" s="657"/>
      <c r="ANF4" s="657"/>
      <c r="ANG4" s="657"/>
      <c r="ANH4" s="657"/>
      <c r="ANI4" s="657"/>
      <c r="ANJ4" s="657"/>
      <c r="ANK4" s="657"/>
      <c r="ANL4" s="657"/>
      <c r="ANM4" s="657"/>
      <c r="ANN4" s="657"/>
      <c r="ANO4" s="657"/>
      <c r="ANP4" s="657"/>
      <c r="ANQ4" s="657"/>
      <c r="ANR4" s="657"/>
      <c r="ANS4" s="657"/>
      <c r="ANT4" s="657"/>
      <c r="ANU4" s="657"/>
      <c r="ANV4" s="657"/>
      <c r="ANW4" s="657"/>
      <c r="ANX4" s="657"/>
      <c r="ANY4" s="657"/>
      <c r="ANZ4" s="657"/>
      <c r="AOA4" s="657"/>
      <c r="AOB4" s="657"/>
      <c r="AOC4" s="657"/>
      <c r="AOD4" s="657"/>
      <c r="AOE4" s="657"/>
      <c r="AOF4" s="657"/>
      <c r="AOG4" s="657"/>
      <c r="AOH4" s="657"/>
      <c r="AOI4" s="657"/>
      <c r="AOJ4" s="657"/>
      <c r="AOK4" s="657"/>
      <c r="AOL4" s="657"/>
      <c r="AOM4" s="657"/>
      <c r="AON4" s="657"/>
      <c r="AOO4" s="657"/>
      <c r="AOP4" s="657"/>
      <c r="AOQ4" s="657"/>
      <c r="AOR4" s="657"/>
      <c r="AOS4" s="657"/>
      <c r="AOT4" s="657"/>
      <c r="AOU4" s="657"/>
      <c r="AOV4" s="657"/>
      <c r="AOW4" s="657"/>
      <c r="AOX4" s="657"/>
      <c r="AOY4" s="657"/>
      <c r="AOZ4" s="657"/>
      <c r="APA4" s="657"/>
      <c r="APB4" s="657"/>
      <c r="APC4" s="657"/>
      <c r="APD4" s="657"/>
      <c r="APE4" s="657"/>
      <c r="APF4" s="657"/>
      <c r="APG4" s="657"/>
      <c r="APH4" s="657"/>
      <c r="API4" s="657"/>
      <c r="APJ4" s="657"/>
      <c r="APK4" s="657"/>
      <c r="APL4" s="657"/>
      <c r="APM4" s="657"/>
      <c r="APN4" s="657"/>
      <c r="APO4" s="657"/>
      <c r="APP4" s="657"/>
      <c r="APQ4" s="657"/>
      <c r="APR4" s="657"/>
      <c r="APS4" s="657"/>
      <c r="APT4" s="657"/>
      <c r="APU4" s="657"/>
      <c r="APV4" s="657"/>
      <c r="APW4" s="657"/>
      <c r="APX4" s="657"/>
      <c r="APY4" s="657"/>
      <c r="APZ4" s="657"/>
      <c r="AQA4" s="657"/>
      <c r="AQB4" s="657"/>
      <c r="AQC4" s="657"/>
      <c r="AQD4" s="657"/>
      <c r="AQE4" s="657"/>
      <c r="AQF4" s="657"/>
      <c r="AQG4" s="657"/>
      <c r="AQH4" s="657"/>
      <c r="AQI4" s="657"/>
      <c r="AQJ4" s="657"/>
      <c r="AQK4" s="657"/>
      <c r="AQL4" s="657"/>
      <c r="AQM4" s="657"/>
      <c r="AQN4" s="657"/>
      <c r="AQO4" s="657"/>
      <c r="AQP4" s="657"/>
      <c r="AQQ4" s="657"/>
      <c r="AQR4" s="657"/>
      <c r="AQS4" s="657"/>
      <c r="AQT4" s="657"/>
      <c r="AQU4" s="657"/>
      <c r="AQV4" s="657"/>
      <c r="AQW4" s="657"/>
      <c r="AQX4" s="657"/>
      <c r="AQY4" s="657"/>
      <c r="AQZ4" s="657"/>
      <c r="ARA4" s="657"/>
      <c r="ARB4" s="657"/>
      <c r="ARC4" s="657"/>
      <c r="ARD4" s="657"/>
      <c r="ARE4" s="657"/>
      <c r="ARF4" s="657"/>
      <c r="ARG4" s="657"/>
      <c r="ARH4" s="657"/>
      <c r="ARI4" s="657"/>
      <c r="ARJ4" s="657"/>
      <c r="ARK4" s="657"/>
      <c r="ARL4" s="657"/>
      <c r="ARM4" s="657"/>
      <c r="ARN4" s="657"/>
      <c r="ARO4" s="657"/>
      <c r="ARP4" s="657"/>
      <c r="ARQ4" s="657"/>
      <c r="ARR4" s="657"/>
      <c r="ARS4" s="657"/>
      <c r="ART4" s="657"/>
      <c r="ARU4" s="657"/>
      <c r="ARV4" s="657"/>
      <c r="ARW4" s="657"/>
      <c r="ARX4" s="657"/>
      <c r="ARY4" s="657"/>
      <c r="ARZ4" s="657"/>
      <c r="ASA4" s="657"/>
      <c r="ASB4" s="657"/>
      <c r="ASC4" s="657"/>
      <c r="ASD4" s="657"/>
      <c r="ASE4" s="657"/>
      <c r="ASF4" s="657"/>
      <c r="ASG4" s="657"/>
      <c r="ASH4" s="657"/>
      <c r="ASI4" s="657"/>
      <c r="ASJ4" s="657"/>
      <c r="ASK4" s="657"/>
      <c r="ASL4" s="657"/>
      <c r="ASM4" s="657"/>
      <c r="ASN4" s="657"/>
      <c r="ASO4" s="657"/>
      <c r="ASP4" s="657"/>
      <c r="ASQ4" s="657"/>
      <c r="ASR4" s="657"/>
      <c r="ASS4" s="657"/>
      <c r="AST4" s="657"/>
      <c r="ASU4" s="657"/>
      <c r="ASV4" s="657"/>
      <c r="ASW4" s="657"/>
      <c r="ASX4" s="657"/>
      <c r="ASY4" s="657"/>
      <c r="ASZ4" s="657"/>
      <c r="ATA4" s="657"/>
      <c r="ATB4" s="657"/>
      <c r="ATC4" s="657"/>
      <c r="ATD4" s="657"/>
      <c r="ATE4" s="657"/>
      <c r="ATF4" s="657"/>
      <c r="ATG4" s="657"/>
      <c r="ATH4" s="657"/>
      <c r="ATI4" s="657"/>
      <c r="ATJ4" s="657"/>
      <c r="ATK4" s="657"/>
      <c r="ATL4" s="657"/>
      <c r="ATM4" s="657"/>
      <c r="ATN4" s="657"/>
      <c r="ATO4" s="657"/>
      <c r="ATP4" s="657"/>
      <c r="ATQ4" s="657"/>
      <c r="ATR4" s="657"/>
      <c r="ATS4" s="657"/>
      <c r="ATT4" s="657"/>
      <c r="ATU4" s="657"/>
      <c r="ATV4" s="657"/>
      <c r="ATW4" s="657"/>
      <c r="ATX4" s="657"/>
      <c r="ATY4" s="657"/>
      <c r="ATZ4" s="657"/>
      <c r="AUA4" s="657"/>
      <c r="AUB4" s="657"/>
      <c r="AUC4" s="657"/>
      <c r="AUD4" s="657"/>
      <c r="AUE4" s="657"/>
      <c r="AUF4" s="657"/>
      <c r="AUG4" s="657"/>
      <c r="AUH4" s="657"/>
      <c r="AUI4" s="657"/>
      <c r="AUJ4" s="657"/>
      <c r="AUK4" s="657"/>
      <c r="AUL4" s="657"/>
      <c r="AUM4" s="657"/>
      <c r="AUN4" s="657"/>
      <c r="AUO4" s="657"/>
      <c r="AUP4" s="657"/>
      <c r="AUQ4" s="657"/>
      <c r="AUR4" s="657"/>
      <c r="AUS4" s="657"/>
      <c r="AUT4" s="657"/>
      <c r="AUU4" s="657"/>
      <c r="AUV4" s="657"/>
      <c r="AUW4" s="657"/>
      <c r="AUX4" s="657"/>
      <c r="AUY4" s="657"/>
      <c r="AUZ4" s="657"/>
      <c r="AVA4" s="657"/>
      <c r="AVB4" s="657"/>
      <c r="AVC4" s="657"/>
      <c r="AVD4" s="657"/>
      <c r="AVE4" s="657"/>
      <c r="AVF4" s="657"/>
      <c r="AVG4" s="657"/>
      <c r="AVH4" s="657"/>
      <c r="AVI4" s="657"/>
      <c r="AVJ4" s="657"/>
      <c r="AVK4" s="657"/>
      <c r="AVL4" s="657"/>
      <c r="AVM4" s="657"/>
      <c r="AVN4" s="657"/>
      <c r="AVO4" s="657"/>
      <c r="AVP4" s="657"/>
      <c r="AVQ4" s="657"/>
      <c r="AVR4" s="657"/>
      <c r="AVS4" s="657"/>
      <c r="AVT4" s="657"/>
      <c r="AVU4" s="657"/>
      <c r="AVV4" s="657"/>
      <c r="AVW4" s="657"/>
      <c r="AVX4" s="657"/>
      <c r="AVY4" s="657"/>
      <c r="AVZ4" s="657"/>
      <c r="AWA4" s="657"/>
      <c r="AWB4" s="657"/>
      <c r="AWC4" s="657"/>
      <c r="AWD4" s="657"/>
      <c r="AWE4" s="657"/>
      <c r="AWF4" s="657"/>
      <c r="AWG4" s="657"/>
      <c r="AWH4" s="657"/>
      <c r="AWI4" s="657"/>
      <c r="AWJ4" s="657"/>
      <c r="AWK4" s="657"/>
      <c r="AWL4" s="657"/>
      <c r="AWM4" s="657"/>
      <c r="AWN4" s="657"/>
      <c r="AWO4" s="657"/>
      <c r="AWP4" s="657"/>
      <c r="AWQ4" s="657"/>
      <c r="AWR4" s="657"/>
      <c r="AWS4" s="657"/>
      <c r="AWT4" s="657"/>
      <c r="AWU4" s="657"/>
      <c r="AWV4" s="657"/>
      <c r="AWW4" s="657"/>
      <c r="AWX4" s="657"/>
      <c r="AWY4" s="657"/>
      <c r="AWZ4" s="657"/>
      <c r="AXA4" s="657"/>
      <c r="AXB4" s="657"/>
      <c r="AXC4" s="657"/>
      <c r="AXD4" s="657"/>
      <c r="AXE4" s="657"/>
      <c r="AXF4" s="657"/>
      <c r="AXG4" s="657"/>
      <c r="AXH4" s="657"/>
      <c r="AXI4" s="657"/>
      <c r="AXJ4" s="657"/>
      <c r="AXK4" s="657"/>
      <c r="AXL4" s="657"/>
      <c r="AXM4" s="657"/>
      <c r="AXN4" s="657"/>
      <c r="AXO4" s="657"/>
      <c r="AXP4" s="657"/>
      <c r="AXQ4" s="657"/>
      <c r="AXR4" s="657"/>
      <c r="AXS4" s="657"/>
      <c r="AXT4" s="657"/>
      <c r="AXU4" s="657"/>
      <c r="AXV4" s="657"/>
      <c r="AXW4" s="657"/>
      <c r="AXX4" s="657"/>
      <c r="AXY4" s="657"/>
      <c r="AXZ4" s="657"/>
      <c r="AYA4" s="657"/>
      <c r="AYB4" s="657"/>
      <c r="AYC4" s="657"/>
      <c r="AYD4" s="657"/>
      <c r="AYE4" s="657"/>
      <c r="AYF4" s="657"/>
      <c r="AYG4" s="657"/>
      <c r="AYH4" s="657"/>
      <c r="AYI4" s="657"/>
      <c r="AYJ4" s="657"/>
      <c r="AYK4" s="657"/>
      <c r="AYL4" s="657"/>
      <c r="AYM4" s="657"/>
      <c r="AYN4" s="657"/>
      <c r="AYO4" s="657"/>
      <c r="AYP4" s="657"/>
      <c r="AYQ4" s="657"/>
      <c r="AYR4" s="657"/>
      <c r="AYS4" s="657"/>
      <c r="AYT4" s="657"/>
      <c r="AYU4" s="657"/>
      <c r="AYV4" s="657"/>
      <c r="AYW4" s="657"/>
      <c r="AYX4" s="657"/>
      <c r="AYY4" s="657"/>
      <c r="AYZ4" s="657"/>
      <c r="AZA4" s="657"/>
      <c r="AZB4" s="657"/>
      <c r="AZC4" s="657"/>
      <c r="AZD4" s="657"/>
      <c r="AZE4" s="657"/>
      <c r="AZF4" s="657"/>
      <c r="AZG4" s="657"/>
      <c r="AZH4" s="657"/>
      <c r="AZI4" s="657"/>
      <c r="AZJ4" s="657"/>
      <c r="AZK4" s="657"/>
      <c r="AZL4" s="657"/>
      <c r="AZM4" s="657"/>
      <c r="AZN4" s="657"/>
      <c r="AZO4" s="657"/>
      <c r="AZP4" s="657"/>
      <c r="AZQ4" s="657"/>
      <c r="AZR4" s="657"/>
      <c r="AZS4" s="657"/>
      <c r="AZT4" s="657"/>
      <c r="AZU4" s="657"/>
      <c r="AZV4" s="657"/>
      <c r="AZW4" s="657"/>
      <c r="AZX4" s="657"/>
      <c r="AZY4" s="657"/>
      <c r="AZZ4" s="657"/>
      <c r="BAA4" s="657"/>
      <c r="BAB4" s="657"/>
      <c r="BAC4" s="657"/>
      <c r="BAD4" s="657"/>
      <c r="BAE4" s="657"/>
      <c r="BAF4" s="657"/>
      <c r="BAG4" s="657"/>
      <c r="BAH4" s="657"/>
      <c r="BAI4" s="657"/>
      <c r="BAJ4" s="657"/>
      <c r="BAK4" s="657"/>
      <c r="BAL4" s="657"/>
      <c r="BAM4" s="657"/>
      <c r="BAN4" s="657"/>
      <c r="BAO4" s="657"/>
      <c r="BAP4" s="657"/>
      <c r="BAQ4" s="657"/>
      <c r="BAR4" s="657"/>
      <c r="BAS4" s="657"/>
      <c r="BAT4" s="657"/>
      <c r="BAU4" s="657"/>
      <c r="BAV4" s="657"/>
      <c r="BAW4" s="657"/>
      <c r="BAX4" s="657"/>
      <c r="BAY4" s="657"/>
      <c r="BAZ4" s="657"/>
      <c r="BBA4" s="657"/>
      <c r="BBB4" s="657"/>
      <c r="BBC4" s="657"/>
      <c r="BBD4" s="657"/>
      <c r="BBE4" s="657"/>
      <c r="BBF4" s="657"/>
      <c r="BBG4" s="657"/>
      <c r="BBH4" s="657"/>
      <c r="BBI4" s="657"/>
      <c r="BBJ4" s="657"/>
      <c r="BBK4" s="657"/>
      <c r="BBL4" s="657"/>
      <c r="BBM4" s="657"/>
      <c r="BBN4" s="657"/>
      <c r="BBO4" s="657"/>
      <c r="BBP4" s="657"/>
      <c r="BBQ4" s="657"/>
      <c r="BBR4" s="657"/>
      <c r="BBS4" s="657"/>
      <c r="BBT4" s="657"/>
      <c r="BBU4" s="657"/>
      <c r="BBV4" s="657"/>
      <c r="BBW4" s="657"/>
      <c r="BBX4" s="657"/>
      <c r="BBY4" s="657"/>
      <c r="BBZ4" s="657"/>
      <c r="BCA4" s="657"/>
      <c r="BCB4" s="657"/>
      <c r="BCC4" s="657"/>
      <c r="BCD4" s="657"/>
      <c r="BCE4" s="657"/>
      <c r="BCF4" s="657"/>
      <c r="BCG4" s="657"/>
      <c r="BCH4" s="657"/>
      <c r="BCI4" s="657"/>
      <c r="BCJ4" s="657"/>
      <c r="BCK4" s="657"/>
      <c r="BCL4" s="657"/>
      <c r="BCM4" s="657"/>
      <c r="BCN4" s="657"/>
      <c r="BCO4" s="657"/>
      <c r="BCP4" s="657"/>
      <c r="BCQ4" s="657"/>
      <c r="BCR4" s="657"/>
      <c r="BCS4" s="657"/>
      <c r="BCT4" s="657"/>
      <c r="BCU4" s="657"/>
      <c r="BCV4" s="657"/>
      <c r="BCW4" s="657"/>
      <c r="BCX4" s="657"/>
      <c r="BCY4" s="657"/>
      <c r="BCZ4" s="657"/>
      <c r="BDA4" s="657"/>
      <c r="BDB4" s="657"/>
      <c r="BDC4" s="657"/>
      <c r="BDD4" s="657"/>
      <c r="BDE4" s="657"/>
      <c r="BDF4" s="657"/>
      <c r="BDG4" s="657"/>
      <c r="BDH4" s="657"/>
      <c r="BDI4" s="657"/>
      <c r="BDJ4" s="657"/>
      <c r="BDK4" s="657"/>
      <c r="BDL4" s="657"/>
      <c r="BDM4" s="657"/>
      <c r="BDN4" s="657"/>
      <c r="BDO4" s="657"/>
      <c r="BDP4" s="657"/>
      <c r="BDQ4" s="657"/>
      <c r="BDR4" s="657"/>
      <c r="BDS4" s="657"/>
      <c r="BDT4" s="657"/>
      <c r="BDU4" s="657"/>
      <c r="BDV4" s="657"/>
      <c r="BDW4" s="657"/>
      <c r="BDX4" s="657"/>
      <c r="BDY4" s="657"/>
      <c r="BDZ4" s="657"/>
      <c r="BEA4" s="657"/>
      <c r="BEB4" s="657"/>
      <c r="BEC4" s="657"/>
      <c r="BED4" s="657"/>
      <c r="BEE4" s="657"/>
      <c r="BEF4" s="657"/>
      <c r="BEG4" s="657"/>
      <c r="BEH4" s="657"/>
      <c r="BEI4" s="657"/>
      <c r="BEJ4" s="657"/>
      <c r="BEK4" s="657"/>
      <c r="BEL4" s="657"/>
      <c r="BEM4" s="657"/>
      <c r="BEN4" s="657"/>
      <c r="BEO4" s="657"/>
      <c r="BEP4" s="657"/>
      <c r="BEQ4" s="657"/>
      <c r="BER4" s="657"/>
      <c r="BES4" s="657"/>
      <c r="BET4" s="657"/>
      <c r="BEU4" s="657"/>
      <c r="BEV4" s="657"/>
      <c r="BEW4" s="657"/>
      <c r="BEX4" s="657"/>
      <c r="BEY4" s="657"/>
      <c r="BEZ4" s="657"/>
      <c r="BFA4" s="657"/>
      <c r="BFB4" s="657"/>
      <c r="BFC4" s="657"/>
      <c r="BFD4" s="657"/>
      <c r="BFE4" s="657"/>
      <c r="BFF4" s="657"/>
      <c r="BFG4" s="657"/>
      <c r="BFH4" s="657"/>
      <c r="BFI4" s="657"/>
      <c r="BFJ4" s="657"/>
      <c r="BFK4" s="657"/>
      <c r="BFL4" s="657"/>
      <c r="BFM4" s="657"/>
      <c r="BFN4" s="657"/>
      <c r="BFO4" s="657"/>
      <c r="BFP4" s="657"/>
      <c r="BFQ4" s="657"/>
      <c r="BFR4" s="657"/>
      <c r="BFS4" s="657"/>
      <c r="BFT4" s="657"/>
      <c r="BFU4" s="657"/>
      <c r="BFV4" s="657"/>
      <c r="BFW4" s="657"/>
      <c r="BFX4" s="657"/>
      <c r="BFY4" s="657"/>
      <c r="BFZ4" s="657"/>
      <c r="BGA4" s="657"/>
      <c r="BGB4" s="657"/>
      <c r="BGC4" s="657"/>
      <c r="BGD4" s="657"/>
      <c r="BGE4" s="657"/>
      <c r="BGF4" s="657"/>
      <c r="BGG4" s="657"/>
      <c r="BGH4" s="657"/>
      <c r="BGI4" s="657"/>
      <c r="BGJ4" s="657"/>
      <c r="BGK4" s="657"/>
      <c r="BGL4" s="657"/>
      <c r="BGM4" s="657"/>
      <c r="BGN4" s="657"/>
      <c r="BGO4" s="657"/>
      <c r="BGP4" s="657"/>
      <c r="BGQ4" s="657"/>
      <c r="BGR4" s="657"/>
      <c r="BGS4" s="657"/>
      <c r="BGT4" s="657"/>
      <c r="BGU4" s="657"/>
      <c r="BGV4" s="657"/>
      <c r="BGW4" s="657"/>
      <c r="BGX4" s="657"/>
      <c r="BGY4" s="657"/>
      <c r="BGZ4" s="657"/>
      <c r="BHA4" s="657"/>
      <c r="BHB4" s="657"/>
      <c r="BHC4" s="657"/>
      <c r="BHD4" s="657"/>
      <c r="BHE4" s="657"/>
      <c r="BHF4" s="657"/>
      <c r="BHG4" s="657"/>
      <c r="BHH4" s="657"/>
      <c r="BHI4" s="657"/>
      <c r="BHJ4" s="657"/>
      <c r="BHK4" s="657"/>
      <c r="BHL4" s="657"/>
      <c r="BHM4" s="657"/>
      <c r="BHN4" s="657"/>
      <c r="BHO4" s="657"/>
      <c r="BHP4" s="657"/>
      <c r="BHQ4" s="657"/>
      <c r="BHR4" s="657"/>
      <c r="BHS4" s="657"/>
      <c r="BHT4" s="657"/>
      <c r="BHU4" s="657"/>
      <c r="BHV4" s="657"/>
      <c r="BHW4" s="657"/>
      <c r="BHX4" s="657"/>
      <c r="BHY4" s="657"/>
      <c r="BHZ4" s="657"/>
      <c r="BIA4" s="657"/>
      <c r="BIB4" s="657"/>
      <c r="BIC4" s="657"/>
      <c r="BID4" s="657"/>
      <c r="BIE4" s="657"/>
      <c r="BIF4" s="657"/>
      <c r="BIG4" s="657"/>
      <c r="BIH4" s="657"/>
      <c r="BII4" s="657"/>
      <c r="BIJ4" s="657"/>
      <c r="BIK4" s="657"/>
      <c r="BIL4" s="657"/>
      <c r="BIM4" s="657"/>
      <c r="BIN4" s="657"/>
      <c r="BIO4" s="657"/>
      <c r="BIP4" s="657"/>
      <c r="BIQ4" s="657"/>
      <c r="BIR4" s="657"/>
      <c r="BIS4" s="657"/>
      <c r="BIT4" s="657"/>
      <c r="BIU4" s="657"/>
      <c r="BIV4" s="657"/>
      <c r="BIW4" s="657"/>
      <c r="BIX4" s="657"/>
      <c r="BIY4" s="657"/>
      <c r="BIZ4" s="657"/>
      <c r="BJA4" s="657"/>
      <c r="BJB4" s="657"/>
      <c r="BJC4" s="657"/>
      <c r="BJD4" s="657"/>
      <c r="BJE4" s="657"/>
      <c r="BJF4" s="657"/>
      <c r="BJG4" s="657"/>
      <c r="BJH4" s="657"/>
      <c r="BJI4" s="657"/>
      <c r="BJJ4" s="657"/>
      <c r="BJK4" s="657"/>
      <c r="BJL4" s="657"/>
      <c r="BJM4" s="657"/>
      <c r="BJN4" s="657"/>
      <c r="BJO4" s="657"/>
      <c r="BJP4" s="657"/>
      <c r="BJQ4" s="657"/>
      <c r="BJR4" s="657"/>
      <c r="BJS4" s="657"/>
      <c r="BJT4" s="657"/>
      <c r="BJU4" s="657"/>
      <c r="BJV4" s="657"/>
      <c r="BJW4" s="657"/>
      <c r="BJX4" s="657"/>
      <c r="BJY4" s="657"/>
      <c r="BJZ4" s="657"/>
      <c r="BKA4" s="657"/>
      <c r="BKB4" s="657"/>
      <c r="BKC4" s="657"/>
      <c r="BKD4" s="657"/>
      <c r="BKE4" s="657"/>
      <c r="BKF4" s="657"/>
      <c r="BKG4" s="657"/>
      <c r="BKH4" s="657"/>
      <c r="BKI4" s="657"/>
      <c r="BKJ4" s="657"/>
      <c r="BKK4" s="657"/>
      <c r="BKL4" s="657"/>
      <c r="BKM4" s="657"/>
      <c r="BKN4" s="657"/>
      <c r="BKO4" s="657"/>
      <c r="BKP4" s="657"/>
      <c r="BKQ4" s="657"/>
      <c r="BKR4" s="657"/>
      <c r="BKS4" s="657"/>
      <c r="BKT4" s="657"/>
      <c r="BKU4" s="657"/>
      <c r="BKV4" s="657"/>
      <c r="BKW4" s="657"/>
      <c r="BKX4" s="657"/>
      <c r="BKY4" s="657"/>
      <c r="BKZ4" s="657"/>
      <c r="BLA4" s="657"/>
      <c r="BLB4" s="657"/>
      <c r="BLC4" s="657"/>
      <c r="BLD4" s="657"/>
      <c r="BLE4" s="657"/>
      <c r="BLF4" s="657"/>
      <c r="BLG4" s="657"/>
      <c r="BLH4" s="657"/>
      <c r="BLI4" s="657"/>
      <c r="BLJ4" s="657"/>
      <c r="BLK4" s="657"/>
      <c r="BLL4" s="657"/>
      <c r="BLM4" s="657"/>
      <c r="BLN4" s="657"/>
      <c r="BLO4" s="657"/>
      <c r="BLP4" s="657"/>
      <c r="BLQ4" s="657"/>
      <c r="BLR4" s="657"/>
      <c r="BLS4" s="657"/>
      <c r="BLT4" s="657"/>
      <c r="BLU4" s="657"/>
      <c r="BLV4" s="657"/>
      <c r="BLW4" s="657"/>
      <c r="BLX4" s="657"/>
      <c r="BLY4" s="657"/>
      <c r="BLZ4" s="657"/>
      <c r="BMA4" s="657"/>
      <c r="BMB4" s="657"/>
      <c r="BMC4" s="657"/>
      <c r="BMD4" s="657"/>
      <c r="BME4" s="657"/>
      <c r="BMF4" s="657"/>
      <c r="BMG4" s="657"/>
      <c r="BMH4" s="657"/>
      <c r="BMI4" s="657"/>
      <c r="BMJ4" s="657"/>
      <c r="BMK4" s="657"/>
      <c r="BML4" s="657"/>
      <c r="BMM4" s="657"/>
      <c r="BMN4" s="657"/>
      <c r="BMO4" s="657"/>
      <c r="BMP4" s="657"/>
      <c r="BMQ4" s="657"/>
      <c r="BMR4" s="657"/>
      <c r="BMS4" s="657"/>
      <c r="BMT4" s="657"/>
      <c r="BMU4" s="657"/>
      <c r="BMV4" s="657"/>
      <c r="BMW4" s="657"/>
      <c r="BMX4" s="657"/>
      <c r="BMY4" s="657"/>
      <c r="BMZ4" s="657"/>
      <c r="BNA4" s="657"/>
      <c r="BNB4" s="657"/>
      <c r="BNC4" s="657"/>
      <c r="BND4" s="657"/>
      <c r="BNE4" s="657"/>
      <c r="BNF4" s="657"/>
      <c r="BNG4" s="657"/>
      <c r="BNH4" s="657"/>
      <c r="BNI4" s="657"/>
      <c r="BNJ4" s="657"/>
      <c r="BNK4" s="657"/>
      <c r="BNL4" s="657"/>
      <c r="BNM4" s="657"/>
      <c r="BNN4" s="657"/>
      <c r="BNO4" s="657"/>
      <c r="BNP4" s="657"/>
      <c r="BNQ4" s="657"/>
      <c r="BNR4" s="657"/>
      <c r="BNS4" s="657"/>
      <c r="BNT4" s="657"/>
      <c r="BNU4" s="657"/>
      <c r="BNV4" s="657"/>
      <c r="BNW4" s="657"/>
      <c r="BNX4" s="657"/>
      <c r="BNY4" s="657"/>
      <c r="BNZ4" s="657"/>
      <c r="BOA4" s="657"/>
      <c r="BOB4" s="657"/>
      <c r="BOC4" s="657"/>
      <c r="BOD4" s="657"/>
      <c r="BOE4" s="657"/>
      <c r="BOF4" s="657"/>
      <c r="BOG4" s="657"/>
      <c r="BOH4" s="657"/>
      <c r="BOI4" s="657"/>
      <c r="BOJ4" s="657"/>
      <c r="BOK4" s="657"/>
      <c r="BOL4" s="657"/>
      <c r="BOM4" s="657"/>
      <c r="BON4" s="657"/>
      <c r="BOO4" s="657"/>
      <c r="BOP4" s="657"/>
      <c r="BOQ4" s="657"/>
      <c r="BOR4" s="657"/>
      <c r="BOS4" s="657"/>
      <c r="BOT4" s="657"/>
      <c r="BOU4" s="657"/>
      <c r="BOV4" s="657"/>
      <c r="BOW4" s="657"/>
      <c r="BOX4" s="657"/>
      <c r="BOY4" s="657"/>
      <c r="BOZ4" s="657"/>
      <c r="BPA4" s="657"/>
      <c r="BPB4" s="657"/>
      <c r="BPC4" s="657"/>
      <c r="BPD4" s="657"/>
      <c r="BPE4" s="657"/>
      <c r="BPF4" s="657"/>
      <c r="BPG4" s="657"/>
      <c r="BPH4" s="657"/>
      <c r="BPI4" s="657"/>
      <c r="BPJ4" s="657"/>
      <c r="BPK4" s="657"/>
      <c r="BPL4" s="657"/>
      <c r="BPM4" s="657"/>
      <c r="BPN4" s="657"/>
      <c r="BPO4" s="657"/>
      <c r="BPP4" s="657"/>
      <c r="BPQ4" s="657"/>
      <c r="BPR4" s="657"/>
      <c r="BPS4" s="657"/>
      <c r="BPT4" s="657"/>
      <c r="BPU4" s="657"/>
      <c r="BPV4" s="657"/>
      <c r="BPW4" s="657"/>
      <c r="BPX4" s="657"/>
      <c r="BPY4" s="657"/>
      <c r="BPZ4" s="657"/>
      <c r="BQA4" s="657"/>
      <c r="BQB4" s="657"/>
      <c r="BQC4" s="657"/>
      <c r="BQD4" s="657"/>
      <c r="BQE4" s="657"/>
      <c r="BQF4" s="657"/>
      <c r="BQG4" s="657"/>
      <c r="BQH4" s="657"/>
      <c r="BQI4" s="657"/>
      <c r="BQJ4" s="657"/>
      <c r="BQK4" s="657"/>
      <c r="BQL4" s="657"/>
      <c r="BQM4" s="657"/>
      <c r="BQN4" s="657"/>
      <c r="BQO4" s="657"/>
      <c r="BQP4" s="657"/>
      <c r="BQQ4" s="657"/>
      <c r="BQR4" s="657"/>
      <c r="BQS4" s="657"/>
      <c r="BQT4" s="657"/>
      <c r="BQU4" s="657"/>
      <c r="BQV4" s="657"/>
      <c r="BQW4" s="657"/>
      <c r="BQX4" s="657"/>
      <c r="BQY4" s="657"/>
      <c r="BQZ4" s="657"/>
      <c r="BRA4" s="657"/>
      <c r="BRB4" s="657"/>
      <c r="BRC4" s="657"/>
      <c r="BRD4" s="657"/>
      <c r="BRE4" s="657"/>
      <c r="BRF4" s="657"/>
      <c r="BRG4" s="657"/>
      <c r="BRH4" s="657"/>
      <c r="BRI4" s="657"/>
      <c r="BRJ4" s="657"/>
      <c r="BRK4" s="657"/>
      <c r="BRL4" s="657"/>
      <c r="BRM4" s="657"/>
      <c r="BRN4" s="657"/>
      <c r="BRO4" s="657"/>
      <c r="BRP4" s="657"/>
      <c r="BRQ4" s="657"/>
      <c r="BRR4" s="657"/>
      <c r="BRS4" s="657"/>
      <c r="BRT4" s="657"/>
      <c r="BRU4" s="657"/>
      <c r="BRV4" s="657"/>
      <c r="BRW4" s="657"/>
      <c r="BRX4" s="657"/>
      <c r="BRY4" s="657"/>
      <c r="BRZ4" s="657"/>
      <c r="BSA4" s="657"/>
      <c r="BSB4" s="657"/>
      <c r="BSC4" s="657"/>
      <c r="BSD4" s="657"/>
      <c r="BSE4" s="657"/>
      <c r="BSF4" s="657"/>
      <c r="BSG4" s="657"/>
      <c r="BSH4" s="657"/>
      <c r="BSI4" s="657"/>
      <c r="BSJ4" s="657"/>
      <c r="BSK4" s="657"/>
      <c r="BSL4" s="657"/>
      <c r="BSM4" s="657"/>
      <c r="BSN4" s="657"/>
      <c r="BSO4" s="657"/>
      <c r="BSP4" s="657"/>
      <c r="BSQ4" s="657"/>
      <c r="BSR4" s="657"/>
      <c r="BSS4" s="657"/>
      <c r="BST4" s="657"/>
      <c r="BSU4" s="657"/>
      <c r="BSV4" s="657"/>
      <c r="BSW4" s="657"/>
      <c r="BSX4" s="657"/>
      <c r="BSY4" s="657"/>
      <c r="BSZ4" s="657"/>
      <c r="BTA4" s="657"/>
      <c r="BTB4" s="657"/>
      <c r="BTC4" s="657"/>
      <c r="BTD4" s="657"/>
      <c r="BTE4" s="657"/>
      <c r="BTF4" s="657"/>
      <c r="BTG4" s="657"/>
      <c r="BTH4" s="657"/>
      <c r="BTI4" s="657"/>
      <c r="BTJ4" s="657"/>
      <c r="BTK4" s="657"/>
      <c r="BTL4" s="657"/>
      <c r="BTM4" s="657"/>
      <c r="BTN4" s="657"/>
      <c r="BTO4" s="657"/>
      <c r="BTP4" s="657"/>
      <c r="BTQ4" s="657"/>
      <c r="BTR4" s="657"/>
      <c r="BTS4" s="657"/>
      <c r="BTT4" s="657"/>
      <c r="BTU4" s="657"/>
      <c r="BTV4" s="657"/>
      <c r="BTW4" s="657"/>
      <c r="BTX4" s="657"/>
      <c r="BTY4" s="657"/>
      <c r="BTZ4" s="657"/>
      <c r="BUA4" s="657"/>
      <c r="BUB4" s="657"/>
      <c r="BUC4" s="657"/>
      <c r="BUD4" s="657"/>
      <c r="BUE4" s="657"/>
      <c r="BUF4" s="657"/>
      <c r="BUG4" s="657"/>
      <c r="BUH4" s="657"/>
      <c r="BUI4" s="657"/>
      <c r="BUJ4" s="657"/>
      <c r="BUK4" s="657"/>
      <c r="BUL4" s="657"/>
      <c r="BUM4" s="657"/>
      <c r="BUN4" s="657"/>
      <c r="BUO4" s="657"/>
      <c r="BUP4" s="657"/>
      <c r="BUQ4" s="657"/>
      <c r="BUR4" s="657"/>
      <c r="BUS4" s="657"/>
      <c r="BUT4" s="657"/>
      <c r="BUU4" s="657"/>
      <c r="BUV4" s="657"/>
      <c r="BUW4" s="657"/>
      <c r="BUX4" s="657"/>
      <c r="BUY4" s="657"/>
      <c r="BUZ4" s="657"/>
      <c r="BVA4" s="657"/>
      <c r="BVB4" s="657"/>
      <c r="BVC4" s="657"/>
      <c r="BVD4" s="657"/>
      <c r="BVE4" s="657"/>
      <c r="BVF4" s="657"/>
      <c r="BVG4" s="657"/>
      <c r="BVH4" s="657"/>
      <c r="BVI4" s="657"/>
      <c r="BVJ4" s="657"/>
      <c r="BVK4" s="657"/>
      <c r="BVL4" s="657"/>
      <c r="BVM4" s="657"/>
      <c r="BVN4" s="657"/>
      <c r="BVO4" s="657"/>
      <c r="BVP4" s="657"/>
      <c r="BVQ4" s="657"/>
      <c r="BVR4" s="657"/>
      <c r="BVS4" s="657"/>
      <c r="BVT4" s="657"/>
      <c r="BVU4" s="657"/>
      <c r="BVV4" s="657"/>
      <c r="BVW4" s="657"/>
      <c r="BVX4" s="657"/>
      <c r="BVY4" s="657"/>
      <c r="BVZ4" s="657"/>
      <c r="BWA4" s="657"/>
      <c r="BWB4" s="657"/>
      <c r="BWC4" s="657"/>
      <c r="BWD4" s="657"/>
      <c r="BWE4" s="657"/>
      <c r="BWF4" s="657"/>
      <c r="BWG4" s="657"/>
      <c r="BWH4" s="657"/>
      <c r="BWI4" s="657"/>
      <c r="BWJ4" s="657"/>
      <c r="BWK4" s="657"/>
      <c r="BWL4" s="657"/>
      <c r="BWM4" s="657"/>
      <c r="BWN4" s="657"/>
      <c r="BWO4" s="657"/>
      <c r="BWP4" s="657"/>
      <c r="BWQ4" s="657"/>
      <c r="BWR4" s="657"/>
      <c r="BWS4" s="657"/>
      <c r="BWT4" s="657"/>
      <c r="BWU4" s="657"/>
      <c r="BWV4" s="657"/>
      <c r="BWW4" s="657"/>
      <c r="BWX4" s="657"/>
      <c r="BWY4" s="657"/>
      <c r="BWZ4" s="657"/>
      <c r="BXA4" s="657"/>
      <c r="BXB4" s="657"/>
      <c r="BXC4" s="657"/>
      <c r="BXD4" s="657"/>
      <c r="BXE4" s="657"/>
      <c r="BXF4" s="657"/>
      <c r="BXG4" s="657"/>
      <c r="BXH4" s="657"/>
      <c r="BXI4" s="657"/>
      <c r="BXJ4" s="657"/>
      <c r="BXK4" s="657"/>
      <c r="BXL4" s="657"/>
      <c r="BXM4" s="657"/>
      <c r="BXN4" s="657"/>
      <c r="BXO4" s="657"/>
      <c r="BXP4" s="657"/>
      <c r="BXQ4" s="657"/>
      <c r="BXR4" s="657"/>
      <c r="BXS4" s="657"/>
      <c r="BXT4" s="657"/>
      <c r="BXU4" s="657"/>
      <c r="BXV4" s="657"/>
      <c r="BXW4" s="657"/>
      <c r="BXX4" s="657"/>
      <c r="BXY4" s="657"/>
      <c r="BXZ4" s="657"/>
      <c r="BYA4" s="657"/>
      <c r="BYB4" s="657"/>
      <c r="BYC4" s="657"/>
      <c r="BYD4" s="657"/>
      <c r="BYE4" s="657"/>
      <c r="BYF4" s="657"/>
      <c r="BYG4" s="657"/>
      <c r="BYH4" s="657"/>
      <c r="BYI4" s="657"/>
      <c r="BYJ4" s="657"/>
      <c r="BYK4" s="657"/>
      <c r="BYL4" s="657"/>
      <c r="BYM4" s="657"/>
      <c r="BYN4" s="657"/>
      <c r="BYO4" s="657"/>
      <c r="BYP4" s="657"/>
      <c r="BYQ4" s="657"/>
      <c r="BYR4" s="657"/>
      <c r="BYS4" s="657"/>
      <c r="BYT4" s="657"/>
      <c r="BYU4" s="657"/>
      <c r="BYV4" s="657"/>
      <c r="BYW4" s="657"/>
      <c r="BYX4" s="657"/>
      <c r="BYY4" s="657"/>
      <c r="BYZ4" s="657"/>
      <c r="BZA4" s="657"/>
      <c r="BZB4" s="657"/>
      <c r="BZC4" s="657"/>
      <c r="BZD4" s="657"/>
      <c r="BZE4" s="657"/>
      <c r="BZF4" s="657"/>
      <c r="BZG4" s="657"/>
      <c r="BZH4" s="657"/>
      <c r="BZI4" s="657"/>
      <c r="BZJ4" s="657"/>
      <c r="BZK4" s="657"/>
      <c r="BZL4" s="657"/>
      <c r="BZM4" s="657"/>
      <c r="BZN4" s="657"/>
      <c r="BZO4" s="657"/>
      <c r="BZP4" s="657"/>
      <c r="BZQ4" s="657"/>
      <c r="BZR4" s="657"/>
      <c r="BZS4" s="657"/>
      <c r="BZT4" s="657"/>
      <c r="BZU4" s="657"/>
      <c r="BZV4" s="657"/>
      <c r="BZW4" s="657"/>
      <c r="BZX4" s="657"/>
      <c r="BZY4" s="657"/>
      <c r="BZZ4" s="657"/>
      <c r="CAA4" s="657"/>
      <c r="CAB4" s="657"/>
      <c r="CAC4" s="657"/>
      <c r="CAD4" s="657"/>
      <c r="CAE4" s="657"/>
      <c r="CAF4" s="657"/>
      <c r="CAG4" s="657"/>
      <c r="CAH4" s="657"/>
      <c r="CAI4" s="657"/>
      <c r="CAJ4" s="657"/>
      <c r="CAK4" s="657"/>
      <c r="CAL4" s="657"/>
      <c r="CAM4" s="657"/>
      <c r="CAN4" s="657"/>
      <c r="CAO4" s="657"/>
      <c r="CAP4" s="657"/>
      <c r="CAQ4" s="657"/>
      <c r="CAR4" s="657"/>
      <c r="CAS4" s="657"/>
      <c r="CAT4" s="657"/>
      <c r="CAU4" s="657"/>
      <c r="CAV4" s="657"/>
      <c r="CAW4" s="657"/>
      <c r="CAX4" s="657"/>
      <c r="CAY4" s="657"/>
      <c r="CAZ4" s="657"/>
      <c r="CBA4" s="657"/>
      <c r="CBB4" s="657"/>
      <c r="CBC4" s="657"/>
      <c r="CBD4" s="657"/>
      <c r="CBE4" s="657"/>
      <c r="CBF4" s="657"/>
      <c r="CBG4" s="657"/>
      <c r="CBH4" s="657"/>
      <c r="CBI4" s="657"/>
      <c r="CBJ4" s="657"/>
      <c r="CBK4" s="657"/>
      <c r="CBL4" s="657"/>
      <c r="CBM4" s="657"/>
      <c r="CBN4" s="657"/>
      <c r="CBO4" s="657"/>
      <c r="CBP4" s="657"/>
      <c r="CBQ4" s="657"/>
      <c r="CBR4" s="657"/>
      <c r="CBS4" s="657"/>
      <c r="CBT4" s="657"/>
      <c r="CBU4" s="657"/>
      <c r="CBV4" s="657"/>
      <c r="CBW4" s="657"/>
      <c r="CBX4" s="657"/>
      <c r="CBY4" s="657"/>
      <c r="CBZ4" s="657"/>
      <c r="CCA4" s="657"/>
      <c r="CCB4" s="657"/>
      <c r="CCC4" s="657"/>
      <c r="CCD4" s="657"/>
      <c r="CCE4" s="657"/>
      <c r="CCF4" s="657"/>
      <c r="CCG4" s="657"/>
      <c r="CCH4" s="657"/>
      <c r="CCI4" s="657"/>
      <c r="CCJ4" s="657"/>
      <c r="CCK4" s="657"/>
      <c r="CCL4" s="657"/>
      <c r="CCM4" s="657"/>
      <c r="CCN4" s="657"/>
      <c r="CCO4" s="657"/>
      <c r="CCP4" s="657"/>
      <c r="CCQ4" s="657"/>
      <c r="CCR4" s="657"/>
      <c r="CCS4" s="657"/>
      <c r="CCT4" s="657"/>
      <c r="CCU4" s="657"/>
      <c r="CCV4" s="657"/>
      <c r="CCW4" s="657"/>
      <c r="CCX4" s="657"/>
      <c r="CCY4" s="657"/>
      <c r="CCZ4" s="657"/>
      <c r="CDA4" s="657"/>
      <c r="CDB4" s="657"/>
      <c r="CDC4" s="657"/>
      <c r="CDD4" s="657"/>
      <c r="CDE4" s="657"/>
      <c r="CDF4" s="657"/>
      <c r="CDG4" s="657"/>
      <c r="CDH4" s="657"/>
      <c r="CDI4" s="657"/>
      <c r="CDJ4" s="657"/>
      <c r="CDK4" s="657"/>
      <c r="CDL4" s="657"/>
      <c r="CDM4" s="657"/>
      <c r="CDN4" s="657"/>
      <c r="CDO4" s="657"/>
      <c r="CDP4" s="657"/>
      <c r="CDQ4" s="657"/>
      <c r="CDR4" s="657"/>
      <c r="CDS4" s="657"/>
      <c r="CDT4" s="657"/>
      <c r="CDU4" s="657"/>
      <c r="CDV4" s="657"/>
      <c r="CDW4" s="657"/>
      <c r="CDX4" s="657"/>
      <c r="CDY4" s="657"/>
      <c r="CDZ4" s="657"/>
      <c r="CEA4" s="657"/>
      <c r="CEB4" s="657"/>
      <c r="CEC4" s="657"/>
      <c r="CED4" s="657"/>
      <c r="CEE4" s="657"/>
      <c r="CEF4" s="657"/>
      <c r="CEG4" s="657"/>
      <c r="CEH4" s="657"/>
      <c r="CEI4" s="657"/>
      <c r="CEJ4" s="657"/>
      <c r="CEK4" s="657"/>
      <c r="CEL4" s="657"/>
      <c r="CEM4" s="657"/>
      <c r="CEN4" s="657"/>
      <c r="CEO4" s="657"/>
      <c r="CEP4" s="657"/>
      <c r="CEQ4" s="657"/>
      <c r="CER4" s="657"/>
      <c r="CES4" s="657"/>
      <c r="CET4" s="657"/>
      <c r="CEU4" s="657"/>
      <c r="CEV4" s="657"/>
      <c r="CEW4" s="657"/>
      <c r="CEX4" s="657"/>
      <c r="CEY4" s="657"/>
      <c r="CEZ4" s="657"/>
      <c r="CFA4" s="657"/>
      <c r="CFB4" s="657"/>
      <c r="CFC4" s="657"/>
      <c r="CFD4" s="657"/>
      <c r="CFE4" s="657"/>
      <c r="CFF4" s="657"/>
      <c r="CFG4" s="657"/>
      <c r="CFH4" s="657"/>
      <c r="CFI4" s="657"/>
      <c r="CFJ4" s="657"/>
      <c r="CFK4" s="657"/>
      <c r="CFL4" s="657"/>
      <c r="CFM4" s="657"/>
      <c r="CFN4" s="657"/>
      <c r="CFO4" s="657"/>
      <c r="CFP4" s="657"/>
      <c r="CFQ4" s="657"/>
      <c r="CFR4" s="657"/>
      <c r="CFS4" s="657"/>
      <c r="CFT4" s="657"/>
      <c r="CFU4" s="657"/>
      <c r="CFV4" s="657"/>
      <c r="CFW4" s="657"/>
      <c r="CFX4" s="657"/>
      <c r="CFY4" s="657"/>
      <c r="CFZ4" s="657"/>
      <c r="CGA4" s="657"/>
      <c r="CGB4" s="657"/>
      <c r="CGC4" s="657"/>
      <c r="CGD4" s="657"/>
      <c r="CGE4" s="657"/>
      <c r="CGF4" s="657"/>
      <c r="CGG4" s="657"/>
      <c r="CGH4" s="657"/>
      <c r="CGI4" s="657"/>
      <c r="CGJ4" s="657"/>
      <c r="CGK4" s="657"/>
      <c r="CGL4" s="657"/>
      <c r="CGM4" s="657"/>
      <c r="CGN4" s="657"/>
      <c r="CGO4" s="657"/>
      <c r="CGP4" s="657"/>
      <c r="CGQ4" s="657"/>
      <c r="CGR4" s="657"/>
      <c r="CGS4" s="657"/>
      <c r="CGT4" s="657"/>
      <c r="CGU4" s="657"/>
      <c r="CGV4" s="657"/>
      <c r="CGW4" s="657"/>
      <c r="CGX4" s="657"/>
      <c r="CGY4" s="657"/>
      <c r="CGZ4" s="657"/>
      <c r="CHA4" s="657"/>
      <c r="CHB4" s="657"/>
      <c r="CHC4" s="657"/>
      <c r="CHD4" s="657"/>
      <c r="CHE4" s="657"/>
      <c r="CHF4" s="657"/>
      <c r="CHG4" s="657"/>
      <c r="CHH4" s="657"/>
      <c r="CHI4" s="657"/>
      <c r="CHJ4" s="657"/>
      <c r="CHK4" s="657"/>
      <c r="CHL4" s="657"/>
      <c r="CHM4" s="657"/>
      <c r="CHN4" s="657"/>
      <c r="CHO4" s="657"/>
      <c r="CHP4" s="657"/>
      <c r="CHQ4" s="657"/>
      <c r="CHR4" s="657"/>
      <c r="CHS4" s="657"/>
      <c r="CHT4" s="657"/>
      <c r="CHU4" s="657"/>
      <c r="CHV4" s="657"/>
      <c r="CHW4" s="657"/>
      <c r="CHX4" s="657"/>
      <c r="CHY4" s="657"/>
      <c r="CHZ4" s="657"/>
      <c r="CIA4" s="657"/>
      <c r="CIB4" s="657"/>
      <c r="CIC4" s="657"/>
      <c r="CID4" s="657"/>
      <c r="CIE4" s="657"/>
      <c r="CIF4" s="657"/>
      <c r="CIG4" s="657"/>
      <c r="CIH4" s="657"/>
      <c r="CII4" s="657"/>
      <c r="CIJ4" s="657"/>
      <c r="CIK4" s="657"/>
      <c r="CIL4" s="657"/>
      <c r="CIM4" s="657"/>
      <c r="CIN4" s="657"/>
      <c r="CIO4" s="657"/>
      <c r="CIP4" s="657"/>
      <c r="CIQ4" s="657"/>
      <c r="CIR4" s="657"/>
      <c r="CIS4" s="657"/>
      <c r="CIT4" s="657"/>
      <c r="CIU4" s="657"/>
      <c r="CIV4" s="657"/>
      <c r="CIW4" s="657"/>
      <c r="CIX4" s="657"/>
      <c r="CIY4" s="657"/>
      <c r="CIZ4" s="657"/>
      <c r="CJA4" s="657"/>
      <c r="CJB4" s="657"/>
      <c r="CJC4" s="657"/>
      <c r="CJD4" s="657"/>
      <c r="CJE4" s="657"/>
      <c r="CJF4" s="657"/>
      <c r="CJG4" s="657"/>
      <c r="CJH4" s="657"/>
      <c r="CJI4" s="657"/>
      <c r="CJJ4" s="657"/>
      <c r="CJK4" s="657"/>
      <c r="CJL4" s="657"/>
      <c r="CJM4" s="657"/>
      <c r="CJN4" s="657"/>
      <c r="CJO4" s="657"/>
      <c r="CJP4" s="657"/>
      <c r="CJQ4" s="657"/>
      <c r="CJR4" s="657"/>
      <c r="CJS4" s="657"/>
      <c r="CJT4" s="657"/>
      <c r="CJU4" s="657"/>
      <c r="CJV4" s="657"/>
      <c r="CJW4" s="657"/>
      <c r="CJX4" s="657"/>
      <c r="CJY4" s="657"/>
      <c r="CJZ4" s="657"/>
      <c r="CKA4" s="657"/>
      <c r="CKB4" s="657"/>
      <c r="CKC4" s="657"/>
      <c r="CKD4" s="657"/>
      <c r="CKE4" s="657"/>
      <c r="CKF4" s="657"/>
      <c r="CKG4" s="657"/>
      <c r="CKH4" s="657"/>
      <c r="CKI4" s="657"/>
      <c r="CKJ4" s="657"/>
      <c r="CKK4" s="657"/>
      <c r="CKL4" s="657"/>
      <c r="CKM4" s="657"/>
      <c r="CKN4" s="657"/>
      <c r="CKO4" s="657"/>
      <c r="CKP4" s="657"/>
      <c r="CKQ4" s="657"/>
      <c r="CKR4" s="657"/>
      <c r="CKS4" s="657"/>
      <c r="CKT4" s="657"/>
      <c r="CKU4" s="657"/>
      <c r="CKV4" s="657"/>
      <c r="CKW4" s="657"/>
      <c r="CKX4" s="657"/>
      <c r="CKY4" s="657"/>
      <c r="CKZ4" s="657"/>
      <c r="CLA4" s="657"/>
      <c r="CLB4" s="657"/>
      <c r="CLC4" s="657"/>
      <c r="CLD4" s="657"/>
      <c r="CLE4" s="657"/>
      <c r="CLF4" s="657"/>
      <c r="CLG4" s="657"/>
      <c r="CLH4" s="657"/>
      <c r="CLI4" s="657"/>
      <c r="CLJ4" s="657"/>
      <c r="CLK4" s="657"/>
      <c r="CLL4" s="657"/>
      <c r="CLM4" s="657"/>
      <c r="CLN4" s="657"/>
      <c r="CLO4" s="657"/>
      <c r="CLP4" s="657"/>
      <c r="CLQ4" s="657"/>
      <c r="CLR4" s="657"/>
      <c r="CLS4" s="657"/>
      <c r="CLT4" s="657"/>
      <c r="CLU4" s="657"/>
      <c r="CLV4" s="657"/>
      <c r="CLW4" s="657"/>
      <c r="CLX4" s="657"/>
      <c r="CLY4" s="657"/>
      <c r="CLZ4" s="657"/>
      <c r="CMA4" s="657"/>
      <c r="CMB4" s="657"/>
      <c r="CMC4" s="657"/>
      <c r="CMD4" s="657"/>
      <c r="CME4" s="657"/>
      <c r="CMF4" s="657"/>
      <c r="CMG4" s="657"/>
      <c r="CMH4" s="657"/>
      <c r="CMI4" s="657"/>
      <c r="CMJ4" s="657"/>
      <c r="CMK4" s="657"/>
      <c r="CML4" s="657"/>
      <c r="CMM4" s="657"/>
      <c r="CMN4" s="657"/>
      <c r="CMO4" s="657"/>
      <c r="CMP4" s="657"/>
      <c r="CMQ4" s="657"/>
      <c r="CMR4" s="657"/>
      <c r="CMS4" s="657"/>
      <c r="CMT4" s="657"/>
      <c r="CMU4" s="657"/>
      <c r="CMV4" s="657"/>
      <c r="CMW4" s="657"/>
      <c r="CMX4" s="657"/>
      <c r="CMY4" s="657"/>
      <c r="CMZ4" s="657"/>
      <c r="CNA4" s="657"/>
      <c r="CNB4" s="657"/>
      <c r="CNC4" s="657"/>
      <c r="CND4" s="657"/>
      <c r="CNE4" s="657"/>
      <c r="CNF4" s="657"/>
      <c r="CNG4" s="657"/>
      <c r="CNH4" s="657"/>
      <c r="CNI4" s="657"/>
      <c r="CNJ4" s="657"/>
      <c r="CNK4" s="657"/>
      <c r="CNL4" s="657"/>
      <c r="CNM4" s="657"/>
      <c r="CNN4" s="657"/>
      <c r="CNO4" s="657"/>
      <c r="CNP4" s="657"/>
      <c r="CNQ4" s="657"/>
      <c r="CNR4" s="657"/>
      <c r="CNS4" s="657"/>
      <c r="CNT4" s="657"/>
      <c r="CNU4" s="657"/>
      <c r="CNV4" s="657"/>
      <c r="CNW4" s="657"/>
      <c r="CNX4" s="657"/>
      <c r="CNY4" s="657"/>
      <c r="CNZ4" s="657"/>
      <c r="COA4" s="657"/>
      <c r="COB4" s="657"/>
      <c r="COC4" s="657"/>
      <c r="COD4" s="657"/>
      <c r="COE4" s="657"/>
      <c r="COF4" s="657"/>
      <c r="COG4" s="657"/>
      <c r="COH4" s="657"/>
      <c r="COI4" s="657"/>
      <c r="COJ4" s="657"/>
      <c r="COK4" s="657"/>
      <c r="COL4" s="657"/>
      <c r="COM4" s="657"/>
      <c r="CON4" s="657"/>
      <c r="COO4" s="657"/>
      <c r="COP4" s="657"/>
      <c r="COQ4" s="657"/>
      <c r="COR4" s="657"/>
      <c r="COS4" s="657"/>
      <c r="COT4" s="657"/>
      <c r="COU4" s="657"/>
      <c r="COV4" s="657"/>
      <c r="COW4" s="657"/>
      <c r="COX4" s="657"/>
      <c r="COY4" s="657"/>
      <c r="COZ4" s="657"/>
      <c r="CPA4" s="657"/>
      <c r="CPB4" s="657"/>
      <c r="CPC4" s="657"/>
      <c r="CPD4" s="657"/>
      <c r="CPE4" s="657"/>
      <c r="CPF4" s="657"/>
      <c r="CPG4" s="657"/>
      <c r="CPH4" s="657"/>
      <c r="CPI4" s="657"/>
      <c r="CPJ4" s="657"/>
      <c r="CPK4" s="657"/>
      <c r="CPL4" s="657"/>
      <c r="CPM4" s="657"/>
      <c r="CPN4" s="657"/>
      <c r="CPO4" s="657"/>
      <c r="CPP4" s="657"/>
      <c r="CPQ4" s="657"/>
      <c r="CPR4" s="657"/>
      <c r="CPS4" s="657"/>
      <c r="CPT4" s="657"/>
      <c r="CPU4" s="657"/>
      <c r="CPV4" s="657"/>
      <c r="CPW4" s="657"/>
      <c r="CPX4" s="657"/>
      <c r="CPY4" s="657"/>
      <c r="CPZ4" s="657"/>
      <c r="CQA4" s="657"/>
      <c r="CQB4" s="657"/>
      <c r="CQC4" s="657"/>
      <c r="CQD4" s="657"/>
      <c r="CQE4" s="657"/>
      <c r="CQF4" s="657"/>
      <c r="CQG4" s="657"/>
      <c r="CQH4" s="657"/>
      <c r="CQI4" s="657"/>
      <c r="CQJ4" s="657"/>
      <c r="CQK4" s="657"/>
      <c r="CQL4" s="657"/>
      <c r="CQM4" s="657"/>
      <c r="CQN4" s="657"/>
      <c r="CQO4" s="657"/>
      <c r="CQP4" s="657"/>
      <c r="CQQ4" s="657"/>
      <c r="CQR4" s="657"/>
      <c r="CQS4" s="657"/>
      <c r="CQT4" s="657"/>
      <c r="CQU4" s="657"/>
      <c r="CQV4" s="657"/>
      <c r="CQW4" s="657"/>
      <c r="CQX4" s="657"/>
      <c r="CQY4" s="657"/>
      <c r="CQZ4" s="657"/>
      <c r="CRA4" s="657"/>
      <c r="CRB4" s="657"/>
      <c r="CRC4" s="657"/>
      <c r="CRD4" s="657"/>
      <c r="CRE4" s="657"/>
      <c r="CRF4" s="657"/>
      <c r="CRG4" s="657"/>
      <c r="CRH4" s="657"/>
      <c r="CRI4" s="657"/>
      <c r="CRJ4" s="657"/>
      <c r="CRK4" s="657"/>
      <c r="CRL4" s="657"/>
      <c r="CRM4" s="657"/>
      <c r="CRN4" s="657"/>
      <c r="CRO4" s="657"/>
      <c r="CRP4" s="657"/>
      <c r="CRQ4" s="657"/>
      <c r="CRR4" s="657"/>
      <c r="CRS4" s="657"/>
      <c r="CRT4" s="657"/>
      <c r="CRU4" s="657"/>
      <c r="CRV4" s="657"/>
      <c r="CRW4" s="657"/>
      <c r="CRX4" s="657"/>
      <c r="CRY4" s="657"/>
      <c r="CRZ4" s="657"/>
      <c r="CSA4" s="657"/>
      <c r="CSB4" s="657"/>
      <c r="CSC4" s="657"/>
      <c r="CSD4" s="657"/>
      <c r="CSE4" s="657"/>
      <c r="CSF4" s="657"/>
      <c r="CSG4" s="657"/>
      <c r="CSH4" s="657"/>
      <c r="CSI4" s="657"/>
      <c r="CSJ4" s="657"/>
      <c r="CSK4" s="657"/>
      <c r="CSL4" s="657"/>
      <c r="CSM4" s="657"/>
      <c r="CSN4" s="657"/>
      <c r="CSO4" s="657"/>
      <c r="CSP4" s="657"/>
      <c r="CSQ4" s="657"/>
      <c r="CSR4" s="657"/>
      <c r="CSS4" s="657"/>
      <c r="CST4" s="657"/>
      <c r="CSU4" s="657"/>
      <c r="CSV4" s="657"/>
      <c r="CSW4" s="657"/>
      <c r="CSX4" s="657"/>
      <c r="CSY4" s="657"/>
      <c r="CSZ4" s="657"/>
      <c r="CTA4" s="657"/>
      <c r="CTB4" s="657"/>
      <c r="CTC4" s="657"/>
      <c r="CTD4" s="657"/>
      <c r="CTE4" s="657"/>
      <c r="CTF4" s="657"/>
      <c r="CTG4" s="657"/>
      <c r="CTH4" s="657"/>
      <c r="CTI4" s="657"/>
      <c r="CTJ4" s="657"/>
      <c r="CTK4" s="657"/>
      <c r="CTL4" s="657"/>
      <c r="CTM4" s="657"/>
      <c r="CTN4" s="657"/>
      <c r="CTO4" s="657"/>
      <c r="CTP4" s="657"/>
      <c r="CTQ4" s="657"/>
      <c r="CTR4" s="657"/>
      <c r="CTS4" s="657"/>
      <c r="CTT4" s="657"/>
      <c r="CTU4" s="657"/>
      <c r="CTV4" s="657"/>
      <c r="CTW4" s="657"/>
      <c r="CTX4" s="657"/>
      <c r="CTY4" s="657"/>
      <c r="CTZ4" s="657"/>
      <c r="CUA4" s="657"/>
      <c r="CUB4" s="657"/>
      <c r="CUC4" s="657"/>
      <c r="CUD4" s="657"/>
      <c r="CUE4" s="657"/>
      <c r="CUF4" s="657"/>
      <c r="CUG4" s="657"/>
      <c r="CUH4" s="657"/>
      <c r="CUI4" s="657"/>
      <c r="CUJ4" s="657"/>
      <c r="CUK4" s="657"/>
      <c r="CUL4" s="657"/>
      <c r="CUM4" s="657"/>
      <c r="CUN4" s="657"/>
      <c r="CUO4" s="657"/>
      <c r="CUP4" s="657"/>
      <c r="CUQ4" s="657"/>
      <c r="CUR4" s="657"/>
      <c r="CUS4" s="657"/>
      <c r="CUT4" s="657"/>
      <c r="CUU4" s="657"/>
      <c r="CUV4" s="657"/>
      <c r="CUW4" s="657"/>
      <c r="CUX4" s="657"/>
      <c r="CUY4" s="657"/>
      <c r="CUZ4" s="657"/>
      <c r="CVA4" s="657"/>
      <c r="CVB4" s="657"/>
      <c r="CVC4" s="657"/>
      <c r="CVD4" s="657"/>
      <c r="CVE4" s="657"/>
      <c r="CVF4" s="657"/>
      <c r="CVG4" s="657"/>
      <c r="CVH4" s="657"/>
      <c r="CVI4" s="657"/>
      <c r="CVJ4" s="657"/>
      <c r="CVK4" s="657"/>
      <c r="CVL4" s="657"/>
      <c r="CVM4" s="657"/>
      <c r="CVN4" s="657"/>
      <c r="CVO4" s="657"/>
      <c r="CVP4" s="657"/>
      <c r="CVQ4" s="657"/>
      <c r="CVR4" s="657"/>
      <c r="CVS4" s="657"/>
      <c r="CVT4" s="657"/>
      <c r="CVU4" s="657"/>
      <c r="CVV4" s="657"/>
      <c r="CVW4" s="657"/>
      <c r="CVX4" s="657"/>
      <c r="CVY4" s="657"/>
      <c r="CVZ4" s="657"/>
      <c r="CWA4" s="657"/>
      <c r="CWB4" s="657"/>
      <c r="CWC4" s="657"/>
      <c r="CWD4" s="657"/>
      <c r="CWE4" s="657"/>
      <c r="CWF4" s="657"/>
      <c r="CWG4" s="657"/>
      <c r="CWH4" s="657"/>
      <c r="CWI4" s="657"/>
      <c r="CWJ4" s="657"/>
      <c r="CWK4" s="657"/>
      <c r="CWL4" s="657"/>
      <c r="CWM4" s="657"/>
      <c r="CWN4" s="657"/>
      <c r="CWO4" s="657"/>
      <c r="CWP4" s="657"/>
      <c r="CWQ4" s="657"/>
      <c r="CWR4" s="657"/>
      <c r="CWS4" s="657"/>
      <c r="CWT4" s="657"/>
      <c r="CWU4" s="657"/>
      <c r="CWV4" s="657"/>
      <c r="CWW4" s="657"/>
      <c r="CWX4" s="657"/>
      <c r="CWY4" s="657"/>
      <c r="CWZ4" s="657"/>
      <c r="CXA4" s="657"/>
      <c r="CXB4" s="657"/>
      <c r="CXC4" s="657"/>
      <c r="CXD4" s="657"/>
      <c r="CXE4" s="657"/>
      <c r="CXF4" s="657"/>
      <c r="CXG4" s="657"/>
      <c r="CXH4" s="657"/>
      <c r="CXI4" s="657"/>
      <c r="CXJ4" s="657"/>
      <c r="CXK4" s="657"/>
      <c r="CXL4" s="657"/>
      <c r="CXM4" s="657"/>
      <c r="CXN4" s="657"/>
      <c r="CXO4" s="657"/>
      <c r="CXP4" s="657"/>
      <c r="CXQ4" s="657"/>
      <c r="CXR4" s="657"/>
      <c r="CXS4" s="657"/>
      <c r="CXT4" s="657"/>
      <c r="CXU4" s="657"/>
      <c r="CXV4" s="657"/>
      <c r="CXW4" s="657"/>
      <c r="CXX4" s="657"/>
      <c r="CXY4" s="657"/>
      <c r="CXZ4" s="657"/>
      <c r="CYA4" s="657"/>
      <c r="CYB4" s="657"/>
      <c r="CYC4" s="657"/>
      <c r="CYD4" s="657"/>
      <c r="CYE4" s="657"/>
      <c r="CYF4" s="657"/>
      <c r="CYG4" s="657"/>
      <c r="CYH4" s="657"/>
      <c r="CYI4" s="657"/>
      <c r="CYJ4" s="657"/>
      <c r="CYK4" s="657"/>
      <c r="CYL4" s="657"/>
      <c r="CYM4" s="657"/>
      <c r="CYN4" s="657"/>
      <c r="CYO4" s="657"/>
      <c r="CYP4" s="657"/>
      <c r="CYQ4" s="657"/>
      <c r="CYR4" s="657"/>
      <c r="CYS4" s="657"/>
      <c r="CYT4" s="657"/>
      <c r="CYU4" s="657"/>
      <c r="CYV4" s="657"/>
      <c r="CYW4" s="657"/>
      <c r="CYX4" s="657"/>
      <c r="CYY4" s="657"/>
      <c r="CYZ4" s="657"/>
      <c r="CZA4" s="657"/>
      <c r="CZB4" s="657"/>
      <c r="CZC4" s="657"/>
      <c r="CZD4" s="657"/>
      <c r="CZE4" s="657"/>
      <c r="CZF4" s="657"/>
      <c r="CZG4" s="657"/>
      <c r="CZH4" s="657"/>
      <c r="CZI4" s="657"/>
      <c r="CZJ4" s="657"/>
      <c r="CZK4" s="657"/>
      <c r="CZL4" s="657"/>
      <c r="CZM4" s="657"/>
      <c r="CZN4" s="657"/>
      <c r="CZO4" s="657"/>
      <c r="CZP4" s="657"/>
      <c r="CZQ4" s="657"/>
      <c r="CZR4" s="657"/>
      <c r="CZS4" s="657"/>
      <c r="CZT4" s="657"/>
      <c r="CZU4" s="657"/>
      <c r="CZV4" s="657"/>
      <c r="CZW4" s="657"/>
      <c r="CZX4" s="657"/>
      <c r="CZY4" s="657"/>
      <c r="CZZ4" s="657"/>
      <c r="DAA4" s="657"/>
      <c r="DAB4" s="657"/>
      <c r="DAC4" s="657"/>
      <c r="DAD4" s="657"/>
      <c r="DAE4" s="657"/>
      <c r="DAF4" s="657"/>
      <c r="DAG4" s="657"/>
      <c r="DAH4" s="657"/>
      <c r="DAI4" s="657"/>
      <c r="DAJ4" s="657"/>
      <c r="DAK4" s="657"/>
      <c r="DAL4" s="657"/>
      <c r="DAM4" s="657"/>
      <c r="DAN4" s="657"/>
      <c r="DAO4" s="657"/>
      <c r="DAP4" s="657"/>
      <c r="DAQ4" s="657"/>
      <c r="DAR4" s="657"/>
      <c r="DAS4" s="657"/>
      <c r="DAT4" s="657"/>
      <c r="DAU4" s="657"/>
      <c r="DAV4" s="657"/>
      <c r="DAW4" s="657"/>
      <c r="DAX4" s="657"/>
      <c r="DAY4" s="657"/>
      <c r="DAZ4" s="657"/>
      <c r="DBA4" s="657"/>
      <c r="DBB4" s="657"/>
      <c r="DBC4" s="657"/>
      <c r="DBD4" s="657"/>
      <c r="DBE4" s="657"/>
      <c r="DBF4" s="657"/>
      <c r="DBG4" s="657"/>
      <c r="DBH4" s="657"/>
      <c r="DBI4" s="657"/>
      <c r="DBJ4" s="657"/>
      <c r="DBK4" s="657"/>
      <c r="DBL4" s="657"/>
      <c r="DBM4" s="657"/>
      <c r="DBN4" s="657"/>
      <c r="DBO4" s="657"/>
      <c r="DBP4" s="657"/>
      <c r="DBQ4" s="657"/>
      <c r="DBR4" s="657"/>
      <c r="DBS4" s="657"/>
      <c r="DBT4" s="657"/>
      <c r="DBU4" s="657"/>
      <c r="DBV4" s="657"/>
      <c r="DBW4" s="657"/>
      <c r="DBX4" s="657"/>
      <c r="DBY4" s="657"/>
      <c r="DBZ4" s="657"/>
      <c r="DCA4" s="657"/>
      <c r="DCB4" s="657"/>
      <c r="DCC4" s="657"/>
      <c r="DCD4" s="657"/>
      <c r="DCE4" s="657"/>
      <c r="DCF4" s="657"/>
      <c r="DCG4" s="657"/>
      <c r="DCH4" s="657"/>
      <c r="DCI4" s="657"/>
      <c r="DCJ4" s="657"/>
      <c r="DCK4" s="657"/>
      <c r="DCL4" s="657"/>
      <c r="DCM4" s="657"/>
      <c r="DCN4" s="657"/>
      <c r="DCO4" s="657"/>
      <c r="DCP4" s="657"/>
      <c r="DCQ4" s="657"/>
      <c r="DCR4" s="657"/>
      <c r="DCS4" s="657"/>
      <c r="DCT4" s="657"/>
      <c r="DCU4" s="657"/>
      <c r="DCV4" s="657"/>
      <c r="DCW4" s="657"/>
      <c r="DCX4" s="657"/>
      <c r="DCY4" s="657"/>
      <c r="DCZ4" s="657"/>
      <c r="DDA4" s="657"/>
      <c r="DDB4" s="657"/>
      <c r="DDC4" s="657"/>
      <c r="DDD4" s="657"/>
      <c r="DDE4" s="657"/>
      <c r="DDF4" s="657"/>
      <c r="DDG4" s="657"/>
      <c r="DDH4" s="657"/>
      <c r="DDI4" s="657"/>
      <c r="DDJ4" s="657"/>
      <c r="DDK4" s="657"/>
      <c r="DDL4" s="657"/>
      <c r="DDM4" s="657"/>
      <c r="DDN4" s="657"/>
      <c r="DDO4" s="657"/>
      <c r="DDP4" s="657"/>
      <c r="DDQ4" s="657"/>
      <c r="DDR4" s="657"/>
      <c r="DDS4" s="657"/>
      <c r="DDT4" s="657"/>
      <c r="DDU4" s="657"/>
      <c r="DDV4" s="657"/>
      <c r="DDW4" s="657"/>
      <c r="DDX4" s="657"/>
      <c r="DDY4" s="657"/>
      <c r="DDZ4" s="657"/>
      <c r="DEA4" s="657"/>
      <c r="DEB4" s="657"/>
      <c r="DEC4" s="657"/>
      <c r="DED4" s="657"/>
      <c r="DEE4" s="657"/>
      <c r="DEF4" s="657"/>
      <c r="DEG4" s="657"/>
      <c r="DEH4" s="657"/>
      <c r="DEI4" s="657"/>
      <c r="DEJ4" s="657"/>
      <c r="DEK4" s="657"/>
      <c r="DEL4" s="657"/>
      <c r="DEM4" s="657"/>
      <c r="DEN4" s="657"/>
      <c r="DEO4" s="657"/>
      <c r="DEP4" s="657"/>
      <c r="DEQ4" s="657"/>
      <c r="DER4" s="657"/>
      <c r="DES4" s="657"/>
      <c r="DET4" s="657"/>
      <c r="DEU4" s="657"/>
      <c r="DEV4" s="657"/>
      <c r="DEW4" s="657"/>
      <c r="DEX4" s="657"/>
      <c r="DEY4" s="657"/>
      <c r="DEZ4" s="657"/>
      <c r="DFA4" s="657"/>
      <c r="DFB4" s="657"/>
      <c r="DFC4" s="657"/>
      <c r="DFD4" s="657"/>
      <c r="DFE4" s="657"/>
      <c r="DFF4" s="657"/>
      <c r="DFG4" s="657"/>
      <c r="DFH4" s="657"/>
      <c r="DFI4" s="657"/>
      <c r="DFJ4" s="657"/>
      <c r="DFK4" s="657"/>
      <c r="DFL4" s="657"/>
      <c r="DFM4" s="657"/>
      <c r="DFN4" s="657"/>
      <c r="DFO4" s="657"/>
      <c r="DFP4" s="657"/>
      <c r="DFQ4" s="657"/>
      <c r="DFR4" s="657"/>
      <c r="DFS4" s="657"/>
      <c r="DFT4" s="657"/>
      <c r="DFU4" s="657"/>
      <c r="DFV4" s="657"/>
      <c r="DFW4" s="657"/>
      <c r="DFX4" s="657"/>
      <c r="DFY4" s="657"/>
      <c r="DFZ4" s="657"/>
      <c r="DGA4" s="657"/>
      <c r="DGB4" s="657"/>
      <c r="DGC4" s="657"/>
      <c r="DGD4" s="657"/>
      <c r="DGE4" s="657"/>
      <c r="DGF4" s="657"/>
      <c r="DGG4" s="657"/>
      <c r="DGH4" s="657"/>
      <c r="DGI4" s="657"/>
      <c r="DGJ4" s="657"/>
      <c r="DGK4" s="657"/>
      <c r="DGL4" s="657"/>
      <c r="DGM4" s="657"/>
      <c r="DGN4" s="657"/>
      <c r="DGO4" s="657"/>
      <c r="DGP4" s="657"/>
      <c r="DGQ4" s="657"/>
      <c r="DGR4" s="657"/>
      <c r="DGS4" s="657"/>
      <c r="DGT4" s="657"/>
      <c r="DGU4" s="657"/>
      <c r="DGV4" s="657"/>
      <c r="DGW4" s="657"/>
      <c r="DGX4" s="657"/>
      <c r="DGY4" s="657"/>
      <c r="DGZ4" s="657"/>
      <c r="DHA4" s="657"/>
      <c r="DHB4" s="657"/>
      <c r="DHC4" s="657"/>
      <c r="DHD4" s="657"/>
      <c r="DHE4" s="657"/>
      <c r="DHF4" s="657"/>
      <c r="DHG4" s="657"/>
      <c r="DHH4" s="657"/>
      <c r="DHI4" s="657"/>
      <c r="DHJ4" s="657"/>
      <c r="DHK4" s="657"/>
      <c r="DHL4" s="657"/>
      <c r="DHM4" s="657"/>
      <c r="DHN4" s="657"/>
      <c r="DHO4" s="657"/>
      <c r="DHP4" s="657"/>
      <c r="DHQ4" s="657"/>
      <c r="DHR4" s="657"/>
      <c r="DHS4" s="657"/>
      <c r="DHT4" s="657"/>
      <c r="DHU4" s="657"/>
      <c r="DHV4" s="657"/>
      <c r="DHW4" s="657"/>
      <c r="DHX4" s="657"/>
      <c r="DHY4" s="657"/>
      <c r="DHZ4" s="657"/>
      <c r="DIA4" s="657"/>
      <c r="DIB4" s="657"/>
      <c r="DIC4" s="657"/>
      <c r="DID4" s="657"/>
      <c r="DIE4" s="657"/>
      <c r="DIF4" s="657"/>
      <c r="DIG4" s="657"/>
      <c r="DIH4" s="657"/>
      <c r="DII4" s="657"/>
      <c r="DIJ4" s="657"/>
      <c r="DIK4" s="657"/>
      <c r="DIL4" s="657"/>
      <c r="DIM4" s="657"/>
      <c r="DIN4" s="657"/>
      <c r="DIO4" s="657"/>
      <c r="DIP4" s="657"/>
      <c r="DIQ4" s="657"/>
      <c r="DIR4" s="657"/>
      <c r="DIS4" s="657"/>
      <c r="DIT4" s="657"/>
      <c r="DIU4" s="657"/>
      <c r="DIV4" s="657"/>
      <c r="DIW4" s="657"/>
      <c r="DIX4" s="657"/>
      <c r="DIY4" s="657"/>
      <c r="DIZ4" s="657"/>
      <c r="DJA4" s="657"/>
      <c r="DJB4" s="657"/>
      <c r="DJC4" s="657"/>
      <c r="DJD4" s="657"/>
      <c r="DJE4" s="657"/>
      <c r="DJF4" s="657"/>
      <c r="DJG4" s="657"/>
      <c r="DJH4" s="657"/>
      <c r="DJI4" s="657"/>
      <c r="DJJ4" s="657"/>
      <c r="DJK4" s="657"/>
      <c r="DJL4" s="657"/>
      <c r="DJM4" s="657"/>
      <c r="DJN4" s="657"/>
      <c r="DJO4" s="657"/>
      <c r="DJP4" s="657"/>
      <c r="DJQ4" s="657"/>
      <c r="DJR4" s="657"/>
      <c r="DJS4" s="657"/>
      <c r="DJT4" s="657"/>
      <c r="DJU4" s="657"/>
      <c r="DJV4" s="657"/>
      <c r="DJW4" s="657"/>
      <c r="DJX4" s="657"/>
      <c r="DJY4" s="657"/>
      <c r="DJZ4" s="657"/>
      <c r="DKA4" s="657"/>
      <c r="DKB4" s="657"/>
      <c r="DKC4" s="657"/>
      <c r="DKD4" s="657"/>
      <c r="DKE4" s="657"/>
      <c r="DKF4" s="657"/>
      <c r="DKG4" s="657"/>
      <c r="DKH4" s="657"/>
      <c r="DKI4" s="657"/>
      <c r="DKJ4" s="657"/>
      <c r="DKK4" s="657"/>
      <c r="DKL4" s="657"/>
      <c r="DKM4" s="657"/>
      <c r="DKN4" s="657"/>
      <c r="DKO4" s="657"/>
      <c r="DKP4" s="657"/>
      <c r="DKQ4" s="657"/>
      <c r="DKR4" s="657"/>
      <c r="DKS4" s="657"/>
      <c r="DKT4" s="657"/>
      <c r="DKU4" s="657"/>
      <c r="DKV4" s="657"/>
      <c r="DKW4" s="657"/>
      <c r="DKX4" s="657"/>
      <c r="DKY4" s="657"/>
      <c r="DKZ4" s="657"/>
      <c r="DLA4" s="657"/>
      <c r="DLB4" s="657"/>
      <c r="DLC4" s="657"/>
      <c r="DLD4" s="657"/>
      <c r="DLE4" s="657"/>
      <c r="DLF4" s="657"/>
      <c r="DLG4" s="657"/>
      <c r="DLH4" s="657"/>
      <c r="DLI4" s="657"/>
      <c r="DLJ4" s="657"/>
      <c r="DLK4" s="657"/>
      <c r="DLL4" s="657"/>
      <c r="DLM4" s="657"/>
      <c r="DLN4" s="657"/>
      <c r="DLO4" s="657"/>
      <c r="DLP4" s="657"/>
      <c r="DLQ4" s="657"/>
      <c r="DLR4" s="657"/>
      <c r="DLS4" s="657"/>
      <c r="DLT4" s="657"/>
      <c r="DLU4" s="657"/>
      <c r="DLV4" s="657"/>
      <c r="DLW4" s="657"/>
      <c r="DLX4" s="657"/>
      <c r="DLY4" s="657"/>
      <c r="DLZ4" s="657"/>
      <c r="DMA4" s="657"/>
      <c r="DMB4" s="657"/>
      <c r="DMC4" s="657"/>
      <c r="DMD4" s="657"/>
      <c r="DME4" s="657"/>
      <c r="DMF4" s="657"/>
      <c r="DMG4" s="657"/>
      <c r="DMH4" s="657"/>
      <c r="DMI4" s="657"/>
      <c r="DMJ4" s="657"/>
      <c r="DMK4" s="657"/>
      <c r="DML4" s="657"/>
      <c r="DMM4" s="657"/>
      <c r="DMN4" s="657"/>
      <c r="DMO4" s="657"/>
      <c r="DMP4" s="657"/>
      <c r="DMQ4" s="657"/>
      <c r="DMR4" s="657"/>
      <c r="DMS4" s="657"/>
      <c r="DMT4" s="657"/>
      <c r="DMU4" s="657"/>
      <c r="DMV4" s="657"/>
      <c r="DMW4" s="657"/>
      <c r="DMX4" s="657"/>
      <c r="DMY4" s="657"/>
      <c r="DMZ4" s="657"/>
      <c r="DNA4" s="657"/>
      <c r="DNB4" s="657"/>
      <c r="DNC4" s="657"/>
      <c r="DND4" s="657"/>
      <c r="DNE4" s="657"/>
      <c r="DNF4" s="657"/>
      <c r="DNG4" s="657"/>
      <c r="DNH4" s="657"/>
      <c r="DNI4" s="657"/>
      <c r="DNJ4" s="657"/>
      <c r="DNK4" s="657"/>
      <c r="DNL4" s="657"/>
      <c r="DNM4" s="657"/>
      <c r="DNN4" s="657"/>
      <c r="DNO4" s="657"/>
      <c r="DNP4" s="657"/>
      <c r="DNQ4" s="657"/>
      <c r="DNR4" s="657"/>
      <c r="DNS4" s="657"/>
      <c r="DNT4" s="657"/>
      <c r="DNU4" s="657"/>
      <c r="DNV4" s="657"/>
      <c r="DNW4" s="657"/>
      <c r="DNX4" s="657"/>
      <c r="DNY4" s="657"/>
      <c r="DNZ4" s="657"/>
      <c r="DOA4" s="657"/>
      <c r="DOB4" s="657"/>
      <c r="DOC4" s="657"/>
      <c r="DOD4" s="657"/>
      <c r="DOE4" s="657"/>
      <c r="DOF4" s="657"/>
      <c r="DOG4" s="657"/>
      <c r="DOH4" s="657"/>
      <c r="DOI4" s="657"/>
      <c r="DOJ4" s="657"/>
      <c r="DOK4" s="657"/>
      <c r="DOL4" s="657"/>
      <c r="DOM4" s="657"/>
      <c r="DON4" s="657"/>
      <c r="DOO4" s="657"/>
      <c r="DOP4" s="657"/>
      <c r="DOQ4" s="657"/>
      <c r="DOR4" s="657"/>
      <c r="DOS4" s="657"/>
      <c r="DOT4" s="657"/>
      <c r="DOU4" s="657"/>
      <c r="DOV4" s="657"/>
      <c r="DOW4" s="657"/>
      <c r="DOX4" s="657"/>
      <c r="DOY4" s="657"/>
      <c r="DOZ4" s="657"/>
      <c r="DPA4" s="657"/>
      <c r="DPB4" s="657"/>
      <c r="DPC4" s="657"/>
      <c r="DPD4" s="657"/>
      <c r="DPE4" s="657"/>
      <c r="DPF4" s="657"/>
      <c r="DPG4" s="657"/>
      <c r="DPH4" s="657"/>
      <c r="DPI4" s="657"/>
      <c r="DPJ4" s="657"/>
      <c r="DPK4" s="657"/>
      <c r="DPL4" s="657"/>
      <c r="DPM4" s="657"/>
      <c r="DPN4" s="657"/>
      <c r="DPO4" s="657"/>
      <c r="DPP4" s="657"/>
      <c r="DPQ4" s="657"/>
      <c r="DPR4" s="657"/>
      <c r="DPS4" s="657"/>
      <c r="DPT4" s="657"/>
      <c r="DPU4" s="657"/>
      <c r="DPV4" s="657"/>
      <c r="DPW4" s="657"/>
      <c r="DPX4" s="657"/>
      <c r="DPY4" s="657"/>
      <c r="DPZ4" s="657"/>
      <c r="DQA4" s="657"/>
      <c r="DQB4" s="657"/>
      <c r="DQC4" s="657"/>
      <c r="DQD4" s="657"/>
      <c r="DQE4" s="657"/>
      <c r="DQF4" s="657"/>
      <c r="DQG4" s="657"/>
      <c r="DQH4" s="657"/>
      <c r="DQI4" s="657"/>
      <c r="DQJ4" s="657"/>
      <c r="DQK4" s="657"/>
      <c r="DQL4" s="657"/>
      <c r="DQM4" s="657"/>
      <c r="DQN4" s="657"/>
      <c r="DQO4" s="657"/>
      <c r="DQP4" s="657"/>
      <c r="DQQ4" s="657"/>
      <c r="DQR4" s="657"/>
      <c r="DQS4" s="657"/>
      <c r="DQT4" s="657"/>
      <c r="DQU4" s="657"/>
      <c r="DQV4" s="657"/>
      <c r="DQW4" s="657"/>
      <c r="DQX4" s="657"/>
      <c r="DQY4" s="657"/>
      <c r="DQZ4" s="657"/>
      <c r="DRA4" s="657"/>
      <c r="DRB4" s="657"/>
      <c r="DRC4" s="657"/>
      <c r="DRD4" s="657"/>
      <c r="DRE4" s="657"/>
      <c r="DRF4" s="657"/>
      <c r="DRG4" s="657"/>
      <c r="DRH4" s="657"/>
      <c r="DRI4" s="657"/>
      <c r="DRJ4" s="657"/>
      <c r="DRK4" s="657"/>
      <c r="DRL4" s="657"/>
      <c r="DRM4" s="657"/>
      <c r="DRN4" s="657"/>
      <c r="DRO4" s="657"/>
      <c r="DRP4" s="657"/>
      <c r="DRQ4" s="657"/>
      <c r="DRR4" s="657"/>
      <c r="DRS4" s="657"/>
      <c r="DRT4" s="657"/>
      <c r="DRU4" s="657"/>
      <c r="DRV4" s="657"/>
      <c r="DRW4" s="657"/>
      <c r="DRX4" s="657"/>
      <c r="DRY4" s="657"/>
      <c r="DRZ4" s="657"/>
      <c r="DSA4" s="657"/>
      <c r="DSB4" s="657"/>
      <c r="DSC4" s="657"/>
      <c r="DSD4" s="657"/>
      <c r="DSE4" s="657"/>
      <c r="DSF4" s="657"/>
      <c r="DSG4" s="657"/>
      <c r="DSH4" s="657"/>
      <c r="DSI4" s="657"/>
      <c r="DSJ4" s="657"/>
      <c r="DSK4" s="657"/>
      <c r="DSL4" s="657"/>
      <c r="DSM4" s="657"/>
      <c r="DSN4" s="657"/>
      <c r="DSO4" s="657"/>
      <c r="DSP4" s="657"/>
      <c r="DSQ4" s="657"/>
      <c r="DSR4" s="657"/>
      <c r="DSS4" s="657"/>
      <c r="DST4" s="657"/>
      <c r="DSU4" s="657"/>
      <c r="DSV4" s="657"/>
      <c r="DSW4" s="657"/>
      <c r="DSX4" s="657"/>
      <c r="DSY4" s="657"/>
      <c r="DSZ4" s="657"/>
      <c r="DTA4" s="657"/>
      <c r="DTB4" s="657"/>
      <c r="DTC4" s="657"/>
      <c r="DTD4" s="657"/>
      <c r="DTE4" s="657"/>
      <c r="DTF4" s="657"/>
      <c r="DTG4" s="657"/>
      <c r="DTH4" s="657"/>
      <c r="DTI4" s="657"/>
      <c r="DTJ4" s="657"/>
      <c r="DTK4" s="657"/>
      <c r="DTL4" s="657"/>
      <c r="DTM4" s="657"/>
      <c r="DTN4" s="657"/>
      <c r="DTO4" s="657"/>
      <c r="DTP4" s="657"/>
      <c r="DTQ4" s="657"/>
      <c r="DTR4" s="657"/>
      <c r="DTS4" s="657"/>
      <c r="DTT4" s="657"/>
      <c r="DTU4" s="657"/>
      <c r="DTV4" s="657"/>
      <c r="DTW4" s="657"/>
      <c r="DTX4" s="657"/>
      <c r="DTY4" s="657"/>
      <c r="DTZ4" s="657"/>
      <c r="DUA4" s="657"/>
      <c r="DUB4" s="657"/>
      <c r="DUC4" s="657"/>
      <c r="DUD4" s="657"/>
      <c r="DUE4" s="657"/>
      <c r="DUF4" s="657"/>
      <c r="DUG4" s="657"/>
      <c r="DUH4" s="657"/>
      <c r="DUI4" s="657"/>
      <c r="DUJ4" s="657"/>
      <c r="DUK4" s="657"/>
      <c r="DUL4" s="657"/>
      <c r="DUM4" s="657"/>
      <c r="DUN4" s="657"/>
      <c r="DUO4" s="657"/>
      <c r="DUP4" s="657"/>
      <c r="DUQ4" s="657"/>
      <c r="DUR4" s="657"/>
      <c r="DUS4" s="657"/>
      <c r="DUT4" s="657"/>
      <c r="DUU4" s="657"/>
      <c r="DUV4" s="657"/>
      <c r="DUW4" s="657"/>
      <c r="DUX4" s="657"/>
      <c r="DUY4" s="657"/>
      <c r="DUZ4" s="657"/>
      <c r="DVA4" s="657"/>
      <c r="DVB4" s="657"/>
      <c r="DVC4" s="657"/>
      <c r="DVD4" s="657"/>
      <c r="DVE4" s="657"/>
      <c r="DVF4" s="657"/>
      <c r="DVG4" s="657"/>
      <c r="DVH4" s="657"/>
      <c r="DVI4" s="657"/>
      <c r="DVJ4" s="657"/>
      <c r="DVK4" s="657"/>
      <c r="DVL4" s="657"/>
      <c r="DVM4" s="657"/>
      <c r="DVN4" s="657"/>
      <c r="DVO4" s="657"/>
      <c r="DVP4" s="657"/>
      <c r="DVQ4" s="657"/>
      <c r="DVR4" s="657"/>
      <c r="DVS4" s="657"/>
      <c r="DVT4" s="657"/>
      <c r="DVU4" s="657"/>
      <c r="DVV4" s="657"/>
      <c r="DVW4" s="657"/>
      <c r="DVX4" s="657"/>
      <c r="DVY4" s="657"/>
      <c r="DVZ4" s="657"/>
      <c r="DWA4" s="657"/>
      <c r="DWB4" s="657"/>
      <c r="DWC4" s="657"/>
      <c r="DWD4" s="657"/>
      <c r="DWE4" s="657"/>
      <c r="DWF4" s="657"/>
      <c r="DWG4" s="657"/>
      <c r="DWH4" s="657"/>
      <c r="DWI4" s="657"/>
      <c r="DWJ4" s="657"/>
      <c r="DWK4" s="657"/>
      <c r="DWL4" s="657"/>
      <c r="DWM4" s="657"/>
      <c r="DWN4" s="657"/>
      <c r="DWO4" s="657"/>
      <c r="DWP4" s="657"/>
      <c r="DWQ4" s="657"/>
      <c r="DWR4" s="657"/>
      <c r="DWS4" s="657"/>
      <c r="DWT4" s="657"/>
      <c r="DWU4" s="657"/>
      <c r="DWV4" s="657"/>
      <c r="DWW4" s="657"/>
      <c r="DWX4" s="657"/>
      <c r="DWY4" s="657"/>
      <c r="DWZ4" s="657"/>
      <c r="DXA4" s="657"/>
      <c r="DXB4" s="657"/>
      <c r="DXC4" s="657"/>
      <c r="DXD4" s="657"/>
      <c r="DXE4" s="657"/>
      <c r="DXF4" s="657"/>
      <c r="DXG4" s="657"/>
      <c r="DXH4" s="657"/>
      <c r="DXI4" s="657"/>
      <c r="DXJ4" s="657"/>
      <c r="DXK4" s="657"/>
      <c r="DXL4" s="657"/>
      <c r="DXM4" s="657"/>
      <c r="DXN4" s="657"/>
      <c r="DXO4" s="657"/>
      <c r="DXP4" s="657"/>
      <c r="DXQ4" s="657"/>
      <c r="DXR4" s="657"/>
      <c r="DXS4" s="657"/>
      <c r="DXT4" s="657"/>
      <c r="DXU4" s="657"/>
      <c r="DXV4" s="657"/>
      <c r="DXW4" s="657"/>
      <c r="DXX4" s="657"/>
      <c r="DXY4" s="657"/>
      <c r="DXZ4" s="657"/>
      <c r="DYA4" s="657"/>
      <c r="DYB4" s="657"/>
      <c r="DYC4" s="657"/>
      <c r="DYD4" s="657"/>
      <c r="DYE4" s="657"/>
      <c r="DYF4" s="657"/>
      <c r="DYG4" s="657"/>
      <c r="DYH4" s="657"/>
      <c r="DYI4" s="657"/>
      <c r="DYJ4" s="657"/>
      <c r="DYK4" s="657"/>
      <c r="DYL4" s="657"/>
      <c r="DYM4" s="657"/>
      <c r="DYN4" s="657"/>
      <c r="DYO4" s="657"/>
      <c r="DYP4" s="657"/>
      <c r="DYQ4" s="657"/>
      <c r="DYR4" s="657"/>
      <c r="DYS4" s="657"/>
      <c r="DYT4" s="657"/>
      <c r="DYU4" s="657"/>
      <c r="DYV4" s="657"/>
      <c r="DYW4" s="657"/>
      <c r="DYX4" s="657"/>
      <c r="DYY4" s="657"/>
      <c r="DYZ4" s="657"/>
      <c r="DZA4" s="657"/>
      <c r="DZB4" s="657"/>
      <c r="DZC4" s="657"/>
      <c r="DZD4" s="657"/>
      <c r="DZE4" s="657"/>
      <c r="DZF4" s="657"/>
      <c r="DZG4" s="657"/>
      <c r="DZH4" s="657"/>
      <c r="DZI4" s="657"/>
      <c r="DZJ4" s="657"/>
      <c r="DZK4" s="657"/>
      <c r="DZL4" s="657"/>
      <c r="DZM4" s="657"/>
      <c r="DZN4" s="657"/>
      <c r="DZO4" s="657"/>
      <c r="DZP4" s="657"/>
      <c r="DZQ4" s="657"/>
      <c r="DZR4" s="657"/>
      <c r="DZS4" s="657"/>
      <c r="DZT4" s="657"/>
      <c r="DZU4" s="657"/>
      <c r="DZV4" s="657"/>
      <c r="DZW4" s="657"/>
      <c r="DZX4" s="657"/>
      <c r="DZY4" s="657"/>
      <c r="DZZ4" s="657"/>
      <c r="EAA4" s="657"/>
      <c r="EAB4" s="657"/>
      <c r="EAC4" s="657"/>
      <c r="EAD4" s="657"/>
      <c r="EAE4" s="657"/>
      <c r="EAF4" s="657"/>
      <c r="EAG4" s="657"/>
      <c r="EAH4" s="657"/>
      <c r="EAI4" s="657"/>
      <c r="EAJ4" s="657"/>
      <c r="EAK4" s="657"/>
      <c r="EAL4" s="657"/>
      <c r="EAM4" s="657"/>
      <c r="EAN4" s="657"/>
      <c r="EAO4" s="657"/>
      <c r="EAP4" s="657"/>
      <c r="EAQ4" s="657"/>
      <c r="EAR4" s="657"/>
      <c r="EAS4" s="657"/>
      <c r="EAT4" s="657"/>
      <c r="EAU4" s="657"/>
      <c r="EAV4" s="657"/>
      <c r="EAW4" s="657"/>
      <c r="EAX4" s="657"/>
      <c r="EAY4" s="657"/>
      <c r="EAZ4" s="657"/>
      <c r="EBA4" s="657"/>
      <c r="EBB4" s="657"/>
      <c r="EBC4" s="657"/>
      <c r="EBD4" s="657"/>
      <c r="EBE4" s="657"/>
      <c r="EBF4" s="657"/>
      <c r="EBG4" s="657"/>
      <c r="EBH4" s="657"/>
      <c r="EBI4" s="657"/>
      <c r="EBJ4" s="657"/>
      <c r="EBK4" s="657"/>
      <c r="EBL4" s="657"/>
      <c r="EBM4" s="657"/>
      <c r="EBN4" s="657"/>
      <c r="EBO4" s="657"/>
      <c r="EBP4" s="657"/>
      <c r="EBQ4" s="657"/>
      <c r="EBR4" s="657"/>
      <c r="EBS4" s="657"/>
      <c r="EBT4" s="657"/>
      <c r="EBU4" s="657"/>
      <c r="EBV4" s="657"/>
      <c r="EBW4" s="657"/>
      <c r="EBX4" s="657"/>
      <c r="EBY4" s="657"/>
      <c r="EBZ4" s="657"/>
      <c r="ECA4" s="657"/>
      <c r="ECB4" s="657"/>
      <c r="ECC4" s="657"/>
      <c r="ECD4" s="657"/>
      <c r="ECE4" s="657"/>
      <c r="ECF4" s="657"/>
      <c r="ECG4" s="657"/>
      <c r="ECH4" s="657"/>
      <c r="ECI4" s="657"/>
      <c r="ECJ4" s="657"/>
      <c r="ECK4" s="657"/>
      <c r="ECL4" s="657"/>
      <c r="ECM4" s="657"/>
      <c r="ECN4" s="657"/>
      <c r="ECO4" s="657"/>
      <c r="ECP4" s="657"/>
      <c r="ECQ4" s="657"/>
      <c r="ECR4" s="657"/>
      <c r="ECS4" s="657"/>
      <c r="ECT4" s="657"/>
      <c r="ECU4" s="657"/>
      <c r="ECV4" s="657"/>
      <c r="ECW4" s="657"/>
      <c r="ECX4" s="657"/>
      <c r="ECY4" s="657"/>
      <c r="ECZ4" s="657"/>
      <c r="EDA4" s="657"/>
      <c r="EDB4" s="657"/>
      <c r="EDC4" s="657"/>
      <c r="EDD4" s="657"/>
      <c r="EDE4" s="657"/>
      <c r="EDF4" s="657"/>
      <c r="EDG4" s="657"/>
      <c r="EDH4" s="657"/>
      <c r="EDI4" s="657"/>
      <c r="EDJ4" s="657"/>
      <c r="EDK4" s="657"/>
      <c r="EDL4" s="657"/>
      <c r="EDM4" s="657"/>
      <c r="EDN4" s="657"/>
      <c r="EDO4" s="657"/>
      <c r="EDP4" s="657"/>
      <c r="EDQ4" s="657"/>
      <c r="EDR4" s="657"/>
      <c r="EDS4" s="657"/>
      <c r="EDT4" s="657"/>
      <c r="EDU4" s="657"/>
      <c r="EDV4" s="657"/>
      <c r="EDW4" s="657"/>
      <c r="EDX4" s="657"/>
      <c r="EDY4" s="657"/>
      <c r="EDZ4" s="657"/>
      <c r="EEA4" s="657"/>
      <c r="EEB4" s="657"/>
      <c r="EEC4" s="657"/>
      <c r="EED4" s="657"/>
      <c r="EEE4" s="657"/>
      <c r="EEF4" s="657"/>
      <c r="EEG4" s="657"/>
      <c r="EEH4" s="657"/>
      <c r="EEI4" s="657"/>
      <c r="EEJ4" s="657"/>
      <c r="EEK4" s="657"/>
      <c r="EEL4" s="657"/>
      <c r="EEM4" s="657"/>
      <c r="EEN4" s="657"/>
      <c r="EEO4" s="657"/>
      <c r="EEP4" s="657"/>
      <c r="EEQ4" s="657"/>
      <c r="EER4" s="657"/>
      <c r="EES4" s="657"/>
      <c r="EET4" s="657"/>
      <c r="EEU4" s="657"/>
      <c r="EEV4" s="657"/>
      <c r="EEW4" s="657"/>
      <c r="EEX4" s="657"/>
      <c r="EEY4" s="657"/>
      <c r="EEZ4" s="657"/>
      <c r="EFA4" s="657"/>
      <c r="EFB4" s="657"/>
      <c r="EFC4" s="657"/>
      <c r="EFD4" s="657"/>
      <c r="EFE4" s="657"/>
      <c r="EFF4" s="657"/>
      <c r="EFG4" s="657"/>
      <c r="EFH4" s="657"/>
      <c r="EFI4" s="657"/>
      <c r="EFJ4" s="657"/>
      <c r="EFK4" s="657"/>
      <c r="EFL4" s="657"/>
      <c r="EFM4" s="657"/>
      <c r="EFN4" s="657"/>
      <c r="EFO4" s="657"/>
      <c r="EFP4" s="657"/>
      <c r="EFQ4" s="657"/>
      <c r="EFR4" s="657"/>
      <c r="EFS4" s="657"/>
      <c r="EFT4" s="657"/>
      <c r="EFU4" s="657"/>
      <c r="EFV4" s="657"/>
      <c r="EFW4" s="657"/>
      <c r="EFX4" s="657"/>
      <c r="EFY4" s="657"/>
      <c r="EFZ4" s="657"/>
      <c r="EGA4" s="657"/>
      <c r="EGB4" s="657"/>
      <c r="EGC4" s="657"/>
      <c r="EGD4" s="657"/>
      <c r="EGE4" s="657"/>
      <c r="EGF4" s="657"/>
      <c r="EGG4" s="657"/>
      <c r="EGH4" s="657"/>
      <c r="EGI4" s="657"/>
      <c r="EGJ4" s="657"/>
      <c r="EGK4" s="657"/>
      <c r="EGL4" s="657"/>
      <c r="EGM4" s="657"/>
      <c r="EGN4" s="657"/>
      <c r="EGO4" s="657"/>
      <c r="EGP4" s="657"/>
      <c r="EGQ4" s="657"/>
      <c r="EGR4" s="657"/>
      <c r="EGS4" s="657"/>
      <c r="EGT4" s="657"/>
      <c r="EGU4" s="657"/>
      <c r="EGV4" s="657"/>
      <c r="EGW4" s="657"/>
      <c r="EGX4" s="657"/>
      <c r="EGY4" s="657"/>
      <c r="EGZ4" s="657"/>
      <c r="EHA4" s="657"/>
      <c r="EHB4" s="657"/>
      <c r="EHC4" s="657"/>
      <c r="EHD4" s="657"/>
      <c r="EHE4" s="657"/>
      <c r="EHF4" s="657"/>
      <c r="EHG4" s="657"/>
      <c r="EHH4" s="657"/>
      <c r="EHI4" s="657"/>
      <c r="EHJ4" s="657"/>
      <c r="EHK4" s="657"/>
      <c r="EHL4" s="657"/>
      <c r="EHM4" s="657"/>
      <c r="EHN4" s="657"/>
      <c r="EHO4" s="657"/>
      <c r="EHP4" s="657"/>
      <c r="EHQ4" s="657"/>
      <c r="EHR4" s="657"/>
      <c r="EHS4" s="657"/>
      <c r="EHT4" s="657"/>
      <c r="EHU4" s="657"/>
      <c r="EHV4" s="657"/>
      <c r="EHW4" s="657"/>
      <c r="EHX4" s="657"/>
      <c r="EHY4" s="657"/>
      <c r="EHZ4" s="657"/>
      <c r="EIA4" s="657"/>
      <c r="EIB4" s="657"/>
      <c r="EIC4" s="657"/>
      <c r="EID4" s="657"/>
      <c r="EIE4" s="657"/>
      <c r="EIF4" s="657"/>
      <c r="EIG4" s="657"/>
      <c r="EIH4" s="657"/>
      <c r="EII4" s="657"/>
      <c r="EIJ4" s="657"/>
      <c r="EIK4" s="657"/>
      <c r="EIL4" s="657"/>
      <c r="EIM4" s="657"/>
      <c r="EIN4" s="657"/>
      <c r="EIO4" s="657"/>
      <c r="EIP4" s="657"/>
      <c r="EIQ4" s="657"/>
      <c r="EIR4" s="657"/>
      <c r="EIS4" s="657"/>
      <c r="EIT4" s="657"/>
      <c r="EIU4" s="657"/>
      <c r="EIV4" s="657"/>
      <c r="EIW4" s="657"/>
      <c r="EIX4" s="657"/>
      <c r="EIY4" s="657"/>
      <c r="EIZ4" s="657"/>
      <c r="EJA4" s="657"/>
      <c r="EJB4" s="657"/>
      <c r="EJC4" s="657"/>
      <c r="EJD4" s="657"/>
      <c r="EJE4" s="657"/>
      <c r="EJF4" s="657"/>
      <c r="EJG4" s="657"/>
      <c r="EJH4" s="657"/>
      <c r="EJI4" s="657"/>
      <c r="EJJ4" s="657"/>
      <c r="EJK4" s="657"/>
      <c r="EJL4" s="657"/>
      <c r="EJM4" s="657"/>
      <c r="EJN4" s="657"/>
      <c r="EJO4" s="657"/>
      <c r="EJP4" s="657"/>
      <c r="EJQ4" s="657"/>
      <c r="EJR4" s="657"/>
      <c r="EJS4" s="657"/>
      <c r="EJT4" s="657"/>
      <c r="EJU4" s="657"/>
      <c r="EJV4" s="657"/>
      <c r="EJW4" s="657"/>
      <c r="EJX4" s="657"/>
      <c r="EJY4" s="657"/>
      <c r="EJZ4" s="657"/>
      <c r="EKA4" s="657"/>
      <c r="EKB4" s="657"/>
      <c r="EKC4" s="657"/>
      <c r="EKD4" s="657"/>
      <c r="EKE4" s="657"/>
      <c r="EKF4" s="657"/>
      <c r="EKG4" s="657"/>
      <c r="EKH4" s="657"/>
      <c r="EKI4" s="657"/>
      <c r="EKJ4" s="657"/>
      <c r="EKK4" s="657"/>
      <c r="EKL4" s="657"/>
      <c r="EKM4" s="657"/>
      <c r="EKN4" s="657"/>
      <c r="EKO4" s="657"/>
      <c r="EKP4" s="657"/>
      <c r="EKQ4" s="657"/>
      <c r="EKR4" s="657"/>
      <c r="EKS4" s="657"/>
      <c r="EKT4" s="657"/>
      <c r="EKU4" s="657"/>
      <c r="EKV4" s="657"/>
      <c r="EKW4" s="657"/>
      <c r="EKX4" s="657"/>
      <c r="EKY4" s="657"/>
      <c r="EKZ4" s="657"/>
      <c r="ELA4" s="657"/>
      <c r="ELB4" s="657"/>
      <c r="ELC4" s="657"/>
      <c r="ELD4" s="657"/>
      <c r="ELE4" s="657"/>
      <c r="ELF4" s="657"/>
      <c r="ELG4" s="657"/>
      <c r="ELH4" s="657"/>
      <c r="ELI4" s="657"/>
      <c r="ELJ4" s="657"/>
      <c r="ELK4" s="657"/>
      <c r="ELL4" s="657"/>
      <c r="ELM4" s="657"/>
      <c r="ELN4" s="657"/>
      <c r="ELO4" s="657"/>
      <c r="ELP4" s="657"/>
      <c r="ELQ4" s="657"/>
      <c r="ELR4" s="657"/>
      <c r="ELS4" s="657"/>
      <c r="ELT4" s="657"/>
      <c r="ELU4" s="657"/>
      <c r="ELV4" s="657"/>
      <c r="ELW4" s="657"/>
      <c r="ELX4" s="657"/>
      <c r="ELY4" s="657"/>
      <c r="ELZ4" s="657"/>
      <c r="EMA4" s="657"/>
      <c r="EMB4" s="657"/>
      <c r="EMC4" s="657"/>
      <c r="EMD4" s="657"/>
      <c r="EME4" s="657"/>
      <c r="EMF4" s="657"/>
      <c r="EMG4" s="657"/>
      <c r="EMH4" s="657"/>
      <c r="EMI4" s="657"/>
      <c r="EMJ4" s="657"/>
      <c r="EMK4" s="657"/>
      <c r="EML4" s="657"/>
      <c r="EMM4" s="657"/>
      <c r="EMN4" s="657"/>
      <c r="EMO4" s="657"/>
      <c r="EMP4" s="657"/>
      <c r="EMQ4" s="657"/>
      <c r="EMR4" s="657"/>
      <c r="EMS4" s="657"/>
      <c r="EMT4" s="657"/>
      <c r="EMU4" s="657"/>
      <c r="EMV4" s="657"/>
      <c r="EMW4" s="657"/>
      <c r="EMX4" s="657"/>
      <c r="EMY4" s="657"/>
      <c r="EMZ4" s="657"/>
      <c r="ENA4" s="657"/>
      <c r="ENB4" s="657"/>
      <c r="ENC4" s="657"/>
      <c r="END4" s="657"/>
      <c r="ENE4" s="657"/>
      <c r="ENF4" s="657"/>
      <c r="ENG4" s="657"/>
      <c r="ENH4" s="657"/>
      <c r="ENI4" s="657"/>
      <c r="ENJ4" s="657"/>
      <c r="ENK4" s="657"/>
      <c r="ENL4" s="657"/>
      <c r="ENM4" s="657"/>
      <c r="ENN4" s="657"/>
      <c r="ENO4" s="657"/>
      <c r="ENP4" s="657"/>
      <c r="ENQ4" s="657"/>
      <c r="ENR4" s="657"/>
      <c r="ENS4" s="657"/>
      <c r="ENT4" s="657"/>
      <c r="ENU4" s="657"/>
      <c r="ENV4" s="657"/>
      <c r="ENW4" s="657"/>
      <c r="ENX4" s="657"/>
      <c r="ENY4" s="657"/>
      <c r="ENZ4" s="657"/>
      <c r="EOA4" s="657"/>
      <c r="EOB4" s="657"/>
      <c r="EOC4" s="657"/>
      <c r="EOD4" s="657"/>
      <c r="EOE4" s="657"/>
      <c r="EOF4" s="657"/>
      <c r="EOG4" s="657"/>
      <c r="EOH4" s="657"/>
      <c r="EOI4" s="657"/>
      <c r="EOJ4" s="657"/>
      <c r="EOK4" s="657"/>
      <c r="EOL4" s="657"/>
      <c r="EOM4" s="657"/>
      <c r="EON4" s="657"/>
      <c r="EOO4" s="657"/>
      <c r="EOP4" s="657"/>
      <c r="EOQ4" s="657"/>
      <c r="EOR4" s="657"/>
      <c r="EOS4" s="657"/>
      <c r="EOT4" s="657"/>
      <c r="EOU4" s="657"/>
      <c r="EOV4" s="657"/>
      <c r="EOW4" s="657"/>
      <c r="EOX4" s="657"/>
      <c r="EOY4" s="657"/>
      <c r="EOZ4" s="657"/>
      <c r="EPA4" s="657"/>
      <c r="EPB4" s="657"/>
      <c r="EPC4" s="657"/>
      <c r="EPD4" s="657"/>
      <c r="EPE4" s="657"/>
      <c r="EPF4" s="657"/>
      <c r="EPG4" s="657"/>
      <c r="EPH4" s="657"/>
      <c r="EPI4" s="657"/>
      <c r="EPJ4" s="657"/>
      <c r="EPK4" s="657"/>
      <c r="EPL4" s="657"/>
      <c r="EPM4" s="657"/>
      <c r="EPN4" s="657"/>
      <c r="EPO4" s="657"/>
      <c r="EPP4" s="657"/>
      <c r="EPQ4" s="657"/>
      <c r="EPR4" s="657"/>
      <c r="EPS4" s="657"/>
      <c r="EPT4" s="657"/>
      <c r="EPU4" s="657"/>
      <c r="EPV4" s="657"/>
      <c r="EPW4" s="657"/>
      <c r="EPX4" s="657"/>
      <c r="EPY4" s="657"/>
      <c r="EPZ4" s="657"/>
      <c r="EQA4" s="657"/>
      <c r="EQB4" s="657"/>
      <c r="EQC4" s="657"/>
      <c r="EQD4" s="657"/>
      <c r="EQE4" s="657"/>
      <c r="EQF4" s="657"/>
      <c r="EQG4" s="657"/>
      <c r="EQH4" s="657"/>
      <c r="EQI4" s="657"/>
      <c r="EQJ4" s="657"/>
      <c r="EQK4" s="657"/>
      <c r="EQL4" s="657"/>
      <c r="EQM4" s="657"/>
      <c r="EQN4" s="657"/>
      <c r="EQO4" s="657"/>
      <c r="EQP4" s="657"/>
      <c r="EQQ4" s="657"/>
      <c r="EQR4" s="657"/>
      <c r="EQS4" s="657"/>
      <c r="EQT4" s="657"/>
      <c r="EQU4" s="657"/>
      <c r="EQV4" s="657"/>
      <c r="EQW4" s="657"/>
      <c r="EQX4" s="657"/>
      <c r="EQY4" s="657"/>
      <c r="EQZ4" s="657"/>
      <c r="ERA4" s="657"/>
      <c r="ERB4" s="657"/>
      <c r="ERC4" s="657"/>
      <c r="ERD4" s="657"/>
      <c r="ERE4" s="657"/>
      <c r="ERF4" s="657"/>
      <c r="ERG4" s="657"/>
      <c r="ERH4" s="657"/>
      <c r="ERI4" s="657"/>
      <c r="ERJ4" s="657"/>
      <c r="ERK4" s="657"/>
      <c r="ERL4" s="657"/>
      <c r="ERM4" s="657"/>
      <c r="ERN4" s="657"/>
      <c r="ERO4" s="657"/>
      <c r="ERP4" s="657"/>
      <c r="ERQ4" s="657"/>
      <c r="ERR4" s="657"/>
      <c r="ERS4" s="657"/>
      <c r="ERT4" s="657"/>
      <c r="ERU4" s="657"/>
      <c r="ERV4" s="657"/>
      <c r="ERW4" s="657"/>
      <c r="ERX4" s="657"/>
      <c r="ERY4" s="657"/>
      <c r="ERZ4" s="657"/>
      <c r="ESA4" s="657"/>
      <c r="ESB4" s="657"/>
      <c r="ESC4" s="657"/>
      <c r="ESD4" s="657"/>
      <c r="ESE4" s="657"/>
      <c r="ESF4" s="657"/>
      <c r="ESG4" s="657"/>
      <c r="ESH4" s="657"/>
      <c r="ESI4" s="657"/>
      <c r="ESJ4" s="657"/>
      <c r="ESK4" s="657"/>
      <c r="ESL4" s="657"/>
      <c r="ESM4" s="657"/>
      <c r="ESN4" s="657"/>
      <c r="ESO4" s="657"/>
      <c r="ESP4" s="657"/>
      <c r="ESQ4" s="657"/>
      <c r="ESR4" s="657"/>
      <c r="ESS4" s="657"/>
      <c r="EST4" s="657"/>
      <c r="ESU4" s="657"/>
      <c r="ESV4" s="657"/>
      <c r="ESW4" s="657"/>
      <c r="ESX4" s="657"/>
      <c r="ESY4" s="657"/>
      <c r="ESZ4" s="657"/>
      <c r="ETA4" s="657"/>
      <c r="ETB4" s="657"/>
      <c r="ETC4" s="657"/>
      <c r="ETD4" s="657"/>
      <c r="ETE4" s="657"/>
      <c r="ETF4" s="657"/>
      <c r="ETG4" s="657"/>
      <c r="ETH4" s="657"/>
      <c r="ETI4" s="657"/>
      <c r="ETJ4" s="657"/>
      <c r="ETK4" s="657"/>
      <c r="ETL4" s="657"/>
      <c r="ETM4" s="657"/>
      <c r="ETN4" s="657"/>
      <c r="ETO4" s="657"/>
      <c r="ETP4" s="657"/>
      <c r="ETQ4" s="657"/>
      <c r="ETR4" s="657"/>
      <c r="ETS4" s="657"/>
      <c r="ETT4" s="657"/>
      <c r="ETU4" s="657"/>
      <c r="ETV4" s="657"/>
      <c r="ETW4" s="657"/>
      <c r="ETX4" s="657"/>
      <c r="ETY4" s="657"/>
      <c r="ETZ4" s="657"/>
      <c r="EUA4" s="657"/>
      <c r="EUB4" s="657"/>
      <c r="EUC4" s="657"/>
      <c r="EUD4" s="657"/>
      <c r="EUE4" s="657"/>
      <c r="EUF4" s="657"/>
      <c r="EUG4" s="657"/>
      <c r="EUH4" s="657"/>
      <c r="EUI4" s="657"/>
      <c r="EUJ4" s="657"/>
      <c r="EUK4" s="657"/>
      <c r="EUL4" s="657"/>
      <c r="EUM4" s="657"/>
      <c r="EUN4" s="657"/>
      <c r="EUO4" s="657"/>
      <c r="EUP4" s="657"/>
      <c r="EUQ4" s="657"/>
      <c r="EUR4" s="657"/>
      <c r="EUS4" s="657"/>
      <c r="EUT4" s="657"/>
      <c r="EUU4" s="657"/>
      <c r="EUV4" s="657"/>
      <c r="EUW4" s="657"/>
      <c r="EUX4" s="657"/>
      <c r="EUY4" s="657"/>
      <c r="EUZ4" s="657"/>
      <c r="EVA4" s="657"/>
      <c r="EVB4" s="657"/>
      <c r="EVC4" s="657"/>
      <c r="EVD4" s="657"/>
      <c r="EVE4" s="657"/>
      <c r="EVF4" s="657"/>
      <c r="EVG4" s="657"/>
      <c r="EVH4" s="657"/>
      <c r="EVI4" s="657"/>
      <c r="EVJ4" s="657"/>
      <c r="EVK4" s="657"/>
      <c r="EVL4" s="657"/>
      <c r="EVM4" s="657"/>
      <c r="EVN4" s="657"/>
      <c r="EVO4" s="657"/>
      <c r="EVP4" s="657"/>
      <c r="EVQ4" s="657"/>
      <c r="EVR4" s="657"/>
      <c r="EVS4" s="657"/>
      <c r="EVT4" s="657"/>
      <c r="EVU4" s="657"/>
      <c r="EVV4" s="657"/>
      <c r="EVW4" s="657"/>
      <c r="EVX4" s="657"/>
      <c r="EVY4" s="657"/>
      <c r="EVZ4" s="657"/>
      <c r="EWA4" s="657"/>
      <c r="EWB4" s="657"/>
      <c r="EWC4" s="657"/>
      <c r="EWD4" s="657"/>
      <c r="EWE4" s="657"/>
      <c r="EWF4" s="657"/>
      <c r="EWG4" s="657"/>
      <c r="EWH4" s="657"/>
      <c r="EWI4" s="657"/>
      <c r="EWJ4" s="657"/>
      <c r="EWK4" s="657"/>
      <c r="EWL4" s="657"/>
      <c r="EWM4" s="657"/>
      <c r="EWN4" s="657"/>
      <c r="EWO4" s="657"/>
      <c r="EWP4" s="657"/>
      <c r="EWQ4" s="657"/>
      <c r="EWR4" s="657"/>
      <c r="EWS4" s="657"/>
      <c r="EWT4" s="657"/>
      <c r="EWU4" s="657"/>
      <c r="EWV4" s="657"/>
      <c r="EWW4" s="657"/>
      <c r="EWX4" s="657"/>
      <c r="EWY4" s="657"/>
      <c r="EWZ4" s="657"/>
      <c r="EXA4" s="657"/>
      <c r="EXB4" s="657"/>
      <c r="EXC4" s="657"/>
      <c r="EXD4" s="657"/>
      <c r="EXE4" s="657"/>
      <c r="EXF4" s="657"/>
      <c r="EXG4" s="657"/>
      <c r="EXH4" s="657"/>
      <c r="EXI4" s="657"/>
      <c r="EXJ4" s="657"/>
      <c r="EXK4" s="657"/>
      <c r="EXL4" s="657"/>
      <c r="EXM4" s="657"/>
      <c r="EXN4" s="657"/>
      <c r="EXO4" s="657"/>
      <c r="EXP4" s="657"/>
      <c r="EXQ4" s="657"/>
      <c r="EXR4" s="657"/>
      <c r="EXS4" s="657"/>
      <c r="EXT4" s="657"/>
      <c r="EXU4" s="657"/>
      <c r="EXV4" s="657"/>
      <c r="EXW4" s="657"/>
      <c r="EXX4" s="657"/>
      <c r="EXY4" s="657"/>
      <c r="EXZ4" s="657"/>
      <c r="EYA4" s="657"/>
      <c r="EYB4" s="657"/>
      <c r="EYC4" s="657"/>
      <c r="EYD4" s="657"/>
      <c r="EYE4" s="657"/>
      <c r="EYF4" s="657"/>
      <c r="EYG4" s="657"/>
      <c r="EYH4" s="657"/>
      <c r="EYI4" s="657"/>
      <c r="EYJ4" s="657"/>
      <c r="EYK4" s="657"/>
      <c r="EYL4" s="657"/>
      <c r="EYM4" s="657"/>
      <c r="EYN4" s="657"/>
      <c r="EYO4" s="657"/>
      <c r="EYP4" s="657"/>
      <c r="EYQ4" s="657"/>
      <c r="EYR4" s="657"/>
      <c r="EYS4" s="657"/>
      <c r="EYT4" s="657"/>
      <c r="EYU4" s="657"/>
      <c r="EYV4" s="657"/>
      <c r="EYW4" s="657"/>
      <c r="EYX4" s="657"/>
      <c r="EYY4" s="657"/>
      <c r="EYZ4" s="657"/>
      <c r="EZA4" s="657"/>
      <c r="EZB4" s="657"/>
      <c r="EZC4" s="657"/>
      <c r="EZD4" s="657"/>
      <c r="EZE4" s="657"/>
      <c r="EZF4" s="657"/>
      <c r="EZG4" s="657"/>
      <c r="EZH4" s="657"/>
      <c r="EZI4" s="657"/>
      <c r="EZJ4" s="657"/>
      <c r="EZK4" s="657"/>
      <c r="EZL4" s="657"/>
      <c r="EZM4" s="657"/>
      <c r="EZN4" s="657"/>
      <c r="EZO4" s="657"/>
      <c r="EZP4" s="657"/>
      <c r="EZQ4" s="657"/>
      <c r="EZR4" s="657"/>
      <c r="EZS4" s="657"/>
      <c r="EZT4" s="657"/>
      <c r="EZU4" s="657"/>
      <c r="EZV4" s="657"/>
      <c r="EZW4" s="657"/>
      <c r="EZX4" s="657"/>
      <c r="EZY4" s="657"/>
      <c r="EZZ4" s="657"/>
      <c r="FAA4" s="657"/>
      <c r="FAB4" s="657"/>
      <c r="FAC4" s="657"/>
      <c r="FAD4" s="657"/>
      <c r="FAE4" s="657"/>
      <c r="FAF4" s="657"/>
      <c r="FAG4" s="657"/>
      <c r="FAH4" s="657"/>
      <c r="FAI4" s="657"/>
      <c r="FAJ4" s="657"/>
      <c r="FAK4" s="657"/>
      <c r="FAL4" s="657"/>
      <c r="FAM4" s="657"/>
      <c r="FAN4" s="657"/>
      <c r="FAO4" s="657"/>
      <c r="FAP4" s="657"/>
      <c r="FAQ4" s="657"/>
      <c r="FAR4" s="657"/>
      <c r="FAS4" s="657"/>
      <c r="FAT4" s="657"/>
      <c r="FAU4" s="657"/>
      <c r="FAV4" s="657"/>
      <c r="FAW4" s="657"/>
      <c r="FAX4" s="657"/>
      <c r="FAY4" s="657"/>
      <c r="FAZ4" s="657"/>
      <c r="FBA4" s="657"/>
      <c r="FBB4" s="657"/>
      <c r="FBC4" s="657"/>
      <c r="FBD4" s="657"/>
      <c r="FBE4" s="657"/>
      <c r="FBF4" s="657"/>
      <c r="FBG4" s="657"/>
      <c r="FBH4" s="657"/>
      <c r="FBI4" s="657"/>
      <c r="FBJ4" s="657"/>
      <c r="FBK4" s="657"/>
      <c r="FBL4" s="657"/>
      <c r="FBM4" s="657"/>
      <c r="FBN4" s="657"/>
      <c r="FBO4" s="657"/>
      <c r="FBP4" s="657"/>
      <c r="FBQ4" s="657"/>
      <c r="FBR4" s="657"/>
      <c r="FBS4" s="657"/>
      <c r="FBT4" s="657"/>
      <c r="FBU4" s="657"/>
      <c r="FBV4" s="657"/>
      <c r="FBW4" s="657"/>
      <c r="FBX4" s="657"/>
      <c r="FBY4" s="657"/>
      <c r="FBZ4" s="657"/>
      <c r="FCA4" s="657"/>
      <c r="FCB4" s="657"/>
      <c r="FCC4" s="657"/>
      <c r="FCD4" s="657"/>
      <c r="FCE4" s="657"/>
      <c r="FCF4" s="657"/>
      <c r="FCG4" s="657"/>
      <c r="FCH4" s="657"/>
      <c r="FCI4" s="657"/>
      <c r="FCJ4" s="657"/>
      <c r="FCK4" s="657"/>
      <c r="FCL4" s="657"/>
      <c r="FCM4" s="657"/>
      <c r="FCN4" s="657"/>
      <c r="FCO4" s="657"/>
      <c r="FCP4" s="657"/>
      <c r="FCQ4" s="657"/>
      <c r="FCR4" s="657"/>
      <c r="FCS4" s="657"/>
      <c r="FCT4" s="657"/>
      <c r="FCU4" s="657"/>
      <c r="FCV4" s="657"/>
      <c r="FCW4" s="657"/>
      <c r="FCX4" s="657"/>
      <c r="FCY4" s="657"/>
      <c r="FCZ4" s="657"/>
      <c r="FDA4" s="657"/>
      <c r="FDB4" s="657"/>
      <c r="FDC4" s="657"/>
      <c r="FDD4" s="657"/>
      <c r="FDE4" s="657"/>
      <c r="FDF4" s="657"/>
      <c r="FDG4" s="657"/>
      <c r="FDH4" s="657"/>
      <c r="FDI4" s="657"/>
      <c r="FDJ4" s="657"/>
      <c r="FDK4" s="657"/>
      <c r="FDL4" s="657"/>
      <c r="FDM4" s="657"/>
      <c r="FDN4" s="657"/>
      <c r="FDO4" s="657"/>
      <c r="FDP4" s="657"/>
      <c r="FDQ4" s="657"/>
      <c r="FDR4" s="657"/>
      <c r="FDS4" s="657"/>
      <c r="FDT4" s="657"/>
      <c r="FDU4" s="657"/>
      <c r="FDV4" s="657"/>
      <c r="FDW4" s="657"/>
      <c r="FDX4" s="657"/>
      <c r="FDY4" s="657"/>
      <c r="FDZ4" s="657"/>
      <c r="FEA4" s="657"/>
      <c r="FEB4" s="657"/>
      <c r="FEC4" s="657"/>
      <c r="FED4" s="657"/>
      <c r="FEE4" s="657"/>
      <c r="FEF4" s="657"/>
      <c r="FEG4" s="657"/>
      <c r="FEH4" s="657"/>
      <c r="FEI4" s="657"/>
      <c r="FEJ4" s="657"/>
      <c r="FEK4" s="657"/>
      <c r="FEL4" s="657"/>
      <c r="FEM4" s="657"/>
      <c r="FEN4" s="657"/>
      <c r="FEO4" s="657"/>
      <c r="FEP4" s="657"/>
      <c r="FEQ4" s="657"/>
      <c r="FER4" s="657"/>
      <c r="FES4" s="657"/>
      <c r="FET4" s="657"/>
      <c r="FEU4" s="657"/>
      <c r="FEV4" s="657"/>
      <c r="FEW4" s="657"/>
      <c r="FEX4" s="657"/>
      <c r="FEY4" s="657"/>
      <c r="FEZ4" s="657"/>
      <c r="FFA4" s="657"/>
      <c r="FFB4" s="657"/>
      <c r="FFC4" s="657"/>
      <c r="FFD4" s="657"/>
      <c r="FFE4" s="657"/>
      <c r="FFF4" s="657"/>
      <c r="FFG4" s="657"/>
      <c r="FFH4" s="657"/>
      <c r="FFI4" s="657"/>
      <c r="FFJ4" s="657"/>
      <c r="FFK4" s="657"/>
      <c r="FFL4" s="657"/>
      <c r="FFM4" s="657"/>
      <c r="FFN4" s="657"/>
      <c r="FFO4" s="657"/>
      <c r="FFP4" s="657"/>
      <c r="FFQ4" s="657"/>
      <c r="FFR4" s="657"/>
      <c r="FFS4" s="657"/>
      <c r="FFT4" s="657"/>
      <c r="FFU4" s="657"/>
      <c r="FFV4" s="657"/>
      <c r="FFW4" s="657"/>
      <c r="FFX4" s="657"/>
      <c r="FFY4" s="657"/>
      <c r="FFZ4" s="657"/>
      <c r="FGA4" s="657"/>
      <c r="FGB4" s="657"/>
      <c r="FGC4" s="657"/>
      <c r="FGD4" s="657"/>
      <c r="FGE4" s="657"/>
      <c r="FGF4" s="657"/>
      <c r="FGG4" s="657"/>
      <c r="FGH4" s="657"/>
      <c r="FGI4" s="657"/>
      <c r="FGJ4" s="657"/>
      <c r="FGK4" s="657"/>
      <c r="FGL4" s="657"/>
      <c r="FGM4" s="657"/>
      <c r="FGN4" s="657"/>
      <c r="FGO4" s="657"/>
      <c r="FGP4" s="657"/>
      <c r="FGQ4" s="657"/>
      <c r="FGR4" s="657"/>
      <c r="FGS4" s="657"/>
      <c r="FGT4" s="657"/>
      <c r="FGU4" s="657"/>
      <c r="FGV4" s="657"/>
      <c r="FGW4" s="657"/>
      <c r="FGX4" s="657"/>
      <c r="FGY4" s="657"/>
      <c r="FGZ4" s="657"/>
      <c r="FHA4" s="657"/>
      <c r="FHB4" s="657"/>
      <c r="FHC4" s="657"/>
      <c r="FHD4" s="657"/>
      <c r="FHE4" s="657"/>
      <c r="FHF4" s="657"/>
      <c r="FHG4" s="657"/>
      <c r="FHH4" s="657"/>
      <c r="FHI4" s="657"/>
      <c r="FHJ4" s="657"/>
      <c r="FHK4" s="657"/>
      <c r="FHL4" s="657"/>
      <c r="FHM4" s="657"/>
      <c r="FHN4" s="657"/>
      <c r="FHO4" s="657"/>
      <c r="FHP4" s="657"/>
      <c r="FHQ4" s="657"/>
      <c r="FHR4" s="657"/>
      <c r="FHS4" s="657"/>
      <c r="FHT4" s="657"/>
      <c r="FHU4" s="657"/>
      <c r="FHV4" s="657"/>
      <c r="FHW4" s="657"/>
      <c r="FHX4" s="657"/>
      <c r="FHY4" s="657"/>
      <c r="FHZ4" s="657"/>
      <c r="FIA4" s="657"/>
      <c r="FIB4" s="657"/>
      <c r="FIC4" s="657"/>
      <c r="FID4" s="657"/>
      <c r="FIE4" s="657"/>
      <c r="FIF4" s="657"/>
      <c r="FIG4" s="657"/>
      <c r="FIH4" s="657"/>
      <c r="FII4" s="657"/>
      <c r="FIJ4" s="657"/>
      <c r="FIK4" s="657"/>
      <c r="FIL4" s="657"/>
      <c r="FIM4" s="657"/>
      <c r="FIN4" s="657"/>
      <c r="FIO4" s="657"/>
      <c r="FIP4" s="657"/>
      <c r="FIQ4" s="657"/>
      <c r="FIR4" s="657"/>
      <c r="FIS4" s="657"/>
      <c r="FIT4" s="657"/>
      <c r="FIU4" s="657"/>
      <c r="FIV4" s="657"/>
      <c r="FIW4" s="657"/>
      <c r="FIX4" s="657"/>
      <c r="FIY4" s="657"/>
      <c r="FIZ4" s="657"/>
      <c r="FJA4" s="657"/>
      <c r="FJB4" s="657"/>
      <c r="FJC4" s="657"/>
      <c r="FJD4" s="657"/>
      <c r="FJE4" s="657"/>
      <c r="FJF4" s="657"/>
      <c r="FJG4" s="657"/>
      <c r="FJH4" s="657"/>
      <c r="FJI4" s="657"/>
      <c r="FJJ4" s="657"/>
      <c r="FJK4" s="657"/>
      <c r="FJL4" s="657"/>
      <c r="FJM4" s="657"/>
      <c r="FJN4" s="657"/>
      <c r="FJO4" s="657"/>
      <c r="FJP4" s="657"/>
      <c r="FJQ4" s="657"/>
      <c r="FJR4" s="657"/>
      <c r="FJS4" s="657"/>
      <c r="FJT4" s="657"/>
      <c r="FJU4" s="657"/>
      <c r="FJV4" s="657"/>
      <c r="FJW4" s="657"/>
      <c r="FJX4" s="657"/>
      <c r="FJY4" s="657"/>
      <c r="FJZ4" s="657"/>
      <c r="FKA4" s="657"/>
      <c r="FKB4" s="657"/>
      <c r="FKC4" s="657"/>
      <c r="FKD4" s="657"/>
      <c r="FKE4" s="657"/>
      <c r="FKF4" s="657"/>
      <c r="FKG4" s="657"/>
      <c r="FKH4" s="657"/>
      <c r="FKI4" s="657"/>
      <c r="FKJ4" s="657"/>
      <c r="FKK4" s="657"/>
      <c r="FKL4" s="657"/>
      <c r="FKM4" s="657"/>
      <c r="FKN4" s="657"/>
      <c r="FKO4" s="657"/>
      <c r="FKP4" s="657"/>
      <c r="FKQ4" s="657"/>
      <c r="FKR4" s="657"/>
      <c r="FKS4" s="657"/>
      <c r="FKT4" s="657"/>
      <c r="FKU4" s="657"/>
      <c r="FKV4" s="657"/>
      <c r="FKW4" s="657"/>
      <c r="FKX4" s="657"/>
      <c r="FKY4" s="657"/>
      <c r="FKZ4" s="657"/>
      <c r="FLA4" s="657"/>
      <c r="FLB4" s="657"/>
      <c r="FLC4" s="657"/>
      <c r="FLD4" s="657"/>
      <c r="FLE4" s="657"/>
      <c r="FLF4" s="657"/>
      <c r="FLG4" s="657"/>
      <c r="FLH4" s="657"/>
      <c r="FLI4" s="657"/>
      <c r="FLJ4" s="657"/>
      <c r="FLK4" s="657"/>
      <c r="FLL4" s="657"/>
      <c r="FLM4" s="657"/>
      <c r="FLN4" s="657"/>
      <c r="FLO4" s="657"/>
      <c r="FLP4" s="657"/>
      <c r="FLQ4" s="657"/>
      <c r="FLR4" s="657"/>
      <c r="FLS4" s="657"/>
      <c r="FLT4" s="657"/>
      <c r="FLU4" s="657"/>
      <c r="FLV4" s="657"/>
      <c r="FLW4" s="657"/>
      <c r="FLX4" s="657"/>
      <c r="FLY4" s="657"/>
      <c r="FLZ4" s="657"/>
      <c r="FMA4" s="657"/>
      <c r="FMB4" s="657"/>
      <c r="FMC4" s="657"/>
      <c r="FMD4" s="657"/>
      <c r="FME4" s="657"/>
      <c r="FMF4" s="657"/>
      <c r="FMG4" s="657"/>
      <c r="FMH4" s="657"/>
      <c r="FMI4" s="657"/>
      <c r="FMJ4" s="657"/>
      <c r="FMK4" s="657"/>
      <c r="FML4" s="657"/>
      <c r="FMM4" s="657"/>
      <c r="FMN4" s="657"/>
      <c r="FMO4" s="657"/>
      <c r="FMP4" s="657"/>
      <c r="FMQ4" s="657"/>
      <c r="FMR4" s="657"/>
      <c r="FMS4" s="657"/>
      <c r="FMT4" s="657"/>
      <c r="FMU4" s="657"/>
      <c r="FMV4" s="657"/>
      <c r="FMW4" s="657"/>
      <c r="FMX4" s="657"/>
      <c r="FMY4" s="657"/>
      <c r="FMZ4" s="657"/>
      <c r="FNA4" s="657"/>
      <c r="FNB4" s="657"/>
      <c r="FNC4" s="657"/>
      <c r="FND4" s="657"/>
      <c r="FNE4" s="657"/>
      <c r="FNF4" s="657"/>
      <c r="FNG4" s="657"/>
      <c r="FNH4" s="657"/>
      <c r="FNI4" s="657"/>
      <c r="FNJ4" s="657"/>
      <c r="FNK4" s="657"/>
      <c r="FNL4" s="657"/>
      <c r="FNM4" s="657"/>
      <c r="FNN4" s="657"/>
      <c r="FNO4" s="657"/>
      <c r="FNP4" s="657"/>
      <c r="FNQ4" s="657"/>
      <c r="FNR4" s="657"/>
      <c r="FNS4" s="657"/>
      <c r="FNT4" s="657"/>
      <c r="FNU4" s="657"/>
      <c r="FNV4" s="657"/>
      <c r="FNW4" s="657"/>
      <c r="FNX4" s="657"/>
      <c r="FNY4" s="657"/>
      <c r="FNZ4" s="657"/>
      <c r="FOA4" s="657"/>
      <c r="FOB4" s="657"/>
      <c r="FOC4" s="657"/>
      <c r="FOD4" s="657"/>
      <c r="FOE4" s="657"/>
      <c r="FOF4" s="657"/>
      <c r="FOG4" s="657"/>
      <c r="FOH4" s="657"/>
      <c r="FOI4" s="657"/>
      <c r="FOJ4" s="657"/>
      <c r="FOK4" s="657"/>
      <c r="FOL4" s="657"/>
      <c r="FOM4" s="657"/>
      <c r="FON4" s="657"/>
      <c r="FOO4" s="657"/>
      <c r="FOP4" s="657"/>
      <c r="FOQ4" s="657"/>
      <c r="FOR4" s="657"/>
      <c r="FOS4" s="657"/>
      <c r="FOT4" s="657"/>
      <c r="FOU4" s="657"/>
      <c r="FOV4" s="657"/>
      <c r="FOW4" s="657"/>
      <c r="FOX4" s="657"/>
      <c r="FOY4" s="657"/>
      <c r="FOZ4" s="657"/>
      <c r="FPA4" s="657"/>
      <c r="FPB4" s="657"/>
      <c r="FPC4" s="657"/>
      <c r="FPD4" s="657"/>
      <c r="FPE4" s="657"/>
      <c r="FPF4" s="657"/>
      <c r="FPG4" s="657"/>
      <c r="FPH4" s="657"/>
      <c r="FPI4" s="657"/>
      <c r="FPJ4" s="657"/>
      <c r="FPK4" s="657"/>
      <c r="FPL4" s="657"/>
      <c r="FPM4" s="657"/>
      <c r="FPN4" s="657"/>
      <c r="FPO4" s="657"/>
      <c r="FPP4" s="657"/>
      <c r="FPQ4" s="657"/>
      <c r="FPR4" s="657"/>
      <c r="FPS4" s="657"/>
      <c r="FPT4" s="657"/>
      <c r="FPU4" s="657"/>
      <c r="FPV4" s="657"/>
      <c r="FPW4" s="657"/>
      <c r="FPX4" s="657"/>
      <c r="FPY4" s="657"/>
      <c r="FPZ4" s="657"/>
      <c r="FQA4" s="657"/>
      <c r="FQB4" s="657"/>
      <c r="FQC4" s="657"/>
      <c r="FQD4" s="657"/>
      <c r="FQE4" s="657"/>
      <c r="FQF4" s="657"/>
      <c r="FQG4" s="657"/>
      <c r="FQH4" s="657"/>
      <c r="FQI4" s="657"/>
      <c r="FQJ4" s="657"/>
      <c r="FQK4" s="657"/>
      <c r="FQL4" s="657"/>
      <c r="FQM4" s="657"/>
      <c r="FQN4" s="657"/>
      <c r="FQO4" s="657"/>
      <c r="FQP4" s="657"/>
      <c r="FQQ4" s="657"/>
      <c r="FQR4" s="657"/>
      <c r="FQS4" s="657"/>
      <c r="FQT4" s="657"/>
      <c r="FQU4" s="657"/>
      <c r="FQV4" s="657"/>
      <c r="FQW4" s="657"/>
      <c r="FQX4" s="657"/>
      <c r="FQY4" s="657"/>
      <c r="FQZ4" s="657"/>
      <c r="FRA4" s="657"/>
      <c r="FRB4" s="657"/>
      <c r="FRC4" s="657"/>
      <c r="FRD4" s="657"/>
      <c r="FRE4" s="657"/>
      <c r="FRF4" s="657"/>
      <c r="FRG4" s="657"/>
      <c r="FRH4" s="657"/>
      <c r="FRI4" s="657"/>
      <c r="FRJ4" s="657"/>
      <c r="FRK4" s="657"/>
      <c r="FRL4" s="657"/>
      <c r="FRM4" s="657"/>
      <c r="FRN4" s="657"/>
      <c r="FRO4" s="657"/>
      <c r="FRP4" s="657"/>
      <c r="FRQ4" s="657"/>
      <c r="FRR4" s="657"/>
      <c r="FRS4" s="657"/>
      <c r="FRT4" s="657"/>
      <c r="FRU4" s="657"/>
      <c r="FRV4" s="657"/>
      <c r="FRW4" s="657"/>
      <c r="FRX4" s="657"/>
      <c r="FRY4" s="657"/>
      <c r="FRZ4" s="657"/>
      <c r="FSA4" s="657"/>
      <c r="FSB4" s="657"/>
      <c r="FSC4" s="657"/>
      <c r="FSD4" s="657"/>
      <c r="FSE4" s="657"/>
      <c r="FSF4" s="657"/>
      <c r="FSG4" s="657"/>
      <c r="FSH4" s="657"/>
      <c r="FSI4" s="657"/>
      <c r="FSJ4" s="657"/>
      <c r="FSK4" s="657"/>
      <c r="FSL4" s="657"/>
      <c r="FSM4" s="657"/>
      <c r="FSN4" s="657"/>
      <c r="FSO4" s="657"/>
      <c r="FSP4" s="657"/>
      <c r="FSQ4" s="657"/>
      <c r="FSR4" s="657"/>
      <c r="FSS4" s="657"/>
      <c r="FST4" s="657"/>
      <c r="FSU4" s="657"/>
      <c r="FSV4" s="657"/>
      <c r="FSW4" s="657"/>
      <c r="FSX4" s="657"/>
      <c r="FSY4" s="657"/>
      <c r="FSZ4" s="657"/>
      <c r="FTA4" s="657"/>
      <c r="FTB4" s="657"/>
      <c r="FTC4" s="657"/>
      <c r="FTD4" s="657"/>
      <c r="FTE4" s="657"/>
      <c r="FTF4" s="657"/>
      <c r="FTG4" s="657"/>
      <c r="FTH4" s="657"/>
      <c r="FTI4" s="657"/>
      <c r="FTJ4" s="657"/>
      <c r="FTK4" s="657"/>
      <c r="FTL4" s="657"/>
      <c r="FTM4" s="657"/>
      <c r="FTN4" s="657"/>
      <c r="FTO4" s="657"/>
      <c r="FTP4" s="657"/>
      <c r="FTQ4" s="657"/>
      <c r="FTR4" s="657"/>
      <c r="FTS4" s="657"/>
      <c r="FTT4" s="657"/>
      <c r="FTU4" s="657"/>
      <c r="FTV4" s="657"/>
      <c r="FTW4" s="657"/>
      <c r="FTX4" s="657"/>
      <c r="FTY4" s="657"/>
      <c r="FTZ4" s="657"/>
      <c r="FUA4" s="657"/>
      <c r="FUB4" s="657"/>
      <c r="FUC4" s="657"/>
      <c r="FUD4" s="657"/>
      <c r="FUE4" s="657"/>
      <c r="FUF4" s="657"/>
      <c r="FUG4" s="657"/>
      <c r="FUH4" s="657"/>
      <c r="FUI4" s="657"/>
      <c r="FUJ4" s="657"/>
      <c r="FUK4" s="657"/>
      <c r="FUL4" s="657"/>
      <c r="FUM4" s="657"/>
      <c r="FUN4" s="657"/>
      <c r="FUO4" s="657"/>
      <c r="FUP4" s="657"/>
      <c r="FUQ4" s="657"/>
      <c r="FUR4" s="657"/>
      <c r="FUS4" s="657"/>
      <c r="FUT4" s="657"/>
      <c r="FUU4" s="657"/>
      <c r="FUV4" s="657"/>
      <c r="FUW4" s="657"/>
      <c r="FUX4" s="657"/>
      <c r="FUY4" s="657"/>
      <c r="FUZ4" s="657"/>
      <c r="FVA4" s="657"/>
      <c r="FVB4" s="657"/>
      <c r="FVC4" s="657"/>
      <c r="FVD4" s="657"/>
      <c r="FVE4" s="657"/>
      <c r="FVF4" s="657"/>
      <c r="FVG4" s="657"/>
      <c r="FVH4" s="657"/>
      <c r="FVI4" s="657"/>
      <c r="FVJ4" s="657"/>
      <c r="FVK4" s="657"/>
      <c r="FVL4" s="657"/>
      <c r="FVM4" s="657"/>
      <c r="FVN4" s="657"/>
      <c r="FVO4" s="657"/>
      <c r="FVP4" s="657"/>
      <c r="FVQ4" s="657"/>
      <c r="FVR4" s="657"/>
      <c r="FVS4" s="657"/>
      <c r="FVT4" s="657"/>
      <c r="FVU4" s="657"/>
      <c r="FVV4" s="657"/>
      <c r="FVW4" s="657"/>
      <c r="FVX4" s="657"/>
      <c r="FVY4" s="657"/>
      <c r="FVZ4" s="657"/>
      <c r="FWA4" s="657"/>
      <c r="FWB4" s="657"/>
      <c r="FWC4" s="657"/>
      <c r="FWD4" s="657"/>
      <c r="FWE4" s="657"/>
      <c r="FWF4" s="657"/>
      <c r="FWG4" s="657"/>
      <c r="FWH4" s="657"/>
      <c r="FWI4" s="657"/>
      <c r="FWJ4" s="657"/>
      <c r="FWK4" s="657"/>
      <c r="FWL4" s="657"/>
      <c r="FWM4" s="657"/>
      <c r="FWN4" s="657"/>
      <c r="FWO4" s="657"/>
      <c r="FWP4" s="657"/>
      <c r="FWQ4" s="657"/>
      <c r="FWR4" s="657"/>
      <c r="FWS4" s="657"/>
      <c r="FWT4" s="657"/>
      <c r="FWU4" s="657"/>
      <c r="FWV4" s="657"/>
      <c r="FWW4" s="657"/>
      <c r="FWX4" s="657"/>
      <c r="FWY4" s="657"/>
      <c r="FWZ4" s="657"/>
      <c r="FXA4" s="657"/>
      <c r="FXB4" s="657"/>
      <c r="FXC4" s="657"/>
      <c r="FXD4" s="657"/>
      <c r="FXE4" s="657"/>
      <c r="FXF4" s="657"/>
      <c r="FXG4" s="657"/>
      <c r="FXH4" s="657"/>
      <c r="FXI4" s="657"/>
      <c r="FXJ4" s="657"/>
      <c r="FXK4" s="657"/>
      <c r="FXL4" s="657"/>
      <c r="FXM4" s="657"/>
      <c r="FXN4" s="657"/>
      <c r="FXO4" s="657"/>
      <c r="FXP4" s="657"/>
      <c r="FXQ4" s="657"/>
      <c r="FXR4" s="657"/>
      <c r="FXS4" s="657"/>
      <c r="FXT4" s="657"/>
      <c r="FXU4" s="657"/>
      <c r="FXV4" s="657"/>
      <c r="FXW4" s="657"/>
      <c r="FXX4" s="657"/>
      <c r="FXY4" s="657"/>
      <c r="FXZ4" s="657"/>
      <c r="FYA4" s="657"/>
      <c r="FYB4" s="657"/>
      <c r="FYC4" s="657"/>
      <c r="FYD4" s="657"/>
      <c r="FYE4" s="657"/>
      <c r="FYF4" s="657"/>
      <c r="FYG4" s="657"/>
      <c r="FYH4" s="657"/>
      <c r="FYI4" s="657"/>
      <c r="FYJ4" s="657"/>
      <c r="FYK4" s="657"/>
      <c r="FYL4" s="657"/>
      <c r="FYM4" s="657"/>
      <c r="FYN4" s="657"/>
      <c r="FYO4" s="657"/>
      <c r="FYP4" s="657"/>
      <c r="FYQ4" s="657"/>
      <c r="FYR4" s="657"/>
      <c r="FYS4" s="657"/>
      <c r="FYT4" s="657"/>
      <c r="FYU4" s="657"/>
      <c r="FYV4" s="657"/>
      <c r="FYW4" s="657"/>
      <c r="FYX4" s="657"/>
      <c r="FYY4" s="657"/>
      <c r="FYZ4" s="657"/>
      <c r="FZA4" s="657"/>
      <c r="FZB4" s="657"/>
      <c r="FZC4" s="657"/>
      <c r="FZD4" s="657"/>
      <c r="FZE4" s="657"/>
      <c r="FZF4" s="657"/>
      <c r="FZG4" s="657"/>
      <c r="FZH4" s="657"/>
      <c r="FZI4" s="657"/>
      <c r="FZJ4" s="657"/>
      <c r="FZK4" s="657"/>
      <c r="FZL4" s="657"/>
      <c r="FZM4" s="657"/>
      <c r="FZN4" s="657"/>
      <c r="FZO4" s="657"/>
      <c r="FZP4" s="657"/>
      <c r="FZQ4" s="657"/>
      <c r="FZR4" s="657"/>
      <c r="FZS4" s="657"/>
      <c r="FZT4" s="657"/>
      <c r="FZU4" s="657"/>
      <c r="FZV4" s="657"/>
      <c r="FZW4" s="657"/>
      <c r="FZX4" s="657"/>
      <c r="FZY4" s="657"/>
      <c r="FZZ4" s="657"/>
      <c r="GAA4" s="657"/>
      <c r="GAB4" s="657"/>
      <c r="GAC4" s="657"/>
      <c r="GAD4" s="657"/>
      <c r="GAE4" s="657"/>
      <c r="GAF4" s="657"/>
      <c r="GAG4" s="657"/>
      <c r="GAH4" s="657"/>
      <c r="GAI4" s="657"/>
      <c r="GAJ4" s="657"/>
      <c r="GAK4" s="657"/>
      <c r="GAL4" s="657"/>
      <c r="GAM4" s="657"/>
      <c r="GAN4" s="657"/>
      <c r="GAO4" s="657"/>
      <c r="GAP4" s="657"/>
      <c r="GAQ4" s="657"/>
      <c r="GAR4" s="657"/>
      <c r="GAS4" s="657"/>
      <c r="GAT4" s="657"/>
      <c r="GAU4" s="657"/>
      <c r="GAV4" s="657"/>
      <c r="GAW4" s="657"/>
      <c r="GAX4" s="657"/>
      <c r="GAY4" s="657"/>
      <c r="GAZ4" s="657"/>
      <c r="GBA4" s="657"/>
      <c r="GBB4" s="657"/>
      <c r="GBC4" s="657"/>
      <c r="GBD4" s="657"/>
      <c r="GBE4" s="657"/>
      <c r="GBF4" s="657"/>
      <c r="GBG4" s="657"/>
      <c r="GBH4" s="657"/>
      <c r="GBI4" s="657"/>
      <c r="GBJ4" s="657"/>
      <c r="GBK4" s="657"/>
      <c r="GBL4" s="657"/>
      <c r="GBM4" s="657"/>
      <c r="GBN4" s="657"/>
      <c r="GBO4" s="657"/>
      <c r="GBP4" s="657"/>
      <c r="GBQ4" s="657"/>
      <c r="GBR4" s="657"/>
      <c r="GBS4" s="657"/>
      <c r="GBT4" s="657"/>
      <c r="GBU4" s="657"/>
      <c r="GBV4" s="657"/>
      <c r="GBW4" s="657"/>
      <c r="GBX4" s="657"/>
      <c r="GBY4" s="657"/>
      <c r="GBZ4" s="657"/>
      <c r="GCA4" s="657"/>
      <c r="GCB4" s="657"/>
      <c r="GCC4" s="657"/>
      <c r="GCD4" s="657"/>
      <c r="GCE4" s="657"/>
      <c r="GCF4" s="657"/>
      <c r="GCG4" s="657"/>
      <c r="GCH4" s="657"/>
      <c r="GCI4" s="657"/>
      <c r="GCJ4" s="657"/>
      <c r="GCK4" s="657"/>
      <c r="GCL4" s="657"/>
      <c r="GCM4" s="657"/>
      <c r="GCN4" s="657"/>
      <c r="GCO4" s="657"/>
      <c r="GCP4" s="657"/>
      <c r="GCQ4" s="657"/>
      <c r="GCR4" s="657"/>
      <c r="GCS4" s="657"/>
      <c r="GCT4" s="657"/>
      <c r="GCU4" s="657"/>
      <c r="GCV4" s="657"/>
      <c r="GCW4" s="657"/>
      <c r="GCX4" s="657"/>
      <c r="GCY4" s="657"/>
      <c r="GCZ4" s="657"/>
      <c r="GDA4" s="657"/>
      <c r="GDB4" s="657"/>
      <c r="GDC4" s="657"/>
      <c r="GDD4" s="657"/>
      <c r="GDE4" s="657"/>
      <c r="GDF4" s="657"/>
      <c r="GDG4" s="657"/>
      <c r="GDH4" s="657"/>
      <c r="GDI4" s="657"/>
      <c r="GDJ4" s="657"/>
      <c r="GDK4" s="657"/>
      <c r="GDL4" s="657"/>
      <c r="GDM4" s="657"/>
      <c r="GDN4" s="657"/>
      <c r="GDO4" s="657"/>
      <c r="GDP4" s="657"/>
      <c r="GDQ4" s="657"/>
      <c r="GDR4" s="657"/>
      <c r="GDS4" s="657"/>
      <c r="GDT4" s="657"/>
      <c r="GDU4" s="657"/>
      <c r="GDV4" s="657"/>
      <c r="GDW4" s="657"/>
      <c r="GDX4" s="657"/>
      <c r="GDY4" s="657"/>
      <c r="GDZ4" s="657"/>
      <c r="GEA4" s="657"/>
      <c r="GEB4" s="657"/>
      <c r="GEC4" s="657"/>
      <c r="GED4" s="657"/>
      <c r="GEE4" s="657"/>
      <c r="GEF4" s="657"/>
      <c r="GEG4" s="657"/>
      <c r="GEH4" s="657"/>
      <c r="GEI4" s="657"/>
      <c r="GEJ4" s="657"/>
      <c r="GEK4" s="657"/>
      <c r="GEL4" s="657"/>
      <c r="GEM4" s="657"/>
      <c r="GEN4" s="657"/>
      <c r="GEO4" s="657"/>
      <c r="GEP4" s="657"/>
      <c r="GEQ4" s="657"/>
      <c r="GER4" s="657"/>
      <c r="GES4" s="657"/>
      <c r="GET4" s="657"/>
      <c r="GEU4" s="657"/>
      <c r="GEV4" s="657"/>
      <c r="GEW4" s="657"/>
      <c r="GEX4" s="657"/>
      <c r="GEY4" s="657"/>
      <c r="GEZ4" s="657"/>
      <c r="GFA4" s="657"/>
      <c r="GFB4" s="657"/>
      <c r="GFC4" s="657"/>
      <c r="GFD4" s="657"/>
      <c r="GFE4" s="657"/>
      <c r="GFF4" s="657"/>
      <c r="GFG4" s="657"/>
      <c r="GFH4" s="657"/>
      <c r="GFI4" s="657"/>
      <c r="GFJ4" s="657"/>
      <c r="GFK4" s="657"/>
      <c r="GFL4" s="657"/>
      <c r="GFM4" s="657"/>
      <c r="GFN4" s="657"/>
      <c r="GFO4" s="657"/>
      <c r="GFP4" s="657"/>
      <c r="GFQ4" s="657"/>
      <c r="GFR4" s="657"/>
      <c r="GFS4" s="657"/>
      <c r="GFT4" s="657"/>
      <c r="GFU4" s="657"/>
      <c r="GFV4" s="657"/>
      <c r="GFW4" s="657"/>
      <c r="GFX4" s="657"/>
      <c r="GFY4" s="657"/>
      <c r="GFZ4" s="657"/>
      <c r="GGA4" s="657"/>
      <c r="GGB4" s="657"/>
      <c r="GGC4" s="657"/>
      <c r="GGD4" s="657"/>
      <c r="GGE4" s="657"/>
      <c r="GGF4" s="657"/>
      <c r="GGG4" s="657"/>
      <c r="GGH4" s="657"/>
      <c r="GGI4" s="657"/>
      <c r="GGJ4" s="657"/>
      <c r="GGK4" s="657"/>
      <c r="GGL4" s="657"/>
      <c r="GGM4" s="657"/>
      <c r="GGN4" s="657"/>
      <c r="GGO4" s="657"/>
      <c r="GGP4" s="657"/>
      <c r="GGQ4" s="657"/>
      <c r="GGR4" s="657"/>
      <c r="GGS4" s="657"/>
      <c r="GGT4" s="657"/>
      <c r="GGU4" s="657"/>
      <c r="GGV4" s="657"/>
      <c r="GGW4" s="657"/>
      <c r="GGX4" s="657"/>
      <c r="GGY4" s="657"/>
      <c r="GGZ4" s="657"/>
      <c r="GHA4" s="657"/>
      <c r="GHB4" s="657"/>
      <c r="GHC4" s="657"/>
      <c r="GHD4" s="657"/>
      <c r="GHE4" s="657"/>
      <c r="GHF4" s="657"/>
      <c r="GHG4" s="657"/>
      <c r="GHH4" s="657"/>
      <c r="GHI4" s="657"/>
      <c r="GHJ4" s="657"/>
      <c r="GHK4" s="657"/>
      <c r="GHL4" s="657"/>
      <c r="GHM4" s="657"/>
      <c r="GHN4" s="657"/>
      <c r="GHO4" s="657"/>
      <c r="GHP4" s="657"/>
      <c r="GHQ4" s="657"/>
      <c r="GHR4" s="657"/>
      <c r="GHS4" s="657"/>
      <c r="GHT4" s="657"/>
      <c r="GHU4" s="657"/>
      <c r="GHV4" s="657"/>
      <c r="GHW4" s="657"/>
      <c r="GHX4" s="657"/>
      <c r="GHY4" s="657"/>
      <c r="GHZ4" s="657"/>
      <c r="GIA4" s="657"/>
      <c r="GIB4" s="657"/>
      <c r="GIC4" s="657"/>
      <c r="GID4" s="657"/>
      <c r="GIE4" s="657"/>
      <c r="GIF4" s="657"/>
      <c r="GIG4" s="657"/>
      <c r="GIH4" s="657"/>
      <c r="GII4" s="657"/>
      <c r="GIJ4" s="657"/>
      <c r="GIK4" s="657"/>
      <c r="GIL4" s="657"/>
      <c r="GIM4" s="657"/>
      <c r="GIN4" s="657"/>
      <c r="GIO4" s="657"/>
      <c r="GIP4" s="657"/>
      <c r="GIQ4" s="657"/>
      <c r="GIR4" s="657"/>
      <c r="GIS4" s="657"/>
      <c r="GIT4" s="657"/>
      <c r="GIU4" s="657"/>
      <c r="GIV4" s="657"/>
      <c r="GIW4" s="657"/>
      <c r="GIX4" s="657"/>
      <c r="GIY4" s="657"/>
      <c r="GIZ4" s="657"/>
      <c r="GJA4" s="657"/>
      <c r="GJB4" s="657"/>
      <c r="GJC4" s="657"/>
      <c r="GJD4" s="657"/>
      <c r="GJE4" s="657"/>
      <c r="GJF4" s="657"/>
      <c r="GJG4" s="657"/>
      <c r="GJH4" s="657"/>
      <c r="GJI4" s="657"/>
      <c r="GJJ4" s="657"/>
      <c r="GJK4" s="657"/>
      <c r="GJL4" s="657"/>
      <c r="GJM4" s="657"/>
      <c r="GJN4" s="657"/>
      <c r="GJO4" s="657"/>
      <c r="GJP4" s="657"/>
      <c r="GJQ4" s="657"/>
      <c r="GJR4" s="657"/>
      <c r="GJS4" s="657"/>
      <c r="GJT4" s="657"/>
      <c r="GJU4" s="657"/>
      <c r="GJV4" s="657"/>
      <c r="GJW4" s="657"/>
      <c r="GJX4" s="657"/>
      <c r="GJY4" s="657"/>
      <c r="GJZ4" s="657"/>
      <c r="GKA4" s="657"/>
      <c r="GKB4" s="657"/>
      <c r="GKC4" s="657"/>
      <c r="GKD4" s="657"/>
      <c r="GKE4" s="657"/>
      <c r="GKF4" s="657"/>
      <c r="GKG4" s="657"/>
      <c r="GKH4" s="657"/>
      <c r="GKI4" s="657"/>
      <c r="GKJ4" s="657"/>
      <c r="GKK4" s="657"/>
      <c r="GKL4" s="657"/>
      <c r="GKM4" s="657"/>
      <c r="GKN4" s="657"/>
      <c r="GKO4" s="657"/>
      <c r="GKP4" s="657"/>
      <c r="GKQ4" s="657"/>
      <c r="GKR4" s="657"/>
      <c r="GKS4" s="657"/>
      <c r="GKT4" s="657"/>
      <c r="GKU4" s="657"/>
      <c r="GKV4" s="657"/>
      <c r="GKW4" s="657"/>
      <c r="GKX4" s="657"/>
      <c r="GKY4" s="657"/>
      <c r="GKZ4" s="657"/>
      <c r="GLA4" s="657"/>
      <c r="GLB4" s="657"/>
      <c r="GLC4" s="657"/>
      <c r="GLD4" s="657"/>
      <c r="GLE4" s="657"/>
      <c r="GLF4" s="657"/>
      <c r="GLG4" s="657"/>
      <c r="GLH4" s="657"/>
      <c r="GLI4" s="657"/>
      <c r="GLJ4" s="657"/>
      <c r="GLK4" s="657"/>
      <c r="GLL4" s="657"/>
      <c r="GLM4" s="657"/>
      <c r="GLN4" s="657"/>
      <c r="GLO4" s="657"/>
      <c r="GLP4" s="657"/>
      <c r="GLQ4" s="657"/>
      <c r="GLR4" s="657"/>
      <c r="GLS4" s="657"/>
      <c r="GLT4" s="657"/>
      <c r="GLU4" s="657"/>
      <c r="GLV4" s="657"/>
      <c r="GLW4" s="657"/>
      <c r="GLX4" s="657"/>
      <c r="GLY4" s="657"/>
      <c r="GLZ4" s="657"/>
      <c r="GMA4" s="657"/>
      <c r="GMB4" s="657"/>
      <c r="GMC4" s="657"/>
      <c r="GMD4" s="657"/>
      <c r="GME4" s="657"/>
      <c r="GMF4" s="657"/>
      <c r="GMG4" s="657"/>
      <c r="GMH4" s="657"/>
      <c r="GMI4" s="657"/>
      <c r="GMJ4" s="657"/>
      <c r="GMK4" s="657"/>
      <c r="GML4" s="657"/>
      <c r="GMM4" s="657"/>
      <c r="GMN4" s="657"/>
      <c r="GMO4" s="657"/>
      <c r="GMP4" s="657"/>
      <c r="GMQ4" s="657"/>
      <c r="GMR4" s="657"/>
      <c r="GMS4" s="657"/>
      <c r="GMT4" s="657"/>
      <c r="GMU4" s="657"/>
      <c r="GMV4" s="657"/>
      <c r="GMW4" s="657"/>
      <c r="GMX4" s="657"/>
      <c r="GMY4" s="657"/>
      <c r="GMZ4" s="657"/>
      <c r="GNA4" s="657"/>
      <c r="GNB4" s="657"/>
      <c r="GNC4" s="657"/>
      <c r="GND4" s="657"/>
      <c r="GNE4" s="657"/>
      <c r="GNF4" s="657"/>
      <c r="GNG4" s="657"/>
      <c r="GNH4" s="657"/>
      <c r="GNI4" s="657"/>
      <c r="GNJ4" s="657"/>
      <c r="GNK4" s="657"/>
      <c r="GNL4" s="657"/>
      <c r="GNM4" s="657"/>
      <c r="GNN4" s="657"/>
      <c r="GNO4" s="657"/>
      <c r="GNP4" s="657"/>
      <c r="GNQ4" s="657"/>
      <c r="GNR4" s="657"/>
      <c r="GNS4" s="657"/>
      <c r="GNT4" s="657"/>
      <c r="GNU4" s="657"/>
      <c r="GNV4" s="657"/>
      <c r="GNW4" s="657"/>
      <c r="GNX4" s="657"/>
      <c r="GNY4" s="657"/>
      <c r="GNZ4" s="657"/>
      <c r="GOA4" s="657"/>
      <c r="GOB4" s="657"/>
      <c r="GOC4" s="657"/>
      <c r="GOD4" s="657"/>
      <c r="GOE4" s="657"/>
      <c r="GOF4" s="657"/>
      <c r="GOG4" s="657"/>
      <c r="GOH4" s="657"/>
      <c r="GOI4" s="657"/>
      <c r="GOJ4" s="657"/>
      <c r="GOK4" s="657"/>
      <c r="GOL4" s="657"/>
      <c r="GOM4" s="657"/>
      <c r="GON4" s="657"/>
      <c r="GOO4" s="657"/>
      <c r="GOP4" s="657"/>
      <c r="GOQ4" s="657"/>
      <c r="GOR4" s="657"/>
      <c r="GOS4" s="657"/>
      <c r="GOT4" s="657"/>
      <c r="GOU4" s="657"/>
      <c r="GOV4" s="657"/>
      <c r="GOW4" s="657"/>
      <c r="GOX4" s="657"/>
      <c r="GOY4" s="657"/>
      <c r="GOZ4" s="657"/>
      <c r="GPA4" s="657"/>
      <c r="GPB4" s="657"/>
      <c r="GPC4" s="657"/>
      <c r="GPD4" s="657"/>
      <c r="GPE4" s="657"/>
      <c r="GPF4" s="657"/>
      <c r="GPG4" s="657"/>
      <c r="GPH4" s="657"/>
      <c r="GPI4" s="657"/>
      <c r="GPJ4" s="657"/>
      <c r="GPK4" s="657"/>
      <c r="GPL4" s="657"/>
      <c r="GPM4" s="657"/>
      <c r="GPN4" s="657"/>
      <c r="GPO4" s="657"/>
      <c r="GPP4" s="657"/>
      <c r="GPQ4" s="657"/>
      <c r="GPR4" s="657"/>
      <c r="GPS4" s="657"/>
      <c r="GPT4" s="657"/>
      <c r="GPU4" s="657"/>
      <c r="GPV4" s="657"/>
      <c r="GPW4" s="657"/>
      <c r="GPX4" s="657"/>
      <c r="GPY4" s="657"/>
      <c r="GPZ4" s="657"/>
      <c r="GQA4" s="657"/>
      <c r="GQB4" s="657"/>
      <c r="GQC4" s="657"/>
      <c r="GQD4" s="657"/>
      <c r="GQE4" s="657"/>
      <c r="GQF4" s="657"/>
      <c r="GQG4" s="657"/>
      <c r="GQH4" s="657"/>
      <c r="GQI4" s="657"/>
      <c r="GQJ4" s="657"/>
      <c r="GQK4" s="657"/>
      <c r="GQL4" s="657"/>
      <c r="GQM4" s="657"/>
      <c r="GQN4" s="657"/>
      <c r="GQO4" s="657"/>
      <c r="GQP4" s="657"/>
      <c r="GQQ4" s="657"/>
      <c r="GQR4" s="657"/>
      <c r="GQS4" s="657"/>
      <c r="GQT4" s="657"/>
      <c r="GQU4" s="657"/>
      <c r="GQV4" s="657"/>
      <c r="GQW4" s="657"/>
      <c r="GQX4" s="657"/>
      <c r="GQY4" s="657"/>
      <c r="GQZ4" s="657"/>
      <c r="GRA4" s="657"/>
      <c r="GRB4" s="657"/>
      <c r="GRC4" s="657"/>
      <c r="GRD4" s="657"/>
      <c r="GRE4" s="657"/>
      <c r="GRF4" s="657"/>
      <c r="GRG4" s="657"/>
      <c r="GRH4" s="657"/>
      <c r="GRI4" s="657"/>
      <c r="GRJ4" s="657"/>
      <c r="GRK4" s="657"/>
      <c r="GRL4" s="657"/>
      <c r="GRM4" s="657"/>
      <c r="GRN4" s="657"/>
      <c r="GRO4" s="657"/>
      <c r="GRP4" s="657"/>
      <c r="GRQ4" s="657"/>
      <c r="GRR4" s="657"/>
      <c r="GRS4" s="657"/>
      <c r="GRT4" s="657"/>
      <c r="GRU4" s="657"/>
      <c r="GRV4" s="657"/>
      <c r="GRW4" s="657"/>
      <c r="GRX4" s="657"/>
      <c r="GRY4" s="657"/>
      <c r="GRZ4" s="657"/>
      <c r="GSA4" s="657"/>
      <c r="GSB4" s="657"/>
      <c r="GSC4" s="657"/>
      <c r="GSD4" s="657"/>
      <c r="GSE4" s="657"/>
      <c r="GSF4" s="657"/>
      <c r="GSG4" s="657"/>
      <c r="GSH4" s="657"/>
      <c r="GSI4" s="657"/>
      <c r="GSJ4" s="657"/>
      <c r="GSK4" s="657"/>
      <c r="GSL4" s="657"/>
      <c r="GSM4" s="657"/>
      <c r="GSN4" s="657"/>
      <c r="GSO4" s="657"/>
      <c r="GSP4" s="657"/>
      <c r="GSQ4" s="657"/>
      <c r="GSR4" s="657"/>
      <c r="GSS4" s="657"/>
      <c r="GST4" s="657"/>
      <c r="GSU4" s="657"/>
      <c r="GSV4" s="657"/>
      <c r="GSW4" s="657"/>
      <c r="GSX4" s="657"/>
      <c r="GSY4" s="657"/>
      <c r="GSZ4" s="657"/>
      <c r="GTA4" s="657"/>
      <c r="GTB4" s="657"/>
      <c r="GTC4" s="657"/>
      <c r="GTD4" s="657"/>
      <c r="GTE4" s="657"/>
      <c r="GTF4" s="657"/>
      <c r="GTG4" s="657"/>
      <c r="GTH4" s="657"/>
      <c r="GTI4" s="657"/>
      <c r="GTJ4" s="657"/>
      <c r="GTK4" s="657"/>
      <c r="GTL4" s="657"/>
      <c r="GTM4" s="657"/>
      <c r="GTN4" s="657"/>
      <c r="GTO4" s="657"/>
      <c r="GTP4" s="657"/>
      <c r="GTQ4" s="657"/>
      <c r="GTR4" s="657"/>
      <c r="GTS4" s="657"/>
      <c r="GTT4" s="657"/>
      <c r="GTU4" s="657"/>
      <c r="GTV4" s="657"/>
      <c r="GTW4" s="657"/>
      <c r="GTX4" s="657"/>
      <c r="GTY4" s="657"/>
      <c r="GTZ4" s="657"/>
      <c r="GUA4" s="657"/>
      <c r="GUB4" s="657"/>
      <c r="GUC4" s="657"/>
      <c r="GUD4" s="657"/>
      <c r="GUE4" s="657"/>
      <c r="GUF4" s="657"/>
      <c r="GUG4" s="657"/>
      <c r="GUH4" s="657"/>
      <c r="GUI4" s="657"/>
      <c r="GUJ4" s="657"/>
      <c r="GUK4" s="657"/>
      <c r="GUL4" s="657"/>
      <c r="GUM4" s="657"/>
      <c r="GUN4" s="657"/>
      <c r="GUO4" s="657"/>
      <c r="GUP4" s="657"/>
      <c r="GUQ4" s="657"/>
      <c r="GUR4" s="657"/>
      <c r="GUS4" s="657"/>
      <c r="GUT4" s="657"/>
      <c r="GUU4" s="657"/>
      <c r="GUV4" s="657"/>
      <c r="GUW4" s="657"/>
      <c r="GUX4" s="657"/>
      <c r="GUY4" s="657"/>
      <c r="GUZ4" s="657"/>
      <c r="GVA4" s="657"/>
      <c r="GVB4" s="657"/>
      <c r="GVC4" s="657"/>
      <c r="GVD4" s="657"/>
      <c r="GVE4" s="657"/>
      <c r="GVF4" s="657"/>
      <c r="GVG4" s="657"/>
      <c r="GVH4" s="657"/>
      <c r="GVI4" s="657"/>
      <c r="GVJ4" s="657"/>
      <c r="GVK4" s="657"/>
      <c r="GVL4" s="657"/>
      <c r="GVM4" s="657"/>
      <c r="GVN4" s="657"/>
      <c r="GVO4" s="657"/>
      <c r="GVP4" s="657"/>
      <c r="GVQ4" s="657"/>
      <c r="GVR4" s="657"/>
      <c r="GVS4" s="657"/>
      <c r="GVT4" s="657"/>
      <c r="GVU4" s="657"/>
      <c r="GVV4" s="657"/>
      <c r="GVW4" s="657"/>
      <c r="GVX4" s="657"/>
      <c r="GVY4" s="657"/>
      <c r="GVZ4" s="657"/>
      <c r="GWA4" s="657"/>
      <c r="GWB4" s="657"/>
      <c r="GWC4" s="657"/>
      <c r="GWD4" s="657"/>
      <c r="GWE4" s="657"/>
      <c r="GWF4" s="657"/>
      <c r="GWG4" s="657"/>
      <c r="GWH4" s="657"/>
      <c r="GWI4" s="657"/>
      <c r="GWJ4" s="657"/>
      <c r="GWK4" s="657"/>
      <c r="GWL4" s="657"/>
      <c r="GWM4" s="657"/>
      <c r="GWN4" s="657"/>
      <c r="GWO4" s="657"/>
      <c r="GWP4" s="657"/>
      <c r="GWQ4" s="657"/>
      <c r="GWR4" s="657"/>
      <c r="GWS4" s="657"/>
      <c r="GWT4" s="657"/>
      <c r="GWU4" s="657"/>
      <c r="GWV4" s="657"/>
      <c r="GWW4" s="657"/>
      <c r="GWX4" s="657"/>
      <c r="GWY4" s="657"/>
      <c r="GWZ4" s="657"/>
      <c r="GXA4" s="657"/>
      <c r="GXB4" s="657"/>
      <c r="GXC4" s="657"/>
      <c r="GXD4" s="657"/>
      <c r="GXE4" s="657"/>
      <c r="GXF4" s="657"/>
      <c r="GXG4" s="657"/>
      <c r="GXH4" s="657"/>
      <c r="GXI4" s="657"/>
      <c r="GXJ4" s="657"/>
      <c r="GXK4" s="657"/>
      <c r="GXL4" s="657"/>
      <c r="GXM4" s="657"/>
      <c r="GXN4" s="657"/>
      <c r="GXO4" s="657"/>
      <c r="GXP4" s="657"/>
      <c r="GXQ4" s="657"/>
      <c r="GXR4" s="657"/>
      <c r="GXS4" s="657"/>
      <c r="GXT4" s="657"/>
      <c r="GXU4" s="657"/>
      <c r="GXV4" s="657"/>
      <c r="GXW4" s="657"/>
      <c r="GXX4" s="657"/>
      <c r="GXY4" s="657"/>
      <c r="GXZ4" s="657"/>
      <c r="GYA4" s="657"/>
      <c r="GYB4" s="657"/>
      <c r="GYC4" s="657"/>
      <c r="GYD4" s="657"/>
      <c r="GYE4" s="657"/>
      <c r="GYF4" s="657"/>
      <c r="GYG4" s="657"/>
      <c r="GYH4" s="657"/>
      <c r="GYI4" s="657"/>
      <c r="GYJ4" s="657"/>
      <c r="GYK4" s="657"/>
      <c r="GYL4" s="657"/>
      <c r="GYM4" s="657"/>
      <c r="GYN4" s="657"/>
      <c r="GYO4" s="657"/>
      <c r="GYP4" s="657"/>
      <c r="GYQ4" s="657"/>
      <c r="GYR4" s="657"/>
      <c r="GYS4" s="657"/>
      <c r="GYT4" s="657"/>
      <c r="GYU4" s="657"/>
      <c r="GYV4" s="657"/>
      <c r="GYW4" s="657"/>
      <c r="GYX4" s="657"/>
      <c r="GYY4" s="657"/>
      <c r="GYZ4" s="657"/>
      <c r="GZA4" s="657"/>
      <c r="GZB4" s="657"/>
      <c r="GZC4" s="657"/>
      <c r="GZD4" s="657"/>
      <c r="GZE4" s="657"/>
      <c r="GZF4" s="657"/>
      <c r="GZG4" s="657"/>
      <c r="GZH4" s="657"/>
      <c r="GZI4" s="657"/>
      <c r="GZJ4" s="657"/>
      <c r="GZK4" s="657"/>
      <c r="GZL4" s="657"/>
      <c r="GZM4" s="657"/>
      <c r="GZN4" s="657"/>
      <c r="GZO4" s="657"/>
      <c r="GZP4" s="657"/>
      <c r="GZQ4" s="657"/>
      <c r="GZR4" s="657"/>
      <c r="GZS4" s="657"/>
      <c r="GZT4" s="657"/>
      <c r="GZU4" s="657"/>
      <c r="GZV4" s="657"/>
      <c r="GZW4" s="657"/>
      <c r="GZX4" s="657"/>
      <c r="GZY4" s="657"/>
      <c r="GZZ4" s="657"/>
      <c r="HAA4" s="657"/>
      <c r="HAB4" s="657"/>
      <c r="HAC4" s="657"/>
      <c r="HAD4" s="657"/>
      <c r="HAE4" s="657"/>
      <c r="HAF4" s="657"/>
      <c r="HAG4" s="657"/>
      <c r="HAH4" s="657"/>
      <c r="HAI4" s="657"/>
      <c r="HAJ4" s="657"/>
      <c r="HAK4" s="657"/>
      <c r="HAL4" s="657"/>
      <c r="HAM4" s="657"/>
      <c r="HAN4" s="657"/>
      <c r="HAO4" s="657"/>
      <c r="HAP4" s="657"/>
      <c r="HAQ4" s="657"/>
      <c r="HAR4" s="657"/>
      <c r="HAS4" s="657"/>
      <c r="HAT4" s="657"/>
      <c r="HAU4" s="657"/>
      <c r="HAV4" s="657"/>
      <c r="HAW4" s="657"/>
      <c r="HAX4" s="657"/>
      <c r="HAY4" s="657"/>
      <c r="HAZ4" s="657"/>
      <c r="HBA4" s="657"/>
      <c r="HBB4" s="657"/>
      <c r="HBC4" s="657"/>
      <c r="HBD4" s="657"/>
      <c r="HBE4" s="657"/>
      <c r="HBF4" s="657"/>
      <c r="HBG4" s="657"/>
      <c r="HBH4" s="657"/>
      <c r="HBI4" s="657"/>
      <c r="HBJ4" s="657"/>
      <c r="HBK4" s="657"/>
      <c r="HBL4" s="657"/>
      <c r="HBM4" s="657"/>
      <c r="HBN4" s="657"/>
      <c r="HBO4" s="657"/>
      <c r="HBP4" s="657"/>
      <c r="HBQ4" s="657"/>
      <c r="HBR4" s="657"/>
      <c r="HBS4" s="657"/>
      <c r="HBT4" s="657"/>
      <c r="HBU4" s="657"/>
      <c r="HBV4" s="657"/>
      <c r="HBW4" s="657"/>
      <c r="HBX4" s="657"/>
      <c r="HBY4" s="657"/>
      <c r="HBZ4" s="657"/>
      <c r="HCA4" s="657"/>
      <c r="HCB4" s="657"/>
      <c r="HCC4" s="657"/>
      <c r="HCD4" s="657"/>
      <c r="HCE4" s="657"/>
      <c r="HCF4" s="657"/>
      <c r="HCG4" s="657"/>
      <c r="HCH4" s="657"/>
      <c r="HCI4" s="657"/>
      <c r="HCJ4" s="657"/>
      <c r="HCK4" s="657"/>
      <c r="HCL4" s="657"/>
      <c r="HCM4" s="657"/>
      <c r="HCN4" s="657"/>
      <c r="HCO4" s="657"/>
      <c r="HCP4" s="657"/>
      <c r="HCQ4" s="657"/>
      <c r="HCR4" s="657"/>
      <c r="HCS4" s="657"/>
      <c r="HCT4" s="657"/>
      <c r="HCU4" s="657"/>
      <c r="HCV4" s="657"/>
      <c r="HCW4" s="657"/>
      <c r="HCX4" s="657"/>
      <c r="HCY4" s="657"/>
      <c r="HCZ4" s="657"/>
      <c r="HDA4" s="657"/>
      <c r="HDB4" s="657"/>
      <c r="HDC4" s="657"/>
      <c r="HDD4" s="657"/>
      <c r="HDE4" s="657"/>
      <c r="HDF4" s="657"/>
      <c r="HDG4" s="657"/>
      <c r="HDH4" s="657"/>
      <c r="HDI4" s="657"/>
      <c r="HDJ4" s="657"/>
      <c r="HDK4" s="657"/>
      <c r="HDL4" s="657"/>
      <c r="HDM4" s="657"/>
      <c r="HDN4" s="657"/>
      <c r="HDO4" s="657"/>
      <c r="HDP4" s="657"/>
      <c r="HDQ4" s="657"/>
      <c r="HDR4" s="657"/>
      <c r="HDS4" s="657"/>
      <c r="HDT4" s="657"/>
      <c r="HDU4" s="657"/>
      <c r="HDV4" s="657"/>
      <c r="HDW4" s="657"/>
      <c r="HDX4" s="657"/>
      <c r="HDY4" s="657"/>
      <c r="HDZ4" s="657"/>
      <c r="HEA4" s="657"/>
      <c r="HEB4" s="657"/>
      <c r="HEC4" s="657"/>
      <c r="HED4" s="657"/>
      <c r="HEE4" s="657"/>
      <c r="HEF4" s="657"/>
      <c r="HEG4" s="657"/>
      <c r="HEH4" s="657"/>
      <c r="HEI4" s="657"/>
      <c r="HEJ4" s="657"/>
      <c r="HEK4" s="657"/>
      <c r="HEL4" s="657"/>
      <c r="HEM4" s="657"/>
      <c r="HEN4" s="657"/>
      <c r="HEO4" s="657"/>
      <c r="HEP4" s="657"/>
      <c r="HEQ4" s="657"/>
      <c r="HER4" s="657"/>
      <c r="HES4" s="657"/>
      <c r="HET4" s="657"/>
      <c r="HEU4" s="657"/>
      <c r="HEV4" s="657"/>
      <c r="HEW4" s="657"/>
      <c r="HEX4" s="657"/>
      <c r="HEY4" s="657"/>
      <c r="HEZ4" s="657"/>
      <c r="HFA4" s="657"/>
      <c r="HFB4" s="657"/>
      <c r="HFC4" s="657"/>
      <c r="HFD4" s="657"/>
      <c r="HFE4" s="657"/>
      <c r="HFF4" s="657"/>
      <c r="HFG4" s="657"/>
      <c r="HFH4" s="657"/>
      <c r="HFI4" s="657"/>
      <c r="HFJ4" s="657"/>
      <c r="HFK4" s="657"/>
      <c r="HFL4" s="657"/>
      <c r="HFM4" s="657"/>
      <c r="HFN4" s="657"/>
      <c r="HFO4" s="657"/>
      <c r="HFP4" s="657"/>
      <c r="HFQ4" s="657"/>
      <c r="HFR4" s="657"/>
      <c r="HFS4" s="657"/>
      <c r="HFT4" s="657"/>
      <c r="HFU4" s="657"/>
      <c r="HFV4" s="657"/>
      <c r="HFW4" s="657"/>
      <c r="HFX4" s="657"/>
      <c r="HFY4" s="657"/>
      <c r="HFZ4" s="657"/>
      <c r="HGA4" s="657"/>
      <c r="HGB4" s="657"/>
      <c r="HGC4" s="657"/>
      <c r="HGD4" s="657"/>
      <c r="HGE4" s="657"/>
      <c r="HGF4" s="657"/>
      <c r="HGG4" s="657"/>
      <c r="HGH4" s="657"/>
      <c r="HGI4" s="657"/>
      <c r="HGJ4" s="657"/>
      <c r="HGK4" s="657"/>
      <c r="HGL4" s="657"/>
      <c r="HGM4" s="657"/>
      <c r="HGN4" s="657"/>
      <c r="HGO4" s="657"/>
      <c r="HGP4" s="657"/>
      <c r="HGQ4" s="657"/>
      <c r="HGR4" s="657"/>
      <c r="HGS4" s="657"/>
      <c r="HGT4" s="657"/>
      <c r="HGU4" s="657"/>
      <c r="HGV4" s="657"/>
      <c r="HGW4" s="657"/>
      <c r="HGX4" s="657"/>
      <c r="HGY4" s="657"/>
      <c r="HGZ4" s="657"/>
      <c r="HHA4" s="657"/>
      <c r="HHB4" s="657"/>
      <c r="HHC4" s="657"/>
      <c r="HHD4" s="657"/>
      <c r="HHE4" s="657"/>
      <c r="HHF4" s="657"/>
      <c r="HHG4" s="657"/>
      <c r="HHH4" s="657"/>
      <c r="HHI4" s="657"/>
      <c r="HHJ4" s="657"/>
      <c r="HHK4" s="657"/>
      <c r="HHL4" s="657"/>
      <c r="HHM4" s="657"/>
      <c r="HHN4" s="657"/>
      <c r="HHO4" s="657"/>
      <c r="HHP4" s="657"/>
      <c r="HHQ4" s="657"/>
      <c r="HHR4" s="657"/>
      <c r="HHS4" s="657"/>
      <c r="HHT4" s="657"/>
      <c r="HHU4" s="657"/>
      <c r="HHV4" s="657"/>
      <c r="HHW4" s="657"/>
      <c r="HHX4" s="657"/>
      <c r="HHY4" s="657"/>
      <c r="HHZ4" s="657"/>
      <c r="HIA4" s="657"/>
      <c r="HIB4" s="657"/>
      <c r="HIC4" s="657"/>
      <c r="HID4" s="657"/>
      <c r="HIE4" s="657"/>
      <c r="HIF4" s="657"/>
      <c r="HIG4" s="657"/>
      <c r="HIH4" s="657"/>
      <c r="HII4" s="657"/>
      <c r="HIJ4" s="657"/>
      <c r="HIK4" s="657"/>
      <c r="HIL4" s="657"/>
      <c r="HIM4" s="657"/>
      <c r="HIN4" s="657"/>
      <c r="HIO4" s="657"/>
      <c r="HIP4" s="657"/>
      <c r="HIQ4" s="657"/>
      <c r="HIR4" s="657"/>
      <c r="HIS4" s="657"/>
      <c r="HIT4" s="657"/>
      <c r="HIU4" s="657"/>
      <c r="HIV4" s="657"/>
      <c r="HIW4" s="657"/>
      <c r="HIX4" s="657"/>
      <c r="HIY4" s="657"/>
      <c r="HIZ4" s="657"/>
      <c r="HJA4" s="657"/>
      <c r="HJB4" s="657"/>
      <c r="HJC4" s="657"/>
      <c r="HJD4" s="657"/>
      <c r="HJE4" s="657"/>
      <c r="HJF4" s="657"/>
      <c r="HJG4" s="657"/>
      <c r="HJH4" s="657"/>
      <c r="HJI4" s="657"/>
      <c r="HJJ4" s="657"/>
      <c r="HJK4" s="657"/>
      <c r="HJL4" s="657"/>
      <c r="HJM4" s="657"/>
      <c r="HJN4" s="657"/>
      <c r="HJO4" s="657"/>
      <c r="HJP4" s="657"/>
      <c r="HJQ4" s="657"/>
      <c r="HJR4" s="657"/>
      <c r="HJS4" s="657"/>
      <c r="HJT4" s="657"/>
      <c r="HJU4" s="657"/>
      <c r="HJV4" s="657"/>
      <c r="HJW4" s="657"/>
      <c r="HJX4" s="657"/>
      <c r="HJY4" s="657"/>
      <c r="HJZ4" s="657"/>
      <c r="HKA4" s="657"/>
      <c r="HKB4" s="657"/>
      <c r="HKC4" s="657"/>
      <c r="HKD4" s="657"/>
      <c r="HKE4" s="657"/>
      <c r="HKF4" s="657"/>
      <c r="HKG4" s="657"/>
      <c r="HKH4" s="657"/>
      <c r="HKI4" s="657"/>
      <c r="HKJ4" s="657"/>
      <c r="HKK4" s="657"/>
      <c r="HKL4" s="657"/>
      <c r="HKM4" s="657"/>
      <c r="HKN4" s="657"/>
      <c r="HKO4" s="657"/>
      <c r="HKP4" s="657"/>
      <c r="HKQ4" s="657"/>
      <c r="HKR4" s="657"/>
      <c r="HKS4" s="657"/>
      <c r="HKT4" s="657"/>
      <c r="HKU4" s="657"/>
      <c r="HKV4" s="657"/>
      <c r="HKW4" s="657"/>
      <c r="HKX4" s="657"/>
      <c r="HKY4" s="657"/>
      <c r="HKZ4" s="657"/>
      <c r="HLA4" s="657"/>
      <c r="HLB4" s="657"/>
      <c r="HLC4" s="657"/>
      <c r="HLD4" s="657"/>
      <c r="HLE4" s="657"/>
      <c r="HLF4" s="657"/>
      <c r="HLG4" s="657"/>
      <c r="HLH4" s="657"/>
      <c r="HLI4" s="657"/>
      <c r="HLJ4" s="657"/>
      <c r="HLK4" s="657"/>
      <c r="HLL4" s="657"/>
      <c r="HLM4" s="657"/>
      <c r="HLN4" s="657"/>
      <c r="HLO4" s="657"/>
      <c r="HLP4" s="657"/>
      <c r="HLQ4" s="657"/>
      <c r="HLR4" s="657"/>
      <c r="HLS4" s="657"/>
      <c r="HLT4" s="657"/>
      <c r="HLU4" s="657"/>
      <c r="HLV4" s="657"/>
      <c r="HLW4" s="657"/>
      <c r="HLX4" s="657"/>
      <c r="HLY4" s="657"/>
      <c r="HLZ4" s="657"/>
      <c r="HMA4" s="657"/>
      <c r="HMB4" s="657"/>
      <c r="HMC4" s="657"/>
      <c r="HMD4" s="657"/>
      <c r="HME4" s="657"/>
      <c r="HMF4" s="657"/>
      <c r="HMG4" s="657"/>
      <c r="HMH4" s="657"/>
      <c r="HMI4" s="657"/>
      <c r="HMJ4" s="657"/>
      <c r="HMK4" s="657"/>
      <c r="HML4" s="657"/>
      <c r="HMM4" s="657"/>
      <c r="HMN4" s="657"/>
      <c r="HMO4" s="657"/>
      <c r="HMP4" s="657"/>
      <c r="HMQ4" s="657"/>
      <c r="HMR4" s="657"/>
      <c r="HMS4" s="657"/>
      <c r="HMT4" s="657"/>
      <c r="HMU4" s="657"/>
      <c r="HMV4" s="657"/>
      <c r="HMW4" s="657"/>
      <c r="HMX4" s="657"/>
      <c r="HMY4" s="657"/>
      <c r="HMZ4" s="657"/>
      <c r="HNA4" s="657"/>
      <c r="HNB4" s="657"/>
      <c r="HNC4" s="657"/>
      <c r="HND4" s="657"/>
      <c r="HNE4" s="657"/>
      <c r="HNF4" s="657"/>
      <c r="HNG4" s="657"/>
      <c r="HNH4" s="657"/>
      <c r="HNI4" s="657"/>
      <c r="HNJ4" s="657"/>
      <c r="HNK4" s="657"/>
      <c r="HNL4" s="657"/>
      <c r="HNM4" s="657"/>
      <c r="HNN4" s="657"/>
      <c r="HNO4" s="657"/>
      <c r="HNP4" s="657"/>
      <c r="HNQ4" s="657"/>
      <c r="HNR4" s="657"/>
      <c r="HNS4" s="657"/>
      <c r="HNT4" s="657"/>
      <c r="HNU4" s="657"/>
      <c r="HNV4" s="657"/>
      <c r="HNW4" s="657"/>
      <c r="HNX4" s="657"/>
      <c r="HNY4" s="657"/>
      <c r="HNZ4" s="657"/>
      <c r="HOA4" s="657"/>
      <c r="HOB4" s="657"/>
      <c r="HOC4" s="657"/>
      <c r="HOD4" s="657"/>
      <c r="HOE4" s="657"/>
      <c r="HOF4" s="657"/>
      <c r="HOG4" s="657"/>
      <c r="HOH4" s="657"/>
      <c r="HOI4" s="657"/>
      <c r="HOJ4" s="657"/>
      <c r="HOK4" s="657"/>
      <c r="HOL4" s="657"/>
      <c r="HOM4" s="657"/>
      <c r="HON4" s="657"/>
      <c r="HOO4" s="657"/>
      <c r="HOP4" s="657"/>
      <c r="HOQ4" s="657"/>
      <c r="HOR4" s="657"/>
      <c r="HOS4" s="657"/>
      <c r="HOT4" s="657"/>
      <c r="HOU4" s="657"/>
      <c r="HOV4" s="657"/>
      <c r="HOW4" s="657"/>
      <c r="HOX4" s="657"/>
      <c r="HOY4" s="657"/>
      <c r="HOZ4" s="657"/>
      <c r="HPA4" s="657"/>
      <c r="HPB4" s="657"/>
      <c r="HPC4" s="657"/>
      <c r="HPD4" s="657"/>
      <c r="HPE4" s="657"/>
      <c r="HPF4" s="657"/>
      <c r="HPG4" s="657"/>
      <c r="HPH4" s="657"/>
      <c r="HPI4" s="657"/>
      <c r="HPJ4" s="657"/>
      <c r="HPK4" s="657"/>
      <c r="HPL4" s="657"/>
      <c r="HPM4" s="657"/>
      <c r="HPN4" s="657"/>
      <c r="HPO4" s="657"/>
      <c r="HPP4" s="657"/>
      <c r="HPQ4" s="657"/>
      <c r="HPR4" s="657"/>
      <c r="HPS4" s="657"/>
      <c r="HPT4" s="657"/>
      <c r="HPU4" s="657"/>
      <c r="HPV4" s="657"/>
      <c r="HPW4" s="657"/>
      <c r="HPX4" s="657"/>
      <c r="HPY4" s="657"/>
      <c r="HPZ4" s="657"/>
      <c r="HQA4" s="657"/>
      <c r="HQB4" s="657"/>
      <c r="HQC4" s="657"/>
      <c r="HQD4" s="657"/>
      <c r="HQE4" s="657"/>
      <c r="HQF4" s="657"/>
      <c r="HQG4" s="657"/>
      <c r="HQH4" s="657"/>
      <c r="HQI4" s="657"/>
      <c r="HQJ4" s="657"/>
      <c r="HQK4" s="657"/>
      <c r="HQL4" s="657"/>
      <c r="HQM4" s="657"/>
      <c r="HQN4" s="657"/>
      <c r="HQO4" s="657"/>
      <c r="HQP4" s="657"/>
      <c r="HQQ4" s="657"/>
      <c r="HQR4" s="657"/>
      <c r="HQS4" s="657"/>
      <c r="HQT4" s="657"/>
      <c r="HQU4" s="657"/>
      <c r="HQV4" s="657"/>
      <c r="HQW4" s="657"/>
      <c r="HQX4" s="657"/>
      <c r="HQY4" s="657"/>
      <c r="HQZ4" s="657"/>
      <c r="HRA4" s="657"/>
      <c r="HRB4" s="657"/>
      <c r="HRC4" s="657"/>
      <c r="HRD4" s="657"/>
      <c r="HRE4" s="657"/>
      <c r="HRF4" s="657"/>
      <c r="HRG4" s="657"/>
      <c r="HRH4" s="657"/>
      <c r="HRI4" s="657"/>
      <c r="HRJ4" s="657"/>
      <c r="HRK4" s="657"/>
      <c r="HRL4" s="657"/>
      <c r="HRM4" s="657"/>
      <c r="HRN4" s="657"/>
      <c r="HRO4" s="657"/>
      <c r="HRP4" s="657"/>
      <c r="HRQ4" s="657"/>
      <c r="HRR4" s="657"/>
      <c r="HRS4" s="657"/>
      <c r="HRT4" s="657"/>
      <c r="HRU4" s="657"/>
      <c r="HRV4" s="657"/>
      <c r="HRW4" s="657"/>
      <c r="HRX4" s="657"/>
      <c r="HRY4" s="657"/>
      <c r="HRZ4" s="657"/>
      <c r="HSA4" s="657"/>
      <c r="HSB4" s="657"/>
      <c r="HSC4" s="657"/>
      <c r="HSD4" s="657"/>
      <c r="HSE4" s="657"/>
      <c r="HSF4" s="657"/>
      <c r="HSG4" s="657"/>
      <c r="HSH4" s="657"/>
      <c r="HSI4" s="657"/>
      <c r="HSJ4" s="657"/>
      <c r="HSK4" s="657"/>
      <c r="HSL4" s="657"/>
      <c r="HSM4" s="657"/>
      <c r="HSN4" s="657"/>
      <c r="HSO4" s="657"/>
      <c r="HSP4" s="657"/>
      <c r="HSQ4" s="657"/>
      <c r="HSR4" s="657"/>
      <c r="HSS4" s="657"/>
      <c r="HST4" s="657"/>
      <c r="HSU4" s="657"/>
      <c r="HSV4" s="657"/>
      <c r="HSW4" s="657"/>
      <c r="HSX4" s="657"/>
      <c r="HSY4" s="657"/>
      <c r="HSZ4" s="657"/>
      <c r="HTA4" s="657"/>
      <c r="HTB4" s="657"/>
      <c r="HTC4" s="657"/>
      <c r="HTD4" s="657"/>
      <c r="HTE4" s="657"/>
      <c r="HTF4" s="657"/>
      <c r="HTG4" s="657"/>
      <c r="HTH4" s="657"/>
      <c r="HTI4" s="657"/>
      <c r="HTJ4" s="657"/>
      <c r="HTK4" s="657"/>
      <c r="HTL4" s="657"/>
      <c r="HTM4" s="657"/>
      <c r="HTN4" s="657"/>
      <c r="HTO4" s="657"/>
      <c r="HTP4" s="657"/>
      <c r="HTQ4" s="657"/>
      <c r="HTR4" s="657"/>
      <c r="HTS4" s="657"/>
      <c r="HTT4" s="657"/>
      <c r="HTU4" s="657"/>
      <c r="HTV4" s="657"/>
      <c r="HTW4" s="657"/>
      <c r="HTX4" s="657"/>
      <c r="HTY4" s="657"/>
      <c r="HTZ4" s="657"/>
      <c r="HUA4" s="657"/>
      <c r="HUB4" s="657"/>
      <c r="HUC4" s="657"/>
      <c r="HUD4" s="657"/>
      <c r="HUE4" s="657"/>
      <c r="HUF4" s="657"/>
      <c r="HUG4" s="657"/>
      <c r="HUH4" s="657"/>
      <c r="HUI4" s="657"/>
      <c r="HUJ4" s="657"/>
      <c r="HUK4" s="657"/>
      <c r="HUL4" s="657"/>
      <c r="HUM4" s="657"/>
      <c r="HUN4" s="657"/>
      <c r="HUO4" s="657"/>
      <c r="HUP4" s="657"/>
      <c r="HUQ4" s="657"/>
      <c r="HUR4" s="657"/>
      <c r="HUS4" s="657"/>
      <c r="HUT4" s="657"/>
      <c r="HUU4" s="657"/>
      <c r="HUV4" s="657"/>
      <c r="HUW4" s="657"/>
      <c r="HUX4" s="657"/>
      <c r="HUY4" s="657"/>
      <c r="HUZ4" s="657"/>
      <c r="HVA4" s="657"/>
      <c r="HVB4" s="657"/>
      <c r="HVC4" s="657"/>
      <c r="HVD4" s="657"/>
      <c r="HVE4" s="657"/>
      <c r="HVF4" s="657"/>
      <c r="HVG4" s="657"/>
      <c r="HVH4" s="657"/>
      <c r="HVI4" s="657"/>
      <c r="HVJ4" s="657"/>
      <c r="HVK4" s="657"/>
      <c r="HVL4" s="657"/>
      <c r="HVM4" s="657"/>
      <c r="HVN4" s="657"/>
      <c r="HVO4" s="657"/>
      <c r="HVP4" s="657"/>
      <c r="HVQ4" s="657"/>
      <c r="HVR4" s="657"/>
      <c r="HVS4" s="657"/>
      <c r="HVT4" s="657"/>
      <c r="HVU4" s="657"/>
      <c r="HVV4" s="657"/>
      <c r="HVW4" s="657"/>
      <c r="HVX4" s="657"/>
      <c r="HVY4" s="657"/>
      <c r="HVZ4" s="657"/>
      <c r="HWA4" s="657"/>
      <c r="HWB4" s="657"/>
      <c r="HWC4" s="657"/>
      <c r="HWD4" s="657"/>
      <c r="HWE4" s="657"/>
      <c r="HWF4" s="657"/>
      <c r="HWG4" s="657"/>
      <c r="HWH4" s="657"/>
      <c r="HWI4" s="657"/>
      <c r="HWJ4" s="657"/>
      <c r="HWK4" s="657"/>
      <c r="HWL4" s="657"/>
      <c r="HWM4" s="657"/>
      <c r="HWN4" s="657"/>
      <c r="HWO4" s="657"/>
      <c r="HWP4" s="657"/>
      <c r="HWQ4" s="657"/>
      <c r="HWR4" s="657"/>
      <c r="HWS4" s="657"/>
      <c r="HWT4" s="657"/>
      <c r="HWU4" s="657"/>
      <c r="HWV4" s="657"/>
      <c r="HWW4" s="657"/>
      <c r="HWX4" s="657"/>
      <c r="HWY4" s="657"/>
      <c r="HWZ4" s="657"/>
      <c r="HXA4" s="657"/>
      <c r="HXB4" s="657"/>
      <c r="HXC4" s="657"/>
      <c r="HXD4" s="657"/>
      <c r="HXE4" s="657"/>
      <c r="HXF4" s="657"/>
      <c r="HXG4" s="657"/>
      <c r="HXH4" s="657"/>
      <c r="HXI4" s="657"/>
      <c r="HXJ4" s="657"/>
      <c r="HXK4" s="657"/>
      <c r="HXL4" s="657"/>
      <c r="HXM4" s="657"/>
      <c r="HXN4" s="657"/>
      <c r="HXO4" s="657"/>
      <c r="HXP4" s="657"/>
      <c r="HXQ4" s="657"/>
      <c r="HXR4" s="657"/>
      <c r="HXS4" s="657"/>
      <c r="HXT4" s="657"/>
      <c r="HXU4" s="657"/>
      <c r="HXV4" s="657"/>
      <c r="HXW4" s="657"/>
      <c r="HXX4" s="657"/>
      <c r="HXY4" s="657"/>
      <c r="HXZ4" s="657"/>
      <c r="HYA4" s="657"/>
      <c r="HYB4" s="657"/>
      <c r="HYC4" s="657"/>
      <c r="HYD4" s="657"/>
      <c r="HYE4" s="657"/>
      <c r="HYF4" s="657"/>
      <c r="HYG4" s="657"/>
      <c r="HYH4" s="657"/>
      <c r="HYI4" s="657"/>
      <c r="HYJ4" s="657"/>
      <c r="HYK4" s="657"/>
      <c r="HYL4" s="657"/>
      <c r="HYM4" s="657"/>
      <c r="HYN4" s="657"/>
      <c r="HYO4" s="657"/>
      <c r="HYP4" s="657"/>
      <c r="HYQ4" s="657"/>
      <c r="HYR4" s="657"/>
      <c r="HYS4" s="657"/>
      <c r="HYT4" s="657"/>
      <c r="HYU4" s="657"/>
      <c r="HYV4" s="657"/>
      <c r="HYW4" s="657"/>
      <c r="HYX4" s="657"/>
      <c r="HYY4" s="657"/>
      <c r="HYZ4" s="657"/>
      <c r="HZA4" s="657"/>
      <c r="HZB4" s="657"/>
      <c r="HZC4" s="657"/>
      <c r="HZD4" s="657"/>
      <c r="HZE4" s="657"/>
      <c r="HZF4" s="657"/>
      <c r="HZG4" s="657"/>
      <c r="HZH4" s="657"/>
      <c r="HZI4" s="657"/>
      <c r="HZJ4" s="657"/>
      <c r="HZK4" s="657"/>
      <c r="HZL4" s="657"/>
      <c r="HZM4" s="657"/>
      <c r="HZN4" s="657"/>
      <c r="HZO4" s="657"/>
      <c r="HZP4" s="657"/>
      <c r="HZQ4" s="657"/>
      <c r="HZR4" s="657"/>
      <c r="HZS4" s="657"/>
      <c r="HZT4" s="657"/>
      <c r="HZU4" s="657"/>
      <c r="HZV4" s="657"/>
      <c r="HZW4" s="657"/>
      <c r="HZX4" s="657"/>
      <c r="HZY4" s="657"/>
      <c r="HZZ4" s="657"/>
      <c r="IAA4" s="657"/>
      <c r="IAB4" s="657"/>
      <c r="IAC4" s="657"/>
      <c r="IAD4" s="657"/>
      <c r="IAE4" s="657"/>
      <c r="IAF4" s="657"/>
      <c r="IAG4" s="657"/>
      <c r="IAH4" s="657"/>
      <c r="IAI4" s="657"/>
      <c r="IAJ4" s="657"/>
      <c r="IAK4" s="657"/>
      <c r="IAL4" s="657"/>
      <c r="IAM4" s="657"/>
      <c r="IAN4" s="657"/>
      <c r="IAO4" s="657"/>
      <c r="IAP4" s="657"/>
      <c r="IAQ4" s="657"/>
      <c r="IAR4" s="657"/>
      <c r="IAS4" s="657"/>
      <c r="IAT4" s="657"/>
      <c r="IAU4" s="657"/>
      <c r="IAV4" s="657"/>
      <c r="IAW4" s="657"/>
      <c r="IAX4" s="657"/>
      <c r="IAY4" s="657"/>
      <c r="IAZ4" s="657"/>
      <c r="IBA4" s="657"/>
      <c r="IBB4" s="657"/>
      <c r="IBC4" s="657"/>
      <c r="IBD4" s="657"/>
      <c r="IBE4" s="657"/>
      <c r="IBF4" s="657"/>
      <c r="IBG4" s="657"/>
      <c r="IBH4" s="657"/>
      <c r="IBI4" s="657"/>
      <c r="IBJ4" s="657"/>
      <c r="IBK4" s="657"/>
      <c r="IBL4" s="657"/>
      <c r="IBM4" s="657"/>
      <c r="IBN4" s="657"/>
      <c r="IBO4" s="657"/>
      <c r="IBP4" s="657"/>
      <c r="IBQ4" s="657"/>
      <c r="IBR4" s="657"/>
      <c r="IBS4" s="657"/>
      <c r="IBT4" s="657"/>
      <c r="IBU4" s="657"/>
      <c r="IBV4" s="657"/>
      <c r="IBW4" s="657"/>
      <c r="IBX4" s="657"/>
      <c r="IBY4" s="657"/>
      <c r="IBZ4" s="657"/>
      <c r="ICA4" s="657"/>
      <c r="ICB4" s="657"/>
      <c r="ICC4" s="657"/>
      <c r="ICD4" s="657"/>
      <c r="ICE4" s="657"/>
      <c r="ICF4" s="657"/>
      <c r="ICG4" s="657"/>
      <c r="ICH4" s="657"/>
      <c r="ICI4" s="657"/>
      <c r="ICJ4" s="657"/>
      <c r="ICK4" s="657"/>
      <c r="ICL4" s="657"/>
      <c r="ICM4" s="657"/>
      <c r="ICN4" s="657"/>
      <c r="ICO4" s="657"/>
      <c r="ICP4" s="657"/>
      <c r="ICQ4" s="657"/>
      <c r="ICR4" s="657"/>
      <c r="ICS4" s="657"/>
      <c r="ICT4" s="657"/>
      <c r="ICU4" s="657"/>
      <c r="ICV4" s="657"/>
      <c r="ICW4" s="657"/>
      <c r="ICX4" s="657"/>
      <c r="ICY4" s="657"/>
      <c r="ICZ4" s="657"/>
      <c r="IDA4" s="657"/>
      <c r="IDB4" s="657"/>
      <c r="IDC4" s="657"/>
      <c r="IDD4" s="657"/>
      <c r="IDE4" s="657"/>
      <c r="IDF4" s="657"/>
      <c r="IDG4" s="657"/>
      <c r="IDH4" s="657"/>
      <c r="IDI4" s="657"/>
      <c r="IDJ4" s="657"/>
      <c r="IDK4" s="657"/>
      <c r="IDL4" s="657"/>
      <c r="IDM4" s="657"/>
      <c r="IDN4" s="657"/>
      <c r="IDO4" s="657"/>
      <c r="IDP4" s="657"/>
      <c r="IDQ4" s="657"/>
      <c r="IDR4" s="657"/>
      <c r="IDS4" s="657"/>
      <c r="IDT4" s="657"/>
      <c r="IDU4" s="657"/>
      <c r="IDV4" s="657"/>
      <c r="IDW4" s="657"/>
      <c r="IDX4" s="657"/>
      <c r="IDY4" s="657"/>
      <c r="IDZ4" s="657"/>
      <c r="IEA4" s="657"/>
      <c r="IEB4" s="657"/>
      <c r="IEC4" s="657"/>
      <c r="IED4" s="657"/>
      <c r="IEE4" s="657"/>
      <c r="IEF4" s="657"/>
      <c r="IEG4" s="657"/>
      <c r="IEH4" s="657"/>
      <c r="IEI4" s="657"/>
      <c r="IEJ4" s="657"/>
      <c r="IEK4" s="657"/>
      <c r="IEL4" s="657"/>
      <c r="IEM4" s="657"/>
      <c r="IEN4" s="657"/>
      <c r="IEO4" s="657"/>
      <c r="IEP4" s="657"/>
      <c r="IEQ4" s="657"/>
      <c r="IER4" s="657"/>
      <c r="IES4" s="657"/>
      <c r="IET4" s="657"/>
      <c r="IEU4" s="657"/>
      <c r="IEV4" s="657"/>
      <c r="IEW4" s="657"/>
      <c r="IEX4" s="657"/>
      <c r="IEY4" s="657"/>
      <c r="IEZ4" s="657"/>
      <c r="IFA4" s="657"/>
      <c r="IFB4" s="657"/>
      <c r="IFC4" s="657"/>
      <c r="IFD4" s="657"/>
      <c r="IFE4" s="657"/>
      <c r="IFF4" s="657"/>
      <c r="IFG4" s="657"/>
      <c r="IFH4" s="657"/>
      <c r="IFI4" s="657"/>
      <c r="IFJ4" s="657"/>
      <c r="IFK4" s="657"/>
      <c r="IFL4" s="657"/>
      <c r="IFM4" s="657"/>
      <c r="IFN4" s="657"/>
      <c r="IFO4" s="657"/>
      <c r="IFP4" s="657"/>
      <c r="IFQ4" s="657"/>
      <c r="IFR4" s="657"/>
      <c r="IFS4" s="657"/>
      <c r="IFT4" s="657"/>
      <c r="IFU4" s="657"/>
      <c r="IFV4" s="657"/>
      <c r="IFW4" s="657"/>
      <c r="IFX4" s="657"/>
      <c r="IFY4" s="657"/>
      <c r="IFZ4" s="657"/>
      <c r="IGA4" s="657"/>
      <c r="IGB4" s="657"/>
      <c r="IGC4" s="657"/>
      <c r="IGD4" s="657"/>
      <c r="IGE4" s="657"/>
      <c r="IGF4" s="657"/>
      <c r="IGG4" s="657"/>
      <c r="IGH4" s="657"/>
      <c r="IGI4" s="657"/>
      <c r="IGJ4" s="657"/>
      <c r="IGK4" s="657"/>
      <c r="IGL4" s="657"/>
      <c r="IGM4" s="657"/>
      <c r="IGN4" s="657"/>
      <c r="IGO4" s="657"/>
      <c r="IGP4" s="657"/>
      <c r="IGQ4" s="657"/>
      <c r="IGR4" s="657"/>
      <c r="IGS4" s="657"/>
      <c r="IGT4" s="657"/>
      <c r="IGU4" s="657"/>
      <c r="IGV4" s="657"/>
      <c r="IGW4" s="657"/>
      <c r="IGX4" s="657"/>
      <c r="IGY4" s="657"/>
      <c r="IGZ4" s="657"/>
      <c r="IHA4" s="657"/>
      <c r="IHB4" s="657"/>
      <c r="IHC4" s="657"/>
      <c r="IHD4" s="657"/>
      <c r="IHE4" s="657"/>
      <c r="IHF4" s="657"/>
      <c r="IHG4" s="657"/>
      <c r="IHH4" s="657"/>
      <c r="IHI4" s="657"/>
      <c r="IHJ4" s="657"/>
      <c r="IHK4" s="657"/>
      <c r="IHL4" s="657"/>
      <c r="IHM4" s="657"/>
      <c r="IHN4" s="657"/>
      <c r="IHO4" s="657"/>
      <c r="IHP4" s="657"/>
      <c r="IHQ4" s="657"/>
      <c r="IHR4" s="657"/>
      <c r="IHS4" s="657"/>
      <c r="IHT4" s="657"/>
      <c r="IHU4" s="657"/>
      <c r="IHV4" s="657"/>
      <c r="IHW4" s="657"/>
      <c r="IHX4" s="657"/>
      <c r="IHY4" s="657"/>
      <c r="IHZ4" s="657"/>
      <c r="IIA4" s="657"/>
      <c r="IIB4" s="657"/>
      <c r="IIC4" s="657"/>
      <c r="IID4" s="657"/>
      <c r="IIE4" s="657"/>
      <c r="IIF4" s="657"/>
      <c r="IIG4" s="657"/>
      <c r="IIH4" s="657"/>
      <c r="III4" s="657"/>
      <c r="IIJ4" s="657"/>
      <c r="IIK4" s="657"/>
      <c r="IIL4" s="657"/>
      <c r="IIM4" s="657"/>
      <c r="IIN4" s="657"/>
      <c r="IIO4" s="657"/>
      <c r="IIP4" s="657"/>
      <c r="IIQ4" s="657"/>
      <c r="IIR4" s="657"/>
      <c r="IIS4" s="657"/>
      <c r="IIT4" s="657"/>
      <c r="IIU4" s="657"/>
      <c r="IIV4" s="657"/>
      <c r="IIW4" s="657"/>
      <c r="IIX4" s="657"/>
      <c r="IIY4" s="657"/>
      <c r="IIZ4" s="657"/>
      <c r="IJA4" s="657"/>
      <c r="IJB4" s="657"/>
      <c r="IJC4" s="657"/>
      <c r="IJD4" s="657"/>
      <c r="IJE4" s="657"/>
      <c r="IJF4" s="657"/>
      <c r="IJG4" s="657"/>
      <c r="IJH4" s="657"/>
      <c r="IJI4" s="657"/>
      <c r="IJJ4" s="657"/>
      <c r="IJK4" s="657"/>
      <c r="IJL4" s="657"/>
      <c r="IJM4" s="657"/>
      <c r="IJN4" s="657"/>
      <c r="IJO4" s="657"/>
      <c r="IJP4" s="657"/>
      <c r="IJQ4" s="657"/>
      <c r="IJR4" s="657"/>
      <c r="IJS4" s="657"/>
      <c r="IJT4" s="657"/>
      <c r="IJU4" s="657"/>
      <c r="IJV4" s="657"/>
      <c r="IJW4" s="657"/>
      <c r="IJX4" s="657"/>
      <c r="IJY4" s="657"/>
      <c r="IJZ4" s="657"/>
      <c r="IKA4" s="657"/>
      <c r="IKB4" s="657"/>
      <c r="IKC4" s="657"/>
      <c r="IKD4" s="657"/>
      <c r="IKE4" s="657"/>
      <c r="IKF4" s="657"/>
      <c r="IKG4" s="657"/>
      <c r="IKH4" s="657"/>
      <c r="IKI4" s="657"/>
      <c r="IKJ4" s="657"/>
      <c r="IKK4" s="657"/>
      <c r="IKL4" s="657"/>
      <c r="IKM4" s="657"/>
      <c r="IKN4" s="657"/>
      <c r="IKO4" s="657"/>
      <c r="IKP4" s="657"/>
      <c r="IKQ4" s="657"/>
      <c r="IKR4" s="657"/>
      <c r="IKS4" s="657"/>
      <c r="IKT4" s="657"/>
      <c r="IKU4" s="657"/>
      <c r="IKV4" s="657"/>
      <c r="IKW4" s="657"/>
      <c r="IKX4" s="657"/>
      <c r="IKY4" s="657"/>
      <c r="IKZ4" s="657"/>
      <c r="ILA4" s="657"/>
      <c r="ILB4" s="657"/>
      <c r="ILC4" s="657"/>
      <c r="ILD4" s="657"/>
      <c r="ILE4" s="657"/>
      <c r="ILF4" s="657"/>
      <c r="ILG4" s="657"/>
      <c r="ILH4" s="657"/>
      <c r="ILI4" s="657"/>
      <c r="ILJ4" s="657"/>
      <c r="ILK4" s="657"/>
      <c r="ILL4" s="657"/>
      <c r="ILM4" s="657"/>
      <c r="ILN4" s="657"/>
      <c r="ILO4" s="657"/>
      <c r="ILP4" s="657"/>
      <c r="ILQ4" s="657"/>
      <c r="ILR4" s="657"/>
      <c r="ILS4" s="657"/>
      <c r="ILT4" s="657"/>
      <c r="ILU4" s="657"/>
      <c r="ILV4" s="657"/>
      <c r="ILW4" s="657"/>
      <c r="ILX4" s="657"/>
      <c r="ILY4" s="657"/>
      <c r="ILZ4" s="657"/>
      <c r="IMA4" s="657"/>
      <c r="IMB4" s="657"/>
      <c r="IMC4" s="657"/>
      <c r="IMD4" s="657"/>
      <c r="IME4" s="657"/>
      <c r="IMF4" s="657"/>
      <c r="IMG4" s="657"/>
      <c r="IMH4" s="657"/>
      <c r="IMI4" s="657"/>
      <c r="IMJ4" s="657"/>
      <c r="IMK4" s="657"/>
      <c r="IML4" s="657"/>
      <c r="IMM4" s="657"/>
      <c r="IMN4" s="657"/>
      <c r="IMO4" s="657"/>
      <c r="IMP4" s="657"/>
      <c r="IMQ4" s="657"/>
      <c r="IMR4" s="657"/>
      <c r="IMS4" s="657"/>
      <c r="IMT4" s="657"/>
      <c r="IMU4" s="657"/>
      <c r="IMV4" s="657"/>
      <c r="IMW4" s="657"/>
      <c r="IMX4" s="657"/>
      <c r="IMY4" s="657"/>
      <c r="IMZ4" s="657"/>
      <c r="INA4" s="657"/>
      <c r="INB4" s="657"/>
      <c r="INC4" s="657"/>
      <c r="IND4" s="657"/>
      <c r="INE4" s="657"/>
      <c r="INF4" s="657"/>
      <c r="ING4" s="657"/>
      <c r="INH4" s="657"/>
      <c r="INI4" s="657"/>
      <c r="INJ4" s="657"/>
      <c r="INK4" s="657"/>
      <c r="INL4" s="657"/>
      <c r="INM4" s="657"/>
      <c r="INN4" s="657"/>
      <c r="INO4" s="657"/>
      <c r="INP4" s="657"/>
      <c r="INQ4" s="657"/>
      <c r="INR4" s="657"/>
      <c r="INS4" s="657"/>
      <c r="INT4" s="657"/>
      <c r="INU4" s="657"/>
      <c r="INV4" s="657"/>
      <c r="INW4" s="657"/>
      <c r="INX4" s="657"/>
      <c r="INY4" s="657"/>
      <c r="INZ4" s="657"/>
      <c r="IOA4" s="657"/>
      <c r="IOB4" s="657"/>
      <c r="IOC4" s="657"/>
      <c r="IOD4" s="657"/>
      <c r="IOE4" s="657"/>
      <c r="IOF4" s="657"/>
      <c r="IOG4" s="657"/>
      <c r="IOH4" s="657"/>
      <c r="IOI4" s="657"/>
      <c r="IOJ4" s="657"/>
      <c r="IOK4" s="657"/>
      <c r="IOL4" s="657"/>
      <c r="IOM4" s="657"/>
      <c r="ION4" s="657"/>
      <c r="IOO4" s="657"/>
      <c r="IOP4" s="657"/>
      <c r="IOQ4" s="657"/>
      <c r="IOR4" s="657"/>
      <c r="IOS4" s="657"/>
      <c r="IOT4" s="657"/>
      <c r="IOU4" s="657"/>
      <c r="IOV4" s="657"/>
      <c r="IOW4" s="657"/>
      <c r="IOX4" s="657"/>
      <c r="IOY4" s="657"/>
      <c r="IOZ4" s="657"/>
      <c r="IPA4" s="657"/>
      <c r="IPB4" s="657"/>
      <c r="IPC4" s="657"/>
      <c r="IPD4" s="657"/>
      <c r="IPE4" s="657"/>
      <c r="IPF4" s="657"/>
      <c r="IPG4" s="657"/>
      <c r="IPH4" s="657"/>
      <c r="IPI4" s="657"/>
      <c r="IPJ4" s="657"/>
      <c r="IPK4" s="657"/>
      <c r="IPL4" s="657"/>
      <c r="IPM4" s="657"/>
      <c r="IPN4" s="657"/>
      <c r="IPO4" s="657"/>
      <c r="IPP4" s="657"/>
      <c r="IPQ4" s="657"/>
      <c r="IPR4" s="657"/>
      <c r="IPS4" s="657"/>
      <c r="IPT4" s="657"/>
      <c r="IPU4" s="657"/>
      <c r="IPV4" s="657"/>
      <c r="IPW4" s="657"/>
      <c r="IPX4" s="657"/>
      <c r="IPY4" s="657"/>
      <c r="IPZ4" s="657"/>
      <c r="IQA4" s="657"/>
      <c r="IQB4" s="657"/>
      <c r="IQC4" s="657"/>
      <c r="IQD4" s="657"/>
      <c r="IQE4" s="657"/>
      <c r="IQF4" s="657"/>
      <c r="IQG4" s="657"/>
      <c r="IQH4" s="657"/>
      <c r="IQI4" s="657"/>
      <c r="IQJ4" s="657"/>
      <c r="IQK4" s="657"/>
      <c r="IQL4" s="657"/>
      <c r="IQM4" s="657"/>
      <c r="IQN4" s="657"/>
      <c r="IQO4" s="657"/>
      <c r="IQP4" s="657"/>
      <c r="IQQ4" s="657"/>
      <c r="IQR4" s="657"/>
      <c r="IQS4" s="657"/>
      <c r="IQT4" s="657"/>
      <c r="IQU4" s="657"/>
      <c r="IQV4" s="657"/>
      <c r="IQW4" s="657"/>
      <c r="IQX4" s="657"/>
      <c r="IQY4" s="657"/>
      <c r="IQZ4" s="657"/>
      <c r="IRA4" s="657"/>
      <c r="IRB4" s="657"/>
      <c r="IRC4" s="657"/>
      <c r="IRD4" s="657"/>
      <c r="IRE4" s="657"/>
      <c r="IRF4" s="657"/>
      <c r="IRG4" s="657"/>
      <c r="IRH4" s="657"/>
      <c r="IRI4" s="657"/>
      <c r="IRJ4" s="657"/>
      <c r="IRK4" s="657"/>
      <c r="IRL4" s="657"/>
      <c r="IRM4" s="657"/>
      <c r="IRN4" s="657"/>
      <c r="IRO4" s="657"/>
      <c r="IRP4" s="657"/>
      <c r="IRQ4" s="657"/>
      <c r="IRR4" s="657"/>
      <c r="IRS4" s="657"/>
      <c r="IRT4" s="657"/>
      <c r="IRU4" s="657"/>
      <c r="IRV4" s="657"/>
      <c r="IRW4" s="657"/>
      <c r="IRX4" s="657"/>
      <c r="IRY4" s="657"/>
      <c r="IRZ4" s="657"/>
      <c r="ISA4" s="657"/>
      <c r="ISB4" s="657"/>
      <c r="ISC4" s="657"/>
      <c r="ISD4" s="657"/>
      <c r="ISE4" s="657"/>
      <c r="ISF4" s="657"/>
      <c r="ISG4" s="657"/>
      <c r="ISH4" s="657"/>
      <c r="ISI4" s="657"/>
      <c r="ISJ4" s="657"/>
      <c r="ISK4" s="657"/>
      <c r="ISL4" s="657"/>
      <c r="ISM4" s="657"/>
      <c r="ISN4" s="657"/>
      <c r="ISO4" s="657"/>
      <c r="ISP4" s="657"/>
      <c r="ISQ4" s="657"/>
      <c r="ISR4" s="657"/>
      <c r="ISS4" s="657"/>
      <c r="IST4" s="657"/>
      <c r="ISU4" s="657"/>
      <c r="ISV4" s="657"/>
      <c r="ISW4" s="657"/>
      <c r="ISX4" s="657"/>
      <c r="ISY4" s="657"/>
      <c r="ISZ4" s="657"/>
      <c r="ITA4" s="657"/>
      <c r="ITB4" s="657"/>
      <c r="ITC4" s="657"/>
      <c r="ITD4" s="657"/>
      <c r="ITE4" s="657"/>
      <c r="ITF4" s="657"/>
      <c r="ITG4" s="657"/>
      <c r="ITH4" s="657"/>
      <c r="ITI4" s="657"/>
      <c r="ITJ4" s="657"/>
      <c r="ITK4" s="657"/>
      <c r="ITL4" s="657"/>
      <c r="ITM4" s="657"/>
      <c r="ITN4" s="657"/>
      <c r="ITO4" s="657"/>
      <c r="ITP4" s="657"/>
      <c r="ITQ4" s="657"/>
      <c r="ITR4" s="657"/>
      <c r="ITS4" s="657"/>
      <c r="ITT4" s="657"/>
      <c r="ITU4" s="657"/>
      <c r="ITV4" s="657"/>
      <c r="ITW4" s="657"/>
      <c r="ITX4" s="657"/>
      <c r="ITY4" s="657"/>
      <c r="ITZ4" s="657"/>
      <c r="IUA4" s="657"/>
      <c r="IUB4" s="657"/>
      <c r="IUC4" s="657"/>
      <c r="IUD4" s="657"/>
      <c r="IUE4" s="657"/>
      <c r="IUF4" s="657"/>
      <c r="IUG4" s="657"/>
      <c r="IUH4" s="657"/>
      <c r="IUI4" s="657"/>
      <c r="IUJ4" s="657"/>
      <c r="IUK4" s="657"/>
      <c r="IUL4" s="657"/>
      <c r="IUM4" s="657"/>
      <c r="IUN4" s="657"/>
      <c r="IUO4" s="657"/>
      <c r="IUP4" s="657"/>
      <c r="IUQ4" s="657"/>
      <c r="IUR4" s="657"/>
      <c r="IUS4" s="657"/>
      <c r="IUT4" s="657"/>
      <c r="IUU4" s="657"/>
      <c r="IUV4" s="657"/>
      <c r="IUW4" s="657"/>
      <c r="IUX4" s="657"/>
      <c r="IUY4" s="657"/>
      <c r="IUZ4" s="657"/>
      <c r="IVA4" s="657"/>
      <c r="IVB4" s="657"/>
      <c r="IVC4" s="657"/>
      <c r="IVD4" s="657"/>
      <c r="IVE4" s="657"/>
      <c r="IVF4" s="657"/>
      <c r="IVG4" s="657"/>
      <c r="IVH4" s="657"/>
      <c r="IVI4" s="657"/>
      <c r="IVJ4" s="657"/>
      <c r="IVK4" s="657"/>
      <c r="IVL4" s="657"/>
      <c r="IVM4" s="657"/>
      <c r="IVN4" s="657"/>
      <c r="IVO4" s="657"/>
      <c r="IVP4" s="657"/>
      <c r="IVQ4" s="657"/>
      <c r="IVR4" s="657"/>
      <c r="IVS4" s="657"/>
      <c r="IVT4" s="657"/>
      <c r="IVU4" s="657"/>
      <c r="IVV4" s="657"/>
      <c r="IVW4" s="657"/>
      <c r="IVX4" s="657"/>
      <c r="IVY4" s="657"/>
      <c r="IVZ4" s="657"/>
      <c r="IWA4" s="657"/>
      <c r="IWB4" s="657"/>
      <c r="IWC4" s="657"/>
      <c r="IWD4" s="657"/>
      <c r="IWE4" s="657"/>
      <c r="IWF4" s="657"/>
      <c r="IWG4" s="657"/>
      <c r="IWH4" s="657"/>
      <c r="IWI4" s="657"/>
      <c r="IWJ4" s="657"/>
      <c r="IWK4" s="657"/>
      <c r="IWL4" s="657"/>
      <c r="IWM4" s="657"/>
      <c r="IWN4" s="657"/>
      <c r="IWO4" s="657"/>
      <c r="IWP4" s="657"/>
      <c r="IWQ4" s="657"/>
      <c r="IWR4" s="657"/>
      <c r="IWS4" s="657"/>
      <c r="IWT4" s="657"/>
      <c r="IWU4" s="657"/>
      <c r="IWV4" s="657"/>
      <c r="IWW4" s="657"/>
      <c r="IWX4" s="657"/>
      <c r="IWY4" s="657"/>
      <c r="IWZ4" s="657"/>
      <c r="IXA4" s="657"/>
      <c r="IXB4" s="657"/>
      <c r="IXC4" s="657"/>
      <c r="IXD4" s="657"/>
      <c r="IXE4" s="657"/>
      <c r="IXF4" s="657"/>
      <c r="IXG4" s="657"/>
      <c r="IXH4" s="657"/>
      <c r="IXI4" s="657"/>
      <c r="IXJ4" s="657"/>
      <c r="IXK4" s="657"/>
      <c r="IXL4" s="657"/>
      <c r="IXM4" s="657"/>
      <c r="IXN4" s="657"/>
      <c r="IXO4" s="657"/>
      <c r="IXP4" s="657"/>
      <c r="IXQ4" s="657"/>
      <c r="IXR4" s="657"/>
      <c r="IXS4" s="657"/>
      <c r="IXT4" s="657"/>
      <c r="IXU4" s="657"/>
      <c r="IXV4" s="657"/>
      <c r="IXW4" s="657"/>
      <c r="IXX4" s="657"/>
      <c r="IXY4" s="657"/>
      <c r="IXZ4" s="657"/>
      <c r="IYA4" s="657"/>
      <c r="IYB4" s="657"/>
      <c r="IYC4" s="657"/>
      <c r="IYD4" s="657"/>
      <c r="IYE4" s="657"/>
      <c r="IYF4" s="657"/>
      <c r="IYG4" s="657"/>
      <c r="IYH4" s="657"/>
      <c r="IYI4" s="657"/>
      <c r="IYJ4" s="657"/>
      <c r="IYK4" s="657"/>
      <c r="IYL4" s="657"/>
      <c r="IYM4" s="657"/>
      <c r="IYN4" s="657"/>
      <c r="IYO4" s="657"/>
      <c r="IYP4" s="657"/>
      <c r="IYQ4" s="657"/>
      <c r="IYR4" s="657"/>
      <c r="IYS4" s="657"/>
      <c r="IYT4" s="657"/>
      <c r="IYU4" s="657"/>
      <c r="IYV4" s="657"/>
      <c r="IYW4" s="657"/>
      <c r="IYX4" s="657"/>
      <c r="IYY4" s="657"/>
      <c r="IYZ4" s="657"/>
      <c r="IZA4" s="657"/>
      <c r="IZB4" s="657"/>
      <c r="IZC4" s="657"/>
      <c r="IZD4" s="657"/>
      <c r="IZE4" s="657"/>
      <c r="IZF4" s="657"/>
      <c r="IZG4" s="657"/>
      <c r="IZH4" s="657"/>
      <c r="IZI4" s="657"/>
      <c r="IZJ4" s="657"/>
      <c r="IZK4" s="657"/>
      <c r="IZL4" s="657"/>
      <c r="IZM4" s="657"/>
      <c r="IZN4" s="657"/>
      <c r="IZO4" s="657"/>
      <c r="IZP4" s="657"/>
      <c r="IZQ4" s="657"/>
      <c r="IZR4" s="657"/>
      <c r="IZS4" s="657"/>
      <c r="IZT4" s="657"/>
      <c r="IZU4" s="657"/>
      <c r="IZV4" s="657"/>
      <c r="IZW4" s="657"/>
      <c r="IZX4" s="657"/>
      <c r="IZY4" s="657"/>
      <c r="IZZ4" s="657"/>
      <c r="JAA4" s="657"/>
      <c r="JAB4" s="657"/>
      <c r="JAC4" s="657"/>
      <c r="JAD4" s="657"/>
      <c r="JAE4" s="657"/>
      <c r="JAF4" s="657"/>
      <c r="JAG4" s="657"/>
      <c r="JAH4" s="657"/>
      <c r="JAI4" s="657"/>
      <c r="JAJ4" s="657"/>
      <c r="JAK4" s="657"/>
      <c r="JAL4" s="657"/>
      <c r="JAM4" s="657"/>
      <c r="JAN4" s="657"/>
      <c r="JAO4" s="657"/>
      <c r="JAP4" s="657"/>
      <c r="JAQ4" s="657"/>
      <c r="JAR4" s="657"/>
      <c r="JAS4" s="657"/>
      <c r="JAT4" s="657"/>
      <c r="JAU4" s="657"/>
      <c r="JAV4" s="657"/>
      <c r="JAW4" s="657"/>
      <c r="JAX4" s="657"/>
      <c r="JAY4" s="657"/>
      <c r="JAZ4" s="657"/>
      <c r="JBA4" s="657"/>
      <c r="JBB4" s="657"/>
      <c r="JBC4" s="657"/>
      <c r="JBD4" s="657"/>
      <c r="JBE4" s="657"/>
      <c r="JBF4" s="657"/>
      <c r="JBG4" s="657"/>
      <c r="JBH4" s="657"/>
      <c r="JBI4" s="657"/>
      <c r="JBJ4" s="657"/>
      <c r="JBK4" s="657"/>
      <c r="JBL4" s="657"/>
      <c r="JBM4" s="657"/>
      <c r="JBN4" s="657"/>
      <c r="JBO4" s="657"/>
      <c r="JBP4" s="657"/>
      <c r="JBQ4" s="657"/>
      <c r="JBR4" s="657"/>
      <c r="JBS4" s="657"/>
      <c r="JBT4" s="657"/>
      <c r="JBU4" s="657"/>
      <c r="JBV4" s="657"/>
      <c r="JBW4" s="657"/>
      <c r="JBX4" s="657"/>
      <c r="JBY4" s="657"/>
      <c r="JBZ4" s="657"/>
      <c r="JCA4" s="657"/>
      <c r="JCB4" s="657"/>
      <c r="JCC4" s="657"/>
      <c r="JCD4" s="657"/>
      <c r="JCE4" s="657"/>
      <c r="JCF4" s="657"/>
      <c r="JCG4" s="657"/>
      <c r="JCH4" s="657"/>
      <c r="JCI4" s="657"/>
      <c r="JCJ4" s="657"/>
      <c r="JCK4" s="657"/>
      <c r="JCL4" s="657"/>
      <c r="JCM4" s="657"/>
      <c r="JCN4" s="657"/>
      <c r="JCO4" s="657"/>
      <c r="JCP4" s="657"/>
      <c r="JCQ4" s="657"/>
      <c r="JCR4" s="657"/>
      <c r="JCS4" s="657"/>
      <c r="JCT4" s="657"/>
      <c r="JCU4" s="657"/>
      <c r="JCV4" s="657"/>
      <c r="JCW4" s="657"/>
      <c r="JCX4" s="657"/>
      <c r="JCY4" s="657"/>
      <c r="JCZ4" s="657"/>
      <c r="JDA4" s="657"/>
      <c r="JDB4" s="657"/>
      <c r="JDC4" s="657"/>
      <c r="JDD4" s="657"/>
      <c r="JDE4" s="657"/>
      <c r="JDF4" s="657"/>
      <c r="JDG4" s="657"/>
      <c r="JDH4" s="657"/>
      <c r="JDI4" s="657"/>
      <c r="JDJ4" s="657"/>
      <c r="JDK4" s="657"/>
      <c r="JDL4" s="657"/>
      <c r="JDM4" s="657"/>
      <c r="JDN4" s="657"/>
      <c r="JDO4" s="657"/>
      <c r="JDP4" s="657"/>
      <c r="JDQ4" s="657"/>
      <c r="JDR4" s="657"/>
      <c r="JDS4" s="657"/>
      <c r="JDT4" s="657"/>
      <c r="JDU4" s="657"/>
      <c r="JDV4" s="657"/>
      <c r="JDW4" s="657"/>
      <c r="JDX4" s="657"/>
      <c r="JDY4" s="657"/>
      <c r="JDZ4" s="657"/>
      <c r="JEA4" s="657"/>
      <c r="JEB4" s="657"/>
      <c r="JEC4" s="657"/>
      <c r="JED4" s="657"/>
      <c r="JEE4" s="657"/>
      <c r="JEF4" s="657"/>
      <c r="JEG4" s="657"/>
      <c r="JEH4" s="657"/>
      <c r="JEI4" s="657"/>
      <c r="JEJ4" s="657"/>
      <c r="JEK4" s="657"/>
      <c r="JEL4" s="657"/>
      <c r="JEM4" s="657"/>
      <c r="JEN4" s="657"/>
      <c r="JEO4" s="657"/>
      <c r="JEP4" s="657"/>
      <c r="JEQ4" s="657"/>
      <c r="JER4" s="657"/>
      <c r="JES4" s="657"/>
      <c r="JET4" s="657"/>
      <c r="JEU4" s="657"/>
      <c r="JEV4" s="657"/>
      <c r="JEW4" s="657"/>
      <c r="JEX4" s="657"/>
      <c r="JEY4" s="657"/>
      <c r="JEZ4" s="657"/>
      <c r="JFA4" s="657"/>
      <c r="JFB4" s="657"/>
      <c r="JFC4" s="657"/>
      <c r="JFD4" s="657"/>
      <c r="JFE4" s="657"/>
      <c r="JFF4" s="657"/>
      <c r="JFG4" s="657"/>
      <c r="JFH4" s="657"/>
      <c r="JFI4" s="657"/>
      <c r="JFJ4" s="657"/>
      <c r="JFK4" s="657"/>
      <c r="JFL4" s="657"/>
      <c r="JFM4" s="657"/>
      <c r="JFN4" s="657"/>
      <c r="JFO4" s="657"/>
      <c r="JFP4" s="657"/>
      <c r="JFQ4" s="657"/>
      <c r="JFR4" s="657"/>
      <c r="JFS4" s="657"/>
      <c r="JFT4" s="657"/>
      <c r="JFU4" s="657"/>
      <c r="JFV4" s="657"/>
      <c r="JFW4" s="657"/>
      <c r="JFX4" s="657"/>
      <c r="JFY4" s="657"/>
      <c r="JFZ4" s="657"/>
      <c r="JGA4" s="657"/>
      <c r="JGB4" s="657"/>
      <c r="JGC4" s="657"/>
      <c r="JGD4" s="657"/>
      <c r="JGE4" s="657"/>
      <c r="JGF4" s="657"/>
      <c r="JGG4" s="657"/>
      <c r="JGH4" s="657"/>
      <c r="JGI4" s="657"/>
      <c r="JGJ4" s="657"/>
      <c r="JGK4" s="657"/>
      <c r="JGL4" s="657"/>
      <c r="JGM4" s="657"/>
      <c r="JGN4" s="657"/>
      <c r="JGO4" s="657"/>
      <c r="JGP4" s="657"/>
      <c r="JGQ4" s="657"/>
      <c r="JGR4" s="657"/>
      <c r="JGS4" s="657"/>
      <c r="JGT4" s="657"/>
      <c r="JGU4" s="657"/>
      <c r="JGV4" s="657"/>
      <c r="JGW4" s="657"/>
      <c r="JGX4" s="657"/>
      <c r="JGY4" s="657"/>
      <c r="JGZ4" s="657"/>
      <c r="JHA4" s="657"/>
      <c r="JHB4" s="657"/>
      <c r="JHC4" s="657"/>
      <c r="JHD4" s="657"/>
      <c r="JHE4" s="657"/>
      <c r="JHF4" s="657"/>
      <c r="JHG4" s="657"/>
      <c r="JHH4" s="657"/>
      <c r="JHI4" s="657"/>
      <c r="JHJ4" s="657"/>
      <c r="JHK4" s="657"/>
      <c r="JHL4" s="657"/>
      <c r="JHM4" s="657"/>
      <c r="JHN4" s="657"/>
      <c r="JHO4" s="657"/>
      <c r="JHP4" s="657"/>
      <c r="JHQ4" s="657"/>
      <c r="JHR4" s="657"/>
      <c r="JHS4" s="657"/>
      <c r="JHT4" s="657"/>
      <c r="JHU4" s="657"/>
      <c r="JHV4" s="657"/>
      <c r="JHW4" s="657"/>
      <c r="JHX4" s="657"/>
      <c r="JHY4" s="657"/>
      <c r="JHZ4" s="657"/>
      <c r="JIA4" s="657"/>
      <c r="JIB4" s="657"/>
      <c r="JIC4" s="657"/>
      <c r="JID4" s="657"/>
      <c r="JIE4" s="657"/>
      <c r="JIF4" s="657"/>
      <c r="JIG4" s="657"/>
      <c r="JIH4" s="657"/>
      <c r="JII4" s="657"/>
      <c r="JIJ4" s="657"/>
      <c r="JIK4" s="657"/>
      <c r="JIL4" s="657"/>
      <c r="JIM4" s="657"/>
      <c r="JIN4" s="657"/>
      <c r="JIO4" s="657"/>
      <c r="JIP4" s="657"/>
      <c r="JIQ4" s="657"/>
      <c r="JIR4" s="657"/>
      <c r="JIS4" s="657"/>
      <c r="JIT4" s="657"/>
      <c r="JIU4" s="657"/>
      <c r="JIV4" s="657"/>
      <c r="JIW4" s="657"/>
      <c r="JIX4" s="657"/>
      <c r="JIY4" s="657"/>
      <c r="JIZ4" s="657"/>
      <c r="JJA4" s="657"/>
      <c r="JJB4" s="657"/>
      <c r="JJC4" s="657"/>
      <c r="JJD4" s="657"/>
      <c r="JJE4" s="657"/>
      <c r="JJF4" s="657"/>
      <c r="JJG4" s="657"/>
      <c r="JJH4" s="657"/>
      <c r="JJI4" s="657"/>
      <c r="JJJ4" s="657"/>
      <c r="JJK4" s="657"/>
      <c r="JJL4" s="657"/>
      <c r="JJM4" s="657"/>
      <c r="JJN4" s="657"/>
      <c r="JJO4" s="657"/>
      <c r="JJP4" s="657"/>
      <c r="JJQ4" s="657"/>
      <c r="JJR4" s="657"/>
      <c r="JJS4" s="657"/>
      <c r="JJT4" s="657"/>
      <c r="JJU4" s="657"/>
      <c r="JJV4" s="657"/>
      <c r="JJW4" s="657"/>
      <c r="JJX4" s="657"/>
      <c r="JJY4" s="657"/>
      <c r="JJZ4" s="657"/>
      <c r="JKA4" s="657"/>
      <c r="JKB4" s="657"/>
      <c r="JKC4" s="657"/>
      <c r="JKD4" s="657"/>
      <c r="JKE4" s="657"/>
      <c r="JKF4" s="657"/>
      <c r="JKG4" s="657"/>
      <c r="JKH4" s="657"/>
      <c r="JKI4" s="657"/>
      <c r="JKJ4" s="657"/>
      <c r="JKK4" s="657"/>
      <c r="JKL4" s="657"/>
      <c r="JKM4" s="657"/>
      <c r="JKN4" s="657"/>
      <c r="JKO4" s="657"/>
      <c r="JKP4" s="657"/>
      <c r="JKQ4" s="657"/>
      <c r="JKR4" s="657"/>
      <c r="JKS4" s="657"/>
      <c r="JKT4" s="657"/>
      <c r="JKU4" s="657"/>
      <c r="JKV4" s="657"/>
      <c r="JKW4" s="657"/>
      <c r="JKX4" s="657"/>
      <c r="JKY4" s="657"/>
      <c r="JKZ4" s="657"/>
      <c r="JLA4" s="657"/>
      <c r="JLB4" s="657"/>
      <c r="JLC4" s="657"/>
      <c r="JLD4" s="657"/>
      <c r="JLE4" s="657"/>
      <c r="JLF4" s="657"/>
      <c r="JLG4" s="657"/>
      <c r="JLH4" s="657"/>
      <c r="JLI4" s="657"/>
      <c r="JLJ4" s="657"/>
      <c r="JLK4" s="657"/>
      <c r="JLL4" s="657"/>
      <c r="JLM4" s="657"/>
      <c r="JLN4" s="657"/>
      <c r="JLO4" s="657"/>
      <c r="JLP4" s="657"/>
      <c r="JLQ4" s="657"/>
      <c r="JLR4" s="657"/>
      <c r="JLS4" s="657"/>
      <c r="JLT4" s="657"/>
      <c r="JLU4" s="657"/>
      <c r="JLV4" s="657"/>
      <c r="JLW4" s="657"/>
      <c r="JLX4" s="657"/>
      <c r="JLY4" s="657"/>
      <c r="JLZ4" s="657"/>
      <c r="JMA4" s="657"/>
      <c r="JMB4" s="657"/>
      <c r="JMC4" s="657"/>
      <c r="JMD4" s="657"/>
      <c r="JME4" s="657"/>
      <c r="JMF4" s="657"/>
      <c r="JMG4" s="657"/>
      <c r="JMH4" s="657"/>
      <c r="JMI4" s="657"/>
      <c r="JMJ4" s="657"/>
      <c r="JMK4" s="657"/>
      <c r="JML4" s="657"/>
      <c r="JMM4" s="657"/>
      <c r="JMN4" s="657"/>
      <c r="JMO4" s="657"/>
      <c r="JMP4" s="657"/>
      <c r="JMQ4" s="657"/>
      <c r="JMR4" s="657"/>
      <c r="JMS4" s="657"/>
      <c r="JMT4" s="657"/>
      <c r="JMU4" s="657"/>
      <c r="JMV4" s="657"/>
      <c r="JMW4" s="657"/>
      <c r="JMX4" s="657"/>
      <c r="JMY4" s="657"/>
      <c r="JMZ4" s="657"/>
      <c r="JNA4" s="657"/>
      <c r="JNB4" s="657"/>
      <c r="JNC4" s="657"/>
      <c r="JND4" s="657"/>
      <c r="JNE4" s="657"/>
      <c r="JNF4" s="657"/>
      <c r="JNG4" s="657"/>
      <c r="JNH4" s="657"/>
      <c r="JNI4" s="657"/>
      <c r="JNJ4" s="657"/>
      <c r="JNK4" s="657"/>
      <c r="JNL4" s="657"/>
      <c r="JNM4" s="657"/>
      <c r="JNN4" s="657"/>
      <c r="JNO4" s="657"/>
      <c r="JNP4" s="657"/>
      <c r="JNQ4" s="657"/>
      <c r="JNR4" s="657"/>
      <c r="JNS4" s="657"/>
      <c r="JNT4" s="657"/>
      <c r="JNU4" s="657"/>
      <c r="JNV4" s="657"/>
      <c r="JNW4" s="657"/>
      <c r="JNX4" s="657"/>
      <c r="JNY4" s="657"/>
      <c r="JNZ4" s="657"/>
      <c r="JOA4" s="657"/>
      <c r="JOB4" s="657"/>
      <c r="JOC4" s="657"/>
      <c r="JOD4" s="657"/>
      <c r="JOE4" s="657"/>
      <c r="JOF4" s="657"/>
      <c r="JOG4" s="657"/>
      <c r="JOH4" s="657"/>
      <c r="JOI4" s="657"/>
      <c r="JOJ4" s="657"/>
      <c r="JOK4" s="657"/>
      <c r="JOL4" s="657"/>
      <c r="JOM4" s="657"/>
      <c r="JON4" s="657"/>
      <c r="JOO4" s="657"/>
      <c r="JOP4" s="657"/>
      <c r="JOQ4" s="657"/>
      <c r="JOR4" s="657"/>
      <c r="JOS4" s="657"/>
      <c r="JOT4" s="657"/>
      <c r="JOU4" s="657"/>
      <c r="JOV4" s="657"/>
      <c r="JOW4" s="657"/>
      <c r="JOX4" s="657"/>
      <c r="JOY4" s="657"/>
      <c r="JOZ4" s="657"/>
      <c r="JPA4" s="657"/>
      <c r="JPB4" s="657"/>
      <c r="JPC4" s="657"/>
      <c r="JPD4" s="657"/>
      <c r="JPE4" s="657"/>
      <c r="JPF4" s="657"/>
      <c r="JPG4" s="657"/>
      <c r="JPH4" s="657"/>
      <c r="JPI4" s="657"/>
      <c r="JPJ4" s="657"/>
      <c r="JPK4" s="657"/>
      <c r="JPL4" s="657"/>
      <c r="JPM4" s="657"/>
      <c r="JPN4" s="657"/>
      <c r="JPO4" s="657"/>
      <c r="JPP4" s="657"/>
      <c r="JPQ4" s="657"/>
      <c r="JPR4" s="657"/>
      <c r="JPS4" s="657"/>
      <c r="JPT4" s="657"/>
      <c r="JPU4" s="657"/>
      <c r="JPV4" s="657"/>
      <c r="JPW4" s="657"/>
      <c r="JPX4" s="657"/>
      <c r="JPY4" s="657"/>
      <c r="JPZ4" s="657"/>
      <c r="JQA4" s="657"/>
      <c r="JQB4" s="657"/>
      <c r="JQC4" s="657"/>
      <c r="JQD4" s="657"/>
      <c r="JQE4" s="657"/>
      <c r="JQF4" s="657"/>
      <c r="JQG4" s="657"/>
      <c r="JQH4" s="657"/>
      <c r="JQI4" s="657"/>
      <c r="JQJ4" s="657"/>
      <c r="JQK4" s="657"/>
      <c r="JQL4" s="657"/>
      <c r="JQM4" s="657"/>
      <c r="JQN4" s="657"/>
      <c r="JQO4" s="657"/>
      <c r="JQP4" s="657"/>
      <c r="JQQ4" s="657"/>
      <c r="JQR4" s="657"/>
      <c r="JQS4" s="657"/>
      <c r="JQT4" s="657"/>
      <c r="JQU4" s="657"/>
      <c r="JQV4" s="657"/>
      <c r="JQW4" s="657"/>
      <c r="JQX4" s="657"/>
      <c r="JQY4" s="657"/>
      <c r="JQZ4" s="657"/>
      <c r="JRA4" s="657"/>
      <c r="JRB4" s="657"/>
      <c r="JRC4" s="657"/>
      <c r="JRD4" s="657"/>
      <c r="JRE4" s="657"/>
      <c r="JRF4" s="657"/>
      <c r="JRG4" s="657"/>
      <c r="JRH4" s="657"/>
      <c r="JRI4" s="657"/>
      <c r="JRJ4" s="657"/>
      <c r="JRK4" s="657"/>
      <c r="JRL4" s="657"/>
      <c r="JRM4" s="657"/>
      <c r="JRN4" s="657"/>
      <c r="JRO4" s="657"/>
      <c r="JRP4" s="657"/>
      <c r="JRQ4" s="657"/>
      <c r="JRR4" s="657"/>
      <c r="JRS4" s="657"/>
      <c r="JRT4" s="657"/>
      <c r="JRU4" s="657"/>
      <c r="JRV4" s="657"/>
      <c r="JRW4" s="657"/>
      <c r="JRX4" s="657"/>
      <c r="JRY4" s="657"/>
      <c r="JRZ4" s="657"/>
      <c r="JSA4" s="657"/>
      <c r="JSB4" s="657"/>
      <c r="JSC4" s="657"/>
      <c r="JSD4" s="657"/>
      <c r="JSE4" s="657"/>
      <c r="JSF4" s="657"/>
      <c r="JSG4" s="657"/>
      <c r="JSH4" s="657"/>
      <c r="JSI4" s="657"/>
      <c r="JSJ4" s="657"/>
      <c r="JSK4" s="657"/>
      <c r="JSL4" s="657"/>
      <c r="JSM4" s="657"/>
      <c r="JSN4" s="657"/>
      <c r="JSO4" s="657"/>
      <c r="JSP4" s="657"/>
      <c r="JSQ4" s="657"/>
      <c r="JSR4" s="657"/>
      <c r="JSS4" s="657"/>
      <c r="JST4" s="657"/>
      <c r="JSU4" s="657"/>
      <c r="JSV4" s="657"/>
      <c r="JSW4" s="657"/>
      <c r="JSX4" s="657"/>
      <c r="JSY4" s="657"/>
      <c r="JSZ4" s="657"/>
      <c r="JTA4" s="657"/>
      <c r="JTB4" s="657"/>
      <c r="JTC4" s="657"/>
      <c r="JTD4" s="657"/>
      <c r="JTE4" s="657"/>
      <c r="JTF4" s="657"/>
      <c r="JTG4" s="657"/>
      <c r="JTH4" s="657"/>
      <c r="JTI4" s="657"/>
      <c r="JTJ4" s="657"/>
      <c r="JTK4" s="657"/>
      <c r="JTL4" s="657"/>
      <c r="JTM4" s="657"/>
      <c r="JTN4" s="657"/>
      <c r="JTO4" s="657"/>
      <c r="JTP4" s="657"/>
      <c r="JTQ4" s="657"/>
      <c r="JTR4" s="657"/>
      <c r="JTS4" s="657"/>
      <c r="JTT4" s="657"/>
      <c r="JTU4" s="657"/>
      <c r="JTV4" s="657"/>
      <c r="JTW4" s="657"/>
      <c r="JTX4" s="657"/>
      <c r="JTY4" s="657"/>
      <c r="JTZ4" s="657"/>
      <c r="JUA4" s="657"/>
      <c r="JUB4" s="657"/>
      <c r="JUC4" s="657"/>
      <c r="JUD4" s="657"/>
      <c r="JUE4" s="657"/>
      <c r="JUF4" s="657"/>
      <c r="JUG4" s="657"/>
      <c r="JUH4" s="657"/>
      <c r="JUI4" s="657"/>
      <c r="JUJ4" s="657"/>
      <c r="JUK4" s="657"/>
      <c r="JUL4" s="657"/>
      <c r="JUM4" s="657"/>
      <c r="JUN4" s="657"/>
      <c r="JUO4" s="657"/>
      <c r="JUP4" s="657"/>
      <c r="JUQ4" s="657"/>
      <c r="JUR4" s="657"/>
      <c r="JUS4" s="657"/>
      <c r="JUT4" s="657"/>
      <c r="JUU4" s="657"/>
      <c r="JUV4" s="657"/>
      <c r="JUW4" s="657"/>
      <c r="JUX4" s="657"/>
      <c r="JUY4" s="657"/>
      <c r="JUZ4" s="657"/>
      <c r="JVA4" s="657"/>
      <c r="JVB4" s="657"/>
      <c r="JVC4" s="657"/>
      <c r="JVD4" s="657"/>
      <c r="JVE4" s="657"/>
      <c r="JVF4" s="657"/>
      <c r="JVG4" s="657"/>
      <c r="JVH4" s="657"/>
      <c r="JVI4" s="657"/>
      <c r="JVJ4" s="657"/>
      <c r="JVK4" s="657"/>
      <c r="JVL4" s="657"/>
      <c r="JVM4" s="657"/>
      <c r="JVN4" s="657"/>
      <c r="JVO4" s="657"/>
      <c r="JVP4" s="657"/>
      <c r="JVQ4" s="657"/>
      <c r="JVR4" s="657"/>
      <c r="JVS4" s="657"/>
      <c r="JVT4" s="657"/>
      <c r="JVU4" s="657"/>
      <c r="JVV4" s="657"/>
      <c r="JVW4" s="657"/>
      <c r="JVX4" s="657"/>
      <c r="JVY4" s="657"/>
      <c r="JVZ4" s="657"/>
      <c r="JWA4" s="657"/>
      <c r="JWB4" s="657"/>
      <c r="JWC4" s="657"/>
      <c r="JWD4" s="657"/>
      <c r="JWE4" s="657"/>
      <c r="JWF4" s="657"/>
      <c r="JWG4" s="657"/>
      <c r="JWH4" s="657"/>
      <c r="JWI4" s="657"/>
      <c r="JWJ4" s="657"/>
      <c r="JWK4" s="657"/>
      <c r="JWL4" s="657"/>
      <c r="JWM4" s="657"/>
      <c r="JWN4" s="657"/>
      <c r="JWO4" s="657"/>
      <c r="JWP4" s="657"/>
      <c r="JWQ4" s="657"/>
      <c r="JWR4" s="657"/>
      <c r="JWS4" s="657"/>
      <c r="JWT4" s="657"/>
      <c r="JWU4" s="657"/>
      <c r="JWV4" s="657"/>
      <c r="JWW4" s="657"/>
      <c r="JWX4" s="657"/>
      <c r="JWY4" s="657"/>
      <c r="JWZ4" s="657"/>
      <c r="JXA4" s="657"/>
      <c r="JXB4" s="657"/>
      <c r="JXC4" s="657"/>
      <c r="JXD4" s="657"/>
      <c r="JXE4" s="657"/>
      <c r="JXF4" s="657"/>
      <c r="JXG4" s="657"/>
      <c r="JXH4" s="657"/>
      <c r="JXI4" s="657"/>
      <c r="JXJ4" s="657"/>
      <c r="JXK4" s="657"/>
      <c r="JXL4" s="657"/>
      <c r="JXM4" s="657"/>
      <c r="JXN4" s="657"/>
      <c r="JXO4" s="657"/>
      <c r="JXP4" s="657"/>
      <c r="JXQ4" s="657"/>
      <c r="JXR4" s="657"/>
      <c r="JXS4" s="657"/>
      <c r="JXT4" s="657"/>
      <c r="JXU4" s="657"/>
      <c r="JXV4" s="657"/>
      <c r="JXW4" s="657"/>
      <c r="JXX4" s="657"/>
      <c r="JXY4" s="657"/>
      <c r="JXZ4" s="657"/>
      <c r="JYA4" s="657"/>
      <c r="JYB4" s="657"/>
      <c r="JYC4" s="657"/>
      <c r="JYD4" s="657"/>
      <c r="JYE4" s="657"/>
      <c r="JYF4" s="657"/>
      <c r="JYG4" s="657"/>
      <c r="JYH4" s="657"/>
      <c r="JYI4" s="657"/>
      <c r="JYJ4" s="657"/>
      <c r="JYK4" s="657"/>
      <c r="JYL4" s="657"/>
      <c r="JYM4" s="657"/>
      <c r="JYN4" s="657"/>
      <c r="JYO4" s="657"/>
      <c r="JYP4" s="657"/>
      <c r="JYQ4" s="657"/>
      <c r="JYR4" s="657"/>
      <c r="JYS4" s="657"/>
      <c r="JYT4" s="657"/>
      <c r="JYU4" s="657"/>
      <c r="JYV4" s="657"/>
      <c r="JYW4" s="657"/>
      <c r="JYX4" s="657"/>
      <c r="JYY4" s="657"/>
      <c r="JYZ4" s="657"/>
      <c r="JZA4" s="657"/>
      <c r="JZB4" s="657"/>
      <c r="JZC4" s="657"/>
      <c r="JZD4" s="657"/>
      <c r="JZE4" s="657"/>
      <c r="JZF4" s="657"/>
      <c r="JZG4" s="657"/>
      <c r="JZH4" s="657"/>
      <c r="JZI4" s="657"/>
      <c r="JZJ4" s="657"/>
      <c r="JZK4" s="657"/>
      <c r="JZL4" s="657"/>
      <c r="JZM4" s="657"/>
      <c r="JZN4" s="657"/>
      <c r="JZO4" s="657"/>
      <c r="JZP4" s="657"/>
      <c r="JZQ4" s="657"/>
      <c r="JZR4" s="657"/>
      <c r="JZS4" s="657"/>
      <c r="JZT4" s="657"/>
      <c r="JZU4" s="657"/>
      <c r="JZV4" s="657"/>
      <c r="JZW4" s="657"/>
      <c r="JZX4" s="657"/>
      <c r="JZY4" s="657"/>
      <c r="JZZ4" s="657"/>
      <c r="KAA4" s="657"/>
      <c r="KAB4" s="657"/>
      <c r="KAC4" s="657"/>
      <c r="KAD4" s="657"/>
      <c r="KAE4" s="657"/>
      <c r="KAF4" s="657"/>
      <c r="KAG4" s="657"/>
      <c r="KAH4" s="657"/>
      <c r="KAI4" s="657"/>
      <c r="KAJ4" s="657"/>
      <c r="KAK4" s="657"/>
      <c r="KAL4" s="657"/>
      <c r="KAM4" s="657"/>
      <c r="KAN4" s="657"/>
      <c r="KAO4" s="657"/>
      <c r="KAP4" s="657"/>
      <c r="KAQ4" s="657"/>
      <c r="KAR4" s="657"/>
      <c r="KAS4" s="657"/>
      <c r="KAT4" s="657"/>
      <c r="KAU4" s="657"/>
      <c r="KAV4" s="657"/>
      <c r="KAW4" s="657"/>
      <c r="KAX4" s="657"/>
      <c r="KAY4" s="657"/>
      <c r="KAZ4" s="657"/>
      <c r="KBA4" s="657"/>
      <c r="KBB4" s="657"/>
      <c r="KBC4" s="657"/>
      <c r="KBD4" s="657"/>
      <c r="KBE4" s="657"/>
      <c r="KBF4" s="657"/>
      <c r="KBG4" s="657"/>
      <c r="KBH4" s="657"/>
      <c r="KBI4" s="657"/>
      <c r="KBJ4" s="657"/>
      <c r="KBK4" s="657"/>
      <c r="KBL4" s="657"/>
      <c r="KBM4" s="657"/>
      <c r="KBN4" s="657"/>
      <c r="KBO4" s="657"/>
      <c r="KBP4" s="657"/>
      <c r="KBQ4" s="657"/>
      <c r="KBR4" s="657"/>
      <c r="KBS4" s="657"/>
      <c r="KBT4" s="657"/>
      <c r="KBU4" s="657"/>
      <c r="KBV4" s="657"/>
      <c r="KBW4" s="657"/>
      <c r="KBX4" s="657"/>
      <c r="KBY4" s="657"/>
      <c r="KBZ4" s="657"/>
      <c r="KCA4" s="657"/>
      <c r="KCB4" s="657"/>
      <c r="KCC4" s="657"/>
      <c r="KCD4" s="657"/>
      <c r="KCE4" s="657"/>
      <c r="KCF4" s="657"/>
      <c r="KCG4" s="657"/>
      <c r="KCH4" s="657"/>
      <c r="KCI4" s="657"/>
      <c r="KCJ4" s="657"/>
      <c r="KCK4" s="657"/>
      <c r="KCL4" s="657"/>
      <c r="KCM4" s="657"/>
      <c r="KCN4" s="657"/>
      <c r="KCO4" s="657"/>
      <c r="KCP4" s="657"/>
      <c r="KCQ4" s="657"/>
      <c r="KCR4" s="657"/>
      <c r="KCS4" s="657"/>
      <c r="KCT4" s="657"/>
      <c r="KCU4" s="657"/>
      <c r="KCV4" s="657"/>
      <c r="KCW4" s="657"/>
      <c r="KCX4" s="657"/>
      <c r="KCY4" s="657"/>
      <c r="KCZ4" s="657"/>
      <c r="KDA4" s="657"/>
      <c r="KDB4" s="657"/>
      <c r="KDC4" s="657"/>
      <c r="KDD4" s="657"/>
      <c r="KDE4" s="657"/>
      <c r="KDF4" s="657"/>
      <c r="KDG4" s="657"/>
      <c r="KDH4" s="657"/>
      <c r="KDI4" s="657"/>
      <c r="KDJ4" s="657"/>
      <c r="KDK4" s="657"/>
      <c r="KDL4" s="657"/>
      <c r="KDM4" s="657"/>
      <c r="KDN4" s="657"/>
      <c r="KDO4" s="657"/>
      <c r="KDP4" s="657"/>
      <c r="KDQ4" s="657"/>
      <c r="KDR4" s="657"/>
      <c r="KDS4" s="657"/>
      <c r="KDT4" s="657"/>
      <c r="KDU4" s="657"/>
      <c r="KDV4" s="657"/>
      <c r="KDW4" s="657"/>
      <c r="KDX4" s="657"/>
      <c r="KDY4" s="657"/>
      <c r="KDZ4" s="657"/>
      <c r="KEA4" s="657"/>
      <c r="KEB4" s="657"/>
      <c r="KEC4" s="657"/>
      <c r="KED4" s="657"/>
      <c r="KEE4" s="657"/>
      <c r="KEF4" s="657"/>
      <c r="KEG4" s="657"/>
      <c r="KEH4" s="657"/>
      <c r="KEI4" s="657"/>
      <c r="KEJ4" s="657"/>
      <c r="KEK4" s="657"/>
      <c r="KEL4" s="657"/>
      <c r="KEM4" s="657"/>
      <c r="KEN4" s="657"/>
      <c r="KEO4" s="657"/>
      <c r="KEP4" s="657"/>
      <c r="KEQ4" s="657"/>
      <c r="KER4" s="657"/>
      <c r="KES4" s="657"/>
      <c r="KET4" s="657"/>
      <c r="KEU4" s="657"/>
      <c r="KEV4" s="657"/>
      <c r="KEW4" s="657"/>
      <c r="KEX4" s="657"/>
      <c r="KEY4" s="657"/>
      <c r="KEZ4" s="657"/>
      <c r="KFA4" s="657"/>
      <c r="KFB4" s="657"/>
      <c r="KFC4" s="657"/>
      <c r="KFD4" s="657"/>
      <c r="KFE4" s="657"/>
      <c r="KFF4" s="657"/>
      <c r="KFG4" s="657"/>
      <c r="KFH4" s="657"/>
      <c r="KFI4" s="657"/>
      <c r="KFJ4" s="657"/>
      <c r="KFK4" s="657"/>
      <c r="KFL4" s="657"/>
      <c r="KFM4" s="657"/>
      <c r="KFN4" s="657"/>
      <c r="KFO4" s="657"/>
      <c r="KFP4" s="657"/>
      <c r="KFQ4" s="657"/>
      <c r="KFR4" s="657"/>
      <c r="KFS4" s="657"/>
      <c r="KFT4" s="657"/>
      <c r="KFU4" s="657"/>
      <c r="KFV4" s="657"/>
      <c r="KFW4" s="657"/>
      <c r="KFX4" s="657"/>
      <c r="KFY4" s="657"/>
      <c r="KFZ4" s="657"/>
      <c r="KGA4" s="657"/>
      <c r="KGB4" s="657"/>
      <c r="KGC4" s="657"/>
      <c r="KGD4" s="657"/>
      <c r="KGE4" s="657"/>
      <c r="KGF4" s="657"/>
      <c r="KGG4" s="657"/>
      <c r="KGH4" s="657"/>
      <c r="KGI4" s="657"/>
      <c r="KGJ4" s="657"/>
      <c r="KGK4" s="657"/>
      <c r="KGL4" s="657"/>
      <c r="KGM4" s="657"/>
      <c r="KGN4" s="657"/>
      <c r="KGO4" s="657"/>
      <c r="KGP4" s="657"/>
      <c r="KGQ4" s="657"/>
      <c r="KGR4" s="657"/>
      <c r="KGS4" s="657"/>
      <c r="KGT4" s="657"/>
      <c r="KGU4" s="657"/>
      <c r="KGV4" s="657"/>
      <c r="KGW4" s="657"/>
      <c r="KGX4" s="657"/>
      <c r="KGY4" s="657"/>
      <c r="KGZ4" s="657"/>
      <c r="KHA4" s="657"/>
      <c r="KHB4" s="657"/>
      <c r="KHC4" s="657"/>
      <c r="KHD4" s="657"/>
      <c r="KHE4" s="657"/>
      <c r="KHF4" s="657"/>
      <c r="KHG4" s="657"/>
      <c r="KHH4" s="657"/>
      <c r="KHI4" s="657"/>
      <c r="KHJ4" s="657"/>
      <c r="KHK4" s="657"/>
      <c r="KHL4" s="657"/>
      <c r="KHM4" s="657"/>
      <c r="KHN4" s="657"/>
      <c r="KHO4" s="657"/>
      <c r="KHP4" s="657"/>
      <c r="KHQ4" s="657"/>
      <c r="KHR4" s="657"/>
      <c r="KHS4" s="657"/>
      <c r="KHT4" s="657"/>
      <c r="KHU4" s="657"/>
      <c r="KHV4" s="657"/>
      <c r="KHW4" s="657"/>
      <c r="KHX4" s="657"/>
      <c r="KHY4" s="657"/>
      <c r="KHZ4" s="657"/>
      <c r="KIA4" s="657"/>
      <c r="KIB4" s="657"/>
      <c r="KIC4" s="657"/>
      <c r="KID4" s="657"/>
      <c r="KIE4" s="657"/>
      <c r="KIF4" s="657"/>
      <c r="KIG4" s="657"/>
      <c r="KIH4" s="657"/>
      <c r="KII4" s="657"/>
      <c r="KIJ4" s="657"/>
      <c r="KIK4" s="657"/>
      <c r="KIL4" s="657"/>
      <c r="KIM4" s="657"/>
      <c r="KIN4" s="657"/>
      <c r="KIO4" s="657"/>
      <c r="KIP4" s="657"/>
      <c r="KIQ4" s="657"/>
      <c r="KIR4" s="657"/>
      <c r="KIS4" s="657"/>
      <c r="KIT4" s="657"/>
      <c r="KIU4" s="657"/>
      <c r="KIV4" s="657"/>
      <c r="KIW4" s="657"/>
      <c r="KIX4" s="657"/>
      <c r="KIY4" s="657"/>
      <c r="KIZ4" s="657"/>
      <c r="KJA4" s="657"/>
      <c r="KJB4" s="657"/>
      <c r="KJC4" s="657"/>
      <c r="KJD4" s="657"/>
      <c r="KJE4" s="657"/>
      <c r="KJF4" s="657"/>
      <c r="KJG4" s="657"/>
      <c r="KJH4" s="657"/>
      <c r="KJI4" s="657"/>
      <c r="KJJ4" s="657"/>
      <c r="KJK4" s="657"/>
      <c r="KJL4" s="657"/>
      <c r="KJM4" s="657"/>
      <c r="KJN4" s="657"/>
      <c r="KJO4" s="657"/>
      <c r="KJP4" s="657"/>
      <c r="KJQ4" s="657"/>
      <c r="KJR4" s="657"/>
      <c r="KJS4" s="657"/>
      <c r="KJT4" s="657"/>
      <c r="KJU4" s="657"/>
      <c r="KJV4" s="657"/>
      <c r="KJW4" s="657"/>
      <c r="KJX4" s="657"/>
      <c r="KJY4" s="657"/>
      <c r="KJZ4" s="657"/>
      <c r="KKA4" s="657"/>
      <c r="KKB4" s="657"/>
      <c r="KKC4" s="657"/>
      <c r="KKD4" s="657"/>
      <c r="KKE4" s="657"/>
      <c r="KKF4" s="657"/>
      <c r="KKG4" s="657"/>
      <c r="KKH4" s="657"/>
      <c r="KKI4" s="657"/>
      <c r="KKJ4" s="657"/>
      <c r="KKK4" s="657"/>
      <c r="KKL4" s="657"/>
      <c r="KKM4" s="657"/>
      <c r="KKN4" s="657"/>
      <c r="KKO4" s="657"/>
      <c r="KKP4" s="657"/>
      <c r="KKQ4" s="657"/>
      <c r="KKR4" s="657"/>
      <c r="KKS4" s="657"/>
      <c r="KKT4" s="657"/>
      <c r="KKU4" s="657"/>
      <c r="KKV4" s="657"/>
      <c r="KKW4" s="657"/>
      <c r="KKX4" s="657"/>
      <c r="KKY4" s="657"/>
      <c r="KKZ4" s="657"/>
      <c r="KLA4" s="657"/>
      <c r="KLB4" s="657"/>
      <c r="KLC4" s="657"/>
      <c r="KLD4" s="657"/>
      <c r="KLE4" s="657"/>
      <c r="KLF4" s="657"/>
      <c r="KLG4" s="657"/>
      <c r="KLH4" s="657"/>
      <c r="KLI4" s="657"/>
      <c r="KLJ4" s="657"/>
      <c r="KLK4" s="657"/>
      <c r="KLL4" s="657"/>
      <c r="KLM4" s="657"/>
      <c r="KLN4" s="657"/>
      <c r="KLO4" s="657"/>
      <c r="KLP4" s="657"/>
      <c r="KLQ4" s="657"/>
      <c r="KLR4" s="657"/>
      <c r="KLS4" s="657"/>
      <c r="KLT4" s="657"/>
      <c r="KLU4" s="657"/>
      <c r="KLV4" s="657"/>
      <c r="KLW4" s="657"/>
      <c r="KLX4" s="657"/>
      <c r="KLY4" s="657"/>
      <c r="KLZ4" s="657"/>
      <c r="KMA4" s="657"/>
      <c r="KMB4" s="657"/>
      <c r="KMC4" s="657"/>
      <c r="KMD4" s="657"/>
      <c r="KME4" s="657"/>
      <c r="KMF4" s="657"/>
      <c r="KMG4" s="657"/>
      <c r="KMH4" s="657"/>
      <c r="KMI4" s="657"/>
      <c r="KMJ4" s="657"/>
      <c r="KMK4" s="657"/>
      <c r="KML4" s="657"/>
      <c r="KMM4" s="657"/>
      <c r="KMN4" s="657"/>
      <c r="KMO4" s="657"/>
      <c r="KMP4" s="657"/>
      <c r="KMQ4" s="657"/>
      <c r="KMR4" s="657"/>
      <c r="KMS4" s="657"/>
      <c r="KMT4" s="657"/>
      <c r="KMU4" s="657"/>
      <c r="KMV4" s="657"/>
      <c r="KMW4" s="657"/>
      <c r="KMX4" s="657"/>
      <c r="KMY4" s="657"/>
      <c r="KMZ4" s="657"/>
      <c r="KNA4" s="657"/>
      <c r="KNB4" s="657"/>
      <c r="KNC4" s="657"/>
      <c r="KND4" s="657"/>
      <c r="KNE4" s="657"/>
      <c r="KNF4" s="657"/>
      <c r="KNG4" s="657"/>
      <c r="KNH4" s="657"/>
      <c r="KNI4" s="657"/>
      <c r="KNJ4" s="657"/>
      <c r="KNK4" s="657"/>
      <c r="KNL4" s="657"/>
      <c r="KNM4" s="657"/>
      <c r="KNN4" s="657"/>
      <c r="KNO4" s="657"/>
      <c r="KNP4" s="657"/>
      <c r="KNQ4" s="657"/>
      <c r="KNR4" s="657"/>
      <c r="KNS4" s="657"/>
      <c r="KNT4" s="657"/>
      <c r="KNU4" s="657"/>
      <c r="KNV4" s="657"/>
      <c r="KNW4" s="657"/>
      <c r="KNX4" s="657"/>
      <c r="KNY4" s="657"/>
      <c r="KNZ4" s="657"/>
      <c r="KOA4" s="657"/>
      <c r="KOB4" s="657"/>
      <c r="KOC4" s="657"/>
      <c r="KOD4" s="657"/>
      <c r="KOE4" s="657"/>
      <c r="KOF4" s="657"/>
      <c r="KOG4" s="657"/>
      <c r="KOH4" s="657"/>
      <c r="KOI4" s="657"/>
      <c r="KOJ4" s="657"/>
      <c r="KOK4" s="657"/>
      <c r="KOL4" s="657"/>
      <c r="KOM4" s="657"/>
      <c r="KON4" s="657"/>
      <c r="KOO4" s="657"/>
      <c r="KOP4" s="657"/>
      <c r="KOQ4" s="657"/>
      <c r="KOR4" s="657"/>
      <c r="KOS4" s="657"/>
      <c r="KOT4" s="657"/>
      <c r="KOU4" s="657"/>
      <c r="KOV4" s="657"/>
      <c r="KOW4" s="657"/>
      <c r="KOX4" s="657"/>
      <c r="KOY4" s="657"/>
      <c r="KOZ4" s="657"/>
      <c r="KPA4" s="657"/>
      <c r="KPB4" s="657"/>
      <c r="KPC4" s="657"/>
      <c r="KPD4" s="657"/>
      <c r="KPE4" s="657"/>
      <c r="KPF4" s="657"/>
      <c r="KPG4" s="657"/>
      <c r="KPH4" s="657"/>
      <c r="KPI4" s="657"/>
      <c r="KPJ4" s="657"/>
      <c r="KPK4" s="657"/>
      <c r="KPL4" s="657"/>
      <c r="KPM4" s="657"/>
      <c r="KPN4" s="657"/>
      <c r="KPO4" s="657"/>
      <c r="KPP4" s="657"/>
      <c r="KPQ4" s="657"/>
      <c r="KPR4" s="657"/>
      <c r="KPS4" s="657"/>
      <c r="KPT4" s="657"/>
      <c r="KPU4" s="657"/>
      <c r="KPV4" s="657"/>
      <c r="KPW4" s="657"/>
      <c r="KPX4" s="657"/>
      <c r="KPY4" s="657"/>
      <c r="KPZ4" s="657"/>
      <c r="KQA4" s="657"/>
      <c r="KQB4" s="657"/>
      <c r="KQC4" s="657"/>
      <c r="KQD4" s="657"/>
      <c r="KQE4" s="657"/>
      <c r="KQF4" s="657"/>
      <c r="KQG4" s="657"/>
      <c r="KQH4" s="657"/>
      <c r="KQI4" s="657"/>
      <c r="KQJ4" s="657"/>
      <c r="KQK4" s="657"/>
      <c r="KQL4" s="657"/>
      <c r="KQM4" s="657"/>
      <c r="KQN4" s="657"/>
      <c r="KQO4" s="657"/>
      <c r="KQP4" s="657"/>
      <c r="KQQ4" s="657"/>
      <c r="KQR4" s="657"/>
      <c r="KQS4" s="657"/>
      <c r="KQT4" s="657"/>
      <c r="KQU4" s="657"/>
      <c r="KQV4" s="657"/>
      <c r="KQW4" s="657"/>
      <c r="KQX4" s="657"/>
      <c r="KQY4" s="657"/>
      <c r="KQZ4" s="657"/>
      <c r="KRA4" s="657"/>
      <c r="KRB4" s="657"/>
      <c r="KRC4" s="657"/>
      <c r="KRD4" s="657"/>
      <c r="KRE4" s="657"/>
      <c r="KRF4" s="657"/>
      <c r="KRG4" s="657"/>
      <c r="KRH4" s="657"/>
      <c r="KRI4" s="657"/>
      <c r="KRJ4" s="657"/>
      <c r="KRK4" s="657"/>
      <c r="KRL4" s="657"/>
      <c r="KRM4" s="657"/>
      <c r="KRN4" s="657"/>
      <c r="KRO4" s="657"/>
      <c r="KRP4" s="657"/>
      <c r="KRQ4" s="657"/>
      <c r="KRR4" s="657"/>
      <c r="KRS4" s="657"/>
      <c r="KRT4" s="657"/>
      <c r="KRU4" s="657"/>
      <c r="KRV4" s="657"/>
      <c r="KRW4" s="657"/>
      <c r="KRX4" s="657"/>
      <c r="KRY4" s="657"/>
      <c r="KRZ4" s="657"/>
      <c r="KSA4" s="657"/>
      <c r="KSB4" s="657"/>
      <c r="KSC4" s="657"/>
      <c r="KSD4" s="657"/>
      <c r="KSE4" s="657"/>
      <c r="KSF4" s="657"/>
      <c r="KSG4" s="657"/>
      <c r="KSH4" s="657"/>
      <c r="KSI4" s="657"/>
      <c r="KSJ4" s="657"/>
      <c r="KSK4" s="657"/>
      <c r="KSL4" s="657"/>
      <c r="KSM4" s="657"/>
      <c r="KSN4" s="657"/>
      <c r="KSO4" s="657"/>
      <c r="KSP4" s="657"/>
      <c r="KSQ4" s="657"/>
      <c r="KSR4" s="657"/>
      <c r="KSS4" s="657"/>
      <c r="KST4" s="657"/>
      <c r="KSU4" s="657"/>
      <c r="KSV4" s="657"/>
      <c r="KSW4" s="657"/>
      <c r="KSX4" s="657"/>
      <c r="KSY4" s="657"/>
      <c r="KSZ4" s="657"/>
      <c r="KTA4" s="657"/>
      <c r="KTB4" s="657"/>
      <c r="KTC4" s="657"/>
      <c r="KTD4" s="657"/>
      <c r="KTE4" s="657"/>
      <c r="KTF4" s="657"/>
      <c r="KTG4" s="657"/>
      <c r="KTH4" s="657"/>
      <c r="KTI4" s="657"/>
      <c r="KTJ4" s="657"/>
      <c r="KTK4" s="657"/>
      <c r="KTL4" s="657"/>
      <c r="KTM4" s="657"/>
      <c r="KTN4" s="657"/>
      <c r="KTO4" s="657"/>
      <c r="KTP4" s="657"/>
      <c r="KTQ4" s="657"/>
      <c r="KTR4" s="657"/>
      <c r="KTS4" s="657"/>
      <c r="KTT4" s="657"/>
      <c r="KTU4" s="657"/>
      <c r="KTV4" s="657"/>
      <c r="KTW4" s="657"/>
      <c r="KTX4" s="657"/>
      <c r="KTY4" s="657"/>
      <c r="KTZ4" s="657"/>
      <c r="KUA4" s="657"/>
      <c r="KUB4" s="657"/>
      <c r="KUC4" s="657"/>
      <c r="KUD4" s="657"/>
      <c r="KUE4" s="657"/>
      <c r="KUF4" s="657"/>
      <c r="KUG4" s="657"/>
      <c r="KUH4" s="657"/>
      <c r="KUI4" s="657"/>
      <c r="KUJ4" s="657"/>
      <c r="KUK4" s="657"/>
      <c r="KUL4" s="657"/>
      <c r="KUM4" s="657"/>
      <c r="KUN4" s="657"/>
      <c r="KUO4" s="657"/>
      <c r="KUP4" s="657"/>
      <c r="KUQ4" s="657"/>
      <c r="KUR4" s="657"/>
      <c r="KUS4" s="657"/>
      <c r="KUT4" s="657"/>
      <c r="KUU4" s="657"/>
      <c r="KUV4" s="657"/>
      <c r="KUW4" s="657"/>
      <c r="KUX4" s="657"/>
      <c r="KUY4" s="657"/>
      <c r="KUZ4" s="657"/>
      <c r="KVA4" s="657"/>
      <c r="KVB4" s="657"/>
      <c r="KVC4" s="657"/>
      <c r="KVD4" s="657"/>
      <c r="KVE4" s="657"/>
      <c r="KVF4" s="657"/>
      <c r="KVG4" s="657"/>
      <c r="KVH4" s="657"/>
      <c r="KVI4" s="657"/>
      <c r="KVJ4" s="657"/>
      <c r="KVK4" s="657"/>
      <c r="KVL4" s="657"/>
      <c r="KVM4" s="657"/>
      <c r="KVN4" s="657"/>
      <c r="KVO4" s="657"/>
      <c r="KVP4" s="657"/>
      <c r="KVQ4" s="657"/>
      <c r="KVR4" s="657"/>
      <c r="KVS4" s="657"/>
      <c r="KVT4" s="657"/>
      <c r="KVU4" s="657"/>
      <c r="KVV4" s="657"/>
      <c r="KVW4" s="657"/>
      <c r="KVX4" s="657"/>
      <c r="KVY4" s="657"/>
      <c r="KVZ4" s="657"/>
      <c r="KWA4" s="657"/>
      <c r="KWB4" s="657"/>
      <c r="KWC4" s="657"/>
      <c r="KWD4" s="657"/>
      <c r="KWE4" s="657"/>
      <c r="KWF4" s="657"/>
      <c r="KWG4" s="657"/>
      <c r="KWH4" s="657"/>
      <c r="KWI4" s="657"/>
      <c r="KWJ4" s="657"/>
      <c r="KWK4" s="657"/>
      <c r="KWL4" s="657"/>
      <c r="KWM4" s="657"/>
      <c r="KWN4" s="657"/>
      <c r="KWO4" s="657"/>
      <c r="KWP4" s="657"/>
      <c r="KWQ4" s="657"/>
      <c r="KWR4" s="657"/>
      <c r="KWS4" s="657"/>
      <c r="KWT4" s="657"/>
      <c r="KWU4" s="657"/>
      <c r="KWV4" s="657"/>
      <c r="KWW4" s="657"/>
      <c r="KWX4" s="657"/>
      <c r="KWY4" s="657"/>
      <c r="KWZ4" s="657"/>
      <c r="KXA4" s="657"/>
      <c r="KXB4" s="657"/>
      <c r="KXC4" s="657"/>
      <c r="KXD4" s="657"/>
      <c r="KXE4" s="657"/>
      <c r="KXF4" s="657"/>
      <c r="KXG4" s="657"/>
      <c r="KXH4" s="657"/>
      <c r="KXI4" s="657"/>
      <c r="KXJ4" s="657"/>
      <c r="KXK4" s="657"/>
      <c r="KXL4" s="657"/>
      <c r="KXM4" s="657"/>
      <c r="KXN4" s="657"/>
      <c r="KXO4" s="657"/>
      <c r="KXP4" s="657"/>
      <c r="KXQ4" s="657"/>
      <c r="KXR4" s="657"/>
      <c r="KXS4" s="657"/>
      <c r="KXT4" s="657"/>
      <c r="KXU4" s="657"/>
      <c r="KXV4" s="657"/>
      <c r="KXW4" s="657"/>
      <c r="KXX4" s="657"/>
      <c r="KXY4" s="657"/>
      <c r="KXZ4" s="657"/>
      <c r="KYA4" s="657"/>
      <c r="KYB4" s="657"/>
      <c r="KYC4" s="657"/>
      <c r="KYD4" s="657"/>
      <c r="KYE4" s="657"/>
      <c r="KYF4" s="657"/>
      <c r="KYG4" s="657"/>
      <c r="KYH4" s="657"/>
      <c r="KYI4" s="657"/>
      <c r="KYJ4" s="657"/>
      <c r="KYK4" s="657"/>
      <c r="KYL4" s="657"/>
      <c r="KYM4" s="657"/>
      <c r="KYN4" s="657"/>
      <c r="KYO4" s="657"/>
      <c r="KYP4" s="657"/>
      <c r="KYQ4" s="657"/>
      <c r="KYR4" s="657"/>
      <c r="KYS4" s="657"/>
      <c r="KYT4" s="657"/>
      <c r="KYU4" s="657"/>
      <c r="KYV4" s="657"/>
      <c r="KYW4" s="657"/>
      <c r="KYX4" s="657"/>
      <c r="KYY4" s="657"/>
      <c r="KYZ4" s="657"/>
      <c r="KZA4" s="657"/>
      <c r="KZB4" s="657"/>
      <c r="KZC4" s="657"/>
      <c r="KZD4" s="657"/>
      <c r="KZE4" s="657"/>
      <c r="KZF4" s="657"/>
      <c r="KZG4" s="657"/>
      <c r="KZH4" s="657"/>
      <c r="KZI4" s="657"/>
      <c r="KZJ4" s="657"/>
      <c r="KZK4" s="657"/>
      <c r="KZL4" s="657"/>
      <c r="KZM4" s="657"/>
      <c r="KZN4" s="657"/>
      <c r="KZO4" s="657"/>
      <c r="KZP4" s="657"/>
      <c r="KZQ4" s="657"/>
      <c r="KZR4" s="657"/>
      <c r="KZS4" s="657"/>
      <c r="KZT4" s="657"/>
      <c r="KZU4" s="657"/>
      <c r="KZV4" s="657"/>
      <c r="KZW4" s="657"/>
      <c r="KZX4" s="657"/>
      <c r="KZY4" s="657"/>
      <c r="KZZ4" s="657"/>
      <c r="LAA4" s="657"/>
      <c r="LAB4" s="657"/>
      <c r="LAC4" s="657"/>
      <c r="LAD4" s="657"/>
      <c r="LAE4" s="657"/>
      <c r="LAF4" s="657"/>
      <c r="LAG4" s="657"/>
      <c r="LAH4" s="657"/>
      <c r="LAI4" s="657"/>
      <c r="LAJ4" s="657"/>
      <c r="LAK4" s="657"/>
      <c r="LAL4" s="657"/>
      <c r="LAM4" s="657"/>
      <c r="LAN4" s="657"/>
      <c r="LAO4" s="657"/>
      <c r="LAP4" s="657"/>
      <c r="LAQ4" s="657"/>
      <c r="LAR4" s="657"/>
      <c r="LAS4" s="657"/>
      <c r="LAT4" s="657"/>
      <c r="LAU4" s="657"/>
      <c r="LAV4" s="657"/>
      <c r="LAW4" s="657"/>
      <c r="LAX4" s="657"/>
      <c r="LAY4" s="657"/>
      <c r="LAZ4" s="657"/>
      <c r="LBA4" s="657"/>
      <c r="LBB4" s="657"/>
      <c r="LBC4" s="657"/>
      <c r="LBD4" s="657"/>
      <c r="LBE4" s="657"/>
      <c r="LBF4" s="657"/>
      <c r="LBG4" s="657"/>
      <c r="LBH4" s="657"/>
      <c r="LBI4" s="657"/>
      <c r="LBJ4" s="657"/>
      <c r="LBK4" s="657"/>
      <c r="LBL4" s="657"/>
      <c r="LBM4" s="657"/>
      <c r="LBN4" s="657"/>
      <c r="LBO4" s="657"/>
      <c r="LBP4" s="657"/>
      <c r="LBQ4" s="657"/>
      <c r="LBR4" s="657"/>
      <c r="LBS4" s="657"/>
      <c r="LBT4" s="657"/>
      <c r="LBU4" s="657"/>
      <c r="LBV4" s="657"/>
      <c r="LBW4" s="657"/>
      <c r="LBX4" s="657"/>
      <c r="LBY4" s="657"/>
      <c r="LBZ4" s="657"/>
      <c r="LCA4" s="657"/>
      <c r="LCB4" s="657"/>
      <c r="LCC4" s="657"/>
      <c r="LCD4" s="657"/>
      <c r="LCE4" s="657"/>
      <c r="LCF4" s="657"/>
      <c r="LCG4" s="657"/>
      <c r="LCH4" s="657"/>
      <c r="LCI4" s="657"/>
      <c r="LCJ4" s="657"/>
      <c r="LCK4" s="657"/>
      <c r="LCL4" s="657"/>
      <c r="LCM4" s="657"/>
      <c r="LCN4" s="657"/>
      <c r="LCO4" s="657"/>
      <c r="LCP4" s="657"/>
      <c r="LCQ4" s="657"/>
      <c r="LCR4" s="657"/>
      <c r="LCS4" s="657"/>
      <c r="LCT4" s="657"/>
      <c r="LCU4" s="657"/>
      <c r="LCV4" s="657"/>
      <c r="LCW4" s="657"/>
      <c r="LCX4" s="657"/>
      <c r="LCY4" s="657"/>
      <c r="LCZ4" s="657"/>
      <c r="LDA4" s="657"/>
      <c r="LDB4" s="657"/>
      <c r="LDC4" s="657"/>
      <c r="LDD4" s="657"/>
      <c r="LDE4" s="657"/>
      <c r="LDF4" s="657"/>
      <c r="LDG4" s="657"/>
      <c r="LDH4" s="657"/>
      <c r="LDI4" s="657"/>
      <c r="LDJ4" s="657"/>
      <c r="LDK4" s="657"/>
      <c r="LDL4" s="657"/>
      <c r="LDM4" s="657"/>
      <c r="LDN4" s="657"/>
      <c r="LDO4" s="657"/>
      <c r="LDP4" s="657"/>
      <c r="LDQ4" s="657"/>
      <c r="LDR4" s="657"/>
      <c r="LDS4" s="657"/>
      <c r="LDT4" s="657"/>
      <c r="LDU4" s="657"/>
      <c r="LDV4" s="657"/>
      <c r="LDW4" s="657"/>
      <c r="LDX4" s="657"/>
      <c r="LDY4" s="657"/>
      <c r="LDZ4" s="657"/>
      <c r="LEA4" s="657"/>
      <c r="LEB4" s="657"/>
      <c r="LEC4" s="657"/>
      <c r="LED4" s="657"/>
      <c r="LEE4" s="657"/>
      <c r="LEF4" s="657"/>
      <c r="LEG4" s="657"/>
      <c r="LEH4" s="657"/>
      <c r="LEI4" s="657"/>
      <c r="LEJ4" s="657"/>
      <c r="LEK4" s="657"/>
      <c r="LEL4" s="657"/>
      <c r="LEM4" s="657"/>
      <c r="LEN4" s="657"/>
      <c r="LEO4" s="657"/>
      <c r="LEP4" s="657"/>
      <c r="LEQ4" s="657"/>
      <c r="LER4" s="657"/>
      <c r="LES4" s="657"/>
      <c r="LET4" s="657"/>
      <c r="LEU4" s="657"/>
      <c r="LEV4" s="657"/>
      <c r="LEW4" s="657"/>
      <c r="LEX4" s="657"/>
      <c r="LEY4" s="657"/>
      <c r="LEZ4" s="657"/>
      <c r="LFA4" s="657"/>
      <c r="LFB4" s="657"/>
      <c r="LFC4" s="657"/>
      <c r="LFD4" s="657"/>
      <c r="LFE4" s="657"/>
      <c r="LFF4" s="657"/>
      <c r="LFG4" s="657"/>
      <c r="LFH4" s="657"/>
      <c r="LFI4" s="657"/>
      <c r="LFJ4" s="657"/>
      <c r="LFK4" s="657"/>
      <c r="LFL4" s="657"/>
      <c r="LFM4" s="657"/>
      <c r="LFN4" s="657"/>
      <c r="LFO4" s="657"/>
      <c r="LFP4" s="657"/>
      <c r="LFQ4" s="657"/>
      <c r="LFR4" s="657"/>
      <c r="LFS4" s="657"/>
      <c r="LFT4" s="657"/>
      <c r="LFU4" s="657"/>
      <c r="LFV4" s="657"/>
      <c r="LFW4" s="657"/>
      <c r="LFX4" s="657"/>
      <c r="LFY4" s="657"/>
      <c r="LFZ4" s="657"/>
      <c r="LGA4" s="657"/>
      <c r="LGB4" s="657"/>
      <c r="LGC4" s="657"/>
      <c r="LGD4" s="657"/>
      <c r="LGE4" s="657"/>
      <c r="LGF4" s="657"/>
      <c r="LGG4" s="657"/>
      <c r="LGH4" s="657"/>
      <c r="LGI4" s="657"/>
      <c r="LGJ4" s="657"/>
      <c r="LGK4" s="657"/>
      <c r="LGL4" s="657"/>
      <c r="LGM4" s="657"/>
      <c r="LGN4" s="657"/>
      <c r="LGO4" s="657"/>
      <c r="LGP4" s="657"/>
      <c r="LGQ4" s="657"/>
      <c r="LGR4" s="657"/>
      <c r="LGS4" s="657"/>
      <c r="LGT4" s="657"/>
      <c r="LGU4" s="657"/>
      <c r="LGV4" s="657"/>
      <c r="LGW4" s="657"/>
      <c r="LGX4" s="657"/>
      <c r="LGY4" s="657"/>
      <c r="LGZ4" s="657"/>
      <c r="LHA4" s="657"/>
      <c r="LHB4" s="657"/>
      <c r="LHC4" s="657"/>
      <c r="LHD4" s="657"/>
      <c r="LHE4" s="657"/>
      <c r="LHF4" s="657"/>
      <c r="LHG4" s="657"/>
      <c r="LHH4" s="657"/>
      <c r="LHI4" s="657"/>
      <c r="LHJ4" s="657"/>
      <c r="LHK4" s="657"/>
      <c r="LHL4" s="657"/>
      <c r="LHM4" s="657"/>
      <c r="LHN4" s="657"/>
      <c r="LHO4" s="657"/>
      <c r="LHP4" s="657"/>
      <c r="LHQ4" s="657"/>
      <c r="LHR4" s="657"/>
      <c r="LHS4" s="657"/>
      <c r="LHT4" s="657"/>
      <c r="LHU4" s="657"/>
      <c r="LHV4" s="657"/>
      <c r="LHW4" s="657"/>
      <c r="LHX4" s="657"/>
      <c r="LHY4" s="657"/>
      <c r="LHZ4" s="657"/>
      <c r="LIA4" s="657"/>
      <c r="LIB4" s="657"/>
      <c r="LIC4" s="657"/>
      <c r="LID4" s="657"/>
      <c r="LIE4" s="657"/>
      <c r="LIF4" s="657"/>
      <c r="LIG4" s="657"/>
      <c r="LIH4" s="657"/>
      <c r="LII4" s="657"/>
      <c r="LIJ4" s="657"/>
      <c r="LIK4" s="657"/>
      <c r="LIL4" s="657"/>
      <c r="LIM4" s="657"/>
      <c r="LIN4" s="657"/>
      <c r="LIO4" s="657"/>
      <c r="LIP4" s="657"/>
      <c r="LIQ4" s="657"/>
      <c r="LIR4" s="657"/>
      <c r="LIS4" s="657"/>
      <c r="LIT4" s="657"/>
      <c r="LIU4" s="657"/>
      <c r="LIV4" s="657"/>
      <c r="LIW4" s="657"/>
      <c r="LIX4" s="657"/>
      <c r="LIY4" s="657"/>
      <c r="LIZ4" s="657"/>
      <c r="LJA4" s="657"/>
      <c r="LJB4" s="657"/>
      <c r="LJC4" s="657"/>
      <c r="LJD4" s="657"/>
      <c r="LJE4" s="657"/>
      <c r="LJF4" s="657"/>
      <c r="LJG4" s="657"/>
      <c r="LJH4" s="657"/>
      <c r="LJI4" s="657"/>
      <c r="LJJ4" s="657"/>
      <c r="LJK4" s="657"/>
      <c r="LJL4" s="657"/>
      <c r="LJM4" s="657"/>
      <c r="LJN4" s="657"/>
      <c r="LJO4" s="657"/>
      <c r="LJP4" s="657"/>
      <c r="LJQ4" s="657"/>
      <c r="LJR4" s="657"/>
      <c r="LJS4" s="657"/>
      <c r="LJT4" s="657"/>
      <c r="LJU4" s="657"/>
      <c r="LJV4" s="657"/>
      <c r="LJW4" s="657"/>
      <c r="LJX4" s="657"/>
      <c r="LJY4" s="657"/>
      <c r="LJZ4" s="657"/>
      <c r="LKA4" s="657"/>
      <c r="LKB4" s="657"/>
      <c r="LKC4" s="657"/>
      <c r="LKD4" s="657"/>
      <c r="LKE4" s="657"/>
      <c r="LKF4" s="657"/>
      <c r="LKG4" s="657"/>
      <c r="LKH4" s="657"/>
      <c r="LKI4" s="657"/>
      <c r="LKJ4" s="657"/>
      <c r="LKK4" s="657"/>
      <c r="LKL4" s="657"/>
      <c r="LKM4" s="657"/>
      <c r="LKN4" s="657"/>
      <c r="LKO4" s="657"/>
      <c r="LKP4" s="657"/>
      <c r="LKQ4" s="657"/>
      <c r="LKR4" s="657"/>
      <c r="LKS4" s="657"/>
      <c r="LKT4" s="657"/>
      <c r="LKU4" s="657"/>
      <c r="LKV4" s="657"/>
      <c r="LKW4" s="657"/>
      <c r="LKX4" s="657"/>
      <c r="LKY4" s="657"/>
      <c r="LKZ4" s="657"/>
      <c r="LLA4" s="657"/>
      <c r="LLB4" s="657"/>
      <c r="LLC4" s="657"/>
      <c r="LLD4" s="657"/>
      <c r="LLE4" s="657"/>
      <c r="LLF4" s="657"/>
      <c r="LLG4" s="657"/>
      <c r="LLH4" s="657"/>
      <c r="LLI4" s="657"/>
      <c r="LLJ4" s="657"/>
      <c r="LLK4" s="657"/>
      <c r="LLL4" s="657"/>
      <c r="LLM4" s="657"/>
      <c r="LLN4" s="657"/>
      <c r="LLO4" s="657"/>
      <c r="LLP4" s="657"/>
      <c r="LLQ4" s="657"/>
      <c r="LLR4" s="657"/>
      <c r="LLS4" s="657"/>
      <c r="LLT4" s="657"/>
      <c r="LLU4" s="657"/>
      <c r="LLV4" s="657"/>
      <c r="LLW4" s="657"/>
      <c r="LLX4" s="657"/>
      <c r="LLY4" s="657"/>
      <c r="LLZ4" s="657"/>
      <c r="LMA4" s="657"/>
      <c r="LMB4" s="657"/>
      <c r="LMC4" s="657"/>
      <c r="LMD4" s="657"/>
      <c r="LME4" s="657"/>
      <c r="LMF4" s="657"/>
      <c r="LMG4" s="657"/>
      <c r="LMH4" s="657"/>
      <c r="LMI4" s="657"/>
      <c r="LMJ4" s="657"/>
      <c r="LMK4" s="657"/>
      <c r="LML4" s="657"/>
      <c r="LMM4" s="657"/>
      <c r="LMN4" s="657"/>
      <c r="LMO4" s="657"/>
      <c r="LMP4" s="657"/>
      <c r="LMQ4" s="657"/>
      <c r="LMR4" s="657"/>
      <c r="LMS4" s="657"/>
      <c r="LMT4" s="657"/>
      <c r="LMU4" s="657"/>
      <c r="LMV4" s="657"/>
      <c r="LMW4" s="657"/>
      <c r="LMX4" s="657"/>
      <c r="LMY4" s="657"/>
      <c r="LMZ4" s="657"/>
      <c r="LNA4" s="657"/>
      <c r="LNB4" s="657"/>
      <c r="LNC4" s="657"/>
      <c r="LND4" s="657"/>
      <c r="LNE4" s="657"/>
      <c r="LNF4" s="657"/>
      <c r="LNG4" s="657"/>
      <c r="LNH4" s="657"/>
      <c r="LNI4" s="657"/>
      <c r="LNJ4" s="657"/>
      <c r="LNK4" s="657"/>
      <c r="LNL4" s="657"/>
      <c r="LNM4" s="657"/>
      <c r="LNN4" s="657"/>
      <c r="LNO4" s="657"/>
      <c r="LNP4" s="657"/>
      <c r="LNQ4" s="657"/>
      <c r="LNR4" s="657"/>
      <c r="LNS4" s="657"/>
      <c r="LNT4" s="657"/>
      <c r="LNU4" s="657"/>
      <c r="LNV4" s="657"/>
      <c r="LNW4" s="657"/>
      <c r="LNX4" s="657"/>
      <c r="LNY4" s="657"/>
      <c r="LNZ4" s="657"/>
      <c r="LOA4" s="657"/>
      <c r="LOB4" s="657"/>
      <c r="LOC4" s="657"/>
      <c r="LOD4" s="657"/>
      <c r="LOE4" s="657"/>
      <c r="LOF4" s="657"/>
      <c r="LOG4" s="657"/>
      <c r="LOH4" s="657"/>
      <c r="LOI4" s="657"/>
      <c r="LOJ4" s="657"/>
      <c r="LOK4" s="657"/>
      <c r="LOL4" s="657"/>
      <c r="LOM4" s="657"/>
      <c r="LON4" s="657"/>
      <c r="LOO4" s="657"/>
      <c r="LOP4" s="657"/>
      <c r="LOQ4" s="657"/>
      <c r="LOR4" s="657"/>
      <c r="LOS4" s="657"/>
      <c r="LOT4" s="657"/>
      <c r="LOU4" s="657"/>
      <c r="LOV4" s="657"/>
      <c r="LOW4" s="657"/>
      <c r="LOX4" s="657"/>
      <c r="LOY4" s="657"/>
      <c r="LOZ4" s="657"/>
      <c r="LPA4" s="657"/>
      <c r="LPB4" s="657"/>
      <c r="LPC4" s="657"/>
      <c r="LPD4" s="657"/>
      <c r="LPE4" s="657"/>
      <c r="LPF4" s="657"/>
      <c r="LPG4" s="657"/>
      <c r="LPH4" s="657"/>
      <c r="LPI4" s="657"/>
      <c r="LPJ4" s="657"/>
      <c r="LPK4" s="657"/>
      <c r="LPL4" s="657"/>
      <c r="LPM4" s="657"/>
      <c r="LPN4" s="657"/>
      <c r="LPO4" s="657"/>
      <c r="LPP4" s="657"/>
      <c r="LPQ4" s="657"/>
      <c r="LPR4" s="657"/>
      <c r="LPS4" s="657"/>
      <c r="LPT4" s="657"/>
      <c r="LPU4" s="657"/>
      <c r="LPV4" s="657"/>
      <c r="LPW4" s="657"/>
      <c r="LPX4" s="657"/>
      <c r="LPY4" s="657"/>
      <c r="LPZ4" s="657"/>
      <c r="LQA4" s="657"/>
      <c r="LQB4" s="657"/>
      <c r="LQC4" s="657"/>
      <c r="LQD4" s="657"/>
      <c r="LQE4" s="657"/>
      <c r="LQF4" s="657"/>
      <c r="LQG4" s="657"/>
      <c r="LQH4" s="657"/>
      <c r="LQI4" s="657"/>
      <c r="LQJ4" s="657"/>
      <c r="LQK4" s="657"/>
      <c r="LQL4" s="657"/>
      <c r="LQM4" s="657"/>
      <c r="LQN4" s="657"/>
      <c r="LQO4" s="657"/>
      <c r="LQP4" s="657"/>
      <c r="LQQ4" s="657"/>
      <c r="LQR4" s="657"/>
      <c r="LQS4" s="657"/>
      <c r="LQT4" s="657"/>
      <c r="LQU4" s="657"/>
      <c r="LQV4" s="657"/>
      <c r="LQW4" s="657"/>
      <c r="LQX4" s="657"/>
      <c r="LQY4" s="657"/>
      <c r="LQZ4" s="657"/>
      <c r="LRA4" s="657"/>
      <c r="LRB4" s="657"/>
      <c r="LRC4" s="657"/>
      <c r="LRD4" s="657"/>
      <c r="LRE4" s="657"/>
      <c r="LRF4" s="657"/>
      <c r="LRG4" s="657"/>
      <c r="LRH4" s="657"/>
      <c r="LRI4" s="657"/>
      <c r="LRJ4" s="657"/>
      <c r="LRK4" s="657"/>
      <c r="LRL4" s="657"/>
      <c r="LRM4" s="657"/>
      <c r="LRN4" s="657"/>
      <c r="LRO4" s="657"/>
      <c r="LRP4" s="657"/>
      <c r="LRQ4" s="657"/>
      <c r="LRR4" s="657"/>
      <c r="LRS4" s="657"/>
      <c r="LRT4" s="657"/>
      <c r="LRU4" s="657"/>
      <c r="LRV4" s="657"/>
      <c r="LRW4" s="657"/>
      <c r="LRX4" s="657"/>
      <c r="LRY4" s="657"/>
      <c r="LRZ4" s="657"/>
      <c r="LSA4" s="657"/>
      <c r="LSB4" s="657"/>
      <c r="LSC4" s="657"/>
      <c r="LSD4" s="657"/>
      <c r="LSE4" s="657"/>
      <c r="LSF4" s="657"/>
      <c r="LSG4" s="657"/>
      <c r="LSH4" s="657"/>
      <c r="LSI4" s="657"/>
      <c r="LSJ4" s="657"/>
      <c r="LSK4" s="657"/>
      <c r="LSL4" s="657"/>
      <c r="LSM4" s="657"/>
      <c r="LSN4" s="657"/>
      <c r="LSO4" s="657"/>
      <c r="LSP4" s="657"/>
      <c r="LSQ4" s="657"/>
      <c r="LSR4" s="657"/>
      <c r="LSS4" s="657"/>
      <c r="LST4" s="657"/>
      <c r="LSU4" s="657"/>
      <c r="LSV4" s="657"/>
      <c r="LSW4" s="657"/>
      <c r="LSX4" s="657"/>
      <c r="LSY4" s="657"/>
      <c r="LSZ4" s="657"/>
      <c r="LTA4" s="657"/>
      <c r="LTB4" s="657"/>
      <c r="LTC4" s="657"/>
      <c r="LTD4" s="657"/>
      <c r="LTE4" s="657"/>
      <c r="LTF4" s="657"/>
      <c r="LTG4" s="657"/>
      <c r="LTH4" s="657"/>
      <c r="LTI4" s="657"/>
      <c r="LTJ4" s="657"/>
      <c r="LTK4" s="657"/>
      <c r="LTL4" s="657"/>
      <c r="LTM4" s="657"/>
      <c r="LTN4" s="657"/>
      <c r="LTO4" s="657"/>
      <c r="LTP4" s="657"/>
      <c r="LTQ4" s="657"/>
      <c r="LTR4" s="657"/>
      <c r="LTS4" s="657"/>
      <c r="LTT4" s="657"/>
      <c r="LTU4" s="657"/>
      <c r="LTV4" s="657"/>
      <c r="LTW4" s="657"/>
      <c r="LTX4" s="657"/>
      <c r="LTY4" s="657"/>
      <c r="LTZ4" s="657"/>
      <c r="LUA4" s="657"/>
      <c r="LUB4" s="657"/>
      <c r="LUC4" s="657"/>
      <c r="LUD4" s="657"/>
      <c r="LUE4" s="657"/>
      <c r="LUF4" s="657"/>
      <c r="LUG4" s="657"/>
      <c r="LUH4" s="657"/>
      <c r="LUI4" s="657"/>
      <c r="LUJ4" s="657"/>
      <c r="LUK4" s="657"/>
      <c r="LUL4" s="657"/>
      <c r="LUM4" s="657"/>
      <c r="LUN4" s="657"/>
      <c r="LUO4" s="657"/>
      <c r="LUP4" s="657"/>
      <c r="LUQ4" s="657"/>
      <c r="LUR4" s="657"/>
      <c r="LUS4" s="657"/>
      <c r="LUT4" s="657"/>
      <c r="LUU4" s="657"/>
      <c r="LUV4" s="657"/>
      <c r="LUW4" s="657"/>
      <c r="LUX4" s="657"/>
      <c r="LUY4" s="657"/>
      <c r="LUZ4" s="657"/>
      <c r="LVA4" s="657"/>
      <c r="LVB4" s="657"/>
      <c r="LVC4" s="657"/>
      <c r="LVD4" s="657"/>
      <c r="LVE4" s="657"/>
      <c r="LVF4" s="657"/>
      <c r="LVG4" s="657"/>
      <c r="LVH4" s="657"/>
      <c r="LVI4" s="657"/>
      <c r="LVJ4" s="657"/>
      <c r="LVK4" s="657"/>
      <c r="LVL4" s="657"/>
      <c r="LVM4" s="657"/>
      <c r="LVN4" s="657"/>
      <c r="LVO4" s="657"/>
      <c r="LVP4" s="657"/>
      <c r="LVQ4" s="657"/>
      <c r="LVR4" s="657"/>
      <c r="LVS4" s="657"/>
      <c r="LVT4" s="657"/>
      <c r="LVU4" s="657"/>
      <c r="LVV4" s="657"/>
      <c r="LVW4" s="657"/>
      <c r="LVX4" s="657"/>
      <c r="LVY4" s="657"/>
      <c r="LVZ4" s="657"/>
      <c r="LWA4" s="657"/>
      <c r="LWB4" s="657"/>
      <c r="LWC4" s="657"/>
      <c r="LWD4" s="657"/>
      <c r="LWE4" s="657"/>
      <c r="LWF4" s="657"/>
      <c r="LWG4" s="657"/>
      <c r="LWH4" s="657"/>
      <c r="LWI4" s="657"/>
      <c r="LWJ4" s="657"/>
      <c r="LWK4" s="657"/>
      <c r="LWL4" s="657"/>
      <c r="LWM4" s="657"/>
      <c r="LWN4" s="657"/>
      <c r="LWO4" s="657"/>
      <c r="LWP4" s="657"/>
      <c r="LWQ4" s="657"/>
      <c r="LWR4" s="657"/>
      <c r="LWS4" s="657"/>
      <c r="LWT4" s="657"/>
      <c r="LWU4" s="657"/>
      <c r="LWV4" s="657"/>
      <c r="LWW4" s="657"/>
      <c r="LWX4" s="657"/>
      <c r="LWY4" s="657"/>
      <c r="LWZ4" s="657"/>
      <c r="LXA4" s="657"/>
      <c r="LXB4" s="657"/>
      <c r="LXC4" s="657"/>
      <c r="LXD4" s="657"/>
      <c r="LXE4" s="657"/>
      <c r="LXF4" s="657"/>
      <c r="LXG4" s="657"/>
      <c r="LXH4" s="657"/>
      <c r="LXI4" s="657"/>
      <c r="LXJ4" s="657"/>
      <c r="LXK4" s="657"/>
      <c r="LXL4" s="657"/>
      <c r="LXM4" s="657"/>
      <c r="LXN4" s="657"/>
      <c r="LXO4" s="657"/>
      <c r="LXP4" s="657"/>
      <c r="LXQ4" s="657"/>
      <c r="LXR4" s="657"/>
      <c r="LXS4" s="657"/>
      <c r="LXT4" s="657"/>
      <c r="LXU4" s="657"/>
      <c r="LXV4" s="657"/>
      <c r="LXW4" s="657"/>
      <c r="LXX4" s="657"/>
      <c r="LXY4" s="657"/>
      <c r="LXZ4" s="657"/>
      <c r="LYA4" s="657"/>
      <c r="LYB4" s="657"/>
      <c r="LYC4" s="657"/>
      <c r="LYD4" s="657"/>
      <c r="LYE4" s="657"/>
      <c r="LYF4" s="657"/>
      <c r="LYG4" s="657"/>
      <c r="LYH4" s="657"/>
      <c r="LYI4" s="657"/>
      <c r="LYJ4" s="657"/>
      <c r="LYK4" s="657"/>
      <c r="LYL4" s="657"/>
      <c r="LYM4" s="657"/>
      <c r="LYN4" s="657"/>
      <c r="LYO4" s="657"/>
      <c r="LYP4" s="657"/>
      <c r="LYQ4" s="657"/>
      <c r="LYR4" s="657"/>
      <c r="LYS4" s="657"/>
      <c r="LYT4" s="657"/>
      <c r="LYU4" s="657"/>
      <c r="LYV4" s="657"/>
      <c r="LYW4" s="657"/>
      <c r="LYX4" s="657"/>
      <c r="LYY4" s="657"/>
      <c r="LYZ4" s="657"/>
      <c r="LZA4" s="657"/>
      <c r="LZB4" s="657"/>
      <c r="LZC4" s="657"/>
      <c r="LZD4" s="657"/>
      <c r="LZE4" s="657"/>
      <c r="LZF4" s="657"/>
      <c r="LZG4" s="657"/>
      <c r="LZH4" s="657"/>
      <c r="LZI4" s="657"/>
      <c r="LZJ4" s="657"/>
      <c r="LZK4" s="657"/>
      <c r="LZL4" s="657"/>
      <c r="LZM4" s="657"/>
      <c r="LZN4" s="657"/>
      <c r="LZO4" s="657"/>
      <c r="LZP4" s="657"/>
      <c r="LZQ4" s="657"/>
      <c r="LZR4" s="657"/>
      <c r="LZS4" s="657"/>
      <c r="LZT4" s="657"/>
      <c r="LZU4" s="657"/>
      <c r="LZV4" s="657"/>
      <c r="LZW4" s="657"/>
      <c r="LZX4" s="657"/>
      <c r="LZY4" s="657"/>
      <c r="LZZ4" s="657"/>
      <c r="MAA4" s="657"/>
      <c r="MAB4" s="657"/>
      <c r="MAC4" s="657"/>
      <c r="MAD4" s="657"/>
      <c r="MAE4" s="657"/>
      <c r="MAF4" s="657"/>
      <c r="MAG4" s="657"/>
      <c r="MAH4" s="657"/>
      <c r="MAI4" s="657"/>
      <c r="MAJ4" s="657"/>
      <c r="MAK4" s="657"/>
      <c r="MAL4" s="657"/>
      <c r="MAM4" s="657"/>
      <c r="MAN4" s="657"/>
      <c r="MAO4" s="657"/>
      <c r="MAP4" s="657"/>
      <c r="MAQ4" s="657"/>
      <c r="MAR4" s="657"/>
      <c r="MAS4" s="657"/>
      <c r="MAT4" s="657"/>
      <c r="MAU4" s="657"/>
      <c r="MAV4" s="657"/>
      <c r="MAW4" s="657"/>
      <c r="MAX4" s="657"/>
      <c r="MAY4" s="657"/>
      <c r="MAZ4" s="657"/>
      <c r="MBA4" s="657"/>
      <c r="MBB4" s="657"/>
      <c r="MBC4" s="657"/>
      <c r="MBD4" s="657"/>
      <c r="MBE4" s="657"/>
      <c r="MBF4" s="657"/>
      <c r="MBG4" s="657"/>
      <c r="MBH4" s="657"/>
      <c r="MBI4" s="657"/>
      <c r="MBJ4" s="657"/>
      <c r="MBK4" s="657"/>
      <c r="MBL4" s="657"/>
      <c r="MBM4" s="657"/>
      <c r="MBN4" s="657"/>
      <c r="MBO4" s="657"/>
      <c r="MBP4" s="657"/>
      <c r="MBQ4" s="657"/>
      <c r="MBR4" s="657"/>
      <c r="MBS4" s="657"/>
      <c r="MBT4" s="657"/>
      <c r="MBU4" s="657"/>
      <c r="MBV4" s="657"/>
      <c r="MBW4" s="657"/>
      <c r="MBX4" s="657"/>
      <c r="MBY4" s="657"/>
      <c r="MBZ4" s="657"/>
      <c r="MCA4" s="657"/>
      <c r="MCB4" s="657"/>
      <c r="MCC4" s="657"/>
      <c r="MCD4" s="657"/>
      <c r="MCE4" s="657"/>
      <c r="MCF4" s="657"/>
      <c r="MCG4" s="657"/>
      <c r="MCH4" s="657"/>
      <c r="MCI4" s="657"/>
      <c r="MCJ4" s="657"/>
      <c r="MCK4" s="657"/>
      <c r="MCL4" s="657"/>
      <c r="MCM4" s="657"/>
      <c r="MCN4" s="657"/>
      <c r="MCO4" s="657"/>
      <c r="MCP4" s="657"/>
      <c r="MCQ4" s="657"/>
      <c r="MCR4" s="657"/>
      <c r="MCS4" s="657"/>
      <c r="MCT4" s="657"/>
      <c r="MCU4" s="657"/>
      <c r="MCV4" s="657"/>
      <c r="MCW4" s="657"/>
      <c r="MCX4" s="657"/>
      <c r="MCY4" s="657"/>
      <c r="MCZ4" s="657"/>
      <c r="MDA4" s="657"/>
      <c r="MDB4" s="657"/>
      <c r="MDC4" s="657"/>
      <c r="MDD4" s="657"/>
      <c r="MDE4" s="657"/>
      <c r="MDF4" s="657"/>
      <c r="MDG4" s="657"/>
      <c r="MDH4" s="657"/>
      <c r="MDI4" s="657"/>
      <c r="MDJ4" s="657"/>
      <c r="MDK4" s="657"/>
      <c r="MDL4" s="657"/>
      <c r="MDM4" s="657"/>
      <c r="MDN4" s="657"/>
      <c r="MDO4" s="657"/>
      <c r="MDP4" s="657"/>
      <c r="MDQ4" s="657"/>
      <c r="MDR4" s="657"/>
      <c r="MDS4" s="657"/>
      <c r="MDT4" s="657"/>
      <c r="MDU4" s="657"/>
      <c r="MDV4" s="657"/>
      <c r="MDW4" s="657"/>
      <c r="MDX4" s="657"/>
      <c r="MDY4" s="657"/>
      <c r="MDZ4" s="657"/>
      <c r="MEA4" s="657"/>
      <c r="MEB4" s="657"/>
      <c r="MEC4" s="657"/>
      <c r="MED4" s="657"/>
      <c r="MEE4" s="657"/>
      <c r="MEF4" s="657"/>
      <c r="MEG4" s="657"/>
      <c r="MEH4" s="657"/>
      <c r="MEI4" s="657"/>
      <c r="MEJ4" s="657"/>
      <c r="MEK4" s="657"/>
      <c r="MEL4" s="657"/>
      <c r="MEM4" s="657"/>
      <c r="MEN4" s="657"/>
      <c r="MEO4" s="657"/>
      <c r="MEP4" s="657"/>
      <c r="MEQ4" s="657"/>
      <c r="MER4" s="657"/>
      <c r="MES4" s="657"/>
      <c r="MET4" s="657"/>
      <c r="MEU4" s="657"/>
      <c r="MEV4" s="657"/>
      <c r="MEW4" s="657"/>
      <c r="MEX4" s="657"/>
      <c r="MEY4" s="657"/>
      <c r="MEZ4" s="657"/>
      <c r="MFA4" s="657"/>
      <c r="MFB4" s="657"/>
      <c r="MFC4" s="657"/>
      <c r="MFD4" s="657"/>
      <c r="MFE4" s="657"/>
      <c r="MFF4" s="657"/>
      <c r="MFG4" s="657"/>
      <c r="MFH4" s="657"/>
      <c r="MFI4" s="657"/>
      <c r="MFJ4" s="657"/>
      <c r="MFK4" s="657"/>
      <c r="MFL4" s="657"/>
      <c r="MFM4" s="657"/>
      <c r="MFN4" s="657"/>
      <c r="MFO4" s="657"/>
      <c r="MFP4" s="657"/>
      <c r="MFQ4" s="657"/>
      <c r="MFR4" s="657"/>
      <c r="MFS4" s="657"/>
      <c r="MFT4" s="657"/>
      <c r="MFU4" s="657"/>
      <c r="MFV4" s="657"/>
      <c r="MFW4" s="657"/>
      <c r="MFX4" s="657"/>
      <c r="MFY4" s="657"/>
      <c r="MFZ4" s="657"/>
      <c r="MGA4" s="657"/>
      <c r="MGB4" s="657"/>
      <c r="MGC4" s="657"/>
      <c r="MGD4" s="657"/>
      <c r="MGE4" s="657"/>
      <c r="MGF4" s="657"/>
      <c r="MGG4" s="657"/>
      <c r="MGH4" s="657"/>
      <c r="MGI4" s="657"/>
      <c r="MGJ4" s="657"/>
      <c r="MGK4" s="657"/>
      <c r="MGL4" s="657"/>
      <c r="MGM4" s="657"/>
      <c r="MGN4" s="657"/>
      <c r="MGO4" s="657"/>
      <c r="MGP4" s="657"/>
      <c r="MGQ4" s="657"/>
      <c r="MGR4" s="657"/>
      <c r="MGS4" s="657"/>
      <c r="MGT4" s="657"/>
      <c r="MGU4" s="657"/>
      <c r="MGV4" s="657"/>
      <c r="MGW4" s="657"/>
      <c r="MGX4" s="657"/>
      <c r="MGY4" s="657"/>
      <c r="MGZ4" s="657"/>
      <c r="MHA4" s="657"/>
      <c r="MHB4" s="657"/>
      <c r="MHC4" s="657"/>
      <c r="MHD4" s="657"/>
      <c r="MHE4" s="657"/>
      <c r="MHF4" s="657"/>
      <c r="MHG4" s="657"/>
      <c r="MHH4" s="657"/>
      <c r="MHI4" s="657"/>
      <c r="MHJ4" s="657"/>
      <c r="MHK4" s="657"/>
      <c r="MHL4" s="657"/>
      <c r="MHM4" s="657"/>
      <c r="MHN4" s="657"/>
      <c r="MHO4" s="657"/>
      <c r="MHP4" s="657"/>
      <c r="MHQ4" s="657"/>
      <c r="MHR4" s="657"/>
      <c r="MHS4" s="657"/>
      <c r="MHT4" s="657"/>
      <c r="MHU4" s="657"/>
      <c r="MHV4" s="657"/>
      <c r="MHW4" s="657"/>
      <c r="MHX4" s="657"/>
      <c r="MHY4" s="657"/>
      <c r="MHZ4" s="657"/>
      <c r="MIA4" s="657"/>
      <c r="MIB4" s="657"/>
      <c r="MIC4" s="657"/>
      <c r="MID4" s="657"/>
      <c r="MIE4" s="657"/>
      <c r="MIF4" s="657"/>
      <c r="MIG4" s="657"/>
      <c r="MIH4" s="657"/>
      <c r="MII4" s="657"/>
      <c r="MIJ4" s="657"/>
      <c r="MIK4" s="657"/>
      <c r="MIL4" s="657"/>
      <c r="MIM4" s="657"/>
      <c r="MIN4" s="657"/>
      <c r="MIO4" s="657"/>
      <c r="MIP4" s="657"/>
      <c r="MIQ4" s="657"/>
      <c r="MIR4" s="657"/>
      <c r="MIS4" s="657"/>
      <c r="MIT4" s="657"/>
      <c r="MIU4" s="657"/>
      <c r="MIV4" s="657"/>
      <c r="MIW4" s="657"/>
      <c r="MIX4" s="657"/>
      <c r="MIY4" s="657"/>
      <c r="MIZ4" s="657"/>
      <c r="MJA4" s="657"/>
      <c r="MJB4" s="657"/>
      <c r="MJC4" s="657"/>
      <c r="MJD4" s="657"/>
      <c r="MJE4" s="657"/>
      <c r="MJF4" s="657"/>
      <c r="MJG4" s="657"/>
      <c r="MJH4" s="657"/>
      <c r="MJI4" s="657"/>
      <c r="MJJ4" s="657"/>
      <c r="MJK4" s="657"/>
      <c r="MJL4" s="657"/>
      <c r="MJM4" s="657"/>
      <c r="MJN4" s="657"/>
      <c r="MJO4" s="657"/>
      <c r="MJP4" s="657"/>
      <c r="MJQ4" s="657"/>
      <c r="MJR4" s="657"/>
      <c r="MJS4" s="657"/>
      <c r="MJT4" s="657"/>
      <c r="MJU4" s="657"/>
      <c r="MJV4" s="657"/>
      <c r="MJW4" s="657"/>
      <c r="MJX4" s="657"/>
      <c r="MJY4" s="657"/>
      <c r="MJZ4" s="657"/>
      <c r="MKA4" s="657"/>
      <c r="MKB4" s="657"/>
      <c r="MKC4" s="657"/>
      <c r="MKD4" s="657"/>
      <c r="MKE4" s="657"/>
      <c r="MKF4" s="657"/>
      <c r="MKG4" s="657"/>
      <c r="MKH4" s="657"/>
      <c r="MKI4" s="657"/>
      <c r="MKJ4" s="657"/>
      <c r="MKK4" s="657"/>
      <c r="MKL4" s="657"/>
      <c r="MKM4" s="657"/>
      <c r="MKN4" s="657"/>
      <c r="MKO4" s="657"/>
      <c r="MKP4" s="657"/>
      <c r="MKQ4" s="657"/>
      <c r="MKR4" s="657"/>
      <c r="MKS4" s="657"/>
      <c r="MKT4" s="657"/>
      <c r="MKU4" s="657"/>
      <c r="MKV4" s="657"/>
      <c r="MKW4" s="657"/>
      <c r="MKX4" s="657"/>
      <c r="MKY4" s="657"/>
      <c r="MKZ4" s="657"/>
      <c r="MLA4" s="657"/>
      <c r="MLB4" s="657"/>
      <c r="MLC4" s="657"/>
      <c r="MLD4" s="657"/>
      <c r="MLE4" s="657"/>
      <c r="MLF4" s="657"/>
      <c r="MLG4" s="657"/>
      <c r="MLH4" s="657"/>
      <c r="MLI4" s="657"/>
      <c r="MLJ4" s="657"/>
      <c r="MLK4" s="657"/>
      <c r="MLL4" s="657"/>
      <c r="MLM4" s="657"/>
      <c r="MLN4" s="657"/>
      <c r="MLO4" s="657"/>
      <c r="MLP4" s="657"/>
      <c r="MLQ4" s="657"/>
      <c r="MLR4" s="657"/>
      <c r="MLS4" s="657"/>
      <c r="MLT4" s="657"/>
      <c r="MLU4" s="657"/>
      <c r="MLV4" s="657"/>
      <c r="MLW4" s="657"/>
      <c r="MLX4" s="657"/>
      <c r="MLY4" s="657"/>
      <c r="MLZ4" s="657"/>
      <c r="MMA4" s="657"/>
      <c r="MMB4" s="657"/>
      <c r="MMC4" s="657"/>
      <c r="MMD4" s="657"/>
      <c r="MME4" s="657"/>
      <c r="MMF4" s="657"/>
      <c r="MMG4" s="657"/>
      <c r="MMH4" s="657"/>
      <c r="MMI4" s="657"/>
      <c r="MMJ4" s="657"/>
      <c r="MMK4" s="657"/>
      <c r="MML4" s="657"/>
      <c r="MMM4" s="657"/>
      <c r="MMN4" s="657"/>
      <c r="MMO4" s="657"/>
      <c r="MMP4" s="657"/>
      <c r="MMQ4" s="657"/>
      <c r="MMR4" s="657"/>
      <c r="MMS4" s="657"/>
      <c r="MMT4" s="657"/>
      <c r="MMU4" s="657"/>
      <c r="MMV4" s="657"/>
      <c r="MMW4" s="657"/>
      <c r="MMX4" s="657"/>
      <c r="MMY4" s="657"/>
      <c r="MMZ4" s="657"/>
      <c r="MNA4" s="657"/>
      <c r="MNB4" s="657"/>
      <c r="MNC4" s="657"/>
      <c r="MND4" s="657"/>
      <c r="MNE4" s="657"/>
      <c r="MNF4" s="657"/>
      <c r="MNG4" s="657"/>
      <c r="MNH4" s="657"/>
      <c r="MNI4" s="657"/>
      <c r="MNJ4" s="657"/>
      <c r="MNK4" s="657"/>
      <c r="MNL4" s="657"/>
      <c r="MNM4" s="657"/>
      <c r="MNN4" s="657"/>
      <c r="MNO4" s="657"/>
      <c r="MNP4" s="657"/>
      <c r="MNQ4" s="657"/>
      <c r="MNR4" s="657"/>
      <c r="MNS4" s="657"/>
      <c r="MNT4" s="657"/>
      <c r="MNU4" s="657"/>
      <c r="MNV4" s="657"/>
      <c r="MNW4" s="657"/>
      <c r="MNX4" s="657"/>
      <c r="MNY4" s="657"/>
      <c r="MNZ4" s="657"/>
      <c r="MOA4" s="657"/>
      <c r="MOB4" s="657"/>
      <c r="MOC4" s="657"/>
      <c r="MOD4" s="657"/>
      <c r="MOE4" s="657"/>
      <c r="MOF4" s="657"/>
      <c r="MOG4" s="657"/>
      <c r="MOH4" s="657"/>
      <c r="MOI4" s="657"/>
      <c r="MOJ4" s="657"/>
      <c r="MOK4" s="657"/>
      <c r="MOL4" s="657"/>
      <c r="MOM4" s="657"/>
      <c r="MON4" s="657"/>
      <c r="MOO4" s="657"/>
      <c r="MOP4" s="657"/>
      <c r="MOQ4" s="657"/>
      <c r="MOR4" s="657"/>
      <c r="MOS4" s="657"/>
      <c r="MOT4" s="657"/>
      <c r="MOU4" s="657"/>
      <c r="MOV4" s="657"/>
      <c r="MOW4" s="657"/>
      <c r="MOX4" s="657"/>
      <c r="MOY4" s="657"/>
      <c r="MOZ4" s="657"/>
      <c r="MPA4" s="657"/>
      <c r="MPB4" s="657"/>
      <c r="MPC4" s="657"/>
      <c r="MPD4" s="657"/>
      <c r="MPE4" s="657"/>
      <c r="MPF4" s="657"/>
      <c r="MPG4" s="657"/>
      <c r="MPH4" s="657"/>
      <c r="MPI4" s="657"/>
      <c r="MPJ4" s="657"/>
      <c r="MPK4" s="657"/>
      <c r="MPL4" s="657"/>
      <c r="MPM4" s="657"/>
      <c r="MPN4" s="657"/>
      <c r="MPO4" s="657"/>
      <c r="MPP4" s="657"/>
      <c r="MPQ4" s="657"/>
      <c r="MPR4" s="657"/>
      <c r="MPS4" s="657"/>
      <c r="MPT4" s="657"/>
      <c r="MPU4" s="657"/>
      <c r="MPV4" s="657"/>
      <c r="MPW4" s="657"/>
      <c r="MPX4" s="657"/>
      <c r="MPY4" s="657"/>
      <c r="MPZ4" s="657"/>
      <c r="MQA4" s="657"/>
      <c r="MQB4" s="657"/>
      <c r="MQC4" s="657"/>
      <c r="MQD4" s="657"/>
      <c r="MQE4" s="657"/>
      <c r="MQF4" s="657"/>
      <c r="MQG4" s="657"/>
      <c r="MQH4" s="657"/>
      <c r="MQI4" s="657"/>
      <c r="MQJ4" s="657"/>
      <c r="MQK4" s="657"/>
      <c r="MQL4" s="657"/>
      <c r="MQM4" s="657"/>
      <c r="MQN4" s="657"/>
      <c r="MQO4" s="657"/>
      <c r="MQP4" s="657"/>
      <c r="MQQ4" s="657"/>
      <c r="MQR4" s="657"/>
      <c r="MQS4" s="657"/>
      <c r="MQT4" s="657"/>
      <c r="MQU4" s="657"/>
      <c r="MQV4" s="657"/>
      <c r="MQW4" s="657"/>
      <c r="MQX4" s="657"/>
      <c r="MQY4" s="657"/>
      <c r="MQZ4" s="657"/>
      <c r="MRA4" s="657"/>
      <c r="MRB4" s="657"/>
      <c r="MRC4" s="657"/>
      <c r="MRD4" s="657"/>
      <c r="MRE4" s="657"/>
      <c r="MRF4" s="657"/>
      <c r="MRG4" s="657"/>
      <c r="MRH4" s="657"/>
      <c r="MRI4" s="657"/>
      <c r="MRJ4" s="657"/>
      <c r="MRK4" s="657"/>
      <c r="MRL4" s="657"/>
      <c r="MRM4" s="657"/>
      <c r="MRN4" s="657"/>
      <c r="MRO4" s="657"/>
      <c r="MRP4" s="657"/>
      <c r="MRQ4" s="657"/>
      <c r="MRR4" s="657"/>
      <c r="MRS4" s="657"/>
      <c r="MRT4" s="657"/>
      <c r="MRU4" s="657"/>
      <c r="MRV4" s="657"/>
      <c r="MRW4" s="657"/>
      <c r="MRX4" s="657"/>
      <c r="MRY4" s="657"/>
      <c r="MRZ4" s="657"/>
      <c r="MSA4" s="657"/>
      <c r="MSB4" s="657"/>
      <c r="MSC4" s="657"/>
      <c r="MSD4" s="657"/>
      <c r="MSE4" s="657"/>
      <c r="MSF4" s="657"/>
      <c r="MSG4" s="657"/>
      <c r="MSH4" s="657"/>
      <c r="MSI4" s="657"/>
      <c r="MSJ4" s="657"/>
      <c r="MSK4" s="657"/>
      <c r="MSL4" s="657"/>
      <c r="MSM4" s="657"/>
      <c r="MSN4" s="657"/>
      <c r="MSO4" s="657"/>
      <c r="MSP4" s="657"/>
      <c r="MSQ4" s="657"/>
      <c r="MSR4" s="657"/>
      <c r="MSS4" s="657"/>
      <c r="MST4" s="657"/>
      <c r="MSU4" s="657"/>
      <c r="MSV4" s="657"/>
      <c r="MSW4" s="657"/>
      <c r="MSX4" s="657"/>
      <c r="MSY4" s="657"/>
      <c r="MSZ4" s="657"/>
      <c r="MTA4" s="657"/>
      <c r="MTB4" s="657"/>
      <c r="MTC4" s="657"/>
      <c r="MTD4" s="657"/>
      <c r="MTE4" s="657"/>
      <c r="MTF4" s="657"/>
      <c r="MTG4" s="657"/>
      <c r="MTH4" s="657"/>
      <c r="MTI4" s="657"/>
      <c r="MTJ4" s="657"/>
      <c r="MTK4" s="657"/>
      <c r="MTL4" s="657"/>
      <c r="MTM4" s="657"/>
      <c r="MTN4" s="657"/>
      <c r="MTO4" s="657"/>
      <c r="MTP4" s="657"/>
      <c r="MTQ4" s="657"/>
      <c r="MTR4" s="657"/>
      <c r="MTS4" s="657"/>
      <c r="MTT4" s="657"/>
      <c r="MTU4" s="657"/>
      <c r="MTV4" s="657"/>
      <c r="MTW4" s="657"/>
      <c r="MTX4" s="657"/>
      <c r="MTY4" s="657"/>
      <c r="MTZ4" s="657"/>
      <c r="MUA4" s="657"/>
      <c r="MUB4" s="657"/>
      <c r="MUC4" s="657"/>
      <c r="MUD4" s="657"/>
      <c r="MUE4" s="657"/>
      <c r="MUF4" s="657"/>
      <c r="MUG4" s="657"/>
      <c r="MUH4" s="657"/>
      <c r="MUI4" s="657"/>
      <c r="MUJ4" s="657"/>
      <c r="MUK4" s="657"/>
      <c r="MUL4" s="657"/>
      <c r="MUM4" s="657"/>
      <c r="MUN4" s="657"/>
      <c r="MUO4" s="657"/>
      <c r="MUP4" s="657"/>
      <c r="MUQ4" s="657"/>
      <c r="MUR4" s="657"/>
      <c r="MUS4" s="657"/>
      <c r="MUT4" s="657"/>
      <c r="MUU4" s="657"/>
      <c r="MUV4" s="657"/>
      <c r="MUW4" s="657"/>
      <c r="MUX4" s="657"/>
      <c r="MUY4" s="657"/>
      <c r="MUZ4" s="657"/>
      <c r="MVA4" s="657"/>
      <c r="MVB4" s="657"/>
      <c r="MVC4" s="657"/>
      <c r="MVD4" s="657"/>
      <c r="MVE4" s="657"/>
      <c r="MVF4" s="657"/>
      <c r="MVG4" s="657"/>
      <c r="MVH4" s="657"/>
      <c r="MVI4" s="657"/>
      <c r="MVJ4" s="657"/>
      <c r="MVK4" s="657"/>
      <c r="MVL4" s="657"/>
      <c r="MVM4" s="657"/>
      <c r="MVN4" s="657"/>
      <c r="MVO4" s="657"/>
      <c r="MVP4" s="657"/>
      <c r="MVQ4" s="657"/>
      <c r="MVR4" s="657"/>
      <c r="MVS4" s="657"/>
      <c r="MVT4" s="657"/>
      <c r="MVU4" s="657"/>
      <c r="MVV4" s="657"/>
      <c r="MVW4" s="657"/>
      <c r="MVX4" s="657"/>
      <c r="MVY4" s="657"/>
      <c r="MVZ4" s="657"/>
      <c r="MWA4" s="657"/>
      <c r="MWB4" s="657"/>
      <c r="MWC4" s="657"/>
      <c r="MWD4" s="657"/>
      <c r="MWE4" s="657"/>
      <c r="MWF4" s="657"/>
      <c r="MWG4" s="657"/>
      <c r="MWH4" s="657"/>
      <c r="MWI4" s="657"/>
      <c r="MWJ4" s="657"/>
      <c r="MWK4" s="657"/>
      <c r="MWL4" s="657"/>
      <c r="MWM4" s="657"/>
      <c r="MWN4" s="657"/>
      <c r="MWO4" s="657"/>
      <c r="MWP4" s="657"/>
      <c r="MWQ4" s="657"/>
      <c r="MWR4" s="657"/>
      <c r="MWS4" s="657"/>
      <c r="MWT4" s="657"/>
      <c r="MWU4" s="657"/>
      <c r="MWV4" s="657"/>
      <c r="MWW4" s="657"/>
      <c r="MWX4" s="657"/>
      <c r="MWY4" s="657"/>
      <c r="MWZ4" s="657"/>
      <c r="MXA4" s="657"/>
      <c r="MXB4" s="657"/>
      <c r="MXC4" s="657"/>
      <c r="MXD4" s="657"/>
      <c r="MXE4" s="657"/>
      <c r="MXF4" s="657"/>
      <c r="MXG4" s="657"/>
      <c r="MXH4" s="657"/>
      <c r="MXI4" s="657"/>
      <c r="MXJ4" s="657"/>
      <c r="MXK4" s="657"/>
      <c r="MXL4" s="657"/>
      <c r="MXM4" s="657"/>
      <c r="MXN4" s="657"/>
      <c r="MXO4" s="657"/>
      <c r="MXP4" s="657"/>
      <c r="MXQ4" s="657"/>
      <c r="MXR4" s="657"/>
      <c r="MXS4" s="657"/>
      <c r="MXT4" s="657"/>
      <c r="MXU4" s="657"/>
      <c r="MXV4" s="657"/>
      <c r="MXW4" s="657"/>
      <c r="MXX4" s="657"/>
      <c r="MXY4" s="657"/>
      <c r="MXZ4" s="657"/>
      <c r="MYA4" s="657"/>
      <c r="MYB4" s="657"/>
      <c r="MYC4" s="657"/>
      <c r="MYD4" s="657"/>
      <c r="MYE4" s="657"/>
      <c r="MYF4" s="657"/>
      <c r="MYG4" s="657"/>
      <c r="MYH4" s="657"/>
      <c r="MYI4" s="657"/>
      <c r="MYJ4" s="657"/>
      <c r="MYK4" s="657"/>
      <c r="MYL4" s="657"/>
      <c r="MYM4" s="657"/>
      <c r="MYN4" s="657"/>
      <c r="MYO4" s="657"/>
      <c r="MYP4" s="657"/>
      <c r="MYQ4" s="657"/>
      <c r="MYR4" s="657"/>
      <c r="MYS4" s="657"/>
      <c r="MYT4" s="657"/>
      <c r="MYU4" s="657"/>
      <c r="MYV4" s="657"/>
      <c r="MYW4" s="657"/>
      <c r="MYX4" s="657"/>
      <c r="MYY4" s="657"/>
      <c r="MYZ4" s="657"/>
      <c r="MZA4" s="657"/>
      <c r="MZB4" s="657"/>
      <c r="MZC4" s="657"/>
      <c r="MZD4" s="657"/>
      <c r="MZE4" s="657"/>
      <c r="MZF4" s="657"/>
      <c r="MZG4" s="657"/>
      <c r="MZH4" s="657"/>
      <c r="MZI4" s="657"/>
      <c r="MZJ4" s="657"/>
      <c r="MZK4" s="657"/>
      <c r="MZL4" s="657"/>
      <c r="MZM4" s="657"/>
      <c r="MZN4" s="657"/>
      <c r="MZO4" s="657"/>
      <c r="MZP4" s="657"/>
      <c r="MZQ4" s="657"/>
      <c r="MZR4" s="657"/>
      <c r="MZS4" s="657"/>
      <c r="MZT4" s="657"/>
      <c r="MZU4" s="657"/>
      <c r="MZV4" s="657"/>
      <c r="MZW4" s="657"/>
      <c r="MZX4" s="657"/>
      <c r="MZY4" s="657"/>
      <c r="MZZ4" s="657"/>
      <c r="NAA4" s="657"/>
      <c r="NAB4" s="657"/>
      <c r="NAC4" s="657"/>
      <c r="NAD4" s="657"/>
      <c r="NAE4" s="657"/>
      <c r="NAF4" s="657"/>
      <c r="NAG4" s="657"/>
      <c r="NAH4" s="657"/>
      <c r="NAI4" s="657"/>
      <c r="NAJ4" s="657"/>
      <c r="NAK4" s="657"/>
      <c r="NAL4" s="657"/>
      <c r="NAM4" s="657"/>
      <c r="NAN4" s="657"/>
      <c r="NAO4" s="657"/>
      <c r="NAP4" s="657"/>
      <c r="NAQ4" s="657"/>
      <c r="NAR4" s="657"/>
      <c r="NAS4" s="657"/>
      <c r="NAT4" s="657"/>
      <c r="NAU4" s="657"/>
      <c r="NAV4" s="657"/>
      <c r="NAW4" s="657"/>
      <c r="NAX4" s="657"/>
      <c r="NAY4" s="657"/>
      <c r="NAZ4" s="657"/>
      <c r="NBA4" s="657"/>
      <c r="NBB4" s="657"/>
      <c r="NBC4" s="657"/>
      <c r="NBD4" s="657"/>
      <c r="NBE4" s="657"/>
      <c r="NBF4" s="657"/>
      <c r="NBG4" s="657"/>
      <c r="NBH4" s="657"/>
      <c r="NBI4" s="657"/>
      <c r="NBJ4" s="657"/>
      <c r="NBK4" s="657"/>
      <c r="NBL4" s="657"/>
      <c r="NBM4" s="657"/>
      <c r="NBN4" s="657"/>
      <c r="NBO4" s="657"/>
      <c r="NBP4" s="657"/>
      <c r="NBQ4" s="657"/>
      <c r="NBR4" s="657"/>
      <c r="NBS4" s="657"/>
      <c r="NBT4" s="657"/>
      <c r="NBU4" s="657"/>
      <c r="NBV4" s="657"/>
      <c r="NBW4" s="657"/>
      <c r="NBX4" s="657"/>
      <c r="NBY4" s="657"/>
      <c r="NBZ4" s="657"/>
      <c r="NCA4" s="657"/>
      <c r="NCB4" s="657"/>
      <c r="NCC4" s="657"/>
      <c r="NCD4" s="657"/>
      <c r="NCE4" s="657"/>
      <c r="NCF4" s="657"/>
      <c r="NCG4" s="657"/>
      <c r="NCH4" s="657"/>
      <c r="NCI4" s="657"/>
      <c r="NCJ4" s="657"/>
      <c r="NCK4" s="657"/>
      <c r="NCL4" s="657"/>
      <c r="NCM4" s="657"/>
      <c r="NCN4" s="657"/>
      <c r="NCO4" s="657"/>
      <c r="NCP4" s="657"/>
      <c r="NCQ4" s="657"/>
      <c r="NCR4" s="657"/>
      <c r="NCS4" s="657"/>
      <c r="NCT4" s="657"/>
      <c r="NCU4" s="657"/>
      <c r="NCV4" s="657"/>
      <c r="NCW4" s="657"/>
      <c r="NCX4" s="657"/>
      <c r="NCY4" s="657"/>
      <c r="NCZ4" s="657"/>
      <c r="NDA4" s="657"/>
      <c r="NDB4" s="657"/>
      <c r="NDC4" s="657"/>
      <c r="NDD4" s="657"/>
      <c r="NDE4" s="657"/>
      <c r="NDF4" s="657"/>
      <c r="NDG4" s="657"/>
      <c r="NDH4" s="657"/>
      <c r="NDI4" s="657"/>
      <c r="NDJ4" s="657"/>
      <c r="NDK4" s="657"/>
      <c r="NDL4" s="657"/>
      <c r="NDM4" s="657"/>
      <c r="NDN4" s="657"/>
      <c r="NDO4" s="657"/>
      <c r="NDP4" s="657"/>
      <c r="NDQ4" s="657"/>
      <c r="NDR4" s="657"/>
      <c r="NDS4" s="657"/>
      <c r="NDT4" s="657"/>
      <c r="NDU4" s="657"/>
      <c r="NDV4" s="657"/>
      <c r="NDW4" s="657"/>
      <c r="NDX4" s="657"/>
      <c r="NDY4" s="657"/>
      <c r="NDZ4" s="657"/>
      <c r="NEA4" s="657"/>
      <c r="NEB4" s="657"/>
      <c r="NEC4" s="657"/>
      <c r="NED4" s="657"/>
      <c r="NEE4" s="657"/>
      <c r="NEF4" s="657"/>
      <c r="NEG4" s="657"/>
      <c r="NEH4" s="657"/>
      <c r="NEI4" s="657"/>
      <c r="NEJ4" s="657"/>
      <c r="NEK4" s="657"/>
      <c r="NEL4" s="657"/>
      <c r="NEM4" s="657"/>
      <c r="NEN4" s="657"/>
      <c r="NEO4" s="657"/>
      <c r="NEP4" s="657"/>
      <c r="NEQ4" s="657"/>
      <c r="NER4" s="657"/>
      <c r="NES4" s="657"/>
      <c r="NET4" s="657"/>
      <c r="NEU4" s="657"/>
      <c r="NEV4" s="657"/>
      <c r="NEW4" s="657"/>
      <c r="NEX4" s="657"/>
      <c r="NEY4" s="657"/>
      <c r="NEZ4" s="657"/>
      <c r="NFA4" s="657"/>
      <c r="NFB4" s="657"/>
      <c r="NFC4" s="657"/>
      <c r="NFD4" s="657"/>
      <c r="NFE4" s="657"/>
      <c r="NFF4" s="657"/>
      <c r="NFG4" s="657"/>
      <c r="NFH4" s="657"/>
      <c r="NFI4" s="657"/>
      <c r="NFJ4" s="657"/>
      <c r="NFK4" s="657"/>
      <c r="NFL4" s="657"/>
      <c r="NFM4" s="657"/>
      <c r="NFN4" s="657"/>
      <c r="NFO4" s="657"/>
      <c r="NFP4" s="657"/>
      <c r="NFQ4" s="657"/>
      <c r="NFR4" s="657"/>
      <c r="NFS4" s="657"/>
      <c r="NFT4" s="657"/>
      <c r="NFU4" s="657"/>
      <c r="NFV4" s="657"/>
      <c r="NFW4" s="657"/>
      <c r="NFX4" s="657"/>
      <c r="NFY4" s="657"/>
      <c r="NFZ4" s="657"/>
      <c r="NGA4" s="657"/>
      <c r="NGB4" s="657"/>
      <c r="NGC4" s="657"/>
      <c r="NGD4" s="657"/>
      <c r="NGE4" s="657"/>
      <c r="NGF4" s="657"/>
      <c r="NGG4" s="657"/>
      <c r="NGH4" s="657"/>
      <c r="NGI4" s="657"/>
      <c r="NGJ4" s="657"/>
      <c r="NGK4" s="657"/>
      <c r="NGL4" s="657"/>
      <c r="NGM4" s="657"/>
      <c r="NGN4" s="657"/>
      <c r="NGO4" s="657"/>
      <c r="NGP4" s="657"/>
      <c r="NGQ4" s="657"/>
      <c r="NGR4" s="657"/>
      <c r="NGS4" s="657"/>
      <c r="NGT4" s="657"/>
      <c r="NGU4" s="657"/>
      <c r="NGV4" s="657"/>
      <c r="NGW4" s="657"/>
      <c r="NGX4" s="657"/>
      <c r="NGY4" s="657"/>
      <c r="NGZ4" s="657"/>
      <c r="NHA4" s="657"/>
      <c r="NHB4" s="657"/>
      <c r="NHC4" s="657"/>
      <c r="NHD4" s="657"/>
      <c r="NHE4" s="657"/>
      <c r="NHF4" s="657"/>
      <c r="NHG4" s="657"/>
      <c r="NHH4" s="657"/>
      <c r="NHI4" s="657"/>
      <c r="NHJ4" s="657"/>
      <c r="NHK4" s="657"/>
      <c r="NHL4" s="657"/>
      <c r="NHM4" s="657"/>
      <c r="NHN4" s="657"/>
      <c r="NHO4" s="657"/>
      <c r="NHP4" s="657"/>
      <c r="NHQ4" s="657"/>
      <c r="NHR4" s="657"/>
      <c r="NHS4" s="657"/>
      <c r="NHT4" s="657"/>
      <c r="NHU4" s="657"/>
      <c r="NHV4" s="657"/>
      <c r="NHW4" s="657"/>
      <c r="NHX4" s="657"/>
      <c r="NHY4" s="657"/>
      <c r="NHZ4" s="657"/>
      <c r="NIA4" s="657"/>
      <c r="NIB4" s="657"/>
      <c r="NIC4" s="657"/>
      <c r="NID4" s="657"/>
      <c r="NIE4" s="657"/>
      <c r="NIF4" s="657"/>
      <c r="NIG4" s="657"/>
      <c r="NIH4" s="657"/>
      <c r="NII4" s="657"/>
      <c r="NIJ4" s="657"/>
      <c r="NIK4" s="657"/>
      <c r="NIL4" s="657"/>
      <c r="NIM4" s="657"/>
      <c r="NIN4" s="657"/>
      <c r="NIO4" s="657"/>
      <c r="NIP4" s="657"/>
      <c r="NIQ4" s="657"/>
      <c r="NIR4" s="657"/>
      <c r="NIS4" s="657"/>
      <c r="NIT4" s="657"/>
      <c r="NIU4" s="657"/>
      <c r="NIV4" s="657"/>
      <c r="NIW4" s="657"/>
      <c r="NIX4" s="657"/>
      <c r="NIY4" s="657"/>
      <c r="NIZ4" s="657"/>
      <c r="NJA4" s="657"/>
      <c r="NJB4" s="657"/>
      <c r="NJC4" s="657"/>
      <c r="NJD4" s="657"/>
      <c r="NJE4" s="657"/>
      <c r="NJF4" s="657"/>
      <c r="NJG4" s="657"/>
      <c r="NJH4" s="657"/>
      <c r="NJI4" s="657"/>
      <c r="NJJ4" s="657"/>
      <c r="NJK4" s="657"/>
      <c r="NJL4" s="657"/>
      <c r="NJM4" s="657"/>
      <c r="NJN4" s="657"/>
      <c r="NJO4" s="657"/>
      <c r="NJP4" s="657"/>
      <c r="NJQ4" s="657"/>
      <c r="NJR4" s="657"/>
      <c r="NJS4" s="657"/>
      <c r="NJT4" s="657"/>
      <c r="NJU4" s="657"/>
      <c r="NJV4" s="657"/>
      <c r="NJW4" s="657"/>
      <c r="NJX4" s="657"/>
      <c r="NJY4" s="657"/>
      <c r="NJZ4" s="657"/>
      <c r="NKA4" s="657"/>
      <c r="NKB4" s="657"/>
      <c r="NKC4" s="657"/>
      <c r="NKD4" s="657"/>
      <c r="NKE4" s="657"/>
      <c r="NKF4" s="657"/>
      <c r="NKG4" s="657"/>
      <c r="NKH4" s="657"/>
      <c r="NKI4" s="657"/>
      <c r="NKJ4" s="657"/>
      <c r="NKK4" s="657"/>
      <c r="NKL4" s="657"/>
      <c r="NKM4" s="657"/>
      <c r="NKN4" s="657"/>
      <c r="NKO4" s="657"/>
      <c r="NKP4" s="657"/>
      <c r="NKQ4" s="657"/>
      <c r="NKR4" s="657"/>
      <c r="NKS4" s="657"/>
      <c r="NKT4" s="657"/>
      <c r="NKU4" s="657"/>
      <c r="NKV4" s="657"/>
      <c r="NKW4" s="657"/>
      <c r="NKX4" s="657"/>
      <c r="NKY4" s="657"/>
      <c r="NKZ4" s="657"/>
      <c r="NLA4" s="657"/>
      <c r="NLB4" s="657"/>
      <c r="NLC4" s="657"/>
      <c r="NLD4" s="657"/>
      <c r="NLE4" s="657"/>
      <c r="NLF4" s="657"/>
      <c r="NLG4" s="657"/>
      <c r="NLH4" s="657"/>
      <c r="NLI4" s="657"/>
      <c r="NLJ4" s="657"/>
      <c r="NLK4" s="657"/>
      <c r="NLL4" s="657"/>
      <c r="NLM4" s="657"/>
      <c r="NLN4" s="657"/>
      <c r="NLO4" s="657"/>
      <c r="NLP4" s="657"/>
      <c r="NLQ4" s="657"/>
      <c r="NLR4" s="657"/>
      <c r="NLS4" s="657"/>
      <c r="NLT4" s="657"/>
      <c r="NLU4" s="657"/>
      <c r="NLV4" s="657"/>
      <c r="NLW4" s="657"/>
      <c r="NLX4" s="657"/>
      <c r="NLY4" s="657"/>
      <c r="NLZ4" s="657"/>
      <c r="NMA4" s="657"/>
      <c r="NMB4" s="657"/>
      <c r="NMC4" s="657"/>
      <c r="NMD4" s="657"/>
      <c r="NME4" s="657"/>
      <c r="NMF4" s="657"/>
      <c r="NMG4" s="657"/>
      <c r="NMH4" s="657"/>
      <c r="NMI4" s="657"/>
      <c r="NMJ4" s="657"/>
      <c r="NMK4" s="657"/>
      <c r="NML4" s="657"/>
      <c r="NMM4" s="657"/>
      <c r="NMN4" s="657"/>
      <c r="NMO4" s="657"/>
      <c r="NMP4" s="657"/>
      <c r="NMQ4" s="657"/>
      <c r="NMR4" s="657"/>
      <c r="NMS4" s="657"/>
      <c r="NMT4" s="657"/>
      <c r="NMU4" s="657"/>
      <c r="NMV4" s="657"/>
      <c r="NMW4" s="657"/>
      <c r="NMX4" s="657"/>
      <c r="NMY4" s="657"/>
      <c r="NMZ4" s="657"/>
      <c r="NNA4" s="657"/>
      <c r="NNB4" s="657"/>
      <c r="NNC4" s="657"/>
      <c r="NND4" s="657"/>
      <c r="NNE4" s="657"/>
      <c r="NNF4" s="657"/>
      <c r="NNG4" s="657"/>
      <c r="NNH4" s="657"/>
      <c r="NNI4" s="657"/>
      <c r="NNJ4" s="657"/>
      <c r="NNK4" s="657"/>
      <c r="NNL4" s="657"/>
      <c r="NNM4" s="657"/>
      <c r="NNN4" s="657"/>
      <c r="NNO4" s="657"/>
      <c r="NNP4" s="657"/>
      <c r="NNQ4" s="657"/>
      <c r="NNR4" s="657"/>
      <c r="NNS4" s="657"/>
      <c r="NNT4" s="657"/>
      <c r="NNU4" s="657"/>
      <c r="NNV4" s="657"/>
      <c r="NNW4" s="657"/>
      <c r="NNX4" s="657"/>
      <c r="NNY4" s="657"/>
      <c r="NNZ4" s="657"/>
      <c r="NOA4" s="657"/>
      <c r="NOB4" s="657"/>
      <c r="NOC4" s="657"/>
      <c r="NOD4" s="657"/>
      <c r="NOE4" s="657"/>
      <c r="NOF4" s="657"/>
      <c r="NOG4" s="657"/>
      <c r="NOH4" s="657"/>
      <c r="NOI4" s="657"/>
      <c r="NOJ4" s="657"/>
      <c r="NOK4" s="657"/>
      <c r="NOL4" s="657"/>
      <c r="NOM4" s="657"/>
      <c r="NON4" s="657"/>
      <c r="NOO4" s="657"/>
      <c r="NOP4" s="657"/>
      <c r="NOQ4" s="657"/>
      <c r="NOR4" s="657"/>
      <c r="NOS4" s="657"/>
      <c r="NOT4" s="657"/>
      <c r="NOU4" s="657"/>
      <c r="NOV4" s="657"/>
      <c r="NOW4" s="657"/>
      <c r="NOX4" s="657"/>
      <c r="NOY4" s="657"/>
      <c r="NOZ4" s="657"/>
      <c r="NPA4" s="657"/>
      <c r="NPB4" s="657"/>
      <c r="NPC4" s="657"/>
      <c r="NPD4" s="657"/>
      <c r="NPE4" s="657"/>
      <c r="NPF4" s="657"/>
      <c r="NPG4" s="657"/>
      <c r="NPH4" s="657"/>
      <c r="NPI4" s="657"/>
      <c r="NPJ4" s="657"/>
      <c r="NPK4" s="657"/>
      <c r="NPL4" s="657"/>
      <c r="NPM4" s="657"/>
      <c r="NPN4" s="657"/>
      <c r="NPO4" s="657"/>
      <c r="NPP4" s="657"/>
      <c r="NPQ4" s="657"/>
      <c r="NPR4" s="657"/>
      <c r="NPS4" s="657"/>
      <c r="NPT4" s="657"/>
      <c r="NPU4" s="657"/>
      <c r="NPV4" s="657"/>
      <c r="NPW4" s="657"/>
      <c r="NPX4" s="657"/>
      <c r="NPY4" s="657"/>
      <c r="NPZ4" s="657"/>
      <c r="NQA4" s="657"/>
      <c r="NQB4" s="657"/>
      <c r="NQC4" s="657"/>
      <c r="NQD4" s="657"/>
      <c r="NQE4" s="657"/>
      <c r="NQF4" s="657"/>
      <c r="NQG4" s="657"/>
      <c r="NQH4" s="657"/>
      <c r="NQI4" s="657"/>
      <c r="NQJ4" s="657"/>
      <c r="NQK4" s="657"/>
      <c r="NQL4" s="657"/>
      <c r="NQM4" s="657"/>
      <c r="NQN4" s="657"/>
      <c r="NQO4" s="657"/>
      <c r="NQP4" s="657"/>
      <c r="NQQ4" s="657"/>
      <c r="NQR4" s="657"/>
      <c r="NQS4" s="657"/>
      <c r="NQT4" s="657"/>
      <c r="NQU4" s="657"/>
      <c r="NQV4" s="657"/>
      <c r="NQW4" s="657"/>
      <c r="NQX4" s="657"/>
      <c r="NQY4" s="657"/>
      <c r="NQZ4" s="657"/>
      <c r="NRA4" s="657"/>
      <c r="NRB4" s="657"/>
      <c r="NRC4" s="657"/>
      <c r="NRD4" s="657"/>
      <c r="NRE4" s="657"/>
      <c r="NRF4" s="657"/>
      <c r="NRG4" s="657"/>
      <c r="NRH4" s="657"/>
      <c r="NRI4" s="657"/>
      <c r="NRJ4" s="657"/>
      <c r="NRK4" s="657"/>
      <c r="NRL4" s="657"/>
      <c r="NRM4" s="657"/>
      <c r="NRN4" s="657"/>
      <c r="NRO4" s="657"/>
      <c r="NRP4" s="657"/>
      <c r="NRQ4" s="657"/>
      <c r="NRR4" s="657"/>
      <c r="NRS4" s="657"/>
      <c r="NRT4" s="657"/>
      <c r="NRU4" s="657"/>
      <c r="NRV4" s="657"/>
      <c r="NRW4" s="657"/>
      <c r="NRX4" s="657"/>
      <c r="NRY4" s="657"/>
      <c r="NRZ4" s="657"/>
      <c r="NSA4" s="657"/>
      <c r="NSB4" s="657"/>
      <c r="NSC4" s="657"/>
      <c r="NSD4" s="657"/>
      <c r="NSE4" s="657"/>
      <c r="NSF4" s="657"/>
      <c r="NSG4" s="657"/>
      <c r="NSH4" s="657"/>
      <c r="NSI4" s="657"/>
      <c r="NSJ4" s="657"/>
      <c r="NSK4" s="657"/>
      <c r="NSL4" s="657"/>
      <c r="NSM4" s="657"/>
      <c r="NSN4" s="657"/>
      <c r="NSO4" s="657"/>
      <c r="NSP4" s="657"/>
      <c r="NSQ4" s="657"/>
      <c r="NSR4" s="657"/>
      <c r="NSS4" s="657"/>
      <c r="NST4" s="657"/>
      <c r="NSU4" s="657"/>
      <c r="NSV4" s="657"/>
      <c r="NSW4" s="657"/>
      <c r="NSX4" s="657"/>
      <c r="NSY4" s="657"/>
      <c r="NSZ4" s="657"/>
      <c r="NTA4" s="657"/>
      <c r="NTB4" s="657"/>
      <c r="NTC4" s="657"/>
      <c r="NTD4" s="657"/>
      <c r="NTE4" s="657"/>
      <c r="NTF4" s="657"/>
      <c r="NTG4" s="657"/>
      <c r="NTH4" s="657"/>
      <c r="NTI4" s="657"/>
      <c r="NTJ4" s="657"/>
      <c r="NTK4" s="657"/>
      <c r="NTL4" s="657"/>
      <c r="NTM4" s="657"/>
      <c r="NTN4" s="657"/>
      <c r="NTO4" s="657"/>
      <c r="NTP4" s="657"/>
      <c r="NTQ4" s="657"/>
      <c r="NTR4" s="657"/>
      <c r="NTS4" s="657"/>
      <c r="NTT4" s="657"/>
      <c r="NTU4" s="657"/>
      <c r="NTV4" s="657"/>
      <c r="NTW4" s="657"/>
      <c r="NTX4" s="657"/>
      <c r="NTY4" s="657"/>
      <c r="NTZ4" s="657"/>
      <c r="NUA4" s="657"/>
      <c r="NUB4" s="657"/>
      <c r="NUC4" s="657"/>
      <c r="NUD4" s="657"/>
      <c r="NUE4" s="657"/>
      <c r="NUF4" s="657"/>
      <c r="NUG4" s="657"/>
      <c r="NUH4" s="657"/>
      <c r="NUI4" s="657"/>
      <c r="NUJ4" s="657"/>
      <c r="NUK4" s="657"/>
      <c r="NUL4" s="657"/>
      <c r="NUM4" s="657"/>
      <c r="NUN4" s="657"/>
      <c r="NUO4" s="657"/>
      <c r="NUP4" s="657"/>
      <c r="NUQ4" s="657"/>
      <c r="NUR4" s="657"/>
      <c r="NUS4" s="657"/>
      <c r="NUT4" s="657"/>
      <c r="NUU4" s="657"/>
      <c r="NUV4" s="657"/>
      <c r="NUW4" s="657"/>
      <c r="NUX4" s="657"/>
      <c r="NUY4" s="657"/>
      <c r="NUZ4" s="657"/>
      <c r="NVA4" s="657"/>
      <c r="NVB4" s="657"/>
      <c r="NVC4" s="657"/>
      <c r="NVD4" s="657"/>
      <c r="NVE4" s="657"/>
      <c r="NVF4" s="657"/>
      <c r="NVG4" s="657"/>
      <c r="NVH4" s="657"/>
      <c r="NVI4" s="657"/>
      <c r="NVJ4" s="657"/>
      <c r="NVK4" s="657"/>
      <c r="NVL4" s="657"/>
      <c r="NVM4" s="657"/>
      <c r="NVN4" s="657"/>
      <c r="NVO4" s="657"/>
      <c r="NVP4" s="657"/>
      <c r="NVQ4" s="657"/>
      <c r="NVR4" s="657"/>
      <c r="NVS4" s="657"/>
      <c r="NVT4" s="657"/>
      <c r="NVU4" s="657"/>
      <c r="NVV4" s="657"/>
      <c r="NVW4" s="657"/>
      <c r="NVX4" s="657"/>
      <c r="NVY4" s="657"/>
      <c r="NVZ4" s="657"/>
      <c r="NWA4" s="657"/>
      <c r="NWB4" s="657"/>
      <c r="NWC4" s="657"/>
      <c r="NWD4" s="657"/>
      <c r="NWE4" s="657"/>
      <c r="NWF4" s="657"/>
      <c r="NWG4" s="657"/>
      <c r="NWH4" s="657"/>
      <c r="NWI4" s="657"/>
      <c r="NWJ4" s="657"/>
      <c r="NWK4" s="657"/>
      <c r="NWL4" s="657"/>
      <c r="NWM4" s="657"/>
      <c r="NWN4" s="657"/>
      <c r="NWO4" s="657"/>
      <c r="NWP4" s="657"/>
      <c r="NWQ4" s="657"/>
      <c r="NWR4" s="657"/>
      <c r="NWS4" s="657"/>
      <c r="NWT4" s="657"/>
      <c r="NWU4" s="657"/>
      <c r="NWV4" s="657"/>
      <c r="NWW4" s="657"/>
      <c r="NWX4" s="657"/>
      <c r="NWY4" s="657"/>
      <c r="NWZ4" s="657"/>
      <c r="NXA4" s="657"/>
      <c r="NXB4" s="657"/>
      <c r="NXC4" s="657"/>
      <c r="NXD4" s="657"/>
      <c r="NXE4" s="657"/>
      <c r="NXF4" s="657"/>
      <c r="NXG4" s="657"/>
      <c r="NXH4" s="657"/>
      <c r="NXI4" s="657"/>
      <c r="NXJ4" s="657"/>
      <c r="NXK4" s="657"/>
      <c r="NXL4" s="657"/>
      <c r="NXM4" s="657"/>
      <c r="NXN4" s="657"/>
      <c r="NXO4" s="657"/>
      <c r="NXP4" s="657"/>
      <c r="NXQ4" s="657"/>
      <c r="NXR4" s="657"/>
      <c r="NXS4" s="657"/>
      <c r="NXT4" s="657"/>
      <c r="NXU4" s="657"/>
      <c r="NXV4" s="657"/>
      <c r="NXW4" s="657"/>
      <c r="NXX4" s="657"/>
      <c r="NXY4" s="657"/>
      <c r="NXZ4" s="657"/>
      <c r="NYA4" s="657"/>
      <c r="NYB4" s="657"/>
      <c r="NYC4" s="657"/>
      <c r="NYD4" s="657"/>
      <c r="NYE4" s="657"/>
      <c r="NYF4" s="657"/>
      <c r="NYG4" s="657"/>
      <c r="NYH4" s="657"/>
      <c r="NYI4" s="657"/>
      <c r="NYJ4" s="657"/>
      <c r="NYK4" s="657"/>
      <c r="NYL4" s="657"/>
      <c r="NYM4" s="657"/>
      <c r="NYN4" s="657"/>
      <c r="NYO4" s="657"/>
      <c r="NYP4" s="657"/>
      <c r="NYQ4" s="657"/>
      <c r="NYR4" s="657"/>
      <c r="NYS4" s="657"/>
      <c r="NYT4" s="657"/>
      <c r="NYU4" s="657"/>
      <c r="NYV4" s="657"/>
      <c r="NYW4" s="657"/>
      <c r="NYX4" s="657"/>
      <c r="NYY4" s="657"/>
      <c r="NYZ4" s="657"/>
      <c r="NZA4" s="657"/>
      <c r="NZB4" s="657"/>
      <c r="NZC4" s="657"/>
      <c r="NZD4" s="657"/>
      <c r="NZE4" s="657"/>
      <c r="NZF4" s="657"/>
      <c r="NZG4" s="657"/>
      <c r="NZH4" s="657"/>
      <c r="NZI4" s="657"/>
      <c r="NZJ4" s="657"/>
      <c r="NZK4" s="657"/>
      <c r="NZL4" s="657"/>
      <c r="NZM4" s="657"/>
      <c r="NZN4" s="657"/>
      <c r="NZO4" s="657"/>
      <c r="NZP4" s="657"/>
      <c r="NZQ4" s="657"/>
      <c r="NZR4" s="657"/>
      <c r="NZS4" s="657"/>
      <c r="NZT4" s="657"/>
      <c r="NZU4" s="657"/>
      <c r="NZV4" s="657"/>
      <c r="NZW4" s="657"/>
      <c r="NZX4" s="657"/>
      <c r="NZY4" s="657"/>
      <c r="NZZ4" s="657"/>
      <c r="OAA4" s="657"/>
      <c r="OAB4" s="657"/>
      <c r="OAC4" s="657"/>
      <c r="OAD4" s="657"/>
      <c r="OAE4" s="657"/>
      <c r="OAF4" s="657"/>
      <c r="OAG4" s="657"/>
      <c r="OAH4" s="657"/>
      <c r="OAI4" s="657"/>
      <c r="OAJ4" s="657"/>
      <c r="OAK4" s="657"/>
      <c r="OAL4" s="657"/>
      <c r="OAM4" s="657"/>
      <c r="OAN4" s="657"/>
      <c r="OAO4" s="657"/>
      <c r="OAP4" s="657"/>
      <c r="OAQ4" s="657"/>
      <c r="OAR4" s="657"/>
      <c r="OAS4" s="657"/>
      <c r="OAT4" s="657"/>
      <c r="OAU4" s="657"/>
      <c r="OAV4" s="657"/>
      <c r="OAW4" s="657"/>
      <c r="OAX4" s="657"/>
      <c r="OAY4" s="657"/>
      <c r="OAZ4" s="657"/>
      <c r="OBA4" s="657"/>
      <c r="OBB4" s="657"/>
      <c r="OBC4" s="657"/>
      <c r="OBD4" s="657"/>
      <c r="OBE4" s="657"/>
      <c r="OBF4" s="657"/>
      <c r="OBG4" s="657"/>
      <c r="OBH4" s="657"/>
      <c r="OBI4" s="657"/>
      <c r="OBJ4" s="657"/>
      <c r="OBK4" s="657"/>
      <c r="OBL4" s="657"/>
      <c r="OBM4" s="657"/>
      <c r="OBN4" s="657"/>
      <c r="OBO4" s="657"/>
      <c r="OBP4" s="657"/>
      <c r="OBQ4" s="657"/>
      <c r="OBR4" s="657"/>
      <c r="OBS4" s="657"/>
      <c r="OBT4" s="657"/>
      <c r="OBU4" s="657"/>
      <c r="OBV4" s="657"/>
      <c r="OBW4" s="657"/>
      <c r="OBX4" s="657"/>
      <c r="OBY4" s="657"/>
      <c r="OBZ4" s="657"/>
      <c r="OCA4" s="657"/>
      <c r="OCB4" s="657"/>
      <c r="OCC4" s="657"/>
      <c r="OCD4" s="657"/>
      <c r="OCE4" s="657"/>
      <c r="OCF4" s="657"/>
      <c r="OCG4" s="657"/>
      <c r="OCH4" s="657"/>
      <c r="OCI4" s="657"/>
      <c r="OCJ4" s="657"/>
      <c r="OCK4" s="657"/>
      <c r="OCL4" s="657"/>
      <c r="OCM4" s="657"/>
      <c r="OCN4" s="657"/>
      <c r="OCO4" s="657"/>
      <c r="OCP4" s="657"/>
      <c r="OCQ4" s="657"/>
      <c r="OCR4" s="657"/>
      <c r="OCS4" s="657"/>
      <c r="OCT4" s="657"/>
      <c r="OCU4" s="657"/>
      <c r="OCV4" s="657"/>
      <c r="OCW4" s="657"/>
      <c r="OCX4" s="657"/>
      <c r="OCY4" s="657"/>
      <c r="OCZ4" s="657"/>
      <c r="ODA4" s="657"/>
      <c r="ODB4" s="657"/>
      <c r="ODC4" s="657"/>
      <c r="ODD4" s="657"/>
      <c r="ODE4" s="657"/>
      <c r="ODF4" s="657"/>
      <c r="ODG4" s="657"/>
      <c r="ODH4" s="657"/>
      <c r="ODI4" s="657"/>
      <c r="ODJ4" s="657"/>
      <c r="ODK4" s="657"/>
      <c r="ODL4" s="657"/>
      <c r="ODM4" s="657"/>
      <c r="ODN4" s="657"/>
      <c r="ODO4" s="657"/>
      <c r="ODP4" s="657"/>
      <c r="ODQ4" s="657"/>
      <c r="ODR4" s="657"/>
      <c r="ODS4" s="657"/>
      <c r="ODT4" s="657"/>
      <c r="ODU4" s="657"/>
      <c r="ODV4" s="657"/>
      <c r="ODW4" s="657"/>
      <c r="ODX4" s="657"/>
      <c r="ODY4" s="657"/>
      <c r="ODZ4" s="657"/>
      <c r="OEA4" s="657"/>
      <c r="OEB4" s="657"/>
      <c r="OEC4" s="657"/>
      <c r="OED4" s="657"/>
      <c r="OEE4" s="657"/>
      <c r="OEF4" s="657"/>
      <c r="OEG4" s="657"/>
      <c r="OEH4" s="657"/>
      <c r="OEI4" s="657"/>
      <c r="OEJ4" s="657"/>
      <c r="OEK4" s="657"/>
      <c r="OEL4" s="657"/>
      <c r="OEM4" s="657"/>
      <c r="OEN4" s="657"/>
      <c r="OEO4" s="657"/>
      <c r="OEP4" s="657"/>
      <c r="OEQ4" s="657"/>
      <c r="OER4" s="657"/>
      <c r="OES4" s="657"/>
      <c r="OET4" s="657"/>
      <c r="OEU4" s="657"/>
      <c r="OEV4" s="657"/>
      <c r="OEW4" s="657"/>
      <c r="OEX4" s="657"/>
      <c r="OEY4" s="657"/>
      <c r="OEZ4" s="657"/>
      <c r="OFA4" s="657"/>
      <c r="OFB4" s="657"/>
      <c r="OFC4" s="657"/>
      <c r="OFD4" s="657"/>
      <c r="OFE4" s="657"/>
      <c r="OFF4" s="657"/>
      <c r="OFG4" s="657"/>
      <c r="OFH4" s="657"/>
      <c r="OFI4" s="657"/>
      <c r="OFJ4" s="657"/>
      <c r="OFK4" s="657"/>
      <c r="OFL4" s="657"/>
      <c r="OFM4" s="657"/>
      <c r="OFN4" s="657"/>
      <c r="OFO4" s="657"/>
      <c r="OFP4" s="657"/>
      <c r="OFQ4" s="657"/>
      <c r="OFR4" s="657"/>
      <c r="OFS4" s="657"/>
      <c r="OFT4" s="657"/>
      <c r="OFU4" s="657"/>
      <c r="OFV4" s="657"/>
      <c r="OFW4" s="657"/>
      <c r="OFX4" s="657"/>
      <c r="OFY4" s="657"/>
      <c r="OFZ4" s="657"/>
      <c r="OGA4" s="657"/>
      <c r="OGB4" s="657"/>
      <c r="OGC4" s="657"/>
      <c r="OGD4" s="657"/>
      <c r="OGE4" s="657"/>
      <c r="OGF4" s="657"/>
      <c r="OGG4" s="657"/>
      <c r="OGH4" s="657"/>
      <c r="OGI4" s="657"/>
      <c r="OGJ4" s="657"/>
      <c r="OGK4" s="657"/>
      <c r="OGL4" s="657"/>
      <c r="OGM4" s="657"/>
      <c r="OGN4" s="657"/>
      <c r="OGO4" s="657"/>
      <c r="OGP4" s="657"/>
      <c r="OGQ4" s="657"/>
      <c r="OGR4" s="657"/>
      <c r="OGS4" s="657"/>
      <c r="OGT4" s="657"/>
      <c r="OGU4" s="657"/>
      <c r="OGV4" s="657"/>
      <c r="OGW4" s="657"/>
      <c r="OGX4" s="657"/>
      <c r="OGY4" s="657"/>
      <c r="OGZ4" s="657"/>
      <c r="OHA4" s="657"/>
      <c r="OHB4" s="657"/>
      <c r="OHC4" s="657"/>
      <c r="OHD4" s="657"/>
      <c r="OHE4" s="657"/>
      <c r="OHF4" s="657"/>
      <c r="OHG4" s="657"/>
      <c r="OHH4" s="657"/>
      <c r="OHI4" s="657"/>
      <c r="OHJ4" s="657"/>
      <c r="OHK4" s="657"/>
      <c r="OHL4" s="657"/>
      <c r="OHM4" s="657"/>
      <c r="OHN4" s="657"/>
      <c r="OHO4" s="657"/>
      <c r="OHP4" s="657"/>
      <c r="OHQ4" s="657"/>
      <c r="OHR4" s="657"/>
      <c r="OHS4" s="657"/>
      <c r="OHT4" s="657"/>
      <c r="OHU4" s="657"/>
      <c r="OHV4" s="657"/>
      <c r="OHW4" s="657"/>
      <c r="OHX4" s="657"/>
      <c r="OHY4" s="657"/>
      <c r="OHZ4" s="657"/>
      <c r="OIA4" s="657"/>
      <c r="OIB4" s="657"/>
      <c r="OIC4" s="657"/>
      <c r="OID4" s="657"/>
      <c r="OIE4" s="657"/>
      <c r="OIF4" s="657"/>
      <c r="OIG4" s="657"/>
      <c r="OIH4" s="657"/>
      <c r="OII4" s="657"/>
      <c r="OIJ4" s="657"/>
      <c r="OIK4" s="657"/>
      <c r="OIL4" s="657"/>
      <c r="OIM4" s="657"/>
      <c r="OIN4" s="657"/>
      <c r="OIO4" s="657"/>
      <c r="OIP4" s="657"/>
      <c r="OIQ4" s="657"/>
      <c r="OIR4" s="657"/>
      <c r="OIS4" s="657"/>
      <c r="OIT4" s="657"/>
      <c r="OIU4" s="657"/>
      <c r="OIV4" s="657"/>
      <c r="OIW4" s="657"/>
      <c r="OIX4" s="657"/>
      <c r="OIY4" s="657"/>
      <c r="OIZ4" s="657"/>
      <c r="OJA4" s="657"/>
      <c r="OJB4" s="657"/>
      <c r="OJC4" s="657"/>
      <c r="OJD4" s="657"/>
      <c r="OJE4" s="657"/>
      <c r="OJF4" s="657"/>
      <c r="OJG4" s="657"/>
      <c r="OJH4" s="657"/>
      <c r="OJI4" s="657"/>
      <c r="OJJ4" s="657"/>
      <c r="OJK4" s="657"/>
      <c r="OJL4" s="657"/>
      <c r="OJM4" s="657"/>
      <c r="OJN4" s="657"/>
      <c r="OJO4" s="657"/>
      <c r="OJP4" s="657"/>
      <c r="OJQ4" s="657"/>
      <c r="OJR4" s="657"/>
      <c r="OJS4" s="657"/>
      <c r="OJT4" s="657"/>
      <c r="OJU4" s="657"/>
      <c r="OJV4" s="657"/>
      <c r="OJW4" s="657"/>
      <c r="OJX4" s="657"/>
      <c r="OJY4" s="657"/>
      <c r="OJZ4" s="657"/>
      <c r="OKA4" s="657"/>
      <c r="OKB4" s="657"/>
      <c r="OKC4" s="657"/>
      <c r="OKD4" s="657"/>
      <c r="OKE4" s="657"/>
      <c r="OKF4" s="657"/>
      <c r="OKG4" s="657"/>
      <c r="OKH4" s="657"/>
      <c r="OKI4" s="657"/>
      <c r="OKJ4" s="657"/>
      <c r="OKK4" s="657"/>
      <c r="OKL4" s="657"/>
      <c r="OKM4" s="657"/>
      <c r="OKN4" s="657"/>
      <c r="OKO4" s="657"/>
      <c r="OKP4" s="657"/>
      <c r="OKQ4" s="657"/>
      <c r="OKR4" s="657"/>
      <c r="OKS4" s="657"/>
      <c r="OKT4" s="657"/>
      <c r="OKU4" s="657"/>
      <c r="OKV4" s="657"/>
      <c r="OKW4" s="657"/>
      <c r="OKX4" s="657"/>
      <c r="OKY4" s="657"/>
      <c r="OKZ4" s="657"/>
      <c r="OLA4" s="657"/>
      <c r="OLB4" s="657"/>
      <c r="OLC4" s="657"/>
      <c r="OLD4" s="657"/>
      <c r="OLE4" s="657"/>
      <c r="OLF4" s="657"/>
      <c r="OLG4" s="657"/>
      <c r="OLH4" s="657"/>
      <c r="OLI4" s="657"/>
      <c r="OLJ4" s="657"/>
      <c r="OLK4" s="657"/>
      <c r="OLL4" s="657"/>
      <c r="OLM4" s="657"/>
      <c r="OLN4" s="657"/>
      <c r="OLO4" s="657"/>
      <c r="OLP4" s="657"/>
      <c r="OLQ4" s="657"/>
      <c r="OLR4" s="657"/>
      <c r="OLS4" s="657"/>
      <c r="OLT4" s="657"/>
      <c r="OLU4" s="657"/>
      <c r="OLV4" s="657"/>
      <c r="OLW4" s="657"/>
      <c r="OLX4" s="657"/>
      <c r="OLY4" s="657"/>
      <c r="OLZ4" s="657"/>
      <c r="OMA4" s="657"/>
      <c r="OMB4" s="657"/>
      <c r="OMC4" s="657"/>
      <c r="OMD4" s="657"/>
      <c r="OME4" s="657"/>
      <c r="OMF4" s="657"/>
      <c r="OMG4" s="657"/>
      <c r="OMH4" s="657"/>
      <c r="OMI4" s="657"/>
      <c r="OMJ4" s="657"/>
      <c r="OMK4" s="657"/>
      <c r="OML4" s="657"/>
      <c r="OMM4" s="657"/>
      <c r="OMN4" s="657"/>
      <c r="OMO4" s="657"/>
      <c r="OMP4" s="657"/>
      <c r="OMQ4" s="657"/>
      <c r="OMR4" s="657"/>
      <c r="OMS4" s="657"/>
      <c r="OMT4" s="657"/>
      <c r="OMU4" s="657"/>
      <c r="OMV4" s="657"/>
      <c r="OMW4" s="657"/>
      <c r="OMX4" s="657"/>
      <c r="OMY4" s="657"/>
      <c r="OMZ4" s="657"/>
      <c r="ONA4" s="657"/>
      <c r="ONB4" s="657"/>
      <c r="ONC4" s="657"/>
      <c r="OND4" s="657"/>
      <c r="ONE4" s="657"/>
      <c r="ONF4" s="657"/>
      <c r="ONG4" s="657"/>
      <c r="ONH4" s="657"/>
      <c r="ONI4" s="657"/>
      <c r="ONJ4" s="657"/>
      <c r="ONK4" s="657"/>
      <c r="ONL4" s="657"/>
      <c r="ONM4" s="657"/>
      <c r="ONN4" s="657"/>
      <c r="ONO4" s="657"/>
      <c r="ONP4" s="657"/>
      <c r="ONQ4" s="657"/>
      <c r="ONR4" s="657"/>
      <c r="ONS4" s="657"/>
      <c r="ONT4" s="657"/>
      <c r="ONU4" s="657"/>
      <c r="ONV4" s="657"/>
      <c r="ONW4" s="657"/>
      <c r="ONX4" s="657"/>
      <c r="ONY4" s="657"/>
      <c r="ONZ4" s="657"/>
      <c r="OOA4" s="657"/>
      <c r="OOB4" s="657"/>
      <c r="OOC4" s="657"/>
      <c r="OOD4" s="657"/>
      <c r="OOE4" s="657"/>
      <c r="OOF4" s="657"/>
      <c r="OOG4" s="657"/>
      <c r="OOH4" s="657"/>
      <c r="OOI4" s="657"/>
      <c r="OOJ4" s="657"/>
      <c r="OOK4" s="657"/>
      <c r="OOL4" s="657"/>
      <c r="OOM4" s="657"/>
      <c r="OON4" s="657"/>
      <c r="OOO4" s="657"/>
      <c r="OOP4" s="657"/>
      <c r="OOQ4" s="657"/>
      <c r="OOR4" s="657"/>
      <c r="OOS4" s="657"/>
      <c r="OOT4" s="657"/>
      <c r="OOU4" s="657"/>
      <c r="OOV4" s="657"/>
      <c r="OOW4" s="657"/>
      <c r="OOX4" s="657"/>
      <c r="OOY4" s="657"/>
      <c r="OOZ4" s="657"/>
      <c r="OPA4" s="657"/>
      <c r="OPB4" s="657"/>
      <c r="OPC4" s="657"/>
      <c r="OPD4" s="657"/>
      <c r="OPE4" s="657"/>
      <c r="OPF4" s="657"/>
      <c r="OPG4" s="657"/>
      <c r="OPH4" s="657"/>
      <c r="OPI4" s="657"/>
      <c r="OPJ4" s="657"/>
      <c r="OPK4" s="657"/>
      <c r="OPL4" s="657"/>
      <c r="OPM4" s="657"/>
      <c r="OPN4" s="657"/>
      <c r="OPO4" s="657"/>
      <c r="OPP4" s="657"/>
      <c r="OPQ4" s="657"/>
      <c r="OPR4" s="657"/>
      <c r="OPS4" s="657"/>
      <c r="OPT4" s="657"/>
      <c r="OPU4" s="657"/>
      <c r="OPV4" s="657"/>
      <c r="OPW4" s="657"/>
      <c r="OPX4" s="657"/>
      <c r="OPY4" s="657"/>
      <c r="OPZ4" s="657"/>
      <c r="OQA4" s="657"/>
      <c r="OQB4" s="657"/>
      <c r="OQC4" s="657"/>
      <c r="OQD4" s="657"/>
      <c r="OQE4" s="657"/>
      <c r="OQF4" s="657"/>
      <c r="OQG4" s="657"/>
      <c r="OQH4" s="657"/>
      <c r="OQI4" s="657"/>
      <c r="OQJ4" s="657"/>
      <c r="OQK4" s="657"/>
      <c r="OQL4" s="657"/>
      <c r="OQM4" s="657"/>
      <c r="OQN4" s="657"/>
      <c r="OQO4" s="657"/>
      <c r="OQP4" s="657"/>
      <c r="OQQ4" s="657"/>
      <c r="OQR4" s="657"/>
      <c r="OQS4" s="657"/>
      <c r="OQT4" s="657"/>
      <c r="OQU4" s="657"/>
      <c r="OQV4" s="657"/>
      <c r="OQW4" s="657"/>
      <c r="OQX4" s="657"/>
      <c r="OQY4" s="657"/>
      <c r="OQZ4" s="657"/>
      <c r="ORA4" s="657"/>
      <c r="ORB4" s="657"/>
      <c r="ORC4" s="657"/>
      <c r="ORD4" s="657"/>
      <c r="ORE4" s="657"/>
      <c r="ORF4" s="657"/>
      <c r="ORG4" s="657"/>
      <c r="ORH4" s="657"/>
      <c r="ORI4" s="657"/>
      <c r="ORJ4" s="657"/>
      <c r="ORK4" s="657"/>
      <c r="ORL4" s="657"/>
      <c r="ORM4" s="657"/>
      <c r="ORN4" s="657"/>
      <c r="ORO4" s="657"/>
      <c r="ORP4" s="657"/>
      <c r="ORQ4" s="657"/>
      <c r="ORR4" s="657"/>
      <c r="ORS4" s="657"/>
      <c r="ORT4" s="657"/>
      <c r="ORU4" s="657"/>
      <c r="ORV4" s="657"/>
      <c r="ORW4" s="657"/>
      <c r="ORX4" s="657"/>
      <c r="ORY4" s="657"/>
      <c r="ORZ4" s="657"/>
      <c r="OSA4" s="657"/>
      <c r="OSB4" s="657"/>
      <c r="OSC4" s="657"/>
      <c r="OSD4" s="657"/>
      <c r="OSE4" s="657"/>
      <c r="OSF4" s="657"/>
      <c r="OSG4" s="657"/>
      <c r="OSH4" s="657"/>
      <c r="OSI4" s="657"/>
      <c r="OSJ4" s="657"/>
      <c r="OSK4" s="657"/>
      <c r="OSL4" s="657"/>
      <c r="OSM4" s="657"/>
      <c r="OSN4" s="657"/>
      <c r="OSO4" s="657"/>
      <c r="OSP4" s="657"/>
      <c r="OSQ4" s="657"/>
      <c r="OSR4" s="657"/>
      <c r="OSS4" s="657"/>
      <c r="OST4" s="657"/>
      <c r="OSU4" s="657"/>
      <c r="OSV4" s="657"/>
      <c r="OSW4" s="657"/>
      <c r="OSX4" s="657"/>
      <c r="OSY4" s="657"/>
      <c r="OSZ4" s="657"/>
      <c r="OTA4" s="657"/>
      <c r="OTB4" s="657"/>
      <c r="OTC4" s="657"/>
      <c r="OTD4" s="657"/>
      <c r="OTE4" s="657"/>
      <c r="OTF4" s="657"/>
      <c r="OTG4" s="657"/>
      <c r="OTH4" s="657"/>
      <c r="OTI4" s="657"/>
      <c r="OTJ4" s="657"/>
      <c r="OTK4" s="657"/>
      <c r="OTL4" s="657"/>
      <c r="OTM4" s="657"/>
      <c r="OTN4" s="657"/>
      <c r="OTO4" s="657"/>
      <c r="OTP4" s="657"/>
      <c r="OTQ4" s="657"/>
      <c r="OTR4" s="657"/>
      <c r="OTS4" s="657"/>
      <c r="OTT4" s="657"/>
      <c r="OTU4" s="657"/>
      <c r="OTV4" s="657"/>
      <c r="OTW4" s="657"/>
      <c r="OTX4" s="657"/>
      <c r="OTY4" s="657"/>
      <c r="OTZ4" s="657"/>
      <c r="OUA4" s="657"/>
      <c r="OUB4" s="657"/>
      <c r="OUC4" s="657"/>
      <c r="OUD4" s="657"/>
      <c r="OUE4" s="657"/>
      <c r="OUF4" s="657"/>
      <c r="OUG4" s="657"/>
      <c r="OUH4" s="657"/>
      <c r="OUI4" s="657"/>
      <c r="OUJ4" s="657"/>
      <c r="OUK4" s="657"/>
      <c r="OUL4" s="657"/>
      <c r="OUM4" s="657"/>
      <c r="OUN4" s="657"/>
      <c r="OUO4" s="657"/>
      <c r="OUP4" s="657"/>
      <c r="OUQ4" s="657"/>
      <c r="OUR4" s="657"/>
      <c r="OUS4" s="657"/>
      <c r="OUT4" s="657"/>
      <c r="OUU4" s="657"/>
      <c r="OUV4" s="657"/>
      <c r="OUW4" s="657"/>
      <c r="OUX4" s="657"/>
      <c r="OUY4" s="657"/>
      <c r="OUZ4" s="657"/>
      <c r="OVA4" s="657"/>
      <c r="OVB4" s="657"/>
      <c r="OVC4" s="657"/>
      <c r="OVD4" s="657"/>
      <c r="OVE4" s="657"/>
      <c r="OVF4" s="657"/>
      <c r="OVG4" s="657"/>
      <c r="OVH4" s="657"/>
      <c r="OVI4" s="657"/>
      <c r="OVJ4" s="657"/>
      <c r="OVK4" s="657"/>
      <c r="OVL4" s="657"/>
      <c r="OVM4" s="657"/>
      <c r="OVN4" s="657"/>
      <c r="OVO4" s="657"/>
      <c r="OVP4" s="657"/>
      <c r="OVQ4" s="657"/>
      <c r="OVR4" s="657"/>
      <c r="OVS4" s="657"/>
      <c r="OVT4" s="657"/>
      <c r="OVU4" s="657"/>
      <c r="OVV4" s="657"/>
      <c r="OVW4" s="657"/>
      <c r="OVX4" s="657"/>
      <c r="OVY4" s="657"/>
      <c r="OVZ4" s="657"/>
      <c r="OWA4" s="657"/>
      <c r="OWB4" s="657"/>
      <c r="OWC4" s="657"/>
      <c r="OWD4" s="657"/>
      <c r="OWE4" s="657"/>
      <c r="OWF4" s="657"/>
      <c r="OWG4" s="657"/>
      <c r="OWH4" s="657"/>
      <c r="OWI4" s="657"/>
      <c r="OWJ4" s="657"/>
      <c r="OWK4" s="657"/>
      <c r="OWL4" s="657"/>
      <c r="OWM4" s="657"/>
      <c r="OWN4" s="657"/>
      <c r="OWO4" s="657"/>
      <c r="OWP4" s="657"/>
      <c r="OWQ4" s="657"/>
      <c r="OWR4" s="657"/>
      <c r="OWS4" s="657"/>
      <c r="OWT4" s="657"/>
      <c r="OWU4" s="657"/>
      <c r="OWV4" s="657"/>
      <c r="OWW4" s="657"/>
      <c r="OWX4" s="657"/>
      <c r="OWY4" s="657"/>
      <c r="OWZ4" s="657"/>
      <c r="OXA4" s="657"/>
      <c r="OXB4" s="657"/>
      <c r="OXC4" s="657"/>
      <c r="OXD4" s="657"/>
      <c r="OXE4" s="657"/>
      <c r="OXF4" s="657"/>
      <c r="OXG4" s="657"/>
      <c r="OXH4" s="657"/>
      <c r="OXI4" s="657"/>
      <c r="OXJ4" s="657"/>
      <c r="OXK4" s="657"/>
      <c r="OXL4" s="657"/>
      <c r="OXM4" s="657"/>
      <c r="OXN4" s="657"/>
      <c r="OXO4" s="657"/>
      <c r="OXP4" s="657"/>
      <c r="OXQ4" s="657"/>
      <c r="OXR4" s="657"/>
      <c r="OXS4" s="657"/>
      <c r="OXT4" s="657"/>
      <c r="OXU4" s="657"/>
      <c r="OXV4" s="657"/>
      <c r="OXW4" s="657"/>
      <c r="OXX4" s="657"/>
      <c r="OXY4" s="657"/>
      <c r="OXZ4" s="657"/>
      <c r="OYA4" s="657"/>
      <c r="OYB4" s="657"/>
      <c r="OYC4" s="657"/>
      <c r="OYD4" s="657"/>
      <c r="OYE4" s="657"/>
      <c r="OYF4" s="657"/>
      <c r="OYG4" s="657"/>
      <c r="OYH4" s="657"/>
      <c r="OYI4" s="657"/>
      <c r="OYJ4" s="657"/>
      <c r="OYK4" s="657"/>
      <c r="OYL4" s="657"/>
      <c r="OYM4" s="657"/>
      <c r="OYN4" s="657"/>
      <c r="OYO4" s="657"/>
      <c r="OYP4" s="657"/>
      <c r="OYQ4" s="657"/>
      <c r="OYR4" s="657"/>
      <c r="OYS4" s="657"/>
      <c r="OYT4" s="657"/>
      <c r="OYU4" s="657"/>
      <c r="OYV4" s="657"/>
      <c r="OYW4" s="657"/>
      <c r="OYX4" s="657"/>
      <c r="OYY4" s="657"/>
      <c r="OYZ4" s="657"/>
      <c r="OZA4" s="657"/>
      <c r="OZB4" s="657"/>
      <c r="OZC4" s="657"/>
      <c r="OZD4" s="657"/>
      <c r="OZE4" s="657"/>
      <c r="OZF4" s="657"/>
      <c r="OZG4" s="657"/>
      <c r="OZH4" s="657"/>
      <c r="OZI4" s="657"/>
      <c r="OZJ4" s="657"/>
      <c r="OZK4" s="657"/>
      <c r="OZL4" s="657"/>
      <c r="OZM4" s="657"/>
      <c r="OZN4" s="657"/>
      <c r="OZO4" s="657"/>
      <c r="OZP4" s="657"/>
      <c r="OZQ4" s="657"/>
      <c r="OZR4" s="657"/>
      <c r="OZS4" s="657"/>
      <c r="OZT4" s="657"/>
      <c r="OZU4" s="657"/>
      <c r="OZV4" s="657"/>
      <c r="OZW4" s="657"/>
      <c r="OZX4" s="657"/>
      <c r="OZY4" s="657"/>
      <c r="OZZ4" s="657"/>
      <c r="PAA4" s="657"/>
      <c r="PAB4" s="657"/>
      <c r="PAC4" s="657"/>
      <c r="PAD4" s="657"/>
      <c r="PAE4" s="657"/>
      <c r="PAF4" s="657"/>
      <c r="PAG4" s="657"/>
      <c r="PAH4" s="657"/>
      <c r="PAI4" s="657"/>
      <c r="PAJ4" s="657"/>
      <c r="PAK4" s="657"/>
      <c r="PAL4" s="657"/>
      <c r="PAM4" s="657"/>
      <c r="PAN4" s="657"/>
      <c r="PAO4" s="657"/>
      <c r="PAP4" s="657"/>
      <c r="PAQ4" s="657"/>
      <c r="PAR4" s="657"/>
      <c r="PAS4" s="657"/>
      <c r="PAT4" s="657"/>
      <c r="PAU4" s="657"/>
      <c r="PAV4" s="657"/>
      <c r="PAW4" s="657"/>
      <c r="PAX4" s="657"/>
      <c r="PAY4" s="657"/>
      <c r="PAZ4" s="657"/>
      <c r="PBA4" s="657"/>
      <c r="PBB4" s="657"/>
      <c r="PBC4" s="657"/>
      <c r="PBD4" s="657"/>
      <c r="PBE4" s="657"/>
      <c r="PBF4" s="657"/>
      <c r="PBG4" s="657"/>
      <c r="PBH4" s="657"/>
      <c r="PBI4" s="657"/>
      <c r="PBJ4" s="657"/>
      <c r="PBK4" s="657"/>
      <c r="PBL4" s="657"/>
      <c r="PBM4" s="657"/>
      <c r="PBN4" s="657"/>
      <c r="PBO4" s="657"/>
      <c r="PBP4" s="657"/>
      <c r="PBQ4" s="657"/>
      <c r="PBR4" s="657"/>
      <c r="PBS4" s="657"/>
      <c r="PBT4" s="657"/>
      <c r="PBU4" s="657"/>
      <c r="PBV4" s="657"/>
      <c r="PBW4" s="657"/>
      <c r="PBX4" s="657"/>
      <c r="PBY4" s="657"/>
      <c r="PBZ4" s="657"/>
      <c r="PCA4" s="657"/>
      <c r="PCB4" s="657"/>
      <c r="PCC4" s="657"/>
      <c r="PCD4" s="657"/>
      <c r="PCE4" s="657"/>
      <c r="PCF4" s="657"/>
      <c r="PCG4" s="657"/>
      <c r="PCH4" s="657"/>
      <c r="PCI4" s="657"/>
      <c r="PCJ4" s="657"/>
      <c r="PCK4" s="657"/>
      <c r="PCL4" s="657"/>
      <c r="PCM4" s="657"/>
      <c r="PCN4" s="657"/>
      <c r="PCO4" s="657"/>
      <c r="PCP4" s="657"/>
      <c r="PCQ4" s="657"/>
      <c r="PCR4" s="657"/>
      <c r="PCS4" s="657"/>
      <c r="PCT4" s="657"/>
      <c r="PCU4" s="657"/>
      <c r="PCV4" s="657"/>
      <c r="PCW4" s="657"/>
      <c r="PCX4" s="657"/>
      <c r="PCY4" s="657"/>
      <c r="PCZ4" s="657"/>
      <c r="PDA4" s="657"/>
      <c r="PDB4" s="657"/>
      <c r="PDC4" s="657"/>
      <c r="PDD4" s="657"/>
      <c r="PDE4" s="657"/>
      <c r="PDF4" s="657"/>
      <c r="PDG4" s="657"/>
      <c r="PDH4" s="657"/>
      <c r="PDI4" s="657"/>
      <c r="PDJ4" s="657"/>
      <c r="PDK4" s="657"/>
      <c r="PDL4" s="657"/>
      <c r="PDM4" s="657"/>
      <c r="PDN4" s="657"/>
      <c r="PDO4" s="657"/>
      <c r="PDP4" s="657"/>
      <c r="PDQ4" s="657"/>
      <c r="PDR4" s="657"/>
      <c r="PDS4" s="657"/>
      <c r="PDT4" s="657"/>
      <c r="PDU4" s="657"/>
      <c r="PDV4" s="657"/>
      <c r="PDW4" s="657"/>
      <c r="PDX4" s="657"/>
      <c r="PDY4" s="657"/>
      <c r="PDZ4" s="657"/>
      <c r="PEA4" s="657"/>
      <c r="PEB4" s="657"/>
      <c r="PEC4" s="657"/>
      <c r="PED4" s="657"/>
      <c r="PEE4" s="657"/>
      <c r="PEF4" s="657"/>
      <c r="PEG4" s="657"/>
      <c r="PEH4" s="657"/>
      <c r="PEI4" s="657"/>
      <c r="PEJ4" s="657"/>
      <c r="PEK4" s="657"/>
      <c r="PEL4" s="657"/>
      <c r="PEM4" s="657"/>
      <c r="PEN4" s="657"/>
      <c r="PEO4" s="657"/>
      <c r="PEP4" s="657"/>
      <c r="PEQ4" s="657"/>
      <c r="PER4" s="657"/>
      <c r="PES4" s="657"/>
      <c r="PET4" s="657"/>
      <c r="PEU4" s="657"/>
      <c r="PEV4" s="657"/>
      <c r="PEW4" s="657"/>
      <c r="PEX4" s="657"/>
      <c r="PEY4" s="657"/>
      <c r="PEZ4" s="657"/>
      <c r="PFA4" s="657"/>
      <c r="PFB4" s="657"/>
      <c r="PFC4" s="657"/>
      <c r="PFD4" s="657"/>
      <c r="PFE4" s="657"/>
      <c r="PFF4" s="657"/>
      <c r="PFG4" s="657"/>
      <c r="PFH4" s="657"/>
      <c r="PFI4" s="657"/>
      <c r="PFJ4" s="657"/>
      <c r="PFK4" s="657"/>
      <c r="PFL4" s="657"/>
      <c r="PFM4" s="657"/>
      <c r="PFN4" s="657"/>
      <c r="PFO4" s="657"/>
      <c r="PFP4" s="657"/>
      <c r="PFQ4" s="657"/>
      <c r="PFR4" s="657"/>
      <c r="PFS4" s="657"/>
      <c r="PFT4" s="657"/>
      <c r="PFU4" s="657"/>
      <c r="PFV4" s="657"/>
      <c r="PFW4" s="657"/>
      <c r="PFX4" s="657"/>
      <c r="PFY4" s="657"/>
      <c r="PFZ4" s="657"/>
      <c r="PGA4" s="657"/>
      <c r="PGB4" s="657"/>
      <c r="PGC4" s="657"/>
      <c r="PGD4" s="657"/>
      <c r="PGE4" s="657"/>
      <c r="PGF4" s="657"/>
      <c r="PGG4" s="657"/>
      <c r="PGH4" s="657"/>
      <c r="PGI4" s="657"/>
      <c r="PGJ4" s="657"/>
      <c r="PGK4" s="657"/>
      <c r="PGL4" s="657"/>
      <c r="PGM4" s="657"/>
      <c r="PGN4" s="657"/>
      <c r="PGO4" s="657"/>
      <c r="PGP4" s="657"/>
      <c r="PGQ4" s="657"/>
      <c r="PGR4" s="657"/>
      <c r="PGS4" s="657"/>
      <c r="PGT4" s="657"/>
      <c r="PGU4" s="657"/>
      <c r="PGV4" s="657"/>
      <c r="PGW4" s="657"/>
      <c r="PGX4" s="657"/>
      <c r="PGY4" s="657"/>
      <c r="PGZ4" s="657"/>
      <c r="PHA4" s="657"/>
      <c r="PHB4" s="657"/>
      <c r="PHC4" s="657"/>
      <c r="PHD4" s="657"/>
      <c r="PHE4" s="657"/>
      <c r="PHF4" s="657"/>
      <c r="PHG4" s="657"/>
      <c r="PHH4" s="657"/>
      <c r="PHI4" s="657"/>
      <c r="PHJ4" s="657"/>
      <c r="PHK4" s="657"/>
      <c r="PHL4" s="657"/>
      <c r="PHM4" s="657"/>
      <c r="PHN4" s="657"/>
      <c r="PHO4" s="657"/>
      <c r="PHP4" s="657"/>
      <c r="PHQ4" s="657"/>
      <c r="PHR4" s="657"/>
      <c r="PHS4" s="657"/>
      <c r="PHT4" s="657"/>
      <c r="PHU4" s="657"/>
      <c r="PHV4" s="657"/>
      <c r="PHW4" s="657"/>
      <c r="PHX4" s="657"/>
      <c r="PHY4" s="657"/>
      <c r="PHZ4" s="657"/>
      <c r="PIA4" s="657"/>
      <c r="PIB4" s="657"/>
      <c r="PIC4" s="657"/>
      <c r="PID4" s="657"/>
      <c r="PIE4" s="657"/>
      <c r="PIF4" s="657"/>
      <c r="PIG4" s="657"/>
      <c r="PIH4" s="657"/>
      <c r="PII4" s="657"/>
      <c r="PIJ4" s="657"/>
      <c r="PIK4" s="657"/>
      <c r="PIL4" s="657"/>
      <c r="PIM4" s="657"/>
      <c r="PIN4" s="657"/>
      <c r="PIO4" s="657"/>
      <c r="PIP4" s="657"/>
      <c r="PIQ4" s="657"/>
      <c r="PIR4" s="657"/>
      <c r="PIS4" s="657"/>
      <c r="PIT4" s="657"/>
      <c r="PIU4" s="657"/>
      <c r="PIV4" s="657"/>
      <c r="PIW4" s="657"/>
      <c r="PIX4" s="657"/>
      <c r="PIY4" s="657"/>
      <c r="PIZ4" s="657"/>
      <c r="PJA4" s="657"/>
      <c r="PJB4" s="657"/>
      <c r="PJC4" s="657"/>
      <c r="PJD4" s="657"/>
      <c r="PJE4" s="657"/>
      <c r="PJF4" s="657"/>
      <c r="PJG4" s="657"/>
      <c r="PJH4" s="657"/>
      <c r="PJI4" s="657"/>
      <c r="PJJ4" s="657"/>
      <c r="PJK4" s="657"/>
      <c r="PJL4" s="657"/>
      <c r="PJM4" s="657"/>
      <c r="PJN4" s="657"/>
      <c r="PJO4" s="657"/>
      <c r="PJP4" s="657"/>
      <c r="PJQ4" s="657"/>
      <c r="PJR4" s="657"/>
      <c r="PJS4" s="657"/>
      <c r="PJT4" s="657"/>
      <c r="PJU4" s="657"/>
      <c r="PJV4" s="657"/>
      <c r="PJW4" s="657"/>
      <c r="PJX4" s="657"/>
      <c r="PJY4" s="657"/>
      <c r="PJZ4" s="657"/>
      <c r="PKA4" s="657"/>
      <c r="PKB4" s="657"/>
      <c r="PKC4" s="657"/>
      <c r="PKD4" s="657"/>
      <c r="PKE4" s="657"/>
      <c r="PKF4" s="657"/>
      <c r="PKG4" s="657"/>
      <c r="PKH4" s="657"/>
      <c r="PKI4" s="657"/>
      <c r="PKJ4" s="657"/>
      <c r="PKK4" s="657"/>
      <c r="PKL4" s="657"/>
      <c r="PKM4" s="657"/>
      <c r="PKN4" s="657"/>
      <c r="PKO4" s="657"/>
      <c r="PKP4" s="657"/>
      <c r="PKQ4" s="657"/>
      <c r="PKR4" s="657"/>
      <c r="PKS4" s="657"/>
      <c r="PKT4" s="657"/>
      <c r="PKU4" s="657"/>
      <c r="PKV4" s="657"/>
      <c r="PKW4" s="657"/>
      <c r="PKX4" s="657"/>
      <c r="PKY4" s="657"/>
      <c r="PKZ4" s="657"/>
      <c r="PLA4" s="657"/>
      <c r="PLB4" s="657"/>
      <c r="PLC4" s="657"/>
      <c r="PLD4" s="657"/>
      <c r="PLE4" s="657"/>
      <c r="PLF4" s="657"/>
      <c r="PLG4" s="657"/>
      <c r="PLH4" s="657"/>
      <c r="PLI4" s="657"/>
      <c r="PLJ4" s="657"/>
      <c r="PLK4" s="657"/>
      <c r="PLL4" s="657"/>
      <c r="PLM4" s="657"/>
      <c r="PLN4" s="657"/>
      <c r="PLO4" s="657"/>
      <c r="PLP4" s="657"/>
      <c r="PLQ4" s="657"/>
      <c r="PLR4" s="657"/>
      <c r="PLS4" s="657"/>
      <c r="PLT4" s="657"/>
      <c r="PLU4" s="657"/>
      <c r="PLV4" s="657"/>
      <c r="PLW4" s="657"/>
      <c r="PLX4" s="657"/>
      <c r="PLY4" s="657"/>
      <c r="PLZ4" s="657"/>
      <c r="PMA4" s="657"/>
      <c r="PMB4" s="657"/>
      <c r="PMC4" s="657"/>
      <c r="PMD4" s="657"/>
      <c r="PME4" s="657"/>
      <c r="PMF4" s="657"/>
      <c r="PMG4" s="657"/>
      <c r="PMH4" s="657"/>
      <c r="PMI4" s="657"/>
      <c r="PMJ4" s="657"/>
      <c r="PMK4" s="657"/>
      <c r="PML4" s="657"/>
      <c r="PMM4" s="657"/>
      <c r="PMN4" s="657"/>
      <c r="PMO4" s="657"/>
      <c r="PMP4" s="657"/>
      <c r="PMQ4" s="657"/>
      <c r="PMR4" s="657"/>
      <c r="PMS4" s="657"/>
      <c r="PMT4" s="657"/>
      <c r="PMU4" s="657"/>
      <c r="PMV4" s="657"/>
      <c r="PMW4" s="657"/>
      <c r="PMX4" s="657"/>
      <c r="PMY4" s="657"/>
      <c r="PMZ4" s="657"/>
      <c r="PNA4" s="657"/>
      <c r="PNB4" s="657"/>
      <c r="PNC4" s="657"/>
      <c r="PND4" s="657"/>
      <c r="PNE4" s="657"/>
      <c r="PNF4" s="657"/>
      <c r="PNG4" s="657"/>
      <c r="PNH4" s="657"/>
      <c r="PNI4" s="657"/>
      <c r="PNJ4" s="657"/>
      <c r="PNK4" s="657"/>
      <c r="PNL4" s="657"/>
      <c r="PNM4" s="657"/>
      <c r="PNN4" s="657"/>
      <c r="PNO4" s="657"/>
      <c r="PNP4" s="657"/>
      <c r="PNQ4" s="657"/>
      <c r="PNR4" s="657"/>
      <c r="PNS4" s="657"/>
      <c r="PNT4" s="657"/>
      <c r="PNU4" s="657"/>
      <c r="PNV4" s="657"/>
      <c r="PNW4" s="657"/>
      <c r="PNX4" s="657"/>
      <c r="PNY4" s="657"/>
      <c r="PNZ4" s="657"/>
      <c r="POA4" s="657"/>
      <c r="POB4" s="657"/>
      <c r="POC4" s="657"/>
      <c r="POD4" s="657"/>
      <c r="POE4" s="657"/>
      <c r="POF4" s="657"/>
      <c r="POG4" s="657"/>
      <c r="POH4" s="657"/>
      <c r="POI4" s="657"/>
      <c r="POJ4" s="657"/>
      <c r="POK4" s="657"/>
      <c r="POL4" s="657"/>
      <c r="POM4" s="657"/>
      <c r="PON4" s="657"/>
      <c r="POO4" s="657"/>
      <c r="POP4" s="657"/>
      <c r="POQ4" s="657"/>
      <c r="POR4" s="657"/>
      <c r="POS4" s="657"/>
      <c r="POT4" s="657"/>
      <c r="POU4" s="657"/>
      <c r="POV4" s="657"/>
      <c r="POW4" s="657"/>
      <c r="POX4" s="657"/>
      <c r="POY4" s="657"/>
      <c r="POZ4" s="657"/>
      <c r="PPA4" s="657"/>
      <c r="PPB4" s="657"/>
      <c r="PPC4" s="657"/>
      <c r="PPD4" s="657"/>
      <c r="PPE4" s="657"/>
      <c r="PPF4" s="657"/>
      <c r="PPG4" s="657"/>
      <c r="PPH4" s="657"/>
      <c r="PPI4" s="657"/>
      <c r="PPJ4" s="657"/>
      <c r="PPK4" s="657"/>
      <c r="PPL4" s="657"/>
      <c r="PPM4" s="657"/>
      <c r="PPN4" s="657"/>
      <c r="PPO4" s="657"/>
      <c r="PPP4" s="657"/>
      <c r="PPQ4" s="657"/>
      <c r="PPR4" s="657"/>
      <c r="PPS4" s="657"/>
      <c r="PPT4" s="657"/>
      <c r="PPU4" s="657"/>
      <c r="PPV4" s="657"/>
      <c r="PPW4" s="657"/>
      <c r="PPX4" s="657"/>
      <c r="PPY4" s="657"/>
      <c r="PPZ4" s="657"/>
      <c r="PQA4" s="657"/>
      <c r="PQB4" s="657"/>
      <c r="PQC4" s="657"/>
      <c r="PQD4" s="657"/>
      <c r="PQE4" s="657"/>
      <c r="PQF4" s="657"/>
      <c r="PQG4" s="657"/>
      <c r="PQH4" s="657"/>
      <c r="PQI4" s="657"/>
      <c r="PQJ4" s="657"/>
      <c r="PQK4" s="657"/>
      <c r="PQL4" s="657"/>
      <c r="PQM4" s="657"/>
      <c r="PQN4" s="657"/>
      <c r="PQO4" s="657"/>
      <c r="PQP4" s="657"/>
      <c r="PQQ4" s="657"/>
      <c r="PQR4" s="657"/>
      <c r="PQS4" s="657"/>
      <c r="PQT4" s="657"/>
      <c r="PQU4" s="657"/>
      <c r="PQV4" s="657"/>
      <c r="PQW4" s="657"/>
      <c r="PQX4" s="657"/>
      <c r="PQY4" s="657"/>
      <c r="PQZ4" s="657"/>
      <c r="PRA4" s="657"/>
      <c r="PRB4" s="657"/>
      <c r="PRC4" s="657"/>
      <c r="PRD4" s="657"/>
      <c r="PRE4" s="657"/>
      <c r="PRF4" s="657"/>
      <c r="PRG4" s="657"/>
      <c r="PRH4" s="657"/>
      <c r="PRI4" s="657"/>
      <c r="PRJ4" s="657"/>
      <c r="PRK4" s="657"/>
      <c r="PRL4" s="657"/>
      <c r="PRM4" s="657"/>
      <c r="PRN4" s="657"/>
      <c r="PRO4" s="657"/>
      <c r="PRP4" s="657"/>
      <c r="PRQ4" s="657"/>
      <c r="PRR4" s="657"/>
      <c r="PRS4" s="657"/>
      <c r="PRT4" s="657"/>
      <c r="PRU4" s="657"/>
      <c r="PRV4" s="657"/>
      <c r="PRW4" s="657"/>
      <c r="PRX4" s="657"/>
      <c r="PRY4" s="657"/>
      <c r="PRZ4" s="657"/>
      <c r="PSA4" s="657"/>
      <c r="PSB4" s="657"/>
      <c r="PSC4" s="657"/>
      <c r="PSD4" s="657"/>
      <c r="PSE4" s="657"/>
      <c r="PSF4" s="657"/>
      <c r="PSG4" s="657"/>
      <c r="PSH4" s="657"/>
      <c r="PSI4" s="657"/>
      <c r="PSJ4" s="657"/>
      <c r="PSK4" s="657"/>
      <c r="PSL4" s="657"/>
      <c r="PSM4" s="657"/>
      <c r="PSN4" s="657"/>
      <c r="PSO4" s="657"/>
      <c r="PSP4" s="657"/>
      <c r="PSQ4" s="657"/>
      <c r="PSR4" s="657"/>
      <c r="PSS4" s="657"/>
      <c r="PST4" s="657"/>
      <c r="PSU4" s="657"/>
      <c r="PSV4" s="657"/>
      <c r="PSW4" s="657"/>
      <c r="PSX4" s="657"/>
      <c r="PSY4" s="657"/>
      <c r="PSZ4" s="657"/>
      <c r="PTA4" s="657"/>
      <c r="PTB4" s="657"/>
      <c r="PTC4" s="657"/>
      <c r="PTD4" s="657"/>
      <c r="PTE4" s="657"/>
      <c r="PTF4" s="657"/>
      <c r="PTG4" s="657"/>
      <c r="PTH4" s="657"/>
      <c r="PTI4" s="657"/>
      <c r="PTJ4" s="657"/>
      <c r="PTK4" s="657"/>
      <c r="PTL4" s="657"/>
      <c r="PTM4" s="657"/>
      <c r="PTN4" s="657"/>
      <c r="PTO4" s="657"/>
      <c r="PTP4" s="657"/>
      <c r="PTQ4" s="657"/>
      <c r="PTR4" s="657"/>
      <c r="PTS4" s="657"/>
      <c r="PTT4" s="657"/>
      <c r="PTU4" s="657"/>
      <c r="PTV4" s="657"/>
      <c r="PTW4" s="657"/>
      <c r="PTX4" s="657"/>
      <c r="PTY4" s="657"/>
      <c r="PTZ4" s="657"/>
      <c r="PUA4" s="657"/>
      <c r="PUB4" s="657"/>
      <c r="PUC4" s="657"/>
      <c r="PUD4" s="657"/>
      <c r="PUE4" s="657"/>
      <c r="PUF4" s="657"/>
      <c r="PUG4" s="657"/>
      <c r="PUH4" s="657"/>
      <c r="PUI4" s="657"/>
      <c r="PUJ4" s="657"/>
      <c r="PUK4" s="657"/>
      <c r="PUL4" s="657"/>
      <c r="PUM4" s="657"/>
      <c r="PUN4" s="657"/>
      <c r="PUO4" s="657"/>
      <c r="PUP4" s="657"/>
      <c r="PUQ4" s="657"/>
      <c r="PUR4" s="657"/>
      <c r="PUS4" s="657"/>
      <c r="PUT4" s="657"/>
      <c r="PUU4" s="657"/>
      <c r="PUV4" s="657"/>
      <c r="PUW4" s="657"/>
      <c r="PUX4" s="657"/>
      <c r="PUY4" s="657"/>
      <c r="PUZ4" s="657"/>
      <c r="PVA4" s="657"/>
      <c r="PVB4" s="657"/>
      <c r="PVC4" s="657"/>
      <c r="PVD4" s="657"/>
      <c r="PVE4" s="657"/>
      <c r="PVF4" s="657"/>
      <c r="PVG4" s="657"/>
      <c r="PVH4" s="657"/>
      <c r="PVI4" s="657"/>
      <c r="PVJ4" s="657"/>
      <c r="PVK4" s="657"/>
      <c r="PVL4" s="657"/>
      <c r="PVM4" s="657"/>
      <c r="PVN4" s="657"/>
      <c r="PVO4" s="657"/>
      <c r="PVP4" s="657"/>
      <c r="PVQ4" s="657"/>
      <c r="PVR4" s="657"/>
      <c r="PVS4" s="657"/>
      <c r="PVT4" s="657"/>
      <c r="PVU4" s="657"/>
      <c r="PVV4" s="657"/>
      <c r="PVW4" s="657"/>
      <c r="PVX4" s="657"/>
      <c r="PVY4" s="657"/>
      <c r="PVZ4" s="657"/>
      <c r="PWA4" s="657"/>
      <c r="PWB4" s="657"/>
      <c r="PWC4" s="657"/>
      <c r="PWD4" s="657"/>
      <c r="PWE4" s="657"/>
      <c r="PWF4" s="657"/>
      <c r="PWG4" s="657"/>
      <c r="PWH4" s="657"/>
      <c r="PWI4" s="657"/>
      <c r="PWJ4" s="657"/>
      <c r="PWK4" s="657"/>
      <c r="PWL4" s="657"/>
      <c r="PWM4" s="657"/>
      <c r="PWN4" s="657"/>
      <c r="PWO4" s="657"/>
      <c r="PWP4" s="657"/>
      <c r="PWQ4" s="657"/>
      <c r="PWR4" s="657"/>
      <c r="PWS4" s="657"/>
      <c r="PWT4" s="657"/>
      <c r="PWU4" s="657"/>
      <c r="PWV4" s="657"/>
      <c r="PWW4" s="657"/>
      <c r="PWX4" s="657"/>
      <c r="PWY4" s="657"/>
      <c r="PWZ4" s="657"/>
      <c r="PXA4" s="657"/>
      <c r="PXB4" s="657"/>
      <c r="PXC4" s="657"/>
      <c r="PXD4" s="657"/>
      <c r="PXE4" s="657"/>
      <c r="PXF4" s="657"/>
      <c r="PXG4" s="657"/>
      <c r="PXH4" s="657"/>
      <c r="PXI4" s="657"/>
      <c r="PXJ4" s="657"/>
      <c r="PXK4" s="657"/>
      <c r="PXL4" s="657"/>
      <c r="PXM4" s="657"/>
      <c r="PXN4" s="657"/>
      <c r="PXO4" s="657"/>
      <c r="PXP4" s="657"/>
      <c r="PXQ4" s="657"/>
      <c r="PXR4" s="657"/>
      <c r="PXS4" s="657"/>
      <c r="PXT4" s="657"/>
      <c r="PXU4" s="657"/>
      <c r="PXV4" s="657"/>
      <c r="PXW4" s="657"/>
      <c r="PXX4" s="657"/>
      <c r="PXY4" s="657"/>
      <c r="PXZ4" s="657"/>
      <c r="PYA4" s="657"/>
      <c r="PYB4" s="657"/>
      <c r="PYC4" s="657"/>
      <c r="PYD4" s="657"/>
      <c r="PYE4" s="657"/>
      <c r="PYF4" s="657"/>
      <c r="PYG4" s="657"/>
      <c r="PYH4" s="657"/>
      <c r="PYI4" s="657"/>
      <c r="PYJ4" s="657"/>
      <c r="PYK4" s="657"/>
      <c r="PYL4" s="657"/>
      <c r="PYM4" s="657"/>
      <c r="PYN4" s="657"/>
      <c r="PYO4" s="657"/>
      <c r="PYP4" s="657"/>
      <c r="PYQ4" s="657"/>
      <c r="PYR4" s="657"/>
      <c r="PYS4" s="657"/>
      <c r="PYT4" s="657"/>
      <c r="PYU4" s="657"/>
      <c r="PYV4" s="657"/>
      <c r="PYW4" s="657"/>
      <c r="PYX4" s="657"/>
      <c r="PYY4" s="657"/>
      <c r="PYZ4" s="657"/>
      <c r="PZA4" s="657"/>
      <c r="PZB4" s="657"/>
      <c r="PZC4" s="657"/>
      <c r="PZD4" s="657"/>
      <c r="PZE4" s="657"/>
      <c r="PZF4" s="657"/>
      <c r="PZG4" s="657"/>
      <c r="PZH4" s="657"/>
      <c r="PZI4" s="657"/>
      <c r="PZJ4" s="657"/>
      <c r="PZK4" s="657"/>
      <c r="PZL4" s="657"/>
      <c r="PZM4" s="657"/>
      <c r="PZN4" s="657"/>
      <c r="PZO4" s="657"/>
      <c r="PZP4" s="657"/>
      <c r="PZQ4" s="657"/>
      <c r="PZR4" s="657"/>
      <c r="PZS4" s="657"/>
      <c r="PZT4" s="657"/>
      <c r="PZU4" s="657"/>
      <c r="PZV4" s="657"/>
      <c r="PZW4" s="657"/>
      <c r="PZX4" s="657"/>
      <c r="PZY4" s="657"/>
      <c r="PZZ4" s="657"/>
      <c r="QAA4" s="657"/>
      <c r="QAB4" s="657"/>
      <c r="QAC4" s="657"/>
      <c r="QAD4" s="657"/>
      <c r="QAE4" s="657"/>
      <c r="QAF4" s="657"/>
      <c r="QAG4" s="657"/>
      <c r="QAH4" s="657"/>
      <c r="QAI4" s="657"/>
      <c r="QAJ4" s="657"/>
      <c r="QAK4" s="657"/>
      <c r="QAL4" s="657"/>
      <c r="QAM4" s="657"/>
      <c r="QAN4" s="657"/>
      <c r="QAO4" s="657"/>
      <c r="QAP4" s="657"/>
      <c r="QAQ4" s="657"/>
      <c r="QAR4" s="657"/>
      <c r="QAS4" s="657"/>
      <c r="QAT4" s="657"/>
      <c r="QAU4" s="657"/>
      <c r="QAV4" s="657"/>
      <c r="QAW4" s="657"/>
      <c r="QAX4" s="657"/>
      <c r="QAY4" s="657"/>
      <c r="QAZ4" s="657"/>
      <c r="QBA4" s="657"/>
      <c r="QBB4" s="657"/>
      <c r="QBC4" s="657"/>
      <c r="QBD4" s="657"/>
      <c r="QBE4" s="657"/>
      <c r="QBF4" s="657"/>
      <c r="QBG4" s="657"/>
      <c r="QBH4" s="657"/>
      <c r="QBI4" s="657"/>
      <c r="QBJ4" s="657"/>
      <c r="QBK4" s="657"/>
      <c r="QBL4" s="657"/>
      <c r="QBM4" s="657"/>
      <c r="QBN4" s="657"/>
      <c r="QBO4" s="657"/>
      <c r="QBP4" s="657"/>
      <c r="QBQ4" s="657"/>
      <c r="QBR4" s="657"/>
      <c r="QBS4" s="657"/>
      <c r="QBT4" s="657"/>
      <c r="QBU4" s="657"/>
      <c r="QBV4" s="657"/>
      <c r="QBW4" s="657"/>
      <c r="QBX4" s="657"/>
      <c r="QBY4" s="657"/>
      <c r="QBZ4" s="657"/>
      <c r="QCA4" s="657"/>
      <c r="QCB4" s="657"/>
      <c r="QCC4" s="657"/>
      <c r="QCD4" s="657"/>
      <c r="QCE4" s="657"/>
      <c r="QCF4" s="657"/>
      <c r="QCG4" s="657"/>
      <c r="QCH4" s="657"/>
      <c r="QCI4" s="657"/>
      <c r="QCJ4" s="657"/>
      <c r="QCK4" s="657"/>
      <c r="QCL4" s="657"/>
      <c r="QCM4" s="657"/>
      <c r="QCN4" s="657"/>
      <c r="QCO4" s="657"/>
      <c r="QCP4" s="657"/>
      <c r="QCQ4" s="657"/>
      <c r="QCR4" s="657"/>
      <c r="QCS4" s="657"/>
      <c r="QCT4" s="657"/>
      <c r="QCU4" s="657"/>
      <c r="QCV4" s="657"/>
      <c r="QCW4" s="657"/>
      <c r="QCX4" s="657"/>
      <c r="QCY4" s="657"/>
      <c r="QCZ4" s="657"/>
      <c r="QDA4" s="657"/>
      <c r="QDB4" s="657"/>
      <c r="QDC4" s="657"/>
      <c r="QDD4" s="657"/>
      <c r="QDE4" s="657"/>
      <c r="QDF4" s="657"/>
      <c r="QDG4" s="657"/>
      <c r="QDH4" s="657"/>
      <c r="QDI4" s="657"/>
      <c r="QDJ4" s="657"/>
      <c r="QDK4" s="657"/>
      <c r="QDL4" s="657"/>
      <c r="QDM4" s="657"/>
      <c r="QDN4" s="657"/>
      <c r="QDO4" s="657"/>
      <c r="QDP4" s="657"/>
      <c r="QDQ4" s="657"/>
      <c r="QDR4" s="657"/>
      <c r="QDS4" s="657"/>
      <c r="QDT4" s="657"/>
      <c r="QDU4" s="657"/>
      <c r="QDV4" s="657"/>
      <c r="QDW4" s="657"/>
      <c r="QDX4" s="657"/>
      <c r="QDY4" s="657"/>
      <c r="QDZ4" s="657"/>
      <c r="QEA4" s="657"/>
      <c r="QEB4" s="657"/>
      <c r="QEC4" s="657"/>
      <c r="QED4" s="657"/>
      <c r="QEE4" s="657"/>
      <c r="QEF4" s="657"/>
      <c r="QEG4" s="657"/>
      <c r="QEH4" s="657"/>
      <c r="QEI4" s="657"/>
      <c r="QEJ4" s="657"/>
      <c r="QEK4" s="657"/>
      <c r="QEL4" s="657"/>
      <c r="QEM4" s="657"/>
      <c r="QEN4" s="657"/>
      <c r="QEO4" s="657"/>
      <c r="QEP4" s="657"/>
      <c r="QEQ4" s="657"/>
      <c r="QER4" s="657"/>
      <c r="QES4" s="657"/>
      <c r="QET4" s="657"/>
      <c r="QEU4" s="657"/>
      <c r="QEV4" s="657"/>
      <c r="QEW4" s="657"/>
      <c r="QEX4" s="657"/>
      <c r="QEY4" s="657"/>
      <c r="QEZ4" s="657"/>
      <c r="QFA4" s="657"/>
      <c r="QFB4" s="657"/>
      <c r="QFC4" s="657"/>
      <c r="QFD4" s="657"/>
      <c r="QFE4" s="657"/>
      <c r="QFF4" s="657"/>
      <c r="QFG4" s="657"/>
      <c r="QFH4" s="657"/>
      <c r="QFI4" s="657"/>
      <c r="QFJ4" s="657"/>
      <c r="QFK4" s="657"/>
      <c r="QFL4" s="657"/>
      <c r="QFM4" s="657"/>
      <c r="QFN4" s="657"/>
      <c r="QFO4" s="657"/>
      <c r="QFP4" s="657"/>
      <c r="QFQ4" s="657"/>
      <c r="QFR4" s="657"/>
      <c r="QFS4" s="657"/>
      <c r="QFT4" s="657"/>
      <c r="QFU4" s="657"/>
      <c r="QFV4" s="657"/>
      <c r="QFW4" s="657"/>
      <c r="QFX4" s="657"/>
      <c r="QFY4" s="657"/>
      <c r="QFZ4" s="657"/>
      <c r="QGA4" s="657"/>
      <c r="QGB4" s="657"/>
      <c r="QGC4" s="657"/>
      <c r="QGD4" s="657"/>
      <c r="QGE4" s="657"/>
      <c r="QGF4" s="657"/>
      <c r="QGG4" s="657"/>
      <c r="QGH4" s="657"/>
      <c r="QGI4" s="657"/>
      <c r="QGJ4" s="657"/>
      <c r="QGK4" s="657"/>
      <c r="QGL4" s="657"/>
      <c r="QGM4" s="657"/>
      <c r="QGN4" s="657"/>
      <c r="QGO4" s="657"/>
      <c r="QGP4" s="657"/>
      <c r="QGQ4" s="657"/>
      <c r="QGR4" s="657"/>
      <c r="QGS4" s="657"/>
      <c r="QGT4" s="657"/>
      <c r="QGU4" s="657"/>
      <c r="QGV4" s="657"/>
      <c r="QGW4" s="657"/>
      <c r="QGX4" s="657"/>
      <c r="QGY4" s="657"/>
      <c r="QGZ4" s="657"/>
      <c r="QHA4" s="657"/>
      <c r="QHB4" s="657"/>
      <c r="QHC4" s="657"/>
      <c r="QHD4" s="657"/>
      <c r="QHE4" s="657"/>
      <c r="QHF4" s="657"/>
      <c r="QHG4" s="657"/>
      <c r="QHH4" s="657"/>
      <c r="QHI4" s="657"/>
      <c r="QHJ4" s="657"/>
      <c r="QHK4" s="657"/>
      <c r="QHL4" s="657"/>
      <c r="QHM4" s="657"/>
      <c r="QHN4" s="657"/>
      <c r="QHO4" s="657"/>
      <c r="QHP4" s="657"/>
      <c r="QHQ4" s="657"/>
      <c r="QHR4" s="657"/>
      <c r="QHS4" s="657"/>
      <c r="QHT4" s="657"/>
      <c r="QHU4" s="657"/>
      <c r="QHV4" s="657"/>
      <c r="QHW4" s="657"/>
      <c r="QHX4" s="657"/>
      <c r="QHY4" s="657"/>
      <c r="QHZ4" s="657"/>
      <c r="QIA4" s="657"/>
      <c r="QIB4" s="657"/>
      <c r="QIC4" s="657"/>
      <c r="QID4" s="657"/>
      <c r="QIE4" s="657"/>
      <c r="QIF4" s="657"/>
      <c r="QIG4" s="657"/>
      <c r="QIH4" s="657"/>
      <c r="QII4" s="657"/>
      <c r="QIJ4" s="657"/>
      <c r="QIK4" s="657"/>
      <c r="QIL4" s="657"/>
      <c r="QIM4" s="657"/>
      <c r="QIN4" s="657"/>
      <c r="QIO4" s="657"/>
      <c r="QIP4" s="657"/>
      <c r="QIQ4" s="657"/>
      <c r="QIR4" s="657"/>
      <c r="QIS4" s="657"/>
      <c r="QIT4" s="657"/>
      <c r="QIU4" s="657"/>
      <c r="QIV4" s="657"/>
      <c r="QIW4" s="657"/>
      <c r="QIX4" s="657"/>
      <c r="QIY4" s="657"/>
      <c r="QIZ4" s="657"/>
      <c r="QJA4" s="657"/>
      <c r="QJB4" s="657"/>
      <c r="QJC4" s="657"/>
      <c r="QJD4" s="657"/>
      <c r="QJE4" s="657"/>
      <c r="QJF4" s="657"/>
      <c r="QJG4" s="657"/>
      <c r="QJH4" s="657"/>
      <c r="QJI4" s="657"/>
      <c r="QJJ4" s="657"/>
      <c r="QJK4" s="657"/>
      <c r="QJL4" s="657"/>
      <c r="QJM4" s="657"/>
      <c r="QJN4" s="657"/>
      <c r="QJO4" s="657"/>
      <c r="QJP4" s="657"/>
      <c r="QJQ4" s="657"/>
      <c r="QJR4" s="657"/>
      <c r="QJS4" s="657"/>
      <c r="QJT4" s="657"/>
      <c r="QJU4" s="657"/>
      <c r="QJV4" s="657"/>
      <c r="QJW4" s="657"/>
      <c r="QJX4" s="657"/>
      <c r="QJY4" s="657"/>
      <c r="QJZ4" s="657"/>
      <c r="QKA4" s="657"/>
      <c r="QKB4" s="657"/>
      <c r="QKC4" s="657"/>
      <c r="QKD4" s="657"/>
      <c r="QKE4" s="657"/>
      <c r="QKF4" s="657"/>
      <c r="QKG4" s="657"/>
      <c r="QKH4" s="657"/>
      <c r="QKI4" s="657"/>
      <c r="QKJ4" s="657"/>
      <c r="QKK4" s="657"/>
      <c r="QKL4" s="657"/>
      <c r="QKM4" s="657"/>
      <c r="QKN4" s="657"/>
      <c r="QKO4" s="657"/>
      <c r="QKP4" s="657"/>
      <c r="QKQ4" s="657"/>
      <c r="QKR4" s="657"/>
      <c r="QKS4" s="657"/>
      <c r="QKT4" s="657"/>
      <c r="QKU4" s="657"/>
      <c r="QKV4" s="657"/>
      <c r="QKW4" s="657"/>
      <c r="QKX4" s="657"/>
      <c r="QKY4" s="657"/>
      <c r="QKZ4" s="657"/>
      <c r="QLA4" s="657"/>
      <c r="QLB4" s="657"/>
      <c r="QLC4" s="657"/>
      <c r="QLD4" s="657"/>
      <c r="QLE4" s="657"/>
      <c r="QLF4" s="657"/>
      <c r="QLG4" s="657"/>
      <c r="QLH4" s="657"/>
      <c r="QLI4" s="657"/>
      <c r="QLJ4" s="657"/>
      <c r="QLK4" s="657"/>
      <c r="QLL4" s="657"/>
      <c r="QLM4" s="657"/>
      <c r="QLN4" s="657"/>
      <c r="QLO4" s="657"/>
      <c r="QLP4" s="657"/>
      <c r="QLQ4" s="657"/>
      <c r="QLR4" s="657"/>
      <c r="QLS4" s="657"/>
      <c r="QLT4" s="657"/>
      <c r="QLU4" s="657"/>
      <c r="QLV4" s="657"/>
      <c r="QLW4" s="657"/>
      <c r="QLX4" s="657"/>
      <c r="QLY4" s="657"/>
      <c r="QLZ4" s="657"/>
      <c r="QMA4" s="657"/>
      <c r="QMB4" s="657"/>
      <c r="QMC4" s="657"/>
      <c r="QMD4" s="657"/>
      <c r="QME4" s="657"/>
      <c r="QMF4" s="657"/>
      <c r="QMG4" s="657"/>
      <c r="QMH4" s="657"/>
      <c r="QMI4" s="657"/>
      <c r="QMJ4" s="657"/>
      <c r="QMK4" s="657"/>
      <c r="QML4" s="657"/>
      <c r="QMM4" s="657"/>
      <c r="QMN4" s="657"/>
      <c r="QMO4" s="657"/>
      <c r="QMP4" s="657"/>
      <c r="QMQ4" s="657"/>
      <c r="QMR4" s="657"/>
      <c r="QMS4" s="657"/>
      <c r="QMT4" s="657"/>
      <c r="QMU4" s="657"/>
      <c r="QMV4" s="657"/>
      <c r="QMW4" s="657"/>
      <c r="QMX4" s="657"/>
      <c r="QMY4" s="657"/>
      <c r="QMZ4" s="657"/>
      <c r="QNA4" s="657"/>
      <c r="QNB4" s="657"/>
      <c r="QNC4" s="657"/>
      <c r="QND4" s="657"/>
      <c r="QNE4" s="657"/>
      <c r="QNF4" s="657"/>
      <c r="QNG4" s="657"/>
      <c r="QNH4" s="657"/>
      <c r="QNI4" s="657"/>
      <c r="QNJ4" s="657"/>
      <c r="QNK4" s="657"/>
      <c r="QNL4" s="657"/>
      <c r="QNM4" s="657"/>
      <c r="QNN4" s="657"/>
      <c r="QNO4" s="657"/>
      <c r="QNP4" s="657"/>
      <c r="QNQ4" s="657"/>
      <c r="QNR4" s="657"/>
      <c r="QNS4" s="657"/>
      <c r="QNT4" s="657"/>
      <c r="QNU4" s="657"/>
      <c r="QNV4" s="657"/>
      <c r="QNW4" s="657"/>
      <c r="QNX4" s="657"/>
      <c r="QNY4" s="657"/>
      <c r="QNZ4" s="657"/>
      <c r="QOA4" s="657"/>
      <c r="QOB4" s="657"/>
      <c r="QOC4" s="657"/>
      <c r="QOD4" s="657"/>
      <c r="QOE4" s="657"/>
      <c r="QOF4" s="657"/>
      <c r="QOG4" s="657"/>
      <c r="QOH4" s="657"/>
      <c r="QOI4" s="657"/>
      <c r="QOJ4" s="657"/>
      <c r="QOK4" s="657"/>
      <c r="QOL4" s="657"/>
      <c r="QOM4" s="657"/>
      <c r="QON4" s="657"/>
      <c r="QOO4" s="657"/>
      <c r="QOP4" s="657"/>
      <c r="QOQ4" s="657"/>
      <c r="QOR4" s="657"/>
      <c r="QOS4" s="657"/>
      <c r="QOT4" s="657"/>
      <c r="QOU4" s="657"/>
      <c r="QOV4" s="657"/>
      <c r="QOW4" s="657"/>
      <c r="QOX4" s="657"/>
      <c r="QOY4" s="657"/>
      <c r="QOZ4" s="657"/>
      <c r="QPA4" s="657"/>
      <c r="QPB4" s="657"/>
      <c r="QPC4" s="657"/>
      <c r="QPD4" s="657"/>
      <c r="QPE4" s="657"/>
      <c r="QPF4" s="657"/>
      <c r="QPG4" s="657"/>
      <c r="QPH4" s="657"/>
      <c r="QPI4" s="657"/>
      <c r="QPJ4" s="657"/>
      <c r="QPK4" s="657"/>
      <c r="QPL4" s="657"/>
      <c r="QPM4" s="657"/>
      <c r="QPN4" s="657"/>
      <c r="QPO4" s="657"/>
      <c r="QPP4" s="657"/>
      <c r="QPQ4" s="657"/>
      <c r="QPR4" s="657"/>
      <c r="QPS4" s="657"/>
      <c r="QPT4" s="657"/>
      <c r="QPU4" s="657"/>
      <c r="QPV4" s="657"/>
      <c r="QPW4" s="657"/>
      <c r="QPX4" s="657"/>
      <c r="QPY4" s="657"/>
      <c r="QPZ4" s="657"/>
      <c r="QQA4" s="657"/>
      <c r="QQB4" s="657"/>
      <c r="QQC4" s="657"/>
      <c r="QQD4" s="657"/>
      <c r="QQE4" s="657"/>
      <c r="QQF4" s="657"/>
      <c r="QQG4" s="657"/>
      <c r="QQH4" s="657"/>
      <c r="QQI4" s="657"/>
      <c r="QQJ4" s="657"/>
      <c r="QQK4" s="657"/>
      <c r="QQL4" s="657"/>
      <c r="QQM4" s="657"/>
      <c r="QQN4" s="657"/>
      <c r="QQO4" s="657"/>
      <c r="QQP4" s="657"/>
      <c r="QQQ4" s="657"/>
      <c r="QQR4" s="657"/>
      <c r="QQS4" s="657"/>
      <c r="QQT4" s="657"/>
      <c r="QQU4" s="657"/>
      <c r="QQV4" s="657"/>
      <c r="QQW4" s="657"/>
      <c r="QQX4" s="657"/>
      <c r="QQY4" s="657"/>
      <c r="QQZ4" s="657"/>
      <c r="QRA4" s="657"/>
      <c r="QRB4" s="657"/>
      <c r="QRC4" s="657"/>
      <c r="QRD4" s="657"/>
      <c r="QRE4" s="657"/>
      <c r="QRF4" s="657"/>
      <c r="QRG4" s="657"/>
      <c r="QRH4" s="657"/>
      <c r="QRI4" s="657"/>
      <c r="QRJ4" s="657"/>
      <c r="QRK4" s="657"/>
      <c r="QRL4" s="657"/>
      <c r="QRM4" s="657"/>
      <c r="QRN4" s="657"/>
      <c r="QRO4" s="657"/>
      <c r="QRP4" s="657"/>
      <c r="QRQ4" s="657"/>
      <c r="QRR4" s="657"/>
      <c r="QRS4" s="657"/>
      <c r="QRT4" s="657"/>
      <c r="QRU4" s="657"/>
      <c r="QRV4" s="657"/>
      <c r="QRW4" s="657"/>
      <c r="QRX4" s="657"/>
      <c r="QRY4" s="657"/>
      <c r="QRZ4" s="657"/>
      <c r="QSA4" s="657"/>
      <c r="QSB4" s="657"/>
      <c r="QSC4" s="657"/>
      <c r="QSD4" s="657"/>
      <c r="QSE4" s="657"/>
      <c r="QSF4" s="657"/>
      <c r="QSG4" s="657"/>
      <c r="QSH4" s="657"/>
      <c r="QSI4" s="657"/>
      <c r="QSJ4" s="657"/>
      <c r="QSK4" s="657"/>
      <c r="QSL4" s="657"/>
      <c r="QSM4" s="657"/>
      <c r="QSN4" s="657"/>
      <c r="QSO4" s="657"/>
      <c r="QSP4" s="657"/>
      <c r="QSQ4" s="657"/>
      <c r="QSR4" s="657"/>
      <c r="QSS4" s="657"/>
      <c r="QST4" s="657"/>
      <c r="QSU4" s="657"/>
      <c r="QSV4" s="657"/>
      <c r="QSW4" s="657"/>
      <c r="QSX4" s="657"/>
      <c r="QSY4" s="657"/>
      <c r="QSZ4" s="657"/>
      <c r="QTA4" s="657"/>
      <c r="QTB4" s="657"/>
      <c r="QTC4" s="657"/>
      <c r="QTD4" s="657"/>
      <c r="QTE4" s="657"/>
      <c r="QTF4" s="657"/>
      <c r="QTG4" s="657"/>
      <c r="QTH4" s="657"/>
      <c r="QTI4" s="657"/>
      <c r="QTJ4" s="657"/>
      <c r="QTK4" s="657"/>
      <c r="QTL4" s="657"/>
      <c r="QTM4" s="657"/>
      <c r="QTN4" s="657"/>
      <c r="QTO4" s="657"/>
      <c r="QTP4" s="657"/>
      <c r="QTQ4" s="657"/>
      <c r="QTR4" s="657"/>
      <c r="QTS4" s="657"/>
      <c r="QTT4" s="657"/>
      <c r="QTU4" s="657"/>
      <c r="QTV4" s="657"/>
      <c r="QTW4" s="657"/>
      <c r="QTX4" s="657"/>
      <c r="QTY4" s="657"/>
      <c r="QTZ4" s="657"/>
      <c r="QUA4" s="657"/>
      <c r="QUB4" s="657"/>
      <c r="QUC4" s="657"/>
      <c r="QUD4" s="657"/>
      <c r="QUE4" s="657"/>
      <c r="QUF4" s="657"/>
      <c r="QUG4" s="657"/>
      <c r="QUH4" s="657"/>
      <c r="QUI4" s="657"/>
      <c r="QUJ4" s="657"/>
      <c r="QUK4" s="657"/>
      <c r="QUL4" s="657"/>
      <c r="QUM4" s="657"/>
      <c r="QUN4" s="657"/>
      <c r="QUO4" s="657"/>
      <c r="QUP4" s="657"/>
      <c r="QUQ4" s="657"/>
      <c r="QUR4" s="657"/>
      <c r="QUS4" s="657"/>
      <c r="QUT4" s="657"/>
      <c r="QUU4" s="657"/>
      <c r="QUV4" s="657"/>
      <c r="QUW4" s="657"/>
      <c r="QUX4" s="657"/>
      <c r="QUY4" s="657"/>
      <c r="QUZ4" s="657"/>
      <c r="QVA4" s="657"/>
      <c r="QVB4" s="657"/>
      <c r="QVC4" s="657"/>
      <c r="QVD4" s="657"/>
      <c r="QVE4" s="657"/>
      <c r="QVF4" s="657"/>
      <c r="QVG4" s="657"/>
      <c r="QVH4" s="657"/>
      <c r="QVI4" s="657"/>
      <c r="QVJ4" s="657"/>
      <c r="QVK4" s="657"/>
      <c r="QVL4" s="657"/>
      <c r="QVM4" s="657"/>
      <c r="QVN4" s="657"/>
      <c r="QVO4" s="657"/>
      <c r="QVP4" s="657"/>
      <c r="QVQ4" s="657"/>
      <c r="QVR4" s="657"/>
      <c r="QVS4" s="657"/>
      <c r="QVT4" s="657"/>
      <c r="QVU4" s="657"/>
      <c r="QVV4" s="657"/>
      <c r="QVW4" s="657"/>
      <c r="QVX4" s="657"/>
      <c r="QVY4" s="657"/>
      <c r="QVZ4" s="657"/>
      <c r="QWA4" s="657"/>
      <c r="QWB4" s="657"/>
      <c r="QWC4" s="657"/>
      <c r="QWD4" s="657"/>
      <c r="QWE4" s="657"/>
      <c r="QWF4" s="657"/>
      <c r="QWG4" s="657"/>
      <c r="QWH4" s="657"/>
      <c r="QWI4" s="657"/>
      <c r="QWJ4" s="657"/>
      <c r="QWK4" s="657"/>
      <c r="QWL4" s="657"/>
      <c r="QWM4" s="657"/>
      <c r="QWN4" s="657"/>
      <c r="QWO4" s="657"/>
      <c r="QWP4" s="657"/>
      <c r="QWQ4" s="657"/>
      <c r="QWR4" s="657"/>
      <c r="QWS4" s="657"/>
      <c r="QWT4" s="657"/>
      <c r="QWU4" s="657"/>
      <c r="QWV4" s="657"/>
      <c r="QWW4" s="657"/>
      <c r="QWX4" s="657"/>
      <c r="QWY4" s="657"/>
      <c r="QWZ4" s="657"/>
      <c r="QXA4" s="657"/>
      <c r="QXB4" s="657"/>
      <c r="QXC4" s="657"/>
      <c r="QXD4" s="657"/>
      <c r="QXE4" s="657"/>
      <c r="QXF4" s="657"/>
      <c r="QXG4" s="657"/>
      <c r="QXH4" s="657"/>
      <c r="QXI4" s="657"/>
      <c r="QXJ4" s="657"/>
      <c r="QXK4" s="657"/>
      <c r="QXL4" s="657"/>
      <c r="QXM4" s="657"/>
      <c r="QXN4" s="657"/>
      <c r="QXO4" s="657"/>
      <c r="QXP4" s="657"/>
      <c r="QXQ4" s="657"/>
      <c r="QXR4" s="657"/>
      <c r="QXS4" s="657"/>
      <c r="QXT4" s="657"/>
      <c r="QXU4" s="657"/>
      <c r="QXV4" s="657"/>
      <c r="QXW4" s="657"/>
      <c r="QXX4" s="657"/>
      <c r="QXY4" s="657"/>
      <c r="QXZ4" s="657"/>
      <c r="QYA4" s="657"/>
      <c r="QYB4" s="657"/>
      <c r="QYC4" s="657"/>
      <c r="QYD4" s="657"/>
      <c r="QYE4" s="657"/>
      <c r="QYF4" s="657"/>
      <c r="QYG4" s="657"/>
      <c r="QYH4" s="657"/>
      <c r="QYI4" s="657"/>
      <c r="QYJ4" s="657"/>
      <c r="QYK4" s="657"/>
      <c r="QYL4" s="657"/>
      <c r="QYM4" s="657"/>
      <c r="QYN4" s="657"/>
      <c r="QYO4" s="657"/>
      <c r="QYP4" s="657"/>
      <c r="QYQ4" s="657"/>
      <c r="QYR4" s="657"/>
      <c r="QYS4" s="657"/>
      <c r="QYT4" s="657"/>
      <c r="QYU4" s="657"/>
      <c r="QYV4" s="657"/>
      <c r="QYW4" s="657"/>
      <c r="QYX4" s="657"/>
      <c r="QYY4" s="657"/>
      <c r="QYZ4" s="657"/>
      <c r="QZA4" s="657"/>
      <c r="QZB4" s="657"/>
      <c r="QZC4" s="657"/>
      <c r="QZD4" s="657"/>
      <c r="QZE4" s="657"/>
      <c r="QZF4" s="657"/>
      <c r="QZG4" s="657"/>
      <c r="QZH4" s="657"/>
      <c r="QZI4" s="657"/>
      <c r="QZJ4" s="657"/>
      <c r="QZK4" s="657"/>
      <c r="QZL4" s="657"/>
      <c r="QZM4" s="657"/>
      <c r="QZN4" s="657"/>
      <c r="QZO4" s="657"/>
      <c r="QZP4" s="657"/>
      <c r="QZQ4" s="657"/>
      <c r="QZR4" s="657"/>
      <c r="QZS4" s="657"/>
      <c r="QZT4" s="657"/>
      <c r="QZU4" s="657"/>
      <c r="QZV4" s="657"/>
      <c r="QZW4" s="657"/>
      <c r="QZX4" s="657"/>
      <c r="QZY4" s="657"/>
      <c r="QZZ4" s="657"/>
      <c r="RAA4" s="657"/>
      <c r="RAB4" s="657"/>
      <c r="RAC4" s="657"/>
      <c r="RAD4" s="657"/>
      <c r="RAE4" s="657"/>
      <c r="RAF4" s="657"/>
      <c r="RAG4" s="657"/>
      <c r="RAH4" s="657"/>
      <c r="RAI4" s="657"/>
      <c r="RAJ4" s="657"/>
      <c r="RAK4" s="657"/>
      <c r="RAL4" s="657"/>
      <c r="RAM4" s="657"/>
      <c r="RAN4" s="657"/>
      <c r="RAO4" s="657"/>
      <c r="RAP4" s="657"/>
      <c r="RAQ4" s="657"/>
      <c r="RAR4" s="657"/>
      <c r="RAS4" s="657"/>
      <c r="RAT4" s="657"/>
      <c r="RAU4" s="657"/>
      <c r="RAV4" s="657"/>
      <c r="RAW4" s="657"/>
      <c r="RAX4" s="657"/>
      <c r="RAY4" s="657"/>
      <c r="RAZ4" s="657"/>
      <c r="RBA4" s="657"/>
      <c r="RBB4" s="657"/>
      <c r="RBC4" s="657"/>
      <c r="RBD4" s="657"/>
      <c r="RBE4" s="657"/>
      <c r="RBF4" s="657"/>
      <c r="RBG4" s="657"/>
      <c r="RBH4" s="657"/>
      <c r="RBI4" s="657"/>
      <c r="RBJ4" s="657"/>
      <c r="RBK4" s="657"/>
      <c r="RBL4" s="657"/>
      <c r="RBM4" s="657"/>
      <c r="RBN4" s="657"/>
      <c r="RBO4" s="657"/>
      <c r="RBP4" s="657"/>
      <c r="RBQ4" s="657"/>
      <c r="RBR4" s="657"/>
      <c r="RBS4" s="657"/>
      <c r="RBT4" s="657"/>
      <c r="RBU4" s="657"/>
      <c r="RBV4" s="657"/>
      <c r="RBW4" s="657"/>
      <c r="RBX4" s="657"/>
      <c r="RBY4" s="657"/>
      <c r="RBZ4" s="657"/>
      <c r="RCA4" s="657"/>
      <c r="RCB4" s="657"/>
      <c r="RCC4" s="657"/>
      <c r="RCD4" s="657"/>
      <c r="RCE4" s="657"/>
      <c r="RCF4" s="657"/>
      <c r="RCG4" s="657"/>
      <c r="RCH4" s="657"/>
      <c r="RCI4" s="657"/>
      <c r="RCJ4" s="657"/>
      <c r="RCK4" s="657"/>
      <c r="RCL4" s="657"/>
      <c r="RCM4" s="657"/>
      <c r="RCN4" s="657"/>
      <c r="RCO4" s="657"/>
      <c r="RCP4" s="657"/>
      <c r="RCQ4" s="657"/>
      <c r="RCR4" s="657"/>
      <c r="RCS4" s="657"/>
      <c r="RCT4" s="657"/>
      <c r="RCU4" s="657"/>
      <c r="RCV4" s="657"/>
      <c r="RCW4" s="657"/>
      <c r="RCX4" s="657"/>
      <c r="RCY4" s="657"/>
      <c r="RCZ4" s="657"/>
      <c r="RDA4" s="657"/>
      <c r="RDB4" s="657"/>
      <c r="RDC4" s="657"/>
      <c r="RDD4" s="657"/>
      <c r="RDE4" s="657"/>
      <c r="RDF4" s="657"/>
      <c r="RDG4" s="657"/>
      <c r="RDH4" s="657"/>
      <c r="RDI4" s="657"/>
      <c r="RDJ4" s="657"/>
      <c r="RDK4" s="657"/>
      <c r="RDL4" s="657"/>
      <c r="RDM4" s="657"/>
      <c r="RDN4" s="657"/>
      <c r="RDO4" s="657"/>
      <c r="RDP4" s="657"/>
      <c r="RDQ4" s="657"/>
      <c r="RDR4" s="657"/>
      <c r="RDS4" s="657"/>
      <c r="RDT4" s="657"/>
      <c r="RDU4" s="657"/>
      <c r="RDV4" s="657"/>
      <c r="RDW4" s="657"/>
      <c r="RDX4" s="657"/>
      <c r="RDY4" s="657"/>
      <c r="RDZ4" s="657"/>
      <c r="REA4" s="657"/>
      <c r="REB4" s="657"/>
      <c r="REC4" s="657"/>
      <c r="RED4" s="657"/>
      <c r="REE4" s="657"/>
      <c r="REF4" s="657"/>
      <c r="REG4" s="657"/>
      <c r="REH4" s="657"/>
      <c r="REI4" s="657"/>
      <c r="REJ4" s="657"/>
      <c r="REK4" s="657"/>
      <c r="REL4" s="657"/>
      <c r="REM4" s="657"/>
      <c r="REN4" s="657"/>
      <c r="REO4" s="657"/>
      <c r="REP4" s="657"/>
      <c r="REQ4" s="657"/>
      <c r="RER4" s="657"/>
      <c r="RES4" s="657"/>
      <c r="RET4" s="657"/>
      <c r="REU4" s="657"/>
      <c r="REV4" s="657"/>
      <c r="REW4" s="657"/>
      <c r="REX4" s="657"/>
      <c r="REY4" s="657"/>
      <c r="REZ4" s="657"/>
      <c r="RFA4" s="657"/>
      <c r="RFB4" s="657"/>
      <c r="RFC4" s="657"/>
      <c r="RFD4" s="657"/>
      <c r="RFE4" s="657"/>
      <c r="RFF4" s="657"/>
      <c r="RFG4" s="657"/>
      <c r="RFH4" s="657"/>
      <c r="RFI4" s="657"/>
      <c r="RFJ4" s="657"/>
      <c r="RFK4" s="657"/>
      <c r="RFL4" s="657"/>
      <c r="RFM4" s="657"/>
      <c r="RFN4" s="657"/>
      <c r="RFO4" s="657"/>
      <c r="RFP4" s="657"/>
      <c r="RFQ4" s="657"/>
      <c r="RFR4" s="657"/>
      <c r="RFS4" s="657"/>
      <c r="RFT4" s="657"/>
      <c r="RFU4" s="657"/>
      <c r="RFV4" s="657"/>
      <c r="RFW4" s="657"/>
      <c r="RFX4" s="657"/>
      <c r="RFY4" s="657"/>
      <c r="RFZ4" s="657"/>
      <c r="RGA4" s="657"/>
      <c r="RGB4" s="657"/>
      <c r="RGC4" s="657"/>
      <c r="RGD4" s="657"/>
      <c r="RGE4" s="657"/>
      <c r="RGF4" s="657"/>
      <c r="RGG4" s="657"/>
      <c r="RGH4" s="657"/>
      <c r="RGI4" s="657"/>
      <c r="RGJ4" s="657"/>
      <c r="RGK4" s="657"/>
      <c r="RGL4" s="657"/>
      <c r="RGM4" s="657"/>
      <c r="RGN4" s="657"/>
      <c r="RGO4" s="657"/>
      <c r="RGP4" s="657"/>
      <c r="RGQ4" s="657"/>
      <c r="RGR4" s="657"/>
      <c r="RGS4" s="657"/>
      <c r="RGT4" s="657"/>
      <c r="RGU4" s="657"/>
      <c r="RGV4" s="657"/>
      <c r="RGW4" s="657"/>
      <c r="RGX4" s="657"/>
      <c r="RGY4" s="657"/>
      <c r="RGZ4" s="657"/>
      <c r="RHA4" s="657"/>
      <c r="RHB4" s="657"/>
      <c r="RHC4" s="657"/>
      <c r="RHD4" s="657"/>
      <c r="RHE4" s="657"/>
      <c r="RHF4" s="657"/>
      <c r="RHG4" s="657"/>
      <c r="RHH4" s="657"/>
      <c r="RHI4" s="657"/>
      <c r="RHJ4" s="657"/>
      <c r="RHK4" s="657"/>
      <c r="RHL4" s="657"/>
      <c r="RHM4" s="657"/>
      <c r="RHN4" s="657"/>
      <c r="RHO4" s="657"/>
      <c r="RHP4" s="657"/>
      <c r="RHQ4" s="657"/>
      <c r="RHR4" s="657"/>
      <c r="RHS4" s="657"/>
      <c r="RHT4" s="657"/>
      <c r="RHU4" s="657"/>
      <c r="RHV4" s="657"/>
      <c r="RHW4" s="657"/>
      <c r="RHX4" s="657"/>
      <c r="RHY4" s="657"/>
      <c r="RHZ4" s="657"/>
      <c r="RIA4" s="657"/>
      <c r="RIB4" s="657"/>
      <c r="RIC4" s="657"/>
      <c r="RID4" s="657"/>
      <c r="RIE4" s="657"/>
      <c r="RIF4" s="657"/>
      <c r="RIG4" s="657"/>
      <c r="RIH4" s="657"/>
      <c r="RII4" s="657"/>
      <c r="RIJ4" s="657"/>
      <c r="RIK4" s="657"/>
      <c r="RIL4" s="657"/>
      <c r="RIM4" s="657"/>
      <c r="RIN4" s="657"/>
      <c r="RIO4" s="657"/>
      <c r="RIP4" s="657"/>
      <c r="RIQ4" s="657"/>
      <c r="RIR4" s="657"/>
      <c r="RIS4" s="657"/>
      <c r="RIT4" s="657"/>
      <c r="RIU4" s="657"/>
      <c r="RIV4" s="657"/>
      <c r="RIW4" s="657"/>
      <c r="RIX4" s="657"/>
      <c r="RIY4" s="657"/>
      <c r="RIZ4" s="657"/>
      <c r="RJA4" s="657"/>
      <c r="RJB4" s="657"/>
      <c r="RJC4" s="657"/>
      <c r="RJD4" s="657"/>
      <c r="RJE4" s="657"/>
      <c r="RJF4" s="657"/>
      <c r="RJG4" s="657"/>
      <c r="RJH4" s="657"/>
      <c r="RJI4" s="657"/>
      <c r="RJJ4" s="657"/>
      <c r="RJK4" s="657"/>
      <c r="RJL4" s="657"/>
      <c r="RJM4" s="657"/>
      <c r="RJN4" s="657"/>
      <c r="RJO4" s="657"/>
      <c r="RJP4" s="657"/>
      <c r="RJQ4" s="657"/>
      <c r="RJR4" s="657"/>
      <c r="RJS4" s="657"/>
      <c r="RJT4" s="657"/>
      <c r="RJU4" s="657"/>
      <c r="RJV4" s="657"/>
      <c r="RJW4" s="657"/>
      <c r="RJX4" s="657"/>
      <c r="RJY4" s="657"/>
      <c r="RJZ4" s="657"/>
      <c r="RKA4" s="657"/>
      <c r="RKB4" s="657"/>
      <c r="RKC4" s="657"/>
      <c r="RKD4" s="657"/>
      <c r="RKE4" s="657"/>
      <c r="RKF4" s="657"/>
      <c r="RKG4" s="657"/>
      <c r="RKH4" s="657"/>
      <c r="RKI4" s="657"/>
      <c r="RKJ4" s="657"/>
      <c r="RKK4" s="657"/>
      <c r="RKL4" s="657"/>
      <c r="RKM4" s="657"/>
      <c r="RKN4" s="657"/>
      <c r="RKO4" s="657"/>
      <c r="RKP4" s="657"/>
      <c r="RKQ4" s="657"/>
      <c r="RKR4" s="657"/>
      <c r="RKS4" s="657"/>
      <c r="RKT4" s="657"/>
      <c r="RKU4" s="657"/>
      <c r="RKV4" s="657"/>
      <c r="RKW4" s="657"/>
      <c r="RKX4" s="657"/>
      <c r="RKY4" s="657"/>
      <c r="RKZ4" s="657"/>
      <c r="RLA4" s="657"/>
      <c r="RLB4" s="657"/>
      <c r="RLC4" s="657"/>
      <c r="RLD4" s="657"/>
      <c r="RLE4" s="657"/>
      <c r="RLF4" s="657"/>
      <c r="RLG4" s="657"/>
      <c r="RLH4" s="657"/>
      <c r="RLI4" s="657"/>
      <c r="RLJ4" s="657"/>
      <c r="RLK4" s="657"/>
      <c r="RLL4" s="657"/>
      <c r="RLM4" s="657"/>
      <c r="RLN4" s="657"/>
      <c r="RLO4" s="657"/>
      <c r="RLP4" s="657"/>
      <c r="RLQ4" s="657"/>
      <c r="RLR4" s="657"/>
      <c r="RLS4" s="657"/>
      <c r="RLT4" s="657"/>
      <c r="RLU4" s="657"/>
      <c r="RLV4" s="657"/>
      <c r="RLW4" s="657"/>
      <c r="RLX4" s="657"/>
      <c r="RLY4" s="657"/>
      <c r="RLZ4" s="657"/>
      <c r="RMA4" s="657"/>
      <c r="RMB4" s="657"/>
      <c r="RMC4" s="657"/>
      <c r="RMD4" s="657"/>
      <c r="RME4" s="657"/>
      <c r="RMF4" s="657"/>
      <c r="RMG4" s="657"/>
      <c r="RMH4" s="657"/>
      <c r="RMI4" s="657"/>
      <c r="RMJ4" s="657"/>
      <c r="RMK4" s="657"/>
      <c r="RML4" s="657"/>
      <c r="RMM4" s="657"/>
      <c r="RMN4" s="657"/>
      <c r="RMO4" s="657"/>
      <c r="RMP4" s="657"/>
      <c r="RMQ4" s="657"/>
      <c r="RMR4" s="657"/>
      <c r="RMS4" s="657"/>
      <c r="RMT4" s="657"/>
      <c r="RMU4" s="657"/>
      <c r="RMV4" s="657"/>
      <c r="RMW4" s="657"/>
      <c r="RMX4" s="657"/>
      <c r="RMY4" s="657"/>
      <c r="RMZ4" s="657"/>
      <c r="RNA4" s="657"/>
      <c r="RNB4" s="657"/>
      <c r="RNC4" s="657"/>
      <c r="RND4" s="657"/>
      <c r="RNE4" s="657"/>
      <c r="RNF4" s="657"/>
      <c r="RNG4" s="657"/>
      <c r="RNH4" s="657"/>
      <c r="RNI4" s="657"/>
      <c r="RNJ4" s="657"/>
      <c r="RNK4" s="657"/>
      <c r="RNL4" s="657"/>
      <c r="RNM4" s="657"/>
      <c r="RNN4" s="657"/>
      <c r="RNO4" s="657"/>
      <c r="RNP4" s="657"/>
      <c r="RNQ4" s="657"/>
      <c r="RNR4" s="657"/>
      <c r="RNS4" s="657"/>
      <c r="RNT4" s="657"/>
      <c r="RNU4" s="657"/>
      <c r="RNV4" s="657"/>
      <c r="RNW4" s="657"/>
      <c r="RNX4" s="657"/>
      <c r="RNY4" s="657"/>
      <c r="RNZ4" s="657"/>
      <c r="ROA4" s="657"/>
      <c r="ROB4" s="657"/>
      <c r="ROC4" s="657"/>
      <c r="ROD4" s="657"/>
      <c r="ROE4" s="657"/>
      <c r="ROF4" s="657"/>
      <c r="ROG4" s="657"/>
      <c r="ROH4" s="657"/>
      <c r="ROI4" s="657"/>
      <c r="ROJ4" s="657"/>
      <c r="ROK4" s="657"/>
      <c r="ROL4" s="657"/>
      <c r="ROM4" s="657"/>
      <c r="RON4" s="657"/>
      <c r="ROO4" s="657"/>
      <c r="ROP4" s="657"/>
      <c r="ROQ4" s="657"/>
      <c r="ROR4" s="657"/>
      <c r="ROS4" s="657"/>
      <c r="ROT4" s="657"/>
      <c r="ROU4" s="657"/>
      <c r="ROV4" s="657"/>
      <c r="ROW4" s="657"/>
      <c r="ROX4" s="657"/>
      <c r="ROY4" s="657"/>
      <c r="ROZ4" s="657"/>
      <c r="RPA4" s="657"/>
      <c r="RPB4" s="657"/>
      <c r="RPC4" s="657"/>
      <c r="RPD4" s="657"/>
      <c r="RPE4" s="657"/>
      <c r="RPF4" s="657"/>
      <c r="RPG4" s="657"/>
      <c r="RPH4" s="657"/>
      <c r="RPI4" s="657"/>
      <c r="RPJ4" s="657"/>
      <c r="RPK4" s="657"/>
      <c r="RPL4" s="657"/>
      <c r="RPM4" s="657"/>
      <c r="RPN4" s="657"/>
      <c r="RPO4" s="657"/>
      <c r="RPP4" s="657"/>
      <c r="RPQ4" s="657"/>
      <c r="RPR4" s="657"/>
      <c r="RPS4" s="657"/>
      <c r="RPT4" s="657"/>
      <c r="RPU4" s="657"/>
      <c r="RPV4" s="657"/>
      <c r="RPW4" s="657"/>
      <c r="RPX4" s="657"/>
      <c r="RPY4" s="657"/>
      <c r="RPZ4" s="657"/>
      <c r="RQA4" s="657"/>
      <c r="RQB4" s="657"/>
      <c r="RQC4" s="657"/>
      <c r="RQD4" s="657"/>
      <c r="RQE4" s="657"/>
      <c r="RQF4" s="657"/>
      <c r="RQG4" s="657"/>
      <c r="RQH4" s="657"/>
      <c r="RQI4" s="657"/>
      <c r="RQJ4" s="657"/>
      <c r="RQK4" s="657"/>
      <c r="RQL4" s="657"/>
      <c r="RQM4" s="657"/>
      <c r="RQN4" s="657"/>
      <c r="RQO4" s="657"/>
      <c r="RQP4" s="657"/>
      <c r="RQQ4" s="657"/>
      <c r="RQR4" s="657"/>
      <c r="RQS4" s="657"/>
      <c r="RQT4" s="657"/>
      <c r="RQU4" s="657"/>
      <c r="RQV4" s="657"/>
      <c r="RQW4" s="657"/>
      <c r="RQX4" s="657"/>
      <c r="RQY4" s="657"/>
      <c r="RQZ4" s="657"/>
      <c r="RRA4" s="657"/>
      <c r="RRB4" s="657"/>
      <c r="RRC4" s="657"/>
      <c r="RRD4" s="657"/>
      <c r="RRE4" s="657"/>
      <c r="RRF4" s="657"/>
      <c r="RRG4" s="657"/>
      <c r="RRH4" s="657"/>
      <c r="RRI4" s="657"/>
      <c r="RRJ4" s="657"/>
      <c r="RRK4" s="657"/>
      <c r="RRL4" s="657"/>
      <c r="RRM4" s="657"/>
      <c r="RRN4" s="657"/>
      <c r="RRO4" s="657"/>
      <c r="RRP4" s="657"/>
      <c r="RRQ4" s="657"/>
      <c r="RRR4" s="657"/>
      <c r="RRS4" s="657"/>
      <c r="RRT4" s="657"/>
      <c r="RRU4" s="657"/>
      <c r="RRV4" s="657"/>
      <c r="RRW4" s="657"/>
      <c r="RRX4" s="657"/>
      <c r="RRY4" s="657"/>
      <c r="RRZ4" s="657"/>
      <c r="RSA4" s="657"/>
      <c r="RSB4" s="657"/>
      <c r="RSC4" s="657"/>
      <c r="RSD4" s="657"/>
      <c r="RSE4" s="657"/>
      <c r="RSF4" s="657"/>
      <c r="RSG4" s="657"/>
      <c r="RSH4" s="657"/>
      <c r="RSI4" s="657"/>
      <c r="RSJ4" s="657"/>
      <c r="RSK4" s="657"/>
      <c r="RSL4" s="657"/>
      <c r="RSM4" s="657"/>
      <c r="RSN4" s="657"/>
      <c r="RSO4" s="657"/>
      <c r="RSP4" s="657"/>
      <c r="RSQ4" s="657"/>
      <c r="RSR4" s="657"/>
      <c r="RSS4" s="657"/>
      <c r="RST4" s="657"/>
      <c r="RSU4" s="657"/>
      <c r="RSV4" s="657"/>
      <c r="RSW4" s="657"/>
      <c r="RSX4" s="657"/>
      <c r="RSY4" s="657"/>
      <c r="RSZ4" s="657"/>
      <c r="RTA4" s="657"/>
      <c r="RTB4" s="657"/>
      <c r="RTC4" s="657"/>
      <c r="RTD4" s="657"/>
      <c r="RTE4" s="657"/>
      <c r="RTF4" s="657"/>
      <c r="RTG4" s="657"/>
      <c r="RTH4" s="657"/>
      <c r="RTI4" s="657"/>
      <c r="RTJ4" s="657"/>
      <c r="RTK4" s="657"/>
      <c r="RTL4" s="657"/>
      <c r="RTM4" s="657"/>
      <c r="RTN4" s="657"/>
      <c r="RTO4" s="657"/>
      <c r="RTP4" s="657"/>
      <c r="RTQ4" s="657"/>
      <c r="RTR4" s="657"/>
      <c r="RTS4" s="657"/>
      <c r="RTT4" s="657"/>
      <c r="RTU4" s="657"/>
      <c r="RTV4" s="657"/>
      <c r="RTW4" s="657"/>
      <c r="RTX4" s="657"/>
      <c r="RTY4" s="657"/>
      <c r="RTZ4" s="657"/>
      <c r="RUA4" s="657"/>
      <c r="RUB4" s="657"/>
      <c r="RUC4" s="657"/>
      <c r="RUD4" s="657"/>
      <c r="RUE4" s="657"/>
      <c r="RUF4" s="657"/>
      <c r="RUG4" s="657"/>
      <c r="RUH4" s="657"/>
      <c r="RUI4" s="657"/>
      <c r="RUJ4" s="657"/>
      <c r="RUK4" s="657"/>
      <c r="RUL4" s="657"/>
      <c r="RUM4" s="657"/>
      <c r="RUN4" s="657"/>
      <c r="RUO4" s="657"/>
      <c r="RUP4" s="657"/>
      <c r="RUQ4" s="657"/>
      <c r="RUR4" s="657"/>
      <c r="RUS4" s="657"/>
      <c r="RUT4" s="657"/>
      <c r="RUU4" s="657"/>
      <c r="RUV4" s="657"/>
      <c r="RUW4" s="657"/>
      <c r="RUX4" s="657"/>
      <c r="RUY4" s="657"/>
      <c r="RUZ4" s="657"/>
      <c r="RVA4" s="657"/>
      <c r="RVB4" s="657"/>
      <c r="RVC4" s="657"/>
      <c r="RVD4" s="657"/>
      <c r="RVE4" s="657"/>
      <c r="RVF4" s="657"/>
      <c r="RVG4" s="657"/>
      <c r="RVH4" s="657"/>
      <c r="RVI4" s="657"/>
      <c r="RVJ4" s="657"/>
      <c r="RVK4" s="657"/>
      <c r="RVL4" s="657"/>
      <c r="RVM4" s="657"/>
      <c r="RVN4" s="657"/>
      <c r="RVO4" s="657"/>
      <c r="RVP4" s="657"/>
      <c r="RVQ4" s="657"/>
      <c r="RVR4" s="657"/>
      <c r="RVS4" s="657"/>
      <c r="RVT4" s="657"/>
      <c r="RVU4" s="657"/>
      <c r="RVV4" s="657"/>
      <c r="RVW4" s="657"/>
      <c r="RVX4" s="657"/>
      <c r="RVY4" s="657"/>
      <c r="RVZ4" s="657"/>
      <c r="RWA4" s="657"/>
      <c r="RWB4" s="657"/>
      <c r="RWC4" s="657"/>
      <c r="RWD4" s="657"/>
      <c r="RWE4" s="657"/>
      <c r="RWF4" s="657"/>
      <c r="RWG4" s="657"/>
      <c r="RWH4" s="657"/>
      <c r="RWI4" s="657"/>
      <c r="RWJ4" s="657"/>
      <c r="RWK4" s="657"/>
      <c r="RWL4" s="657"/>
      <c r="RWM4" s="657"/>
      <c r="RWN4" s="657"/>
      <c r="RWO4" s="657"/>
      <c r="RWP4" s="657"/>
      <c r="RWQ4" s="657"/>
      <c r="RWR4" s="657"/>
      <c r="RWS4" s="657"/>
      <c r="RWT4" s="657"/>
      <c r="RWU4" s="657"/>
      <c r="RWV4" s="657"/>
      <c r="RWW4" s="657"/>
      <c r="RWX4" s="657"/>
      <c r="RWY4" s="657"/>
      <c r="RWZ4" s="657"/>
      <c r="RXA4" s="657"/>
      <c r="RXB4" s="657"/>
      <c r="RXC4" s="657"/>
      <c r="RXD4" s="657"/>
      <c r="RXE4" s="657"/>
      <c r="RXF4" s="657"/>
      <c r="RXG4" s="657"/>
      <c r="RXH4" s="657"/>
      <c r="RXI4" s="657"/>
      <c r="RXJ4" s="657"/>
      <c r="RXK4" s="657"/>
      <c r="RXL4" s="657"/>
      <c r="RXM4" s="657"/>
      <c r="RXN4" s="657"/>
      <c r="RXO4" s="657"/>
      <c r="RXP4" s="657"/>
      <c r="RXQ4" s="657"/>
      <c r="RXR4" s="657"/>
      <c r="RXS4" s="657"/>
      <c r="RXT4" s="657"/>
      <c r="RXU4" s="657"/>
      <c r="RXV4" s="657"/>
      <c r="RXW4" s="657"/>
      <c r="RXX4" s="657"/>
      <c r="RXY4" s="657"/>
      <c r="RXZ4" s="657"/>
      <c r="RYA4" s="657"/>
      <c r="RYB4" s="657"/>
      <c r="RYC4" s="657"/>
      <c r="RYD4" s="657"/>
      <c r="RYE4" s="657"/>
      <c r="RYF4" s="657"/>
      <c r="RYG4" s="657"/>
      <c r="RYH4" s="657"/>
      <c r="RYI4" s="657"/>
      <c r="RYJ4" s="657"/>
      <c r="RYK4" s="657"/>
      <c r="RYL4" s="657"/>
      <c r="RYM4" s="657"/>
      <c r="RYN4" s="657"/>
      <c r="RYO4" s="657"/>
      <c r="RYP4" s="657"/>
      <c r="RYQ4" s="657"/>
      <c r="RYR4" s="657"/>
      <c r="RYS4" s="657"/>
      <c r="RYT4" s="657"/>
      <c r="RYU4" s="657"/>
      <c r="RYV4" s="657"/>
      <c r="RYW4" s="657"/>
      <c r="RYX4" s="657"/>
      <c r="RYY4" s="657"/>
      <c r="RYZ4" s="657"/>
      <c r="RZA4" s="657"/>
      <c r="RZB4" s="657"/>
      <c r="RZC4" s="657"/>
      <c r="RZD4" s="657"/>
      <c r="RZE4" s="657"/>
      <c r="RZF4" s="657"/>
      <c r="RZG4" s="657"/>
      <c r="RZH4" s="657"/>
      <c r="RZI4" s="657"/>
      <c r="RZJ4" s="657"/>
      <c r="RZK4" s="657"/>
      <c r="RZL4" s="657"/>
      <c r="RZM4" s="657"/>
      <c r="RZN4" s="657"/>
      <c r="RZO4" s="657"/>
      <c r="RZP4" s="657"/>
      <c r="RZQ4" s="657"/>
      <c r="RZR4" s="657"/>
      <c r="RZS4" s="657"/>
      <c r="RZT4" s="657"/>
      <c r="RZU4" s="657"/>
      <c r="RZV4" s="657"/>
      <c r="RZW4" s="657"/>
      <c r="RZX4" s="657"/>
      <c r="RZY4" s="657"/>
      <c r="RZZ4" s="657"/>
      <c r="SAA4" s="657"/>
      <c r="SAB4" s="657"/>
      <c r="SAC4" s="657"/>
      <c r="SAD4" s="657"/>
      <c r="SAE4" s="657"/>
      <c r="SAF4" s="657"/>
      <c r="SAG4" s="657"/>
      <c r="SAH4" s="657"/>
      <c r="SAI4" s="657"/>
      <c r="SAJ4" s="657"/>
      <c r="SAK4" s="657"/>
      <c r="SAL4" s="657"/>
      <c r="SAM4" s="657"/>
      <c r="SAN4" s="657"/>
      <c r="SAO4" s="657"/>
      <c r="SAP4" s="657"/>
      <c r="SAQ4" s="657"/>
      <c r="SAR4" s="657"/>
      <c r="SAS4" s="657"/>
      <c r="SAT4" s="657"/>
      <c r="SAU4" s="657"/>
      <c r="SAV4" s="657"/>
      <c r="SAW4" s="657"/>
      <c r="SAX4" s="657"/>
      <c r="SAY4" s="657"/>
      <c r="SAZ4" s="657"/>
      <c r="SBA4" s="657"/>
      <c r="SBB4" s="657"/>
      <c r="SBC4" s="657"/>
      <c r="SBD4" s="657"/>
      <c r="SBE4" s="657"/>
      <c r="SBF4" s="657"/>
      <c r="SBG4" s="657"/>
      <c r="SBH4" s="657"/>
      <c r="SBI4" s="657"/>
      <c r="SBJ4" s="657"/>
      <c r="SBK4" s="657"/>
      <c r="SBL4" s="657"/>
      <c r="SBM4" s="657"/>
      <c r="SBN4" s="657"/>
      <c r="SBO4" s="657"/>
      <c r="SBP4" s="657"/>
      <c r="SBQ4" s="657"/>
      <c r="SBR4" s="657"/>
      <c r="SBS4" s="657"/>
      <c r="SBT4" s="657"/>
      <c r="SBU4" s="657"/>
      <c r="SBV4" s="657"/>
      <c r="SBW4" s="657"/>
      <c r="SBX4" s="657"/>
      <c r="SBY4" s="657"/>
      <c r="SBZ4" s="657"/>
      <c r="SCA4" s="657"/>
      <c r="SCB4" s="657"/>
      <c r="SCC4" s="657"/>
      <c r="SCD4" s="657"/>
      <c r="SCE4" s="657"/>
      <c r="SCF4" s="657"/>
      <c r="SCG4" s="657"/>
      <c r="SCH4" s="657"/>
      <c r="SCI4" s="657"/>
      <c r="SCJ4" s="657"/>
      <c r="SCK4" s="657"/>
      <c r="SCL4" s="657"/>
      <c r="SCM4" s="657"/>
      <c r="SCN4" s="657"/>
      <c r="SCO4" s="657"/>
      <c r="SCP4" s="657"/>
      <c r="SCQ4" s="657"/>
      <c r="SCR4" s="657"/>
      <c r="SCS4" s="657"/>
      <c r="SCT4" s="657"/>
      <c r="SCU4" s="657"/>
      <c r="SCV4" s="657"/>
      <c r="SCW4" s="657"/>
      <c r="SCX4" s="657"/>
      <c r="SCY4" s="657"/>
      <c r="SCZ4" s="657"/>
      <c r="SDA4" s="657"/>
      <c r="SDB4" s="657"/>
      <c r="SDC4" s="657"/>
      <c r="SDD4" s="657"/>
      <c r="SDE4" s="657"/>
      <c r="SDF4" s="657"/>
      <c r="SDG4" s="657"/>
      <c r="SDH4" s="657"/>
      <c r="SDI4" s="657"/>
      <c r="SDJ4" s="657"/>
      <c r="SDK4" s="657"/>
      <c r="SDL4" s="657"/>
      <c r="SDM4" s="657"/>
      <c r="SDN4" s="657"/>
      <c r="SDO4" s="657"/>
      <c r="SDP4" s="657"/>
      <c r="SDQ4" s="657"/>
      <c r="SDR4" s="657"/>
      <c r="SDS4" s="657"/>
      <c r="SDT4" s="657"/>
      <c r="SDU4" s="657"/>
      <c r="SDV4" s="657"/>
      <c r="SDW4" s="657"/>
      <c r="SDX4" s="657"/>
      <c r="SDY4" s="657"/>
      <c r="SDZ4" s="657"/>
      <c r="SEA4" s="657"/>
      <c r="SEB4" s="657"/>
      <c r="SEC4" s="657"/>
      <c r="SED4" s="657"/>
      <c r="SEE4" s="657"/>
      <c r="SEF4" s="657"/>
      <c r="SEG4" s="657"/>
      <c r="SEH4" s="657"/>
      <c r="SEI4" s="657"/>
      <c r="SEJ4" s="657"/>
      <c r="SEK4" s="657"/>
      <c r="SEL4" s="657"/>
      <c r="SEM4" s="657"/>
      <c r="SEN4" s="657"/>
      <c r="SEO4" s="657"/>
      <c r="SEP4" s="657"/>
      <c r="SEQ4" s="657"/>
      <c r="SER4" s="657"/>
      <c r="SES4" s="657"/>
      <c r="SET4" s="657"/>
      <c r="SEU4" s="657"/>
      <c r="SEV4" s="657"/>
      <c r="SEW4" s="657"/>
      <c r="SEX4" s="657"/>
      <c r="SEY4" s="657"/>
      <c r="SEZ4" s="657"/>
      <c r="SFA4" s="657"/>
      <c r="SFB4" s="657"/>
      <c r="SFC4" s="657"/>
      <c r="SFD4" s="657"/>
      <c r="SFE4" s="657"/>
      <c r="SFF4" s="657"/>
      <c r="SFG4" s="657"/>
      <c r="SFH4" s="657"/>
      <c r="SFI4" s="657"/>
      <c r="SFJ4" s="657"/>
      <c r="SFK4" s="657"/>
      <c r="SFL4" s="657"/>
      <c r="SFM4" s="657"/>
      <c r="SFN4" s="657"/>
      <c r="SFO4" s="657"/>
      <c r="SFP4" s="657"/>
      <c r="SFQ4" s="657"/>
      <c r="SFR4" s="657"/>
      <c r="SFS4" s="657"/>
      <c r="SFT4" s="657"/>
      <c r="SFU4" s="657"/>
      <c r="SFV4" s="657"/>
      <c r="SFW4" s="657"/>
      <c r="SFX4" s="657"/>
      <c r="SFY4" s="657"/>
      <c r="SFZ4" s="657"/>
      <c r="SGA4" s="657"/>
      <c r="SGB4" s="657"/>
      <c r="SGC4" s="657"/>
      <c r="SGD4" s="657"/>
      <c r="SGE4" s="657"/>
      <c r="SGF4" s="657"/>
      <c r="SGG4" s="657"/>
      <c r="SGH4" s="657"/>
      <c r="SGI4" s="657"/>
      <c r="SGJ4" s="657"/>
      <c r="SGK4" s="657"/>
      <c r="SGL4" s="657"/>
      <c r="SGM4" s="657"/>
      <c r="SGN4" s="657"/>
      <c r="SGO4" s="657"/>
      <c r="SGP4" s="657"/>
      <c r="SGQ4" s="657"/>
      <c r="SGR4" s="657"/>
      <c r="SGS4" s="657"/>
      <c r="SGT4" s="657"/>
      <c r="SGU4" s="657"/>
      <c r="SGV4" s="657"/>
      <c r="SGW4" s="657"/>
      <c r="SGX4" s="657"/>
      <c r="SGY4" s="657"/>
      <c r="SGZ4" s="657"/>
      <c r="SHA4" s="657"/>
      <c r="SHB4" s="657"/>
      <c r="SHC4" s="657"/>
      <c r="SHD4" s="657"/>
      <c r="SHE4" s="657"/>
      <c r="SHF4" s="657"/>
      <c r="SHG4" s="657"/>
      <c r="SHH4" s="657"/>
      <c r="SHI4" s="657"/>
      <c r="SHJ4" s="657"/>
      <c r="SHK4" s="657"/>
      <c r="SHL4" s="657"/>
      <c r="SHM4" s="657"/>
      <c r="SHN4" s="657"/>
      <c r="SHO4" s="657"/>
      <c r="SHP4" s="657"/>
      <c r="SHQ4" s="657"/>
      <c r="SHR4" s="657"/>
      <c r="SHS4" s="657"/>
      <c r="SHT4" s="657"/>
      <c r="SHU4" s="657"/>
      <c r="SHV4" s="657"/>
      <c r="SHW4" s="657"/>
      <c r="SHX4" s="657"/>
      <c r="SHY4" s="657"/>
      <c r="SHZ4" s="657"/>
      <c r="SIA4" s="657"/>
      <c r="SIB4" s="657"/>
      <c r="SIC4" s="657"/>
      <c r="SID4" s="657"/>
      <c r="SIE4" s="657"/>
      <c r="SIF4" s="657"/>
      <c r="SIG4" s="657"/>
      <c r="SIH4" s="657"/>
      <c r="SII4" s="657"/>
      <c r="SIJ4" s="657"/>
      <c r="SIK4" s="657"/>
      <c r="SIL4" s="657"/>
      <c r="SIM4" s="657"/>
      <c r="SIN4" s="657"/>
      <c r="SIO4" s="657"/>
      <c r="SIP4" s="657"/>
      <c r="SIQ4" s="657"/>
      <c r="SIR4" s="657"/>
      <c r="SIS4" s="657"/>
      <c r="SIT4" s="657"/>
      <c r="SIU4" s="657"/>
      <c r="SIV4" s="657"/>
      <c r="SIW4" s="657"/>
      <c r="SIX4" s="657"/>
      <c r="SIY4" s="657"/>
      <c r="SIZ4" s="657"/>
      <c r="SJA4" s="657"/>
      <c r="SJB4" s="657"/>
      <c r="SJC4" s="657"/>
      <c r="SJD4" s="657"/>
      <c r="SJE4" s="657"/>
      <c r="SJF4" s="657"/>
      <c r="SJG4" s="657"/>
      <c r="SJH4" s="657"/>
      <c r="SJI4" s="657"/>
      <c r="SJJ4" s="657"/>
      <c r="SJK4" s="657"/>
      <c r="SJL4" s="657"/>
      <c r="SJM4" s="657"/>
      <c r="SJN4" s="657"/>
      <c r="SJO4" s="657"/>
      <c r="SJP4" s="657"/>
      <c r="SJQ4" s="657"/>
      <c r="SJR4" s="657"/>
      <c r="SJS4" s="657"/>
      <c r="SJT4" s="657"/>
      <c r="SJU4" s="657"/>
      <c r="SJV4" s="657"/>
      <c r="SJW4" s="657"/>
      <c r="SJX4" s="657"/>
      <c r="SJY4" s="657"/>
      <c r="SJZ4" s="657"/>
      <c r="SKA4" s="657"/>
      <c r="SKB4" s="657"/>
      <c r="SKC4" s="657"/>
      <c r="SKD4" s="657"/>
      <c r="SKE4" s="657"/>
      <c r="SKF4" s="657"/>
      <c r="SKG4" s="657"/>
      <c r="SKH4" s="657"/>
      <c r="SKI4" s="657"/>
      <c r="SKJ4" s="657"/>
      <c r="SKK4" s="657"/>
      <c r="SKL4" s="657"/>
      <c r="SKM4" s="657"/>
      <c r="SKN4" s="657"/>
      <c r="SKO4" s="657"/>
      <c r="SKP4" s="657"/>
      <c r="SKQ4" s="657"/>
      <c r="SKR4" s="657"/>
      <c r="SKS4" s="657"/>
      <c r="SKT4" s="657"/>
      <c r="SKU4" s="657"/>
      <c r="SKV4" s="657"/>
      <c r="SKW4" s="657"/>
      <c r="SKX4" s="657"/>
      <c r="SKY4" s="657"/>
      <c r="SKZ4" s="657"/>
      <c r="SLA4" s="657"/>
      <c r="SLB4" s="657"/>
      <c r="SLC4" s="657"/>
      <c r="SLD4" s="657"/>
      <c r="SLE4" s="657"/>
      <c r="SLF4" s="657"/>
      <c r="SLG4" s="657"/>
      <c r="SLH4" s="657"/>
      <c r="SLI4" s="657"/>
      <c r="SLJ4" s="657"/>
      <c r="SLK4" s="657"/>
      <c r="SLL4" s="657"/>
      <c r="SLM4" s="657"/>
      <c r="SLN4" s="657"/>
      <c r="SLO4" s="657"/>
      <c r="SLP4" s="657"/>
      <c r="SLQ4" s="657"/>
      <c r="SLR4" s="657"/>
      <c r="SLS4" s="657"/>
      <c r="SLT4" s="657"/>
      <c r="SLU4" s="657"/>
      <c r="SLV4" s="657"/>
      <c r="SLW4" s="657"/>
      <c r="SLX4" s="657"/>
      <c r="SLY4" s="657"/>
      <c r="SLZ4" s="657"/>
      <c r="SMA4" s="657"/>
      <c r="SMB4" s="657"/>
      <c r="SMC4" s="657"/>
      <c r="SMD4" s="657"/>
      <c r="SME4" s="657"/>
      <c r="SMF4" s="657"/>
      <c r="SMG4" s="657"/>
      <c r="SMH4" s="657"/>
      <c r="SMI4" s="657"/>
      <c r="SMJ4" s="657"/>
      <c r="SMK4" s="657"/>
      <c r="SML4" s="657"/>
      <c r="SMM4" s="657"/>
      <c r="SMN4" s="657"/>
      <c r="SMO4" s="657"/>
      <c r="SMP4" s="657"/>
      <c r="SMQ4" s="657"/>
      <c r="SMR4" s="657"/>
      <c r="SMS4" s="657"/>
      <c r="SMT4" s="657"/>
      <c r="SMU4" s="657"/>
      <c r="SMV4" s="657"/>
      <c r="SMW4" s="657"/>
      <c r="SMX4" s="657"/>
      <c r="SMY4" s="657"/>
      <c r="SMZ4" s="657"/>
      <c r="SNA4" s="657"/>
      <c r="SNB4" s="657"/>
      <c r="SNC4" s="657"/>
      <c r="SND4" s="657"/>
      <c r="SNE4" s="657"/>
      <c r="SNF4" s="657"/>
      <c r="SNG4" s="657"/>
      <c r="SNH4" s="657"/>
      <c r="SNI4" s="657"/>
      <c r="SNJ4" s="657"/>
      <c r="SNK4" s="657"/>
      <c r="SNL4" s="657"/>
      <c r="SNM4" s="657"/>
      <c r="SNN4" s="657"/>
      <c r="SNO4" s="657"/>
      <c r="SNP4" s="657"/>
      <c r="SNQ4" s="657"/>
      <c r="SNR4" s="657"/>
      <c r="SNS4" s="657"/>
      <c r="SNT4" s="657"/>
      <c r="SNU4" s="657"/>
      <c r="SNV4" s="657"/>
      <c r="SNW4" s="657"/>
      <c r="SNX4" s="657"/>
      <c r="SNY4" s="657"/>
      <c r="SNZ4" s="657"/>
      <c r="SOA4" s="657"/>
      <c r="SOB4" s="657"/>
      <c r="SOC4" s="657"/>
      <c r="SOD4" s="657"/>
      <c r="SOE4" s="657"/>
      <c r="SOF4" s="657"/>
      <c r="SOG4" s="657"/>
      <c r="SOH4" s="657"/>
      <c r="SOI4" s="657"/>
      <c r="SOJ4" s="657"/>
      <c r="SOK4" s="657"/>
      <c r="SOL4" s="657"/>
      <c r="SOM4" s="657"/>
      <c r="SON4" s="657"/>
      <c r="SOO4" s="657"/>
      <c r="SOP4" s="657"/>
      <c r="SOQ4" s="657"/>
      <c r="SOR4" s="657"/>
      <c r="SOS4" s="657"/>
      <c r="SOT4" s="657"/>
      <c r="SOU4" s="657"/>
      <c r="SOV4" s="657"/>
      <c r="SOW4" s="657"/>
      <c r="SOX4" s="657"/>
      <c r="SOY4" s="657"/>
      <c r="SOZ4" s="657"/>
      <c r="SPA4" s="657"/>
      <c r="SPB4" s="657"/>
      <c r="SPC4" s="657"/>
      <c r="SPD4" s="657"/>
      <c r="SPE4" s="657"/>
      <c r="SPF4" s="657"/>
      <c r="SPG4" s="657"/>
      <c r="SPH4" s="657"/>
      <c r="SPI4" s="657"/>
      <c r="SPJ4" s="657"/>
      <c r="SPK4" s="657"/>
      <c r="SPL4" s="657"/>
      <c r="SPM4" s="657"/>
      <c r="SPN4" s="657"/>
      <c r="SPO4" s="657"/>
      <c r="SPP4" s="657"/>
      <c r="SPQ4" s="657"/>
      <c r="SPR4" s="657"/>
      <c r="SPS4" s="657"/>
      <c r="SPT4" s="657"/>
      <c r="SPU4" s="657"/>
      <c r="SPV4" s="657"/>
      <c r="SPW4" s="657"/>
      <c r="SPX4" s="657"/>
      <c r="SPY4" s="657"/>
      <c r="SPZ4" s="657"/>
      <c r="SQA4" s="657"/>
      <c r="SQB4" s="657"/>
      <c r="SQC4" s="657"/>
      <c r="SQD4" s="657"/>
      <c r="SQE4" s="657"/>
      <c r="SQF4" s="657"/>
      <c r="SQG4" s="657"/>
      <c r="SQH4" s="657"/>
      <c r="SQI4" s="657"/>
      <c r="SQJ4" s="657"/>
      <c r="SQK4" s="657"/>
      <c r="SQL4" s="657"/>
      <c r="SQM4" s="657"/>
      <c r="SQN4" s="657"/>
      <c r="SQO4" s="657"/>
      <c r="SQP4" s="657"/>
      <c r="SQQ4" s="657"/>
      <c r="SQR4" s="657"/>
      <c r="SQS4" s="657"/>
      <c r="SQT4" s="657"/>
      <c r="SQU4" s="657"/>
      <c r="SQV4" s="657"/>
      <c r="SQW4" s="657"/>
      <c r="SQX4" s="657"/>
      <c r="SQY4" s="657"/>
      <c r="SQZ4" s="657"/>
      <c r="SRA4" s="657"/>
      <c r="SRB4" s="657"/>
      <c r="SRC4" s="657"/>
      <c r="SRD4" s="657"/>
      <c r="SRE4" s="657"/>
      <c r="SRF4" s="657"/>
      <c r="SRG4" s="657"/>
      <c r="SRH4" s="657"/>
      <c r="SRI4" s="657"/>
      <c r="SRJ4" s="657"/>
      <c r="SRK4" s="657"/>
      <c r="SRL4" s="657"/>
      <c r="SRM4" s="657"/>
      <c r="SRN4" s="657"/>
      <c r="SRO4" s="657"/>
      <c r="SRP4" s="657"/>
      <c r="SRQ4" s="657"/>
      <c r="SRR4" s="657"/>
      <c r="SRS4" s="657"/>
      <c r="SRT4" s="657"/>
      <c r="SRU4" s="657"/>
      <c r="SRV4" s="657"/>
      <c r="SRW4" s="657"/>
      <c r="SRX4" s="657"/>
      <c r="SRY4" s="657"/>
      <c r="SRZ4" s="657"/>
      <c r="SSA4" s="657"/>
      <c r="SSB4" s="657"/>
      <c r="SSC4" s="657"/>
      <c r="SSD4" s="657"/>
      <c r="SSE4" s="657"/>
      <c r="SSF4" s="657"/>
      <c r="SSG4" s="657"/>
      <c r="SSH4" s="657"/>
      <c r="SSI4" s="657"/>
      <c r="SSJ4" s="657"/>
      <c r="SSK4" s="657"/>
      <c r="SSL4" s="657"/>
      <c r="SSM4" s="657"/>
      <c r="SSN4" s="657"/>
      <c r="SSO4" s="657"/>
      <c r="SSP4" s="657"/>
      <c r="SSQ4" s="657"/>
      <c r="SSR4" s="657"/>
      <c r="SSS4" s="657"/>
      <c r="SST4" s="657"/>
      <c r="SSU4" s="657"/>
      <c r="SSV4" s="657"/>
      <c r="SSW4" s="657"/>
      <c r="SSX4" s="657"/>
      <c r="SSY4" s="657"/>
      <c r="SSZ4" s="657"/>
      <c r="STA4" s="657"/>
      <c r="STB4" s="657"/>
      <c r="STC4" s="657"/>
      <c r="STD4" s="657"/>
      <c r="STE4" s="657"/>
      <c r="STF4" s="657"/>
      <c r="STG4" s="657"/>
      <c r="STH4" s="657"/>
      <c r="STI4" s="657"/>
      <c r="STJ4" s="657"/>
      <c r="STK4" s="657"/>
      <c r="STL4" s="657"/>
      <c r="STM4" s="657"/>
      <c r="STN4" s="657"/>
      <c r="STO4" s="657"/>
      <c r="STP4" s="657"/>
      <c r="STQ4" s="657"/>
      <c r="STR4" s="657"/>
      <c r="STS4" s="657"/>
      <c r="STT4" s="657"/>
      <c r="STU4" s="657"/>
      <c r="STV4" s="657"/>
      <c r="STW4" s="657"/>
      <c r="STX4" s="657"/>
      <c r="STY4" s="657"/>
      <c r="STZ4" s="657"/>
      <c r="SUA4" s="657"/>
      <c r="SUB4" s="657"/>
      <c r="SUC4" s="657"/>
      <c r="SUD4" s="657"/>
      <c r="SUE4" s="657"/>
      <c r="SUF4" s="657"/>
      <c r="SUG4" s="657"/>
      <c r="SUH4" s="657"/>
      <c r="SUI4" s="657"/>
      <c r="SUJ4" s="657"/>
      <c r="SUK4" s="657"/>
      <c r="SUL4" s="657"/>
      <c r="SUM4" s="657"/>
      <c r="SUN4" s="657"/>
      <c r="SUO4" s="657"/>
      <c r="SUP4" s="657"/>
      <c r="SUQ4" s="657"/>
      <c r="SUR4" s="657"/>
      <c r="SUS4" s="657"/>
      <c r="SUT4" s="657"/>
      <c r="SUU4" s="657"/>
      <c r="SUV4" s="657"/>
      <c r="SUW4" s="657"/>
      <c r="SUX4" s="657"/>
      <c r="SUY4" s="657"/>
      <c r="SUZ4" s="657"/>
      <c r="SVA4" s="657"/>
      <c r="SVB4" s="657"/>
      <c r="SVC4" s="657"/>
      <c r="SVD4" s="657"/>
      <c r="SVE4" s="657"/>
      <c r="SVF4" s="657"/>
      <c r="SVG4" s="657"/>
      <c r="SVH4" s="657"/>
      <c r="SVI4" s="657"/>
      <c r="SVJ4" s="657"/>
      <c r="SVK4" s="657"/>
      <c r="SVL4" s="657"/>
      <c r="SVM4" s="657"/>
      <c r="SVN4" s="657"/>
      <c r="SVO4" s="657"/>
      <c r="SVP4" s="657"/>
      <c r="SVQ4" s="657"/>
      <c r="SVR4" s="657"/>
      <c r="SVS4" s="657"/>
      <c r="SVT4" s="657"/>
      <c r="SVU4" s="657"/>
      <c r="SVV4" s="657"/>
      <c r="SVW4" s="657"/>
      <c r="SVX4" s="657"/>
      <c r="SVY4" s="657"/>
      <c r="SVZ4" s="657"/>
      <c r="SWA4" s="657"/>
      <c r="SWB4" s="657"/>
      <c r="SWC4" s="657"/>
      <c r="SWD4" s="657"/>
      <c r="SWE4" s="657"/>
      <c r="SWF4" s="657"/>
      <c r="SWG4" s="657"/>
      <c r="SWH4" s="657"/>
      <c r="SWI4" s="657"/>
      <c r="SWJ4" s="657"/>
      <c r="SWK4" s="657"/>
      <c r="SWL4" s="657"/>
      <c r="SWM4" s="657"/>
      <c r="SWN4" s="657"/>
      <c r="SWO4" s="657"/>
      <c r="SWP4" s="657"/>
      <c r="SWQ4" s="657"/>
      <c r="SWR4" s="657"/>
      <c r="SWS4" s="657"/>
      <c r="SWT4" s="657"/>
      <c r="SWU4" s="657"/>
      <c r="SWV4" s="657"/>
      <c r="SWW4" s="657"/>
      <c r="SWX4" s="657"/>
      <c r="SWY4" s="657"/>
      <c r="SWZ4" s="657"/>
      <c r="SXA4" s="657"/>
      <c r="SXB4" s="657"/>
      <c r="SXC4" s="657"/>
      <c r="SXD4" s="657"/>
      <c r="SXE4" s="657"/>
      <c r="SXF4" s="657"/>
      <c r="SXG4" s="657"/>
      <c r="SXH4" s="657"/>
      <c r="SXI4" s="657"/>
      <c r="SXJ4" s="657"/>
      <c r="SXK4" s="657"/>
      <c r="SXL4" s="657"/>
      <c r="SXM4" s="657"/>
      <c r="SXN4" s="657"/>
      <c r="SXO4" s="657"/>
      <c r="SXP4" s="657"/>
      <c r="SXQ4" s="657"/>
      <c r="SXR4" s="657"/>
      <c r="SXS4" s="657"/>
      <c r="SXT4" s="657"/>
      <c r="SXU4" s="657"/>
      <c r="SXV4" s="657"/>
      <c r="SXW4" s="657"/>
      <c r="SXX4" s="657"/>
      <c r="SXY4" s="657"/>
      <c r="SXZ4" s="657"/>
      <c r="SYA4" s="657"/>
      <c r="SYB4" s="657"/>
      <c r="SYC4" s="657"/>
      <c r="SYD4" s="657"/>
      <c r="SYE4" s="657"/>
      <c r="SYF4" s="657"/>
      <c r="SYG4" s="657"/>
      <c r="SYH4" s="657"/>
      <c r="SYI4" s="657"/>
      <c r="SYJ4" s="657"/>
      <c r="SYK4" s="657"/>
      <c r="SYL4" s="657"/>
      <c r="SYM4" s="657"/>
      <c r="SYN4" s="657"/>
      <c r="SYO4" s="657"/>
      <c r="SYP4" s="657"/>
      <c r="SYQ4" s="657"/>
      <c r="SYR4" s="657"/>
      <c r="SYS4" s="657"/>
      <c r="SYT4" s="657"/>
      <c r="SYU4" s="657"/>
      <c r="SYV4" s="657"/>
      <c r="SYW4" s="657"/>
      <c r="SYX4" s="657"/>
      <c r="SYY4" s="657"/>
      <c r="SYZ4" s="657"/>
      <c r="SZA4" s="657"/>
      <c r="SZB4" s="657"/>
      <c r="SZC4" s="657"/>
      <c r="SZD4" s="657"/>
      <c r="SZE4" s="657"/>
      <c r="SZF4" s="657"/>
      <c r="SZG4" s="657"/>
      <c r="SZH4" s="657"/>
      <c r="SZI4" s="657"/>
      <c r="SZJ4" s="657"/>
      <c r="SZK4" s="657"/>
      <c r="SZL4" s="657"/>
      <c r="SZM4" s="657"/>
      <c r="SZN4" s="657"/>
      <c r="SZO4" s="657"/>
      <c r="SZP4" s="657"/>
      <c r="SZQ4" s="657"/>
      <c r="SZR4" s="657"/>
      <c r="SZS4" s="657"/>
      <c r="SZT4" s="657"/>
      <c r="SZU4" s="657"/>
      <c r="SZV4" s="657"/>
      <c r="SZW4" s="657"/>
      <c r="SZX4" s="657"/>
      <c r="SZY4" s="657"/>
      <c r="SZZ4" s="657"/>
      <c r="TAA4" s="657"/>
      <c r="TAB4" s="657"/>
      <c r="TAC4" s="657"/>
      <c r="TAD4" s="657"/>
      <c r="TAE4" s="657"/>
      <c r="TAF4" s="657"/>
      <c r="TAG4" s="657"/>
      <c r="TAH4" s="657"/>
      <c r="TAI4" s="657"/>
      <c r="TAJ4" s="657"/>
      <c r="TAK4" s="657"/>
      <c r="TAL4" s="657"/>
      <c r="TAM4" s="657"/>
      <c r="TAN4" s="657"/>
      <c r="TAO4" s="657"/>
      <c r="TAP4" s="657"/>
      <c r="TAQ4" s="657"/>
      <c r="TAR4" s="657"/>
      <c r="TAS4" s="657"/>
      <c r="TAT4" s="657"/>
      <c r="TAU4" s="657"/>
      <c r="TAV4" s="657"/>
      <c r="TAW4" s="657"/>
      <c r="TAX4" s="657"/>
      <c r="TAY4" s="657"/>
      <c r="TAZ4" s="657"/>
      <c r="TBA4" s="657"/>
      <c r="TBB4" s="657"/>
      <c r="TBC4" s="657"/>
      <c r="TBD4" s="657"/>
      <c r="TBE4" s="657"/>
      <c r="TBF4" s="657"/>
      <c r="TBG4" s="657"/>
      <c r="TBH4" s="657"/>
      <c r="TBI4" s="657"/>
      <c r="TBJ4" s="657"/>
      <c r="TBK4" s="657"/>
      <c r="TBL4" s="657"/>
      <c r="TBM4" s="657"/>
      <c r="TBN4" s="657"/>
      <c r="TBO4" s="657"/>
      <c r="TBP4" s="657"/>
      <c r="TBQ4" s="657"/>
      <c r="TBR4" s="657"/>
      <c r="TBS4" s="657"/>
      <c r="TBT4" s="657"/>
      <c r="TBU4" s="657"/>
      <c r="TBV4" s="657"/>
      <c r="TBW4" s="657"/>
      <c r="TBX4" s="657"/>
      <c r="TBY4" s="657"/>
      <c r="TBZ4" s="657"/>
      <c r="TCA4" s="657"/>
      <c r="TCB4" s="657"/>
      <c r="TCC4" s="657"/>
      <c r="TCD4" s="657"/>
      <c r="TCE4" s="657"/>
      <c r="TCF4" s="657"/>
      <c r="TCG4" s="657"/>
      <c r="TCH4" s="657"/>
      <c r="TCI4" s="657"/>
      <c r="TCJ4" s="657"/>
      <c r="TCK4" s="657"/>
      <c r="TCL4" s="657"/>
      <c r="TCM4" s="657"/>
      <c r="TCN4" s="657"/>
      <c r="TCO4" s="657"/>
      <c r="TCP4" s="657"/>
      <c r="TCQ4" s="657"/>
      <c r="TCR4" s="657"/>
      <c r="TCS4" s="657"/>
      <c r="TCT4" s="657"/>
      <c r="TCU4" s="657"/>
      <c r="TCV4" s="657"/>
      <c r="TCW4" s="657"/>
      <c r="TCX4" s="657"/>
      <c r="TCY4" s="657"/>
      <c r="TCZ4" s="657"/>
      <c r="TDA4" s="657"/>
      <c r="TDB4" s="657"/>
      <c r="TDC4" s="657"/>
      <c r="TDD4" s="657"/>
      <c r="TDE4" s="657"/>
      <c r="TDF4" s="657"/>
      <c r="TDG4" s="657"/>
      <c r="TDH4" s="657"/>
      <c r="TDI4" s="657"/>
      <c r="TDJ4" s="657"/>
      <c r="TDK4" s="657"/>
      <c r="TDL4" s="657"/>
      <c r="TDM4" s="657"/>
      <c r="TDN4" s="657"/>
      <c r="TDO4" s="657"/>
      <c r="TDP4" s="657"/>
      <c r="TDQ4" s="657"/>
      <c r="TDR4" s="657"/>
      <c r="TDS4" s="657"/>
      <c r="TDT4" s="657"/>
      <c r="TDU4" s="657"/>
      <c r="TDV4" s="657"/>
      <c r="TDW4" s="657"/>
      <c r="TDX4" s="657"/>
      <c r="TDY4" s="657"/>
      <c r="TDZ4" s="657"/>
      <c r="TEA4" s="657"/>
      <c r="TEB4" s="657"/>
      <c r="TEC4" s="657"/>
      <c r="TED4" s="657"/>
      <c r="TEE4" s="657"/>
      <c r="TEF4" s="657"/>
      <c r="TEG4" s="657"/>
      <c r="TEH4" s="657"/>
      <c r="TEI4" s="657"/>
      <c r="TEJ4" s="657"/>
      <c r="TEK4" s="657"/>
      <c r="TEL4" s="657"/>
      <c r="TEM4" s="657"/>
      <c r="TEN4" s="657"/>
      <c r="TEO4" s="657"/>
      <c r="TEP4" s="657"/>
      <c r="TEQ4" s="657"/>
      <c r="TER4" s="657"/>
      <c r="TES4" s="657"/>
      <c r="TET4" s="657"/>
      <c r="TEU4" s="657"/>
      <c r="TEV4" s="657"/>
      <c r="TEW4" s="657"/>
      <c r="TEX4" s="657"/>
      <c r="TEY4" s="657"/>
      <c r="TEZ4" s="657"/>
      <c r="TFA4" s="657"/>
      <c r="TFB4" s="657"/>
      <c r="TFC4" s="657"/>
      <c r="TFD4" s="657"/>
      <c r="TFE4" s="657"/>
      <c r="TFF4" s="657"/>
      <c r="TFG4" s="657"/>
      <c r="TFH4" s="657"/>
      <c r="TFI4" s="657"/>
      <c r="TFJ4" s="657"/>
      <c r="TFK4" s="657"/>
      <c r="TFL4" s="657"/>
      <c r="TFM4" s="657"/>
      <c r="TFN4" s="657"/>
      <c r="TFO4" s="657"/>
      <c r="TFP4" s="657"/>
      <c r="TFQ4" s="657"/>
      <c r="TFR4" s="657"/>
      <c r="TFS4" s="657"/>
      <c r="TFT4" s="657"/>
      <c r="TFU4" s="657"/>
      <c r="TFV4" s="657"/>
      <c r="TFW4" s="657"/>
      <c r="TFX4" s="657"/>
      <c r="TFY4" s="657"/>
      <c r="TFZ4" s="657"/>
      <c r="TGA4" s="657"/>
      <c r="TGB4" s="657"/>
      <c r="TGC4" s="657"/>
      <c r="TGD4" s="657"/>
      <c r="TGE4" s="657"/>
      <c r="TGF4" s="657"/>
      <c r="TGG4" s="657"/>
      <c r="TGH4" s="657"/>
      <c r="TGI4" s="657"/>
      <c r="TGJ4" s="657"/>
      <c r="TGK4" s="657"/>
      <c r="TGL4" s="657"/>
      <c r="TGM4" s="657"/>
      <c r="TGN4" s="657"/>
      <c r="TGO4" s="657"/>
      <c r="TGP4" s="657"/>
      <c r="TGQ4" s="657"/>
      <c r="TGR4" s="657"/>
      <c r="TGS4" s="657"/>
      <c r="TGT4" s="657"/>
      <c r="TGU4" s="657"/>
      <c r="TGV4" s="657"/>
      <c r="TGW4" s="657"/>
      <c r="TGX4" s="657"/>
      <c r="TGY4" s="657"/>
      <c r="TGZ4" s="657"/>
      <c r="THA4" s="657"/>
      <c r="THB4" s="657"/>
      <c r="THC4" s="657"/>
      <c r="THD4" s="657"/>
      <c r="THE4" s="657"/>
      <c r="THF4" s="657"/>
      <c r="THG4" s="657"/>
      <c r="THH4" s="657"/>
      <c r="THI4" s="657"/>
      <c r="THJ4" s="657"/>
      <c r="THK4" s="657"/>
      <c r="THL4" s="657"/>
      <c r="THM4" s="657"/>
      <c r="THN4" s="657"/>
      <c r="THO4" s="657"/>
      <c r="THP4" s="657"/>
      <c r="THQ4" s="657"/>
      <c r="THR4" s="657"/>
      <c r="THS4" s="657"/>
      <c r="THT4" s="657"/>
      <c r="THU4" s="657"/>
      <c r="THV4" s="657"/>
      <c r="THW4" s="657"/>
      <c r="THX4" s="657"/>
      <c r="THY4" s="657"/>
      <c r="THZ4" s="657"/>
      <c r="TIA4" s="657"/>
      <c r="TIB4" s="657"/>
      <c r="TIC4" s="657"/>
      <c r="TID4" s="657"/>
      <c r="TIE4" s="657"/>
      <c r="TIF4" s="657"/>
      <c r="TIG4" s="657"/>
      <c r="TIH4" s="657"/>
      <c r="TII4" s="657"/>
      <c r="TIJ4" s="657"/>
      <c r="TIK4" s="657"/>
      <c r="TIL4" s="657"/>
      <c r="TIM4" s="657"/>
      <c r="TIN4" s="657"/>
      <c r="TIO4" s="657"/>
      <c r="TIP4" s="657"/>
      <c r="TIQ4" s="657"/>
      <c r="TIR4" s="657"/>
      <c r="TIS4" s="657"/>
      <c r="TIT4" s="657"/>
      <c r="TIU4" s="657"/>
      <c r="TIV4" s="657"/>
      <c r="TIW4" s="657"/>
      <c r="TIX4" s="657"/>
      <c r="TIY4" s="657"/>
      <c r="TIZ4" s="657"/>
      <c r="TJA4" s="657"/>
      <c r="TJB4" s="657"/>
      <c r="TJC4" s="657"/>
      <c r="TJD4" s="657"/>
      <c r="TJE4" s="657"/>
      <c r="TJF4" s="657"/>
      <c r="TJG4" s="657"/>
      <c r="TJH4" s="657"/>
      <c r="TJI4" s="657"/>
      <c r="TJJ4" s="657"/>
      <c r="TJK4" s="657"/>
      <c r="TJL4" s="657"/>
      <c r="TJM4" s="657"/>
      <c r="TJN4" s="657"/>
      <c r="TJO4" s="657"/>
      <c r="TJP4" s="657"/>
      <c r="TJQ4" s="657"/>
      <c r="TJR4" s="657"/>
      <c r="TJS4" s="657"/>
      <c r="TJT4" s="657"/>
      <c r="TJU4" s="657"/>
      <c r="TJV4" s="657"/>
      <c r="TJW4" s="657"/>
      <c r="TJX4" s="657"/>
      <c r="TJY4" s="657"/>
      <c r="TJZ4" s="657"/>
      <c r="TKA4" s="657"/>
      <c r="TKB4" s="657"/>
      <c r="TKC4" s="657"/>
      <c r="TKD4" s="657"/>
      <c r="TKE4" s="657"/>
      <c r="TKF4" s="657"/>
      <c r="TKG4" s="657"/>
      <c r="TKH4" s="657"/>
      <c r="TKI4" s="657"/>
      <c r="TKJ4" s="657"/>
      <c r="TKK4" s="657"/>
      <c r="TKL4" s="657"/>
      <c r="TKM4" s="657"/>
      <c r="TKN4" s="657"/>
      <c r="TKO4" s="657"/>
      <c r="TKP4" s="657"/>
      <c r="TKQ4" s="657"/>
      <c r="TKR4" s="657"/>
      <c r="TKS4" s="657"/>
      <c r="TKT4" s="657"/>
      <c r="TKU4" s="657"/>
      <c r="TKV4" s="657"/>
      <c r="TKW4" s="657"/>
      <c r="TKX4" s="657"/>
      <c r="TKY4" s="657"/>
      <c r="TKZ4" s="657"/>
      <c r="TLA4" s="657"/>
      <c r="TLB4" s="657"/>
      <c r="TLC4" s="657"/>
      <c r="TLD4" s="657"/>
      <c r="TLE4" s="657"/>
      <c r="TLF4" s="657"/>
      <c r="TLG4" s="657"/>
      <c r="TLH4" s="657"/>
      <c r="TLI4" s="657"/>
      <c r="TLJ4" s="657"/>
      <c r="TLK4" s="657"/>
      <c r="TLL4" s="657"/>
      <c r="TLM4" s="657"/>
      <c r="TLN4" s="657"/>
      <c r="TLO4" s="657"/>
      <c r="TLP4" s="657"/>
      <c r="TLQ4" s="657"/>
      <c r="TLR4" s="657"/>
      <c r="TLS4" s="657"/>
      <c r="TLT4" s="657"/>
      <c r="TLU4" s="657"/>
      <c r="TLV4" s="657"/>
      <c r="TLW4" s="657"/>
      <c r="TLX4" s="657"/>
      <c r="TLY4" s="657"/>
      <c r="TLZ4" s="657"/>
      <c r="TMA4" s="657"/>
      <c r="TMB4" s="657"/>
      <c r="TMC4" s="657"/>
      <c r="TMD4" s="657"/>
      <c r="TME4" s="657"/>
      <c r="TMF4" s="657"/>
      <c r="TMG4" s="657"/>
      <c r="TMH4" s="657"/>
      <c r="TMI4" s="657"/>
      <c r="TMJ4" s="657"/>
      <c r="TMK4" s="657"/>
      <c r="TML4" s="657"/>
      <c r="TMM4" s="657"/>
      <c r="TMN4" s="657"/>
      <c r="TMO4" s="657"/>
      <c r="TMP4" s="657"/>
      <c r="TMQ4" s="657"/>
      <c r="TMR4" s="657"/>
      <c r="TMS4" s="657"/>
      <c r="TMT4" s="657"/>
      <c r="TMU4" s="657"/>
      <c r="TMV4" s="657"/>
      <c r="TMW4" s="657"/>
      <c r="TMX4" s="657"/>
      <c r="TMY4" s="657"/>
      <c r="TMZ4" s="657"/>
      <c r="TNA4" s="657"/>
      <c r="TNB4" s="657"/>
      <c r="TNC4" s="657"/>
      <c r="TND4" s="657"/>
      <c r="TNE4" s="657"/>
      <c r="TNF4" s="657"/>
      <c r="TNG4" s="657"/>
      <c r="TNH4" s="657"/>
      <c r="TNI4" s="657"/>
      <c r="TNJ4" s="657"/>
      <c r="TNK4" s="657"/>
      <c r="TNL4" s="657"/>
      <c r="TNM4" s="657"/>
      <c r="TNN4" s="657"/>
      <c r="TNO4" s="657"/>
      <c r="TNP4" s="657"/>
      <c r="TNQ4" s="657"/>
      <c r="TNR4" s="657"/>
      <c r="TNS4" s="657"/>
      <c r="TNT4" s="657"/>
      <c r="TNU4" s="657"/>
      <c r="TNV4" s="657"/>
      <c r="TNW4" s="657"/>
      <c r="TNX4" s="657"/>
      <c r="TNY4" s="657"/>
      <c r="TNZ4" s="657"/>
      <c r="TOA4" s="657"/>
      <c r="TOB4" s="657"/>
      <c r="TOC4" s="657"/>
      <c r="TOD4" s="657"/>
      <c r="TOE4" s="657"/>
      <c r="TOF4" s="657"/>
      <c r="TOG4" s="657"/>
      <c r="TOH4" s="657"/>
      <c r="TOI4" s="657"/>
      <c r="TOJ4" s="657"/>
      <c r="TOK4" s="657"/>
      <c r="TOL4" s="657"/>
      <c r="TOM4" s="657"/>
      <c r="TON4" s="657"/>
      <c r="TOO4" s="657"/>
      <c r="TOP4" s="657"/>
      <c r="TOQ4" s="657"/>
      <c r="TOR4" s="657"/>
      <c r="TOS4" s="657"/>
      <c r="TOT4" s="657"/>
      <c r="TOU4" s="657"/>
      <c r="TOV4" s="657"/>
      <c r="TOW4" s="657"/>
      <c r="TOX4" s="657"/>
      <c r="TOY4" s="657"/>
      <c r="TOZ4" s="657"/>
      <c r="TPA4" s="657"/>
      <c r="TPB4" s="657"/>
      <c r="TPC4" s="657"/>
      <c r="TPD4" s="657"/>
      <c r="TPE4" s="657"/>
      <c r="TPF4" s="657"/>
      <c r="TPG4" s="657"/>
      <c r="TPH4" s="657"/>
      <c r="TPI4" s="657"/>
      <c r="TPJ4" s="657"/>
      <c r="TPK4" s="657"/>
      <c r="TPL4" s="657"/>
      <c r="TPM4" s="657"/>
      <c r="TPN4" s="657"/>
      <c r="TPO4" s="657"/>
      <c r="TPP4" s="657"/>
      <c r="TPQ4" s="657"/>
      <c r="TPR4" s="657"/>
      <c r="TPS4" s="657"/>
      <c r="TPT4" s="657"/>
      <c r="TPU4" s="657"/>
      <c r="TPV4" s="657"/>
      <c r="TPW4" s="657"/>
      <c r="TPX4" s="657"/>
      <c r="TPY4" s="657"/>
      <c r="TPZ4" s="657"/>
      <c r="TQA4" s="657"/>
      <c r="TQB4" s="657"/>
      <c r="TQC4" s="657"/>
      <c r="TQD4" s="657"/>
      <c r="TQE4" s="657"/>
      <c r="TQF4" s="657"/>
      <c r="TQG4" s="657"/>
      <c r="TQH4" s="657"/>
      <c r="TQI4" s="657"/>
      <c r="TQJ4" s="657"/>
      <c r="TQK4" s="657"/>
      <c r="TQL4" s="657"/>
      <c r="TQM4" s="657"/>
      <c r="TQN4" s="657"/>
      <c r="TQO4" s="657"/>
      <c r="TQP4" s="657"/>
      <c r="TQQ4" s="657"/>
      <c r="TQR4" s="657"/>
      <c r="TQS4" s="657"/>
      <c r="TQT4" s="657"/>
      <c r="TQU4" s="657"/>
      <c r="TQV4" s="657"/>
      <c r="TQW4" s="657"/>
      <c r="TQX4" s="657"/>
      <c r="TQY4" s="657"/>
      <c r="TQZ4" s="657"/>
      <c r="TRA4" s="657"/>
      <c r="TRB4" s="657"/>
      <c r="TRC4" s="657"/>
      <c r="TRD4" s="657"/>
      <c r="TRE4" s="657"/>
      <c r="TRF4" s="657"/>
      <c r="TRG4" s="657"/>
      <c r="TRH4" s="657"/>
      <c r="TRI4" s="657"/>
      <c r="TRJ4" s="657"/>
      <c r="TRK4" s="657"/>
      <c r="TRL4" s="657"/>
      <c r="TRM4" s="657"/>
      <c r="TRN4" s="657"/>
      <c r="TRO4" s="657"/>
      <c r="TRP4" s="657"/>
      <c r="TRQ4" s="657"/>
      <c r="TRR4" s="657"/>
      <c r="TRS4" s="657"/>
      <c r="TRT4" s="657"/>
      <c r="TRU4" s="657"/>
      <c r="TRV4" s="657"/>
      <c r="TRW4" s="657"/>
      <c r="TRX4" s="657"/>
      <c r="TRY4" s="657"/>
      <c r="TRZ4" s="657"/>
      <c r="TSA4" s="657"/>
      <c r="TSB4" s="657"/>
      <c r="TSC4" s="657"/>
      <c r="TSD4" s="657"/>
      <c r="TSE4" s="657"/>
      <c r="TSF4" s="657"/>
      <c r="TSG4" s="657"/>
      <c r="TSH4" s="657"/>
      <c r="TSI4" s="657"/>
      <c r="TSJ4" s="657"/>
      <c r="TSK4" s="657"/>
      <c r="TSL4" s="657"/>
      <c r="TSM4" s="657"/>
      <c r="TSN4" s="657"/>
      <c r="TSO4" s="657"/>
      <c r="TSP4" s="657"/>
      <c r="TSQ4" s="657"/>
      <c r="TSR4" s="657"/>
      <c r="TSS4" s="657"/>
      <c r="TST4" s="657"/>
      <c r="TSU4" s="657"/>
      <c r="TSV4" s="657"/>
      <c r="TSW4" s="657"/>
      <c r="TSX4" s="657"/>
      <c r="TSY4" s="657"/>
      <c r="TSZ4" s="657"/>
      <c r="TTA4" s="657"/>
      <c r="TTB4" s="657"/>
      <c r="TTC4" s="657"/>
      <c r="TTD4" s="657"/>
      <c r="TTE4" s="657"/>
      <c r="TTF4" s="657"/>
      <c r="TTG4" s="657"/>
      <c r="TTH4" s="657"/>
      <c r="TTI4" s="657"/>
      <c r="TTJ4" s="657"/>
      <c r="TTK4" s="657"/>
      <c r="TTL4" s="657"/>
      <c r="TTM4" s="657"/>
      <c r="TTN4" s="657"/>
      <c r="TTO4" s="657"/>
      <c r="TTP4" s="657"/>
      <c r="TTQ4" s="657"/>
      <c r="TTR4" s="657"/>
      <c r="TTS4" s="657"/>
      <c r="TTT4" s="657"/>
      <c r="TTU4" s="657"/>
      <c r="TTV4" s="657"/>
      <c r="TTW4" s="657"/>
      <c r="TTX4" s="657"/>
      <c r="TTY4" s="657"/>
      <c r="TTZ4" s="657"/>
      <c r="TUA4" s="657"/>
      <c r="TUB4" s="657"/>
      <c r="TUC4" s="657"/>
      <c r="TUD4" s="657"/>
      <c r="TUE4" s="657"/>
      <c r="TUF4" s="657"/>
      <c r="TUG4" s="657"/>
      <c r="TUH4" s="657"/>
      <c r="TUI4" s="657"/>
      <c r="TUJ4" s="657"/>
      <c r="TUK4" s="657"/>
      <c r="TUL4" s="657"/>
      <c r="TUM4" s="657"/>
      <c r="TUN4" s="657"/>
      <c r="TUO4" s="657"/>
      <c r="TUP4" s="657"/>
      <c r="TUQ4" s="657"/>
      <c r="TUR4" s="657"/>
      <c r="TUS4" s="657"/>
      <c r="TUT4" s="657"/>
      <c r="TUU4" s="657"/>
      <c r="TUV4" s="657"/>
      <c r="TUW4" s="657"/>
      <c r="TUX4" s="657"/>
      <c r="TUY4" s="657"/>
      <c r="TUZ4" s="657"/>
      <c r="TVA4" s="657"/>
      <c r="TVB4" s="657"/>
      <c r="TVC4" s="657"/>
      <c r="TVD4" s="657"/>
      <c r="TVE4" s="657"/>
      <c r="TVF4" s="657"/>
      <c r="TVG4" s="657"/>
      <c r="TVH4" s="657"/>
      <c r="TVI4" s="657"/>
      <c r="TVJ4" s="657"/>
      <c r="TVK4" s="657"/>
      <c r="TVL4" s="657"/>
      <c r="TVM4" s="657"/>
      <c r="TVN4" s="657"/>
      <c r="TVO4" s="657"/>
      <c r="TVP4" s="657"/>
      <c r="TVQ4" s="657"/>
      <c r="TVR4" s="657"/>
      <c r="TVS4" s="657"/>
      <c r="TVT4" s="657"/>
      <c r="TVU4" s="657"/>
      <c r="TVV4" s="657"/>
      <c r="TVW4" s="657"/>
      <c r="TVX4" s="657"/>
      <c r="TVY4" s="657"/>
      <c r="TVZ4" s="657"/>
      <c r="TWA4" s="657"/>
      <c r="TWB4" s="657"/>
      <c r="TWC4" s="657"/>
      <c r="TWD4" s="657"/>
      <c r="TWE4" s="657"/>
      <c r="TWF4" s="657"/>
      <c r="TWG4" s="657"/>
      <c r="TWH4" s="657"/>
      <c r="TWI4" s="657"/>
      <c r="TWJ4" s="657"/>
      <c r="TWK4" s="657"/>
      <c r="TWL4" s="657"/>
      <c r="TWM4" s="657"/>
      <c r="TWN4" s="657"/>
      <c r="TWO4" s="657"/>
      <c r="TWP4" s="657"/>
      <c r="TWQ4" s="657"/>
      <c r="TWR4" s="657"/>
      <c r="TWS4" s="657"/>
      <c r="TWT4" s="657"/>
      <c r="TWU4" s="657"/>
      <c r="TWV4" s="657"/>
      <c r="TWW4" s="657"/>
      <c r="TWX4" s="657"/>
      <c r="TWY4" s="657"/>
      <c r="TWZ4" s="657"/>
      <c r="TXA4" s="657"/>
      <c r="TXB4" s="657"/>
      <c r="TXC4" s="657"/>
      <c r="TXD4" s="657"/>
      <c r="TXE4" s="657"/>
      <c r="TXF4" s="657"/>
      <c r="TXG4" s="657"/>
      <c r="TXH4" s="657"/>
      <c r="TXI4" s="657"/>
      <c r="TXJ4" s="657"/>
      <c r="TXK4" s="657"/>
      <c r="TXL4" s="657"/>
      <c r="TXM4" s="657"/>
      <c r="TXN4" s="657"/>
      <c r="TXO4" s="657"/>
      <c r="TXP4" s="657"/>
      <c r="TXQ4" s="657"/>
      <c r="TXR4" s="657"/>
      <c r="TXS4" s="657"/>
      <c r="TXT4" s="657"/>
      <c r="TXU4" s="657"/>
      <c r="TXV4" s="657"/>
      <c r="TXW4" s="657"/>
      <c r="TXX4" s="657"/>
      <c r="TXY4" s="657"/>
      <c r="TXZ4" s="657"/>
      <c r="TYA4" s="657"/>
      <c r="TYB4" s="657"/>
      <c r="TYC4" s="657"/>
      <c r="TYD4" s="657"/>
      <c r="TYE4" s="657"/>
      <c r="TYF4" s="657"/>
      <c r="TYG4" s="657"/>
      <c r="TYH4" s="657"/>
      <c r="TYI4" s="657"/>
      <c r="TYJ4" s="657"/>
      <c r="TYK4" s="657"/>
      <c r="TYL4" s="657"/>
      <c r="TYM4" s="657"/>
      <c r="TYN4" s="657"/>
      <c r="TYO4" s="657"/>
      <c r="TYP4" s="657"/>
      <c r="TYQ4" s="657"/>
      <c r="TYR4" s="657"/>
      <c r="TYS4" s="657"/>
      <c r="TYT4" s="657"/>
      <c r="TYU4" s="657"/>
      <c r="TYV4" s="657"/>
      <c r="TYW4" s="657"/>
      <c r="TYX4" s="657"/>
      <c r="TYY4" s="657"/>
      <c r="TYZ4" s="657"/>
      <c r="TZA4" s="657"/>
      <c r="TZB4" s="657"/>
      <c r="TZC4" s="657"/>
      <c r="TZD4" s="657"/>
      <c r="TZE4" s="657"/>
      <c r="TZF4" s="657"/>
      <c r="TZG4" s="657"/>
      <c r="TZH4" s="657"/>
      <c r="TZI4" s="657"/>
      <c r="TZJ4" s="657"/>
      <c r="TZK4" s="657"/>
      <c r="TZL4" s="657"/>
      <c r="TZM4" s="657"/>
      <c r="TZN4" s="657"/>
      <c r="TZO4" s="657"/>
      <c r="TZP4" s="657"/>
      <c r="TZQ4" s="657"/>
      <c r="TZR4" s="657"/>
      <c r="TZS4" s="657"/>
      <c r="TZT4" s="657"/>
      <c r="TZU4" s="657"/>
      <c r="TZV4" s="657"/>
      <c r="TZW4" s="657"/>
      <c r="TZX4" s="657"/>
      <c r="TZY4" s="657"/>
      <c r="TZZ4" s="657"/>
      <c r="UAA4" s="657"/>
      <c r="UAB4" s="657"/>
      <c r="UAC4" s="657"/>
      <c r="UAD4" s="657"/>
      <c r="UAE4" s="657"/>
      <c r="UAF4" s="657"/>
      <c r="UAG4" s="657"/>
      <c r="UAH4" s="657"/>
      <c r="UAI4" s="657"/>
      <c r="UAJ4" s="657"/>
      <c r="UAK4" s="657"/>
      <c r="UAL4" s="657"/>
      <c r="UAM4" s="657"/>
      <c r="UAN4" s="657"/>
      <c r="UAO4" s="657"/>
      <c r="UAP4" s="657"/>
      <c r="UAQ4" s="657"/>
      <c r="UAR4" s="657"/>
      <c r="UAS4" s="657"/>
      <c r="UAT4" s="657"/>
      <c r="UAU4" s="657"/>
      <c r="UAV4" s="657"/>
      <c r="UAW4" s="657"/>
      <c r="UAX4" s="657"/>
      <c r="UAY4" s="657"/>
      <c r="UAZ4" s="657"/>
      <c r="UBA4" s="657"/>
      <c r="UBB4" s="657"/>
      <c r="UBC4" s="657"/>
      <c r="UBD4" s="657"/>
      <c r="UBE4" s="657"/>
      <c r="UBF4" s="657"/>
      <c r="UBG4" s="657"/>
      <c r="UBH4" s="657"/>
      <c r="UBI4" s="657"/>
      <c r="UBJ4" s="657"/>
      <c r="UBK4" s="657"/>
      <c r="UBL4" s="657"/>
      <c r="UBM4" s="657"/>
      <c r="UBN4" s="657"/>
      <c r="UBO4" s="657"/>
      <c r="UBP4" s="657"/>
      <c r="UBQ4" s="657"/>
      <c r="UBR4" s="657"/>
      <c r="UBS4" s="657"/>
      <c r="UBT4" s="657"/>
      <c r="UBU4" s="657"/>
      <c r="UBV4" s="657"/>
      <c r="UBW4" s="657"/>
      <c r="UBX4" s="657"/>
      <c r="UBY4" s="657"/>
      <c r="UBZ4" s="657"/>
      <c r="UCA4" s="657"/>
      <c r="UCB4" s="657"/>
      <c r="UCC4" s="657"/>
      <c r="UCD4" s="657"/>
      <c r="UCE4" s="657"/>
      <c r="UCF4" s="657"/>
      <c r="UCG4" s="657"/>
      <c r="UCH4" s="657"/>
      <c r="UCI4" s="657"/>
      <c r="UCJ4" s="657"/>
      <c r="UCK4" s="657"/>
      <c r="UCL4" s="657"/>
      <c r="UCM4" s="657"/>
      <c r="UCN4" s="657"/>
      <c r="UCO4" s="657"/>
      <c r="UCP4" s="657"/>
      <c r="UCQ4" s="657"/>
      <c r="UCR4" s="657"/>
      <c r="UCS4" s="657"/>
      <c r="UCT4" s="657"/>
      <c r="UCU4" s="657"/>
      <c r="UCV4" s="657"/>
      <c r="UCW4" s="657"/>
      <c r="UCX4" s="657"/>
      <c r="UCY4" s="657"/>
      <c r="UCZ4" s="657"/>
      <c r="UDA4" s="657"/>
      <c r="UDB4" s="657"/>
      <c r="UDC4" s="657"/>
      <c r="UDD4" s="657"/>
      <c r="UDE4" s="657"/>
      <c r="UDF4" s="657"/>
      <c r="UDG4" s="657"/>
      <c r="UDH4" s="657"/>
      <c r="UDI4" s="657"/>
      <c r="UDJ4" s="657"/>
      <c r="UDK4" s="657"/>
      <c r="UDL4" s="657"/>
      <c r="UDM4" s="657"/>
      <c r="UDN4" s="657"/>
      <c r="UDO4" s="657"/>
      <c r="UDP4" s="657"/>
      <c r="UDQ4" s="657"/>
      <c r="UDR4" s="657"/>
      <c r="UDS4" s="657"/>
      <c r="UDT4" s="657"/>
      <c r="UDU4" s="657"/>
      <c r="UDV4" s="657"/>
      <c r="UDW4" s="657"/>
      <c r="UDX4" s="657"/>
      <c r="UDY4" s="657"/>
      <c r="UDZ4" s="657"/>
      <c r="UEA4" s="657"/>
      <c r="UEB4" s="657"/>
      <c r="UEC4" s="657"/>
      <c r="UED4" s="657"/>
      <c r="UEE4" s="657"/>
      <c r="UEF4" s="657"/>
      <c r="UEG4" s="657"/>
      <c r="UEH4" s="657"/>
      <c r="UEI4" s="657"/>
      <c r="UEJ4" s="657"/>
      <c r="UEK4" s="657"/>
      <c r="UEL4" s="657"/>
      <c r="UEM4" s="657"/>
      <c r="UEN4" s="657"/>
      <c r="UEO4" s="657"/>
      <c r="UEP4" s="657"/>
      <c r="UEQ4" s="657"/>
      <c r="UER4" s="657"/>
      <c r="UES4" s="657"/>
      <c r="UET4" s="657"/>
      <c r="UEU4" s="657"/>
      <c r="UEV4" s="657"/>
      <c r="UEW4" s="657"/>
      <c r="UEX4" s="657"/>
      <c r="UEY4" s="657"/>
      <c r="UEZ4" s="657"/>
      <c r="UFA4" s="657"/>
      <c r="UFB4" s="657"/>
      <c r="UFC4" s="657"/>
      <c r="UFD4" s="657"/>
      <c r="UFE4" s="657"/>
      <c r="UFF4" s="657"/>
      <c r="UFG4" s="657"/>
      <c r="UFH4" s="657"/>
      <c r="UFI4" s="657"/>
      <c r="UFJ4" s="657"/>
      <c r="UFK4" s="657"/>
      <c r="UFL4" s="657"/>
      <c r="UFM4" s="657"/>
      <c r="UFN4" s="657"/>
      <c r="UFO4" s="657"/>
      <c r="UFP4" s="657"/>
      <c r="UFQ4" s="657"/>
      <c r="UFR4" s="657"/>
      <c r="UFS4" s="657"/>
      <c r="UFT4" s="657"/>
      <c r="UFU4" s="657"/>
      <c r="UFV4" s="657"/>
      <c r="UFW4" s="657"/>
      <c r="UFX4" s="657"/>
      <c r="UFY4" s="657"/>
      <c r="UFZ4" s="657"/>
      <c r="UGA4" s="657"/>
      <c r="UGB4" s="657"/>
      <c r="UGC4" s="657"/>
      <c r="UGD4" s="657"/>
      <c r="UGE4" s="657"/>
      <c r="UGF4" s="657"/>
      <c r="UGG4" s="657"/>
      <c r="UGH4" s="657"/>
      <c r="UGI4" s="657"/>
      <c r="UGJ4" s="657"/>
      <c r="UGK4" s="657"/>
      <c r="UGL4" s="657"/>
      <c r="UGM4" s="657"/>
      <c r="UGN4" s="657"/>
      <c r="UGO4" s="657"/>
      <c r="UGP4" s="657"/>
      <c r="UGQ4" s="657"/>
      <c r="UGR4" s="657"/>
      <c r="UGS4" s="657"/>
      <c r="UGT4" s="657"/>
      <c r="UGU4" s="657"/>
      <c r="UGV4" s="657"/>
      <c r="UGW4" s="657"/>
      <c r="UGX4" s="657"/>
      <c r="UGY4" s="657"/>
      <c r="UGZ4" s="657"/>
      <c r="UHA4" s="657"/>
      <c r="UHB4" s="657"/>
      <c r="UHC4" s="657"/>
      <c r="UHD4" s="657"/>
      <c r="UHE4" s="657"/>
      <c r="UHF4" s="657"/>
      <c r="UHG4" s="657"/>
      <c r="UHH4" s="657"/>
      <c r="UHI4" s="657"/>
      <c r="UHJ4" s="657"/>
      <c r="UHK4" s="657"/>
      <c r="UHL4" s="657"/>
      <c r="UHM4" s="657"/>
      <c r="UHN4" s="657"/>
      <c r="UHO4" s="657"/>
      <c r="UHP4" s="657"/>
      <c r="UHQ4" s="657"/>
      <c r="UHR4" s="657"/>
      <c r="UHS4" s="657"/>
      <c r="UHT4" s="657"/>
      <c r="UHU4" s="657"/>
      <c r="UHV4" s="657"/>
      <c r="UHW4" s="657"/>
      <c r="UHX4" s="657"/>
      <c r="UHY4" s="657"/>
      <c r="UHZ4" s="657"/>
      <c r="UIA4" s="657"/>
      <c r="UIB4" s="657"/>
      <c r="UIC4" s="657"/>
      <c r="UID4" s="657"/>
      <c r="UIE4" s="657"/>
      <c r="UIF4" s="657"/>
      <c r="UIG4" s="657"/>
      <c r="UIH4" s="657"/>
      <c r="UII4" s="657"/>
      <c r="UIJ4" s="657"/>
      <c r="UIK4" s="657"/>
      <c r="UIL4" s="657"/>
      <c r="UIM4" s="657"/>
      <c r="UIN4" s="657"/>
      <c r="UIO4" s="657"/>
      <c r="UIP4" s="657"/>
      <c r="UIQ4" s="657"/>
      <c r="UIR4" s="657"/>
      <c r="UIS4" s="657"/>
      <c r="UIT4" s="657"/>
      <c r="UIU4" s="657"/>
      <c r="UIV4" s="657"/>
      <c r="UIW4" s="657"/>
      <c r="UIX4" s="657"/>
      <c r="UIY4" s="657"/>
      <c r="UIZ4" s="657"/>
      <c r="UJA4" s="657"/>
      <c r="UJB4" s="657"/>
      <c r="UJC4" s="657"/>
      <c r="UJD4" s="657"/>
      <c r="UJE4" s="657"/>
      <c r="UJF4" s="657"/>
      <c r="UJG4" s="657"/>
      <c r="UJH4" s="657"/>
      <c r="UJI4" s="657"/>
      <c r="UJJ4" s="657"/>
      <c r="UJK4" s="657"/>
      <c r="UJL4" s="657"/>
      <c r="UJM4" s="657"/>
      <c r="UJN4" s="657"/>
      <c r="UJO4" s="657"/>
      <c r="UJP4" s="657"/>
      <c r="UJQ4" s="657"/>
      <c r="UJR4" s="657"/>
      <c r="UJS4" s="657"/>
      <c r="UJT4" s="657"/>
      <c r="UJU4" s="657"/>
      <c r="UJV4" s="657"/>
      <c r="UJW4" s="657"/>
      <c r="UJX4" s="657"/>
      <c r="UJY4" s="657"/>
      <c r="UJZ4" s="657"/>
      <c r="UKA4" s="657"/>
      <c r="UKB4" s="657"/>
      <c r="UKC4" s="657"/>
      <c r="UKD4" s="657"/>
      <c r="UKE4" s="657"/>
      <c r="UKF4" s="657"/>
      <c r="UKG4" s="657"/>
      <c r="UKH4" s="657"/>
      <c r="UKI4" s="657"/>
      <c r="UKJ4" s="657"/>
      <c r="UKK4" s="657"/>
      <c r="UKL4" s="657"/>
      <c r="UKM4" s="657"/>
      <c r="UKN4" s="657"/>
      <c r="UKO4" s="657"/>
      <c r="UKP4" s="657"/>
      <c r="UKQ4" s="657"/>
      <c r="UKR4" s="657"/>
      <c r="UKS4" s="657"/>
      <c r="UKT4" s="657"/>
      <c r="UKU4" s="657"/>
      <c r="UKV4" s="657"/>
      <c r="UKW4" s="657"/>
      <c r="UKX4" s="657"/>
      <c r="UKY4" s="657"/>
      <c r="UKZ4" s="657"/>
      <c r="ULA4" s="657"/>
      <c r="ULB4" s="657"/>
      <c r="ULC4" s="657"/>
      <c r="ULD4" s="657"/>
      <c r="ULE4" s="657"/>
      <c r="ULF4" s="657"/>
      <c r="ULG4" s="657"/>
      <c r="ULH4" s="657"/>
      <c r="ULI4" s="657"/>
      <c r="ULJ4" s="657"/>
      <c r="ULK4" s="657"/>
      <c r="ULL4" s="657"/>
      <c r="ULM4" s="657"/>
      <c r="ULN4" s="657"/>
      <c r="ULO4" s="657"/>
      <c r="ULP4" s="657"/>
      <c r="ULQ4" s="657"/>
      <c r="ULR4" s="657"/>
      <c r="ULS4" s="657"/>
      <c r="ULT4" s="657"/>
      <c r="ULU4" s="657"/>
      <c r="ULV4" s="657"/>
      <c r="ULW4" s="657"/>
      <c r="ULX4" s="657"/>
      <c r="ULY4" s="657"/>
      <c r="ULZ4" s="657"/>
      <c r="UMA4" s="657"/>
      <c r="UMB4" s="657"/>
      <c r="UMC4" s="657"/>
      <c r="UMD4" s="657"/>
      <c r="UME4" s="657"/>
      <c r="UMF4" s="657"/>
      <c r="UMG4" s="657"/>
      <c r="UMH4" s="657"/>
      <c r="UMI4" s="657"/>
      <c r="UMJ4" s="657"/>
      <c r="UMK4" s="657"/>
      <c r="UML4" s="657"/>
      <c r="UMM4" s="657"/>
      <c r="UMN4" s="657"/>
      <c r="UMO4" s="657"/>
      <c r="UMP4" s="657"/>
      <c r="UMQ4" s="657"/>
      <c r="UMR4" s="657"/>
      <c r="UMS4" s="657"/>
      <c r="UMT4" s="657"/>
      <c r="UMU4" s="657"/>
      <c r="UMV4" s="657"/>
      <c r="UMW4" s="657"/>
      <c r="UMX4" s="657"/>
      <c r="UMY4" s="657"/>
      <c r="UMZ4" s="657"/>
      <c r="UNA4" s="657"/>
      <c r="UNB4" s="657"/>
      <c r="UNC4" s="657"/>
      <c r="UND4" s="657"/>
      <c r="UNE4" s="657"/>
      <c r="UNF4" s="657"/>
      <c r="UNG4" s="657"/>
      <c r="UNH4" s="657"/>
      <c r="UNI4" s="657"/>
      <c r="UNJ4" s="657"/>
      <c r="UNK4" s="657"/>
      <c r="UNL4" s="657"/>
      <c r="UNM4" s="657"/>
      <c r="UNN4" s="657"/>
      <c r="UNO4" s="657"/>
      <c r="UNP4" s="657"/>
      <c r="UNQ4" s="657"/>
      <c r="UNR4" s="657"/>
      <c r="UNS4" s="657"/>
      <c r="UNT4" s="657"/>
      <c r="UNU4" s="657"/>
      <c r="UNV4" s="657"/>
      <c r="UNW4" s="657"/>
      <c r="UNX4" s="657"/>
      <c r="UNY4" s="657"/>
      <c r="UNZ4" s="657"/>
      <c r="UOA4" s="657"/>
      <c r="UOB4" s="657"/>
      <c r="UOC4" s="657"/>
      <c r="UOD4" s="657"/>
      <c r="UOE4" s="657"/>
      <c r="UOF4" s="657"/>
      <c r="UOG4" s="657"/>
      <c r="UOH4" s="657"/>
      <c r="UOI4" s="657"/>
      <c r="UOJ4" s="657"/>
      <c r="UOK4" s="657"/>
      <c r="UOL4" s="657"/>
      <c r="UOM4" s="657"/>
      <c r="UON4" s="657"/>
      <c r="UOO4" s="657"/>
      <c r="UOP4" s="657"/>
      <c r="UOQ4" s="657"/>
      <c r="UOR4" s="657"/>
      <c r="UOS4" s="657"/>
      <c r="UOT4" s="657"/>
      <c r="UOU4" s="657"/>
      <c r="UOV4" s="657"/>
      <c r="UOW4" s="657"/>
      <c r="UOX4" s="657"/>
      <c r="UOY4" s="657"/>
      <c r="UOZ4" s="657"/>
      <c r="UPA4" s="657"/>
      <c r="UPB4" s="657"/>
      <c r="UPC4" s="657"/>
      <c r="UPD4" s="657"/>
      <c r="UPE4" s="657"/>
      <c r="UPF4" s="657"/>
      <c r="UPG4" s="657"/>
      <c r="UPH4" s="657"/>
      <c r="UPI4" s="657"/>
      <c r="UPJ4" s="657"/>
      <c r="UPK4" s="657"/>
      <c r="UPL4" s="657"/>
      <c r="UPM4" s="657"/>
      <c r="UPN4" s="657"/>
      <c r="UPO4" s="657"/>
      <c r="UPP4" s="657"/>
      <c r="UPQ4" s="657"/>
      <c r="UPR4" s="657"/>
      <c r="UPS4" s="657"/>
      <c r="UPT4" s="657"/>
      <c r="UPU4" s="657"/>
      <c r="UPV4" s="657"/>
      <c r="UPW4" s="657"/>
      <c r="UPX4" s="657"/>
      <c r="UPY4" s="657"/>
      <c r="UPZ4" s="657"/>
      <c r="UQA4" s="657"/>
      <c r="UQB4" s="657"/>
      <c r="UQC4" s="657"/>
      <c r="UQD4" s="657"/>
      <c r="UQE4" s="657"/>
      <c r="UQF4" s="657"/>
      <c r="UQG4" s="657"/>
      <c r="UQH4" s="657"/>
      <c r="UQI4" s="657"/>
      <c r="UQJ4" s="657"/>
      <c r="UQK4" s="657"/>
      <c r="UQL4" s="657"/>
      <c r="UQM4" s="657"/>
      <c r="UQN4" s="657"/>
      <c r="UQO4" s="657"/>
      <c r="UQP4" s="657"/>
      <c r="UQQ4" s="657"/>
      <c r="UQR4" s="657"/>
      <c r="UQS4" s="657"/>
      <c r="UQT4" s="657"/>
      <c r="UQU4" s="657"/>
      <c r="UQV4" s="657"/>
      <c r="UQW4" s="657"/>
      <c r="UQX4" s="657"/>
      <c r="UQY4" s="657"/>
      <c r="UQZ4" s="657"/>
      <c r="URA4" s="657"/>
      <c r="URB4" s="657"/>
      <c r="URC4" s="657"/>
      <c r="URD4" s="657"/>
      <c r="URE4" s="657"/>
      <c r="URF4" s="657"/>
      <c r="URG4" s="657"/>
      <c r="URH4" s="657"/>
      <c r="URI4" s="657"/>
      <c r="URJ4" s="657"/>
      <c r="URK4" s="657"/>
      <c r="URL4" s="657"/>
      <c r="URM4" s="657"/>
      <c r="URN4" s="657"/>
      <c r="URO4" s="657"/>
      <c r="URP4" s="657"/>
      <c r="URQ4" s="657"/>
      <c r="URR4" s="657"/>
      <c r="URS4" s="657"/>
      <c r="URT4" s="657"/>
      <c r="URU4" s="657"/>
      <c r="URV4" s="657"/>
      <c r="URW4" s="657"/>
      <c r="URX4" s="657"/>
      <c r="URY4" s="657"/>
      <c r="URZ4" s="657"/>
      <c r="USA4" s="657"/>
      <c r="USB4" s="657"/>
      <c r="USC4" s="657"/>
      <c r="USD4" s="657"/>
      <c r="USE4" s="657"/>
      <c r="USF4" s="657"/>
      <c r="USG4" s="657"/>
      <c r="USH4" s="657"/>
      <c r="USI4" s="657"/>
      <c r="USJ4" s="657"/>
      <c r="USK4" s="657"/>
      <c r="USL4" s="657"/>
      <c r="USM4" s="657"/>
      <c r="USN4" s="657"/>
      <c r="USO4" s="657"/>
      <c r="USP4" s="657"/>
      <c r="USQ4" s="657"/>
      <c r="USR4" s="657"/>
      <c r="USS4" s="657"/>
      <c r="UST4" s="657"/>
      <c r="USU4" s="657"/>
      <c r="USV4" s="657"/>
      <c r="USW4" s="657"/>
      <c r="USX4" s="657"/>
      <c r="USY4" s="657"/>
      <c r="USZ4" s="657"/>
      <c r="UTA4" s="657"/>
      <c r="UTB4" s="657"/>
      <c r="UTC4" s="657"/>
      <c r="UTD4" s="657"/>
      <c r="UTE4" s="657"/>
      <c r="UTF4" s="657"/>
      <c r="UTG4" s="657"/>
      <c r="UTH4" s="657"/>
      <c r="UTI4" s="657"/>
      <c r="UTJ4" s="657"/>
      <c r="UTK4" s="657"/>
      <c r="UTL4" s="657"/>
      <c r="UTM4" s="657"/>
      <c r="UTN4" s="657"/>
      <c r="UTO4" s="657"/>
      <c r="UTP4" s="657"/>
      <c r="UTQ4" s="657"/>
      <c r="UTR4" s="657"/>
      <c r="UTS4" s="657"/>
      <c r="UTT4" s="657"/>
      <c r="UTU4" s="657"/>
      <c r="UTV4" s="657"/>
      <c r="UTW4" s="657"/>
      <c r="UTX4" s="657"/>
      <c r="UTY4" s="657"/>
      <c r="UTZ4" s="657"/>
      <c r="UUA4" s="657"/>
      <c r="UUB4" s="657"/>
      <c r="UUC4" s="657"/>
      <c r="UUD4" s="657"/>
      <c r="UUE4" s="657"/>
      <c r="UUF4" s="657"/>
      <c r="UUG4" s="657"/>
      <c r="UUH4" s="657"/>
      <c r="UUI4" s="657"/>
      <c r="UUJ4" s="657"/>
      <c r="UUK4" s="657"/>
      <c r="UUL4" s="657"/>
      <c r="UUM4" s="657"/>
      <c r="UUN4" s="657"/>
      <c r="UUO4" s="657"/>
      <c r="UUP4" s="657"/>
      <c r="UUQ4" s="657"/>
      <c r="UUR4" s="657"/>
      <c r="UUS4" s="657"/>
      <c r="UUT4" s="657"/>
      <c r="UUU4" s="657"/>
      <c r="UUV4" s="657"/>
      <c r="UUW4" s="657"/>
      <c r="UUX4" s="657"/>
      <c r="UUY4" s="657"/>
      <c r="UUZ4" s="657"/>
      <c r="UVA4" s="657"/>
      <c r="UVB4" s="657"/>
      <c r="UVC4" s="657"/>
      <c r="UVD4" s="657"/>
      <c r="UVE4" s="657"/>
      <c r="UVF4" s="657"/>
      <c r="UVG4" s="657"/>
      <c r="UVH4" s="657"/>
      <c r="UVI4" s="657"/>
      <c r="UVJ4" s="657"/>
      <c r="UVK4" s="657"/>
      <c r="UVL4" s="657"/>
      <c r="UVM4" s="657"/>
      <c r="UVN4" s="657"/>
      <c r="UVO4" s="657"/>
      <c r="UVP4" s="657"/>
      <c r="UVQ4" s="657"/>
      <c r="UVR4" s="657"/>
      <c r="UVS4" s="657"/>
      <c r="UVT4" s="657"/>
      <c r="UVU4" s="657"/>
      <c r="UVV4" s="657"/>
      <c r="UVW4" s="657"/>
      <c r="UVX4" s="657"/>
      <c r="UVY4" s="657"/>
      <c r="UVZ4" s="657"/>
      <c r="UWA4" s="657"/>
      <c r="UWB4" s="657"/>
      <c r="UWC4" s="657"/>
      <c r="UWD4" s="657"/>
      <c r="UWE4" s="657"/>
      <c r="UWF4" s="657"/>
      <c r="UWG4" s="657"/>
      <c r="UWH4" s="657"/>
      <c r="UWI4" s="657"/>
      <c r="UWJ4" s="657"/>
      <c r="UWK4" s="657"/>
      <c r="UWL4" s="657"/>
      <c r="UWM4" s="657"/>
      <c r="UWN4" s="657"/>
      <c r="UWO4" s="657"/>
      <c r="UWP4" s="657"/>
      <c r="UWQ4" s="657"/>
      <c r="UWR4" s="657"/>
      <c r="UWS4" s="657"/>
      <c r="UWT4" s="657"/>
      <c r="UWU4" s="657"/>
      <c r="UWV4" s="657"/>
      <c r="UWW4" s="657"/>
      <c r="UWX4" s="657"/>
      <c r="UWY4" s="657"/>
      <c r="UWZ4" s="657"/>
      <c r="UXA4" s="657"/>
      <c r="UXB4" s="657"/>
      <c r="UXC4" s="657"/>
      <c r="UXD4" s="657"/>
      <c r="UXE4" s="657"/>
      <c r="UXF4" s="657"/>
      <c r="UXG4" s="657"/>
      <c r="UXH4" s="657"/>
      <c r="UXI4" s="657"/>
      <c r="UXJ4" s="657"/>
      <c r="UXK4" s="657"/>
      <c r="UXL4" s="657"/>
      <c r="UXM4" s="657"/>
      <c r="UXN4" s="657"/>
      <c r="UXO4" s="657"/>
      <c r="UXP4" s="657"/>
      <c r="UXQ4" s="657"/>
      <c r="UXR4" s="657"/>
      <c r="UXS4" s="657"/>
      <c r="UXT4" s="657"/>
      <c r="UXU4" s="657"/>
      <c r="UXV4" s="657"/>
      <c r="UXW4" s="657"/>
      <c r="UXX4" s="657"/>
      <c r="UXY4" s="657"/>
      <c r="UXZ4" s="657"/>
      <c r="UYA4" s="657"/>
      <c r="UYB4" s="657"/>
      <c r="UYC4" s="657"/>
      <c r="UYD4" s="657"/>
      <c r="UYE4" s="657"/>
      <c r="UYF4" s="657"/>
      <c r="UYG4" s="657"/>
      <c r="UYH4" s="657"/>
      <c r="UYI4" s="657"/>
      <c r="UYJ4" s="657"/>
      <c r="UYK4" s="657"/>
      <c r="UYL4" s="657"/>
      <c r="UYM4" s="657"/>
      <c r="UYN4" s="657"/>
      <c r="UYO4" s="657"/>
      <c r="UYP4" s="657"/>
      <c r="UYQ4" s="657"/>
      <c r="UYR4" s="657"/>
      <c r="UYS4" s="657"/>
      <c r="UYT4" s="657"/>
      <c r="UYU4" s="657"/>
      <c r="UYV4" s="657"/>
      <c r="UYW4" s="657"/>
      <c r="UYX4" s="657"/>
      <c r="UYY4" s="657"/>
      <c r="UYZ4" s="657"/>
      <c r="UZA4" s="657"/>
      <c r="UZB4" s="657"/>
      <c r="UZC4" s="657"/>
      <c r="UZD4" s="657"/>
      <c r="UZE4" s="657"/>
      <c r="UZF4" s="657"/>
      <c r="UZG4" s="657"/>
      <c r="UZH4" s="657"/>
      <c r="UZI4" s="657"/>
      <c r="UZJ4" s="657"/>
      <c r="UZK4" s="657"/>
      <c r="UZL4" s="657"/>
      <c r="UZM4" s="657"/>
      <c r="UZN4" s="657"/>
      <c r="UZO4" s="657"/>
      <c r="UZP4" s="657"/>
      <c r="UZQ4" s="657"/>
      <c r="UZR4" s="657"/>
      <c r="UZS4" s="657"/>
      <c r="UZT4" s="657"/>
      <c r="UZU4" s="657"/>
      <c r="UZV4" s="657"/>
      <c r="UZW4" s="657"/>
      <c r="UZX4" s="657"/>
      <c r="UZY4" s="657"/>
      <c r="UZZ4" s="657"/>
      <c r="VAA4" s="657"/>
      <c r="VAB4" s="657"/>
      <c r="VAC4" s="657"/>
      <c r="VAD4" s="657"/>
      <c r="VAE4" s="657"/>
      <c r="VAF4" s="657"/>
      <c r="VAG4" s="657"/>
      <c r="VAH4" s="657"/>
      <c r="VAI4" s="657"/>
      <c r="VAJ4" s="657"/>
      <c r="VAK4" s="657"/>
      <c r="VAL4" s="657"/>
      <c r="VAM4" s="657"/>
      <c r="VAN4" s="657"/>
      <c r="VAO4" s="657"/>
      <c r="VAP4" s="657"/>
      <c r="VAQ4" s="657"/>
      <c r="VAR4" s="657"/>
      <c r="VAS4" s="657"/>
      <c r="VAT4" s="657"/>
      <c r="VAU4" s="657"/>
      <c r="VAV4" s="657"/>
      <c r="VAW4" s="657"/>
      <c r="VAX4" s="657"/>
      <c r="VAY4" s="657"/>
      <c r="VAZ4" s="657"/>
      <c r="VBA4" s="657"/>
      <c r="VBB4" s="657"/>
      <c r="VBC4" s="657"/>
      <c r="VBD4" s="657"/>
      <c r="VBE4" s="657"/>
      <c r="VBF4" s="657"/>
      <c r="VBG4" s="657"/>
      <c r="VBH4" s="657"/>
      <c r="VBI4" s="657"/>
      <c r="VBJ4" s="657"/>
      <c r="VBK4" s="657"/>
      <c r="VBL4" s="657"/>
      <c r="VBM4" s="657"/>
      <c r="VBN4" s="657"/>
      <c r="VBO4" s="657"/>
      <c r="VBP4" s="657"/>
      <c r="VBQ4" s="657"/>
      <c r="VBR4" s="657"/>
      <c r="VBS4" s="657"/>
      <c r="VBT4" s="657"/>
      <c r="VBU4" s="657"/>
      <c r="VBV4" s="657"/>
      <c r="VBW4" s="657"/>
      <c r="VBX4" s="657"/>
      <c r="VBY4" s="657"/>
      <c r="VBZ4" s="657"/>
      <c r="VCA4" s="657"/>
      <c r="VCB4" s="657"/>
      <c r="VCC4" s="657"/>
      <c r="VCD4" s="657"/>
      <c r="VCE4" s="657"/>
      <c r="VCF4" s="657"/>
      <c r="VCG4" s="657"/>
      <c r="VCH4" s="657"/>
      <c r="VCI4" s="657"/>
      <c r="VCJ4" s="657"/>
      <c r="VCK4" s="657"/>
      <c r="VCL4" s="657"/>
      <c r="VCM4" s="657"/>
      <c r="VCN4" s="657"/>
      <c r="VCO4" s="657"/>
      <c r="VCP4" s="657"/>
      <c r="VCQ4" s="657"/>
      <c r="VCR4" s="657"/>
      <c r="VCS4" s="657"/>
      <c r="VCT4" s="657"/>
      <c r="VCU4" s="657"/>
      <c r="VCV4" s="657"/>
      <c r="VCW4" s="657"/>
      <c r="VCX4" s="657"/>
      <c r="VCY4" s="657"/>
      <c r="VCZ4" s="657"/>
      <c r="VDA4" s="657"/>
      <c r="VDB4" s="657"/>
      <c r="VDC4" s="657"/>
      <c r="VDD4" s="657"/>
      <c r="VDE4" s="657"/>
      <c r="VDF4" s="657"/>
      <c r="VDG4" s="657"/>
      <c r="VDH4" s="657"/>
      <c r="VDI4" s="657"/>
      <c r="VDJ4" s="657"/>
      <c r="VDK4" s="657"/>
      <c r="VDL4" s="657"/>
      <c r="VDM4" s="657"/>
      <c r="VDN4" s="657"/>
      <c r="VDO4" s="657"/>
      <c r="VDP4" s="657"/>
      <c r="VDQ4" s="657"/>
      <c r="VDR4" s="657"/>
      <c r="VDS4" s="657"/>
      <c r="VDT4" s="657"/>
      <c r="VDU4" s="657"/>
      <c r="VDV4" s="657"/>
      <c r="VDW4" s="657"/>
      <c r="VDX4" s="657"/>
      <c r="VDY4" s="657"/>
      <c r="VDZ4" s="657"/>
      <c r="VEA4" s="657"/>
      <c r="VEB4" s="657"/>
      <c r="VEC4" s="657"/>
      <c r="VED4" s="657"/>
      <c r="VEE4" s="657"/>
      <c r="VEF4" s="657"/>
      <c r="VEG4" s="657"/>
      <c r="VEH4" s="657"/>
      <c r="VEI4" s="657"/>
      <c r="VEJ4" s="657"/>
      <c r="VEK4" s="657"/>
      <c r="VEL4" s="657"/>
      <c r="VEM4" s="657"/>
      <c r="VEN4" s="657"/>
      <c r="VEO4" s="657"/>
      <c r="VEP4" s="657"/>
      <c r="VEQ4" s="657"/>
      <c r="VER4" s="657"/>
      <c r="VES4" s="657"/>
      <c r="VET4" s="657"/>
      <c r="VEU4" s="657"/>
      <c r="VEV4" s="657"/>
      <c r="VEW4" s="657"/>
      <c r="VEX4" s="657"/>
      <c r="VEY4" s="657"/>
      <c r="VEZ4" s="657"/>
      <c r="VFA4" s="657"/>
      <c r="VFB4" s="657"/>
      <c r="VFC4" s="657"/>
      <c r="VFD4" s="657"/>
      <c r="VFE4" s="657"/>
      <c r="VFF4" s="657"/>
      <c r="VFG4" s="657"/>
      <c r="VFH4" s="657"/>
      <c r="VFI4" s="657"/>
      <c r="VFJ4" s="657"/>
      <c r="VFK4" s="657"/>
      <c r="VFL4" s="657"/>
      <c r="VFM4" s="657"/>
      <c r="VFN4" s="657"/>
      <c r="VFO4" s="657"/>
      <c r="VFP4" s="657"/>
      <c r="VFQ4" s="657"/>
      <c r="VFR4" s="657"/>
      <c r="VFS4" s="657"/>
      <c r="VFT4" s="657"/>
      <c r="VFU4" s="657"/>
      <c r="VFV4" s="657"/>
      <c r="VFW4" s="657"/>
      <c r="VFX4" s="657"/>
      <c r="VFY4" s="657"/>
      <c r="VFZ4" s="657"/>
      <c r="VGA4" s="657"/>
      <c r="VGB4" s="657"/>
      <c r="VGC4" s="657"/>
      <c r="VGD4" s="657"/>
      <c r="VGE4" s="657"/>
      <c r="VGF4" s="657"/>
      <c r="VGG4" s="657"/>
      <c r="VGH4" s="657"/>
      <c r="VGI4" s="657"/>
      <c r="VGJ4" s="657"/>
      <c r="VGK4" s="657"/>
      <c r="VGL4" s="657"/>
      <c r="VGM4" s="657"/>
      <c r="VGN4" s="657"/>
      <c r="VGO4" s="657"/>
      <c r="VGP4" s="657"/>
      <c r="VGQ4" s="657"/>
      <c r="VGR4" s="657"/>
      <c r="VGS4" s="657"/>
      <c r="VGT4" s="657"/>
      <c r="VGU4" s="657"/>
      <c r="VGV4" s="657"/>
      <c r="VGW4" s="657"/>
      <c r="VGX4" s="657"/>
      <c r="VGY4" s="657"/>
      <c r="VGZ4" s="657"/>
      <c r="VHA4" s="657"/>
      <c r="VHB4" s="657"/>
      <c r="VHC4" s="657"/>
      <c r="VHD4" s="657"/>
      <c r="VHE4" s="657"/>
      <c r="VHF4" s="657"/>
      <c r="VHG4" s="657"/>
      <c r="VHH4" s="657"/>
      <c r="VHI4" s="657"/>
      <c r="VHJ4" s="657"/>
      <c r="VHK4" s="657"/>
      <c r="VHL4" s="657"/>
      <c r="VHM4" s="657"/>
      <c r="VHN4" s="657"/>
      <c r="VHO4" s="657"/>
      <c r="VHP4" s="657"/>
      <c r="VHQ4" s="657"/>
      <c r="VHR4" s="657"/>
      <c r="VHS4" s="657"/>
      <c r="VHT4" s="657"/>
      <c r="VHU4" s="657"/>
      <c r="VHV4" s="657"/>
      <c r="VHW4" s="657"/>
      <c r="VHX4" s="657"/>
      <c r="VHY4" s="657"/>
      <c r="VHZ4" s="657"/>
      <c r="VIA4" s="657"/>
      <c r="VIB4" s="657"/>
      <c r="VIC4" s="657"/>
      <c r="VID4" s="657"/>
      <c r="VIE4" s="657"/>
      <c r="VIF4" s="657"/>
      <c r="VIG4" s="657"/>
      <c r="VIH4" s="657"/>
      <c r="VII4" s="657"/>
      <c r="VIJ4" s="657"/>
      <c r="VIK4" s="657"/>
      <c r="VIL4" s="657"/>
      <c r="VIM4" s="657"/>
      <c r="VIN4" s="657"/>
      <c r="VIO4" s="657"/>
      <c r="VIP4" s="657"/>
      <c r="VIQ4" s="657"/>
      <c r="VIR4" s="657"/>
      <c r="VIS4" s="657"/>
      <c r="VIT4" s="657"/>
      <c r="VIU4" s="657"/>
      <c r="VIV4" s="657"/>
      <c r="VIW4" s="657"/>
      <c r="VIX4" s="657"/>
      <c r="VIY4" s="657"/>
      <c r="VIZ4" s="657"/>
      <c r="VJA4" s="657"/>
      <c r="VJB4" s="657"/>
      <c r="VJC4" s="657"/>
      <c r="VJD4" s="657"/>
      <c r="VJE4" s="657"/>
      <c r="VJF4" s="657"/>
      <c r="VJG4" s="657"/>
      <c r="VJH4" s="657"/>
      <c r="VJI4" s="657"/>
      <c r="VJJ4" s="657"/>
      <c r="VJK4" s="657"/>
      <c r="VJL4" s="657"/>
      <c r="VJM4" s="657"/>
      <c r="VJN4" s="657"/>
      <c r="VJO4" s="657"/>
      <c r="VJP4" s="657"/>
      <c r="VJQ4" s="657"/>
      <c r="VJR4" s="657"/>
      <c r="VJS4" s="657"/>
      <c r="VJT4" s="657"/>
      <c r="VJU4" s="657"/>
      <c r="VJV4" s="657"/>
      <c r="VJW4" s="657"/>
      <c r="VJX4" s="657"/>
      <c r="VJY4" s="657"/>
      <c r="VJZ4" s="657"/>
      <c r="VKA4" s="657"/>
      <c r="VKB4" s="657"/>
      <c r="VKC4" s="657"/>
      <c r="VKD4" s="657"/>
      <c r="VKE4" s="657"/>
      <c r="VKF4" s="657"/>
      <c r="VKG4" s="657"/>
      <c r="VKH4" s="657"/>
      <c r="VKI4" s="657"/>
      <c r="VKJ4" s="657"/>
      <c r="VKK4" s="657"/>
      <c r="VKL4" s="657"/>
      <c r="VKM4" s="657"/>
      <c r="VKN4" s="657"/>
      <c r="VKO4" s="657"/>
      <c r="VKP4" s="657"/>
      <c r="VKQ4" s="657"/>
      <c r="VKR4" s="657"/>
      <c r="VKS4" s="657"/>
      <c r="VKT4" s="657"/>
      <c r="VKU4" s="657"/>
      <c r="VKV4" s="657"/>
      <c r="VKW4" s="657"/>
      <c r="VKX4" s="657"/>
      <c r="VKY4" s="657"/>
      <c r="VKZ4" s="657"/>
      <c r="VLA4" s="657"/>
      <c r="VLB4" s="657"/>
      <c r="VLC4" s="657"/>
      <c r="VLD4" s="657"/>
      <c r="VLE4" s="657"/>
      <c r="VLF4" s="657"/>
      <c r="VLG4" s="657"/>
      <c r="VLH4" s="657"/>
      <c r="VLI4" s="657"/>
      <c r="VLJ4" s="657"/>
      <c r="VLK4" s="657"/>
      <c r="VLL4" s="657"/>
      <c r="VLM4" s="657"/>
      <c r="VLN4" s="657"/>
      <c r="VLO4" s="657"/>
      <c r="VLP4" s="657"/>
      <c r="VLQ4" s="657"/>
      <c r="VLR4" s="657"/>
      <c r="VLS4" s="657"/>
      <c r="VLT4" s="657"/>
      <c r="VLU4" s="657"/>
      <c r="VLV4" s="657"/>
      <c r="VLW4" s="657"/>
      <c r="VLX4" s="657"/>
      <c r="VLY4" s="657"/>
      <c r="VLZ4" s="657"/>
      <c r="VMA4" s="657"/>
      <c r="VMB4" s="657"/>
      <c r="VMC4" s="657"/>
      <c r="VMD4" s="657"/>
      <c r="VME4" s="657"/>
      <c r="VMF4" s="657"/>
      <c r="VMG4" s="657"/>
      <c r="VMH4" s="657"/>
      <c r="VMI4" s="657"/>
      <c r="VMJ4" s="657"/>
      <c r="VMK4" s="657"/>
      <c r="VML4" s="657"/>
      <c r="VMM4" s="657"/>
      <c r="VMN4" s="657"/>
      <c r="VMO4" s="657"/>
      <c r="VMP4" s="657"/>
      <c r="VMQ4" s="657"/>
      <c r="VMR4" s="657"/>
      <c r="VMS4" s="657"/>
      <c r="VMT4" s="657"/>
      <c r="VMU4" s="657"/>
      <c r="VMV4" s="657"/>
      <c r="VMW4" s="657"/>
      <c r="VMX4" s="657"/>
      <c r="VMY4" s="657"/>
      <c r="VMZ4" s="657"/>
      <c r="VNA4" s="657"/>
      <c r="VNB4" s="657"/>
      <c r="VNC4" s="657"/>
      <c r="VND4" s="657"/>
      <c r="VNE4" s="657"/>
      <c r="VNF4" s="657"/>
      <c r="VNG4" s="657"/>
      <c r="VNH4" s="657"/>
      <c r="VNI4" s="657"/>
      <c r="VNJ4" s="657"/>
      <c r="VNK4" s="657"/>
      <c r="VNL4" s="657"/>
      <c r="VNM4" s="657"/>
      <c r="VNN4" s="657"/>
      <c r="VNO4" s="657"/>
      <c r="VNP4" s="657"/>
      <c r="VNQ4" s="657"/>
      <c r="VNR4" s="657"/>
      <c r="VNS4" s="657"/>
      <c r="VNT4" s="657"/>
      <c r="VNU4" s="657"/>
      <c r="VNV4" s="657"/>
      <c r="VNW4" s="657"/>
      <c r="VNX4" s="657"/>
      <c r="VNY4" s="657"/>
      <c r="VNZ4" s="657"/>
      <c r="VOA4" s="657"/>
      <c r="VOB4" s="657"/>
      <c r="VOC4" s="657"/>
      <c r="VOD4" s="657"/>
      <c r="VOE4" s="657"/>
      <c r="VOF4" s="657"/>
      <c r="VOG4" s="657"/>
      <c r="VOH4" s="657"/>
      <c r="VOI4" s="657"/>
      <c r="VOJ4" s="657"/>
      <c r="VOK4" s="657"/>
      <c r="VOL4" s="657"/>
      <c r="VOM4" s="657"/>
      <c r="VON4" s="657"/>
      <c r="VOO4" s="657"/>
      <c r="VOP4" s="657"/>
      <c r="VOQ4" s="657"/>
      <c r="VOR4" s="657"/>
      <c r="VOS4" s="657"/>
      <c r="VOT4" s="657"/>
      <c r="VOU4" s="657"/>
      <c r="VOV4" s="657"/>
      <c r="VOW4" s="657"/>
      <c r="VOX4" s="657"/>
      <c r="VOY4" s="657"/>
      <c r="VOZ4" s="657"/>
      <c r="VPA4" s="657"/>
      <c r="VPB4" s="657"/>
      <c r="VPC4" s="657"/>
      <c r="VPD4" s="657"/>
      <c r="VPE4" s="657"/>
      <c r="VPF4" s="657"/>
      <c r="VPG4" s="657"/>
      <c r="VPH4" s="657"/>
      <c r="VPI4" s="657"/>
      <c r="VPJ4" s="657"/>
      <c r="VPK4" s="657"/>
      <c r="VPL4" s="657"/>
      <c r="VPM4" s="657"/>
      <c r="VPN4" s="657"/>
      <c r="VPO4" s="657"/>
      <c r="VPP4" s="657"/>
      <c r="VPQ4" s="657"/>
      <c r="VPR4" s="657"/>
      <c r="VPS4" s="657"/>
      <c r="VPT4" s="657"/>
      <c r="VPU4" s="657"/>
      <c r="VPV4" s="657"/>
      <c r="VPW4" s="657"/>
      <c r="VPX4" s="657"/>
      <c r="VPY4" s="657"/>
      <c r="VPZ4" s="657"/>
      <c r="VQA4" s="657"/>
      <c r="VQB4" s="657"/>
      <c r="VQC4" s="657"/>
      <c r="VQD4" s="657"/>
      <c r="VQE4" s="657"/>
      <c r="VQF4" s="657"/>
      <c r="VQG4" s="657"/>
      <c r="VQH4" s="657"/>
      <c r="VQI4" s="657"/>
      <c r="VQJ4" s="657"/>
      <c r="VQK4" s="657"/>
      <c r="VQL4" s="657"/>
      <c r="VQM4" s="657"/>
      <c r="VQN4" s="657"/>
      <c r="VQO4" s="657"/>
      <c r="VQP4" s="657"/>
      <c r="VQQ4" s="657"/>
      <c r="VQR4" s="657"/>
      <c r="VQS4" s="657"/>
      <c r="VQT4" s="657"/>
      <c r="VQU4" s="657"/>
      <c r="VQV4" s="657"/>
      <c r="VQW4" s="657"/>
      <c r="VQX4" s="657"/>
      <c r="VQY4" s="657"/>
      <c r="VQZ4" s="657"/>
      <c r="VRA4" s="657"/>
      <c r="VRB4" s="657"/>
      <c r="VRC4" s="657"/>
      <c r="VRD4" s="657"/>
      <c r="VRE4" s="657"/>
      <c r="VRF4" s="657"/>
      <c r="VRG4" s="657"/>
      <c r="VRH4" s="657"/>
      <c r="VRI4" s="657"/>
      <c r="VRJ4" s="657"/>
      <c r="VRK4" s="657"/>
      <c r="VRL4" s="657"/>
      <c r="VRM4" s="657"/>
      <c r="VRN4" s="657"/>
      <c r="VRO4" s="657"/>
      <c r="VRP4" s="657"/>
      <c r="VRQ4" s="657"/>
      <c r="VRR4" s="657"/>
      <c r="VRS4" s="657"/>
      <c r="VRT4" s="657"/>
      <c r="VRU4" s="657"/>
      <c r="VRV4" s="657"/>
      <c r="VRW4" s="657"/>
      <c r="VRX4" s="657"/>
      <c r="VRY4" s="657"/>
      <c r="VRZ4" s="657"/>
      <c r="VSA4" s="657"/>
      <c r="VSB4" s="657"/>
      <c r="VSC4" s="657"/>
      <c r="VSD4" s="657"/>
      <c r="VSE4" s="657"/>
      <c r="VSF4" s="657"/>
      <c r="VSG4" s="657"/>
      <c r="VSH4" s="657"/>
      <c r="VSI4" s="657"/>
      <c r="VSJ4" s="657"/>
      <c r="VSK4" s="657"/>
      <c r="VSL4" s="657"/>
      <c r="VSM4" s="657"/>
      <c r="VSN4" s="657"/>
      <c r="VSO4" s="657"/>
      <c r="VSP4" s="657"/>
      <c r="VSQ4" s="657"/>
      <c r="VSR4" s="657"/>
      <c r="VSS4" s="657"/>
      <c r="VST4" s="657"/>
      <c r="VSU4" s="657"/>
      <c r="VSV4" s="657"/>
      <c r="VSW4" s="657"/>
      <c r="VSX4" s="657"/>
      <c r="VSY4" s="657"/>
      <c r="VSZ4" s="657"/>
      <c r="VTA4" s="657"/>
      <c r="VTB4" s="657"/>
      <c r="VTC4" s="657"/>
      <c r="VTD4" s="657"/>
      <c r="VTE4" s="657"/>
      <c r="VTF4" s="657"/>
      <c r="VTG4" s="657"/>
      <c r="VTH4" s="657"/>
      <c r="VTI4" s="657"/>
      <c r="VTJ4" s="657"/>
      <c r="VTK4" s="657"/>
      <c r="VTL4" s="657"/>
      <c r="VTM4" s="657"/>
      <c r="VTN4" s="657"/>
      <c r="VTO4" s="657"/>
      <c r="VTP4" s="657"/>
      <c r="VTQ4" s="657"/>
      <c r="VTR4" s="657"/>
      <c r="VTS4" s="657"/>
      <c r="VTT4" s="657"/>
      <c r="VTU4" s="657"/>
      <c r="VTV4" s="657"/>
      <c r="VTW4" s="657"/>
      <c r="VTX4" s="657"/>
      <c r="VTY4" s="657"/>
      <c r="VTZ4" s="657"/>
      <c r="VUA4" s="657"/>
      <c r="VUB4" s="657"/>
      <c r="VUC4" s="657"/>
      <c r="VUD4" s="657"/>
      <c r="VUE4" s="657"/>
      <c r="VUF4" s="657"/>
      <c r="VUG4" s="657"/>
      <c r="VUH4" s="657"/>
      <c r="VUI4" s="657"/>
      <c r="VUJ4" s="657"/>
      <c r="VUK4" s="657"/>
      <c r="VUL4" s="657"/>
      <c r="VUM4" s="657"/>
      <c r="VUN4" s="657"/>
      <c r="VUO4" s="657"/>
      <c r="VUP4" s="657"/>
      <c r="VUQ4" s="657"/>
      <c r="VUR4" s="657"/>
      <c r="VUS4" s="657"/>
      <c r="VUT4" s="657"/>
      <c r="VUU4" s="657"/>
      <c r="VUV4" s="657"/>
      <c r="VUW4" s="657"/>
      <c r="VUX4" s="657"/>
      <c r="VUY4" s="657"/>
      <c r="VUZ4" s="657"/>
      <c r="VVA4" s="657"/>
      <c r="VVB4" s="657"/>
      <c r="VVC4" s="657"/>
      <c r="VVD4" s="657"/>
      <c r="VVE4" s="657"/>
      <c r="VVF4" s="657"/>
      <c r="VVG4" s="657"/>
      <c r="VVH4" s="657"/>
      <c r="VVI4" s="657"/>
      <c r="VVJ4" s="657"/>
      <c r="VVK4" s="657"/>
      <c r="VVL4" s="657"/>
      <c r="VVM4" s="657"/>
      <c r="VVN4" s="657"/>
      <c r="VVO4" s="657"/>
      <c r="VVP4" s="657"/>
      <c r="VVQ4" s="657"/>
      <c r="VVR4" s="657"/>
      <c r="VVS4" s="657"/>
      <c r="VVT4" s="657"/>
      <c r="VVU4" s="657"/>
      <c r="VVV4" s="657"/>
      <c r="VVW4" s="657"/>
      <c r="VVX4" s="657"/>
      <c r="VVY4" s="657"/>
      <c r="VVZ4" s="657"/>
      <c r="VWA4" s="657"/>
      <c r="VWB4" s="657"/>
      <c r="VWC4" s="657"/>
      <c r="VWD4" s="657"/>
      <c r="VWE4" s="657"/>
      <c r="VWF4" s="657"/>
      <c r="VWG4" s="657"/>
      <c r="VWH4" s="657"/>
      <c r="VWI4" s="657"/>
      <c r="VWJ4" s="657"/>
      <c r="VWK4" s="657"/>
      <c r="VWL4" s="657"/>
      <c r="VWM4" s="657"/>
      <c r="VWN4" s="657"/>
      <c r="VWO4" s="657"/>
      <c r="VWP4" s="657"/>
      <c r="VWQ4" s="657"/>
      <c r="VWR4" s="657"/>
      <c r="VWS4" s="657"/>
      <c r="VWT4" s="657"/>
      <c r="VWU4" s="657"/>
      <c r="VWV4" s="657"/>
      <c r="VWW4" s="657"/>
      <c r="VWX4" s="657"/>
      <c r="VWY4" s="657"/>
      <c r="VWZ4" s="657"/>
      <c r="VXA4" s="657"/>
      <c r="VXB4" s="657"/>
      <c r="VXC4" s="657"/>
      <c r="VXD4" s="657"/>
      <c r="VXE4" s="657"/>
      <c r="VXF4" s="657"/>
      <c r="VXG4" s="657"/>
      <c r="VXH4" s="657"/>
      <c r="VXI4" s="657"/>
      <c r="VXJ4" s="657"/>
      <c r="VXK4" s="657"/>
      <c r="VXL4" s="657"/>
      <c r="VXM4" s="657"/>
      <c r="VXN4" s="657"/>
      <c r="VXO4" s="657"/>
      <c r="VXP4" s="657"/>
      <c r="VXQ4" s="657"/>
      <c r="VXR4" s="657"/>
      <c r="VXS4" s="657"/>
      <c r="VXT4" s="657"/>
      <c r="VXU4" s="657"/>
      <c r="VXV4" s="657"/>
      <c r="VXW4" s="657"/>
      <c r="VXX4" s="657"/>
      <c r="VXY4" s="657"/>
      <c r="VXZ4" s="657"/>
      <c r="VYA4" s="657"/>
      <c r="VYB4" s="657"/>
      <c r="VYC4" s="657"/>
      <c r="VYD4" s="657"/>
      <c r="VYE4" s="657"/>
      <c r="VYF4" s="657"/>
      <c r="VYG4" s="657"/>
      <c r="VYH4" s="657"/>
      <c r="VYI4" s="657"/>
      <c r="VYJ4" s="657"/>
      <c r="VYK4" s="657"/>
      <c r="VYL4" s="657"/>
      <c r="VYM4" s="657"/>
      <c r="VYN4" s="657"/>
      <c r="VYO4" s="657"/>
      <c r="VYP4" s="657"/>
      <c r="VYQ4" s="657"/>
      <c r="VYR4" s="657"/>
      <c r="VYS4" s="657"/>
      <c r="VYT4" s="657"/>
      <c r="VYU4" s="657"/>
      <c r="VYV4" s="657"/>
      <c r="VYW4" s="657"/>
      <c r="VYX4" s="657"/>
      <c r="VYY4" s="657"/>
      <c r="VYZ4" s="657"/>
      <c r="VZA4" s="657"/>
      <c r="VZB4" s="657"/>
      <c r="VZC4" s="657"/>
      <c r="VZD4" s="657"/>
      <c r="VZE4" s="657"/>
      <c r="VZF4" s="657"/>
      <c r="VZG4" s="657"/>
      <c r="VZH4" s="657"/>
      <c r="VZI4" s="657"/>
      <c r="VZJ4" s="657"/>
      <c r="VZK4" s="657"/>
      <c r="VZL4" s="657"/>
      <c r="VZM4" s="657"/>
      <c r="VZN4" s="657"/>
      <c r="VZO4" s="657"/>
      <c r="VZP4" s="657"/>
      <c r="VZQ4" s="657"/>
      <c r="VZR4" s="657"/>
      <c r="VZS4" s="657"/>
      <c r="VZT4" s="657"/>
      <c r="VZU4" s="657"/>
      <c r="VZV4" s="657"/>
      <c r="VZW4" s="657"/>
      <c r="VZX4" s="657"/>
      <c r="VZY4" s="657"/>
      <c r="VZZ4" s="657"/>
      <c r="WAA4" s="657"/>
      <c r="WAB4" s="657"/>
      <c r="WAC4" s="657"/>
      <c r="WAD4" s="657"/>
      <c r="WAE4" s="657"/>
      <c r="WAF4" s="657"/>
      <c r="WAG4" s="657"/>
      <c r="WAH4" s="657"/>
      <c r="WAI4" s="657"/>
      <c r="WAJ4" s="657"/>
      <c r="WAK4" s="657"/>
      <c r="WAL4" s="657"/>
      <c r="WAM4" s="657"/>
      <c r="WAN4" s="657"/>
      <c r="WAO4" s="657"/>
      <c r="WAP4" s="657"/>
      <c r="WAQ4" s="657"/>
      <c r="WAR4" s="657"/>
      <c r="WAS4" s="657"/>
      <c r="WAT4" s="657"/>
      <c r="WAU4" s="657"/>
      <c r="WAV4" s="657"/>
      <c r="WAW4" s="657"/>
      <c r="WAX4" s="657"/>
      <c r="WAY4" s="657"/>
      <c r="WAZ4" s="657"/>
      <c r="WBA4" s="657"/>
      <c r="WBB4" s="657"/>
      <c r="WBC4" s="657"/>
      <c r="WBD4" s="657"/>
      <c r="WBE4" s="657"/>
      <c r="WBF4" s="657"/>
      <c r="WBG4" s="657"/>
      <c r="WBH4" s="657"/>
      <c r="WBI4" s="657"/>
      <c r="WBJ4" s="657"/>
      <c r="WBK4" s="657"/>
      <c r="WBL4" s="657"/>
      <c r="WBM4" s="657"/>
      <c r="WBN4" s="657"/>
      <c r="WBO4" s="657"/>
      <c r="WBP4" s="657"/>
      <c r="WBQ4" s="657"/>
      <c r="WBR4" s="657"/>
      <c r="WBS4" s="657"/>
      <c r="WBT4" s="657"/>
      <c r="WBU4" s="657"/>
      <c r="WBV4" s="657"/>
      <c r="WBW4" s="657"/>
      <c r="WBX4" s="657"/>
      <c r="WBY4" s="657"/>
      <c r="WBZ4" s="657"/>
      <c r="WCA4" s="657"/>
      <c r="WCB4" s="657"/>
      <c r="WCC4" s="657"/>
      <c r="WCD4" s="657"/>
      <c r="WCE4" s="657"/>
      <c r="WCF4" s="657"/>
      <c r="WCG4" s="657"/>
      <c r="WCH4" s="657"/>
      <c r="WCI4" s="657"/>
      <c r="WCJ4" s="657"/>
      <c r="WCK4" s="657"/>
      <c r="WCL4" s="657"/>
      <c r="WCM4" s="657"/>
      <c r="WCN4" s="657"/>
      <c r="WCO4" s="657"/>
      <c r="WCP4" s="657"/>
      <c r="WCQ4" s="657"/>
      <c r="WCR4" s="657"/>
      <c r="WCS4" s="657"/>
      <c r="WCT4" s="657"/>
      <c r="WCU4" s="657"/>
      <c r="WCV4" s="657"/>
      <c r="WCW4" s="657"/>
      <c r="WCX4" s="657"/>
      <c r="WCY4" s="657"/>
      <c r="WCZ4" s="657"/>
      <c r="WDA4" s="657"/>
      <c r="WDB4" s="657"/>
      <c r="WDC4" s="657"/>
      <c r="WDD4" s="657"/>
      <c r="WDE4" s="657"/>
      <c r="WDF4" s="657"/>
      <c r="WDG4" s="657"/>
      <c r="WDH4" s="657"/>
      <c r="WDI4" s="657"/>
      <c r="WDJ4" s="657"/>
      <c r="WDK4" s="657"/>
      <c r="WDL4" s="657"/>
      <c r="WDM4" s="657"/>
      <c r="WDN4" s="657"/>
      <c r="WDO4" s="657"/>
      <c r="WDP4" s="657"/>
      <c r="WDQ4" s="657"/>
      <c r="WDR4" s="657"/>
      <c r="WDS4" s="657"/>
      <c r="WDT4" s="657"/>
      <c r="WDU4" s="657"/>
      <c r="WDV4" s="657"/>
      <c r="WDW4" s="657"/>
      <c r="WDX4" s="657"/>
      <c r="WDY4" s="657"/>
      <c r="WDZ4" s="657"/>
      <c r="WEA4" s="657"/>
      <c r="WEB4" s="657"/>
      <c r="WEC4" s="657"/>
      <c r="WED4" s="657"/>
      <c r="WEE4" s="657"/>
      <c r="WEF4" s="657"/>
      <c r="WEG4" s="657"/>
      <c r="WEH4" s="657"/>
      <c r="WEI4" s="657"/>
      <c r="WEJ4" s="657"/>
      <c r="WEK4" s="657"/>
      <c r="WEL4" s="657"/>
      <c r="WEM4" s="657"/>
      <c r="WEN4" s="657"/>
      <c r="WEO4" s="657"/>
      <c r="WEP4" s="657"/>
      <c r="WEQ4" s="657"/>
      <c r="WER4" s="657"/>
      <c r="WES4" s="657"/>
      <c r="WET4" s="657"/>
      <c r="WEU4" s="657"/>
      <c r="WEV4" s="657"/>
      <c r="WEW4" s="657"/>
      <c r="WEX4" s="657"/>
      <c r="WEY4" s="657"/>
      <c r="WEZ4" s="657"/>
      <c r="WFA4" s="657"/>
      <c r="WFB4" s="657"/>
      <c r="WFC4" s="657"/>
      <c r="WFD4" s="657"/>
      <c r="WFE4" s="657"/>
      <c r="WFF4" s="657"/>
      <c r="WFG4" s="657"/>
      <c r="WFH4" s="657"/>
      <c r="WFI4" s="657"/>
      <c r="WFJ4" s="657"/>
      <c r="WFK4" s="657"/>
      <c r="WFL4" s="657"/>
      <c r="WFM4" s="657"/>
      <c r="WFN4" s="657"/>
      <c r="WFO4" s="657"/>
      <c r="WFP4" s="657"/>
      <c r="WFQ4" s="657"/>
      <c r="WFR4" s="657"/>
      <c r="WFS4" s="657"/>
      <c r="WFT4" s="657"/>
      <c r="WFU4" s="657"/>
      <c r="WFV4" s="657"/>
      <c r="WFW4" s="657"/>
      <c r="WFX4" s="657"/>
      <c r="WFY4" s="657"/>
      <c r="WFZ4" s="657"/>
      <c r="WGA4" s="657"/>
      <c r="WGB4" s="657"/>
      <c r="WGC4" s="657"/>
      <c r="WGD4" s="657"/>
      <c r="WGE4" s="657"/>
      <c r="WGF4" s="657"/>
      <c r="WGG4" s="657"/>
      <c r="WGH4" s="657"/>
      <c r="WGI4" s="657"/>
      <c r="WGJ4" s="657"/>
      <c r="WGK4" s="657"/>
      <c r="WGL4" s="657"/>
      <c r="WGM4" s="657"/>
      <c r="WGN4" s="657"/>
      <c r="WGO4" s="657"/>
      <c r="WGP4" s="657"/>
      <c r="WGQ4" s="657"/>
      <c r="WGR4" s="657"/>
      <c r="WGS4" s="657"/>
      <c r="WGT4" s="657"/>
      <c r="WGU4" s="657"/>
      <c r="WGV4" s="657"/>
      <c r="WGW4" s="657"/>
      <c r="WGX4" s="657"/>
      <c r="WGY4" s="657"/>
      <c r="WGZ4" s="657"/>
      <c r="WHA4" s="657"/>
      <c r="WHB4" s="657"/>
      <c r="WHC4" s="657"/>
      <c r="WHD4" s="657"/>
      <c r="WHE4" s="657"/>
      <c r="WHF4" s="657"/>
      <c r="WHG4" s="657"/>
      <c r="WHH4" s="657"/>
      <c r="WHI4" s="657"/>
      <c r="WHJ4" s="657"/>
      <c r="WHK4" s="657"/>
      <c r="WHL4" s="657"/>
      <c r="WHM4" s="657"/>
      <c r="WHN4" s="657"/>
      <c r="WHO4" s="657"/>
      <c r="WHP4" s="657"/>
      <c r="WHQ4" s="657"/>
      <c r="WHR4" s="657"/>
      <c r="WHS4" s="657"/>
      <c r="WHT4" s="657"/>
      <c r="WHU4" s="657"/>
      <c r="WHV4" s="657"/>
      <c r="WHW4" s="657"/>
      <c r="WHX4" s="657"/>
      <c r="WHY4" s="657"/>
      <c r="WHZ4" s="657"/>
      <c r="WIA4" s="657"/>
      <c r="WIB4" s="657"/>
      <c r="WIC4" s="657"/>
      <c r="WID4" s="657"/>
      <c r="WIE4" s="657"/>
      <c r="WIF4" s="657"/>
      <c r="WIG4" s="657"/>
      <c r="WIH4" s="657"/>
      <c r="WII4" s="657"/>
      <c r="WIJ4" s="657"/>
      <c r="WIK4" s="657"/>
      <c r="WIL4" s="657"/>
      <c r="WIM4" s="657"/>
      <c r="WIN4" s="657"/>
      <c r="WIO4" s="657"/>
      <c r="WIP4" s="657"/>
      <c r="WIQ4" s="657"/>
      <c r="WIR4" s="657"/>
      <c r="WIS4" s="657"/>
      <c r="WIT4" s="657"/>
      <c r="WIU4" s="657"/>
      <c r="WIV4" s="657"/>
      <c r="WIW4" s="657"/>
      <c r="WIX4" s="657"/>
      <c r="WIY4" s="657"/>
      <c r="WIZ4" s="657"/>
      <c r="WJA4" s="657"/>
      <c r="WJB4" s="657"/>
      <c r="WJC4" s="657"/>
      <c r="WJD4" s="657"/>
      <c r="WJE4" s="657"/>
      <c r="WJF4" s="657"/>
      <c r="WJG4" s="657"/>
      <c r="WJH4" s="657"/>
      <c r="WJI4" s="657"/>
      <c r="WJJ4" s="657"/>
      <c r="WJK4" s="657"/>
      <c r="WJL4" s="657"/>
      <c r="WJM4" s="657"/>
      <c r="WJN4" s="657"/>
      <c r="WJO4" s="657"/>
      <c r="WJP4" s="657"/>
      <c r="WJQ4" s="657"/>
      <c r="WJR4" s="657"/>
      <c r="WJS4" s="657"/>
      <c r="WJT4" s="657"/>
      <c r="WJU4" s="657"/>
      <c r="WJV4" s="657"/>
      <c r="WJW4" s="657"/>
      <c r="WJX4" s="657"/>
      <c r="WJY4" s="657"/>
      <c r="WJZ4" s="657"/>
      <c r="WKA4" s="657"/>
      <c r="WKB4" s="657"/>
      <c r="WKC4" s="657"/>
      <c r="WKD4" s="657"/>
      <c r="WKE4" s="657"/>
      <c r="WKF4" s="657"/>
      <c r="WKG4" s="657"/>
      <c r="WKH4" s="657"/>
      <c r="WKI4" s="657"/>
      <c r="WKJ4" s="657"/>
      <c r="WKK4" s="657"/>
      <c r="WKL4" s="657"/>
      <c r="WKM4" s="657"/>
      <c r="WKN4" s="657"/>
      <c r="WKO4" s="657"/>
      <c r="WKP4" s="657"/>
      <c r="WKQ4" s="657"/>
      <c r="WKR4" s="657"/>
      <c r="WKS4" s="657"/>
      <c r="WKT4" s="657"/>
      <c r="WKU4" s="657"/>
      <c r="WKV4" s="657"/>
      <c r="WKW4" s="657"/>
      <c r="WKX4" s="657"/>
      <c r="WKY4" s="657"/>
      <c r="WKZ4" s="657"/>
      <c r="WLA4" s="657"/>
      <c r="WLB4" s="657"/>
      <c r="WLC4" s="657"/>
      <c r="WLD4" s="657"/>
      <c r="WLE4" s="657"/>
      <c r="WLF4" s="657"/>
      <c r="WLG4" s="657"/>
      <c r="WLH4" s="657"/>
      <c r="WLI4" s="657"/>
      <c r="WLJ4" s="657"/>
      <c r="WLK4" s="657"/>
      <c r="WLL4" s="657"/>
      <c r="WLM4" s="657"/>
      <c r="WLN4" s="657"/>
      <c r="WLO4" s="657"/>
      <c r="WLP4" s="657"/>
      <c r="WLQ4" s="657"/>
      <c r="WLR4" s="657"/>
      <c r="WLS4" s="657"/>
      <c r="WLT4" s="657"/>
      <c r="WLU4" s="657"/>
      <c r="WLV4" s="657"/>
      <c r="WLW4" s="657"/>
      <c r="WLX4" s="657"/>
      <c r="WLY4" s="657"/>
      <c r="WLZ4" s="657"/>
      <c r="WMA4" s="657"/>
      <c r="WMB4" s="657"/>
      <c r="WMC4" s="657"/>
      <c r="WMD4" s="657"/>
      <c r="WME4" s="657"/>
      <c r="WMF4" s="657"/>
      <c r="WMG4" s="657"/>
      <c r="WMH4" s="657"/>
      <c r="WMI4" s="657"/>
      <c r="WMJ4" s="657"/>
      <c r="WMK4" s="657"/>
      <c r="WML4" s="657"/>
      <c r="WMM4" s="657"/>
      <c r="WMN4" s="657"/>
      <c r="WMO4" s="657"/>
      <c r="WMP4" s="657"/>
      <c r="WMQ4" s="657"/>
      <c r="WMR4" s="657"/>
      <c r="WMS4" s="657"/>
      <c r="WMT4" s="657"/>
      <c r="WMU4" s="657"/>
      <c r="WMV4" s="657"/>
      <c r="WMW4" s="657"/>
      <c r="WMX4" s="657"/>
      <c r="WMY4" s="657"/>
      <c r="WMZ4" s="657"/>
      <c r="WNA4" s="657"/>
      <c r="WNB4" s="657"/>
      <c r="WNC4" s="657"/>
      <c r="WND4" s="657"/>
      <c r="WNE4" s="657"/>
      <c r="WNF4" s="657"/>
      <c r="WNG4" s="657"/>
      <c r="WNH4" s="657"/>
      <c r="WNI4" s="657"/>
      <c r="WNJ4" s="657"/>
      <c r="WNK4" s="657"/>
      <c r="WNL4" s="657"/>
      <c r="WNM4" s="657"/>
      <c r="WNN4" s="657"/>
      <c r="WNO4" s="657"/>
      <c r="WNP4" s="657"/>
      <c r="WNQ4" s="657"/>
      <c r="WNR4" s="657"/>
      <c r="WNS4" s="657"/>
      <c r="WNT4" s="657"/>
      <c r="WNU4" s="657"/>
      <c r="WNV4" s="657"/>
      <c r="WNW4" s="657"/>
      <c r="WNX4" s="657"/>
      <c r="WNY4" s="657"/>
      <c r="WNZ4" s="657"/>
      <c r="WOA4" s="657"/>
      <c r="WOB4" s="657"/>
      <c r="WOC4" s="657"/>
      <c r="WOD4" s="657"/>
      <c r="WOE4" s="657"/>
      <c r="WOF4" s="657"/>
      <c r="WOG4" s="657"/>
      <c r="WOH4" s="657"/>
      <c r="WOI4" s="657"/>
      <c r="WOJ4" s="657"/>
      <c r="WOK4" s="657"/>
      <c r="WOL4" s="657"/>
      <c r="WOM4" s="657"/>
      <c r="WON4" s="657"/>
      <c r="WOO4" s="657"/>
      <c r="WOP4" s="657"/>
      <c r="WOQ4" s="657"/>
      <c r="WOR4" s="657"/>
      <c r="WOS4" s="657"/>
      <c r="WOT4" s="657"/>
      <c r="WOU4" s="657"/>
      <c r="WOV4" s="657"/>
      <c r="WOW4" s="657"/>
      <c r="WOX4" s="657"/>
      <c r="WOY4" s="657"/>
      <c r="WOZ4" s="657"/>
      <c r="WPA4" s="657"/>
      <c r="WPB4" s="657"/>
      <c r="WPC4" s="657"/>
      <c r="WPD4" s="657"/>
      <c r="WPE4" s="657"/>
      <c r="WPF4" s="657"/>
      <c r="WPG4" s="657"/>
      <c r="WPH4" s="657"/>
      <c r="WPI4" s="657"/>
      <c r="WPJ4" s="657"/>
      <c r="WPK4" s="657"/>
      <c r="WPL4" s="657"/>
      <c r="WPM4" s="657"/>
      <c r="WPN4" s="657"/>
      <c r="WPO4" s="657"/>
      <c r="WPP4" s="657"/>
      <c r="WPQ4" s="657"/>
      <c r="WPR4" s="657"/>
      <c r="WPS4" s="657"/>
      <c r="WPT4" s="657"/>
      <c r="WPU4" s="657"/>
      <c r="WPV4" s="657"/>
      <c r="WPW4" s="657"/>
      <c r="WPX4" s="657"/>
      <c r="WPY4" s="657"/>
      <c r="WPZ4" s="657"/>
      <c r="WQA4" s="657"/>
      <c r="WQB4" s="657"/>
      <c r="WQC4" s="657"/>
      <c r="WQD4" s="657"/>
      <c r="WQE4" s="657"/>
      <c r="WQF4" s="657"/>
      <c r="WQG4" s="657"/>
      <c r="WQH4" s="657"/>
      <c r="WQI4" s="657"/>
      <c r="WQJ4" s="657"/>
      <c r="WQK4" s="657"/>
      <c r="WQL4" s="657"/>
      <c r="WQM4" s="657"/>
      <c r="WQN4" s="657"/>
      <c r="WQO4" s="657"/>
      <c r="WQP4" s="657"/>
      <c r="WQQ4" s="657"/>
      <c r="WQR4" s="657"/>
      <c r="WQS4" s="657"/>
      <c r="WQT4" s="657"/>
      <c r="WQU4" s="657"/>
      <c r="WQV4" s="657"/>
      <c r="WQW4" s="657"/>
      <c r="WQX4" s="657"/>
      <c r="WQY4" s="657"/>
      <c r="WQZ4" s="657"/>
      <c r="WRA4" s="657"/>
      <c r="WRB4" s="657"/>
      <c r="WRC4" s="657"/>
      <c r="WRD4" s="657"/>
      <c r="WRE4" s="657"/>
      <c r="WRF4" s="657"/>
      <c r="WRG4" s="657"/>
      <c r="WRH4" s="657"/>
      <c r="WRI4" s="657"/>
      <c r="WRJ4" s="657"/>
      <c r="WRK4" s="657"/>
      <c r="WRL4" s="657"/>
      <c r="WRM4" s="657"/>
      <c r="WRN4" s="657"/>
      <c r="WRO4" s="657"/>
      <c r="WRP4" s="657"/>
      <c r="WRQ4" s="657"/>
      <c r="WRR4" s="657"/>
      <c r="WRS4" s="657"/>
      <c r="WRT4" s="657"/>
      <c r="WRU4" s="657"/>
      <c r="WRV4" s="657"/>
      <c r="WRW4" s="657"/>
      <c r="WRX4" s="657"/>
      <c r="WRY4" s="657"/>
      <c r="WRZ4" s="657"/>
      <c r="WSA4" s="657"/>
      <c r="WSB4" s="657"/>
      <c r="WSC4" s="657"/>
      <c r="WSD4" s="657"/>
      <c r="WSE4" s="657"/>
      <c r="WSF4" s="657"/>
      <c r="WSG4" s="657"/>
      <c r="WSH4" s="657"/>
      <c r="WSI4" s="657"/>
      <c r="WSJ4" s="657"/>
      <c r="WSK4" s="657"/>
      <c r="WSL4" s="657"/>
      <c r="WSM4" s="657"/>
      <c r="WSN4" s="657"/>
      <c r="WSO4" s="657"/>
      <c r="WSP4" s="657"/>
      <c r="WSQ4" s="657"/>
      <c r="WSR4" s="657"/>
      <c r="WSS4" s="657"/>
      <c r="WST4" s="657"/>
      <c r="WSU4" s="657"/>
      <c r="WSV4" s="657"/>
      <c r="WSW4" s="657"/>
      <c r="WSX4" s="657"/>
      <c r="WSY4" s="657"/>
      <c r="WSZ4" s="657"/>
      <c r="WTA4" s="657"/>
      <c r="WTB4" s="657"/>
      <c r="WTC4" s="657"/>
      <c r="WTD4" s="657"/>
      <c r="WTE4" s="657"/>
      <c r="WTF4" s="657"/>
      <c r="WTG4" s="657"/>
      <c r="WTH4" s="657"/>
      <c r="WTI4" s="657"/>
      <c r="WTJ4" s="657"/>
      <c r="WTK4" s="657"/>
      <c r="WTL4" s="657"/>
      <c r="WTM4" s="657"/>
      <c r="WTN4" s="657"/>
      <c r="WTO4" s="657"/>
      <c r="WTP4" s="657"/>
      <c r="WTQ4" s="657"/>
      <c r="WTR4" s="657"/>
      <c r="WTS4" s="657"/>
      <c r="WTT4" s="657"/>
      <c r="WTU4" s="657"/>
      <c r="WTV4" s="657"/>
      <c r="WTW4" s="657"/>
      <c r="WTX4" s="657"/>
      <c r="WTY4" s="657"/>
      <c r="WTZ4" s="657"/>
      <c r="WUA4" s="657"/>
      <c r="WUB4" s="657"/>
      <c r="WUC4" s="657"/>
      <c r="WUD4" s="657"/>
      <c r="WUE4" s="657"/>
      <c r="WUF4" s="657"/>
      <c r="WUG4" s="657"/>
      <c r="WUH4" s="657"/>
      <c r="WUI4" s="657"/>
      <c r="WUJ4" s="657"/>
      <c r="WUK4" s="657"/>
      <c r="WUL4" s="657"/>
      <c r="WUM4" s="657"/>
      <c r="WUN4" s="657"/>
      <c r="WUO4" s="657"/>
      <c r="WUP4" s="657"/>
      <c r="WUQ4" s="657"/>
      <c r="WUR4" s="657"/>
      <c r="WUS4" s="657"/>
      <c r="WUT4" s="657"/>
      <c r="WUU4" s="657"/>
      <c r="WUV4" s="657"/>
      <c r="WUW4" s="657"/>
      <c r="WUX4" s="657"/>
      <c r="WUY4" s="657"/>
      <c r="WUZ4" s="657"/>
      <c r="WVA4" s="657"/>
      <c r="WVB4" s="657"/>
      <c r="WVC4" s="657"/>
      <c r="WVD4" s="657"/>
      <c r="WVE4" s="657"/>
      <c r="WVF4" s="657"/>
      <c r="WVG4" s="657"/>
      <c r="WVH4" s="657"/>
      <c r="WVI4" s="657"/>
      <c r="WVJ4" s="657"/>
      <c r="WVK4" s="657"/>
      <c r="WVL4" s="657"/>
      <c r="WVM4" s="657"/>
      <c r="WVN4" s="657"/>
      <c r="WVO4" s="657"/>
      <c r="WVP4" s="657"/>
      <c r="WVQ4" s="657"/>
      <c r="WVR4" s="657"/>
      <c r="WVS4" s="657"/>
      <c r="WVT4" s="657"/>
      <c r="WVU4" s="657"/>
      <c r="WVV4" s="657"/>
      <c r="WVW4" s="657"/>
      <c r="WVX4" s="657"/>
      <c r="WVY4" s="657"/>
      <c r="WVZ4" s="657"/>
      <c r="WWA4" s="657"/>
      <c r="WWB4" s="657"/>
      <c r="WWC4" s="657"/>
      <c r="WWD4" s="657"/>
      <c r="WWE4" s="657"/>
      <c r="WWF4" s="657"/>
      <c r="WWG4" s="657"/>
      <c r="WWH4" s="657"/>
      <c r="WWI4" s="657"/>
      <c r="WWJ4" s="657"/>
      <c r="WWK4" s="657"/>
      <c r="WWL4" s="657"/>
      <c r="WWM4" s="657"/>
      <c r="WWN4" s="657"/>
      <c r="WWO4" s="657"/>
      <c r="WWP4" s="657"/>
      <c r="WWQ4" s="657"/>
      <c r="WWR4" s="657"/>
      <c r="WWS4" s="657"/>
      <c r="WWT4" s="657"/>
      <c r="WWU4" s="657"/>
      <c r="WWV4" s="657"/>
      <c r="WWW4" s="657"/>
      <c r="WWX4" s="657"/>
      <c r="WWY4" s="657"/>
      <c r="WWZ4" s="657"/>
      <c r="WXA4" s="657"/>
      <c r="WXB4" s="657"/>
      <c r="WXC4" s="657"/>
      <c r="WXD4" s="657"/>
      <c r="WXE4" s="657"/>
      <c r="WXF4" s="657"/>
      <c r="WXG4" s="657"/>
      <c r="WXH4" s="657"/>
      <c r="WXI4" s="657"/>
      <c r="WXJ4" s="657"/>
      <c r="WXK4" s="657"/>
      <c r="WXL4" s="657"/>
      <c r="WXM4" s="657"/>
      <c r="WXN4" s="657"/>
      <c r="WXO4" s="657"/>
      <c r="WXP4" s="657"/>
      <c r="WXQ4" s="657"/>
      <c r="WXR4" s="657"/>
      <c r="WXS4" s="657"/>
      <c r="WXT4" s="657"/>
      <c r="WXU4" s="657"/>
      <c r="WXV4" s="657"/>
      <c r="WXW4" s="657"/>
      <c r="WXX4" s="657"/>
      <c r="WXY4" s="657"/>
      <c r="WXZ4" s="657"/>
      <c r="WYA4" s="657"/>
      <c r="WYB4" s="657"/>
      <c r="WYC4" s="657"/>
      <c r="WYD4" s="657"/>
      <c r="WYE4" s="657"/>
      <c r="WYF4" s="657"/>
      <c r="WYG4" s="657"/>
      <c r="WYH4" s="657"/>
      <c r="WYI4" s="657"/>
      <c r="WYJ4" s="657"/>
      <c r="WYK4" s="657"/>
      <c r="WYL4" s="657"/>
      <c r="WYM4" s="657"/>
      <c r="WYN4" s="657"/>
      <c r="WYO4" s="657"/>
      <c r="WYP4" s="657"/>
      <c r="WYQ4" s="657"/>
      <c r="WYR4" s="657"/>
      <c r="WYS4" s="657"/>
      <c r="WYT4" s="657"/>
      <c r="WYU4" s="657"/>
      <c r="WYV4" s="657"/>
      <c r="WYW4" s="657"/>
      <c r="WYX4" s="657"/>
      <c r="WYY4" s="657"/>
      <c r="WYZ4" s="657"/>
      <c r="WZA4" s="657"/>
      <c r="WZB4" s="657"/>
      <c r="WZC4" s="657"/>
      <c r="WZD4" s="657"/>
      <c r="WZE4" s="657"/>
      <c r="WZF4" s="657"/>
      <c r="WZG4" s="657"/>
      <c r="WZH4" s="657"/>
      <c r="WZI4" s="657"/>
      <c r="WZJ4" s="657"/>
      <c r="WZK4" s="657"/>
      <c r="WZL4" s="657"/>
      <c r="WZM4" s="657"/>
      <c r="WZN4" s="657"/>
      <c r="WZO4" s="657"/>
      <c r="WZP4" s="657"/>
      <c r="WZQ4" s="657"/>
      <c r="WZR4" s="657"/>
      <c r="WZS4" s="657"/>
      <c r="WZT4" s="657"/>
      <c r="WZU4" s="657"/>
      <c r="WZV4" s="657"/>
      <c r="WZW4" s="657"/>
      <c r="WZX4" s="657"/>
      <c r="WZY4" s="657"/>
      <c r="WZZ4" s="657"/>
      <c r="XAA4" s="657"/>
      <c r="XAB4" s="657"/>
      <c r="XAC4" s="657"/>
      <c r="XAD4" s="657"/>
      <c r="XAE4" s="657"/>
      <c r="XAF4" s="657"/>
      <c r="XAG4" s="657"/>
      <c r="XAH4" s="657"/>
      <c r="XAI4" s="657"/>
      <c r="XAJ4" s="657"/>
      <c r="XAK4" s="657"/>
      <c r="XAL4" s="657"/>
      <c r="XAM4" s="657"/>
      <c r="XAN4" s="657"/>
      <c r="XAO4" s="657"/>
      <c r="XAP4" s="657"/>
      <c r="XAQ4" s="657"/>
      <c r="XAR4" s="657"/>
      <c r="XAS4" s="657"/>
      <c r="XAT4" s="657"/>
      <c r="XAU4" s="657"/>
      <c r="XAV4" s="657"/>
      <c r="XAW4" s="657"/>
      <c r="XAX4" s="657"/>
      <c r="XAY4" s="657"/>
      <c r="XAZ4" s="657"/>
      <c r="XBA4" s="657"/>
      <c r="XBB4" s="657"/>
      <c r="XBC4" s="657"/>
      <c r="XBD4" s="657"/>
      <c r="XBE4" s="657"/>
      <c r="XBF4" s="657"/>
      <c r="XBG4" s="657"/>
      <c r="XBH4" s="657"/>
      <c r="XBI4" s="657"/>
      <c r="XBJ4" s="657"/>
      <c r="XBK4" s="657"/>
      <c r="XBL4" s="657"/>
      <c r="XBM4" s="657"/>
      <c r="XBN4" s="657"/>
      <c r="XBO4" s="657"/>
      <c r="XBP4" s="657"/>
      <c r="XBQ4" s="657"/>
      <c r="XBR4" s="657"/>
      <c r="XBS4" s="657"/>
      <c r="XBT4" s="657"/>
      <c r="XBU4" s="657"/>
      <c r="XBV4" s="657"/>
      <c r="XBW4" s="657"/>
      <c r="XBX4" s="657"/>
      <c r="XBY4" s="657"/>
      <c r="XBZ4" s="657"/>
      <c r="XCA4" s="657"/>
      <c r="XCB4" s="657"/>
      <c r="XCC4" s="657"/>
      <c r="XCD4" s="657"/>
      <c r="XCE4" s="657"/>
      <c r="XCF4" s="657"/>
      <c r="XCG4" s="657"/>
      <c r="XCH4" s="657"/>
      <c r="XCI4" s="657"/>
      <c r="XCJ4" s="657"/>
      <c r="XCK4" s="657"/>
      <c r="XCL4" s="657"/>
      <c r="XCM4" s="657"/>
      <c r="XCN4" s="657"/>
      <c r="XCO4" s="657"/>
      <c r="XCP4" s="657"/>
      <c r="XCQ4" s="657"/>
      <c r="XCR4" s="657"/>
      <c r="XCS4" s="657"/>
      <c r="XCT4" s="657"/>
      <c r="XCU4" s="657"/>
      <c r="XCV4" s="657"/>
      <c r="XCW4" s="657"/>
      <c r="XCX4" s="657"/>
      <c r="XCY4" s="657"/>
      <c r="XCZ4" s="657"/>
      <c r="XDA4" s="657"/>
      <c r="XDB4" s="657"/>
      <c r="XDC4" s="657"/>
      <c r="XDD4" s="657"/>
      <c r="XDE4" s="657"/>
      <c r="XDF4" s="657"/>
      <c r="XDG4" s="657"/>
      <c r="XDH4" s="657"/>
      <c r="XDI4" s="657"/>
      <c r="XDJ4" s="657"/>
      <c r="XDK4" s="657"/>
      <c r="XDL4" s="657"/>
      <c r="XDM4" s="657"/>
      <c r="XDN4" s="657"/>
      <c r="XDO4" s="657"/>
      <c r="XDP4" s="657"/>
      <c r="XDQ4" s="657"/>
      <c r="XDR4" s="657"/>
      <c r="XDS4" s="657"/>
      <c r="XDT4" s="657"/>
      <c r="XDU4" s="657"/>
      <c r="XDV4" s="657"/>
      <c r="XDW4" s="657"/>
      <c r="XDX4" s="657"/>
      <c r="XDY4" s="657"/>
      <c r="XDZ4" s="657"/>
      <c r="XEA4" s="657"/>
      <c r="XEB4" s="657"/>
      <c r="XEC4" s="657"/>
      <c r="XED4" s="657"/>
      <c r="XEE4" s="657"/>
      <c r="XEF4" s="657"/>
      <c r="XEG4" s="657"/>
      <c r="XEH4" s="657"/>
      <c r="XEI4" s="657"/>
      <c r="XEJ4" s="657"/>
      <c r="XEK4" s="657"/>
      <c r="XEL4" s="657"/>
      <c r="XEM4" s="657"/>
      <c r="XEN4" s="657"/>
      <c r="XEO4" s="657"/>
      <c r="XEP4" s="657"/>
      <c r="XEQ4" s="657"/>
    </row>
    <row r="5" spans="1:16371" ht="109.5" customHeight="1" x14ac:dyDescent="0.2">
      <c r="A5" s="659">
        <v>1</v>
      </c>
      <c r="B5" s="517">
        <v>45670</v>
      </c>
      <c r="C5" s="404" t="s">
        <v>2427</v>
      </c>
      <c r="D5" s="405" t="s">
        <v>693</v>
      </c>
      <c r="E5" s="405" t="s">
        <v>694</v>
      </c>
      <c r="F5" s="404" t="s">
        <v>71</v>
      </c>
      <c r="G5" s="353" t="s">
        <v>712</v>
      </c>
      <c r="H5" s="450" t="s">
        <v>13</v>
      </c>
      <c r="I5" s="529" t="s">
        <v>713</v>
      </c>
      <c r="J5" s="336" t="s">
        <v>714</v>
      </c>
      <c r="K5" s="336">
        <v>1</v>
      </c>
      <c r="L5" s="337" t="s">
        <v>697</v>
      </c>
      <c r="M5" s="337" t="s">
        <v>482</v>
      </c>
      <c r="N5" s="337" t="s">
        <v>2426</v>
      </c>
    </row>
    <row r="6" spans="1:16371" ht="84" customHeight="1" x14ac:dyDescent="0.2">
      <c r="A6" s="659">
        <v>2</v>
      </c>
      <c r="B6" s="517">
        <v>45733</v>
      </c>
      <c r="C6" s="410" t="s">
        <v>2428</v>
      </c>
      <c r="D6" s="412" t="s">
        <v>825</v>
      </c>
      <c r="E6" s="413" t="s">
        <v>826</v>
      </c>
      <c r="F6" s="414" t="s">
        <v>581</v>
      </c>
      <c r="G6" s="353" t="s">
        <v>827</v>
      </c>
      <c r="H6" s="453">
        <v>45447</v>
      </c>
      <c r="I6" s="533">
        <v>46542</v>
      </c>
      <c r="J6" s="343" t="s">
        <v>33</v>
      </c>
      <c r="K6" s="343">
        <v>3</v>
      </c>
      <c r="L6" s="344" t="s">
        <v>828</v>
      </c>
      <c r="M6" s="337" t="s">
        <v>482</v>
      </c>
      <c r="N6" s="344" t="s">
        <v>2429</v>
      </c>
    </row>
    <row r="7" spans="1:16371" ht="89.25" x14ac:dyDescent="0.2">
      <c r="A7" s="659">
        <v>3</v>
      </c>
      <c r="B7" s="517">
        <v>45764</v>
      </c>
      <c r="C7" s="410" t="s">
        <v>930</v>
      </c>
      <c r="D7" s="412" t="s">
        <v>921</v>
      </c>
      <c r="E7" s="413" t="s">
        <v>922</v>
      </c>
      <c r="F7" s="404" t="s">
        <v>581</v>
      </c>
      <c r="G7" s="353" t="s">
        <v>931</v>
      </c>
      <c r="H7" s="450" t="s">
        <v>13</v>
      </c>
      <c r="I7" s="533">
        <v>46425</v>
      </c>
      <c r="J7" s="343" t="s">
        <v>13</v>
      </c>
      <c r="K7" s="343" t="s">
        <v>13</v>
      </c>
      <c r="L7" s="344" t="s">
        <v>937</v>
      </c>
      <c r="M7" s="344" t="s">
        <v>2435</v>
      </c>
      <c r="N7" s="344" t="s">
        <v>962</v>
      </c>
    </row>
    <row r="8" spans="1:16371" ht="165.75" x14ac:dyDescent="0.2">
      <c r="A8" s="659">
        <v>4</v>
      </c>
      <c r="B8" s="517">
        <v>45792</v>
      </c>
      <c r="C8" s="410" t="s">
        <v>975</v>
      </c>
      <c r="D8" s="418" t="s">
        <v>976</v>
      </c>
      <c r="E8" s="413" t="s">
        <v>977</v>
      </c>
      <c r="F8" s="404" t="s">
        <v>581</v>
      </c>
      <c r="G8" s="353" t="s">
        <v>827</v>
      </c>
      <c r="H8" s="450" t="s">
        <v>13</v>
      </c>
      <c r="I8" s="529">
        <v>46542</v>
      </c>
      <c r="J8" s="336" t="s">
        <v>33</v>
      </c>
      <c r="K8" s="336">
        <v>3</v>
      </c>
      <c r="L8" s="344" t="s">
        <v>978</v>
      </c>
      <c r="M8" s="344" t="s">
        <v>1960</v>
      </c>
      <c r="N8" s="344" t="s">
        <v>2436</v>
      </c>
    </row>
    <row r="9" spans="1:16371" ht="165.75" x14ac:dyDescent="0.2">
      <c r="A9" s="659">
        <v>5</v>
      </c>
      <c r="B9" s="517">
        <v>45847</v>
      </c>
      <c r="C9" s="410" t="s">
        <v>1108</v>
      </c>
      <c r="D9" s="412" t="s">
        <v>1109</v>
      </c>
      <c r="E9" s="413" t="s">
        <v>1110</v>
      </c>
      <c r="F9" s="404" t="s">
        <v>34</v>
      </c>
      <c r="G9" s="353" t="s">
        <v>1111</v>
      </c>
      <c r="H9" s="463">
        <v>45678</v>
      </c>
      <c r="I9" s="536">
        <v>46773</v>
      </c>
      <c r="J9" s="354" t="s">
        <v>1112</v>
      </c>
      <c r="K9" s="354">
        <v>3</v>
      </c>
      <c r="L9" s="344" t="s">
        <v>1115</v>
      </c>
      <c r="M9" s="344" t="s">
        <v>482</v>
      </c>
      <c r="N9" s="355" t="s">
        <v>1201</v>
      </c>
    </row>
    <row r="10" spans="1:16371" ht="178.5" x14ac:dyDescent="0.2">
      <c r="A10" s="659">
        <v>6</v>
      </c>
      <c r="B10" s="517">
        <v>45882</v>
      </c>
      <c r="C10" s="410" t="s">
        <v>1223</v>
      </c>
      <c r="D10" s="420" t="s">
        <v>402</v>
      </c>
      <c r="E10" s="413" t="s">
        <v>1259</v>
      </c>
      <c r="F10" s="404" t="s">
        <v>581</v>
      </c>
      <c r="G10" s="353" t="s">
        <v>1224</v>
      </c>
      <c r="H10" s="463">
        <v>45565</v>
      </c>
      <c r="I10" s="536">
        <v>46660</v>
      </c>
      <c r="J10" s="354" t="s">
        <v>65</v>
      </c>
      <c r="K10" s="354">
        <v>3</v>
      </c>
      <c r="L10" s="355" t="s">
        <v>1225</v>
      </c>
      <c r="M10" s="355" t="s">
        <v>736</v>
      </c>
      <c r="N10" s="344" t="s">
        <v>2437</v>
      </c>
    </row>
    <row r="11" spans="1:16371" ht="102" x14ac:dyDescent="0.2">
      <c r="A11" s="659">
        <v>7</v>
      </c>
      <c r="B11" s="517">
        <v>45909</v>
      </c>
      <c r="C11" s="410" t="s">
        <v>2431</v>
      </c>
      <c r="D11" s="420" t="s">
        <v>1295</v>
      </c>
      <c r="E11" s="419" t="s">
        <v>1296</v>
      </c>
      <c r="F11" s="404" t="s">
        <v>71</v>
      </c>
      <c r="G11" s="353" t="s">
        <v>1297</v>
      </c>
      <c r="H11" s="463">
        <v>45765</v>
      </c>
      <c r="I11" s="536">
        <v>46310</v>
      </c>
      <c r="J11" s="354" t="s">
        <v>507</v>
      </c>
      <c r="K11" s="354">
        <v>1</v>
      </c>
      <c r="L11" s="355" t="s">
        <v>1298</v>
      </c>
      <c r="M11" s="355" t="s">
        <v>736</v>
      </c>
      <c r="N11" s="344" t="s">
        <v>2430</v>
      </c>
    </row>
    <row r="12" spans="1:16371" ht="144.6" customHeight="1" x14ac:dyDescent="0.2">
      <c r="A12" s="659">
        <v>8</v>
      </c>
      <c r="B12" s="517">
        <v>45939</v>
      </c>
      <c r="C12" s="410" t="s">
        <v>2433</v>
      </c>
      <c r="D12" s="412" t="s">
        <v>1423</v>
      </c>
      <c r="E12" s="413" t="s">
        <v>1424</v>
      </c>
      <c r="F12" s="410" t="s">
        <v>1422</v>
      </c>
      <c r="G12" s="431" t="s">
        <v>1425</v>
      </c>
      <c r="H12" s="455">
        <v>45855</v>
      </c>
      <c r="I12" s="533">
        <v>46400</v>
      </c>
      <c r="J12" s="343" t="s">
        <v>1426</v>
      </c>
      <c r="K12" s="343">
        <v>1</v>
      </c>
      <c r="L12" s="344" t="s">
        <v>1427</v>
      </c>
      <c r="M12" s="344" t="s">
        <v>736</v>
      </c>
      <c r="N12" s="374" t="s">
        <v>2432</v>
      </c>
    </row>
    <row r="13" spans="1:16371" ht="76.5" x14ac:dyDescent="0.2">
      <c r="A13" s="659">
        <v>9</v>
      </c>
      <c r="B13" s="517">
        <v>45943</v>
      </c>
      <c r="C13" s="410" t="s">
        <v>1433</v>
      </c>
      <c r="D13" s="420" t="s">
        <v>423</v>
      </c>
      <c r="E13" s="419" t="s">
        <v>424</v>
      </c>
      <c r="F13" s="404" t="s">
        <v>581</v>
      </c>
      <c r="G13" s="353" t="s">
        <v>1224</v>
      </c>
      <c r="H13" s="463">
        <v>45565</v>
      </c>
      <c r="I13" s="536">
        <v>46660</v>
      </c>
      <c r="J13" s="354" t="s">
        <v>33</v>
      </c>
      <c r="K13" s="343">
        <v>1</v>
      </c>
      <c r="L13" s="344" t="s">
        <v>828</v>
      </c>
      <c r="M13" s="344" t="s">
        <v>1496</v>
      </c>
      <c r="N13" s="374" t="s">
        <v>2434</v>
      </c>
    </row>
    <row r="14" spans="1:16371" ht="76.5" x14ac:dyDescent="0.2">
      <c r="A14" s="659">
        <v>10</v>
      </c>
      <c r="B14" s="564">
        <v>45964</v>
      </c>
      <c r="C14" s="404" t="s">
        <v>1484</v>
      </c>
      <c r="D14" s="408" t="s">
        <v>1491</v>
      </c>
      <c r="E14" s="409" t="s">
        <v>1492</v>
      </c>
      <c r="F14" s="404" t="s">
        <v>1493</v>
      </c>
      <c r="G14" s="353" t="s">
        <v>1494</v>
      </c>
      <c r="H14" s="461">
        <v>45658</v>
      </c>
      <c r="I14" s="542">
        <v>46388</v>
      </c>
      <c r="J14" s="336" t="s">
        <v>65</v>
      </c>
      <c r="K14" s="336">
        <v>4</v>
      </c>
      <c r="L14" s="337" t="s">
        <v>1495</v>
      </c>
      <c r="M14" s="358" t="s">
        <v>482</v>
      </c>
      <c r="N14" s="372" t="s">
        <v>1318</v>
      </c>
    </row>
    <row r="17" spans="3:12" x14ac:dyDescent="0.2">
      <c r="C17" s="658" t="s">
        <v>2208</v>
      </c>
      <c r="L17" s="658" t="s">
        <v>22</v>
      </c>
    </row>
  </sheetData>
  <mergeCells count="2">
    <mergeCell ref="D1:N1"/>
    <mergeCell ref="A1:C1"/>
  </mergeCells>
  <pageMargins left="0.2" right="0.2" top="0.5" bottom="0.5" header="0.3" footer="0.3"/>
  <pageSetup scale="67"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6FAE5389D67549B3C161A50C1490AD" ma:contentTypeVersion="15" ma:contentTypeDescription="Create a new document." ma:contentTypeScope="" ma:versionID="87feff1b842e11901df86292e1e6f1b8">
  <xsd:schema xmlns:xsd="http://www.w3.org/2001/XMLSchema" xmlns:xs="http://www.w3.org/2001/XMLSchema" xmlns:p="http://schemas.microsoft.com/office/2006/metadata/properties" xmlns:ns2="6e6e8265-b7f6-4695-973b-9c31cd7e7b7b" xmlns:ns3="5e4442f1-44b3-4435-a556-736cb911c888" targetNamespace="http://schemas.microsoft.com/office/2006/metadata/properties" ma:root="true" ma:fieldsID="7b8faa466b98d48ba61c60bb0965dbf4" ns2:_="" ns3:_="">
    <xsd:import namespace="6e6e8265-b7f6-4695-973b-9c31cd7e7b7b"/>
    <xsd:import namespace="5e4442f1-44b3-4435-a556-736cb911c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6e8265-b7f6-4695-973b-9c31cd7e7b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569b5a7-b0a8-4bda-b660-4751e5e0c8d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4442f1-44b3-4435-a556-736cb911c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ec1b6a5-4790-499e-aa9d-b23a2d810bbf}" ma:internalName="TaxCatchAll" ma:showField="CatchAllData" ma:web="5e4442f1-44b3-4435-a556-736cb911c8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0887B-F3DB-43E6-88C6-F62D864D3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6e8265-b7f6-4695-973b-9c31cd7e7b7b"/>
    <ds:schemaRef ds:uri="5e4442f1-44b3-4435-a556-736cb911c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723E93-D212-4886-91F9-9C1F567862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2024</vt:lpstr>
      <vt:lpstr>ver 10-CC_650824</vt:lpstr>
      <vt:lpstr>2025</vt:lpstr>
      <vt:lpstr>2025-New</vt:lpstr>
      <vt:lpstr>Danh mục</vt:lpstr>
      <vt:lpstr>BM-01 khiếu nại</vt:lpstr>
      <vt:lpstr>BM 02</vt:lpstr>
      <vt:lpstr>'2024'!Print_Area</vt:lpstr>
      <vt:lpstr>'2025'!Print_Area</vt:lpstr>
      <vt:lpstr>'2025-New'!Print_Area</vt:lpstr>
      <vt:lpstr>'ver 10-CC_650824'!Print_Area</vt:lpstr>
      <vt:lpstr>'2024'!Print_Titles</vt:lpstr>
      <vt:lpstr>'2025'!Print_Titles</vt:lpstr>
      <vt:lpstr>'2025-New'!Print_Titles</vt:lpstr>
      <vt:lpstr>'BM 02'!Print_Titles</vt:lpstr>
      <vt:lpstr>'ver 10-CC_650824'!Print_Titles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 Le Thi</dc:creator>
  <cp:lastModifiedBy>Khoi, Le Minh</cp:lastModifiedBy>
  <cp:revision/>
  <cp:lastPrinted>2026-09-08T08:08:32Z</cp:lastPrinted>
  <dcterms:created xsi:type="dcterms:W3CDTF">2020-01-16T03:36:02Z</dcterms:created>
  <dcterms:modified xsi:type="dcterms:W3CDTF">2026-09-17T06:25:02Z</dcterms:modified>
</cp:coreProperties>
</file>