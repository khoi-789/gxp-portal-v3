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ol\21.Redo_Portal\Module-Destruction\"/>
    </mc:Choice>
  </mc:AlternateContent>
  <bookViews>
    <workbookView xWindow="0" yWindow="0" windowWidth="24420" windowHeight="3525"/>
  </bookViews>
  <sheets>
    <sheet name="Sheet1" sheetId="1" r:id="rId1"/>
    <sheet name="SUM" sheetId="3" r:id="rId2"/>
  </sheets>
  <definedNames>
    <definedName name="_xlnm._FilterDatabase" localSheetId="0" hidden="1">Sheet1!$A$1:$P$1975</definedName>
  </definedNames>
  <calcPr calcId="162913"/>
  <pivotCaches>
    <pivotCache cacheId="3" r:id="rId3"/>
  </pivotCaches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2" i="1"/>
  <c r="P661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O22" i="1"/>
  <c r="O23" i="1"/>
  <c r="P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O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O406" i="1"/>
  <c r="P406" i="1"/>
  <c r="O407" i="1"/>
  <c r="P407" i="1"/>
  <c r="O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O418" i="1"/>
  <c r="O419" i="1"/>
  <c r="O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O435" i="1"/>
  <c r="O436" i="1"/>
  <c r="O437" i="1"/>
  <c r="O438" i="1"/>
  <c r="P438" i="1"/>
  <c r="O439" i="1"/>
  <c r="P439" i="1"/>
  <c r="O440" i="1"/>
  <c r="O441" i="1"/>
  <c r="O442" i="1"/>
  <c r="O443" i="1"/>
  <c r="O444" i="1"/>
  <c r="P444" i="1"/>
  <c r="O445" i="1"/>
  <c r="P445" i="1"/>
  <c r="O446" i="1"/>
  <c r="P446" i="1"/>
  <c r="O447" i="1"/>
  <c r="P447" i="1"/>
  <c r="O448" i="1"/>
  <c r="P448" i="1"/>
  <c r="O449" i="1"/>
  <c r="O450" i="1"/>
  <c r="O451" i="1"/>
  <c r="O452" i="1"/>
  <c r="O453" i="1"/>
  <c r="O454" i="1"/>
  <c r="O455" i="1"/>
  <c r="P455" i="1"/>
  <c r="O456" i="1"/>
  <c r="P456" i="1"/>
  <c r="O457" i="1"/>
  <c r="P457" i="1"/>
  <c r="O458" i="1"/>
  <c r="P458" i="1"/>
  <c r="O459" i="1"/>
  <c r="O460" i="1"/>
  <c r="O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O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O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O602" i="1"/>
  <c r="P602" i="1"/>
  <c r="O603" i="1"/>
  <c r="P603" i="1"/>
  <c r="O604" i="1"/>
  <c r="P604" i="1"/>
  <c r="O605" i="1"/>
  <c r="O606" i="1"/>
  <c r="O607" i="1"/>
  <c r="O608" i="1"/>
  <c r="P608" i="1"/>
  <c r="O609" i="1"/>
  <c r="P609" i="1"/>
  <c r="O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O654" i="1"/>
  <c r="O655" i="1"/>
  <c r="O656" i="1"/>
  <c r="O657" i="1"/>
  <c r="O658" i="1"/>
  <c r="P658" i="1"/>
  <c r="O659" i="1"/>
  <c r="O660" i="1"/>
  <c r="O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O731" i="1"/>
  <c r="O732" i="1"/>
  <c r="O733" i="1"/>
  <c r="P733" i="1"/>
  <c r="O734" i="1"/>
  <c r="P734" i="1"/>
  <c r="O735" i="1"/>
  <c r="P735" i="1"/>
  <c r="O736" i="1"/>
  <c r="O737" i="1"/>
  <c r="P737" i="1"/>
  <c r="O738" i="1"/>
  <c r="P738" i="1"/>
  <c r="O739" i="1"/>
  <c r="P739" i="1"/>
  <c r="O740" i="1"/>
  <c r="O741" i="1"/>
  <c r="P741" i="1"/>
  <c r="O742" i="1"/>
  <c r="O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O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O866" i="1"/>
  <c r="P866" i="1"/>
  <c r="O867" i="1"/>
  <c r="P867" i="1"/>
  <c r="O868" i="1"/>
  <c r="O869" i="1"/>
  <c r="O870" i="1"/>
  <c r="O871" i="1"/>
  <c r="P871" i="1"/>
  <c r="O872" i="1"/>
  <c r="P872" i="1"/>
  <c r="O873" i="1"/>
  <c r="P873" i="1"/>
  <c r="O874" i="1"/>
  <c r="P874" i="1"/>
  <c r="O875" i="1"/>
  <c r="P875" i="1"/>
  <c r="O876" i="1"/>
  <c r="P876" i="1"/>
  <c r="O877" i="1"/>
  <c r="P877" i="1"/>
  <c r="O878" i="1"/>
  <c r="P878" i="1"/>
  <c r="O879" i="1"/>
  <c r="P879" i="1"/>
  <c r="O880" i="1"/>
  <c r="P880" i="1"/>
  <c r="O881" i="1"/>
  <c r="O882" i="1"/>
  <c r="O883" i="1"/>
  <c r="O884" i="1"/>
  <c r="P884" i="1"/>
  <c r="O885" i="1"/>
  <c r="P885" i="1"/>
  <c r="O886" i="1"/>
  <c r="P886" i="1"/>
  <c r="O887" i="1"/>
  <c r="P887" i="1"/>
  <c r="O888" i="1"/>
  <c r="P888" i="1"/>
  <c r="O889" i="1"/>
  <c r="P889" i="1"/>
  <c r="O890" i="1"/>
  <c r="P890" i="1"/>
  <c r="O891" i="1"/>
  <c r="P891" i="1"/>
  <c r="O892" i="1"/>
  <c r="P892" i="1"/>
  <c r="O893" i="1"/>
  <c r="P893" i="1"/>
  <c r="O894" i="1"/>
  <c r="P894" i="1"/>
  <c r="O895" i="1"/>
  <c r="P895" i="1"/>
  <c r="O896" i="1"/>
  <c r="P896" i="1"/>
  <c r="O897" i="1"/>
  <c r="P897" i="1"/>
  <c r="O898" i="1"/>
  <c r="P898" i="1"/>
  <c r="O899" i="1"/>
  <c r="P899" i="1"/>
  <c r="O900" i="1"/>
  <c r="P900" i="1"/>
  <c r="O901" i="1"/>
  <c r="P901" i="1"/>
  <c r="O902" i="1"/>
  <c r="P902" i="1"/>
  <c r="O903" i="1"/>
  <c r="O904" i="1"/>
  <c r="P904" i="1"/>
  <c r="O905" i="1"/>
  <c r="P905" i="1"/>
  <c r="O906" i="1"/>
  <c r="P906" i="1"/>
  <c r="O907" i="1"/>
  <c r="P907" i="1"/>
  <c r="O908" i="1"/>
  <c r="P908" i="1"/>
  <c r="O909" i="1"/>
  <c r="O910" i="1"/>
  <c r="O911" i="1"/>
  <c r="P911" i="1"/>
  <c r="O912" i="1"/>
  <c r="P912" i="1"/>
  <c r="O913" i="1"/>
  <c r="O914" i="1"/>
  <c r="O915" i="1"/>
  <c r="P915" i="1"/>
  <c r="O916" i="1"/>
  <c r="P916" i="1"/>
  <c r="O917" i="1"/>
  <c r="O918" i="1"/>
  <c r="O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O954" i="1"/>
  <c r="P954" i="1"/>
  <c r="O955" i="1"/>
  <c r="P955" i="1"/>
  <c r="O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/>
  <c r="O972" i="1"/>
  <c r="P972" i="1"/>
  <c r="O973" i="1"/>
  <c r="P973" i="1"/>
  <c r="O974" i="1"/>
  <c r="P974" i="1"/>
  <c r="O975" i="1"/>
  <c r="O976" i="1"/>
  <c r="O977" i="1"/>
  <c r="P977" i="1"/>
  <c r="O978" i="1"/>
  <c r="P978" i="1"/>
  <c r="O979" i="1"/>
  <c r="O980" i="1"/>
  <c r="P980" i="1"/>
  <c r="O981" i="1"/>
  <c r="P981" i="1"/>
  <c r="O982" i="1"/>
  <c r="P982" i="1"/>
  <c r="O983" i="1"/>
  <c r="P983" i="1"/>
  <c r="O984" i="1"/>
  <c r="P984" i="1"/>
  <c r="O985" i="1"/>
  <c r="O986" i="1"/>
  <c r="O987" i="1"/>
  <c r="O988" i="1"/>
  <c r="O989" i="1"/>
  <c r="P989" i="1"/>
  <c r="O990" i="1"/>
  <c r="P990" i="1"/>
  <c r="O991" i="1"/>
  <c r="P991" i="1"/>
  <c r="O992" i="1"/>
  <c r="P992" i="1"/>
  <c r="O993" i="1"/>
  <c r="P993" i="1"/>
  <c r="O994" i="1"/>
  <c r="P994" i="1"/>
  <c r="O995" i="1"/>
  <c r="P995" i="1"/>
  <c r="O996" i="1"/>
  <c r="P996" i="1"/>
  <c r="O997" i="1"/>
  <c r="P997" i="1"/>
  <c r="O998" i="1"/>
  <c r="P998" i="1"/>
  <c r="O999" i="1"/>
  <c r="P999" i="1"/>
  <c r="O1000" i="1"/>
  <c r="P1000" i="1"/>
  <c r="O1001" i="1"/>
  <c r="O1002" i="1"/>
  <c r="O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/>
  <c r="O1019" i="1"/>
  <c r="P1019" i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O1030" i="1"/>
  <c r="P1030" i="1"/>
  <c r="O1031" i="1"/>
  <c r="P1031" i="1"/>
  <c r="O1032" i="1"/>
  <c r="P1032" i="1"/>
  <c r="O1033" i="1"/>
  <c r="P1033" i="1"/>
  <c r="O1034" i="1"/>
  <c r="P1034" i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/>
  <c r="O1051" i="1"/>
  <c r="P1051" i="1"/>
  <c r="O1052" i="1"/>
  <c r="P1052" i="1"/>
  <c r="O1053" i="1"/>
  <c r="P1053" i="1"/>
  <c r="O1054" i="1"/>
  <c r="P1054" i="1"/>
  <c r="O1055" i="1"/>
  <c r="O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O1073" i="1"/>
  <c r="P1073" i="1"/>
  <c r="O1074" i="1"/>
  <c r="P1074" i="1"/>
  <c r="O1075" i="1"/>
  <c r="P1075" i="1"/>
  <c r="O1076" i="1"/>
  <c r="P1076" i="1"/>
  <c r="O1077" i="1"/>
  <c r="P1077" i="1"/>
  <c r="O1078" i="1"/>
  <c r="P1078" i="1"/>
  <c r="O1079" i="1"/>
  <c r="P1079" i="1"/>
  <c r="O1080" i="1"/>
  <c r="P1080" i="1"/>
  <c r="O1081" i="1"/>
  <c r="P1081" i="1"/>
  <c r="O1082" i="1"/>
  <c r="P1082" i="1"/>
  <c r="O1083" i="1"/>
  <c r="P1083" i="1"/>
  <c r="O1084" i="1"/>
  <c r="P1084" i="1"/>
  <c r="O1085" i="1"/>
  <c r="P1085" i="1"/>
  <c r="O1086" i="1"/>
  <c r="P1086" i="1"/>
  <c r="O1087" i="1"/>
  <c r="P1087" i="1"/>
  <c r="O1088" i="1"/>
  <c r="P1088" i="1"/>
  <c r="O1089" i="1"/>
  <c r="P1089" i="1"/>
  <c r="O1090" i="1"/>
  <c r="P1090" i="1"/>
  <c r="O1091" i="1"/>
  <c r="P1091" i="1"/>
  <c r="O1092" i="1"/>
  <c r="P1092" i="1"/>
  <c r="O1093" i="1"/>
  <c r="P1093" i="1"/>
  <c r="O1094" i="1"/>
  <c r="P1094" i="1"/>
  <c r="O1095" i="1"/>
  <c r="P1095" i="1"/>
  <c r="O1096" i="1"/>
  <c r="O1097" i="1"/>
  <c r="O1098" i="1"/>
  <c r="O1099" i="1"/>
  <c r="O1100" i="1"/>
  <c r="O1101" i="1"/>
  <c r="O1102" i="1"/>
  <c r="O1103" i="1"/>
  <c r="P1103" i="1"/>
  <c r="O1104" i="1"/>
  <c r="P1104" i="1"/>
  <c r="O1105" i="1"/>
  <c r="P1105" i="1"/>
  <c r="O1106" i="1"/>
  <c r="P1106" i="1"/>
  <c r="O1107" i="1"/>
  <c r="P1107" i="1"/>
  <c r="O1108" i="1"/>
  <c r="P1108" i="1"/>
  <c r="O1109" i="1"/>
  <c r="P1109" i="1"/>
  <c r="O1110" i="1"/>
  <c r="P1110" i="1"/>
  <c r="O1111" i="1"/>
  <c r="P1111" i="1"/>
  <c r="O1112" i="1"/>
  <c r="P1112" i="1"/>
  <c r="O1113" i="1"/>
  <c r="P1113" i="1"/>
  <c r="O1114" i="1"/>
  <c r="P1114" i="1"/>
  <c r="O1115" i="1"/>
  <c r="P1115" i="1"/>
  <c r="O1116" i="1"/>
  <c r="P1116" i="1"/>
  <c r="O1117" i="1"/>
  <c r="P1117" i="1"/>
  <c r="O1118" i="1"/>
  <c r="P1118" i="1"/>
  <c r="O1119" i="1"/>
  <c r="P1119" i="1"/>
  <c r="O1120" i="1"/>
  <c r="P1120" i="1"/>
  <c r="O1121" i="1"/>
  <c r="P1121" i="1"/>
  <c r="O1122" i="1"/>
  <c r="P1122" i="1"/>
  <c r="O1123" i="1"/>
  <c r="P1123" i="1"/>
  <c r="O1124" i="1"/>
  <c r="P1124" i="1"/>
  <c r="O1125" i="1"/>
  <c r="P1125" i="1"/>
  <c r="O1126" i="1"/>
  <c r="P1126" i="1"/>
  <c r="O1127" i="1"/>
  <c r="P1127" i="1"/>
  <c r="O1128" i="1"/>
  <c r="P1128" i="1"/>
  <c r="O1129" i="1"/>
  <c r="P1129" i="1"/>
  <c r="O1130" i="1"/>
  <c r="P1130" i="1"/>
  <c r="O1131" i="1"/>
  <c r="P1131" i="1"/>
  <c r="O1132" i="1"/>
  <c r="P1132" i="1"/>
  <c r="O1133" i="1"/>
  <c r="P1133" i="1"/>
  <c r="O1134" i="1"/>
  <c r="P1134" i="1"/>
  <c r="O1135" i="1"/>
  <c r="P1135" i="1"/>
  <c r="O1136" i="1"/>
  <c r="P1136" i="1"/>
  <c r="O1137" i="1"/>
  <c r="P1137" i="1"/>
  <c r="O1138" i="1"/>
  <c r="P1138" i="1"/>
  <c r="O1139" i="1"/>
  <c r="P1139" i="1"/>
  <c r="O1140" i="1"/>
  <c r="P1140" i="1"/>
  <c r="O1141" i="1"/>
  <c r="P1141" i="1"/>
  <c r="O1142" i="1"/>
  <c r="P1142" i="1"/>
  <c r="O1143" i="1"/>
  <c r="P1143" i="1"/>
  <c r="O1144" i="1"/>
  <c r="P1144" i="1"/>
  <c r="O1145" i="1"/>
  <c r="P1145" i="1"/>
  <c r="O1146" i="1"/>
  <c r="P1146" i="1"/>
  <c r="O1147" i="1"/>
  <c r="P1147" i="1"/>
  <c r="O1148" i="1"/>
  <c r="P1148" i="1"/>
  <c r="O1149" i="1"/>
  <c r="P1149" i="1"/>
  <c r="O1150" i="1"/>
  <c r="P1150" i="1"/>
  <c r="O1151" i="1"/>
  <c r="P1151" i="1"/>
  <c r="O1152" i="1"/>
  <c r="P1152" i="1"/>
  <c r="O1153" i="1"/>
  <c r="P1153" i="1"/>
  <c r="O1154" i="1"/>
  <c r="O1155" i="1"/>
  <c r="O1156" i="1"/>
  <c r="P1156" i="1"/>
  <c r="O1157" i="1"/>
  <c r="P1157" i="1"/>
  <c r="O1158" i="1"/>
  <c r="P1158" i="1"/>
  <c r="O1159" i="1"/>
  <c r="P1159" i="1"/>
  <c r="O1160" i="1"/>
  <c r="P1160" i="1"/>
  <c r="O1161" i="1"/>
  <c r="P1161" i="1"/>
  <c r="O1162" i="1"/>
  <c r="P1162" i="1"/>
  <c r="O1163" i="1"/>
  <c r="P1163" i="1"/>
  <c r="O1164" i="1"/>
  <c r="P1164" i="1"/>
  <c r="O1165" i="1"/>
  <c r="P1165" i="1"/>
  <c r="O1166" i="1"/>
  <c r="P1166" i="1"/>
  <c r="O1167" i="1"/>
  <c r="P1167" i="1"/>
  <c r="O1168" i="1"/>
  <c r="P1168" i="1"/>
  <c r="O1169" i="1"/>
  <c r="P1169" i="1"/>
  <c r="O1170" i="1"/>
  <c r="P1170" i="1"/>
  <c r="O1171" i="1"/>
  <c r="P1171" i="1"/>
  <c r="O1172" i="1"/>
  <c r="P1172" i="1"/>
  <c r="O1173" i="1"/>
  <c r="P1173" i="1"/>
  <c r="O1174" i="1"/>
  <c r="P1174" i="1"/>
  <c r="O1175" i="1"/>
  <c r="P1175" i="1"/>
  <c r="O1176" i="1"/>
  <c r="P1176" i="1"/>
  <c r="O1177" i="1"/>
  <c r="O1178" i="1"/>
  <c r="P1178" i="1"/>
  <c r="O1179" i="1"/>
  <c r="P1179" i="1"/>
  <c r="O1180" i="1"/>
  <c r="P1180" i="1"/>
  <c r="O1181" i="1"/>
  <c r="P1181" i="1"/>
  <c r="O1182" i="1"/>
  <c r="P1182" i="1"/>
  <c r="O1183" i="1"/>
  <c r="P1183" i="1"/>
  <c r="O1184" i="1"/>
  <c r="O1185" i="1"/>
  <c r="P1185" i="1"/>
  <c r="O1186" i="1"/>
  <c r="P1186" i="1"/>
  <c r="O1187" i="1"/>
  <c r="P1187" i="1"/>
  <c r="O1188" i="1"/>
  <c r="P1188" i="1"/>
  <c r="O1189" i="1"/>
  <c r="P1189" i="1"/>
  <c r="O1190" i="1"/>
  <c r="P1190" i="1"/>
  <c r="O1191" i="1"/>
  <c r="P1191" i="1"/>
  <c r="O1192" i="1"/>
  <c r="P1192" i="1"/>
  <c r="O1193" i="1"/>
  <c r="P1193" i="1"/>
  <c r="O1194" i="1"/>
  <c r="P1194" i="1"/>
  <c r="O1195" i="1"/>
  <c r="P1195" i="1"/>
  <c r="O1196" i="1"/>
  <c r="P1196" i="1"/>
  <c r="O1197" i="1"/>
  <c r="P1197" i="1"/>
  <c r="O1198" i="1"/>
  <c r="P1198" i="1"/>
  <c r="O1199" i="1"/>
  <c r="P1199" i="1"/>
  <c r="O1200" i="1"/>
  <c r="P1200" i="1"/>
  <c r="O1201" i="1"/>
  <c r="O1202" i="1"/>
  <c r="P1202" i="1"/>
  <c r="O1203" i="1"/>
  <c r="P1203" i="1"/>
  <c r="O1204" i="1"/>
  <c r="P1204" i="1"/>
  <c r="O1205" i="1"/>
  <c r="O1206" i="1"/>
  <c r="O1207" i="1"/>
  <c r="P1207" i="1"/>
  <c r="O1208" i="1"/>
  <c r="P1208" i="1"/>
  <c r="O1209" i="1"/>
  <c r="P1209" i="1"/>
  <c r="O1210" i="1"/>
  <c r="P1210" i="1"/>
  <c r="O1211" i="1"/>
  <c r="P1211" i="1"/>
  <c r="O1212" i="1"/>
  <c r="P1212" i="1"/>
  <c r="O1213" i="1"/>
  <c r="P1213" i="1"/>
  <c r="O1214" i="1"/>
  <c r="P1214" i="1"/>
  <c r="O1215" i="1"/>
  <c r="P1215" i="1"/>
  <c r="O1216" i="1"/>
  <c r="P1216" i="1"/>
  <c r="O1217" i="1"/>
  <c r="P1217" i="1"/>
  <c r="O1218" i="1"/>
  <c r="P1218" i="1"/>
  <c r="O1219" i="1"/>
  <c r="P1219" i="1"/>
  <c r="O1220" i="1"/>
  <c r="P1220" i="1"/>
  <c r="O1221" i="1"/>
  <c r="P1221" i="1"/>
  <c r="O1222" i="1"/>
  <c r="P1222" i="1"/>
  <c r="O1223" i="1"/>
  <c r="P1223" i="1"/>
  <c r="O1224" i="1"/>
  <c r="P1224" i="1"/>
  <c r="O1225" i="1"/>
  <c r="P1225" i="1"/>
  <c r="O1226" i="1"/>
  <c r="P1226" i="1"/>
  <c r="O1227" i="1"/>
  <c r="P1227" i="1"/>
  <c r="O1228" i="1"/>
  <c r="P1228" i="1"/>
  <c r="O1229" i="1"/>
  <c r="P1229" i="1"/>
  <c r="O1230" i="1"/>
  <c r="P1230" i="1"/>
  <c r="O1231" i="1"/>
  <c r="P1231" i="1"/>
  <c r="O1232" i="1"/>
  <c r="P1232" i="1"/>
  <c r="O1233" i="1"/>
  <c r="P1233" i="1"/>
  <c r="O1234" i="1"/>
  <c r="P1234" i="1"/>
  <c r="O1235" i="1"/>
  <c r="P1235" i="1"/>
  <c r="O1236" i="1"/>
  <c r="P1236" i="1"/>
  <c r="O1237" i="1"/>
  <c r="P1237" i="1"/>
  <c r="O1238" i="1"/>
  <c r="O1239" i="1"/>
  <c r="P1239" i="1"/>
  <c r="O1240" i="1"/>
  <c r="P1240" i="1"/>
  <c r="O1241" i="1"/>
  <c r="P1241" i="1"/>
  <c r="O1242" i="1"/>
  <c r="O1243" i="1"/>
  <c r="O1244" i="1"/>
  <c r="O1245" i="1"/>
  <c r="P1245" i="1"/>
  <c r="O1246" i="1"/>
  <c r="P1246" i="1"/>
  <c r="O1247" i="1"/>
  <c r="P1247" i="1"/>
  <c r="O1248" i="1"/>
  <c r="P1248" i="1"/>
  <c r="O1249" i="1"/>
  <c r="P1249" i="1"/>
  <c r="O1250" i="1"/>
  <c r="P1250" i="1"/>
  <c r="O1251" i="1"/>
  <c r="P1251" i="1"/>
  <c r="O1252" i="1"/>
  <c r="P1252" i="1"/>
  <c r="O1253" i="1"/>
  <c r="P1253" i="1"/>
  <c r="O1254" i="1"/>
  <c r="P1254" i="1"/>
  <c r="O1255" i="1"/>
  <c r="P1255" i="1"/>
  <c r="O1256" i="1"/>
  <c r="O1257" i="1"/>
  <c r="O1258" i="1"/>
  <c r="P1258" i="1"/>
  <c r="O1259" i="1"/>
  <c r="P1259" i="1"/>
  <c r="O1260" i="1"/>
  <c r="P1260" i="1"/>
  <c r="O1261" i="1"/>
  <c r="P1261" i="1"/>
  <c r="O1262" i="1"/>
  <c r="P1262" i="1"/>
  <c r="O1263" i="1"/>
  <c r="P1263" i="1"/>
  <c r="O1264" i="1"/>
  <c r="P1264" i="1"/>
  <c r="O1265" i="1"/>
  <c r="P1265" i="1"/>
  <c r="O1266" i="1"/>
  <c r="P1266" i="1"/>
  <c r="O1267" i="1"/>
  <c r="P1267" i="1"/>
  <c r="O1268" i="1"/>
  <c r="P1268" i="1"/>
  <c r="O1269" i="1"/>
  <c r="P1269" i="1"/>
  <c r="O1270" i="1"/>
  <c r="P1270" i="1"/>
  <c r="O1271" i="1"/>
  <c r="P1271" i="1"/>
  <c r="O1272" i="1"/>
  <c r="P1272" i="1"/>
  <c r="O1273" i="1"/>
  <c r="P1273" i="1"/>
  <c r="O1274" i="1"/>
  <c r="P1274" i="1"/>
  <c r="O1275" i="1"/>
  <c r="P1275" i="1"/>
  <c r="O1276" i="1"/>
  <c r="P1276" i="1"/>
  <c r="O1277" i="1"/>
  <c r="P1277" i="1"/>
  <c r="O1278" i="1"/>
  <c r="P1278" i="1"/>
  <c r="O1279" i="1"/>
  <c r="P1279" i="1"/>
  <c r="O1280" i="1"/>
  <c r="P1280" i="1"/>
  <c r="O1281" i="1"/>
  <c r="P1281" i="1"/>
  <c r="O1282" i="1"/>
  <c r="P1282" i="1"/>
  <c r="O1283" i="1"/>
  <c r="P1283" i="1"/>
  <c r="O1284" i="1"/>
  <c r="P1284" i="1"/>
  <c r="O1285" i="1"/>
  <c r="P1285" i="1"/>
  <c r="O1286" i="1"/>
  <c r="P1286" i="1"/>
  <c r="O1287" i="1"/>
  <c r="P1287" i="1"/>
  <c r="O1288" i="1"/>
  <c r="P1288" i="1"/>
  <c r="O1289" i="1"/>
  <c r="P1289" i="1"/>
  <c r="O1290" i="1"/>
  <c r="P1290" i="1"/>
  <c r="O1291" i="1"/>
  <c r="P1291" i="1"/>
  <c r="O1292" i="1"/>
  <c r="P1292" i="1"/>
  <c r="O1293" i="1"/>
  <c r="P1293" i="1"/>
  <c r="O1294" i="1"/>
  <c r="P1294" i="1"/>
  <c r="O1295" i="1"/>
  <c r="P1295" i="1"/>
  <c r="O1296" i="1"/>
  <c r="P1296" i="1"/>
  <c r="O1297" i="1"/>
  <c r="P1297" i="1"/>
  <c r="O1298" i="1"/>
  <c r="P1298" i="1"/>
  <c r="O1299" i="1"/>
  <c r="P1299" i="1"/>
  <c r="O1300" i="1"/>
  <c r="P1300" i="1"/>
  <c r="O1301" i="1"/>
  <c r="P1301" i="1"/>
  <c r="O1302" i="1"/>
  <c r="P1302" i="1"/>
  <c r="O1303" i="1"/>
  <c r="P1303" i="1"/>
  <c r="O1304" i="1"/>
  <c r="P1304" i="1"/>
  <c r="O1305" i="1"/>
  <c r="P1305" i="1"/>
  <c r="O1306" i="1"/>
  <c r="P1306" i="1"/>
  <c r="O1307" i="1"/>
  <c r="P1307" i="1"/>
  <c r="O1308" i="1"/>
  <c r="P1308" i="1"/>
  <c r="O1309" i="1"/>
  <c r="P1309" i="1"/>
  <c r="O1310" i="1"/>
  <c r="P1310" i="1"/>
  <c r="O1311" i="1"/>
  <c r="P1311" i="1"/>
  <c r="O1312" i="1"/>
  <c r="P1312" i="1"/>
  <c r="O1313" i="1"/>
  <c r="P1313" i="1"/>
  <c r="O1314" i="1"/>
  <c r="P1314" i="1"/>
  <c r="O1315" i="1"/>
  <c r="P1315" i="1"/>
  <c r="O1316" i="1"/>
  <c r="P1316" i="1"/>
  <c r="O1317" i="1"/>
  <c r="P1317" i="1"/>
  <c r="O1318" i="1"/>
  <c r="P1318" i="1"/>
  <c r="O1319" i="1"/>
  <c r="P1319" i="1"/>
  <c r="O1320" i="1"/>
  <c r="P1320" i="1"/>
  <c r="O1321" i="1"/>
  <c r="P1321" i="1"/>
  <c r="O1322" i="1"/>
  <c r="P1322" i="1"/>
  <c r="O1323" i="1"/>
  <c r="P1323" i="1"/>
  <c r="O1324" i="1"/>
  <c r="P1324" i="1"/>
  <c r="O1325" i="1"/>
  <c r="P1325" i="1"/>
  <c r="O1326" i="1"/>
  <c r="P1326" i="1"/>
  <c r="O1327" i="1"/>
  <c r="P1327" i="1"/>
  <c r="O1328" i="1"/>
  <c r="P1328" i="1"/>
  <c r="O1329" i="1"/>
  <c r="P1329" i="1"/>
  <c r="O1330" i="1"/>
  <c r="P1330" i="1"/>
  <c r="O1331" i="1"/>
  <c r="P1331" i="1"/>
  <c r="O1332" i="1"/>
  <c r="P1332" i="1"/>
  <c r="O1333" i="1"/>
  <c r="P1333" i="1"/>
  <c r="O1334" i="1"/>
  <c r="P1334" i="1"/>
  <c r="O1335" i="1"/>
  <c r="P1335" i="1"/>
  <c r="O1336" i="1"/>
  <c r="O1337" i="1"/>
  <c r="O1338" i="1"/>
  <c r="P1338" i="1"/>
  <c r="O1339" i="1"/>
  <c r="P1339" i="1"/>
  <c r="O1340" i="1"/>
  <c r="P1340" i="1"/>
  <c r="O1341" i="1"/>
  <c r="P1341" i="1"/>
  <c r="O1342" i="1"/>
  <c r="P1342" i="1"/>
  <c r="O1343" i="1"/>
  <c r="P1343" i="1"/>
  <c r="O1344" i="1"/>
  <c r="P1344" i="1"/>
  <c r="O1345" i="1"/>
  <c r="P1345" i="1"/>
  <c r="O1346" i="1"/>
  <c r="P1346" i="1"/>
  <c r="O1347" i="1"/>
  <c r="P1347" i="1"/>
  <c r="O1348" i="1"/>
  <c r="P1348" i="1"/>
  <c r="O1349" i="1"/>
  <c r="P1349" i="1"/>
  <c r="O1350" i="1"/>
  <c r="P1350" i="1"/>
  <c r="O1351" i="1"/>
  <c r="P1351" i="1"/>
  <c r="O1352" i="1"/>
  <c r="P1352" i="1"/>
  <c r="O1353" i="1"/>
  <c r="P1353" i="1"/>
  <c r="O1354" i="1"/>
  <c r="P1354" i="1"/>
  <c r="O1355" i="1"/>
  <c r="P1355" i="1"/>
  <c r="O1356" i="1"/>
  <c r="P1356" i="1"/>
  <c r="O1357" i="1"/>
  <c r="P1357" i="1"/>
  <c r="O1358" i="1"/>
  <c r="P1358" i="1"/>
  <c r="O1359" i="1"/>
  <c r="P1359" i="1"/>
  <c r="O1360" i="1"/>
  <c r="P1360" i="1"/>
  <c r="O1361" i="1"/>
  <c r="P1361" i="1"/>
  <c r="O1362" i="1"/>
  <c r="P1362" i="1"/>
  <c r="O1363" i="1"/>
  <c r="P1363" i="1"/>
  <c r="O1364" i="1"/>
  <c r="P1364" i="1"/>
  <c r="O1365" i="1"/>
  <c r="P1365" i="1"/>
  <c r="O1366" i="1"/>
  <c r="P1366" i="1"/>
  <c r="O1367" i="1"/>
  <c r="P1367" i="1"/>
  <c r="O1368" i="1"/>
  <c r="P1368" i="1"/>
  <c r="O1369" i="1"/>
  <c r="P1369" i="1"/>
  <c r="O1370" i="1"/>
  <c r="P1370" i="1"/>
  <c r="O1371" i="1"/>
  <c r="P1371" i="1"/>
  <c r="O1372" i="1"/>
  <c r="P1372" i="1"/>
  <c r="O1373" i="1"/>
  <c r="P1373" i="1"/>
  <c r="O1374" i="1"/>
  <c r="P1374" i="1"/>
  <c r="O1375" i="1"/>
  <c r="P1375" i="1"/>
  <c r="O1376" i="1"/>
  <c r="P1376" i="1"/>
  <c r="O1377" i="1"/>
  <c r="P1377" i="1"/>
  <c r="O1378" i="1"/>
  <c r="P1378" i="1"/>
  <c r="O1379" i="1"/>
  <c r="P1379" i="1"/>
  <c r="O1380" i="1"/>
  <c r="P1380" i="1"/>
  <c r="O1381" i="1"/>
  <c r="P1381" i="1"/>
  <c r="O1382" i="1"/>
  <c r="O1383" i="1"/>
  <c r="O1384" i="1"/>
  <c r="P1384" i="1"/>
  <c r="O1385" i="1"/>
  <c r="P1385" i="1"/>
  <c r="O1386" i="1"/>
  <c r="P1386" i="1"/>
  <c r="O1387" i="1"/>
  <c r="P1387" i="1"/>
  <c r="O1388" i="1"/>
  <c r="O1389" i="1"/>
  <c r="O1390" i="1"/>
  <c r="O1391" i="1"/>
  <c r="O1392" i="1"/>
  <c r="O1393" i="1"/>
  <c r="P1393" i="1"/>
  <c r="O1394" i="1"/>
  <c r="O1395" i="1"/>
  <c r="P1395" i="1"/>
  <c r="O1396" i="1"/>
  <c r="O1397" i="1"/>
  <c r="O1398" i="1"/>
  <c r="P1398" i="1"/>
  <c r="O1399" i="1"/>
  <c r="P1399" i="1"/>
  <c r="O1400" i="1"/>
  <c r="P1400" i="1"/>
  <c r="O1401" i="1"/>
  <c r="P1401" i="1"/>
  <c r="O1402" i="1"/>
  <c r="P1402" i="1"/>
  <c r="O1403" i="1"/>
  <c r="P1403" i="1"/>
  <c r="O1404" i="1"/>
  <c r="P1404" i="1"/>
  <c r="O1405" i="1"/>
  <c r="P1405" i="1"/>
  <c r="O1406" i="1"/>
  <c r="P1406" i="1"/>
  <c r="O1407" i="1"/>
  <c r="P1407" i="1"/>
  <c r="O1408" i="1"/>
  <c r="P1408" i="1"/>
  <c r="O1409" i="1"/>
  <c r="P1409" i="1"/>
  <c r="O1410" i="1"/>
  <c r="P1410" i="1"/>
  <c r="O1411" i="1"/>
  <c r="P1411" i="1"/>
  <c r="O1412" i="1"/>
  <c r="P1412" i="1"/>
  <c r="O1413" i="1"/>
  <c r="P1413" i="1"/>
  <c r="O1414" i="1"/>
  <c r="P1414" i="1"/>
  <c r="O1415" i="1"/>
  <c r="P1415" i="1"/>
  <c r="O1416" i="1"/>
  <c r="P1416" i="1"/>
  <c r="O1417" i="1"/>
  <c r="P1417" i="1"/>
  <c r="O1418" i="1"/>
  <c r="P1418" i="1"/>
  <c r="O1419" i="1"/>
  <c r="P1419" i="1"/>
  <c r="O1420" i="1"/>
  <c r="P1420" i="1"/>
  <c r="O1421" i="1"/>
  <c r="P1421" i="1"/>
  <c r="O1422" i="1"/>
  <c r="P1422" i="1"/>
  <c r="O1423" i="1"/>
  <c r="P1423" i="1"/>
  <c r="O1424" i="1"/>
  <c r="O1425" i="1"/>
  <c r="P1425" i="1"/>
  <c r="O1426" i="1"/>
  <c r="P1426" i="1"/>
  <c r="O1427" i="1"/>
  <c r="P1427" i="1"/>
  <c r="O1428" i="1"/>
  <c r="P1428" i="1"/>
  <c r="O1429" i="1"/>
  <c r="P1429" i="1"/>
  <c r="O1430" i="1"/>
  <c r="P1430" i="1"/>
  <c r="O1431" i="1"/>
  <c r="P1431" i="1"/>
  <c r="O1432" i="1"/>
  <c r="P1432" i="1"/>
  <c r="O1433" i="1"/>
  <c r="P1433" i="1"/>
  <c r="O1434" i="1"/>
  <c r="P1434" i="1"/>
  <c r="O1435" i="1"/>
  <c r="O1436" i="1"/>
  <c r="P1436" i="1"/>
  <c r="O1437" i="1"/>
  <c r="O1438" i="1"/>
  <c r="P1438" i="1"/>
  <c r="O1439" i="1"/>
  <c r="P1439" i="1"/>
  <c r="O1440" i="1"/>
  <c r="P1440" i="1"/>
  <c r="O1441" i="1"/>
  <c r="O1442" i="1"/>
  <c r="P1442" i="1"/>
  <c r="O1443" i="1"/>
  <c r="O1444" i="1"/>
  <c r="P1444" i="1"/>
  <c r="O1445" i="1"/>
  <c r="P1445" i="1"/>
  <c r="O1446" i="1"/>
  <c r="P1446" i="1"/>
  <c r="O1447" i="1"/>
  <c r="P1447" i="1"/>
  <c r="O1448" i="1"/>
  <c r="P1448" i="1"/>
  <c r="O1449" i="1"/>
  <c r="P1449" i="1"/>
  <c r="O1450" i="1"/>
  <c r="P1450" i="1"/>
  <c r="O1451" i="1"/>
  <c r="P1451" i="1"/>
  <c r="O1452" i="1"/>
  <c r="P1452" i="1"/>
  <c r="O1453" i="1"/>
  <c r="P1453" i="1"/>
  <c r="O1454" i="1"/>
  <c r="P1454" i="1"/>
  <c r="O1455" i="1"/>
  <c r="P1455" i="1"/>
  <c r="O1456" i="1"/>
  <c r="P1456" i="1"/>
  <c r="O1457" i="1"/>
  <c r="P1457" i="1"/>
  <c r="O1458" i="1"/>
  <c r="P1458" i="1"/>
  <c r="O1459" i="1"/>
  <c r="P1459" i="1"/>
  <c r="O1460" i="1"/>
  <c r="P1460" i="1"/>
  <c r="O1461" i="1"/>
  <c r="P1461" i="1"/>
  <c r="O1462" i="1"/>
  <c r="P1462" i="1"/>
  <c r="O1463" i="1"/>
  <c r="P1463" i="1"/>
  <c r="O1464" i="1"/>
  <c r="P1464" i="1"/>
  <c r="O1465" i="1"/>
  <c r="P1465" i="1"/>
  <c r="O1466" i="1"/>
  <c r="P1466" i="1"/>
  <c r="O1467" i="1"/>
  <c r="P1467" i="1"/>
  <c r="O1468" i="1"/>
  <c r="P1468" i="1"/>
  <c r="O1469" i="1"/>
  <c r="P1469" i="1"/>
  <c r="O1470" i="1"/>
  <c r="P1470" i="1"/>
  <c r="O1471" i="1"/>
  <c r="P1471" i="1"/>
  <c r="O1472" i="1"/>
  <c r="P1472" i="1"/>
  <c r="O1473" i="1"/>
  <c r="P1473" i="1"/>
  <c r="O1474" i="1"/>
  <c r="P1474" i="1"/>
  <c r="O1475" i="1"/>
  <c r="P1475" i="1"/>
  <c r="O1476" i="1"/>
  <c r="P1476" i="1"/>
  <c r="O1477" i="1"/>
  <c r="P1477" i="1"/>
  <c r="O1478" i="1"/>
  <c r="P1478" i="1"/>
  <c r="O1479" i="1"/>
  <c r="P1479" i="1"/>
  <c r="O1480" i="1"/>
  <c r="P1480" i="1"/>
  <c r="O1481" i="1"/>
  <c r="P1481" i="1"/>
  <c r="O1482" i="1"/>
  <c r="P1482" i="1"/>
  <c r="O1483" i="1"/>
  <c r="P1483" i="1"/>
  <c r="O1484" i="1"/>
  <c r="P1484" i="1"/>
  <c r="O1485" i="1"/>
  <c r="P1485" i="1"/>
  <c r="O1486" i="1"/>
  <c r="P1486" i="1"/>
  <c r="O1487" i="1"/>
  <c r="P1487" i="1"/>
  <c r="O1488" i="1"/>
  <c r="P1488" i="1"/>
  <c r="O1489" i="1"/>
  <c r="P1489" i="1"/>
  <c r="O1490" i="1"/>
  <c r="P1490" i="1"/>
  <c r="O1491" i="1"/>
  <c r="P1491" i="1"/>
  <c r="O1492" i="1"/>
  <c r="P1492" i="1"/>
  <c r="O1493" i="1"/>
  <c r="P1493" i="1"/>
  <c r="O1494" i="1"/>
  <c r="P1494" i="1"/>
  <c r="O1495" i="1"/>
  <c r="P1495" i="1"/>
  <c r="O1496" i="1"/>
  <c r="P1496" i="1"/>
  <c r="O1497" i="1"/>
  <c r="P1497" i="1"/>
  <c r="O1498" i="1"/>
  <c r="P1498" i="1"/>
  <c r="O1499" i="1"/>
  <c r="P1499" i="1"/>
  <c r="O1500" i="1"/>
  <c r="P1500" i="1"/>
  <c r="O1501" i="1"/>
  <c r="P1501" i="1"/>
  <c r="O1502" i="1"/>
  <c r="P1502" i="1"/>
  <c r="O1503" i="1"/>
  <c r="P1503" i="1"/>
  <c r="O1504" i="1"/>
  <c r="P1504" i="1"/>
  <c r="O1505" i="1"/>
  <c r="P1505" i="1"/>
  <c r="O1506" i="1"/>
  <c r="P1506" i="1"/>
  <c r="O1507" i="1"/>
  <c r="P1507" i="1"/>
  <c r="O1508" i="1"/>
  <c r="P1508" i="1"/>
  <c r="O1509" i="1"/>
  <c r="P1509" i="1"/>
  <c r="O1510" i="1"/>
  <c r="P1510" i="1"/>
  <c r="O1511" i="1"/>
  <c r="P1511" i="1"/>
  <c r="O1512" i="1"/>
  <c r="P1512" i="1"/>
  <c r="O1513" i="1"/>
  <c r="P1513" i="1"/>
  <c r="O1514" i="1"/>
  <c r="P1514" i="1"/>
  <c r="O1515" i="1"/>
  <c r="P1515" i="1"/>
  <c r="O1516" i="1"/>
  <c r="P1516" i="1"/>
  <c r="O1517" i="1"/>
  <c r="P1517" i="1"/>
  <c r="O1518" i="1"/>
  <c r="P1518" i="1"/>
  <c r="O1519" i="1"/>
  <c r="P1519" i="1"/>
  <c r="O1520" i="1"/>
  <c r="P1520" i="1"/>
  <c r="O1521" i="1"/>
  <c r="P1521" i="1"/>
  <c r="O1522" i="1"/>
  <c r="P1522" i="1"/>
  <c r="O1523" i="1"/>
  <c r="P1523" i="1"/>
  <c r="O1524" i="1"/>
  <c r="P1524" i="1"/>
  <c r="O1525" i="1"/>
  <c r="P1525" i="1"/>
  <c r="O1526" i="1"/>
  <c r="P1526" i="1"/>
  <c r="O1527" i="1"/>
  <c r="P1527" i="1"/>
  <c r="O1528" i="1"/>
  <c r="O1529" i="1"/>
  <c r="O1530" i="1"/>
  <c r="O1531" i="1"/>
  <c r="P1531" i="1"/>
  <c r="O1532" i="1"/>
  <c r="P1532" i="1"/>
  <c r="O1533" i="1"/>
  <c r="P1533" i="1"/>
  <c r="O1534" i="1"/>
  <c r="P1534" i="1"/>
  <c r="O1535" i="1"/>
  <c r="P1535" i="1"/>
  <c r="O1536" i="1"/>
  <c r="P1536" i="1"/>
  <c r="O1537" i="1"/>
  <c r="P1537" i="1"/>
  <c r="O1538" i="1"/>
  <c r="P1538" i="1"/>
  <c r="O1539" i="1"/>
  <c r="P1539" i="1"/>
  <c r="O1540" i="1"/>
  <c r="P1540" i="1"/>
  <c r="O1541" i="1"/>
  <c r="P1541" i="1"/>
  <c r="O1542" i="1"/>
  <c r="P1542" i="1"/>
  <c r="O1543" i="1"/>
  <c r="P1543" i="1"/>
  <c r="O1544" i="1"/>
  <c r="P1544" i="1"/>
  <c r="O1545" i="1"/>
  <c r="P1545" i="1"/>
  <c r="O1546" i="1"/>
  <c r="P1546" i="1"/>
  <c r="O1547" i="1"/>
  <c r="P1547" i="1"/>
  <c r="O1548" i="1"/>
  <c r="P1548" i="1"/>
  <c r="O1549" i="1"/>
  <c r="P1549" i="1"/>
  <c r="O1550" i="1"/>
  <c r="P1550" i="1"/>
  <c r="O1551" i="1"/>
  <c r="P1551" i="1"/>
  <c r="O1552" i="1"/>
  <c r="P1552" i="1"/>
  <c r="O1553" i="1"/>
  <c r="P1553" i="1"/>
  <c r="O1554" i="1"/>
  <c r="P1554" i="1"/>
  <c r="O1555" i="1"/>
  <c r="P1555" i="1"/>
  <c r="O1556" i="1"/>
  <c r="P1556" i="1"/>
  <c r="O1557" i="1"/>
  <c r="P1557" i="1"/>
  <c r="O1558" i="1"/>
  <c r="P1558" i="1"/>
  <c r="O1559" i="1"/>
  <c r="P1559" i="1"/>
  <c r="O1560" i="1"/>
  <c r="P1560" i="1"/>
  <c r="O1561" i="1"/>
  <c r="P1561" i="1"/>
  <c r="O1562" i="1"/>
  <c r="P1562" i="1"/>
  <c r="O1563" i="1"/>
  <c r="P1563" i="1"/>
  <c r="O1564" i="1"/>
  <c r="P1564" i="1"/>
  <c r="O1565" i="1"/>
  <c r="P1565" i="1"/>
  <c r="O1566" i="1"/>
  <c r="P1566" i="1"/>
  <c r="O1567" i="1"/>
  <c r="P1567" i="1"/>
  <c r="O1568" i="1"/>
  <c r="P1568" i="1"/>
  <c r="O1569" i="1"/>
  <c r="P1569" i="1"/>
  <c r="O1570" i="1"/>
  <c r="P1570" i="1"/>
  <c r="O1571" i="1"/>
  <c r="P1571" i="1"/>
  <c r="O1572" i="1"/>
  <c r="P1572" i="1"/>
  <c r="O1573" i="1"/>
  <c r="P1573" i="1"/>
  <c r="O1574" i="1"/>
  <c r="P1574" i="1"/>
  <c r="O1575" i="1"/>
  <c r="P1575" i="1"/>
  <c r="O1576" i="1"/>
  <c r="P1576" i="1"/>
  <c r="O1577" i="1"/>
  <c r="P1577" i="1"/>
  <c r="O1578" i="1"/>
  <c r="P1578" i="1"/>
  <c r="O1579" i="1"/>
  <c r="P1579" i="1"/>
  <c r="O1580" i="1"/>
  <c r="P1580" i="1"/>
  <c r="O1581" i="1"/>
  <c r="P1581" i="1"/>
  <c r="O1582" i="1"/>
  <c r="P1582" i="1"/>
  <c r="O1583" i="1"/>
  <c r="P1583" i="1"/>
  <c r="O1584" i="1"/>
  <c r="P1584" i="1"/>
  <c r="O1585" i="1"/>
  <c r="P1585" i="1"/>
  <c r="O1586" i="1"/>
  <c r="P1586" i="1"/>
  <c r="O1587" i="1"/>
  <c r="P1587" i="1"/>
  <c r="O1588" i="1"/>
  <c r="P1588" i="1"/>
  <c r="O1589" i="1"/>
  <c r="P1589" i="1"/>
  <c r="O1590" i="1"/>
  <c r="P1590" i="1"/>
  <c r="O1591" i="1"/>
  <c r="P1591" i="1"/>
  <c r="O1592" i="1"/>
  <c r="P1592" i="1"/>
  <c r="O1593" i="1"/>
  <c r="P1593" i="1"/>
  <c r="O1594" i="1"/>
  <c r="P1594" i="1"/>
  <c r="O1595" i="1"/>
  <c r="P1595" i="1"/>
  <c r="O1596" i="1"/>
  <c r="P1596" i="1"/>
  <c r="O1597" i="1"/>
  <c r="P1597" i="1"/>
  <c r="O1598" i="1"/>
  <c r="P1598" i="1"/>
  <c r="O1599" i="1"/>
  <c r="P1599" i="1"/>
  <c r="O1600" i="1"/>
  <c r="P1600" i="1"/>
  <c r="O1601" i="1"/>
  <c r="P1601" i="1"/>
  <c r="O1602" i="1"/>
  <c r="P1602" i="1"/>
  <c r="O1603" i="1"/>
  <c r="P1603" i="1"/>
  <c r="O1604" i="1"/>
  <c r="P1604" i="1"/>
  <c r="O1605" i="1"/>
  <c r="P1605" i="1"/>
  <c r="O1606" i="1"/>
  <c r="P1606" i="1"/>
  <c r="O1607" i="1"/>
  <c r="P1607" i="1"/>
  <c r="O1608" i="1"/>
  <c r="P1608" i="1"/>
  <c r="O1609" i="1"/>
  <c r="P1609" i="1"/>
  <c r="O1610" i="1"/>
  <c r="P1610" i="1"/>
  <c r="O1611" i="1"/>
  <c r="P1611" i="1"/>
  <c r="O1612" i="1"/>
  <c r="P1612" i="1"/>
  <c r="O1613" i="1"/>
  <c r="P1613" i="1"/>
  <c r="O1614" i="1"/>
  <c r="P1614" i="1"/>
  <c r="O1615" i="1"/>
  <c r="P1615" i="1"/>
  <c r="O1616" i="1"/>
  <c r="P1616" i="1"/>
  <c r="O1617" i="1"/>
  <c r="P1617" i="1"/>
  <c r="O1618" i="1"/>
  <c r="P1618" i="1"/>
  <c r="O1619" i="1"/>
  <c r="P1619" i="1"/>
  <c r="O1620" i="1"/>
  <c r="P1620" i="1"/>
  <c r="O1621" i="1"/>
  <c r="P1621" i="1"/>
  <c r="O1622" i="1"/>
  <c r="P1622" i="1"/>
  <c r="O1623" i="1"/>
  <c r="P1623" i="1"/>
  <c r="O1624" i="1"/>
  <c r="P1624" i="1"/>
  <c r="O1625" i="1"/>
  <c r="P1625" i="1"/>
  <c r="O1626" i="1"/>
  <c r="P1626" i="1"/>
  <c r="O1627" i="1"/>
  <c r="P1627" i="1"/>
  <c r="O1628" i="1"/>
  <c r="P1628" i="1"/>
  <c r="O1629" i="1"/>
  <c r="P1629" i="1"/>
  <c r="O1630" i="1"/>
  <c r="P1630" i="1"/>
  <c r="O1631" i="1"/>
  <c r="P1631" i="1"/>
  <c r="O1632" i="1"/>
  <c r="P1632" i="1"/>
  <c r="O1633" i="1"/>
  <c r="P1633" i="1"/>
  <c r="O1634" i="1"/>
  <c r="P1634" i="1"/>
  <c r="O1635" i="1"/>
  <c r="P1635" i="1"/>
  <c r="O1636" i="1"/>
  <c r="P1636" i="1"/>
  <c r="O1637" i="1"/>
  <c r="P1637" i="1"/>
  <c r="O1638" i="1"/>
  <c r="P1638" i="1"/>
  <c r="O1639" i="1"/>
  <c r="P1639" i="1"/>
  <c r="O1640" i="1"/>
  <c r="P1640" i="1"/>
  <c r="O1641" i="1"/>
  <c r="P1641" i="1"/>
  <c r="O1642" i="1"/>
  <c r="P1642" i="1"/>
  <c r="O1643" i="1"/>
  <c r="P1643" i="1"/>
  <c r="O1644" i="1"/>
  <c r="P1644" i="1"/>
  <c r="O1645" i="1"/>
  <c r="P1645" i="1"/>
  <c r="O1646" i="1"/>
  <c r="P1646" i="1"/>
  <c r="O1647" i="1"/>
  <c r="P1647" i="1"/>
  <c r="O1648" i="1"/>
  <c r="P1648" i="1"/>
  <c r="O1649" i="1"/>
  <c r="P1649" i="1"/>
  <c r="O1650" i="1"/>
  <c r="P1650" i="1"/>
  <c r="O1651" i="1"/>
  <c r="P1651" i="1"/>
  <c r="O1652" i="1"/>
  <c r="P1652" i="1"/>
  <c r="O1653" i="1"/>
  <c r="P1653" i="1"/>
  <c r="O1654" i="1"/>
  <c r="P1654" i="1"/>
  <c r="O1655" i="1"/>
  <c r="P1655" i="1"/>
  <c r="O1656" i="1"/>
  <c r="P1656" i="1"/>
  <c r="O1657" i="1"/>
  <c r="P1657" i="1"/>
  <c r="O1658" i="1"/>
  <c r="P1658" i="1"/>
  <c r="O1659" i="1"/>
  <c r="P1659" i="1"/>
  <c r="O1660" i="1"/>
  <c r="P1660" i="1"/>
  <c r="O1661" i="1"/>
  <c r="P1661" i="1"/>
  <c r="O1662" i="1"/>
  <c r="P1662" i="1"/>
  <c r="O1663" i="1"/>
  <c r="P1663" i="1"/>
  <c r="O1664" i="1"/>
  <c r="P1664" i="1"/>
  <c r="O1665" i="1"/>
  <c r="P1665" i="1"/>
  <c r="O1666" i="1"/>
  <c r="P1666" i="1"/>
  <c r="O1667" i="1"/>
  <c r="P1667" i="1"/>
  <c r="O1668" i="1"/>
  <c r="P1668" i="1"/>
  <c r="O1669" i="1"/>
  <c r="P1669" i="1"/>
  <c r="O1670" i="1"/>
  <c r="P1670" i="1"/>
  <c r="O1671" i="1"/>
  <c r="P1671" i="1"/>
  <c r="O1672" i="1"/>
  <c r="P1672" i="1"/>
  <c r="O1673" i="1"/>
  <c r="P1673" i="1"/>
  <c r="O1674" i="1"/>
  <c r="P1674" i="1"/>
  <c r="O1675" i="1"/>
  <c r="P1675" i="1"/>
  <c r="O1676" i="1"/>
  <c r="P1676" i="1"/>
  <c r="O1677" i="1"/>
  <c r="P1677" i="1"/>
  <c r="O1678" i="1"/>
  <c r="P1678" i="1"/>
  <c r="O1679" i="1"/>
  <c r="P1679" i="1"/>
  <c r="O1680" i="1"/>
  <c r="P1680" i="1"/>
  <c r="O1681" i="1"/>
  <c r="P1681" i="1"/>
  <c r="O1682" i="1"/>
  <c r="P1682" i="1"/>
  <c r="O1683" i="1"/>
  <c r="P1683" i="1"/>
  <c r="O1684" i="1"/>
  <c r="P1684" i="1"/>
  <c r="O1685" i="1"/>
  <c r="P1685" i="1"/>
  <c r="O1686" i="1"/>
  <c r="P1686" i="1"/>
  <c r="O1687" i="1"/>
  <c r="P1687" i="1"/>
  <c r="O1688" i="1"/>
  <c r="P1688" i="1"/>
  <c r="O1689" i="1"/>
  <c r="P1689" i="1"/>
  <c r="O1690" i="1"/>
  <c r="P1690" i="1"/>
  <c r="O1691" i="1"/>
  <c r="P1691" i="1"/>
  <c r="O1692" i="1"/>
  <c r="P1692" i="1"/>
  <c r="O1693" i="1"/>
  <c r="P1693" i="1"/>
  <c r="O1694" i="1"/>
  <c r="P1694" i="1"/>
  <c r="O1695" i="1"/>
  <c r="P1695" i="1"/>
  <c r="O1696" i="1"/>
  <c r="P1696" i="1"/>
  <c r="O1697" i="1"/>
  <c r="P1697" i="1"/>
  <c r="O1698" i="1"/>
  <c r="P1698" i="1"/>
  <c r="O1699" i="1"/>
  <c r="P1699" i="1"/>
  <c r="O1700" i="1"/>
  <c r="P1700" i="1"/>
  <c r="O1701" i="1"/>
  <c r="P1701" i="1"/>
  <c r="O1702" i="1"/>
  <c r="P1702" i="1"/>
  <c r="O1703" i="1"/>
  <c r="P1703" i="1"/>
  <c r="O1704" i="1"/>
  <c r="P1704" i="1"/>
  <c r="O1705" i="1"/>
  <c r="O1706" i="1"/>
  <c r="O1707" i="1"/>
  <c r="P1707" i="1"/>
  <c r="O1708" i="1"/>
  <c r="P1708" i="1"/>
  <c r="O1709" i="1"/>
  <c r="P1709" i="1"/>
  <c r="O1710" i="1"/>
  <c r="P1710" i="1"/>
  <c r="O1711" i="1"/>
  <c r="P1711" i="1"/>
  <c r="O1712" i="1"/>
  <c r="P1712" i="1"/>
  <c r="O1713" i="1"/>
  <c r="P1713" i="1"/>
  <c r="O1714" i="1"/>
  <c r="P1714" i="1"/>
  <c r="O1715" i="1"/>
  <c r="P1715" i="1"/>
  <c r="O1716" i="1"/>
  <c r="P1716" i="1"/>
  <c r="O1717" i="1"/>
  <c r="P1717" i="1"/>
  <c r="O1718" i="1"/>
  <c r="P1718" i="1"/>
  <c r="O1719" i="1"/>
  <c r="P1719" i="1"/>
  <c r="O1720" i="1"/>
  <c r="P1720" i="1"/>
  <c r="O1721" i="1"/>
  <c r="P1721" i="1"/>
  <c r="O1722" i="1"/>
  <c r="P1722" i="1"/>
  <c r="O1723" i="1"/>
  <c r="P1723" i="1"/>
  <c r="O1724" i="1"/>
  <c r="P1724" i="1"/>
  <c r="O1725" i="1"/>
  <c r="P1725" i="1"/>
  <c r="O1726" i="1"/>
  <c r="P1726" i="1"/>
  <c r="O1727" i="1"/>
  <c r="P1727" i="1"/>
  <c r="O1728" i="1"/>
  <c r="P1728" i="1"/>
  <c r="O1729" i="1"/>
  <c r="P1729" i="1"/>
  <c r="O1730" i="1"/>
  <c r="P1730" i="1"/>
  <c r="O1731" i="1"/>
  <c r="P1731" i="1"/>
  <c r="O1732" i="1"/>
  <c r="P1732" i="1"/>
  <c r="O1733" i="1"/>
  <c r="P1733" i="1"/>
  <c r="O1734" i="1"/>
  <c r="P1734" i="1"/>
  <c r="O1735" i="1"/>
  <c r="P1735" i="1"/>
  <c r="O1736" i="1"/>
  <c r="P1736" i="1"/>
  <c r="O1737" i="1"/>
  <c r="P1737" i="1"/>
  <c r="O1738" i="1"/>
  <c r="P1738" i="1"/>
  <c r="O1739" i="1"/>
  <c r="P1739" i="1"/>
  <c r="O1740" i="1"/>
  <c r="P1740" i="1"/>
  <c r="O1741" i="1"/>
  <c r="P1741" i="1"/>
  <c r="O1742" i="1"/>
  <c r="P1742" i="1"/>
  <c r="O1743" i="1"/>
  <c r="P1743" i="1"/>
  <c r="O1744" i="1"/>
  <c r="P1744" i="1"/>
  <c r="O1745" i="1"/>
  <c r="O1746" i="1"/>
  <c r="O1747" i="1"/>
  <c r="P1747" i="1"/>
  <c r="O1748" i="1"/>
  <c r="P1748" i="1"/>
  <c r="O1749" i="1"/>
  <c r="P1749" i="1"/>
  <c r="O1750" i="1"/>
  <c r="P1750" i="1"/>
  <c r="O1751" i="1"/>
  <c r="P1751" i="1"/>
  <c r="O1752" i="1"/>
  <c r="P1752" i="1"/>
  <c r="O1753" i="1"/>
  <c r="P1753" i="1"/>
  <c r="O1754" i="1"/>
  <c r="P1754" i="1"/>
  <c r="O1755" i="1"/>
  <c r="P1755" i="1"/>
  <c r="O1756" i="1"/>
  <c r="P1756" i="1"/>
  <c r="O1757" i="1"/>
  <c r="P1757" i="1"/>
  <c r="O1758" i="1"/>
  <c r="P1758" i="1"/>
  <c r="O1759" i="1"/>
  <c r="P1759" i="1"/>
  <c r="O1760" i="1"/>
  <c r="P1760" i="1"/>
  <c r="O1761" i="1"/>
  <c r="P1761" i="1"/>
  <c r="O1762" i="1"/>
  <c r="P1762" i="1"/>
  <c r="O1763" i="1"/>
  <c r="P1763" i="1"/>
  <c r="O1764" i="1"/>
  <c r="P1764" i="1"/>
  <c r="O1765" i="1"/>
  <c r="P1765" i="1"/>
  <c r="O1766" i="1"/>
  <c r="P1766" i="1"/>
  <c r="O1767" i="1"/>
  <c r="P1767" i="1"/>
  <c r="O1768" i="1"/>
  <c r="P1768" i="1"/>
  <c r="O1769" i="1"/>
  <c r="P1769" i="1"/>
  <c r="O1770" i="1"/>
  <c r="P1770" i="1"/>
  <c r="O1771" i="1"/>
  <c r="P1771" i="1"/>
  <c r="O1772" i="1"/>
  <c r="P1772" i="1"/>
  <c r="O1773" i="1"/>
  <c r="P1773" i="1"/>
  <c r="O1774" i="1"/>
  <c r="P1774" i="1"/>
  <c r="O1775" i="1"/>
  <c r="P1775" i="1"/>
  <c r="O1776" i="1"/>
  <c r="P1776" i="1"/>
  <c r="O1777" i="1"/>
  <c r="P1777" i="1"/>
  <c r="O1778" i="1"/>
  <c r="P1778" i="1"/>
  <c r="O1779" i="1"/>
  <c r="P1779" i="1"/>
  <c r="O1780" i="1"/>
  <c r="P1780" i="1"/>
  <c r="O1781" i="1"/>
  <c r="P1781" i="1"/>
  <c r="O1782" i="1"/>
  <c r="P1782" i="1"/>
  <c r="O1783" i="1"/>
  <c r="P1783" i="1"/>
  <c r="O1784" i="1"/>
  <c r="P1784" i="1"/>
  <c r="O1785" i="1"/>
  <c r="P1785" i="1"/>
  <c r="O1786" i="1"/>
  <c r="P1786" i="1"/>
  <c r="O1787" i="1"/>
  <c r="P1787" i="1"/>
  <c r="O1788" i="1"/>
  <c r="P1788" i="1"/>
  <c r="O1789" i="1"/>
  <c r="P1789" i="1"/>
  <c r="O1790" i="1"/>
  <c r="P1790" i="1"/>
  <c r="O1791" i="1"/>
  <c r="P1791" i="1"/>
  <c r="O1792" i="1"/>
  <c r="P1792" i="1"/>
  <c r="O1793" i="1"/>
  <c r="P1793" i="1"/>
  <c r="O1794" i="1"/>
  <c r="P1794" i="1"/>
  <c r="O1795" i="1"/>
  <c r="P1795" i="1"/>
  <c r="O1796" i="1"/>
  <c r="P1796" i="1"/>
  <c r="O1797" i="1"/>
  <c r="P1797" i="1"/>
  <c r="O1798" i="1"/>
  <c r="P1798" i="1"/>
  <c r="O1799" i="1"/>
  <c r="P1799" i="1"/>
  <c r="O1800" i="1"/>
  <c r="P1800" i="1"/>
  <c r="O1801" i="1"/>
  <c r="P1801" i="1"/>
  <c r="O1802" i="1"/>
  <c r="P1802" i="1"/>
  <c r="O1803" i="1"/>
  <c r="P1803" i="1"/>
  <c r="O1804" i="1"/>
  <c r="P1804" i="1"/>
  <c r="O1805" i="1"/>
  <c r="P1805" i="1"/>
  <c r="O1806" i="1"/>
  <c r="P1806" i="1"/>
  <c r="O1807" i="1"/>
  <c r="P1807" i="1"/>
  <c r="O1808" i="1"/>
  <c r="P1808" i="1"/>
  <c r="O1809" i="1"/>
  <c r="P1809" i="1"/>
  <c r="O1810" i="1"/>
  <c r="P1810" i="1"/>
  <c r="O1811" i="1"/>
  <c r="P1811" i="1"/>
  <c r="O1812" i="1"/>
  <c r="P1812" i="1"/>
  <c r="O1813" i="1"/>
  <c r="P1813" i="1"/>
  <c r="O1814" i="1"/>
  <c r="P1814" i="1"/>
  <c r="O1815" i="1"/>
  <c r="P1815" i="1"/>
  <c r="O1816" i="1"/>
  <c r="P1816" i="1"/>
  <c r="O1817" i="1"/>
  <c r="P1817" i="1"/>
  <c r="O1818" i="1"/>
  <c r="P1818" i="1"/>
  <c r="O1819" i="1"/>
  <c r="P1819" i="1"/>
  <c r="O1820" i="1"/>
  <c r="P1820" i="1"/>
  <c r="O1821" i="1"/>
  <c r="P1821" i="1"/>
  <c r="O1822" i="1"/>
  <c r="P1822" i="1"/>
  <c r="O1823" i="1"/>
  <c r="P1823" i="1"/>
  <c r="O1824" i="1"/>
  <c r="P1824" i="1"/>
  <c r="O1825" i="1"/>
  <c r="P1825" i="1"/>
  <c r="O1826" i="1"/>
  <c r="P1826" i="1"/>
  <c r="O1827" i="1"/>
  <c r="P1827" i="1"/>
  <c r="O1828" i="1"/>
  <c r="P1828" i="1"/>
  <c r="O1829" i="1"/>
  <c r="P1829" i="1"/>
  <c r="O1830" i="1"/>
  <c r="P1830" i="1"/>
  <c r="O1831" i="1"/>
  <c r="P1831" i="1"/>
  <c r="O1832" i="1"/>
  <c r="P1832" i="1"/>
  <c r="O1833" i="1"/>
  <c r="P1833" i="1"/>
  <c r="O1834" i="1"/>
  <c r="P1834" i="1"/>
  <c r="O1835" i="1"/>
  <c r="P1835" i="1"/>
  <c r="O1836" i="1"/>
  <c r="P1836" i="1"/>
  <c r="O1837" i="1"/>
  <c r="P1837" i="1"/>
  <c r="O1838" i="1"/>
  <c r="P1838" i="1"/>
  <c r="O1839" i="1"/>
  <c r="P1839" i="1"/>
  <c r="O1840" i="1"/>
  <c r="P1840" i="1"/>
  <c r="O1841" i="1"/>
  <c r="P1841" i="1"/>
  <c r="O1842" i="1"/>
  <c r="P1842" i="1"/>
  <c r="O1843" i="1"/>
  <c r="P1843" i="1"/>
  <c r="O1844" i="1"/>
  <c r="P1844" i="1"/>
  <c r="O1845" i="1"/>
  <c r="P1845" i="1"/>
  <c r="O1846" i="1"/>
  <c r="P1846" i="1"/>
  <c r="O1847" i="1"/>
  <c r="P1847" i="1"/>
  <c r="O1848" i="1"/>
  <c r="P1848" i="1"/>
  <c r="O1849" i="1"/>
  <c r="P1849" i="1"/>
  <c r="O1850" i="1"/>
  <c r="P1850" i="1"/>
  <c r="O1851" i="1"/>
  <c r="P1851" i="1"/>
  <c r="O1852" i="1"/>
  <c r="P1852" i="1"/>
  <c r="O1853" i="1"/>
  <c r="P1853" i="1"/>
  <c r="O1854" i="1"/>
  <c r="P1854" i="1"/>
  <c r="O1855" i="1"/>
  <c r="P1855" i="1"/>
  <c r="O1856" i="1"/>
  <c r="P1856" i="1"/>
  <c r="O1857" i="1"/>
  <c r="P1857" i="1"/>
  <c r="O1858" i="1"/>
  <c r="P1858" i="1"/>
  <c r="O1859" i="1"/>
  <c r="P1859" i="1"/>
  <c r="O1860" i="1"/>
  <c r="P1860" i="1"/>
  <c r="O1861" i="1"/>
  <c r="P1861" i="1"/>
  <c r="O1862" i="1"/>
  <c r="P1862" i="1"/>
  <c r="O1863" i="1"/>
  <c r="P1863" i="1"/>
  <c r="O1864" i="1"/>
  <c r="P1864" i="1"/>
  <c r="O1865" i="1"/>
  <c r="P1865" i="1"/>
  <c r="O1866" i="1"/>
  <c r="P1866" i="1"/>
  <c r="O1867" i="1"/>
  <c r="P1867" i="1"/>
  <c r="O1868" i="1"/>
  <c r="P1868" i="1"/>
  <c r="O1869" i="1"/>
  <c r="P1869" i="1"/>
  <c r="O1870" i="1"/>
  <c r="P1870" i="1"/>
  <c r="O1871" i="1"/>
  <c r="P1871" i="1"/>
  <c r="O1872" i="1"/>
  <c r="P1872" i="1"/>
  <c r="O1873" i="1"/>
  <c r="P1873" i="1"/>
  <c r="O1874" i="1"/>
  <c r="P1874" i="1"/>
  <c r="O1875" i="1"/>
  <c r="P1875" i="1"/>
  <c r="O1876" i="1"/>
  <c r="P1876" i="1"/>
  <c r="O1877" i="1"/>
  <c r="P1877" i="1"/>
  <c r="O1878" i="1"/>
  <c r="P1878" i="1"/>
  <c r="O1879" i="1"/>
  <c r="P1879" i="1"/>
  <c r="O1880" i="1"/>
  <c r="P1880" i="1"/>
  <c r="O1881" i="1"/>
  <c r="P1881" i="1"/>
  <c r="O1882" i="1"/>
  <c r="P1882" i="1"/>
  <c r="O1883" i="1"/>
  <c r="P1883" i="1"/>
  <c r="O1884" i="1"/>
  <c r="P1884" i="1"/>
  <c r="O1885" i="1"/>
  <c r="P1885" i="1"/>
  <c r="O1886" i="1"/>
  <c r="P1886" i="1"/>
  <c r="O1887" i="1"/>
  <c r="P1887" i="1"/>
  <c r="O1888" i="1"/>
  <c r="P1888" i="1"/>
  <c r="O1889" i="1"/>
  <c r="P1889" i="1"/>
  <c r="O1890" i="1"/>
  <c r="P1890" i="1"/>
  <c r="O1891" i="1"/>
  <c r="P1891" i="1"/>
  <c r="O1892" i="1"/>
  <c r="P1892" i="1"/>
  <c r="O1893" i="1"/>
  <c r="P1893" i="1"/>
  <c r="O1894" i="1"/>
  <c r="P1894" i="1"/>
  <c r="O1895" i="1"/>
  <c r="P1895" i="1"/>
  <c r="O1896" i="1"/>
  <c r="P1896" i="1"/>
  <c r="O1897" i="1"/>
  <c r="P1897" i="1"/>
  <c r="O1898" i="1"/>
  <c r="P1898" i="1"/>
  <c r="O1899" i="1"/>
  <c r="P1899" i="1"/>
  <c r="O1900" i="1"/>
  <c r="P1900" i="1"/>
  <c r="O1901" i="1"/>
  <c r="P1901" i="1"/>
  <c r="O1902" i="1"/>
  <c r="P1902" i="1"/>
  <c r="O1903" i="1"/>
  <c r="P1903" i="1"/>
  <c r="O1904" i="1"/>
  <c r="P1904" i="1"/>
  <c r="O1905" i="1"/>
  <c r="P1905" i="1"/>
  <c r="O1906" i="1"/>
  <c r="P1906" i="1"/>
  <c r="O1907" i="1"/>
  <c r="P1907" i="1"/>
  <c r="O1908" i="1"/>
  <c r="P1908" i="1"/>
  <c r="O1909" i="1"/>
  <c r="P1909" i="1"/>
  <c r="O1910" i="1"/>
  <c r="P1910" i="1"/>
  <c r="O1911" i="1"/>
  <c r="P1911" i="1"/>
  <c r="O1912" i="1"/>
  <c r="P1912" i="1"/>
  <c r="O1913" i="1"/>
  <c r="P1913" i="1"/>
  <c r="O1914" i="1"/>
  <c r="P1914" i="1"/>
  <c r="O1915" i="1"/>
  <c r="P1915" i="1"/>
  <c r="O1916" i="1"/>
  <c r="P1916" i="1"/>
  <c r="O1917" i="1"/>
  <c r="P1917" i="1"/>
  <c r="O1918" i="1"/>
  <c r="P1918" i="1"/>
  <c r="O1919" i="1"/>
  <c r="P1919" i="1"/>
  <c r="O1920" i="1"/>
  <c r="P1920" i="1"/>
  <c r="O1921" i="1"/>
  <c r="P1921" i="1"/>
  <c r="O1922" i="1"/>
  <c r="P1922" i="1"/>
  <c r="O1923" i="1"/>
  <c r="P1923" i="1"/>
  <c r="O1924" i="1"/>
  <c r="P1924" i="1"/>
  <c r="O1925" i="1"/>
  <c r="P1925" i="1"/>
  <c r="O1926" i="1"/>
  <c r="P1926" i="1"/>
  <c r="O1927" i="1"/>
  <c r="P1927" i="1"/>
  <c r="O1928" i="1"/>
  <c r="P1928" i="1"/>
  <c r="O1929" i="1"/>
  <c r="P1929" i="1"/>
  <c r="O1930" i="1"/>
  <c r="P1930" i="1"/>
  <c r="O1931" i="1"/>
  <c r="P1931" i="1"/>
  <c r="O1932" i="1"/>
  <c r="P1932" i="1"/>
  <c r="O1933" i="1"/>
  <c r="P1933" i="1"/>
  <c r="O1934" i="1"/>
  <c r="P1934" i="1"/>
  <c r="O1935" i="1"/>
  <c r="P1935" i="1"/>
  <c r="O1936" i="1"/>
  <c r="P1936" i="1"/>
  <c r="O1937" i="1"/>
  <c r="P1937" i="1"/>
  <c r="O1938" i="1"/>
  <c r="P1938" i="1"/>
  <c r="O1939" i="1"/>
  <c r="P1939" i="1"/>
  <c r="O1940" i="1"/>
  <c r="P1940" i="1"/>
  <c r="O1941" i="1"/>
  <c r="P1941" i="1"/>
  <c r="O1942" i="1"/>
  <c r="P1942" i="1"/>
  <c r="O1943" i="1"/>
  <c r="P1943" i="1"/>
  <c r="O1944" i="1"/>
  <c r="P1944" i="1"/>
  <c r="O1945" i="1"/>
  <c r="P1945" i="1"/>
  <c r="O1946" i="1"/>
  <c r="P1946" i="1"/>
  <c r="O1947" i="1"/>
  <c r="P1947" i="1"/>
  <c r="O1948" i="1"/>
  <c r="P1948" i="1"/>
  <c r="O1949" i="1"/>
  <c r="P1949" i="1"/>
  <c r="O1950" i="1"/>
  <c r="P1950" i="1"/>
  <c r="O1951" i="1"/>
  <c r="P1951" i="1"/>
  <c r="O1952" i="1"/>
  <c r="P1952" i="1"/>
  <c r="O1953" i="1"/>
  <c r="P1953" i="1"/>
  <c r="O1954" i="1"/>
  <c r="P1954" i="1"/>
  <c r="O1955" i="1"/>
  <c r="P1955" i="1"/>
  <c r="O1956" i="1"/>
  <c r="O1957" i="1"/>
  <c r="P1957" i="1"/>
  <c r="O1958" i="1"/>
  <c r="P1958" i="1"/>
  <c r="O1959" i="1"/>
  <c r="P1959" i="1"/>
  <c r="O1960" i="1"/>
  <c r="P1960" i="1"/>
  <c r="O1961" i="1"/>
  <c r="P1961" i="1"/>
  <c r="O1962" i="1"/>
  <c r="P1962" i="1"/>
  <c r="O1963" i="1"/>
  <c r="P1963" i="1"/>
  <c r="O1964" i="1"/>
  <c r="P1964" i="1"/>
  <c r="O1965" i="1"/>
  <c r="P1965" i="1"/>
  <c r="O1966" i="1"/>
  <c r="P1966" i="1"/>
  <c r="O1967" i="1"/>
  <c r="P1967" i="1"/>
  <c r="O1968" i="1"/>
  <c r="O1969" i="1"/>
  <c r="P1969" i="1"/>
  <c r="O1970" i="1"/>
  <c r="P1970" i="1"/>
  <c r="O1971" i="1"/>
  <c r="P1971" i="1"/>
  <c r="O1972" i="1"/>
  <c r="O1973" i="1"/>
  <c r="O1974" i="1"/>
  <c r="O1975" i="1"/>
  <c r="P1975" i="1"/>
  <c r="P2" i="1"/>
  <c r="O2" i="1"/>
</calcChain>
</file>

<file path=xl/sharedStrings.xml><?xml version="1.0" encoding="utf-8"?>
<sst xmlns="http://schemas.openxmlformats.org/spreadsheetml/2006/main" count="17794" uniqueCount="3985">
  <si>
    <t>Owner</t>
  </si>
  <si>
    <t>Item</t>
  </si>
  <si>
    <t>Description</t>
  </si>
  <si>
    <t>Location</t>
  </si>
  <si>
    <t>LPN</t>
  </si>
  <si>
    <t>On Hand</t>
  </si>
  <si>
    <t>Available</t>
  </si>
  <si>
    <t>Status</t>
  </si>
  <si>
    <t>Lottable 02</t>
  </si>
  <si>
    <t>Lottable 03</t>
  </si>
  <si>
    <t>Expiration Date</t>
  </si>
  <si>
    <t>Lottable 06</t>
  </si>
  <si>
    <t>HOANGDUC</t>
  </si>
  <si>
    <t>GA1100008</t>
  </si>
  <si>
    <t>NADAXENA 500 (HOP/30 VIEN)</t>
  </si>
  <si>
    <t>Q27-01-3-1</t>
  </si>
  <si>
    <t>000109515</t>
  </si>
  <si>
    <t>HOLD</t>
  </si>
  <si>
    <t>VN-21927-19</t>
  </si>
  <si>
    <t>0000019617</t>
  </si>
  <si>
    <t>12763452</t>
  </si>
  <si>
    <t>Q27-01-4-1</t>
  </si>
  <si>
    <t>LPN010912</t>
  </si>
  <si>
    <t>12763458</t>
  </si>
  <si>
    <t>AZ1100007</t>
  </si>
  <si>
    <t>NOLVADEX-D TAB 20MG BL 3X10 EA VN</t>
  </si>
  <si>
    <t>Q26-03-2-1</t>
  </si>
  <si>
    <t>000126586</t>
  </si>
  <si>
    <t>VN-19007-15</t>
  </si>
  <si>
    <t>0000022146</t>
  </si>
  <si>
    <t>SK695</t>
  </si>
  <si>
    <t>000129234</t>
  </si>
  <si>
    <t>0000022624</t>
  </si>
  <si>
    <t>000133951</t>
  </si>
  <si>
    <t>0000023476</t>
  </si>
  <si>
    <t>SL539</t>
  </si>
  <si>
    <t>AV1100021</t>
  </si>
  <si>
    <t>ALFUTOR ER TABLETS 10MG (HOP/30VIEN)</t>
  </si>
  <si>
    <t>Q26-01-8-2</t>
  </si>
  <si>
    <t>LPN006528</t>
  </si>
  <si>
    <t>890110437723</t>
  </si>
  <si>
    <t>0000023605</t>
  </si>
  <si>
    <t>BGP9L002</t>
  </si>
  <si>
    <t>LPN006537</t>
  </si>
  <si>
    <t>Q26-01-1-1</t>
  </si>
  <si>
    <t>LPN010318</t>
  </si>
  <si>
    <t>BGP9L001</t>
  </si>
  <si>
    <t>LPN006495</t>
  </si>
  <si>
    <t>LPN006510</t>
  </si>
  <si>
    <t>AV1300026</t>
  </si>
  <si>
    <t>ALLSILVER 15G (HOP/ 1 TUYP)</t>
  </si>
  <si>
    <t>LPN006546</t>
  </si>
  <si>
    <t>VN-23146-22</t>
  </si>
  <si>
    <t>0000023719</t>
  </si>
  <si>
    <t>C415</t>
  </si>
  <si>
    <t>AV1300028</t>
  </si>
  <si>
    <t>ACARWIN 15G (HOP/1 TUYP)</t>
  </si>
  <si>
    <t>Q26-03-4-1</t>
  </si>
  <si>
    <t>LPN006549</t>
  </si>
  <si>
    <t>890110421323</t>
  </si>
  <si>
    <t>C418</t>
  </si>
  <si>
    <t>M00106</t>
  </si>
  <si>
    <t>SC6100024</t>
  </si>
  <si>
    <t>OSTEOCARE CHEWABLE (HOP/30 VIEN)</t>
  </si>
  <si>
    <t>Q27-01-2-1</t>
  </si>
  <si>
    <t>LPN006669</t>
  </si>
  <si>
    <t>9529/2023/ĐKSP</t>
  </si>
  <si>
    <t>0000023979</t>
  </si>
  <si>
    <t>F169385</t>
  </si>
  <si>
    <t>Q27-01-4-2</t>
  </si>
  <si>
    <t>LPN006668</t>
  </si>
  <si>
    <t>SC6100002</t>
  </si>
  <si>
    <t>FEROGLOBIN B12 LIQUID 200ML</t>
  </si>
  <si>
    <t>Q26-01-9-2</t>
  </si>
  <si>
    <t>LPN006657</t>
  </si>
  <si>
    <t>8974/2019/ĐKSP</t>
  </si>
  <si>
    <t>40426</t>
  </si>
  <si>
    <t>Q27-01-1-1</t>
  </si>
  <si>
    <t>LPN006710</t>
  </si>
  <si>
    <t>LPN006646</t>
  </si>
  <si>
    <t>LPN006658</t>
  </si>
  <si>
    <t>RH7300163</t>
  </si>
  <si>
    <t>NXTP ACNES SEALING JELL 18G</t>
  </si>
  <si>
    <t>LPN010325</t>
  </si>
  <si>
    <t>NOVISA</t>
  </si>
  <si>
    <t>51-130741</t>
  </si>
  <si>
    <t>JY02</t>
  </si>
  <si>
    <t>MT1884004HR</t>
  </si>
  <si>
    <t>BLADE 1884004HR TRICUT 5PK 4MM ROTATE (1BOX=5EA)</t>
  </si>
  <si>
    <t>000051167</t>
  </si>
  <si>
    <t xml:space="preserve"> </t>
  </si>
  <si>
    <t>0223627717</t>
  </si>
  <si>
    <t>000063160</t>
  </si>
  <si>
    <t>MT1884006HR</t>
  </si>
  <si>
    <t>BLADE 1884006HR RAD40 5PK M4 4MM ROTATE (1BOX=5EA)</t>
  </si>
  <si>
    <t>000063166</t>
  </si>
  <si>
    <t>0223576829</t>
  </si>
  <si>
    <t>MT31135066</t>
  </si>
  <si>
    <t>BUR 31135066 5MM FINE DIAMOND LONG</t>
  </si>
  <si>
    <t>000071436</t>
  </si>
  <si>
    <t>0223738840</t>
  </si>
  <si>
    <t>000063161</t>
  </si>
  <si>
    <t>0223696876</t>
  </si>
  <si>
    <t>000063165</t>
  </si>
  <si>
    <t>000062160</t>
  </si>
  <si>
    <t>0223846377</t>
  </si>
  <si>
    <t>MT31136058</t>
  </si>
  <si>
    <t>BUR 31136058 6MM FINE DIAMOND MED LENGTH</t>
  </si>
  <si>
    <t>000075279</t>
  </si>
  <si>
    <t>0223502078</t>
  </si>
  <si>
    <t>RH7300211</t>
  </si>
  <si>
    <t>KM DUNG DICH DUONG AM DA THUONG (HADA LABO ADVANCED NOURISH</t>
  </si>
  <si>
    <t>Q27-01-6-2</t>
  </si>
  <si>
    <t>LPN011305</t>
  </si>
  <si>
    <t>CY03A</t>
  </si>
  <si>
    <t>000063162</t>
  </si>
  <si>
    <t>0223441675</t>
  </si>
  <si>
    <t>000062159</t>
  </si>
  <si>
    <t>0223793511</t>
  </si>
  <si>
    <t>TT1300358</t>
  </si>
  <si>
    <t>NHAN PHU - CERADAN GENTLE CLEANSER 500ML</t>
  </si>
  <si>
    <t>Q27-01-9-1</t>
  </si>
  <si>
    <t>000123636</t>
  </si>
  <si>
    <t>_</t>
  </si>
  <si>
    <t>TT1300381</t>
  </si>
  <si>
    <t>NHAN PHU - CERADAN GENTLE 50ML</t>
  </si>
  <si>
    <t>000123638</t>
  </si>
  <si>
    <t>TT1300505</t>
  </si>
  <si>
    <t>NHAN PHU FONTACTIV DIABEST 400G</t>
  </si>
  <si>
    <t>000125010</t>
  </si>
  <si>
    <t>TT1300507</t>
  </si>
  <si>
    <t>NHAN PHU FONTACTIV COMPLETE 400G</t>
  </si>
  <si>
    <t>000125012</t>
  </si>
  <si>
    <t>TT1300510</t>
  </si>
  <si>
    <t>NHAN PHU KHONG GIA CARDIOACE TABLETS</t>
  </si>
  <si>
    <t>000125257</t>
  </si>
  <si>
    <t>TT1300508</t>
  </si>
  <si>
    <t>NHAN PHU FONTACTIV COMPLETE 800G</t>
  </si>
  <si>
    <t>000125013</t>
  </si>
  <si>
    <t>TT1300506</t>
  </si>
  <si>
    <t>NHAN PHU FONTACTIV DIABEST 800G</t>
  </si>
  <si>
    <t>000125011</t>
  </si>
  <si>
    <t>TT1300164</t>
  </si>
  <si>
    <t>NHAN PHU - CARDIOACE (H/30 VIEN)</t>
  </si>
  <si>
    <t>QM4-01-1-1</t>
  </si>
  <si>
    <t>000127460</t>
  </si>
  <si>
    <t>000130519</t>
  </si>
  <si>
    <t>000130518</t>
  </si>
  <si>
    <t>TT1300344</t>
  </si>
  <si>
    <t>TOA - ENTCLEAR NASAL WASH BOTTLE 1.S</t>
  </si>
  <si>
    <t>000131383</t>
  </si>
  <si>
    <t>TT1300345</t>
  </si>
  <si>
    <t>TOA - ENTCLEAR NASAL WASH POWDER 20.S</t>
  </si>
  <si>
    <t>000131384</t>
  </si>
  <si>
    <t>TT1300009</t>
  </si>
  <si>
    <t>NHAN PHU - ENTCLEAR NASAL WASH POWDER 20.S</t>
  </si>
  <si>
    <t>000131386</t>
  </si>
  <si>
    <t>TT1300493</t>
  </si>
  <si>
    <t>NHAN PHU KHONG GIA OSTEOCARE LIQUID</t>
  </si>
  <si>
    <t>000136942</t>
  </si>
  <si>
    <t>TT1300421</t>
  </si>
  <si>
    <t>NHAN PHU OCUVITE LUTEIN</t>
  </si>
  <si>
    <t>000137425</t>
  </si>
  <si>
    <t>TT1300497</t>
  </si>
  <si>
    <t>NHAN PHU KHONG GIA WELLBABY MULTI-VITAMIN LIQUID</t>
  </si>
  <si>
    <t>000137424</t>
  </si>
  <si>
    <t>SC6100015</t>
  </si>
  <si>
    <t>PREGNACARE PLUS OMEGA 3 (H/56 VIEN)</t>
  </si>
  <si>
    <t>Q26-01-7-2</t>
  </si>
  <si>
    <t>LPN006186</t>
  </si>
  <si>
    <t>9184/2019/ĐKSP</t>
  </si>
  <si>
    <t>0000022554</t>
  </si>
  <si>
    <t>PP2347</t>
  </si>
  <si>
    <t>LPN006198</t>
  </si>
  <si>
    <t>LPN006388</t>
  </si>
  <si>
    <t>LPN006161</t>
  </si>
  <si>
    <t>LPN006179</t>
  </si>
  <si>
    <t>LPN006938</t>
  </si>
  <si>
    <t>0000022782</t>
  </si>
  <si>
    <t>PP2359</t>
  </si>
  <si>
    <t>Q27-03-3-1</t>
  </si>
  <si>
    <t>LPN006694</t>
  </si>
  <si>
    <t>LPN006970</t>
  </si>
  <si>
    <t>LPN006994</t>
  </si>
  <si>
    <t>LPN007010</t>
  </si>
  <si>
    <t>Q27-03-4-1</t>
  </si>
  <si>
    <t>LPN006937</t>
  </si>
  <si>
    <t>LPN005886</t>
  </si>
  <si>
    <t>0000021805</t>
  </si>
  <si>
    <t>PP2345</t>
  </si>
  <si>
    <t>LPN005818</t>
  </si>
  <si>
    <t>Q27-03-5-1</t>
  </si>
  <si>
    <t>000124461-1</t>
  </si>
  <si>
    <t>LPN006652</t>
  </si>
  <si>
    <t>LPN006665</t>
  </si>
  <si>
    <t>Q27-03-6-2</t>
  </si>
  <si>
    <t>LPN005851</t>
  </si>
  <si>
    <t>LPN005889</t>
  </si>
  <si>
    <t>Q27-03-8-1</t>
  </si>
  <si>
    <t>LPN006656</t>
  </si>
  <si>
    <t>0000022255</t>
  </si>
  <si>
    <t>LPN006664</t>
  </si>
  <si>
    <t>LPN006606</t>
  </si>
  <si>
    <t>0000022755</t>
  </si>
  <si>
    <t>LPN005131</t>
  </si>
  <si>
    <t>0000019919</t>
  </si>
  <si>
    <t>PP2324</t>
  </si>
  <si>
    <t>LPN005316</t>
  </si>
  <si>
    <t>LPN005299</t>
  </si>
  <si>
    <t>LPN005181</t>
  </si>
  <si>
    <t>LPN005203</t>
  </si>
  <si>
    <t>LPN005228</t>
  </si>
  <si>
    <t>LPN005731</t>
  </si>
  <si>
    <t>0000021250</t>
  </si>
  <si>
    <t>PP2341</t>
  </si>
  <si>
    <t>LPN005715</t>
  </si>
  <si>
    <t>LPN005725</t>
  </si>
  <si>
    <t>LPN005617</t>
  </si>
  <si>
    <t>LPN005630</t>
  </si>
  <si>
    <t>SC6100001</t>
  </si>
  <si>
    <t>OSTEOCARE LIQUID 200ML</t>
  </si>
  <si>
    <t>LPN006592</t>
  </si>
  <si>
    <t>9186/2019/ĐKSP</t>
  </si>
  <si>
    <t>0000023794</t>
  </si>
  <si>
    <t>40314</t>
  </si>
  <si>
    <t>SC6100011</t>
  </si>
  <si>
    <t>PERFECTIL (H/30 VIEN)</t>
  </si>
  <si>
    <t>LPN006825</t>
  </si>
  <si>
    <t>9185/2019/ĐKSP</t>
  </si>
  <si>
    <t>0000024103</t>
  </si>
  <si>
    <t>PFT2319P</t>
  </si>
  <si>
    <t>LPN006887</t>
  </si>
  <si>
    <t>PFT2320P</t>
  </si>
  <si>
    <t>SC6100004</t>
  </si>
  <si>
    <t>OSTEOCARE (H/30 VIEN)</t>
  </si>
  <si>
    <t>LPN007340</t>
  </si>
  <si>
    <t>8615/2019/ĐKSP</t>
  </si>
  <si>
    <t>OT2310P</t>
  </si>
  <si>
    <t>LPN007573</t>
  </si>
  <si>
    <t>OT2312P</t>
  </si>
  <si>
    <t>Q27-03-4-2</t>
  </si>
  <si>
    <t>LPN007574</t>
  </si>
  <si>
    <t>LPN007386</t>
  </si>
  <si>
    <t>OT2311P</t>
  </si>
  <si>
    <t>Q27-03-1-1</t>
  </si>
  <si>
    <t>LPN006927</t>
  </si>
  <si>
    <t>OT2309P</t>
  </si>
  <si>
    <t>LPN006170</t>
  </si>
  <si>
    <t>LPN007033</t>
  </si>
  <si>
    <t>LPN007030</t>
  </si>
  <si>
    <t>OT2213P</t>
  </si>
  <si>
    <t>LPN007431</t>
  </si>
  <si>
    <t>LPN002842</t>
  </si>
  <si>
    <t>OT2201P</t>
  </si>
  <si>
    <t>LPN002826</t>
  </si>
  <si>
    <t>OT2202P</t>
  </si>
  <si>
    <t>LPN003752</t>
  </si>
  <si>
    <t>LPN007572</t>
  </si>
  <si>
    <t>LPN007509</t>
  </si>
  <si>
    <t>LPN007042</t>
  </si>
  <si>
    <t>LPN007023</t>
  </si>
  <si>
    <t>LPN007038</t>
  </si>
  <si>
    <t>LPN007349</t>
  </si>
  <si>
    <t>LPN003264</t>
  </si>
  <si>
    <t>OT2203P</t>
  </si>
  <si>
    <t>LPN007357</t>
  </si>
  <si>
    <t>LPN007460</t>
  </si>
  <si>
    <t>LPN004516</t>
  </si>
  <si>
    <t>OT2206P</t>
  </si>
  <si>
    <t>LPN003289</t>
  </si>
  <si>
    <t>LPN003285</t>
  </si>
  <si>
    <t>OT2205P</t>
  </si>
  <si>
    <t>LPN003280</t>
  </si>
  <si>
    <t>OT2204P</t>
  </si>
  <si>
    <t>LPN007590</t>
  </si>
  <si>
    <t>SC6100009</t>
  </si>
  <si>
    <t>WELLMAN (H/30 VIEN)</t>
  </si>
  <si>
    <t>LPN006085</t>
  </si>
  <si>
    <t>8718/2019/ĐKSP</t>
  </si>
  <si>
    <t>0000021451</t>
  </si>
  <si>
    <t>WEIR2304SA</t>
  </si>
  <si>
    <t>SC6100014</t>
  </si>
  <si>
    <t>LIVERIL (H/30 VIEN)</t>
  </si>
  <si>
    <t>LPN006177</t>
  </si>
  <si>
    <t>8719/2019/ĐKSP</t>
  </si>
  <si>
    <t>LV2311P</t>
  </si>
  <si>
    <t>LPN006853</t>
  </si>
  <si>
    <t>LPN007027</t>
  </si>
  <si>
    <t>LPN007020</t>
  </si>
  <si>
    <t>LV2310P</t>
  </si>
  <si>
    <t>LPN005852</t>
  </si>
  <si>
    <t>LPN005844</t>
  </si>
  <si>
    <t>0000020842</t>
  </si>
  <si>
    <t>LV2309P</t>
  </si>
  <si>
    <t>LPN005771</t>
  </si>
  <si>
    <t>LV2306P</t>
  </si>
  <si>
    <t>LPN005730</t>
  </si>
  <si>
    <t>LPN005779</t>
  </si>
  <si>
    <t>LV2308P</t>
  </si>
  <si>
    <t>LPN006834</t>
  </si>
  <si>
    <t>LPN006923</t>
  </si>
  <si>
    <t>LPN005751</t>
  </si>
  <si>
    <t>LPN005788</t>
  </si>
  <si>
    <t>LPN006934</t>
  </si>
  <si>
    <t>LV2312P</t>
  </si>
  <si>
    <t>LPN006940</t>
  </si>
  <si>
    <t>LPN005213</t>
  </si>
  <si>
    <t>0000019327</t>
  </si>
  <si>
    <t>LV2304P</t>
  </si>
  <si>
    <t>SC6100021</t>
  </si>
  <si>
    <t>WELLKID MULTI-VITAMIN SMART CHEWABLE (H/30VIEN)</t>
  </si>
  <si>
    <t>LPN006572</t>
  </si>
  <si>
    <t>7661/2023/ĐKSP</t>
  </si>
  <si>
    <t>0000023774</t>
  </si>
  <si>
    <t>F167061</t>
  </si>
  <si>
    <t>Q27-01-8-1</t>
  </si>
  <si>
    <t>000135722</t>
  </si>
  <si>
    <t>SC6100003</t>
  </si>
  <si>
    <t>FEROGLOBIN B12 CAPSULES (H/30 VIEN)</t>
  </si>
  <si>
    <t>LPN006320</t>
  </si>
  <si>
    <t>9183/2019/ĐKSP</t>
  </si>
  <si>
    <t>FW2315TA</t>
  </si>
  <si>
    <t>LPN006411</t>
  </si>
  <si>
    <t>LPN006342</t>
  </si>
  <si>
    <t>LPN006347</t>
  </si>
  <si>
    <t>LPN006369</t>
  </si>
  <si>
    <t>LPN006379</t>
  </si>
  <si>
    <t>LPN006166</t>
  </si>
  <si>
    <t>FW2304AA</t>
  </si>
  <si>
    <t>LPN006176</t>
  </si>
  <si>
    <t>LPN006197</t>
  </si>
  <si>
    <t>LPN006240</t>
  </si>
  <si>
    <t>LPN006311</t>
  </si>
  <si>
    <t>LPN006314</t>
  </si>
  <si>
    <t>LPN006265</t>
  </si>
  <si>
    <t>LPN006272</t>
  </si>
  <si>
    <t>Q27-03-3-2</t>
  </si>
  <si>
    <t>LPN006620</t>
  </si>
  <si>
    <t>FW2713SA</t>
  </si>
  <si>
    <t>LPN006578</t>
  </si>
  <si>
    <t>LPN006619</t>
  </si>
  <si>
    <t>LPN006607</t>
  </si>
  <si>
    <t>LPN005832</t>
  </si>
  <si>
    <t>FW2302AA</t>
  </si>
  <si>
    <t>LPN005717</t>
  </si>
  <si>
    <t>LPN005724</t>
  </si>
  <si>
    <t>LPN005742</t>
  </si>
  <si>
    <t>LPN005813</t>
  </si>
  <si>
    <t>LPN005845</t>
  </si>
  <si>
    <t>LPN005707</t>
  </si>
  <si>
    <t>LPN005734</t>
  </si>
  <si>
    <t>LPN005761</t>
  </si>
  <si>
    <t>SC6100023</t>
  </si>
  <si>
    <t>VISIONACE ORIGINAL (HOP/30VIEN)</t>
  </si>
  <si>
    <t>LPN006394</t>
  </si>
  <si>
    <t>1737/2024/ĐKSP</t>
  </si>
  <si>
    <t>0000023272</t>
  </si>
  <si>
    <t>126094A</t>
  </si>
  <si>
    <t>LPN006412</t>
  </si>
  <si>
    <t>SC6100008</t>
  </si>
  <si>
    <t>MENOPACE (H/30 VIEN)</t>
  </si>
  <si>
    <t>LPN005011</t>
  </si>
  <si>
    <t>9577/2019/ĐKSP</t>
  </si>
  <si>
    <t>165074</t>
  </si>
  <si>
    <t>SC6100018</t>
  </si>
  <si>
    <t>PREGNACARE BREAST-FEEDING (HOP/56 VIEN NEN, 28 VIEN NANG)</t>
  </si>
  <si>
    <t>LPN006598</t>
  </si>
  <si>
    <t>10645/2019/ĐKSP</t>
  </si>
  <si>
    <t>PB2406</t>
  </si>
  <si>
    <t>LPN006475</t>
  </si>
  <si>
    <t>0000023351</t>
  </si>
  <si>
    <t>LPN006442</t>
  </si>
  <si>
    <t>LPN006255</t>
  </si>
  <si>
    <t>PB2344</t>
  </si>
  <si>
    <t>LPN006268</t>
  </si>
  <si>
    <t>LPN006219</t>
  </si>
  <si>
    <t>LPN006250</t>
  </si>
  <si>
    <t>LPN006276</t>
  </si>
  <si>
    <t>LPN005992</t>
  </si>
  <si>
    <t>0000022127</t>
  </si>
  <si>
    <t>LPN005998</t>
  </si>
  <si>
    <t>LPN006005</t>
  </si>
  <si>
    <t>Q27-03-1-2</t>
  </si>
  <si>
    <t>000132117</t>
  </si>
  <si>
    <t>0000023112</t>
  </si>
  <si>
    <t>HD</t>
  </si>
  <si>
    <t>HT1100012</t>
  </si>
  <si>
    <t>MONTE-H10 (HOP/ 30 VIEN)</t>
  </si>
  <si>
    <t>Q26-03-5-1</t>
  </si>
  <si>
    <t>LPN008290</t>
  </si>
  <si>
    <t>VN-18904-15</t>
  </si>
  <si>
    <t>0000024247</t>
  </si>
  <si>
    <t>MON24035A</t>
  </si>
  <si>
    <t>TT1300526</t>
  </si>
  <si>
    <t>NHAN PHU PAPILOCARE (7 CANNULAS X 5ML) - BESINS</t>
  </si>
  <si>
    <t>000138995</t>
  </si>
  <si>
    <t>W0151</t>
  </si>
  <si>
    <t>TT1300527</t>
  </si>
  <si>
    <t>NHAN PHU PAPILOCARE (2 CANNULAS X 5ML) - BESINS</t>
  </si>
  <si>
    <t>000138996</t>
  </si>
  <si>
    <t>W0141</t>
  </si>
  <si>
    <t>HT1100028</t>
  </si>
  <si>
    <t>ETORICOXIB TABLETS 120MG (HOP/30 VIEN)</t>
  </si>
  <si>
    <t>LPN011303</t>
  </si>
  <si>
    <t>890110433323</t>
  </si>
  <si>
    <t>0000024330</t>
  </si>
  <si>
    <t>E240774B</t>
  </si>
  <si>
    <t>Q27-01-1-2</t>
  </si>
  <si>
    <t>LPN009047</t>
  </si>
  <si>
    <t>BS1100002</t>
  </si>
  <si>
    <t>UTROGESTAN 200MG</t>
  </si>
  <si>
    <t>LPN006876</t>
  </si>
  <si>
    <t>840110179823</t>
  </si>
  <si>
    <t>0000024439</t>
  </si>
  <si>
    <t>241367</t>
  </si>
  <si>
    <t>LPN006863</t>
  </si>
  <si>
    <t>0000024456</t>
  </si>
  <si>
    <t>PB2408</t>
  </si>
  <si>
    <t>LPN006884</t>
  </si>
  <si>
    <t>PB2412</t>
  </si>
  <si>
    <t>SC6100025</t>
  </si>
  <si>
    <t>PREGNACARE MAX (H/56 VIEN NEN, 28 VIEN NANG)</t>
  </si>
  <si>
    <t>LPN006857</t>
  </si>
  <si>
    <t>1475/2024/ĐKSP</t>
  </si>
  <si>
    <t>PM2409</t>
  </si>
  <si>
    <t>LPN007513</t>
  </si>
  <si>
    <t>LPN006842</t>
  </si>
  <si>
    <t>RH6100003</t>
  </si>
  <si>
    <t>THUC PHAM BAO VE SUC KHOE ALCOFREE 50ML</t>
  </si>
  <si>
    <t>LPN011304</t>
  </si>
  <si>
    <t>0000024551</t>
  </si>
  <si>
    <t>020324</t>
  </si>
  <si>
    <t>LPN006893</t>
  </si>
  <si>
    <t>0000024612</t>
  </si>
  <si>
    <t>FW2404TA</t>
  </si>
  <si>
    <t>LPN006904</t>
  </si>
  <si>
    <t>LPN006916</t>
  </si>
  <si>
    <t>LPN006921</t>
  </si>
  <si>
    <t>LPN006926</t>
  </si>
  <si>
    <t>AZ1112003</t>
  </si>
  <si>
    <t>LYNPARZA PA TAB 150MG BL 7X8 EA VN</t>
  </si>
  <si>
    <t>Q26-03-8-1</t>
  </si>
  <si>
    <t>000140969</t>
  </si>
  <si>
    <t>VN3-307-21</t>
  </si>
  <si>
    <t>0000024718</t>
  </si>
  <si>
    <t>SK054</t>
  </si>
  <si>
    <t>LPN006960</t>
  </si>
  <si>
    <t>0000024757</t>
  </si>
  <si>
    <t>LPN006947</t>
  </si>
  <si>
    <t>HT1100019</t>
  </si>
  <si>
    <t>SIFE-100 (HOP/ 20 VIEN)</t>
  </si>
  <si>
    <t>Q26-03-5-2</t>
  </si>
  <si>
    <t>LPN008948</t>
  </si>
  <si>
    <t>VN-18539-14</t>
  </si>
  <si>
    <t>0000024848</t>
  </si>
  <si>
    <t>SID24018</t>
  </si>
  <si>
    <t>SC6100019</t>
  </si>
  <si>
    <t>WELLBABY MULTI-VITAMIN LIQUID (CHAI 150ML)</t>
  </si>
  <si>
    <t>LPN007002</t>
  </si>
  <si>
    <t>10643/2019/ĐKSP</t>
  </si>
  <si>
    <t>0000024957</t>
  </si>
  <si>
    <t>40505</t>
  </si>
  <si>
    <t>LPN007005</t>
  </si>
  <si>
    <t>AZ1100011</t>
  </si>
  <si>
    <t>NOLVADEX TAB 10MG BL 3X10 EA VN</t>
  </si>
  <si>
    <t>000142791</t>
  </si>
  <si>
    <t>VN-20911-18</t>
  </si>
  <si>
    <t>0000025032</t>
  </si>
  <si>
    <t>SF616</t>
  </si>
  <si>
    <t>000142859</t>
  </si>
  <si>
    <t>0000025045</t>
  </si>
  <si>
    <t>SN061</t>
  </si>
  <si>
    <t>TT1300475</t>
  </si>
  <si>
    <t>TO ROI QUANG CAO MY PHAM TDF</t>
  </si>
  <si>
    <t>000143194</t>
  </si>
  <si>
    <t>novisa</t>
  </si>
  <si>
    <t>LPN007141</t>
  </si>
  <si>
    <t>0000025121</t>
  </si>
  <si>
    <t>FW2402PA</t>
  </si>
  <si>
    <t>LPN007139</t>
  </si>
  <si>
    <t>LPN007151</t>
  </si>
  <si>
    <t>LPN007163</t>
  </si>
  <si>
    <t>LPN007402</t>
  </si>
  <si>
    <t>LPN007072</t>
  </si>
  <si>
    <t>LPN007083</t>
  </si>
  <si>
    <t>LPN007140</t>
  </si>
  <si>
    <t>LPN007154</t>
  </si>
  <si>
    <t>LPN007401</t>
  </si>
  <si>
    <t>LPN007403</t>
  </si>
  <si>
    <t>LPN007404</t>
  </si>
  <si>
    <t>LPN007096</t>
  </si>
  <si>
    <t>0000025122</t>
  </si>
  <si>
    <t>LPN007104</t>
  </si>
  <si>
    <t>LPN007122</t>
  </si>
  <si>
    <t>LPN007129</t>
  </si>
  <si>
    <t>LPN007133</t>
  </si>
  <si>
    <t>LPN007355</t>
  </si>
  <si>
    <t>PFT2402P</t>
  </si>
  <si>
    <t>LPN007167</t>
  </si>
  <si>
    <t>LPN007317</t>
  </si>
  <si>
    <t>LPN007065</t>
  </si>
  <si>
    <t>LPN007093</t>
  </si>
  <si>
    <t>LPN007094</t>
  </si>
  <si>
    <t>LPN007192</t>
  </si>
  <si>
    <t>LPN007246</t>
  </si>
  <si>
    <t>LPN007326</t>
  </si>
  <si>
    <t>LPN007066</t>
  </si>
  <si>
    <t>40372</t>
  </si>
  <si>
    <t>LPN007086</t>
  </si>
  <si>
    <t>0000025161</t>
  </si>
  <si>
    <t>40812</t>
  </si>
  <si>
    <t>LPN007196</t>
  </si>
  <si>
    <t>LPN007216</t>
  </si>
  <si>
    <t>LPN007172</t>
  </si>
  <si>
    <t>LPN007207</t>
  </si>
  <si>
    <t>LPN007208</t>
  </si>
  <si>
    <t>LPN007228</t>
  </si>
  <si>
    <t>LPN007233</t>
  </si>
  <si>
    <t>LPN007406</t>
  </si>
  <si>
    <t>LPN007407</t>
  </si>
  <si>
    <t>LPN007409</t>
  </si>
  <si>
    <t>LPN007410</t>
  </si>
  <si>
    <t>LPN007408</t>
  </si>
  <si>
    <t>AV1300027</t>
  </si>
  <si>
    <t>ESOJAY 15G (HOP/ 1 TUYP)</t>
  </si>
  <si>
    <t>LPN007082</t>
  </si>
  <si>
    <t>890110007723</t>
  </si>
  <si>
    <t>0000025242</t>
  </si>
  <si>
    <t>F442</t>
  </si>
  <si>
    <t>TT1300529</t>
  </si>
  <si>
    <t>NHAN PHU PAPILOCARE EXTERNAL GENITAL GEL - BESINS</t>
  </si>
  <si>
    <t>000144323</t>
  </si>
  <si>
    <t>LPN007127</t>
  </si>
  <si>
    <t>0000025300</t>
  </si>
  <si>
    <t>40815</t>
  </si>
  <si>
    <t>LPN007367</t>
  </si>
  <si>
    <t>PB2418</t>
  </si>
  <si>
    <t>LPN007456</t>
  </si>
  <si>
    <t>0000025359</t>
  </si>
  <si>
    <t>40487</t>
  </si>
  <si>
    <t>LPN007399</t>
  </si>
  <si>
    <t>LPN007793</t>
  </si>
  <si>
    <t>000145132</t>
  </si>
  <si>
    <t>LPN007394</t>
  </si>
  <si>
    <t>LPN007457</t>
  </si>
  <si>
    <t>LPN007210</t>
  </si>
  <si>
    <t>LPN007212</t>
  </si>
  <si>
    <t>LPN007155</t>
  </si>
  <si>
    <t>LPN007245</t>
  </si>
  <si>
    <t>40426A</t>
  </si>
  <si>
    <t>LPN007271</t>
  </si>
  <si>
    <t>Q27-01-5-2</t>
  </si>
  <si>
    <t>000145153</t>
  </si>
  <si>
    <t>Q27-01-6-1</t>
  </si>
  <si>
    <t>000145152</t>
  </si>
  <si>
    <t>LPN007146</t>
  </si>
  <si>
    <t>LPN007175</t>
  </si>
  <si>
    <t>LPN007186</t>
  </si>
  <si>
    <t>LPN007191</t>
  </si>
  <si>
    <t>LPN007371</t>
  </si>
  <si>
    <t>0000025403</t>
  </si>
  <si>
    <t>40683</t>
  </si>
  <si>
    <t>LPN007282</t>
  </si>
  <si>
    <t>40488</t>
  </si>
  <si>
    <t>LPN007168</t>
  </si>
  <si>
    <t>LPN007328</t>
  </si>
  <si>
    <t>40622</t>
  </si>
  <si>
    <t>LPN007255</t>
  </si>
  <si>
    <t>LPN007319</t>
  </si>
  <si>
    <t>LPN007333</t>
  </si>
  <si>
    <t>LPN007253</t>
  </si>
  <si>
    <t>LPN007316</t>
  </si>
  <si>
    <t>LPN007331</t>
  </si>
  <si>
    <t>LPN007363</t>
  </si>
  <si>
    <t>LPN007286</t>
  </si>
  <si>
    <t>LPN007302</t>
  </si>
  <si>
    <t>000145781</t>
  </si>
  <si>
    <t>0000025321</t>
  </si>
  <si>
    <t>000145932</t>
  </si>
  <si>
    <t>0000025453</t>
  </si>
  <si>
    <t>000146662</t>
  </si>
  <si>
    <t>0000025571</t>
  </si>
  <si>
    <t>LPN007237</t>
  </si>
  <si>
    <t>0000025583</t>
  </si>
  <si>
    <t>41013</t>
  </si>
  <si>
    <t>LPN007243</t>
  </si>
  <si>
    <t>LPN007230</t>
  </si>
  <si>
    <t>0000025592</t>
  </si>
  <si>
    <t>SN505</t>
  </si>
  <si>
    <t>AZ1200002</t>
  </si>
  <si>
    <t>ZOLADEX INJ 3.6MG SS 1X1 EA VN</t>
  </si>
  <si>
    <t>LPN007231</t>
  </si>
  <si>
    <t>500114177523</t>
  </si>
  <si>
    <t>SM512</t>
  </si>
  <si>
    <t>TT1300187</t>
  </si>
  <si>
    <t>NHAN PHU - CASPOFUNGIN ACETATE 70MG</t>
  </si>
  <si>
    <t>000148439</t>
  </si>
  <si>
    <t>LPN007437</t>
  </si>
  <si>
    <t>0000026076</t>
  </si>
  <si>
    <t>LPN007424</t>
  </si>
  <si>
    <t>LPN007533</t>
  </si>
  <si>
    <t>LPN007544</t>
  </si>
  <si>
    <t>LPN007476</t>
  </si>
  <si>
    <t>LPN007484</t>
  </si>
  <si>
    <t>LPN007487</t>
  </si>
  <si>
    <t>LPN007495</t>
  </si>
  <si>
    <t>LPN007475</t>
  </si>
  <si>
    <t>LPN007497</t>
  </si>
  <si>
    <t>LPN007514</t>
  </si>
  <si>
    <t>LPN007556</t>
  </si>
  <si>
    <t>LPN007557</t>
  </si>
  <si>
    <t>LPN007559</t>
  </si>
  <si>
    <t>LPN007591</t>
  </si>
  <si>
    <t>LV2403P</t>
  </si>
  <si>
    <t>LPN007596</t>
  </si>
  <si>
    <t>LPN007432</t>
  </si>
  <si>
    <t>40662</t>
  </si>
  <si>
    <t>LPN007552</t>
  </si>
  <si>
    <t>LPN007553</t>
  </si>
  <si>
    <t>LPN007498</t>
  </si>
  <si>
    <t>LPN007550</t>
  </si>
  <si>
    <t>LPN007543</t>
  </si>
  <si>
    <t>0000026145</t>
  </si>
  <si>
    <t>41096</t>
  </si>
  <si>
    <t>LPN007545</t>
  </si>
  <si>
    <t>LPN007472</t>
  </si>
  <si>
    <t>LPN007473</t>
  </si>
  <si>
    <t>LPN007502</t>
  </si>
  <si>
    <t>0000026181</t>
  </si>
  <si>
    <t>G416</t>
  </si>
  <si>
    <t>000151551</t>
  </si>
  <si>
    <t>0000026318</t>
  </si>
  <si>
    <t>000151550</t>
  </si>
  <si>
    <t>M00025</t>
  </si>
  <si>
    <t>NV1100091</t>
  </si>
  <si>
    <t>JAKAVI 20MG 4x14</t>
  </si>
  <si>
    <t>000152528</t>
  </si>
  <si>
    <t>VN2-572-17</t>
  </si>
  <si>
    <t>SHJV2</t>
  </si>
  <si>
    <t>NV1100090</t>
  </si>
  <si>
    <t>JAKAVI 15MG 4x14</t>
  </si>
  <si>
    <t>000152532</t>
  </si>
  <si>
    <t>VN2-571-17</t>
  </si>
  <si>
    <t>SFCN9</t>
  </si>
  <si>
    <t>HT1100033</t>
  </si>
  <si>
    <t>DOLUTEGRAVIR, LAMIVUDINE AND TENOFOVIR DISOPROXIL FUMARATE T</t>
  </si>
  <si>
    <t>000156665</t>
  </si>
  <si>
    <t>890110445523</t>
  </si>
  <si>
    <t>E243629</t>
  </si>
  <si>
    <t>LPN007644</t>
  </si>
  <si>
    <t>0000026507</t>
  </si>
  <si>
    <t>FW2401TA</t>
  </si>
  <si>
    <t>LPN007677</t>
  </si>
  <si>
    <t>LPN007694</t>
  </si>
  <si>
    <t>LPN007743</t>
  </si>
  <si>
    <t>LPN007753</t>
  </si>
  <si>
    <t>LPN007686</t>
  </si>
  <si>
    <t>LPN007818</t>
  </si>
  <si>
    <t>168674</t>
  </si>
  <si>
    <t>LPN007785</t>
  </si>
  <si>
    <t>PM2410</t>
  </si>
  <si>
    <t>LPN007795</t>
  </si>
  <si>
    <t>Q26-03-9-1</t>
  </si>
  <si>
    <t>000153085</t>
  </si>
  <si>
    <t>0000026535</t>
  </si>
  <si>
    <t>E243666</t>
  </si>
  <si>
    <t>LPN007654</t>
  </si>
  <si>
    <t>LPN007667</t>
  </si>
  <si>
    <t>LPN007668</t>
  </si>
  <si>
    <t>Q26-03-9-2</t>
  </si>
  <si>
    <t>000153079</t>
  </si>
  <si>
    <t>LPN007773</t>
  </si>
  <si>
    <t>LPN007774</t>
  </si>
  <si>
    <t>0000026561</t>
  </si>
  <si>
    <t>E243692</t>
  </si>
  <si>
    <t>AZ1100023</t>
  </si>
  <si>
    <t>KOMBOGLYZE XR TAB 5.1000MG BL 4X7 EA VN</t>
  </si>
  <si>
    <t>000153414</t>
  </si>
  <si>
    <t>VN-18678-15</t>
  </si>
  <si>
    <t>0000026566</t>
  </si>
  <si>
    <t>WF0157</t>
  </si>
  <si>
    <t>LPN007878</t>
  </si>
  <si>
    <t>0000026610</t>
  </si>
  <si>
    <t>FW2407PA</t>
  </si>
  <si>
    <t>LPN007820</t>
  </si>
  <si>
    <t>LPN007850</t>
  </si>
  <si>
    <t>LPN007977</t>
  </si>
  <si>
    <t>LPN007983</t>
  </si>
  <si>
    <t>LPN008003</t>
  </si>
  <si>
    <t>LPN008011</t>
  </si>
  <si>
    <t>LPN007692</t>
  </si>
  <si>
    <t>LPN007762</t>
  </si>
  <si>
    <t>LPN007771</t>
  </si>
  <si>
    <t>LPN007778</t>
  </si>
  <si>
    <t>LPN007932</t>
  </si>
  <si>
    <t>LPN008024</t>
  </si>
  <si>
    <t>0000026611</t>
  </si>
  <si>
    <t>FW2414PA</t>
  </si>
  <si>
    <t>LPN007985</t>
  </si>
  <si>
    <t>LPN008029</t>
  </si>
  <si>
    <t>000154185</t>
  </si>
  <si>
    <t>0000026687</t>
  </si>
  <si>
    <t>000154184</t>
  </si>
  <si>
    <t>000154164</t>
  </si>
  <si>
    <t>0000026683</t>
  </si>
  <si>
    <t>000154186</t>
  </si>
  <si>
    <t>HT1100004</t>
  </si>
  <si>
    <t>PANTIN 40 (HOP/ 30 VIEN)</t>
  </si>
  <si>
    <t>LPN007756</t>
  </si>
  <si>
    <t>VN-19184-15</t>
  </si>
  <si>
    <t>0000026676</t>
  </si>
  <si>
    <t>FD241806B</t>
  </si>
  <si>
    <t>LPN007779</t>
  </si>
  <si>
    <t>0000026782</t>
  </si>
  <si>
    <t>H432</t>
  </si>
  <si>
    <t>TT1300550</t>
  </si>
  <si>
    <t>NHAN PHU RELACTAGEL - BESINS</t>
  </si>
  <si>
    <t>000155531</t>
  </si>
  <si>
    <t>818M</t>
  </si>
  <si>
    <t>HT1100005</t>
  </si>
  <si>
    <t>CELOFIN 200MG (HOP/30 VIEN)</t>
  </si>
  <si>
    <t>LPN007890</t>
  </si>
  <si>
    <t>VN-19973-16</t>
  </si>
  <si>
    <t>0000026920</t>
  </si>
  <si>
    <t>FD242484</t>
  </si>
  <si>
    <t>LPN008284</t>
  </si>
  <si>
    <t>LPN008285</t>
  </si>
  <si>
    <t>Q26-03-6-1</t>
  </si>
  <si>
    <t>LPN007810</t>
  </si>
  <si>
    <t>LPN009005</t>
  </si>
  <si>
    <t>HT1100017</t>
  </si>
  <si>
    <t>HYPOLIP-20 (HOP/ 30 VIEN)</t>
  </si>
  <si>
    <t>LPN007854</t>
  </si>
  <si>
    <t>VN-21294-18</t>
  </si>
  <si>
    <t>0000026918</t>
  </si>
  <si>
    <t>FD241420</t>
  </si>
  <si>
    <t>LPN009007</t>
  </si>
  <si>
    <t>Q26-03-6-2</t>
  </si>
  <si>
    <t>000155432</t>
  </si>
  <si>
    <t>LPN007811</t>
  </si>
  <si>
    <t>LPN008282</t>
  </si>
  <si>
    <t>FD242482</t>
  </si>
  <si>
    <t>LPN008305</t>
  </si>
  <si>
    <t>LPN007809</t>
  </si>
  <si>
    <t>LPN009004</t>
  </si>
  <si>
    <t>LPN009006</t>
  </si>
  <si>
    <t>Q26-03-7-2</t>
  </si>
  <si>
    <t>LPN007834</t>
  </si>
  <si>
    <t>LPN007803</t>
  </si>
  <si>
    <t>FD241419</t>
  </si>
  <si>
    <t>AZ1100025</t>
  </si>
  <si>
    <t>PLENDIL PLUS TAB 5.47.5MG BT 1X30 EA VN</t>
  </si>
  <si>
    <t>000155843</t>
  </si>
  <si>
    <t>VN-20224-17</t>
  </si>
  <si>
    <t>0000026988</t>
  </si>
  <si>
    <t>MAPT</t>
  </si>
  <si>
    <t>WO1100004</t>
  </si>
  <si>
    <t>SILYGAMMA 150MG 100.S</t>
  </si>
  <si>
    <t>LPN007887</t>
  </si>
  <si>
    <t>VN-16542-13</t>
  </si>
  <si>
    <t>0000027034</t>
  </si>
  <si>
    <t>428584</t>
  </si>
  <si>
    <t>LPN007855</t>
  </si>
  <si>
    <t>LPN007858</t>
  </si>
  <si>
    <t>0000027001</t>
  </si>
  <si>
    <t>41403</t>
  </si>
  <si>
    <t>LPN007861</t>
  </si>
  <si>
    <t>LPN007859</t>
  </si>
  <si>
    <t>41401</t>
  </si>
  <si>
    <t>LPN007860</t>
  </si>
  <si>
    <t>AV1100015</t>
  </si>
  <si>
    <t>ARIP TABLET 10MG (H/3 VI X10 VIEN)</t>
  </si>
  <si>
    <t>LPN007877</t>
  </si>
  <si>
    <t>VN-22478-19</t>
  </si>
  <si>
    <t>0000027069</t>
  </si>
  <si>
    <t>BBX3L003</t>
  </si>
  <si>
    <t>LPN007904</t>
  </si>
  <si>
    <t>0000027121</t>
  </si>
  <si>
    <t>41555</t>
  </si>
  <si>
    <t>LPN007917</t>
  </si>
  <si>
    <t>000157124</t>
  </si>
  <si>
    <t>0000027157</t>
  </si>
  <si>
    <t>LPN007923</t>
  </si>
  <si>
    <t>0000027222</t>
  </si>
  <si>
    <t>LPN007926</t>
  </si>
  <si>
    <t>0000027230</t>
  </si>
  <si>
    <t>SP648</t>
  </si>
  <si>
    <t>LPN008000</t>
  </si>
  <si>
    <t>0000027247</t>
  </si>
  <si>
    <t>41302</t>
  </si>
  <si>
    <t>LPN008009</t>
  </si>
  <si>
    <t>LPN007974</t>
  </si>
  <si>
    <t>41079</t>
  </si>
  <si>
    <t>LPN007956</t>
  </si>
  <si>
    <t>LPN007996</t>
  </si>
  <si>
    <t>LPN008013</t>
  </si>
  <si>
    <t>SC6100016</t>
  </si>
  <si>
    <t>OSTEOCARE FIZZ (TUYP/ 20 VIEN)</t>
  </si>
  <si>
    <t>LPN007964</t>
  </si>
  <si>
    <t>6464/2023/ĐKSP</t>
  </si>
  <si>
    <t>F170292</t>
  </si>
  <si>
    <t>000158332</t>
  </si>
  <si>
    <t>0000027296</t>
  </si>
  <si>
    <t>BE90007118-KM</t>
  </si>
  <si>
    <t>90007118- KM CONTOUR PLUS ELITE  BLOOD GLUCOSE MONITORING SY</t>
  </si>
  <si>
    <t>Q27-03-7-1</t>
  </si>
  <si>
    <t>000158367</t>
  </si>
  <si>
    <t>PH23080018</t>
  </si>
  <si>
    <t>000158867</t>
  </si>
  <si>
    <t>0000027339</t>
  </si>
  <si>
    <t>RD1100018</t>
  </si>
  <si>
    <t>APIXABAN TABLETS 2.5 MG (HOP/60 VIEN)</t>
  </si>
  <si>
    <t>LPN011287</t>
  </si>
  <si>
    <t>VN3-403-22</t>
  </si>
  <si>
    <t>0000027578</t>
  </si>
  <si>
    <t>T2404490</t>
  </si>
  <si>
    <t>LPN008052</t>
  </si>
  <si>
    <t>0000027583</t>
  </si>
  <si>
    <t>E244213</t>
  </si>
  <si>
    <t>LPN008057</t>
  </si>
  <si>
    <t>LPN008059</t>
  </si>
  <si>
    <t>0000027639</t>
  </si>
  <si>
    <t>E244214</t>
  </si>
  <si>
    <t>LPN008060</t>
  </si>
  <si>
    <t>LPN008062</t>
  </si>
  <si>
    <t>LPN008074</t>
  </si>
  <si>
    <t>0000027644</t>
  </si>
  <si>
    <t>E244291</t>
  </si>
  <si>
    <t>000161091</t>
  </si>
  <si>
    <t>0000027675</t>
  </si>
  <si>
    <t>HY6100005</t>
  </si>
  <si>
    <t>OCUVITE BLUE LIGHT (HOP/ 30 VIEN)</t>
  </si>
  <si>
    <t>LPN010725</t>
  </si>
  <si>
    <t>8923/2021/ĐKSP</t>
  </si>
  <si>
    <t>54-11020</t>
  </si>
  <si>
    <t>24AAF0260</t>
  </si>
  <si>
    <t>LPN008078</t>
  </si>
  <si>
    <t>0000027677</t>
  </si>
  <si>
    <t>E244292</t>
  </si>
  <si>
    <t>LPN008079</t>
  </si>
  <si>
    <t>000161538</t>
  </si>
  <si>
    <t>0000027702</t>
  </si>
  <si>
    <t>LPN008093</t>
  </si>
  <si>
    <t>0000027701</t>
  </si>
  <si>
    <t>E244300</t>
  </si>
  <si>
    <t>LPN008122</t>
  </si>
  <si>
    <t>LPN008089</t>
  </si>
  <si>
    <t>0000027703</t>
  </si>
  <si>
    <t>E244297</t>
  </si>
  <si>
    <t>LPN008092</t>
  </si>
  <si>
    <t>TT1300145</t>
  </si>
  <si>
    <t>NHAN PHU - METABIOTIC FACIAL WASH</t>
  </si>
  <si>
    <t>000161691</t>
  </si>
  <si>
    <t>LPN008083</t>
  </si>
  <si>
    <t>0000027582</t>
  </si>
  <si>
    <t>E244212</t>
  </si>
  <si>
    <t>LPN008086</t>
  </si>
  <si>
    <t>TT1300085</t>
  </si>
  <si>
    <t>NHAN PHU - MILD ASTRINGENT</t>
  </si>
  <si>
    <t>000161876</t>
  </si>
  <si>
    <t>LPN008123</t>
  </si>
  <si>
    <t>0000027708</t>
  </si>
  <si>
    <t>E244299</t>
  </si>
  <si>
    <t>LPN008127</t>
  </si>
  <si>
    <t>LPN008131</t>
  </si>
  <si>
    <t>LPN008113</t>
  </si>
  <si>
    <t>0000027755</t>
  </si>
  <si>
    <t>E244293</t>
  </si>
  <si>
    <t>000161869</t>
  </si>
  <si>
    <t>0000027760</t>
  </si>
  <si>
    <t>LPN008135</t>
  </si>
  <si>
    <t>0000027710</t>
  </si>
  <si>
    <t>E244567</t>
  </si>
  <si>
    <t>LPN008137</t>
  </si>
  <si>
    <t>LPN008130</t>
  </si>
  <si>
    <t>0000027709</t>
  </si>
  <si>
    <t>E244384A</t>
  </si>
  <si>
    <t>000162864</t>
  </si>
  <si>
    <t>842M</t>
  </si>
  <si>
    <t>000162866</t>
  </si>
  <si>
    <t>845M</t>
  </si>
  <si>
    <t>000162865</t>
  </si>
  <si>
    <t>846M</t>
  </si>
  <si>
    <t>TT1300374</t>
  </si>
  <si>
    <t>NHAN PHU - LIPOSIC EYE GEL 0.2%</t>
  </si>
  <si>
    <t>000162870</t>
  </si>
  <si>
    <t>RH7300104</t>
  </si>
  <si>
    <t>NXTP KM SUA CHONG NANG SUNPLAY 30G (SUPER BLOCK SPF81)</t>
  </si>
  <si>
    <t>LPN008468</t>
  </si>
  <si>
    <t>54-11468</t>
  </si>
  <si>
    <t>GA06</t>
  </si>
  <si>
    <t>SC6100017</t>
  </si>
  <si>
    <t>WELLKID MULTI-VITAMIN LIQUID (CHAI/150ML)</t>
  </si>
  <si>
    <t>LPN008170</t>
  </si>
  <si>
    <t>10642/2019/ĐKSP</t>
  </si>
  <si>
    <t>0000028073</t>
  </si>
  <si>
    <t>41353</t>
  </si>
  <si>
    <t>LPN008164</t>
  </si>
  <si>
    <t>LPN008188</t>
  </si>
  <si>
    <t>LPN008328</t>
  </si>
  <si>
    <t>OT2404P</t>
  </si>
  <si>
    <t>LPN008418</t>
  </si>
  <si>
    <t>41390</t>
  </si>
  <si>
    <t>LPN008384</t>
  </si>
  <si>
    <t>LPN008409</t>
  </si>
  <si>
    <t>LPN008590</t>
  </si>
  <si>
    <t>LPN008212</t>
  </si>
  <si>
    <t>PP2424</t>
  </si>
  <si>
    <t>LPN008220</t>
  </si>
  <si>
    <t>LPN008233</t>
  </si>
  <si>
    <t>LPN008239</t>
  </si>
  <si>
    <t>41402</t>
  </si>
  <si>
    <t>TT1300269</t>
  </si>
  <si>
    <t>NHAN PHU - AMPLATZER™ TORQVUE™ LP DELIVERY SYSTEM</t>
  </si>
  <si>
    <t>000164895</t>
  </si>
  <si>
    <t>TT1300268</t>
  </si>
  <si>
    <t>NHAN PHU - AMPLATZER™ TORQVUE™ DELIVERY SYSTEM</t>
  </si>
  <si>
    <t>TT1300382</t>
  </si>
  <si>
    <t>NHAN PHU - AMPLATZER TREVISO</t>
  </si>
  <si>
    <t>000164893</t>
  </si>
  <si>
    <t>TT1300267</t>
  </si>
  <si>
    <t>NHAN PHU - AMPLATZER™ SIZING BALLOON II</t>
  </si>
  <si>
    <t>000164892</t>
  </si>
  <si>
    <t>AZ1100001</t>
  </si>
  <si>
    <t>ARIMIDEX TAB 1 MG BL 2X14 EA VN</t>
  </si>
  <si>
    <t>000165136</t>
  </si>
  <si>
    <t>VN-19784-16</t>
  </si>
  <si>
    <t>0000028239</t>
  </si>
  <si>
    <t>SR242</t>
  </si>
  <si>
    <t>000165325</t>
  </si>
  <si>
    <t>0000028256</t>
  </si>
  <si>
    <t>WF0265</t>
  </si>
  <si>
    <t>TT1300552</t>
  </si>
  <si>
    <t>NHAN PHU IALURIL PREFILL - BESINS</t>
  </si>
  <si>
    <t>000165470</t>
  </si>
  <si>
    <t>D11546</t>
  </si>
  <si>
    <t>000165469</t>
  </si>
  <si>
    <t>D11547</t>
  </si>
  <si>
    <t>TT1300537</t>
  </si>
  <si>
    <t>NHAN PHU PROGESTOGEL - BESINS</t>
  </si>
  <si>
    <t>000165471</t>
  </si>
  <si>
    <t>TT1300572</t>
  </si>
  <si>
    <t>NHAN PHU - AMPLATZER™ TORQVUE™ LP CATHETER</t>
  </si>
  <si>
    <t>000165475</t>
  </si>
  <si>
    <t>LPN009000</t>
  </si>
  <si>
    <t>0000028299</t>
  </si>
  <si>
    <t>41630</t>
  </si>
  <si>
    <t>LPN008358</t>
  </si>
  <si>
    <t>LPN008379</t>
  </si>
  <si>
    <t>41547</t>
  </si>
  <si>
    <t>LPN008246</t>
  </si>
  <si>
    <t>LPN008309</t>
  </si>
  <si>
    <t>TT1300261</t>
  </si>
  <si>
    <t>NHAN PHU - AMPLATZER™ DUCT  OCCLUDER II</t>
  </si>
  <si>
    <t>000165910</t>
  </si>
  <si>
    <t>TT1300553</t>
  </si>
  <si>
    <t>TOA RELACTAGEL - BESINS</t>
  </si>
  <si>
    <t>000165919</t>
  </si>
  <si>
    <t>KORA</t>
  </si>
  <si>
    <t>TT1300520</t>
  </si>
  <si>
    <t>TOA HDSD REGELLE – BESINS</t>
  </si>
  <si>
    <t>000165922</t>
  </si>
  <si>
    <t>TT1300573</t>
  </si>
  <si>
    <t>NHAN PHU - AMPLATZER™ SEPTAL OCCLUDER - MY</t>
  </si>
  <si>
    <t>000166544</t>
  </si>
  <si>
    <t>TT1300265</t>
  </si>
  <si>
    <t>NHAN PHU - AMPLATZER™ SEPTAL OCCLUDER</t>
  </si>
  <si>
    <t>000166545</t>
  </si>
  <si>
    <t>TT1300575</t>
  </si>
  <si>
    <t>MAY DO DUONG HUYET CONTOUR PLUS BLOOD GLUCOSE METER</t>
  </si>
  <si>
    <t>000166552</t>
  </si>
  <si>
    <t>MG1100052</t>
  </si>
  <si>
    <t>GLY4PAR 30 (HOP/3 VI X 10 VIEN)</t>
  </si>
  <si>
    <t>Q27-01-5-1</t>
  </si>
  <si>
    <t>LPN011013</t>
  </si>
  <si>
    <t>VN-21429-18</t>
  </si>
  <si>
    <t>0000028457</t>
  </si>
  <si>
    <t>A08942409</t>
  </si>
  <si>
    <t>50-11922</t>
  </si>
  <si>
    <t>HT1100016</t>
  </si>
  <si>
    <t>LOSAGEN 50 (HOP/ 30 VIEN)</t>
  </si>
  <si>
    <t>LPN008332</t>
  </si>
  <si>
    <t>VN-20286-17</t>
  </si>
  <si>
    <t>0000028494</t>
  </si>
  <si>
    <t>FD243920</t>
  </si>
  <si>
    <t>LPN008355</t>
  </si>
  <si>
    <t>TT1300360</t>
  </si>
  <si>
    <t>NHAN PHU - C SCAPE+ SERUM</t>
  </si>
  <si>
    <t>000167355</t>
  </si>
  <si>
    <t>TT1300043</t>
  </si>
  <si>
    <t>NHAN PHU - ACNE - E - RASE</t>
  </si>
  <si>
    <t>000167354</t>
  </si>
  <si>
    <t>TT1300040</t>
  </si>
  <si>
    <t>NHAN PHU - ULTRA LIGHT HYDRATOR</t>
  </si>
  <si>
    <t>000167351</t>
  </si>
  <si>
    <t>000167299</t>
  </si>
  <si>
    <t>0000028532</t>
  </si>
  <si>
    <t>000167298</t>
  </si>
  <si>
    <t>LPN008962</t>
  </si>
  <si>
    <t>0000028796</t>
  </si>
  <si>
    <t>41605</t>
  </si>
  <si>
    <t>LPN008810</t>
  </si>
  <si>
    <t>41588</t>
  </si>
  <si>
    <t>LPN008624</t>
  </si>
  <si>
    <t>LPN008672</t>
  </si>
  <si>
    <t>41694</t>
  </si>
  <si>
    <t>LPN008743</t>
  </si>
  <si>
    <t>LPN008542</t>
  </si>
  <si>
    <t>LPN009217</t>
  </si>
  <si>
    <t>LPN008730</t>
  </si>
  <si>
    <t>FW2420PA</t>
  </si>
  <si>
    <t>LPN008746</t>
  </si>
  <si>
    <t>LPN008747</t>
  </si>
  <si>
    <t>LPN008641</t>
  </si>
  <si>
    <t>LPN008463</t>
  </si>
  <si>
    <t>LPN008609</t>
  </si>
  <si>
    <t>LPN008612</t>
  </si>
  <si>
    <t>54-12320</t>
  </si>
  <si>
    <t>RD1100004</t>
  </si>
  <si>
    <t>STAMLO 5 (H/2VI X 10VIEN)</t>
  </si>
  <si>
    <t>LPN008643</t>
  </si>
  <si>
    <t>VN-21414-18</t>
  </si>
  <si>
    <t>0000028848</t>
  </si>
  <si>
    <t>B2403968</t>
  </si>
  <si>
    <t>RH6100006</t>
  </si>
  <si>
    <t>THUC PHAM BAO VE SUC KHOE BLOSSOMY 50 ML</t>
  </si>
  <si>
    <t>LPN010726</t>
  </si>
  <si>
    <t>54-12345</t>
  </si>
  <si>
    <t>010124</t>
  </si>
  <si>
    <t>LPN008448</t>
  </si>
  <si>
    <t>0000028944</t>
  </si>
  <si>
    <t>E245032</t>
  </si>
  <si>
    <t>LPN008437</t>
  </si>
  <si>
    <t>0000028943</t>
  </si>
  <si>
    <t>E244668</t>
  </si>
  <si>
    <t>LPN008445</t>
  </si>
  <si>
    <t>LPN009288</t>
  </si>
  <si>
    <t>LPN008455</t>
  </si>
  <si>
    <t>0000028994</t>
  </si>
  <si>
    <t>E245327</t>
  </si>
  <si>
    <t>LPN008459</t>
  </si>
  <si>
    <t>000170276</t>
  </si>
  <si>
    <t>0000029011</t>
  </si>
  <si>
    <t>SS035</t>
  </si>
  <si>
    <t>LPN008475</t>
  </si>
  <si>
    <t>0000029021</t>
  </si>
  <si>
    <t>E245328</t>
  </si>
  <si>
    <t>LPN008480</t>
  </si>
  <si>
    <t>LPN008501</t>
  </si>
  <si>
    <t>LPN008517</t>
  </si>
  <si>
    <t>0000029052</t>
  </si>
  <si>
    <t>E245338</t>
  </si>
  <si>
    <t>LPN008495</t>
  </si>
  <si>
    <t>0000029068</t>
  </si>
  <si>
    <t>41750</t>
  </si>
  <si>
    <t>LPN008508</t>
  </si>
  <si>
    <t>0000029065</t>
  </si>
  <si>
    <t>E245330</t>
  </si>
  <si>
    <t>TT1300496</t>
  </si>
  <si>
    <t>NHAN PHU KHONG GIA PREGNACARE PLUS OMEGA 3 (H/56 VIEN)</t>
  </si>
  <si>
    <t>000170828</t>
  </si>
  <si>
    <t>Q26-03-4-2</t>
  </si>
  <si>
    <t>000161178</t>
  </si>
  <si>
    <t>0000027681</t>
  </si>
  <si>
    <t>000161179</t>
  </si>
  <si>
    <t>LPN007662</t>
  </si>
  <si>
    <t>LPN007672</t>
  </si>
  <si>
    <t>LPN008568</t>
  </si>
  <si>
    <t>0000029190</t>
  </si>
  <si>
    <t>E245331</t>
  </si>
  <si>
    <t>LPN009289</t>
  </si>
  <si>
    <t>000171418</t>
  </si>
  <si>
    <t>0000029192</t>
  </si>
  <si>
    <t>E245340</t>
  </si>
  <si>
    <t>LPN008562</t>
  </si>
  <si>
    <t>LPN008569</t>
  </si>
  <si>
    <t>0000029191</t>
  </si>
  <si>
    <t>E245450</t>
  </si>
  <si>
    <t>Q26-03-8-2</t>
  </si>
  <si>
    <t>000171372</t>
  </si>
  <si>
    <t>Q26-03-3-2</t>
  </si>
  <si>
    <t>000170590</t>
  </si>
  <si>
    <t>0000029066</t>
  </si>
  <si>
    <t>E245339</t>
  </si>
  <si>
    <t>000170591</t>
  </si>
  <si>
    <t>LPN008546</t>
  </si>
  <si>
    <t>LPN008530</t>
  </si>
  <si>
    <t>0000029196</t>
  </si>
  <si>
    <t>MAPX</t>
  </si>
  <si>
    <t>TT1300522</t>
  </si>
  <si>
    <t>NHAN PHU VISIONACE ORIGINAL – VE</t>
  </si>
  <si>
    <t>000171588</t>
  </si>
  <si>
    <t>LPN009505</t>
  </si>
  <si>
    <t>LPN008573</t>
  </si>
  <si>
    <t>0000029201</t>
  </si>
  <si>
    <t>FD242198D</t>
  </si>
  <si>
    <t>LPN008536</t>
  </si>
  <si>
    <t>000171535</t>
  </si>
  <si>
    <t>000171841</t>
  </si>
  <si>
    <t>0000029252</t>
  </si>
  <si>
    <t>RH3300052</t>
  </si>
  <si>
    <t>KM PHIM THAM DAU (ACNES OIL REMOVER FILM) 50 TO</t>
  </si>
  <si>
    <t>LPN009767</t>
  </si>
  <si>
    <t>51-332645</t>
  </si>
  <si>
    <t>220715</t>
  </si>
  <si>
    <t>TT1300029</t>
  </si>
  <si>
    <t>NHAN PHU - ELLGY PLUS CRACKED HELL CREAM</t>
  </si>
  <si>
    <t>000172329</t>
  </si>
  <si>
    <t>000172906</t>
  </si>
  <si>
    <t>51-335236</t>
  </si>
  <si>
    <t>E243664</t>
  </si>
  <si>
    <t>LPN008680</t>
  </si>
  <si>
    <t>0000029371</t>
  </si>
  <si>
    <t>E245400</t>
  </si>
  <si>
    <t>LPN009290</t>
  </si>
  <si>
    <t>LPN009017</t>
  </si>
  <si>
    <t>0000029503</t>
  </si>
  <si>
    <t>FW2422PA</t>
  </si>
  <si>
    <t>LPN009068</t>
  </si>
  <si>
    <t>LPN009081</t>
  </si>
  <si>
    <t>LPN009098</t>
  </si>
  <si>
    <t>LPN009141</t>
  </si>
  <si>
    <t>LPN009152</t>
  </si>
  <si>
    <t>LPN009162</t>
  </si>
  <si>
    <t>LPN009182</t>
  </si>
  <si>
    <t>LPN009194</t>
  </si>
  <si>
    <t>LPN009211</t>
  </si>
  <si>
    <t>LPN009215</t>
  </si>
  <si>
    <t>LPN009233</t>
  </si>
  <si>
    <t>LPN009245</t>
  </si>
  <si>
    <t>LPN008875</t>
  </si>
  <si>
    <t>LPN008957</t>
  </si>
  <si>
    <t>LPN008960</t>
  </si>
  <si>
    <t>LPN008705</t>
  </si>
  <si>
    <t>0000029517</t>
  </si>
  <si>
    <t>SS034</t>
  </si>
  <si>
    <t>LPN008742</t>
  </si>
  <si>
    <t>0000029580</t>
  </si>
  <si>
    <t>E245401</t>
  </si>
  <si>
    <t>AV1100019</t>
  </si>
  <si>
    <t>FEGEM-100 (HOP/100VIEN)</t>
  </si>
  <si>
    <t>LPN008744</t>
  </si>
  <si>
    <t>VN-14829-12</t>
  </si>
  <si>
    <t>0000029592</t>
  </si>
  <si>
    <t>BNZ1M004</t>
  </si>
  <si>
    <t>LPN008986</t>
  </si>
  <si>
    <t>0000029662</t>
  </si>
  <si>
    <t>41951</t>
  </si>
  <si>
    <t>LPN009219</t>
  </si>
  <si>
    <t>41952</t>
  </si>
  <si>
    <t>LPN009287</t>
  </si>
  <si>
    <t>LPN009360</t>
  </si>
  <si>
    <t>LPN009464</t>
  </si>
  <si>
    <t>LPN009507</t>
  </si>
  <si>
    <t>OT2409P</t>
  </si>
  <si>
    <t>LPN009569</t>
  </si>
  <si>
    <t>OT2410P</t>
  </si>
  <si>
    <t>LPN008772</t>
  </si>
  <si>
    <t>0000029646</t>
  </si>
  <si>
    <t>E245402</t>
  </si>
  <si>
    <t>LPN008865</t>
  </si>
  <si>
    <t>0000029654</t>
  </si>
  <si>
    <t>E245341</t>
  </si>
  <si>
    <t>TT1300302</t>
  </si>
  <si>
    <t>NHAN PHU - 90001893 CONTOUR TS BLOOD GLUCOSE TEST STRIPS 25.</t>
  </si>
  <si>
    <t>000174807</t>
  </si>
  <si>
    <t>TT1300574</t>
  </si>
  <si>
    <t>NHAN PHU 85734105 ASCENSIA MICROLET LANCETS 100.S</t>
  </si>
  <si>
    <t>000174809</t>
  </si>
  <si>
    <t>MY6100001</t>
  </si>
  <si>
    <t>SMEBIOCTA LP299v (10CAPS) VN</t>
  </si>
  <si>
    <t>Q26-01-6-1</t>
  </si>
  <si>
    <t>000175318</t>
  </si>
  <si>
    <t>7777/2022/ĐKSP</t>
  </si>
  <si>
    <t>0000029765</t>
  </si>
  <si>
    <t>IN23001</t>
  </si>
  <si>
    <t>Q26-01-6-2</t>
  </si>
  <si>
    <t>000175317</t>
  </si>
  <si>
    <t>LPN009262</t>
  </si>
  <si>
    <t>0000029769</t>
  </si>
  <si>
    <t>50219</t>
  </si>
  <si>
    <t>LPN009263</t>
  </si>
  <si>
    <t>LPN008816</t>
  </si>
  <si>
    <t>LPN008892</t>
  </si>
  <si>
    <t>0000029808</t>
  </si>
  <si>
    <t>E250327</t>
  </si>
  <si>
    <t>LPN009291</t>
  </si>
  <si>
    <t>50-12934</t>
  </si>
  <si>
    <t>50-12936</t>
  </si>
  <si>
    <t>LPN008895</t>
  </si>
  <si>
    <t>0000029856</t>
  </si>
  <si>
    <t>PB2505</t>
  </si>
  <si>
    <t>MY1100008</t>
  </si>
  <si>
    <t>FORLAX 10G 20SACH VN</t>
  </si>
  <si>
    <t>LPN010471</t>
  </si>
  <si>
    <t>VN-16801-13</t>
  </si>
  <si>
    <t>0000029862</t>
  </si>
  <si>
    <t>C61007</t>
  </si>
  <si>
    <t>LPN009271</t>
  </si>
  <si>
    <t>0000029895</t>
  </si>
  <si>
    <t>50111</t>
  </si>
  <si>
    <t>LPN009188</t>
  </si>
  <si>
    <t>PM2501CP</t>
  </si>
  <si>
    <t>LPN009216</t>
  </si>
  <si>
    <t>LPN009136</t>
  </si>
  <si>
    <t>PB2501</t>
  </si>
  <si>
    <t>LPN008922</t>
  </si>
  <si>
    <t>LPN009026</t>
  </si>
  <si>
    <t>LPN009135</t>
  </si>
  <si>
    <t>LPN009137</t>
  </si>
  <si>
    <t>LPN009138</t>
  </si>
  <si>
    <t>LPN009167</t>
  </si>
  <si>
    <t>LPN009480</t>
  </si>
  <si>
    <t>50026</t>
  </si>
  <si>
    <t>LPN009448</t>
  </si>
  <si>
    <t>LPN009465</t>
  </si>
  <si>
    <t>LPN009479</t>
  </si>
  <si>
    <t>LPN009496</t>
  </si>
  <si>
    <t>LPN008932</t>
  </si>
  <si>
    <t>41876</t>
  </si>
  <si>
    <t>LPN008933</t>
  </si>
  <si>
    <t>TT1300007</t>
  </si>
  <si>
    <t>NHAN PHU - FENOSUP LIDOSE 160 MG</t>
  </si>
  <si>
    <t>000176866</t>
  </si>
  <si>
    <t>000176928</t>
  </si>
  <si>
    <t>0000029940</t>
  </si>
  <si>
    <t>000177464</t>
  </si>
  <si>
    <t>0000030017</t>
  </si>
  <si>
    <t>000177470</t>
  </si>
  <si>
    <t>000177462</t>
  </si>
  <si>
    <t>000177466</t>
  </si>
  <si>
    <t>PFT2425P</t>
  </si>
  <si>
    <t>000177467</t>
  </si>
  <si>
    <t>PFT2405P</t>
  </si>
  <si>
    <t>TT1300359</t>
  </si>
  <si>
    <t>NHAN PHU - BLU VOILE SUNSCREEN</t>
  </si>
  <si>
    <t>000177782</t>
  </si>
  <si>
    <t>TT1300062</t>
  </si>
  <si>
    <t>NHAN PHU - CERADAN DIAPER CREAM</t>
  </si>
  <si>
    <t>000177781</t>
  </si>
  <si>
    <t>0000029836</t>
  </si>
  <si>
    <t>RD1100016</t>
  </si>
  <si>
    <t>STAMLO-T (HOP/ 28 VIEN)</t>
  </si>
  <si>
    <t>LPN008989</t>
  </si>
  <si>
    <t>890110125423</t>
  </si>
  <si>
    <t>0000030086</t>
  </si>
  <si>
    <t>V2500577</t>
  </si>
  <si>
    <t>LPN009003</t>
  </si>
  <si>
    <t>DE6100001</t>
  </si>
  <si>
    <t>THUC PHAM DINH DUONG Y HOC FORTIMEL POWDER (HUONG VANI)</t>
  </si>
  <si>
    <t>LPN009154</t>
  </si>
  <si>
    <t>322/2023/ĐKSP</t>
  </si>
  <si>
    <t>0000030090</t>
  </si>
  <si>
    <t>111468732</t>
  </si>
  <si>
    <t>HY1300045</t>
  </si>
  <si>
    <t>STERIMAR BLOCKED NOSE BABY 50 ML</t>
  </si>
  <si>
    <t>000178374</t>
  </si>
  <si>
    <t>200001777/PCBA-HN</t>
  </si>
  <si>
    <t>54-13572</t>
  </si>
  <si>
    <t>FE3274</t>
  </si>
  <si>
    <t>000178537</t>
  </si>
  <si>
    <t>51-346414</t>
  </si>
  <si>
    <t>TT1300119</t>
  </si>
  <si>
    <t>NHAN PHU - BORTEZOMIB 3.5MG</t>
  </si>
  <si>
    <t>000178680</t>
  </si>
  <si>
    <t>LPN009096</t>
  </si>
  <si>
    <t>0000030244</t>
  </si>
  <si>
    <t>BGP9M001</t>
  </si>
  <si>
    <t>LPN009097</t>
  </si>
  <si>
    <t>LPN009780</t>
  </si>
  <si>
    <t>LPN009116</t>
  </si>
  <si>
    <t>BGP9M002</t>
  </si>
  <si>
    <t>LPN009117</t>
  </si>
  <si>
    <t>LPN009789</t>
  </si>
  <si>
    <t>TT1300266</t>
  </si>
  <si>
    <t>NHAN PHU - AMPLATZER™ GUIDEWIRE</t>
  </si>
  <si>
    <t>000179348</t>
  </si>
  <si>
    <t>RD1100020</t>
  </si>
  <si>
    <t>APIXABAN TABLETS 5 MG (HOP/60 VIEN)</t>
  </si>
  <si>
    <t>LPN011293</t>
  </si>
  <si>
    <t>890110972124</t>
  </si>
  <si>
    <t>0000030287</t>
  </si>
  <si>
    <t>T2501080</t>
  </si>
  <si>
    <t>SA1100037</t>
  </si>
  <si>
    <t>DEPAKINE SOLUTION 200MG BTLX40ML VN</t>
  </si>
  <si>
    <t>000179873</t>
  </si>
  <si>
    <t>868114087823</t>
  </si>
  <si>
    <t>54-13785</t>
  </si>
  <si>
    <t>ELB03419</t>
  </si>
  <si>
    <t>000180049</t>
  </si>
  <si>
    <t>0000030364</t>
  </si>
  <si>
    <t>TT1300594</t>
  </si>
  <si>
    <t>NHAN PHU LENANGIO 25</t>
  </si>
  <si>
    <t>000180591</t>
  </si>
  <si>
    <t>TT1300593</t>
  </si>
  <si>
    <t>NHAN PHU LENANGIO 10</t>
  </si>
  <si>
    <t>000180590</t>
  </si>
  <si>
    <t>TT1300592</t>
  </si>
  <si>
    <t>NHAN PHU LENANGIO 5</t>
  </si>
  <si>
    <t>000180589</t>
  </si>
  <si>
    <t>000180628</t>
  </si>
  <si>
    <t>0000030455</t>
  </si>
  <si>
    <t>MAPZ</t>
  </si>
  <si>
    <t>Q26-02-1-1</t>
  </si>
  <si>
    <t>000180629</t>
  </si>
  <si>
    <t>51-352564</t>
  </si>
  <si>
    <t>TT1300028</t>
  </si>
  <si>
    <t>NHAN PHU - DOTAREM 10 ML</t>
  </si>
  <si>
    <t>000180954</t>
  </si>
  <si>
    <t>54-13928</t>
  </si>
  <si>
    <t>LPN009236</t>
  </si>
  <si>
    <t>0000030522</t>
  </si>
  <si>
    <t>LPN009292</t>
  </si>
  <si>
    <t>0000030489</t>
  </si>
  <si>
    <t>E250806</t>
  </si>
  <si>
    <t>Q26-02-1-2</t>
  </si>
  <si>
    <t>000182023</t>
  </si>
  <si>
    <t>LPN009303</t>
  </si>
  <si>
    <t>LPN009293</t>
  </si>
  <si>
    <t>LPN009412</t>
  </si>
  <si>
    <t>E250863</t>
  </si>
  <si>
    <t>LPN009413</t>
  </si>
  <si>
    <t>LPN009453</t>
  </si>
  <si>
    <t>E250916</t>
  </si>
  <si>
    <t>LPN009474</t>
  </si>
  <si>
    <t>LPN009322</t>
  </si>
  <si>
    <t>E250807</t>
  </si>
  <si>
    <t>LPN009320</t>
  </si>
  <si>
    <t>LPN009340</t>
  </si>
  <si>
    <t>E250808</t>
  </si>
  <si>
    <t>HY1100001</t>
  </si>
  <si>
    <t>DORITHRICIN TAB 20.S</t>
  </si>
  <si>
    <t>Q26-01-1-2</t>
  </si>
  <si>
    <t>000182164</t>
  </si>
  <si>
    <t>VN-20293-17</t>
  </si>
  <si>
    <t>54-14096</t>
  </si>
  <si>
    <t>2452301</t>
  </si>
  <si>
    <t>TT1300577</t>
  </si>
  <si>
    <t>VO HOP YESOM 40 - HETERO</t>
  </si>
  <si>
    <t>000182236</t>
  </si>
  <si>
    <t>E244227</t>
  </si>
  <si>
    <t>LPN009470</t>
  </si>
  <si>
    <t>0000030673</t>
  </si>
  <si>
    <t>PP2509</t>
  </si>
  <si>
    <t>LPN009483</t>
  </si>
  <si>
    <t>LPN009498</t>
  </si>
  <si>
    <t>LPN009499</t>
  </si>
  <si>
    <t>LPN009400</t>
  </si>
  <si>
    <t>FW2402DBA</t>
  </si>
  <si>
    <t>LPN009434</t>
  </si>
  <si>
    <t>LPN009487</t>
  </si>
  <si>
    <t>LPN009490</t>
  </si>
  <si>
    <t>LPN009503</t>
  </si>
  <si>
    <t>LPN009514</t>
  </si>
  <si>
    <t>LPN009550</t>
  </si>
  <si>
    <t>LPN009554</t>
  </si>
  <si>
    <t>LPN009458</t>
  </si>
  <si>
    <t>LPN009580</t>
  </si>
  <si>
    <t>LPN009620</t>
  </si>
  <si>
    <t>TT1300566</t>
  </si>
  <si>
    <t>NHAN PHU RXOLVE ULTRA EYE DROPS</t>
  </si>
  <si>
    <t>000182532</t>
  </si>
  <si>
    <t>LPN009348</t>
  </si>
  <si>
    <t>0000030662</t>
  </si>
  <si>
    <t>E250782</t>
  </si>
  <si>
    <t>LPN009341</t>
  </si>
  <si>
    <t>LPN009356</t>
  </si>
  <si>
    <t>E250784</t>
  </si>
  <si>
    <t>HY1300043</t>
  </si>
  <si>
    <t>STERIMAR NOSE HYGIENE &amp; COMFORT 50 ML</t>
  </si>
  <si>
    <t>000182569</t>
  </si>
  <si>
    <t>200001769/PCBA-HN</t>
  </si>
  <si>
    <t>54-14183</t>
  </si>
  <si>
    <t>FE3302B</t>
  </si>
  <si>
    <t>HT1100002</t>
  </si>
  <si>
    <t>TELSAR-H 40/12.5 (HOP/30 VIEN)</t>
  </si>
  <si>
    <t>LPN009408</t>
  </si>
  <si>
    <t>VN-22528-20</t>
  </si>
  <si>
    <t>0000030745</t>
  </si>
  <si>
    <t>FD251345</t>
  </si>
  <si>
    <t>RD4200001</t>
  </si>
  <si>
    <t>REDDITUX 500MG (H/1LO X 50ML)</t>
  </si>
  <si>
    <t>QC1-01-2-2</t>
  </si>
  <si>
    <t>LPN009429</t>
  </si>
  <si>
    <t>QLSP-862-15</t>
  </si>
  <si>
    <t>0000030777</t>
  </si>
  <si>
    <t>N250148A</t>
  </si>
  <si>
    <t>000183356</t>
  </si>
  <si>
    <t>0000030778</t>
  </si>
  <si>
    <t>MY1100006</t>
  </si>
  <si>
    <t>SMECTAGO 12STICKS VN</t>
  </si>
  <si>
    <t>000183559</t>
  </si>
  <si>
    <t>300100774424</t>
  </si>
  <si>
    <t>0000030814</t>
  </si>
  <si>
    <t>C62958</t>
  </si>
  <si>
    <t>MY1100003</t>
  </si>
  <si>
    <t>SMECTA ORANGE 3G 30SACH VN</t>
  </si>
  <si>
    <t>000183562</t>
  </si>
  <si>
    <t>VN-19485-15</t>
  </si>
  <si>
    <t>D50420</t>
  </si>
  <si>
    <t>0000030812</t>
  </si>
  <si>
    <t>BS1300012</t>
  </si>
  <si>
    <t>PAPILOCARE (2 CANNULAS X 5ML)</t>
  </si>
  <si>
    <t>LPN009764</t>
  </si>
  <si>
    <t>250001610/PCBB-HCM</t>
  </si>
  <si>
    <t>0000030818</t>
  </si>
  <si>
    <t>W0771</t>
  </si>
  <si>
    <t>JJ635002</t>
  </si>
  <si>
    <t>ONG BOM TRUFILL DCS II</t>
  </si>
  <si>
    <t>000183667</t>
  </si>
  <si>
    <t>54-14336</t>
  </si>
  <si>
    <t>96331463</t>
  </si>
  <si>
    <t>000183666</t>
  </si>
  <si>
    <t>96331465</t>
  </si>
  <si>
    <t>TT1300303</t>
  </si>
  <si>
    <t>NHAN PHU - 90001894 CONTOUR TS BLOOD GLUCOSE TEST STRIPS 50.</t>
  </si>
  <si>
    <t>000184097</t>
  </si>
  <si>
    <t>MRA1615</t>
  </si>
  <si>
    <t>A1615 ACHIEVE PROGRAMMABLE AUTOMATIC BIOPSY SYSTEM 16G X 15.</t>
  </si>
  <si>
    <t>LPN010718</t>
  </si>
  <si>
    <t>54-14334</t>
  </si>
  <si>
    <t>I2638349</t>
  </si>
  <si>
    <t>MRA1611</t>
  </si>
  <si>
    <t>A1611 ACHIEVE PROGRAMMABLE AUTOMATIC BIOPSY SYSTEM 16G X 11.</t>
  </si>
  <si>
    <t>LPN011321</t>
  </si>
  <si>
    <t>I2621627</t>
  </si>
  <si>
    <t>MRA1815</t>
  </si>
  <si>
    <t>A1815 ACHIEVE PROGRAMMABLE AUTOMATIC BIOPSY SYSTEM 18G X 15.</t>
  </si>
  <si>
    <t>LPN011319</t>
  </si>
  <si>
    <t>I2412957</t>
  </si>
  <si>
    <t>MRA1820</t>
  </si>
  <si>
    <t>A1820 ACHIEVE PROGRAMMABLE AUTOMATIC BIOPSY SYSTEM 18G X 20.</t>
  </si>
  <si>
    <t>LPN011320</t>
  </si>
  <si>
    <t>I2617698</t>
  </si>
  <si>
    <t>MRT1415</t>
  </si>
  <si>
    <t>T1415 TEMNO (TEMNO BIOPSY DEVICE) 14G X 15.0 CM (1BOX=5EA)</t>
  </si>
  <si>
    <t>LPN011033</t>
  </si>
  <si>
    <t>I2618378</t>
  </si>
  <si>
    <t>SA1100034</t>
  </si>
  <si>
    <t>CORDARONE 200MG B/ 2BLS X 15 TABS VN</t>
  </si>
  <si>
    <t>000184393</t>
  </si>
  <si>
    <t>VN-16722-13</t>
  </si>
  <si>
    <t>51-361586</t>
  </si>
  <si>
    <t>FA3060</t>
  </si>
  <si>
    <t>000184597</t>
  </si>
  <si>
    <t>0000030821</t>
  </si>
  <si>
    <t>000184600</t>
  </si>
  <si>
    <t>000184601</t>
  </si>
  <si>
    <t>41631</t>
  </si>
  <si>
    <t>000184599</t>
  </si>
  <si>
    <t>LPN009649</t>
  </si>
  <si>
    <t>0000030995</t>
  </si>
  <si>
    <t>FW2501KA</t>
  </si>
  <si>
    <t>LPN009665</t>
  </si>
  <si>
    <t>LPN009686</t>
  </si>
  <si>
    <t>LPN009667</t>
  </si>
  <si>
    <t>50396</t>
  </si>
  <si>
    <t>LPN009678</t>
  </si>
  <si>
    <t>LPN009587</t>
  </si>
  <si>
    <t>LPN009588</t>
  </si>
  <si>
    <t>LPN009589</t>
  </si>
  <si>
    <t>LPN009618</t>
  </si>
  <si>
    <t>LPN009696</t>
  </si>
  <si>
    <t>OT2501P</t>
  </si>
  <si>
    <t>LPN009651</t>
  </si>
  <si>
    <t>LPN009692</t>
  </si>
  <si>
    <t>LPN009593</t>
  </si>
  <si>
    <t>50306</t>
  </si>
  <si>
    <t>LPN009666</t>
  </si>
  <si>
    <t>000185242</t>
  </si>
  <si>
    <t>0000031009</t>
  </si>
  <si>
    <t>000185335</t>
  </si>
  <si>
    <t>0000031012</t>
  </si>
  <si>
    <t>D52335</t>
  </si>
  <si>
    <t>LPN011238</t>
  </si>
  <si>
    <t>0000031059</t>
  </si>
  <si>
    <t>D52459</t>
  </si>
  <si>
    <t>000185518</t>
  </si>
  <si>
    <t>0000031065</t>
  </si>
  <si>
    <t>D52461</t>
  </si>
  <si>
    <t>000185515</t>
  </si>
  <si>
    <t>D52438</t>
  </si>
  <si>
    <t>000185402</t>
  </si>
  <si>
    <t>D52460</t>
  </si>
  <si>
    <t>000185514</t>
  </si>
  <si>
    <t>D52437</t>
  </si>
  <si>
    <t>MY1100004</t>
  </si>
  <si>
    <t>SMECTA ORANGE 3G 10SACH VN</t>
  </si>
  <si>
    <t>000185592</t>
  </si>
  <si>
    <t>0000031068</t>
  </si>
  <si>
    <t>D52566</t>
  </si>
  <si>
    <t>000185513</t>
  </si>
  <si>
    <t>D52563</t>
  </si>
  <si>
    <t>DV1100152</t>
  </si>
  <si>
    <t>COURTOIS (HOP/28VIEN) - EU</t>
  </si>
  <si>
    <t>000185721</t>
  </si>
  <si>
    <t>VD-21987-14</t>
  </si>
  <si>
    <t>51-364388</t>
  </si>
  <si>
    <t>242710</t>
  </si>
  <si>
    <t>Q27-03-9-1</t>
  </si>
  <si>
    <t>000185770</t>
  </si>
  <si>
    <t>0000031091</t>
  </si>
  <si>
    <t>000185769</t>
  </si>
  <si>
    <t>000185765</t>
  </si>
  <si>
    <t>000185764</t>
  </si>
  <si>
    <t>000185780</t>
  </si>
  <si>
    <t>000185777</t>
  </si>
  <si>
    <t>000185775</t>
  </si>
  <si>
    <t>000185774</t>
  </si>
  <si>
    <t>000185773</t>
  </si>
  <si>
    <t>000185772</t>
  </si>
  <si>
    <t>000185778</t>
  </si>
  <si>
    <t>000185779</t>
  </si>
  <si>
    <t>000185788</t>
  </si>
  <si>
    <t>000185787</t>
  </si>
  <si>
    <t>000185816</t>
  </si>
  <si>
    <t>000185817</t>
  </si>
  <si>
    <t>000185818</t>
  </si>
  <si>
    <t>LPN000003</t>
  </si>
  <si>
    <t>000185815</t>
  </si>
  <si>
    <t>000185819</t>
  </si>
  <si>
    <t>000185823</t>
  </si>
  <si>
    <t>000185792</t>
  </si>
  <si>
    <t>SC6100013</t>
  </si>
  <si>
    <t>PREGNACARE ORIGINAL (H/30 VIEN)</t>
  </si>
  <si>
    <t>000185795</t>
  </si>
  <si>
    <t>4140/2020/ĐKSP</t>
  </si>
  <si>
    <t>PRW2323PA</t>
  </si>
  <si>
    <t>000185801</t>
  </si>
  <si>
    <t>LV2305P</t>
  </si>
  <si>
    <t>000185825</t>
  </si>
  <si>
    <t>000185824</t>
  </si>
  <si>
    <t>000185826</t>
  </si>
  <si>
    <t>000185827</t>
  </si>
  <si>
    <t>000185809</t>
  </si>
  <si>
    <t>41589</t>
  </si>
  <si>
    <t>000185805</t>
  </si>
  <si>
    <t>LPN000005</t>
  </si>
  <si>
    <t>000185804</t>
  </si>
  <si>
    <t>000185802</t>
  </si>
  <si>
    <t>LPN000002</t>
  </si>
  <si>
    <t>000185803</t>
  </si>
  <si>
    <t>000185834</t>
  </si>
  <si>
    <t>LPN000004</t>
  </si>
  <si>
    <t>000185833</t>
  </si>
  <si>
    <t>000185830</t>
  </si>
  <si>
    <t>000185832</t>
  </si>
  <si>
    <t>TT1300336</t>
  </si>
  <si>
    <t>NHAN PHU - ABIRATRED</t>
  </si>
  <si>
    <t>000185910</t>
  </si>
  <si>
    <t>TT1300158</t>
  </si>
  <si>
    <t>NHAN PHU - CERADAN ADVANCED MOISTURISING SKIN BARRIER CREAM</t>
  </si>
  <si>
    <t>000185913</t>
  </si>
  <si>
    <t>TT1300001</t>
  </si>
  <si>
    <t>NHAN PHU - LIPIODOL ULTRA FLUIDE 10ML</t>
  </si>
  <si>
    <t>000185911</t>
  </si>
  <si>
    <t>MY1100001</t>
  </si>
  <si>
    <t>TANAKAN 40MG 30TABS VN</t>
  </si>
  <si>
    <t>000186082</t>
  </si>
  <si>
    <t>VN-16289-13</t>
  </si>
  <si>
    <t>0000031096</t>
  </si>
  <si>
    <t>D51988</t>
  </si>
  <si>
    <t>000186086</t>
  </si>
  <si>
    <t>0000031108</t>
  </si>
  <si>
    <t>D53472</t>
  </si>
  <si>
    <t>000186089</t>
  </si>
  <si>
    <t>0000031107</t>
  </si>
  <si>
    <t>D52608</t>
  </si>
  <si>
    <t>TT1300053</t>
  </si>
  <si>
    <t>NHAN PHU - CASPOFUNGIN ACETATE 50MG</t>
  </si>
  <si>
    <t>000186209</t>
  </si>
  <si>
    <t>000186399</t>
  </si>
  <si>
    <t>0000031134</t>
  </si>
  <si>
    <t>000186681</t>
  </si>
  <si>
    <t>0000031195</t>
  </si>
  <si>
    <t>000187020</t>
  </si>
  <si>
    <t>0000031212</t>
  </si>
  <si>
    <t>TT1300120</t>
  </si>
  <si>
    <t>NHAN PHU - XENETIX 300MG 100ML  H/10</t>
  </si>
  <si>
    <t>000187482</t>
  </si>
  <si>
    <t>LPN009772</t>
  </si>
  <si>
    <t>0000031272</t>
  </si>
  <si>
    <t>SV292</t>
  </si>
  <si>
    <t>000187576</t>
  </si>
  <si>
    <t>TT1300536</t>
  </si>
  <si>
    <t>NHAN PHU PAPILOCARE - BESINS</t>
  </si>
  <si>
    <t>000187575</t>
  </si>
  <si>
    <t>000187714</t>
  </si>
  <si>
    <t>0000031312</t>
  </si>
  <si>
    <t>000187692</t>
  </si>
  <si>
    <t>Q27-03-9-2</t>
  </si>
  <si>
    <t>000187706</t>
  </si>
  <si>
    <t>000187715</t>
  </si>
  <si>
    <t>000187716</t>
  </si>
  <si>
    <t>000187696</t>
  </si>
  <si>
    <t>000187699</t>
  </si>
  <si>
    <t>000187698</t>
  </si>
  <si>
    <t>000187689</t>
  </si>
  <si>
    <t>000187688</t>
  </si>
  <si>
    <t>000187702</t>
  </si>
  <si>
    <t>000187694</t>
  </si>
  <si>
    <t>40696</t>
  </si>
  <si>
    <t>000187695</t>
  </si>
  <si>
    <t>000187700</t>
  </si>
  <si>
    <t>000187701</t>
  </si>
  <si>
    <t>000187704</t>
  </si>
  <si>
    <t>000187703</t>
  </si>
  <si>
    <t>000187705</t>
  </si>
  <si>
    <t>000187717</t>
  </si>
  <si>
    <t>WEIR2303SA</t>
  </si>
  <si>
    <t>000187676</t>
  </si>
  <si>
    <t>0000031311</t>
  </si>
  <si>
    <t>000187675</t>
  </si>
  <si>
    <t>000187682</t>
  </si>
  <si>
    <t>000187685</t>
  </si>
  <si>
    <t>000187683</t>
  </si>
  <si>
    <t>000187684</t>
  </si>
  <si>
    <t>000187686</t>
  </si>
  <si>
    <t>000187687</t>
  </si>
  <si>
    <t>000187677</t>
  </si>
  <si>
    <t>000187707</t>
  </si>
  <si>
    <t>000187709</t>
  </si>
  <si>
    <t>FW2418PA</t>
  </si>
  <si>
    <t>000187711</t>
  </si>
  <si>
    <t>000187713</t>
  </si>
  <si>
    <t>000187712</t>
  </si>
  <si>
    <t>000187708</t>
  </si>
  <si>
    <t>000187710</t>
  </si>
  <si>
    <t>LU1100002</t>
  </si>
  <si>
    <t>SEROQUEL XR TAB 200MG 30.S (HOP/30VIEN)</t>
  </si>
  <si>
    <t>LPN009774</t>
  </si>
  <si>
    <t>VN-22283-19</t>
  </si>
  <si>
    <t>0000031340</t>
  </si>
  <si>
    <t>SV940</t>
  </si>
  <si>
    <t>LPN009802</t>
  </si>
  <si>
    <t>0000031339</t>
  </si>
  <si>
    <t>FW2413TA</t>
  </si>
  <si>
    <t>LPN009838</t>
  </si>
  <si>
    <t>LPN009846</t>
  </si>
  <si>
    <t>LPN009883</t>
  </si>
  <si>
    <t>LPN009888</t>
  </si>
  <si>
    <t>LPN009832</t>
  </si>
  <si>
    <t>LPN009856</t>
  </si>
  <si>
    <t>LPN009869</t>
  </si>
  <si>
    <t>LPN009873</t>
  </si>
  <si>
    <t>LPN009841</t>
  </si>
  <si>
    <t>50461</t>
  </si>
  <si>
    <t>LPN009875</t>
  </si>
  <si>
    <t>Q27-03-5-2</t>
  </si>
  <si>
    <t>LPN009818</t>
  </si>
  <si>
    <t>LPN009870</t>
  </si>
  <si>
    <t>HY1200007</t>
  </si>
  <si>
    <t>XENETIX 300 (HOP/10 LO x 100ML)</t>
  </si>
  <si>
    <t>LPN009819</t>
  </si>
  <si>
    <t>VN-16787-13</t>
  </si>
  <si>
    <t>0000031347</t>
  </si>
  <si>
    <t>25WC0141</t>
  </si>
  <si>
    <t>TT1300052</t>
  </si>
  <si>
    <t>NHAN PHU - PREGNACARE PLUS OMEGA 3 (H/56 VIEN)</t>
  </si>
  <si>
    <t>000188275</t>
  </si>
  <si>
    <t>000188225</t>
  </si>
  <si>
    <t>0000031351</t>
  </si>
  <si>
    <t>RD1200013</t>
  </si>
  <si>
    <t>WINDUZA (H/1 LO)</t>
  </si>
  <si>
    <t>000188228</t>
  </si>
  <si>
    <t>890114075223</t>
  </si>
  <si>
    <t>54-15160</t>
  </si>
  <si>
    <t>H250330</t>
  </si>
  <si>
    <t>LPN009795</t>
  </si>
  <si>
    <t>0000031364</t>
  </si>
  <si>
    <t>E250328F</t>
  </si>
  <si>
    <t>000188368</t>
  </si>
  <si>
    <t>0000031379</t>
  </si>
  <si>
    <t>MG1100065</t>
  </si>
  <si>
    <t>CILZEC 40 (HOP/3VI X 10VIEN)</t>
  </si>
  <si>
    <t>000188381</t>
  </si>
  <si>
    <t>VN-11962-11</t>
  </si>
  <si>
    <t>0000031384</t>
  </si>
  <si>
    <t>BRE01064A</t>
  </si>
  <si>
    <t>000188537</t>
  </si>
  <si>
    <t>51-372183</t>
  </si>
  <si>
    <t>000188860</t>
  </si>
  <si>
    <t>0000031444</t>
  </si>
  <si>
    <t>HY1300046</t>
  </si>
  <si>
    <t>STERIMAR ALLERGIC NOSE 50 ML</t>
  </si>
  <si>
    <t>000188983</t>
  </si>
  <si>
    <t>200001772/PCBA-HN</t>
  </si>
  <si>
    <t>54-15319</t>
  </si>
  <si>
    <t>FE3222C</t>
  </si>
  <si>
    <t>TT1300064</t>
  </si>
  <si>
    <t>NHAN PHU - CERADAN SOOTHING GEL 50G</t>
  </si>
  <si>
    <t>000189299</t>
  </si>
  <si>
    <t>000189619</t>
  </si>
  <si>
    <t>0000031519</t>
  </si>
  <si>
    <t>000189665</t>
  </si>
  <si>
    <t>0000031534</t>
  </si>
  <si>
    <t>000189657</t>
  </si>
  <si>
    <t>000189654</t>
  </si>
  <si>
    <t>000189656</t>
  </si>
  <si>
    <t>F173695</t>
  </si>
  <si>
    <t>000189663</t>
  </si>
  <si>
    <t>SC6100007</t>
  </si>
  <si>
    <t>JOINTACE (H/30 VIEN)</t>
  </si>
  <si>
    <t>000189668</t>
  </si>
  <si>
    <t>10281/2019/ĐKSP</t>
  </si>
  <si>
    <t>170023A</t>
  </si>
  <si>
    <t>000189666</t>
  </si>
  <si>
    <t>000189662</t>
  </si>
  <si>
    <t>000189669</t>
  </si>
  <si>
    <t>000189667</t>
  </si>
  <si>
    <t>000189661</t>
  </si>
  <si>
    <t>000189664</t>
  </si>
  <si>
    <t>TT1300020</t>
  </si>
  <si>
    <t>NHAN PHU - STAMLO 5</t>
  </si>
  <si>
    <t>000189720</t>
  </si>
  <si>
    <t>LPN009901</t>
  </si>
  <si>
    <t>0000031541</t>
  </si>
  <si>
    <t>PFT2502A</t>
  </si>
  <si>
    <t>LPN009904</t>
  </si>
  <si>
    <t>PFT2501A</t>
  </si>
  <si>
    <t>LPN009906</t>
  </si>
  <si>
    <t>LPN009899</t>
  </si>
  <si>
    <t>PM2510CP</t>
  </si>
  <si>
    <t>LPN009902</t>
  </si>
  <si>
    <t>OR5700001</t>
  </si>
  <si>
    <t>FOSTER</t>
  </si>
  <si>
    <t>QC1-01-2-1</t>
  </si>
  <si>
    <t>LPN009928</t>
  </si>
  <si>
    <t>800110017024</t>
  </si>
  <si>
    <t>0000031566</t>
  </si>
  <si>
    <t>1215224</t>
  </si>
  <si>
    <t>000189895</t>
  </si>
  <si>
    <t>0000031581</t>
  </si>
  <si>
    <t>000189898</t>
  </si>
  <si>
    <t>0000031563</t>
  </si>
  <si>
    <t>000189897</t>
  </si>
  <si>
    <t>D51989</t>
  </si>
  <si>
    <t>TT1300376</t>
  </si>
  <si>
    <t>NHAN PHU - RIVAXORED 15MG</t>
  </si>
  <si>
    <t>000189941</t>
  </si>
  <si>
    <t>TT1300375</t>
  </si>
  <si>
    <t>NHAN PHU - RIVAXORED 10MG</t>
  </si>
  <si>
    <t>000189942</t>
  </si>
  <si>
    <t>000189938</t>
  </si>
  <si>
    <t>0000031587</t>
  </si>
  <si>
    <t>D53451</t>
  </si>
  <si>
    <t>000189658</t>
  </si>
  <si>
    <t>0000031613</t>
  </si>
  <si>
    <t>000189659</t>
  </si>
  <si>
    <t>000190219</t>
  </si>
  <si>
    <t>0000031622</t>
  </si>
  <si>
    <t>D52638</t>
  </si>
  <si>
    <t>000190215</t>
  </si>
  <si>
    <t>D52433</t>
  </si>
  <si>
    <t>000190464</t>
  </si>
  <si>
    <t>0000031633</t>
  </si>
  <si>
    <t>D52356</t>
  </si>
  <si>
    <t>000190463</t>
  </si>
  <si>
    <t>D52360</t>
  </si>
  <si>
    <t>RH7300517</t>
  </si>
  <si>
    <t>SELSUN ANTI-DANDRUFF SHAMPOO WITH SELENIUM SULFIDE 100ML +KM</t>
  </si>
  <si>
    <t>000190485</t>
  </si>
  <si>
    <t>54-15611</t>
  </si>
  <si>
    <t>DB03</t>
  </si>
  <si>
    <t>LPN009942</t>
  </si>
  <si>
    <t>0000031642</t>
  </si>
  <si>
    <t>PB2507</t>
  </si>
  <si>
    <t>LPN009969</t>
  </si>
  <si>
    <t>LPN009983</t>
  </si>
  <si>
    <t>LPN009964</t>
  </si>
  <si>
    <t>PP2518</t>
  </si>
  <si>
    <t>LPN009965</t>
  </si>
  <si>
    <t>LPN009972</t>
  </si>
  <si>
    <t>LPN009973</t>
  </si>
  <si>
    <t>LPN009984</t>
  </si>
  <si>
    <t>LPN009998</t>
  </si>
  <si>
    <t>50494</t>
  </si>
  <si>
    <t>LPN009956</t>
  </si>
  <si>
    <t>50445</t>
  </si>
  <si>
    <t>LPN009963</t>
  </si>
  <si>
    <t>50444</t>
  </si>
  <si>
    <t>LPN009977</t>
  </si>
  <si>
    <t>LV2413P</t>
  </si>
  <si>
    <t>LPN010013</t>
  </si>
  <si>
    <t>0000031659</t>
  </si>
  <si>
    <t>FW2502TA</t>
  </si>
  <si>
    <t>LPN009974</t>
  </si>
  <si>
    <t>LPN010029</t>
  </si>
  <si>
    <t>LPN010034</t>
  </si>
  <si>
    <t>LPN010146</t>
  </si>
  <si>
    <t>FW2503KA</t>
  </si>
  <si>
    <t>LPN010147</t>
  </si>
  <si>
    <t>LPN010241</t>
  </si>
  <si>
    <t>LPN010247</t>
  </si>
  <si>
    <t>LPN010068</t>
  </si>
  <si>
    <t>LPN010255</t>
  </si>
  <si>
    <t>BE-90001889</t>
  </si>
  <si>
    <t>90001889 CONTOUR PLUS BLOOD GLUCOSE TEST STRIPS 25.S ( QUE T</t>
  </si>
  <si>
    <t>000190800</t>
  </si>
  <si>
    <t>2300583ĐKLH/BYT-HTTB</t>
  </si>
  <si>
    <t>51-378372</t>
  </si>
  <si>
    <t>DP4BQHH33C</t>
  </si>
  <si>
    <t>LPN009976</t>
  </si>
  <si>
    <t>0000031657</t>
  </si>
  <si>
    <t>LPN009986</t>
  </si>
  <si>
    <t>LPN009993</t>
  </si>
  <si>
    <t>LPN009997</t>
  </si>
  <si>
    <t>LPN010006</t>
  </si>
  <si>
    <t>LPN010027</t>
  </si>
  <si>
    <t>LPN010317</t>
  </si>
  <si>
    <t>FW2506PA</t>
  </si>
  <si>
    <t>LPN010358</t>
  </si>
  <si>
    <t>TT1300169</t>
  </si>
  <si>
    <t>NHAN PHU - WINDUZA</t>
  </si>
  <si>
    <t>000191701</t>
  </si>
  <si>
    <t>TT1300004</t>
  </si>
  <si>
    <t>NHAN PHU - CETRAXAL (H/15 ONG)</t>
  </si>
  <si>
    <t>000191705</t>
  </si>
  <si>
    <t>MRTT1420</t>
  </si>
  <si>
    <t>TT1420 TEMNO EVOLUTION (TEMNO EVOLUTION BIOPSY DEVICE) 14G X</t>
  </si>
  <si>
    <t>M0003210</t>
  </si>
  <si>
    <t>57-29864</t>
  </si>
  <si>
    <t>I2394638</t>
  </si>
  <si>
    <t>000191851</t>
  </si>
  <si>
    <t>0000031786</t>
  </si>
  <si>
    <t>000191850</t>
  </si>
  <si>
    <t>000191852</t>
  </si>
  <si>
    <t>000191847</t>
  </si>
  <si>
    <t>000191849</t>
  </si>
  <si>
    <t>000191848</t>
  </si>
  <si>
    <t>AV1100020</t>
  </si>
  <si>
    <t>ARIP TABLET 15MG (H/3 VI X10 VIEN)</t>
  </si>
  <si>
    <t>LPN010009</t>
  </si>
  <si>
    <t>VN-23051-22</t>
  </si>
  <si>
    <t>0000031840</t>
  </si>
  <si>
    <t>BBX5M002</t>
  </si>
  <si>
    <t>DE6100004</t>
  </si>
  <si>
    <t>THUC PHAM DINH DUONG Y HOC FORTIMEL COMPACT PROTEIN 2.4 kcal</t>
  </si>
  <si>
    <t>LPN010046</t>
  </si>
  <si>
    <t>1081/2024/ĐKSP</t>
  </si>
  <si>
    <t>0000031838</t>
  </si>
  <si>
    <t>111500106</t>
  </si>
  <si>
    <t>000192095</t>
  </si>
  <si>
    <t>0000031845</t>
  </si>
  <si>
    <t>DE6100005</t>
  </si>
  <si>
    <t>LPN010061</t>
  </si>
  <si>
    <t>1080/2024/ĐKSP</t>
  </si>
  <si>
    <t>111505247</t>
  </si>
  <si>
    <t>TT1300022</t>
  </si>
  <si>
    <t>TEM NHA NHAP KHAU CHU THICH HAN DUNG</t>
  </si>
  <si>
    <t>000192245</t>
  </si>
  <si>
    <t>TT1300565</t>
  </si>
  <si>
    <t>NHAN PHU RXOLVE SOOTHE EYE DROPS</t>
  </si>
  <si>
    <t>000192360</t>
  </si>
  <si>
    <t>TT1300383</t>
  </si>
  <si>
    <t>NHAN PHU - AMPLATZER PICCO</t>
  </si>
  <si>
    <t>000192389</t>
  </si>
  <si>
    <t>LPN010169</t>
  </si>
  <si>
    <t>54-15920</t>
  </si>
  <si>
    <t>2452801</t>
  </si>
  <si>
    <t>LPN010035</t>
  </si>
  <si>
    <t>0000031899</t>
  </si>
  <si>
    <t>PRW2427A</t>
  </si>
  <si>
    <t>LPN010054</t>
  </si>
  <si>
    <t>LPN010037</t>
  </si>
  <si>
    <t>LPN010038</t>
  </si>
  <si>
    <t>Q26-01-9-1</t>
  </si>
  <si>
    <t>000192611</t>
  </si>
  <si>
    <t>0000031923</t>
  </si>
  <si>
    <t>000192612</t>
  </si>
  <si>
    <t>000192610</t>
  </si>
  <si>
    <t>000192614</t>
  </si>
  <si>
    <t>000192615</t>
  </si>
  <si>
    <t>000192624</t>
  </si>
  <si>
    <t>000192622</t>
  </si>
  <si>
    <t>000192620</t>
  </si>
  <si>
    <t>000192617</t>
  </si>
  <si>
    <t>000192619</t>
  </si>
  <si>
    <t>000192618</t>
  </si>
  <si>
    <t>SD1100005</t>
  </si>
  <si>
    <t>OSPAMOX 500MG TAB 10.S (NQ)</t>
  </si>
  <si>
    <t>LPN011224</t>
  </si>
  <si>
    <t>893110720324</t>
  </si>
  <si>
    <t>0000031977</t>
  </si>
  <si>
    <t>040D037</t>
  </si>
  <si>
    <t>000193314</t>
  </si>
  <si>
    <t>0000032006</t>
  </si>
  <si>
    <t>SV978</t>
  </si>
  <si>
    <t>000193313</t>
  </si>
  <si>
    <t>TT1300109</t>
  </si>
  <si>
    <t>NHAN PHU - DECITABINE 50MG</t>
  </si>
  <si>
    <t>000193441</t>
  </si>
  <si>
    <t>HY1300022</t>
  </si>
  <si>
    <t>CETRAXAL (H/15 ONG)</t>
  </si>
  <si>
    <t>LPN010109</t>
  </si>
  <si>
    <t>840115525624</t>
  </si>
  <si>
    <t>0000032046</t>
  </si>
  <si>
    <t>X608</t>
  </si>
  <si>
    <t>LPN010110</t>
  </si>
  <si>
    <t>0000032067</t>
  </si>
  <si>
    <t>50802</t>
  </si>
  <si>
    <t>LPN010126</t>
  </si>
  <si>
    <t>LPN010141</t>
  </si>
  <si>
    <t>LPN010189</t>
  </si>
  <si>
    <t>PB2517CP</t>
  </si>
  <si>
    <t>TT1300110</t>
  </si>
  <si>
    <t>NHAN PHU - REDIVEC ( IMATINIB CAPSULES 100MG )</t>
  </si>
  <si>
    <t>000194042</t>
  </si>
  <si>
    <t>TT1300604</t>
  </si>
  <si>
    <t>NHAN PHU CERADAN ADVANCED EMOLLIENT WASH</t>
  </si>
  <si>
    <t>000194041</t>
  </si>
  <si>
    <t>LPN010183</t>
  </si>
  <si>
    <t>0000032052</t>
  </si>
  <si>
    <t>E252446</t>
  </si>
  <si>
    <t>LPN010149</t>
  </si>
  <si>
    <t>0000032053</t>
  </si>
  <si>
    <t>E252444</t>
  </si>
  <si>
    <t>MG1100039</t>
  </si>
  <si>
    <t>DIOPOLOL 2.5 (HOP/2 VI X 14 VIEN)</t>
  </si>
  <si>
    <t>LPN010765</t>
  </si>
  <si>
    <t>539110207323</t>
  </si>
  <si>
    <t>54-16228</t>
  </si>
  <si>
    <t>31139B/5</t>
  </si>
  <si>
    <t>TT1300324</t>
  </si>
  <si>
    <t>NHAN PHU 90001890 CONTOUR PLUS BLOOD GLUCOSE TEST STRIPS 50.</t>
  </si>
  <si>
    <t>000194938</t>
  </si>
  <si>
    <t>LU1100003</t>
  </si>
  <si>
    <t>SEROQUEL XR TAB 50MG 30.S (HOP/30VIEN)</t>
  </si>
  <si>
    <t>LPN010195</t>
  </si>
  <si>
    <t>VN-22285-19</t>
  </si>
  <si>
    <t>0000032267</t>
  </si>
  <si>
    <t>SV941</t>
  </si>
  <si>
    <t>LPN010197</t>
  </si>
  <si>
    <t>TT1300467</t>
  </si>
  <si>
    <t>NHAN PHU - SEVELAMER CARBONATE TABLETS 800MG</t>
  </si>
  <si>
    <t>000195328</t>
  </si>
  <si>
    <t>TT1300555</t>
  </si>
  <si>
    <t>NHAN PHU STAMLO-T 80/5MG (HOP/28 VIEN)</t>
  </si>
  <si>
    <t>000195327</t>
  </si>
  <si>
    <t>TT1300484</t>
  </si>
  <si>
    <t>NHAN PHU STAMLO-T</t>
  </si>
  <si>
    <t>000195326</t>
  </si>
  <si>
    <t>LPN010764</t>
  </si>
  <si>
    <t>0000032253</t>
  </si>
  <si>
    <t>BRE03282A</t>
  </si>
  <si>
    <t>000195672</t>
  </si>
  <si>
    <t>0000032256</t>
  </si>
  <si>
    <t>000195669</t>
  </si>
  <si>
    <t>000195670</t>
  </si>
  <si>
    <t>000195660</t>
  </si>
  <si>
    <t>000195659</t>
  </si>
  <si>
    <t>000195665</t>
  </si>
  <si>
    <t>000195653</t>
  </si>
  <si>
    <t>000195671</t>
  </si>
  <si>
    <t>000195661</t>
  </si>
  <si>
    <t>000195662</t>
  </si>
  <si>
    <t>000195664</t>
  </si>
  <si>
    <t>000195666</t>
  </si>
  <si>
    <t>000195655</t>
  </si>
  <si>
    <t>000195675</t>
  </si>
  <si>
    <t>000195656</t>
  </si>
  <si>
    <t>41736</t>
  </si>
  <si>
    <t>000195657</t>
  </si>
  <si>
    <t>000195674</t>
  </si>
  <si>
    <t>000195658</t>
  </si>
  <si>
    <t>BE-90001885</t>
  </si>
  <si>
    <t>90001885 CNTR PLUS,BN/HK/MY/SG(EN/MS/ZHT)MMOL/L,RET,7618B (C</t>
  </si>
  <si>
    <t>000195709</t>
  </si>
  <si>
    <t>15132NK/BYT-TB-CT</t>
  </si>
  <si>
    <t>54-16415</t>
  </si>
  <si>
    <t>PH23010007</t>
  </si>
  <si>
    <t>GZ4205001</t>
  </si>
  <si>
    <t>DIAMISU-70+30 100IU/ML INJ</t>
  </si>
  <si>
    <t>QC1-01-1-1</t>
  </si>
  <si>
    <t>000195875</t>
  </si>
  <si>
    <t>QLSP-1051-17</t>
  </si>
  <si>
    <t>54-16439</t>
  </si>
  <si>
    <t>359PA7</t>
  </si>
  <si>
    <t>QC1-01-1-2</t>
  </si>
  <si>
    <t>000195872</t>
  </si>
  <si>
    <t>373PA7</t>
  </si>
  <si>
    <t>RD4200002</t>
  </si>
  <si>
    <t>REDDITUX 100MG (H/1LO X 10ML)</t>
  </si>
  <si>
    <t>QC1-01-4-2</t>
  </si>
  <si>
    <t>000195876</t>
  </si>
  <si>
    <t>QLSP-861-15</t>
  </si>
  <si>
    <t>N250204A</t>
  </si>
  <si>
    <t>000195874</t>
  </si>
  <si>
    <t>355PA7</t>
  </si>
  <si>
    <t>000195873</t>
  </si>
  <si>
    <t>360PA7</t>
  </si>
  <si>
    <t>000195858</t>
  </si>
  <si>
    <t>54-16440</t>
  </si>
  <si>
    <t>C52355</t>
  </si>
  <si>
    <t>000195859</t>
  </si>
  <si>
    <t>000195860</t>
  </si>
  <si>
    <t>C59631</t>
  </si>
  <si>
    <t>MY1100002</t>
  </si>
  <si>
    <t>FORTRANS 4SACH VN</t>
  </si>
  <si>
    <t>000195857</t>
  </si>
  <si>
    <t>VN-19677-16</t>
  </si>
  <si>
    <t>C60550</t>
  </si>
  <si>
    <t>000196004</t>
  </si>
  <si>
    <t>0000032359</t>
  </si>
  <si>
    <t>LPN010230</t>
  </si>
  <si>
    <t>0000032415</t>
  </si>
  <si>
    <t>51043</t>
  </si>
  <si>
    <t>LPN010237</t>
  </si>
  <si>
    <t>LPN010238</t>
  </si>
  <si>
    <t>TT1300108</t>
  </si>
  <si>
    <t>NHAN PHU - FAIRENCE T-COMPLEX 30G</t>
  </si>
  <si>
    <t>000196519</t>
  </si>
  <si>
    <t>SA1207001</t>
  </si>
  <si>
    <t>NO-SPA 40MG/2ML INJ AM25 VN</t>
  </si>
  <si>
    <t>000196627</t>
  </si>
  <si>
    <t>VN-23047-22</t>
  </si>
  <si>
    <t>51-393524</t>
  </si>
  <si>
    <t>HC636A</t>
  </si>
  <si>
    <t>51-393586</t>
  </si>
  <si>
    <t>TT1300018</t>
  </si>
  <si>
    <t>NHAN PHU - PODOXRED 500MG</t>
  </si>
  <si>
    <t>000197026</t>
  </si>
  <si>
    <t>LPN010491</t>
  </si>
  <si>
    <t>0000032485</t>
  </si>
  <si>
    <t>50690</t>
  </si>
  <si>
    <t>LPN010303</t>
  </si>
  <si>
    <t>LPN010315</t>
  </si>
  <si>
    <t>LPN010251</t>
  </si>
  <si>
    <t>LPN010257</t>
  </si>
  <si>
    <t>LPN010331</t>
  </si>
  <si>
    <t>50726</t>
  </si>
  <si>
    <t>Q27-03-2-1</t>
  </si>
  <si>
    <t>LPN010343</t>
  </si>
  <si>
    <t>LPN010298</t>
  </si>
  <si>
    <t>50693</t>
  </si>
  <si>
    <t>LPN010336</t>
  </si>
  <si>
    <t>50590</t>
  </si>
  <si>
    <t>LPN010293</t>
  </si>
  <si>
    <t>LPN010384</t>
  </si>
  <si>
    <t>FW2511PA</t>
  </si>
  <si>
    <t>LPN010393</t>
  </si>
  <si>
    <t>LPN010394</t>
  </si>
  <si>
    <t>LPN010480</t>
  </si>
  <si>
    <t>LPN010486</t>
  </si>
  <si>
    <t>BE-90001890</t>
  </si>
  <si>
    <t>90001890 CONTOUR PLUS BLOOD GLUCOSE TEST STRIPS 50.S  2X25 (</t>
  </si>
  <si>
    <t>LPN010266</t>
  </si>
  <si>
    <t>51-396376</t>
  </si>
  <si>
    <t>DP4HQHH31B</t>
  </si>
  <si>
    <t>HT1100001</t>
  </si>
  <si>
    <t>TENOF EM (HOP/30VIEN)</t>
  </si>
  <si>
    <t>LPN010278</t>
  </si>
  <si>
    <t>890110088723</t>
  </si>
  <si>
    <t>0000032530</t>
  </si>
  <si>
    <t>E253134A</t>
  </si>
  <si>
    <t>LPN010302</t>
  </si>
  <si>
    <t>TT1300262</t>
  </si>
  <si>
    <t>NHAN PHU - AMPLATZER™ DUCT OCCLUDER</t>
  </si>
  <si>
    <t>000197736</t>
  </si>
  <si>
    <t>TT1300005</t>
  </si>
  <si>
    <t>NHAN PHU CUROSURF</t>
  </si>
  <si>
    <t>000197735</t>
  </si>
  <si>
    <t>1221868</t>
  </si>
  <si>
    <t>RD1200016</t>
  </si>
  <si>
    <t>DAPTOMRED 500 MG (H/1 LO)</t>
  </si>
  <si>
    <t>000197816</t>
  </si>
  <si>
    <t>VN-22524-20</t>
  </si>
  <si>
    <t>51-397099</t>
  </si>
  <si>
    <t>K240283</t>
  </si>
  <si>
    <t>000197862</t>
  </si>
  <si>
    <t>0000032608</t>
  </si>
  <si>
    <t>D52816</t>
  </si>
  <si>
    <t>TT1300606</t>
  </si>
  <si>
    <t>NHAN PHU IMATINIB DRLA PVC - ACLAR</t>
  </si>
  <si>
    <t>000197920</t>
  </si>
  <si>
    <t>OR1100001</t>
  </si>
  <si>
    <t>PITATOR TABLETS 2MG (HOP/ 2VI X 14VIEN)</t>
  </si>
  <si>
    <t>000197974</t>
  </si>
  <si>
    <t>471110172300</t>
  </si>
  <si>
    <t>0000032623</t>
  </si>
  <si>
    <t>P121015</t>
  </si>
  <si>
    <t>000198366</t>
  </si>
  <si>
    <t>0000032632</t>
  </si>
  <si>
    <t>D52878</t>
  </si>
  <si>
    <t>000198365</t>
  </si>
  <si>
    <t>D52879</t>
  </si>
  <si>
    <t>54-16742</t>
  </si>
  <si>
    <t>000198518</t>
  </si>
  <si>
    <t>54-16822</t>
  </si>
  <si>
    <t>TT1300039</t>
  </si>
  <si>
    <t>NHAN PHU - QUICK RECOVERY CREAM 15G</t>
  </si>
  <si>
    <t>000198675</t>
  </si>
  <si>
    <t>TT1300487</t>
  </si>
  <si>
    <t>NHAN PHU CERADAN MOISTURISING WASH (HOP 1 TUYP 150 ML)</t>
  </si>
  <si>
    <t>000198674</t>
  </si>
  <si>
    <t>TT1300060</t>
  </si>
  <si>
    <t>NHAN PHU CERADAN SKIN BARRIER REPAIR CREAM 10G</t>
  </si>
  <si>
    <t>000198676</t>
  </si>
  <si>
    <t>TT1300061</t>
  </si>
  <si>
    <t>NHAN PHU - CERADAN HYDRA (30G, 80G)</t>
  </si>
  <si>
    <t>000198677</t>
  </si>
  <si>
    <t>000198829</t>
  </si>
  <si>
    <t>0000032659</t>
  </si>
  <si>
    <t>D71679</t>
  </si>
  <si>
    <t>000198831</t>
  </si>
  <si>
    <t>0000032678</t>
  </si>
  <si>
    <t>000198830</t>
  </si>
  <si>
    <t>000198833</t>
  </si>
  <si>
    <t>0000032671</t>
  </si>
  <si>
    <t>D52891</t>
  </si>
  <si>
    <t>000198834</t>
  </si>
  <si>
    <t>D52890</t>
  </si>
  <si>
    <t>000198912</t>
  </si>
  <si>
    <t>0000032673</t>
  </si>
  <si>
    <t>D52922</t>
  </si>
  <si>
    <t>000199141</t>
  </si>
  <si>
    <t>0000032636</t>
  </si>
  <si>
    <t>000199140</t>
  </si>
  <si>
    <t>000199135</t>
  </si>
  <si>
    <t>LPN010326</t>
  </si>
  <si>
    <t>51-399488</t>
  </si>
  <si>
    <t>C56397</t>
  </si>
  <si>
    <t>LPN010328</t>
  </si>
  <si>
    <t>C56395</t>
  </si>
  <si>
    <t>LPN010348</t>
  </si>
  <si>
    <t>0000032679</t>
  </si>
  <si>
    <t>FD254773C</t>
  </si>
  <si>
    <t>AB6100013</t>
  </si>
  <si>
    <t>HEPTRAL 400 (H/30V)</t>
  </si>
  <si>
    <t>000199343</t>
  </si>
  <si>
    <t>3931/2020/ĐKSP</t>
  </si>
  <si>
    <t>0000032733</t>
  </si>
  <si>
    <t>0002202967</t>
  </si>
  <si>
    <t>AB1100026</t>
  </si>
  <si>
    <t>TANATRIL TAB 10MG 100.S</t>
  </si>
  <si>
    <t>000199346</t>
  </si>
  <si>
    <t>VN-22051-19</t>
  </si>
  <si>
    <t>XM282</t>
  </si>
  <si>
    <t>000199345</t>
  </si>
  <si>
    <t>XE283</t>
  </si>
  <si>
    <t>000199610</t>
  </si>
  <si>
    <t>0000032773</t>
  </si>
  <si>
    <t>000199612</t>
  </si>
  <si>
    <t>000199616</t>
  </si>
  <si>
    <t>000199594</t>
  </si>
  <si>
    <t>000199589</t>
  </si>
  <si>
    <t>000199622</t>
  </si>
  <si>
    <t>000199596</t>
  </si>
  <si>
    <t>831952A</t>
  </si>
  <si>
    <t>000199620</t>
  </si>
  <si>
    <t>000199586</t>
  </si>
  <si>
    <t>000199601</t>
  </si>
  <si>
    <t>000199582</t>
  </si>
  <si>
    <t>000199584</t>
  </si>
  <si>
    <t>Q27-01-7-2</t>
  </si>
  <si>
    <t>000199603</t>
  </si>
  <si>
    <t>000199609</t>
  </si>
  <si>
    <t>000199611</t>
  </si>
  <si>
    <t>000199615</t>
  </si>
  <si>
    <t>000199590</t>
  </si>
  <si>
    <t>000199588</t>
  </si>
  <si>
    <t>000199621</t>
  </si>
  <si>
    <t>000199595</t>
  </si>
  <si>
    <t>000199619</t>
  </si>
  <si>
    <t>000199587</t>
  </si>
  <si>
    <t>000199602</t>
  </si>
  <si>
    <t>000199585</t>
  </si>
  <si>
    <t>000199604</t>
  </si>
  <si>
    <t>TT1300434</t>
  </si>
  <si>
    <t>NHAN PHU THUC PHAM BAO VE SUC KHOE OCEAN HEALTH VITAMIN D3 1</t>
  </si>
  <si>
    <t>000199691</t>
  </si>
  <si>
    <t>000199737</t>
  </si>
  <si>
    <t>54-16964</t>
  </si>
  <si>
    <t>2454201</t>
  </si>
  <si>
    <t>LPN010377</t>
  </si>
  <si>
    <t>0000032782</t>
  </si>
  <si>
    <t>51033</t>
  </si>
  <si>
    <t>LPN010378</t>
  </si>
  <si>
    <t>OT2503P</t>
  </si>
  <si>
    <t>LPN010376</t>
  </si>
  <si>
    <t>OT2502P</t>
  </si>
  <si>
    <t>000199720</t>
  </si>
  <si>
    <t>54-16967</t>
  </si>
  <si>
    <t>C61859</t>
  </si>
  <si>
    <t>000199721</t>
  </si>
  <si>
    <t>C60956</t>
  </si>
  <si>
    <t>000199951</t>
  </si>
  <si>
    <t>0000032810</t>
  </si>
  <si>
    <t>000199948</t>
  </si>
  <si>
    <t>000199944</t>
  </si>
  <si>
    <t>000199946</t>
  </si>
  <si>
    <t>000199959</t>
  </si>
  <si>
    <t>000199945</t>
  </si>
  <si>
    <t>000199954</t>
  </si>
  <si>
    <t>000199955</t>
  </si>
  <si>
    <t>000199952</t>
  </si>
  <si>
    <t>000199949</t>
  </si>
  <si>
    <t>000199960</t>
  </si>
  <si>
    <t>000199956</t>
  </si>
  <si>
    <t>000199957</t>
  </si>
  <si>
    <t>000199958</t>
  </si>
  <si>
    <t>000199963</t>
  </si>
  <si>
    <t>000199950</t>
  </si>
  <si>
    <t>000199962</t>
  </si>
  <si>
    <t>000200029</t>
  </si>
  <si>
    <t>51-402445</t>
  </si>
  <si>
    <t>000200069</t>
  </si>
  <si>
    <t>0000032833</t>
  </si>
  <si>
    <t>TT1300417</t>
  </si>
  <si>
    <t>NHAN PHU -THUC PHAM BAO VE SUC KHOE OCEAN HEALTH OMEGA-3 FIS</t>
  </si>
  <si>
    <t>000200092</t>
  </si>
  <si>
    <t>000200100</t>
  </si>
  <si>
    <t>LPN010399</t>
  </si>
  <si>
    <t>0000032843</t>
  </si>
  <si>
    <t>LPN010407</t>
  </si>
  <si>
    <t>LPN010395</t>
  </si>
  <si>
    <t>PFT2503A</t>
  </si>
  <si>
    <t>LPN010396</t>
  </si>
  <si>
    <t>LPN010397</t>
  </si>
  <si>
    <t>PFT2504A</t>
  </si>
  <si>
    <t>LPN010489</t>
  </si>
  <si>
    <t>50691</t>
  </si>
  <si>
    <t>LPN010488</t>
  </si>
  <si>
    <t>LPN010403</t>
  </si>
  <si>
    <t>LPN010482</t>
  </si>
  <si>
    <t>50884</t>
  </si>
  <si>
    <t>RD1100021</t>
  </si>
  <si>
    <t>VILDAREDDYS (HOP/30 VIEN)</t>
  </si>
  <si>
    <t>LPN010427</t>
  </si>
  <si>
    <t>520110773124</t>
  </si>
  <si>
    <t>0000032871</t>
  </si>
  <si>
    <t>1502727</t>
  </si>
  <si>
    <t>LPN011290</t>
  </si>
  <si>
    <t>AZ1200003</t>
  </si>
  <si>
    <t>ZOLADEX INJ 10.8 MG SS 1X1 EA VN</t>
  </si>
  <si>
    <t>000200684</t>
  </si>
  <si>
    <t>500114446023</t>
  </si>
  <si>
    <t>50-15801</t>
  </si>
  <si>
    <t>ST849</t>
  </si>
  <si>
    <t>LPN010432</t>
  </si>
  <si>
    <t>0000032927</t>
  </si>
  <si>
    <t>LPN010441</t>
  </si>
  <si>
    <t>LPN010412</t>
  </si>
  <si>
    <t>173949</t>
  </si>
  <si>
    <t>LPN010438</t>
  </si>
  <si>
    <t>0000032926</t>
  </si>
  <si>
    <t>51035</t>
  </si>
  <si>
    <t>LPN010416</t>
  </si>
  <si>
    <t>F175288</t>
  </si>
  <si>
    <t>LPN010410</t>
  </si>
  <si>
    <t>PM2517CP</t>
  </si>
  <si>
    <t>LPN010423</t>
  </si>
  <si>
    <t>LPN010458</t>
  </si>
  <si>
    <t>LPN010473</t>
  </si>
  <si>
    <t>LPN010424</t>
  </si>
  <si>
    <t>000200883</t>
  </si>
  <si>
    <t>54-17155</t>
  </si>
  <si>
    <t>LPN011216</t>
  </si>
  <si>
    <t>HY1300049</t>
  </si>
  <si>
    <t>STERIMAR BLOCKED NOSE 50 ML</t>
  </si>
  <si>
    <t>000200884</t>
  </si>
  <si>
    <t>200001776/PCBA-HN</t>
  </si>
  <si>
    <t>FE3304C</t>
  </si>
  <si>
    <t>LPN011217</t>
  </si>
  <si>
    <t>000200889</t>
  </si>
  <si>
    <t>FE3302</t>
  </si>
  <si>
    <t>GZ1103024</t>
  </si>
  <si>
    <t>ALENTA 10MG TAB 10.S</t>
  </si>
  <si>
    <t>000200999</t>
  </si>
  <si>
    <t>VN-22260-19</t>
  </si>
  <si>
    <t>51-404720</t>
  </si>
  <si>
    <t>113T23</t>
  </si>
  <si>
    <t>MG1100059</t>
  </si>
  <si>
    <t>ALVORI 200MG (HOP/3 VI X 10 VIEN)</t>
  </si>
  <si>
    <t>LPN010548</t>
  </si>
  <si>
    <t>520110434523</t>
  </si>
  <si>
    <t>0000032968</t>
  </si>
  <si>
    <t>1405498</t>
  </si>
  <si>
    <t>LPN010452</t>
  </si>
  <si>
    <t>0000033029</t>
  </si>
  <si>
    <t>SW681</t>
  </si>
  <si>
    <t>BE-90001893</t>
  </si>
  <si>
    <t>90001893 CONTOUR TS BLOOD GLUCOSE TEST STRIPS 25.S (QUE THU</t>
  </si>
  <si>
    <t>000201410</t>
  </si>
  <si>
    <t>54-17253</t>
  </si>
  <si>
    <t>DP3LM3F31B</t>
  </si>
  <si>
    <t>000201643</t>
  </si>
  <si>
    <t>50-15905</t>
  </si>
  <si>
    <t>BBX3L002</t>
  </si>
  <si>
    <t>000201750</t>
  </si>
  <si>
    <t>54-17302</t>
  </si>
  <si>
    <t>000201756</t>
  </si>
  <si>
    <t>54-17303</t>
  </si>
  <si>
    <t>FE3274C</t>
  </si>
  <si>
    <t>LPN011218</t>
  </si>
  <si>
    <t>MG1100048</t>
  </si>
  <si>
    <t>PERGLIM M-2 (HOP/5 VI X 20 VIEN)</t>
  </si>
  <si>
    <t>000201893</t>
  </si>
  <si>
    <t>890110035223</t>
  </si>
  <si>
    <t>0000033063</t>
  </si>
  <si>
    <t>A08922519</t>
  </si>
  <si>
    <t>MG1100047</t>
  </si>
  <si>
    <t>PERGLIM M-1 (HOP/5 VI X 20 VIEN)</t>
  </si>
  <si>
    <t>000201892</t>
  </si>
  <si>
    <t>890110035323</t>
  </si>
  <si>
    <t>A08912508</t>
  </si>
  <si>
    <t>MG5200002</t>
  </si>
  <si>
    <t>INSUNOVA -G PEN (HOP/1 BUT TIEM NAP SAN 3ML DUNG DICH THUOC</t>
  </si>
  <si>
    <t>000201967</t>
  </si>
  <si>
    <t>QLSP-907-15</t>
  </si>
  <si>
    <t>51-408370</t>
  </si>
  <si>
    <t>BF24003310</t>
  </si>
  <si>
    <t>000201968</t>
  </si>
  <si>
    <t>BF24003328</t>
  </si>
  <si>
    <t>000202006</t>
  </si>
  <si>
    <t>000202007</t>
  </si>
  <si>
    <t>000202004</t>
  </si>
  <si>
    <t>000202005</t>
  </si>
  <si>
    <t>000202003</t>
  </si>
  <si>
    <t>000202000</t>
  </si>
  <si>
    <t>000201996</t>
  </si>
  <si>
    <t>LPN010492</t>
  </si>
  <si>
    <t>0000033112</t>
  </si>
  <si>
    <t>V2502066</t>
  </si>
  <si>
    <t>LPN010501</t>
  </si>
  <si>
    <t>0000033141</t>
  </si>
  <si>
    <t>SX739</t>
  </si>
  <si>
    <t>LPN010498</t>
  </si>
  <si>
    <t>SX242</t>
  </si>
  <si>
    <t>LPN010508</t>
  </si>
  <si>
    <t>HY6100007</t>
  </si>
  <si>
    <t>OCUVITE LUTEIN TAB 60.S</t>
  </si>
  <si>
    <t>000214604</t>
  </si>
  <si>
    <t>4701/2020/ĐKSP</t>
  </si>
  <si>
    <t>54-17446</t>
  </si>
  <si>
    <t>40005</t>
  </si>
  <si>
    <t>RD1100009</t>
  </si>
  <si>
    <t>ABIRATRED 250MG 120.S</t>
  </si>
  <si>
    <t>000202369</t>
  </si>
  <si>
    <t>890114086523</t>
  </si>
  <si>
    <t>54-17442</t>
  </si>
  <si>
    <t>H2500727</t>
  </si>
  <si>
    <t>000202389</t>
  </si>
  <si>
    <t>LPN011219</t>
  </si>
  <si>
    <t>RD1100017</t>
  </si>
  <si>
    <t>STAMLO-T 80/5MG (HOP/28 VIEN)</t>
  </si>
  <si>
    <t>LPN010518</t>
  </si>
  <si>
    <t>890110125523</t>
  </si>
  <si>
    <t>0000033201</t>
  </si>
  <si>
    <t>V2502056</t>
  </si>
  <si>
    <t>MG1100036</t>
  </si>
  <si>
    <t>BAROLE 20 (HOP/10 VI X 10 VIEN)</t>
  </si>
  <si>
    <t>000203036</t>
  </si>
  <si>
    <t>890110022524</t>
  </si>
  <si>
    <t>0000033186</t>
  </si>
  <si>
    <t>A08872505</t>
  </si>
  <si>
    <t>000203039</t>
  </si>
  <si>
    <t>A08922518</t>
  </si>
  <si>
    <t>000203040</t>
  </si>
  <si>
    <t>000203038</t>
  </si>
  <si>
    <t>MG1100044</t>
  </si>
  <si>
    <t>PANFOR SR-750 (HOP/10 VI X 10 VIEN)</t>
  </si>
  <si>
    <t>000203035</t>
  </si>
  <si>
    <t>VN-20188-16</t>
  </si>
  <si>
    <t>0000033187</t>
  </si>
  <si>
    <t>A08902511</t>
  </si>
  <si>
    <t>MG1100043</t>
  </si>
  <si>
    <t>PANFOR SR-500 (HOP/5 VI X 20 VIEN)</t>
  </si>
  <si>
    <t>000203037</t>
  </si>
  <si>
    <t>890110015924</t>
  </si>
  <si>
    <t>PAF01798</t>
  </si>
  <si>
    <t>HT1100008</t>
  </si>
  <si>
    <t>TELSAR 40 (HOP/ 30 VIEN)</t>
  </si>
  <si>
    <t>LPN010523</t>
  </si>
  <si>
    <t>890110788424</t>
  </si>
  <si>
    <t>0000033235</t>
  </si>
  <si>
    <t>FD255498B</t>
  </si>
  <si>
    <t>000203106</t>
  </si>
  <si>
    <t>51-411400</t>
  </si>
  <si>
    <t>000203140</t>
  </si>
  <si>
    <t>54-17553</t>
  </si>
  <si>
    <t>000188984</t>
  </si>
  <si>
    <t>MRA1415</t>
  </si>
  <si>
    <t>A1415 ACHIEVE PROGRAMMABLE AUTOMATIC BIOPSY SYSTEM 14G X 15.</t>
  </si>
  <si>
    <t>M0003515</t>
  </si>
  <si>
    <t>57-31996</t>
  </si>
  <si>
    <t>I2708594</t>
  </si>
  <si>
    <t>000203231</t>
  </si>
  <si>
    <t>0000033252</t>
  </si>
  <si>
    <t>RH7300267</t>
  </si>
  <si>
    <t>(2023) DAU GOI NGAN RUNG TOC (50 MEGUMI HAIR FALL CONTROL SH</t>
  </si>
  <si>
    <t>000203260</t>
  </si>
  <si>
    <t>54-17583</t>
  </si>
  <si>
    <t>HB01A</t>
  </si>
  <si>
    <t>000203250</t>
  </si>
  <si>
    <t>000203259</t>
  </si>
  <si>
    <t>A08902508</t>
  </si>
  <si>
    <t>000203249</t>
  </si>
  <si>
    <t>000203252</t>
  </si>
  <si>
    <t>000203253</t>
  </si>
  <si>
    <t>000203242</t>
  </si>
  <si>
    <t>000203233</t>
  </si>
  <si>
    <t>000203243</t>
  </si>
  <si>
    <t>000203237</t>
  </si>
  <si>
    <t>000203232</t>
  </si>
  <si>
    <t>000203234</t>
  </si>
  <si>
    <t>000203235</t>
  </si>
  <si>
    <t>40120</t>
  </si>
  <si>
    <t>000203244</t>
  </si>
  <si>
    <t>31948</t>
  </si>
  <si>
    <t>000203251</t>
  </si>
  <si>
    <t>M00184</t>
  </si>
  <si>
    <t>AZ1113001</t>
  </si>
  <si>
    <t>TAGRISSO PA TAB 80MG BL 1X10 EA VN</t>
  </si>
  <si>
    <t>000203230</t>
  </si>
  <si>
    <t>VN3-36-18</t>
  </si>
  <si>
    <t>0000033251</t>
  </si>
  <si>
    <t>FLVS</t>
  </si>
  <si>
    <t>000203246</t>
  </si>
  <si>
    <t>000203247</t>
  </si>
  <si>
    <t>000203241</t>
  </si>
  <si>
    <t>000203240</t>
  </si>
  <si>
    <t>40028</t>
  </si>
  <si>
    <t>000203248</t>
  </si>
  <si>
    <t>40153</t>
  </si>
  <si>
    <t>000203239</t>
  </si>
  <si>
    <t>000203238</t>
  </si>
  <si>
    <t>000203245</t>
  </si>
  <si>
    <t>32022</t>
  </si>
  <si>
    <t>AZ1112001</t>
  </si>
  <si>
    <t>CALQUENCE PA CAP 100MG BL 10X6 EA VN</t>
  </si>
  <si>
    <t>000203229</t>
  </si>
  <si>
    <t>730110017023</t>
  </si>
  <si>
    <t>ABHH</t>
  </si>
  <si>
    <t>000203236</t>
  </si>
  <si>
    <t>LPN010536</t>
  </si>
  <si>
    <t>0000033286</t>
  </si>
  <si>
    <t>51295</t>
  </si>
  <si>
    <t>HT1100045</t>
  </si>
  <si>
    <t>ABACAVIR TABLETS USP 300MG (HOP/1 LO 60 VIEN)</t>
  </si>
  <si>
    <t>LPN010542</t>
  </si>
  <si>
    <t>890110007300</t>
  </si>
  <si>
    <t>0000033307</t>
  </si>
  <si>
    <t>E254148B</t>
  </si>
  <si>
    <t>LPN010543</t>
  </si>
  <si>
    <t>000203579</t>
  </si>
  <si>
    <t>50-16104</t>
  </si>
  <si>
    <t>000203863</t>
  </si>
  <si>
    <t>25G02</t>
  </si>
  <si>
    <t>000203864</t>
  </si>
  <si>
    <t>25G07</t>
  </si>
  <si>
    <t>HY1100002</t>
  </si>
  <si>
    <t>FENOSUP LIDOSE 160 MG(H/30VIEN)</t>
  </si>
  <si>
    <t>LPN010549</t>
  </si>
  <si>
    <t>540110076523</t>
  </si>
  <si>
    <t>0000033384</t>
  </si>
  <si>
    <t>LPN010564</t>
  </si>
  <si>
    <t>0000033370</t>
  </si>
  <si>
    <t>51023</t>
  </si>
  <si>
    <t>LPN010567</t>
  </si>
  <si>
    <t>LPN010574</t>
  </si>
  <si>
    <t>LPN010747</t>
  </si>
  <si>
    <t>LPN010854</t>
  </si>
  <si>
    <t>LPN010551</t>
  </si>
  <si>
    <t>51024</t>
  </si>
  <si>
    <t>LPN010558</t>
  </si>
  <si>
    <t>LPN010565</t>
  </si>
  <si>
    <t>LPN010568</t>
  </si>
  <si>
    <t>000204101</t>
  </si>
  <si>
    <t>0000033288</t>
  </si>
  <si>
    <t>A08922521</t>
  </si>
  <si>
    <t>000204096</t>
  </si>
  <si>
    <t>000204100</t>
  </si>
  <si>
    <t>A08922520</t>
  </si>
  <si>
    <t>000204099</t>
  </si>
  <si>
    <t>000204097</t>
  </si>
  <si>
    <t>A08912509</t>
  </si>
  <si>
    <t>000204098</t>
  </si>
  <si>
    <t>A08912510</t>
  </si>
  <si>
    <t>HT1100044</t>
  </si>
  <si>
    <t>RITOCOM (HOP/1 LO 120 VIEN)</t>
  </si>
  <si>
    <t>LPN010554</t>
  </si>
  <si>
    <t>890110353124</t>
  </si>
  <si>
    <t>0000033375</t>
  </si>
  <si>
    <t>E254161C</t>
  </si>
  <si>
    <t>LPN010553</t>
  </si>
  <si>
    <t>E254161B</t>
  </si>
  <si>
    <t>LPN010584</t>
  </si>
  <si>
    <t>000204189</t>
  </si>
  <si>
    <t>51-414684</t>
  </si>
  <si>
    <t>000204217</t>
  </si>
  <si>
    <t>54-17731</t>
  </si>
  <si>
    <t>111449713</t>
  </si>
  <si>
    <t>JJENC403012</t>
  </si>
  <si>
    <t>ENTERPRISE2 4MMX30MM</t>
  </si>
  <si>
    <t>LPN010717</t>
  </si>
  <si>
    <t>57-32241</t>
  </si>
  <si>
    <t>8028682</t>
  </si>
  <si>
    <t>LPN010573</t>
  </si>
  <si>
    <t>0000033435</t>
  </si>
  <si>
    <t>E254605</t>
  </si>
  <si>
    <t>AZ1112005</t>
  </si>
  <si>
    <t>TAGRISSO PA TAB 80MG BL 3X10 EA VN</t>
  </si>
  <si>
    <t>000204687</t>
  </si>
  <si>
    <t>0000033477</t>
  </si>
  <si>
    <t>FLWX</t>
  </si>
  <si>
    <t>000204688</t>
  </si>
  <si>
    <t>FMDF</t>
  </si>
  <si>
    <t>000204710</t>
  </si>
  <si>
    <t>001110403323</t>
  </si>
  <si>
    <t>0000033479</t>
  </si>
  <si>
    <t>SN711</t>
  </si>
  <si>
    <t>LPN010575</t>
  </si>
  <si>
    <t>0000033480</t>
  </si>
  <si>
    <t>E254607</t>
  </si>
  <si>
    <t>000204953</t>
  </si>
  <si>
    <t>50-16232</t>
  </si>
  <si>
    <t>ST259</t>
  </si>
  <si>
    <t>000205002</t>
  </si>
  <si>
    <t>1224270</t>
  </si>
  <si>
    <t>LPN010590</t>
  </si>
  <si>
    <t>0000033490</t>
  </si>
  <si>
    <t>E253992</t>
  </si>
  <si>
    <t>LPN010658</t>
  </si>
  <si>
    <t>0000033491</t>
  </si>
  <si>
    <t>LPN010623</t>
  </si>
  <si>
    <t>LPN010804</t>
  </si>
  <si>
    <t>LPN010815</t>
  </si>
  <si>
    <t>LPN010755</t>
  </si>
  <si>
    <t>LPN010781</t>
  </si>
  <si>
    <t>LPN010722</t>
  </si>
  <si>
    <t>LPN010746</t>
  </si>
  <si>
    <t>AZ1112007</t>
  </si>
  <si>
    <t>NEXIUM MUPS TAB 20MG BL 2X7 EA VN</t>
  </si>
  <si>
    <t>LPN010994</t>
  </si>
  <si>
    <t>VN-19783-16</t>
  </si>
  <si>
    <t>54-17879</t>
  </si>
  <si>
    <t>ZEXB</t>
  </si>
  <si>
    <t>NV1100075</t>
  </si>
  <si>
    <t>ESTOR TAB 40MG 4x7 .S</t>
  </si>
  <si>
    <t>000205334</t>
  </si>
  <si>
    <t>VN-18081-14</t>
  </si>
  <si>
    <t>54-17908</t>
  </si>
  <si>
    <t>PR9895</t>
  </si>
  <si>
    <t>HY1300010</t>
  </si>
  <si>
    <t>LOTEMAX 5ML (H/1)</t>
  </si>
  <si>
    <t>000205333</t>
  </si>
  <si>
    <t>VN-18326-14</t>
  </si>
  <si>
    <t>501541</t>
  </si>
  <si>
    <t>000205408</t>
  </si>
  <si>
    <t>0000033538</t>
  </si>
  <si>
    <t>RD1100011</t>
  </si>
  <si>
    <t>RIVAXORED 10MG (HOP/1VI X 10VIEN)</t>
  </si>
  <si>
    <t>LPN011294</t>
  </si>
  <si>
    <t>VN-22641-20</t>
  </si>
  <si>
    <t>0000033541</t>
  </si>
  <si>
    <t>B2503290</t>
  </si>
  <si>
    <t>000205776</t>
  </si>
  <si>
    <t>0000033573</t>
  </si>
  <si>
    <t>000205777</t>
  </si>
  <si>
    <t>A08882501</t>
  </si>
  <si>
    <t>000205954</t>
  </si>
  <si>
    <t>LPN010698</t>
  </si>
  <si>
    <t>890110994224</t>
  </si>
  <si>
    <t>0000033626</t>
  </si>
  <si>
    <t>B2503423</t>
  </si>
  <si>
    <t>DV1100320</t>
  </si>
  <si>
    <t>JANUS-30 (HOP/8 VIEN) - EU</t>
  </si>
  <si>
    <t>000206015</t>
  </si>
  <si>
    <t>VD-35712-22</t>
  </si>
  <si>
    <t>51-419040</t>
  </si>
  <si>
    <t>240480</t>
  </si>
  <si>
    <t>DV1100319</t>
  </si>
  <si>
    <t>JANUS-60 (HOP/8 VIEN) - EU</t>
  </si>
  <si>
    <t>000206016</t>
  </si>
  <si>
    <t>VD-35713-22</t>
  </si>
  <si>
    <t>240347</t>
  </si>
  <si>
    <t>TT1300093</t>
  </si>
  <si>
    <t>NHAN PHU - THUC PHAM BAO VE SUC KHOE WELLKID MULTI-VITAMIN L</t>
  </si>
  <si>
    <t>000206136</t>
  </si>
  <si>
    <t>TT1300048</t>
  </si>
  <si>
    <t>NHAN PHU - FEROGLOBIN LIQUID 200ML (UY THAC VE)</t>
  </si>
  <si>
    <t>000206137</t>
  </si>
  <si>
    <t>LPN010597</t>
  </si>
  <si>
    <t>0000033646</t>
  </si>
  <si>
    <t>51034</t>
  </si>
  <si>
    <t>LPN010600</t>
  </si>
  <si>
    <t>174337</t>
  </si>
  <si>
    <t>LPN010621</t>
  </si>
  <si>
    <t>51235</t>
  </si>
  <si>
    <t>LPN010615</t>
  </si>
  <si>
    <t>PB2529CP</t>
  </si>
  <si>
    <t>LPN010632</t>
  </si>
  <si>
    <t>LPN010643</t>
  </si>
  <si>
    <t>LPN010644</t>
  </si>
  <si>
    <t>LPN010594</t>
  </si>
  <si>
    <t>LPN010601</t>
  </si>
  <si>
    <t>51108</t>
  </si>
  <si>
    <t>MG5300001</t>
  </si>
  <si>
    <t>EASYEF HOP/1 BO 10ML (BOM TIEM CHUA 1ML DUNG DICH THUOC + LO</t>
  </si>
  <si>
    <t>000206174</t>
  </si>
  <si>
    <t>QLSP-860-15</t>
  </si>
  <si>
    <t>51-419308</t>
  </si>
  <si>
    <t>B07850</t>
  </si>
  <si>
    <t>GZ1106002</t>
  </si>
  <si>
    <t>MEBEVER MR 200MG CAPS 10.S</t>
  </si>
  <si>
    <t>000206140</t>
  </si>
  <si>
    <t>VN-10704-10</t>
  </si>
  <si>
    <t>0000033648</t>
  </si>
  <si>
    <t>219C31</t>
  </si>
  <si>
    <t>000206141</t>
  </si>
  <si>
    <t>218C31</t>
  </si>
  <si>
    <t>GZ1301002</t>
  </si>
  <si>
    <t>SALBOGET PRESSURISED INHALATION 100MCG</t>
  </si>
  <si>
    <t>LPN010605</t>
  </si>
  <si>
    <t>896115206723</t>
  </si>
  <si>
    <t>0000033651</t>
  </si>
  <si>
    <t>585M04</t>
  </si>
  <si>
    <t>LPN010648</t>
  </si>
  <si>
    <t>0000033677</t>
  </si>
  <si>
    <t>PB2528CP</t>
  </si>
  <si>
    <t>LPN010768</t>
  </si>
  <si>
    <t>LPN010721</t>
  </si>
  <si>
    <t>LPN010748</t>
  </si>
  <si>
    <t>LPN010767</t>
  </si>
  <si>
    <t>PM2519CP</t>
  </si>
  <si>
    <t>LPN010674</t>
  </si>
  <si>
    <t>LPN010679</t>
  </si>
  <si>
    <t>HY7300009</t>
  </si>
  <si>
    <t>TDF POST PEEL NEUTRALIZER 1L</t>
  </si>
  <si>
    <t>LPN010727</t>
  </si>
  <si>
    <t>239426/24/CBMP-QLD</t>
  </si>
  <si>
    <t>54-18081</t>
  </si>
  <si>
    <t>XN0477</t>
  </si>
  <si>
    <t>000206342</t>
  </si>
  <si>
    <t>400100014224</t>
  </si>
  <si>
    <t>54-18079</t>
  </si>
  <si>
    <t>2564802</t>
  </si>
  <si>
    <t>000206343</t>
  </si>
  <si>
    <t>0000033597</t>
  </si>
  <si>
    <t>SK052</t>
  </si>
  <si>
    <t>000206344</t>
  </si>
  <si>
    <t>SN710</t>
  </si>
  <si>
    <t>LPN010691</t>
  </si>
  <si>
    <t>LPN010612</t>
  </si>
  <si>
    <t>0000033690</t>
  </si>
  <si>
    <t>471612</t>
  </si>
  <si>
    <t>000206850</t>
  </si>
  <si>
    <t>51-420340</t>
  </si>
  <si>
    <t>B07946</t>
  </si>
  <si>
    <t>LPN010680</t>
  </si>
  <si>
    <t>0000033731</t>
  </si>
  <si>
    <t>477851</t>
  </si>
  <si>
    <t>AZ1312001</t>
  </si>
  <si>
    <t>PULMICORT RESPULES 500MCG.2ML 20X2ML VN</t>
  </si>
  <si>
    <t>000207074</t>
  </si>
  <si>
    <t>VN-22715-21</t>
  </si>
  <si>
    <t>0000033737</t>
  </si>
  <si>
    <t>331132</t>
  </si>
  <si>
    <t>000207151</t>
  </si>
  <si>
    <t>50-16433</t>
  </si>
  <si>
    <t>2452701</t>
  </si>
  <si>
    <t>RD1200014</t>
  </si>
  <si>
    <t>CASPOFUNGIN ACETATE 70MG (H/1 LO)</t>
  </si>
  <si>
    <t>QC1-01-4-1</t>
  </si>
  <si>
    <t>LPN011297</t>
  </si>
  <si>
    <t>VN-22393-19</t>
  </si>
  <si>
    <t>50-16443</t>
  </si>
  <si>
    <t>A1490012</t>
  </si>
  <si>
    <t>TT1300414</t>
  </si>
  <si>
    <t>NHAN PHU - DYNETIC 35</t>
  </si>
  <si>
    <t>000207166</t>
  </si>
  <si>
    <t>000207333</t>
  </si>
  <si>
    <t>7777/2022/DKSP</t>
  </si>
  <si>
    <t>54-18194</t>
  </si>
  <si>
    <t>000207323</t>
  </si>
  <si>
    <t>000207427</t>
  </si>
  <si>
    <t>0000033798</t>
  </si>
  <si>
    <t>SV977</t>
  </si>
  <si>
    <t>000207441</t>
  </si>
  <si>
    <t>000207443</t>
  </si>
  <si>
    <t>000207442</t>
  </si>
  <si>
    <t>LPN010728</t>
  </si>
  <si>
    <t>54-18218</t>
  </si>
  <si>
    <t>LPN010756</t>
  </si>
  <si>
    <t>0000033831</t>
  </si>
  <si>
    <t>B2503424</t>
  </si>
  <si>
    <t>LPN010759</t>
  </si>
  <si>
    <t>HY1100013</t>
  </si>
  <si>
    <t>RUPAFIN (ORAL SOLUTION 120ML)</t>
  </si>
  <si>
    <t>LPN010659</t>
  </si>
  <si>
    <t>840110447523</t>
  </si>
  <si>
    <t>0000033826</t>
  </si>
  <si>
    <t>25510</t>
  </si>
  <si>
    <t>54-18272</t>
  </si>
  <si>
    <t>000207755</t>
  </si>
  <si>
    <t>0000033832</t>
  </si>
  <si>
    <t>NV1100070</t>
  </si>
  <si>
    <t>COFIDEC TAB 20.S</t>
  </si>
  <si>
    <t>000207753</t>
  </si>
  <si>
    <t>VN-16821-13</t>
  </si>
  <si>
    <t>51-422207</t>
  </si>
  <si>
    <t>PD7990</t>
  </si>
  <si>
    <t>000207777</t>
  </si>
  <si>
    <t>0000033833</t>
  </si>
  <si>
    <t>000207776</t>
  </si>
  <si>
    <t>000208124</t>
  </si>
  <si>
    <t>0000033867</t>
  </si>
  <si>
    <t>BA1313005</t>
  </si>
  <si>
    <t>VO HOP THU HOI TAGRISSO PA TAB 40MG BL 3X10 EA VN</t>
  </si>
  <si>
    <t>000208154</t>
  </si>
  <si>
    <t>0000033909</t>
  </si>
  <si>
    <t>BA1313002</t>
  </si>
  <si>
    <t>VO HOP THU HOI TAGRISSO PA TAB 80MG BL 3X10 EA VN</t>
  </si>
  <si>
    <t>Q26-01-7-1</t>
  </si>
  <si>
    <t>000208155</t>
  </si>
  <si>
    <t>0000033910</t>
  </si>
  <si>
    <t>000208205</t>
  </si>
  <si>
    <t>54-18318</t>
  </si>
  <si>
    <t>RH1300051</t>
  </si>
  <si>
    <t>THUOC NHO MAT (NEW V-ROHTO) 13ML</t>
  </si>
  <si>
    <t>Q26-03-1-1</t>
  </si>
  <si>
    <t>000208670</t>
  </si>
  <si>
    <t>VD-20092-13</t>
  </si>
  <si>
    <t>51-423485</t>
  </si>
  <si>
    <t>JA02-3</t>
  </si>
  <si>
    <t>Q27-03-6-1</t>
  </si>
  <si>
    <t>000208599</t>
  </si>
  <si>
    <t>0000033944</t>
  </si>
  <si>
    <t>000208600</t>
  </si>
  <si>
    <t>000208591</t>
  </si>
  <si>
    <t>000208561</t>
  </si>
  <si>
    <t>000208564</t>
  </si>
  <si>
    <t>000208605</t>
  </si>
  <si>
    <t>000208583</t>
  </si>
  <si>
    <t>000208597</t>
  </si>
  <si>
    <t>000208588</t>
  </si>
  <si>
    <t>000208626</t>
  </si>
  <si>
    <t>000208586</t>
  </si>
  <si>
    <t>000208628</t>
  </si>
  <si>
    <t>000208624</t>
  </si>
  <si>
    <t>000208589</t>
  </si>
  <si>
    <t>000208596</t>
  </si>
  <si>
    <t>000208602</t>
  </si>
  <si>
    <t>000208623</t>
  </si>
  <si>
    <t>000208590</t>
  </si>
  <si>
    <t>000208601</t>
  </si>
  <si>
    <t>000208592</t>
  </si>
  <si>
    <t>000208595</t>
  </si>
  <si>
    <t>000208629</t>
  </si>
  <si>
    <t>000208593</t>
  </si>
  <si>
    <t>000208625</t>
  </si>
  <si>
    <t>41404</t>
  </si>
  <si>
    <t>000208587</t>
  </si>
  <si>
    <t>000208598</t>
  </si>
  <si>
    <t>000208627</t>
  </si>
  <si>
    <t>000208603</t>
  </si>
  <si>
    <t>000208585</t>
  </si>
  <si>
    <t>000208594</t>
  </si>
  <si>
    <t>000208580</t>
  </si>
  <si>
    <t>000208630</t>
  </si>
  <si>
    <t>000208567</t>
  </si>
  <si>
    <t>000208633</t>
  </si>
  <si>
    <t>000208565</t>
  </si>
  <si>
    <t>000208570</t>
  </si>
  <si>
    <t>000208571</t>
  </si>
  <si>
    <t>000208631</t>
  </si>
  <si>
    <t>000208604</t>
  </si>
  <si>
    <t>000208578</t>
  </si>
  <si>
    <t>000208576</t>
  </si>
  <si>
    <t>000208573</t>
  </si>
  <si>
    <t>000208566</t>
  </si>
  <si>
    <t>000208572</t>
  </si>
  <si>
    <t>000208562</t>
  </si>
  <si>
    <t>000208632</t>
  </si>
  <si>
    <t>000208584</t>
  </si>
  <si>
    <t>000208581</t>
  </si>
  <si>
    <t>000208611</t>
  </si>
  <si>
    <t>000208606</t>
  </si>
  <si>
    <t>000208636</t>
  </si>
  <si>
    <t>000208614</t>
  </si>
  <si>
    <t>000208563</t>
  </si>
  <si>
    <t>000208618</t>
  </si>
  <si>
    <t>000208635</t>
  </si>
  <si>
    <t>000208574</t>
  </si>
  <si>
    <t>000208622</t>
  </si>
  <si>
    <t>000208615</t>
  </si>
  <si>
    <t>000208621</t>
  </si>
  <si>
    <t>000208582</t>
  </si>
  <si>
    <t>000208577</t>
  </si>
  <si>
    <t>000208575</t>
  </si>
  <si>
    <t>000208579</t>
  </si>
  <si>
    <t>000208610</t>
  </si>
  <si>
    <t>000208620</t>
  </si>
  <si>
    <t>50832</t>
  </si>
  <si>
    <t>000208612</t>
  </si>
  <si>
    <t>000208608</t>
  </si>
  <si>
    <t>000208607</t>
  </si>
  <si>
    <t>000208616</t>
  </si>
  <si>
    <t>000208634</t>
  </si>
  <si>
    <t>000208613</t>
  </si>
  <si>
    <t>000208617</t>
  </si>
  <si>
    <t>LV2501P</t>
  </si>
  <si>
    <t>000208619</t>
  </si>
  <si>
    <t>000208569</t>
  </si>
  <si>
    <t>000208568</t>
  </si>
  <si>
    <t>000208609</t>
  </si>
  <si>
    <t>TT1300612</t>
  </si>
  <si>
    <t>TOA TORPACE 5 - TORRENT</t>
  </si>
  <si>
    <t>000208864</t>
  </si>
  <si>
    <t>000209025</t>
  </si>
  <si>
    <t>RH7300171</t>
  </si>
  <si>
    <t>DAU GOI CHONG GAU (SELSUN ANTI-DANDRUFF SHAMPOO WITH SELENIU</t>
  </si>
  <si>
    <t>000208929</t>
  </si>
  <si>
    <t>51-424248</t>
  </si>
  <si>
    <t>EB01V2</t>
  </si>
  <si>
    <t>000208903</t>
  </si>
  <si>
    <t>0000033966</t>
  </si>
  <si>
    <t>A08902512</t>
  </si>
  <si>
    <t>000209029</t>
  </si>
  <si>
    <t>0000034002</t>
  </si>
  <si>
    <t>SC6100006</t>
  </si>
  <si>
    <t>DIABETONE (H/30 VIEN)</t>
  </si>
  <si>
    <t>000209032</t>
  </si>
  <si>
    <t>125/2020/ĐKSP</t>
  </si>
  <si>
    <t>191036</t>
  </si>
  <si>
    <t>000209031</t>
  </si>
  <si>
    <t>163763</t>
  </si>
  <si>
    <t>000209033</t>
  </si>
  <si>
    <t>000209030</t>
  </si>
  <si>
    <t>HY7300057</t>
  </si>
  <si>
    <t>CERADAN SKIN BARRIER REPAIR CREAM 10G</t>
  </si>
  <si>
    <t>000209035</t>
  </si>
  <si>
    <t>199533/23/CBMP-QLD</t>
  </si>
  <si>
    <t>57-33026</t>
  </si>
  <si>
    <t>131011</t>
  </si>
  <si>
    <t>000209148</t>
  </si>
  <si>
    <t>0000034012</t>
  </si>
  <si>
    <t>000209147</t>
  </si>
  <si>
    <t>000209151</t>
  </si>
  <si>
    <t>000209149</t>
  </si>
  <si>
    <t>000209152</t>
  </si>
  <si>
    <t>000209153</t>
  </si>
  <si>
    <t>000209143</t>
  </si>
  <si>
    <t>000209145</t>
  </si>
  <si>
    <t>000209144</t>
  </si>
  <si>
    <t>000209146</t>
  </si>
  <si>
    <t>000209142</t>
  </si>
  <si>
    <t>000209150</t>
  </si>
  <si>
    <t>LPN010851</t>
  </si>
  <si>
    <t>0000034016</t>
  </si>
  <si>
    <t>PFT2505A</t>
  </si>
  <si>
    <t>LPN010903</t>
  </si>
  <si>
    <t>FW2518TA</t>
  </si>
  <si>
    <t>LPN010990</t>
  </si>
  <si>
    <t>LPN010995</t>
  </si>
  <si>
    <t>LPN010919</t>
  </si>
  <si>
    <t>LPN010939</t>
  </si>
  <si>
    <t>LPN010941</t>
  </si>
  <si>
    <t>LPN010942</t>
  </si>
  <si>
    <t>LPN011027</t>
  </si>
  <si>
    <t>LPN010753</t>
  </si>
  <si>
    <t>51137</t>
  </si>
  <si>
    <t>LPN010739</t>
  </si>
  <si>
    <t>LPN010773</t>
  </si>
  <si>
    <t>51271</t>
  </si>
  <si>
    <t>LPN010742</t>
  </si>
  <si>
    <t>000209379</t>
  </si>
  <si>
    <t>51-425231</t>
  </si>
  <si>
    <t>V2501712</t>
  </si>
  <si>
    <t>000209432</t>
  </si>
  <si>
    <t>51-425445</t>
  </si>
  <si>
    <t>000209433</t>
  </si>
  <si>
    <t>0000034026</t>
  </si>
  <si>
    <t>000209434</t>
  </si>
  <si>
    <t>A08912511</t>
  </si>
  <si>
    <t>DV1100350</t>
  </si>
  <si>
    <t>ZOLAFREN (5MG) (HOP/28 VIEN) - EU</t>
  </si>
  <si>
    <t>LPN010705</t>
  </si>
  <si>
    <t>590110019723</t>
  </si>
  <si>
    <t>0000034052</t>
  </si>
  <si>
    <t>13595954</t>
  </si>
  <si>
    <t>LPN010711</t>
  </si>
  <si>
    <t>0000034051</t>
  </si>
  <si>
    <t>V2502447</t>
  </si>
  <si>
    <t>LPN010744</t>
  </si>
  <si>
    <t>0000034054</t>
  </si>
  <si>
    <t>V2502457</t>
  </si>
  <si>
    <t>LPN010719</t>
  </si>
  <si>
    <t>V2502454</t>
  </si>
  <si>
    <t>LPN010710</t>
  </si>
  <si>
    <t>V2502453</t>
  </si>
  <si>
    <t>RD1100012</t>
  </si>
  <si>
    <t>RIVAXORED 15MG (HOP/1VI X 14VIEN)</t>
  </si>
  <si>
    <t>LPN011295</t>
  </si>
  <si>
    <t>VN-22642-20</t>
  </si>
  <si>
    <t>0000034055</t>
  </si>
  <si>
    <t>B2503647</t>
  </si>
  <si>
    <t>AZ1112002</t>
  </si>
  <si>
    <t>LYNPARZA PA TAB 100MG BL 7X8 EA VN</t>
  </si>
  <si>
    <t>000209531</t>
  </si>
  <si>
    <t>001110403223</t>
  </si>
  <si>
    <t>0000034058</t>
  </si>
  <si>
    <t>ST331</t>
  </si>
  <si>
    <t>000209604</t>
  </si>
  <si>
    <t>BA1313007</t>
  </si>
  <si>
    <t>VO HOP THU HOI LYNPARZA PA TAB 150MG BL 7X8 EA VN</t>
  </si>
  <si>
    <t>000209609</t>
  </si>
  <si>
    <t>0000034070</t>
  </si>
  <si>
    <t>BA1313006</t>
  </si>
  <si>
    <t>VO HOP THU HOI LYNPARZA PA TAB 100MG BL 7X8 EA VN</t>
  </si>
  <si>
    <t>000209613</t>
  </si>
  <si>
    <t>0000034072</t>
  </si>
  <si>
    <t>LPN010733</t>
  </si>
  <si>
    <t>0000034062</t>
  </si>
  <si>
    <t>V2502446</t>
  </si>
  <si>
    <t>LPN010734</t>
  </si>
  <si>
    <t>000209686</t>
  </si>
  <si>
    <t>0000034077</t>
  </si>
  <si>
    <t>BK364505</t>
  </si>
  <si>
    <t>ORSIRO 2.25/26</t>
  </si>
  <si>
    <t>M0003650</t>
  </si>
  <si>
    <t>57-33160</t>
  </si>
  <si>
    <t>01232129</t>
  </si>
  <si>
    <t>BK364483</t>
  </si>
  <si>
    <t>ORSIRO 2.75/15</t>
  </si>
  <si>
    <t>03232967</t>
  </si>
  <si>
    <t>BK364491</t>
  </si>
  <si>
    <t>ORSIRO 3.5/18</t>
  </si>
  <si>
    <t>02231410</t>
  </si>
  <si>
    <t>BK364516</t>
  </si>
  <si>
    <t>ORSIRO 4.0/30</t>
  </si>
  <si>
    <t>01231860</t>
  </si>
  <si>
    <t>BK364485</t>
  </si>
  <si>
    <t>ORSIRO 3.5/15</t>
  </si>
  <si>
    <t>03234510</t>
  </si>
  <si>
    <t>BE-90001894</t>
  </si>
  <si>
    <t>90001894 CONTOUR TS BLOOD GLUCOSE TEST STRIPS 50.S(QUE THU D</t>
  </si>
  <si>
    <t>LPN010703</t>
  </si>
  <si>
    <t>2504506ĐKLH/HTTB-ĐKKD</t>
  </si>
  <si>
    <t>0000033996</t>
  </si>
  <si>
    <t>DP5HM3F01B</t>
  </si>
  <si>
    <t>TT1300613</t>
  </si>
  <si>
    <t>NHAN PHU CERADAN HYDRA MOISTURISER 80G</t>
  </si>
  <si>
    <t>000209746</t>
  </si>
  <si>
    <t>000210071</t>
  </si>
  <si>
    <t>51-426717</t>
  </si>
  <si>
    <t>V2501698</t>
  </si>
  <si>
    <t>JJENC402312</t>
  </si>
  <si>
    <t>ENTERPRISE2 4MMX23MM</t>
  </si>
  <si>
    <t>M0003671</t>
  </si>
  <si>
    <t>57-33302</t>
  </si>
  <si>
    <t>8219123</t>
  </si>
  <si>
    <t>JJ640CF0620</t>
  </si>
  <si>
    <t>640CF0620 VONG XOAN KIM LOAI ORBIT GALAXY</t>
  </si>
  <si>
    <t>M0003673</t>
  </si>
  <si>
    <t>50-16742</t>
  </si>
  <si>
    <t>31540328</t>
  </si>
  <si>
    <t>LPN010934</t>
  </si>
  <si>
    <t>0000034179</t>
  </si>
  <si>
    <t>51330</t>
  </si>
  <si>
    <t>LPN010940</t>
  </si>
  <si>
    <t>LPN011026</t>
  </si>
  <si>
    <t>LPN011046</t>
  </si>
  <si>
    <t>LPN011038</t>
  </si>
  <si>
    <t>LV2506P</t>
  </si>
  <si>
    <t>LPN010832</t>
  </si>
  <si>
    <t>50963</t>
  </si>
  <si>
    <t>LPN010860</t>
  </si>
  <si>
    <t>LPN011003</t>
  </si>
  <si>
    <t>LPN010800</t>
  </si>
  <si>
    <t>51340</t>
  </si>
  <si>
    <t>000210447</t>
  </si>
  <si>
    <t>51-427906</t>
  </si>
  <si>
    <t>000210420</t>
  </si>
  <si>
    <t>54-18736</t>
  </si>
  <si>
    <t>000210378</t>
  </si>
  <si>
    <t>0000034166</t>
  </si>
  <si>
    <t>LPN010801</t>
  </si>
  <si>
    <t>0000034199</t>
  </si>
  <si>
    <t>OT2508P</t>
  </si>
  <si>
    <t>LPN010786</t>
  </si>
  <si>
    <t>LPN010795</t>
  </si>
  <si>
    <t>OT2507P</t>
  </si>
  <si>
    <t>LPN010775</t>
  </si>
  <si>
    <t>000210667</t>
  </si>
  <si>
    <t>0000034221</t>
  </si>
  <si>
    <t>SV892</t>
  </si>
  <si>
    <t>WO1100005</t>
  </si>
  <si>
    <t>ALFA – LIPOGAMMA 600 ORAL BOX/30.S</t>
  </si>
  <si>
    <t>LPN010778</t>
  </si>
  <si>
    <t>400110416923</t>
  </si>
  <si>
    <t>0000034227</t>
  </si>
  <si>
    <t>455012</t>
  </si>
  <si>
    <t>WO1200002</t>
  </si>
  <si>
    <t>MILGAMMA N INJ 2ML 5.S</t>
  </si>
  <si>
    <t>000210833</t>
  </si>
  <si>
    <t>400100083323</t>
  </si>
  <si>
    <t>54-18801</t>
  </si>
  <si>
    <t>50811C</t>
  </si>
  <si>
    <t>LPN011220</t>
  </si>
  <si>
    <t>0000034267</t>
  </si>
  <si>
    <t>FE3274B</t>
  </si>
  <si>
    <t>000210928</t>
  </si>
  <si>
    <t>0000034254</t>
  </si>
  <si>
    <t>A08872506</t>
  </si>
  <si>
    <t>000211012</t>
  </si>
  <si>
    <t>51-429093</t>
  </si>
  <si>
    <t>K250095</t>
  </si>
  <si>
    <t>RD1100029</t>
  </si>
  <si>
    <t>HISTALONG L 5MG (HOP/20 VIEN)</t>
  </si>
  <si>
    <t>LPN010826</t>
  </si>
  <si>
    <t>VN-22214-19</t>
  </si>
  <si>
    <t>0000034277</t>
  </si>
  <si>
    <t>V2502524</t>
  </si>
  <si>
    <t>LPN010833</t>
  </si>
  <si>
    <t>V2502526</t>
  </si>
  <si>
    <t>LPN011291</t>
  </si>
  <si>
    <t>LPN010828</t>
  </si>
  <si>
    <t>V2502525</t>
  </si>
  <si>
    <t>000211022</t>
  </si>
  <si>
    <t>000210950</t>
  </si>
  <si>
    <t>54-18830</t>
  </si>
  <si>
    <t>HY1300044</t>
  </si>
  <si>
    <t>STERIMAR NOSE HYGIENE BABY 50 ML</t>
  </si>
  <si>
    <t>000211082</t>
  </si>
  <si>
    <t>200001770/PCBA-HN</t>
  </si>
  <si>
    <t>54-18832</t>
  </si>
  <si>
    <t>FE4025B</t>
  </si>
  <si>
    <t>000211121</t>
  </si>
  <si>
    <t>51-429435</t>
  </si>
  <si>
    <t>LPN010813</t>
  </si>
  <si>
    <t>0000034293</t>
  </si>
  <si>
    <t>51407</t>
  </si>
  <si>
    <t>MY1100010</t>
  </si>
  <si>
    <t>TANAKAN 40MG 30TABS VN (0302A011_NEW)</t>
  </si>
  <si>
    <t>000211586</t>
  </si>
  <si>
    <t>0000034330</t>
  </si>
  <si>
    <t>D75637</t>
  </si>
  <si>
    <t>MG1100038</t>
  </si>
  <si>
    <t>COLESTRIM SUPRA 145MG (HOP/3 VI X 10 VIEN)</t>
  </si>
  <si>
    <t>000211588</t>
  </si>
  <si>
    <t>300110411123</t>
  </si>
  <si>
    <t>0000034309</t>
  </si>
  <si>
    <t>51466</t>
  </si>
  <si>
    <t>000211587</t>
  </si>
  <si>
    <t>000211589</t>
  </si>
  <si>
    <t>000211783</t>
  </si>
  <si>
    <t>51-430475</t>
  </si>
  <si>
    <t>A08922506</t>
  </si>
  <si>
    <t>LPN010846</t>
  </si>
  <si>
    <t>890110030325</t>
  </si>
  <si>
    <t>0000034396</t>
  </si>
  <si>
    <t>FD257587B</t>
  </si>
  <si>
    <t>000211912</t>
  </si>
  <si>
    <t>54-18964</t>
  </si>
  <si>
    <t>000211913</t>
  </si>
  <si>
    <t>000211915</t>
  </si>
  <si>
    <t>LPN010850</t>
  </si>
  <si>
    <t>000212099</t>
  </si>
  <si>
    <t>54-18999</t>
  </si>
  <si>
    <t>000212098</t>
  </si>
  <si>
    <t>000212269</t>
  </si>
  <si>
    <t>54-19019</t>
  </si>
  <si>
    <t>31238C/1</t>
  </si>
  <si>
    <t>000212270</t>
  </si>
  <si>
    <t>000212268</t>
  </si>
  <si>
    <t>Q27-03-7-2</t>
  </si>
  <si>
    <t>000212261</t>
  </si>
  <si>
    <t>0000034167</t>
  </si>
  <si>
    <t>000212212</t>
  </si>
  <si>
    <t>000212255</t>
  </si>
  <si>
    <t>000212224</t>
  </si>
  <si>
    <t>000212235</t>
  </si>
  <si>
    <t>000212225</t>
  </si>
  <si>
    <t>000212237</t>
  </si>
  <si>
    <t>000212249</t>
  </si>
  <si>
    <t>000212200</t>
  </si>
  <si>
    <t>000212219</t>
  </si>
  <si>
    <t>000212254</t>
  </si>
  <si>
    <t>000212252</t>
  </si>
  <si>
    <t>000212244</t>
  </si>
  <si>
    <t>000212262</t>
  </si>
  <si>
    <t>000212257</t>
  </si>
  <si>
    <t>000212265</t>
  </si>
  <si>
    <t>000212247</t>
  </si>
  <si>
    <t>000212228</t>
  </si>
  <si>
    <t>000212229</t>
  </si>
  <si>
    <t>000212205</t>
  </si>
  <si>
    <t>000212236</t>
  </si>
  <si>
    <t>000212202</t>
  </si>
  <si>
    <t>000212196</t>
  </si>
  <si>
    <t>000212251</t>
  </si>
  <si>
    <t>000212214</t>
  </si>
  <si>
    <t>000212250</t>
  </si>
  <si>
    <t>000212223</t>
  </si>
  <si>
    <t>000212242</t>
  </si>
  <si>
    <t>000212209</t>
  </si>
  <si>
    <t>000212264</t>
  </si>
  <si>
    <t>000212207</t>
  </si>
  <si>
    <t>000212222</t>
  </si>
  <si>
    <t>000212195</t>
  </si>
  <si>
    <t>000212193</t>
  </si>
  <si>
    <t>000212194</t>
  </si>
  <si>
    <t>000212243</t>
  </si>
  <si>
    <t>000212246</t>
  </si>
  <si>
    <t>000212217</t>
  </si>
  <si>
    <t>000212259</t>
  </si>
  <si>
    <t>000212248</t>
  </si>
  <si>
    <t>000212245</t>
  </si>
  <si>
    <t>000212227</t>
  </si>
  <si>
    <t>000212203</t>
  </si>
  <si>
    <t>000212233</t>
  </si>
  <si>
    <t>000212218</t>
  </si>
  <si>
    <t>000212211</t>
  </si>
  <si>
    <t>000212256</t>
  </si>
  <si>
    <t>000212258</t>
  </si>
  <si>
    <t>000212263</t>
  </si>
  <si>
    <t>000212238</t>
  </si>
  <si>
    <t>000212260</t>
  </si>
  <si>
    <t>000212206</t>
  </si>
  <si>
    <t>000212232</t>
  </si>
  <si>
    <t>000212199</t>
  </si>
  <si>
    <t>000212231</t>
  </si>
  <si>
    <t>000212230</t>
  </si>
  <si>
    <t>000212201</t>
  </si>
  <si>
    <t>000212198</t>
  </si>
  <si>
    <t>000212239</t>
  </si>
  <si>
    <t>000212226</t>
  </si>
  <si>
    <t>000212253</t>
  </si>
  <si>
    <t>000212208</t>
  </si>
  <si>
    <t>000212197</t>
  </si>
  <si>
    <t>000212266</t>
  </si>
  <si>
    <t>000212213</t>
  </si>
  <si>
    <t>000212267</t>
  </si>
  <si>
    <t>000212220</t>
  </si>
  <si>
    <t>000212216</t>
  </si>
  <si>
    <t>000212234</t>
  </si>
  <si>
    <t>000212240</t>
  </si>
  <si>
    <t>000212241</t>
  </si>
  <si>
    <t>000212221</t>
  </si>
  <si>
    <t>000212210</t>
  </si>
  <si>
    <t>000212204</t>
  </si>
  <si>
    <t>000212215</t>
  </si>
  <si>
    <t>000212506</t>
  </si>
  <si>
    <t>51-431743</t>
  </si>
  <si>
    <t>LPN010881</t>
  </si>
  <si>
    <t>0000034449</t>
  </si>
  <si>
    <t>OT2516P</t>
  </si>
  <si>
    <t>LPN011045</t>
  </si>
  <si>
    <t>LPN010876</t>
  </si>
  <si>
    <t>OT2515P</t>
  </si>
  <si>
    <t>LPN010877</t>
  </si>
  <si>
    <t>LPN011037</t>
  </si>
  <si>
    <t>LPN011043</t>
  </si>
  <si>
    <t>LPN010864</t>
  </si>
  <si>
    <t>OT2514P</t>
  </si>
  <si>
    <t>MG1100042</t>
  </si>
  <si>
    <t>PANFOR SR-1000 (HOP/5 VI X 20 VIEN)</t>
  </si>
  <si>
    <t>000212500</t>
  </si>
  <si>
    <t>890110015824</t>
  </si>
  <si>
    <t>0000034434</t>
  </si>
  <si>
    <t>A08892518</t>
  </si>
  <si>
    <t>000212684</t>
  </si>
  <si>
    <t>25H26</t>
  </si>
  <si>
    <t>000212685</t>
  </si>
  <si>
    <t>25H27</t>
  </si>
  <si>
    <t>000212761</t>
  </si>
  <si>
    <t>000213039</t>
  </si>
  <si>
    <t>51-432377</t>
  </si>
  <si>
    <t>111480512</t>
  </si>
  <si>
    <t>000212933</t>
  </si>
  <si>
    <t>51-432653</t>
  </si>
  <si>
    <t>000213038</t>
  </si>
  <si>
    <t>51-432770</t>
  </si>
  <si>
    <t>HY1100008</t>
  </si>
  <si>
    <t>PIASCLEDINE TAB 15.S</t>
  </si>
  <si>
    <t>LPN010947</t>
  </si>
  <si>
    <t>300210726524</t>
  </si>
  <si>
    <t>0000034526</t>
  </si>
  <si>
    <t>AA589</t>
  </si>
  <si>
    <t>54-19147</t>
  </si>
  <si>
    <t>Q26-01-3-2</t>
  </si>
  <si>
    <t>000213028</t>
  </si>
  <si>
    <t>54-19141</t>
  </si>
  <si>
    <t>50526K</t>
  </si>
  <si>
    <t>Q26-01-4-1</t>
  </si>
  <si>
    <t>000213027</t>
  </si>
  <si>
    <t>Q26-01-4-2</t>
  </si>
  <si>
    <t>000213026</t>
  </si>
  <si>
    <t>Q26-01-5-1</t>
  </si>
  <si>
    <t>000213025</t>
  </si>
  <si>
    <t>Q26-01-5-2</t>
  </si>
  <si>
    <t>000213029</t>
  </si>
  <si>
    <t>Q26-01-8-1</t>
  </si>
  <si>
    <t>000213031</t>
  </si>
  <si>
    <t>Q27-01-3-2</t>
  </si>
  <si>
    <t>000213030</t>
  </si>
  <si>
    <t>RH1300181</t>
  </si>
  <si>
    <t>THUOC NHO MAT (V.ROHTO VITAMIN) 13 ML</t>
  </si>
  <si>
    <t>000213100</t>
  </si>
  <si>
    <t>893100475324</t>
  </si>
  <si>
    <t>51-433048</t>
  </si>
  <si>
    <t>IB06</t>
  </si>
  <si>
    <t>RH1300347</t>
  </si>
  <si>
    <t>THUOC NHO MAT (V.ROHTO COOL) 12 ML (MAU MOI 2024)</t>
  </si>
  <si>
    <t>000213159</t>
  </si>
  <si>
    <t>VD-28602-17</t>
  </si>
  <si>
    <t>51-433144</t>
  </si>
  <si>
    <t>HB03</t>
  </si>
  <si>
    <t>RH1300356</t>
  </si>
  <si>
    <t>THUOC NHO MAT CHO TRE EM (V.ROHTO FOR KIDS) 13 ML (RX)</t>
  </si>
  <si>
    <t>000213158</t>
  </si>
  <si>
    <t>893110353023</t>
  </si>
  <si>
    <t>BB01</t>
  </si>
  <si>
    <t>RH1300357</t>
  </si>
  <si>
    <t>THUOC NHO MAT (NEW V-ROHTO) 13ML (RX)</t>
  </si>
  <si>
    <t>000213156</t>
  </si>
  <si>
    <t>893110352923</t>
  </si>
  <si>
    <t>51-425648</t>
  </si>
  <si>
    <t>HB02</t>
  </si>
  <si>
    <t>54-19176</t>
  </si>
  <si>
    <t>000213260</t>
  </si>
  <si>
    <t>0000034549</t>
  </si>
  <si>
    <t>FMFY</t>
  </si>
  <si>
    <t>000213262</t>
  </si>
  <si>
    <t>0000034551</t>
  </si>
  <si>
    <t>BS1300010</t>
  </si>
  <si>
    <t>PAPILOCARE (7 CANNULAS X 5ML)</t>
  </si>
  <si>
    <t>LPN010908</t>
  </si>
  <si>
    <t>0000034561</t>
  </si>
  <si>
    <t>X0431</t>
  </si>
  <si>
    <t>LPN010909</t>
  </si>
  <si>
    <t>000213464</t>
  </si>
  <si>
    <t>0000034543</t>
  </si>
  <si>
    <t>A08902515</t>
  </si>
  <si>
    <t>000213570</t>
  </si>
  <si>
    <t>50-17068</t>
  </si>
  <si>
    <t>468659A</t>
  </si>
  <si>
    <t>50-17087</t>
  </si>
  <si>
    <t>LPN011034</t>
  </si>
  <si>
    <t>2457202</t>
  </si>
  <si>
    <t>000213741</t>
  </si>
  <si>
    <t>0000034625</t>
  </si>
  <si>
    <t>000213742</t>
  </si>
  <si>
    <t>000213743</t>
  </si>
  <si>
    <t>000213746</t>
  </si>
  <si>
    <t>000213744</t>
  </si>
  <si>
    <t>000213745</t>
  </si>
  <si>
    <t>000213723</t>
  </si>
  <si>
    <t>000213721</t>
  </si>
  <si>
    <t>000213725</t>
  </si>
  <si>
    <t>000213722</t>
  </si>
  <si>
    <t>000213724</t>
  </si>
  <si>
    <t>000213740</t>
  </si>
  <si>
    <t>000213719</t>
  </si>
  <si>
    <t>000213720</t>
  </si>
  <si>
    <t>000213718</t>
  </si>
  <si>
    <t>000213717</t>
  </si>
  <si>
    <t>000213709</t>
  </si>
  <si>
    <t>000213712</t>
  </si>
  <si>
    <t>000213714</t>
  </si>
  <si>
    <t>000213715</t>
  </si>
  <si>
    <t>000213716</t>
  </si>
  <si>
    <t>000213713</t>
  </si>
  <si>
    <t>000213710</t>
  </si>
  <si>
    <t>000213708</t>
  </si>
  <si>
    <t>000213711</t>
  </si>
  <si>
    <t>000213705</t>
  </si>
  <si>
    <t>000213737</t>
  </si>
  <si>
    <t>000213738</t>
  </si>
  <si>
    <t>000213739</t>
  </si>
  <si>
    <t>000213732</t>
  </si>
  <si>
    <t>000213733</t>
  </si>
  <si>
    <t>000213729</t>
  </si>
  <si>
    <t>000213730</t>
  </si>
  <si>
    <t>000213731</t>
  </si>
  <si>
    <t>000213726</t>
  </si>
  <si>
    <t>000213727</t>
  </si>
  <si>
    <t>000213706</t>
  </si>
  <si>
    <t>000213734</t>
  </si>
  <si>
    <t>000213707</t>
  </si>
  <si>
    <t>000213735</t>
  </si>
  <si>
    <t>000213736</t>
  </si>
  <si>
    <t>000213728</t>
  </si>
  <si>
    <t>RD1100030</t>
  </si>
  <si>
    <t>OMEZ 20MG (HOP/20 VIEN)</t>
  </si>
  <si>
    <t>LPN010993</t>
  </si>
  <si>
    <t>VN-21275-18</t>
  </si>
  <si>
    <t>0000034636</t>
  </si>
  <si>
    <t>B2503440</t>
  </si>
  <si>
    <t>LPN010975</t>
  </si>
  <si>
    <t>HT1100025</t>
  </si>
  <si>
    <t>LENALIDOMIDE CAPSULES 25MG (HOP/ 30 VIEN)</t>
  </si>
  <si>
    <t>000213924</t>
  </si>
  <si>
    <t>890114440823</t>
  </si>
  <si>
    <t>54-19304</t>
  </si>
  <si>
    <t>LEN24031C</t>
  </si>
  <si>
    <t>BS1300011</t>
  </si>
  <si>
    <t>OESTROGEL 0.06% PUMP - PACK 80G 1.S</t>
  </si>
  <si>
    <t>000213912</t>
  </si>
  <si>
    <t>VN-20130-16</t>
  </si>
  <si>
    <t>74587</t>
  </si>
  <si>
    <t>LPN011047</t>
  </si>
  <si>
    <t>0000034654</t>
  </si>
  <si>
    <t>B2600151</t>
  </si>
  <si>
    <t>LPN011001</t>
  </si>
  <si>
    <t>0000034680</t>
  </si>
  <si>
    <t>LPN010980</t>
  </si>
  <si>
    <t>0000034681</t>
  </si>
  <si>
    <t>SY012</t>
  </si>
  <si>
    <t>LPN011016</t>
  </si>
  <si>
    <t>SX725</t>
  </si>
  <si>
    <t>MY1100011</t>
  </si>
  <si>
    <t>SMECTA ORANGE 3G 30SACH VN (0061A020_NEW)</t>
  </si>
  <si>
    <t>LPN011377</t>
  </si>
  <si>
    <t>51-435394</t>
  </si>
  <si>
    <t>D76893</t>
  </si>
  <si>
    <t>000214291</t>
  </si>
  <si>
    <t>0000034690</t>
  </si>
  <si>
    <t>000214293</t>
  </si>
  <si>
    <t>51-435619</t>
  </si>
  <si>
    <t>000214472</t>
  </si>
  <si>
    <t>0000034693</t>
  </si>
  <si>
    <t>A08922528</t>
  </si>
  <si>
    <t>000214473</t>
  </si>
  <si>
    <t>54-19435</t>
  </si>
  <si>
    <t>000214605</t>
  </si>
  <si>
    <t>54-19436</t>
  </si>
  <si>
    <t>040D024</t>
  </si>
  <si>
    <t>000214606</t>
  </si>
  <si>
    <t>IC439A</t>
  </si>
  <si>
    <t>000214602</t>
  </si>
  <si>
    <t>0000034723</t>
  </si>
  <si>
    <t>FMFW</t>
  </si>
  <si>
    <t>MY1100014</t>
  </si>
  <si>
    <t>TANAKAN 40MG 30TABS VN (0302A021_NEW)</t>
  </si>
  <si>
    <t>000215211</t>
  </si>
  <si>
    <t>0000034785</t>
  </si>
  <si>
    <t>D76173</t>
  </si>
  <si>
    <t>MY1100012</t>
  </si>
  <si>
    <t>FORTRANS 4SACH VN (0247A008_NEW)</t>
  </si>
  <si>
    <t>000215213</t>
  </si>
  <si>
    <t>D77245</t>
  </si>
  <si>
    <t>000215215</t>
  </si>
  <si>
    <t>0000034771</t>
  </si>
  <si>
    <t>D77180</t>
  </si>
  <si>
    <t>LPN011012</t>
  </si>
  <si>
    <t>HT1100053</t>
  </si>
  <si>
    <t>TELDY (HOP/1 LO HDPE 30 VIEN)</t>
  </si>
  <si>
    <t>LPN011042</t>
  </si>
  <si>
    <t>0000034807</t>
  </si>
  <si>
    <t>E255947</t>
  </si>
  <si>
    <t>LPN011032</t>
  </si>
  <si>
    <t>LPN011050</t>
  </si>
  <si>
    <t>000215315</t>
  </si>
  <si>
    <t>0000034774</t>
  </si>
  <si>
    <t>D77171</t>
  </si>
  <si>
    <t>000215317</t>
  </si>
  <si>
    <t>0000034787</t>
  </si>
  <si>
    <t>D76177</t>
  </si>
  <si>
    <t>000215319</t>
  </si>
  <si>
    <t>0000034768</t>
  </si>
  <si>
    <t>D77492</t>
  </si>
  <si>
    <t>000215320</t>
  </si>
  <si>
    <t>D77354</t>
  </si>
  <si>
    <t>000215325</t>
  </si>
  <si>
    <t>50-17268</t>
  </si>
  <si>
    <t>000215534</t>
  </si>
  <si>
    <t>0000034822</t>
  </si>
  <si>
    <t>000215573</t>
  </si>
  <si>
    <t>51-437628</t>
  </si>
  <si>
    <t>IC438A</t>
  </si>
  <si>
    <t>000215569</t>
  </si>
  <si>
    <t>54-19558</t>
  </si>
  <si>
    <t>000215574</t>
  </si>
  <si>
    <t>51-437634</t>
  </si>
  <si>
    <t>D52436</t>
  </si>
  <si>
    <t>000215878</t>
  </si>
  <si>
    <t>54-19631</t>
  </si>
  <si>
    <t>Q27-01-9-2</t>
  </si>
  <si>
    <t>000215877</t>
  </si>
  <si>
    <t>000215937</t>
  </si>
  <si>
    <t>51-438632</t>
  </si>
  <si>
    <t>LPN011101</t>
  </si>
  <si>
    <t>0000034937</t>
  </si>
  <si>
    <t>000216194</t>
  </si>
  <si>
    <t>0000034942</t>
  </si>
  <si>
    <t>A605</t>
  </si>
  <si>
    <t>OS6100005</t>
  </si>
  <si>
    <t>THUC PHAM DINH DUONG Y HOC NEO-MUNE HUONG VANI</t>
  </si>
  <si>
    <t>LPN011131</t>
  </si>
  <si>
    <t>22/2022/ĐKSP</t>
  </si>
  <si>
    <t>0000034970</t>
  </si>
  <si>
    <t>5L711</t>
  </si>
  <si>
    <t>DV1100211</t>
  </si>
  <si>
    <t>EUROLUX-1 (HOP/60VIEN) - EU</t>
  </si>
  <si>
    <t>000215935</t>
  </si>
  <si>
    <t>VD-28906-18</t>
  </si>
  <si>
    <t>51-437532</t>
  </si>
  <si>
    <t>230049</t>
  </si>
  <si>
    <t>000216422</t>
  </si>
  <si>
    <t>0000034988</t>
  </si>
  <si>
    <t>A08902516</t>
  </si>
  <si>
    <t>000216391</t>
  </si>
  <si>
    <t>HT1100031</t>
  </si>
  <si>
    <t>TADAFIL 20 (HOP/100 VIEN)</t>
  </si>
  <si>
    <t>000216543</t>
  </si>
  <si>
    <t>890110433723</t>
  </si>
  <si>
    <t>54-19807</t>
  </si>
  <si>
    <t>E241749B</t>
  </si>
  <si>
    <t>000216507</t>
  </si>
  <si>
    <t>54-19805</t>
  </si>
  <si>
    <t>E250693A</t>
  </si>
  <si>
    <t>AZ1100009</t>
  </si>
  <si>
    <t>TAGRISSO TAB 80MG BL 3X10 EA VN</t>
  </si>
  <si>
    <t>000216505</t>
  </si>
  <si>
    <t>FMDS</t>
  </si>
  <si>
    <t>000216506</t>
  </si>
  <si>
    <t>HT1100030</t>
  </si>
  <si>
    <t>TADAFIL 10 (HOP/100 VIEN)</t>
  </si>
  <si>
    <t>000216542</t>
  </si>
  <si>
    <t>890110433623</t>
  </si>
  <si>
    <t>E242007</t>
  </si>
  <si>
    <t>000216541</t>
  </si>
  <si>
    <t>HY6100001</t>
  </si>
  <si>
    <t>OCEAN HEALTH BICOLD TM IMMUNE SUPPORT FOR KID 120ML</t>
  </si>
  <si>
    <t>LPN011306</t>
  </si>
  <si>
    <t>6638/2022/ĐKSP</t>
  </si>
  <si>
    <t>FY517</t>
  </si>
  <si>
    <t>000216637</t>
  </si>
  <si>
    <t>0000035017</t>
  </si>
  <si>
    <t>000216636</t>
  </si>
  <si>
    <t>000216639</t>
  </si>
  <si>
    <t>000216638</t>
  </si>
  <si>
    <t>000216631</t>
  </si>
  <si>
    <t>PRW2332PA</t>
  </si>
  <si>
    <t>000216630</t>
  </si>
  <si>
    <t>000216622</t>
  </si>
  <si>
    <t>000216623</t>
  </si>
  <si>
    <t>000216625</t>
  </si>
  <si>
    <t>000216626</t>
  </si>
  <si>
    <t>000216624</t>
  </si>
  <si>
    <t>000216628</t>
  </si>
  <si>
    <t>000216629</t>
  </si>
  <si>
    <t>000216627</t>
  </si>
  <si>
    <t>000216621</t>
  </si>
  <si>
    <t>000216646</t>
  </si>
  <si>
    <t>000216644</t>
  </si>
  <si>
    <t>000216645</t>
  </si>
  <si>
    <t>000216640</t>
  </si>
  <si>
    <t>000216643</t>
  </si>
  <si>
    <t>000216642</t>
  </si>
  <si>
    <t>000216641</t>
  </si>
  <si>
    <t>LPN011073</t>
  </si>
  <si>
    <t>0000035043</t>
  </si>
  <si>
    <t>FD257775A</t>
  </si>
  <si>
    <t>LPN011077</t>
  </si>
  <si>
    <t>LPN011109</t>
  </si>
  <si>
    <t>0000035053</t>
  </si>
  <si>
    <t>60074</t>
  </si>
  <si>
    <t>LPN011156</t>
  </si>
  <si>
    <t>LPN011081</t>
  </si>
  <si>
    <t>PM2603</t>
  </si>
  <si>
    <t>LPN011085</t>
  </si>
  <si>
    <t>LPN011137</t>
  </si>
  <si>
    <t>LPN011116</t>
  </si>
  <si>
    <t>LPN011135</t>
  </si>
  <si>
    <t>LPN011136</t>
  </si>
  <si>
    <t>LPN011180</t>
  </si>
  <si>
    <t>LPN011093</t>
  </si>
  <si>
    <t>0000035073</t>
  </si>
  <si>
    <t>51564</t>
  </si>
  <si>
    <t>LPN011170</t>
  </si>
  <si>
    <t>LPN011097</t>
  </si>
  <si>
    <t>PB2601CP</t>
  </si>
  <si>
    <t>LPN011104</t>
  </si>
  <si>
    <t>LPN011108</t>
  </si>
  <si>
    <t>LPN011118</t>
  </si>
  <si>
    <t>LPN011089</t>
  </si>
  <si>
    <t>LPN011196</t>
  </si>
  <si>
    <t>PM2605CP</t>
  </si>
  <si>
    <t>LPN011132</t>
  </si>
  <si>
    <t>LPN011203</t>
  </si>
  <si>
    <t>LPN011221</t>
  </si>
  <si>
    <t>LPN011322</t>
  </si>
  <si>
    <t>OT2509P</t>
  </si>
  <si>
    <t>LPN011193</t>
  </si>
  <si>
    <t>LPN011210</t>
  </si>
  <si>
    <t>LPN011222</t>
  </si>
  <si>
    <t>LPN011102</t>
  </si>
  <si>
    <t>60138</t>
  </si>
  <si>
    <t>LPN011151</t>
  </si>
  <si>
    <t>LPN011152</t>
  </si>
  <si>
    <t>LPN011100</t>
  </si>
  <si>
    <t>FW2504KA</t>
  </si>
  <si>
    <t>LPN011338</t>
  </si>
  <si>
    <t>OT2510P</t>
  </si>
  <si>
    <t>LPN011327</t>
  </si>
  <si>
    <t>LPN011091</t>
  </si>
  <si>
    <t>60025</t>
  </si>
  <si>
    <t>LPN011094</t>
  </si>
  <si>
    <t>LPN011113</t>
  </si>
  <si>
    <t>0000035085</t>
  </si>
  <si>
    <t>V2600313</t>
  </si>
  <si>
    <t>000217253</t>
  </si>
  <si>
    <t>0000035082</t>
  </si>
  <si>
    <t>ST9-ASD-032</t>
  </si>
  <si>
    <t>AMPLATZER SEPTAL OCCLUDER 32MM</t>
  </si>
  <si>
    <t>M0003856</t>
  </si>
  <si>
    <t>57-34730</t>
  </si>
  <si>
    <t>8448698</t>
  </si>
  <si>
    <t>ST9-ASD-030</t>
  </si>
  <si>
    <t>AMPLATZER SEPTAL OCCLUDER 30MM</t>
  </si>
  <si>
    <t>7983754</t>
  </si>
  <si>
    <t>ST9-PDA-004</t>
  </si>
  <si>
    <t>AMPLATZER PDA OCCLUDER 6/4MM</t>
  </si>
  <si>
    <t>M0003858</t>
  </si>
  <si>
    <t>57-34731</t>
  </si>
  <si>
    <t>10484198</t>
  </si>
  <si>
    <t>ST9-PDA2-05-04</t>
  </si>
  <si>
    <t>AMPLATZER PDA2 OCCLUDER 5/4MM</t>
  </si>
  <si>
    <t>10608355</t>
  </si>
  <si>
    <t>RD1200010</t>
  </si>
  <si>
    <t>CASPOFUNGIN ACETATE 50MG (H/1 LO)</t>
  </si>
  <si>
    <t>LPN011284</t>
  </si>
  <si>
    <t>VN-21276-18</t>
  </si>
  <si>
    <t>50-17493</t>
  </si>
  <si>
    <t>A1480029</t>
  </si>
  <si>
    <t>BS1300001</t>
  </si>
  <si>
    <t>PROGESTOGEL 1% 80G</t>
  </si>
  <si>
    <t>LPN011167</t>
  </si>
  <si>
    <t>VN-15147-12</t>
  </si>
  <si>
    <t>0000035121</t>
  </si>
  <si>
    <t>A02514</t>
  </si>
  <si>
    <t>LPN011179</t>
  </si>
  <si>
    <t>0000035116</t>
  </si>
  <si>
    <t>PP2601CP</t>
  </si>
  <si>
    <t>LPN011190</t>
  </si>
  <si>
    <t>LPN011129</t>
  </si>
  <si>
    <t>LPN011140</t>
  </si>
  <si>
    <t>LPN011141</t>
  </si>
  <si>
    <t>LPN011158</t>
  </si>
  <si>
    <t>LPN011171</t>
  </si>
  <si>
    <t>LPN011178</t>
  </si>
  <si>
    <t>LPN011189</t>
  </si>
  <si>
    <t>LPN011105</t>
  </si>
  <si>
    <t>0000035137</t>
  </si>
  <si>
    <t>FW2516PA</t>
  </si>
  <si>
    <t>LPN011145</t>
  </si>
  <si>
    <t>LPN011153</t>
  </si>
  <si>
    <t>LPN011154</t>
  </si>
  <si>
    <t>Q27-03-2-2</t>
  </si>
  <si>
    <t>LPN011374</t>
  </si>
  <si>
    <t>0000035136</t>
  </si>
  <si>
    <t>LPN011375</t>
  </si>
  <si>
    <t>Q27-03-8-2</t>
  </si>
  <si>
    <t>LPN011340</t>
  </si>
  <si>
    <t>LPN011318</t>
  </si>
  <si>
    <t>PB2605CP</t>
  </si>
  <si>
    <t>LPN011150</t>
  </si>
  <si>
    <t>LPN011166</t>
  </si>
  <si>
    <t>LPN011172</t>
  </si>
  <si>
    <t>LPN011328</t>
  </si>
  <si>
    <t>LPN010431</t>
  </si>
  <si>
    <t>0000031988</t>
  </si>
  <si>
    <t>FD253704A</t>
  </si>
  <si>
    <t>000217583</t>
  </si>
  <si>
    <t>54-19967</t>
  </si>
  <si>
    <t>AC04</t>
  </si>
  <si>
    <t>LPN011134</t>
  </si>
  <si>
    <t>0000035155</t>
  </si>
  <si>
    <t>N260069A</t>
  </si>
  <si>
    <t>000217845</t>
  </si>
  <si>
    <t>0000035189</t>
  </si>
  <si>
    <t>08892601</t>
  </si>
  <si>
    <t>HY7300012</t>
  </si>
  <si>
    <t>ULTRA LIGHT HYDRATOR 50G</t>
  </si>
  <si>
    <t>LPN011111</t>
  </si>
  <si>
    <t>237897/24/CBMP-QLD</t>
  </si>
  <si>
    <t>0000035178</t>
  </si>
  <si>
    <t>SB0030</t>
  </si>
  <si>
    <t>HT1200010</t>
  </si>
  <si>
    <t>PROPONEX 200 (HOP/10 LO)</t>
  </si>
  <si>
    <t>LPN011117</t>
  </si>
  <si>
    <t>890114432525</t>
  </si>
  <si>
    <t>0000035211</t>
  </si>
  <si>
    <t>AS1260023E</t>
  </si>
  <si>
    <t>000217901</t>
  </si>
  <si>
    <t>0000035181</t>
  </si>
  <si>
    <t>000218204</t>
  </si>
  <si>
    <t>0000035216</t>
  </si>
  <si>
    <t>WO1100009</t>
  </si>
  <si>
    <t>THIOGAMMA TURBO-SET (HOP/1 LO)</t>
  </si>
  <si>
    <t>LPN011142</t>
  </si>
  <si>
    <t>VN-23140-22</t>
  </si>
  <si>
    <t>51-442995</t>
  </si>
  <si>
    <t>40708C</t>
  </si>
  <si>
    <t>000218394</t>
  </si>
  <si>
    <t>LPN011157</t>
  </si>
  <si>
    <t>0000035313</t>
  </si>
  <si>
    <t>V2600393</t>
  </si>
  <si>
    <t>LPN011155</t>
  </si>
  <si>
    <t>0000035310</t>
  </si>
  <si>
    <t>HT1200002</t>
  </si>
  <si>
    <t>COLISTIMETHATE FOR INJECTION USP 150MG/VIAL (HOP/ 1 LO)</t>
  </si>
  <si>
    <t>LPN011165</t>
  </si>
  <si>
    <t>890114188623</t>
  </si>
  <si>
    <t>0000035317</t>
  </si>
  <si>
    <t>AS1260022C</t>
  </si>
  <si>
    <t>BA1313003</t>
  </si>
  <si>
    <t>VO HOP THU HOI IMFINZI PA INJ 500MG VI 1X10ML VN</t>
  </si>
  <si>
    <t>000218901</t>
  </si>
  <si>
    <t>0000035206</t>
  </si>
  <si>
    <t>000218903</t>
  </si>
  <si>
    <t>0000035205</t>
  </si>
  <si>
    <t>LPN011163</t>
  </si>
  <si>
    <t>0000035326</t>
  </si>
  <si>
    <t>LPN011174</t>
  </si>
  <si>
    <t>LPN011176</t>
  </si>
  <si>
    <t>LPN011192</t>
  </si>
  <si>
    <t>LPN011225</t>
  </si>
  <si>
    <t>LPN011164</t>
  </si>
  <si>
    <t>60139</t>
  </si>
  <si>
    <t>LPN011169</t>
  </si>
  <si>
    <t>LPN011185</t>
  </si>
  <si>
    <t>60136</t>
  </si>
  <si>
    <t>LPN011173</t>
  </si>
  <si>
    <t>60029</t>
  </si>
  <si>
    <t>LPN011181</t>
  </si>
  <si>
    <t>AZ1200001</t>
  </si>
  <si>
    <t>FASLODEX 2X250MG.5ML PRE-FILLED SYRINGE</t>
  </si>
  <si>
    <t>000218900</t>
  </si>
  <si>
    <t>VN-19561-16</t>
  </si>
  <si>
    <t>54-20231</t>
  </si>
  <si>
    <t>SX310</t>
  </si>
  <si>
    <t>MG1100063</t>
  </si>
  <si>
    <t>VCARD-AM 80 + 5 (HOP/4 VI X 7 VIEN)</t>
  </si>
  <si>
    <t>000219018</t>
  </si>
  <si>
    <t>520110976124</t>
  </si>
  <si>
    <t>0000035342</t>
  </si>
  <si>
    <t>257745</t>
  </si>
  <si>
    <t>000219017</t>
  </si>
  <si>
    <t>A08872507</t>
  </si>
  <si>
    <t>LPN011175</t>
  </si>
  <si>
    <t>0000035411</t>
  </si>
  <si>
    <t>E260142</t>
  </si>
  <si>
    <t>BS1400001</t>
  </si>
  <si>
    <t>PAPILOCARE (21 CANNULAS X 5ML)</t>
  </si>
  <si>
    <t>LPN011235</t>
  </si>
  <si>
    <t>0000035415</t>
  </si>
  <si>
    <t>X0121</t>
  </si>
  <si>
    <t>LPN011242</t>
  </si>
  <si>
    <t>X0161</t>
  </si>
  <si>
    <t>LPN011197</t>
  </si>
  <si>
    <t>0000035421</t>
  </si>
  <si>
    <t>LPN011188</t>
  </si>
  <si>
    <t>0000035420</t>
  </si>
  <si>
    <t>PM2520CP</t>
  </si>
  <si>
    <t>LPN011195</t>
  </si>
  <si>
    <t>LPN011243</t>
  </si>
  <si>
    <t>FW2525TA</t>
  </si>
  <si>
    <t>LPN011247</t>
  </si>
  <si>
    <t>LPN011236</t>
  </si>
  <si>
    <t>LPN011337</t>
  </si>
  <si>
    <t>PB2533CP</t>
  </si>
  <si>
    <t>LPN011343</t>
  </si>
  <si>
    <t>000219565</t>
  </si>
  <si>
    <t>0000035407</t>
  </si>
  <si>
    <t>A08902517</t>
  </si>
  <si>
    <t>000219768</t>
  </si>
  <si>
    <t>0000035426</t>
  </si>
  <si>
    <t>SS656</t>
  </si>
  <si>
    <t>000219770</t>
  </si>
  <si>
    <t>000219767</t>
  </si>
  <si>
    <t>000219769</t>
  </si>
  <si>
    <t>000219808</t>
  </si>
  <si>
    <t>0000035454</t>
  </si>
  <si>
    <t>A08922532</t>
  </si>
  <si>
    <t>000219884</t>
  </si>
  <si>
    <t>0000035481</t>
  </si>
  <si>
    <t>FMKB</t>
  </si>
  <si>
    <t>LPN011269</t>
  </si>
  <si>
    <t>0000035483</t>
  </si>
  <si>
    <t>LPN011277</t>
  </si>
  <si>
    <t>LPN011302</t>
  </si>
  <si>
    <t>LPN011330</t>
  </si>
  <si>
    <t>LPN011329</t>
  </si>
  <si>
    <t>LPN011342</t>
  </si>
  <si>
    <t>LPN011246</t>
  </si>
  <si>
    <t>LPN011260</t>
  </si>
  <si>
    <t>LPN011211</t>
  </si>
  <si>
    <t>0000035488</t>
  </si>
  <si>
    <t>BGP9N002</t>
  </si>
  <si>
    <t>LPN011202</t>
  </si>
  <si>
    <t>BGP9N001</t>
  </si>
  <si>
    <t>LPN011208</t>
  </si>
  <si>
    <t>000220434</t>
  </si>
  <si>
    <t>0000035486</t>
  </si>
  <si>
    <t>LPN011317</t>
  </si>
  <si>
    <t>0000035487</t>
  </si>
  <si>
    <t>E255962</t>
  </si>
  <si>
    <t>LPN011308</t>
  </si>
  <si>
    <t>LPN011230</t>
  </si>
  <si>
    <t>E255545</t>
  </si>
  <si>
    <t>000220468</t>
  </si>
  <si>
    <t>0000035519</t>
  </si>
  <si>
    <t>623M04</t>
  </si>
  <si>
    <t>LPN011309</t>
  </si>
  <si>
    <t>0000035526</t>
  </si>
  <si>
    <t>LPN011358</t>
  </si>
  <si>
    <t>LPN011371</t>
  </si>
  <si>
    <t>LPN011372</t>
  </si>
  <si>
    <t>LPN011373</t>
  </si>
  <si>
    <t>LPN011339</t>
  </si>
  <si>
    <t>LPN011261</t>
  </si>
  <si>
    <t>51584</t>
  </si>
  <si>
    <t>LPN011268</t>
  </si>
  <si>
    <t>LPN011266</t>
  </si>
  <si>
    <t>51431</t>
  </si>
  <si>
    <t>LPN011267</t>
  </si>
  <si>
    <t>LPN011257</t>
  </si>
  <si>
    <t>LPN011275</t>
  </si>
  <si>
    <t>000221464</t>
  </si>
  <si>
    <t>0000035535</t>
  </si>
  <si>
    <t>000221465</t>
  </si>
  <si>
    <t>HY1100015</t>
  </si>
  <si>
    <t>PIASCLEDINE TAB 30.S</t>
  </si>
  <si>
    <t>LPN011237</t>
  </si>
  <si>
    <t>0000035578</t>
  </si>
  <si>
    <t>AA642</t>
  </si>
  <si>
    <t>LPN011273</t>
  </si>
  <si>
    <t>0000035587</t>
  </si>
  <si>
    <t>000221651</t>
  </si>
  <si>
    <t>57-35553</t>
  </si>
  <si>
    <t>000221794</t>
  </si>
  <si>
    <t>0000035556</t>
  </si>
  <si>
    <t>A08922533</t>
  </si>
  <si>
    <t>000216633</t>
  </si>
  <si>
    <t>0000035635</t>
  </si>
  <si>
    <t>000216632</t>
  </si>
  <si>
    <t>LV2307P</t>
  </si>
  <si>
    <t>000216634</t>
  </si>
  <si>
    <t>000216635</t>
  </si>
  <si>
    <t>Q27-01-8-2</t>
  </si>
  <si>
    <t>000221812</t>
  </si>
  <si>
    <t>0000035633</t>
  </si>
  <si>
    <t>000221814</t>
  </si>
  <si>
    <t>000221815</t>
  </si>
  <si>
    <t>000221816</t>
  </si>
  <si>
    <t>000221811</t>
  </si>
  <si>
    <t>000221810</t>
  </si>
  <si>
    <t>000221809</t>
  </si>
  <si>
    <t>000221808</t>
  </si>
  <si>
    <t>000221813</t>
  </si>
  <si>
    <t>000221838</t>
  </si>
  <si>
    <t>000221837</t>
  </si>
  <si>
    <t>000221832</t>
  </si>
  <si>
    <t>000221831</t>
  </si>
  <si>
    <t>000221830</t>
  </si>
  <si>
    <t>000221818</t>
  </si>
  <si>
    <t>000221817</t>
  </si>
  <si>
    <t>000221820</t>
  </si>
  <si>
    <t>000221819</t>
  </si>
  <si>
    <t>000221821</t>
  </si>
  <si>
    <t>000221822</t>
  </si>
  <si>
    <t>000221836</t>
  </si>
  <si>
    <t>000221835</t>
  </si>
  <si>
    <t>000221807</t>
  </si>
  <si>
    <t>000221833</t>
  </si>
  <si>
    <t>000221834</t>
  </si>
  <si>
    <t>000221827</t>
  </si>
  <si>
    <t>000221825</t>
  </si>
  <si>
    <t>000221823</t>
  </si>
  <si>
    <t>000221826</t>
  </si>
  <si>
    <t>000221824</t>
  </si>
  <si>
    <t>000221829</t>
  </si>
  <si>
    <t>000221828</t>
  </si>
  <si>
    <t>000221887</t>
  </si>
  <si>
    <t>0000035634</t>
  </si>
  <si>
    <t>000221885</t>
  </si>
  <si>
    <t>000221886</t>
  </si>
  <si>
    <t>000221884</t>
  </si>
  <si>
    <t>000221882</t>
  </si>
  <si>
    <t>000221880</t>
  </si>
  <si>
    <t>000221883</t>
  </si>
  <si>
    <t>000221877</t>
  </si>
  <si>
    <t>000221869</t>
  </si>
  <si>
    <t>000221872</t>
  </si>
  <si>
    <t>000221873</t>
  </si>
  <si>
    <t>000221875</t>
  </si>
  <si>
    <t>000221847</t>
  </si>
  <si>
    <t>000221868</t>
  </si>
  <si>
    <t>000221848</t>
  </si>
  <si>
    <t>000221879</t>
  </si>
  <si>
    <t>000221874</t>
  </si>
  <si>
    <t>000221878</t>
  </si>
  <si>
    <t>000221854</t>
  </si>
  <si>
    <t>000221866</t>
  </si>
  <si>
    <t>000221867</t>
  </si>
  <si>
    <t>000221863</t>
  </si>
  <si>
    <t>000221862</t>
  </si>
  <si>
    <t>000221861</t>
  </si>
  <si>
    <t>000221865</t>
  </si>
  <si>
    <t>000221864</t>
  </si>
  <si>
    <t>000221860</t>
  </si>
  <si>
    <t>000221852</t>
  </si>
  <si>
    <t>000221876</t>
  </si>
  <si>
    <t>000221858</t>
  </si>
  <si>
    <t>000221871</t>
  </si>
  <si>
    <t>000221859</t>
  </si>
  <si>
    <t>000221881</t>
  </si>
  <si>
    <t>000221857</t>
  </si>
  <si>
    <t>000221850</t>
  </si>
  <si>
    <t>000221853</t>
  </si>
  <si>
    <t>000221851</t>
  </si>
  <si>
    <t>000221855</t>
  </si>
  <si>
    <t>000221856</t>
  </si>
  <si>
    <t>000221849</t>
  </si>
  <si>
    <t>Q27-01-2-2</t>
  </si>
  <si>
    <t>000222640</t>
  </si>
  <si>
    <t>0000035732</t>
  </si>
  <si>
    <t>000222602</t>
  </si>
  <si>
    <t>000222636</t>
  </si>
  <si>
    <t>000222585</t>
  </si>
  <si>
    <t>000222595</t>
  </si>
  <si>
    <t>000222601</t>
  </si>
  <si>
    <t>000222584</t>
  </si>
  <si>
    <t>000222594</t>
  </si>
  <si>
    <t>000222583</t>
  </si>
  <si>
    <t>000222598</t>
  </si>
  <si>
    <t>132798A</t>
  </si>
  <si>
    <t>000222604</t>
  </si>
  <si>
    <t>000222639</t>
  </si>
  <si>
    <t>000222608</t>
  </si>
  <si>
    <t>F173187</t>
  </si>
  <si>
    <t>000222607</t>
  </si>
  <si>
    <t>000222638</t>
  </si>
  <si>
    <t>000222621</t>
  </si>
  <si>
    <t>000222637</t>
  </si>
  <si>
    <t>000222622</t>
  </si>
  <si>
    <t>000222620</t>
  </si>
  <si>
    <t>000222597</t>
  </si>
  <si>
    <t>000222619</t>
  </si>
  <si>
    <t>000222587</t>
  </si>
  <si>
    <t>000222633</t>
  </si>
  <si>
    <t>000222628</t>
  </si>
  <si>
    <t>000222632</t>
  </si>
  <si>
    <t>000222579</t>
  </si>
  <si>
    <t>000222591</t>
  </si>
  <si>
    <t>000222627</t>
  </si>
  <si>
    <t>000222631</t>
  </si>
  <si>
    <t>000222626</t>
  </si>
  <si>
    <t>000222578</t>
  </si>
  <si>
    <t>000222577</t>
  </si>
  <si>
    <t>000222603</t>
  </si>
  <si>
    <t>000222586</t>
  </si>
  <si>
    <t>000222596</t>
  </si>
  <si>
    <t>000222600</t>
  </si>
  <si>
    <t>000222576</t>
  </si>
  <si>
    <t>000222589</t>
  </si>
  <si>
    <t>000222606</t>
  </si>
  <si>
    <t>000222629</t>
  </si>
  <si>
    <t>136497A</t>
  </si>
  <si>
    <t>000222605</t>
  </si>
  <si>
    <t>000222634</t>
  </si>
  <si>
    <t>000222592</t>
  </si>
  <si>
    <t>000222615</t>
  </si>
  <si>
    <t>000222614</t>
  </si>
  <si>
    <t>000222617</t>
  </si>
  <si>
    <t>000222635</t>
  </si>
  <si>
    <t>000222581</t>
  </si>
  <si>
    <t>000222593</t>
  </si>
  <si>
    <t>000222618</t>
  </si>
  <si>
    <t>000222616</t>
  </si>
  <si>
    <t>000222582</t>
  </si>
  <si>
    <t>000222580</t>
  </si>
  <si>
    <t>000222625</t>
  </si>
  <si>
    <t>000222599</t>
  </si>
  <si>
    <t>000222624</t>
  </si>
  <si>
    <t>000222623</t>
  </si>
  <si>
    <t>000222588</t>
  </si>
  <si>
    <t>000222630</t>
  </si>
  <si>
    <t>000222590</t>
  </si>
  <si>
    <t>000222613</t>
  </si>
  <si>
    <t>000222612</t>
  </si>
  <si>
    <t>000222611</t>
  </si>
  <si>
    <t>000222609</t>
  </si>
  <si>
    <t>000222610</t>
  </si>
  <si>
    <t>000222704</t>
  </si>
  <si>
    <t>0000035719</t>
  </si>
  <si>
    <t>E00745</t>
  </si>
  <si>
    <t>LPN011331</t>
  </si>
  <si>
    <t>890100046225</t>
  </si>
  <si>
    <t>0000035751</t>
  </si>
  <si>
    <t>BNZ1N001</t>
  </si>
  <si>
    <t>000222731</t>
  </si>
  <si>
    <t>0000035756</t>
  </si>
  <si>
    <t>M0004009</t>
  </si>
  <si>
    <t>54-20897</t>
  </si>
  <si>
    <t>10211846</t>
  </si>
  <si>
    <t>RD1100013</t>
  </si>
  <si>
    <t>RIVAXORED 20MG (HOP/1VI X 14VIEN)</t>
  </si>
  <si>
    <t>LPN011323</t>
  </si>
  <si>
    <t>VN-22643-20</t>
  </si>
  <si>
    <t>0000035819</t>
  </si>
  <si>
    <t>B2600555</t>
  </si>
  <si>
    <t>SA1200007</t>
  </si>
  <si>
    <t>CORDARONE 150MG/3ML INJ B/6 AMPS VN</t>
  </si>
  <si>
    <t>000223362</t>
  </si>
  <si>
    <t>VN-20734-17</t>
  </si>
  <si>
    <t>50-17985</t>
  </si>
  <si>
    <t>FA1446</t>
  </si>
  <si>
    <t>000223363</t>
  </si>
  <si>
    <t>50-17986</t>
  </si>
  <si>
    <t>LPN011334</t>
  </si>
  <si>
    <t>0000035856</t>
  </si>
  <si>
    <t>000223615</t>
  </si>
  <si>
    <t>0000035903</t>
  </si>
  <si>
    <t>LPN011345</t>
  </si>
  <si>
    <t>890110997024</t>
  </si>
  <si>
    <t>0000035929</t>
  </si>
  <si>
    <t>FD260111C</t>
  </si>
  <si>
    <t>000224089</t>
  </si>
  <si>
    <t>0000035940</t>
  </si>
  <si>
    <t>SX228</t>
  </si>
  <si>
    <t>AZ1100024</t>
  </si>
  <si>
    <t>KOMBOGLYZE XR TAB 5.500MG BL 4X7 EA VN</t>
  </si>
  <si>
    <t>000224093</t>
  </si>
  <si>
    <t>VN-18679-15</t>
  </si>
  <si>
    <t>50-18092</t>
  </si>
  <si>
    <t>YK0075</t>
  </si>
  <si>
    <t>000224092</t>
  </si>
  <si>
    <t>YC0196</t>
  </si>
  <si>
    <t>LPN011356</t>
  </si>
  <si>
    <t>LPN011362</t>
  </si>
  <si>
    <t>BK393300</t>
  </si>
  <si>
    <t>PANTERA PRO 2.0/15</t>
  </si>
  <si>
    <t>LPN011357</t>
  </si>
  <si>
    <t>0000035948</t>
  </si>
  <si>
    <t>02263069</t>
  </si>
  <si>
    <t>000224191</t>
  </si>
  <si>
    <t>51-451337</t>
  </si>
  <si>
    <t>SA1200012</t>
  </si>
  <si>
    <t>LOVENOX 40MG/0.4ML INJ. B/ 2 SYRINGES VN</t>
  </si>
  <si>
    <t>000224192</t>
  </si>
  <si>
    <t>300410038223</t>
  </si>
  <si>
    <t>51-451366</t>
  </si>
  <si>
    <t>KS061A</t>
  </si>
  <si>
    <t>GZ1105002</t>
  </si>
  <si>
    <t>ATASART 16MG TAB 28.S</t>
  </si>
  <si>
    <t>000224494</t>
  </si>
  <si>
    <t>896110028625</t>
  </si>
  <si>
    <t>0000035972</t>
  </si>
  <si>
    <t>308T02</t>
  </si>
  <si>
    <t>BK419151</t>
  </si>
  <si>
    <t>ORSIRO MISSION 2.75/40</t>
  </si>
  <si>
    <t>M0004191</t>
  </si>
  <si>
    <t>57-36188</t>
  </si>
  <si>
    <t>09253519</t>
  </si>
  <si>
    <t>BK419114</t>
  </si>
  <si>
    <t>ORSIRO MISSION 2.5/15</t>
  </si>
  <si>
    <t>03251092</t>
  </si>
  <si>
    <t>BK419115</t>
  </si>
  <si>
    <t>ORSIRO MISSION 2.75/15</t>
  </si>
  <si>
    <t>03250264</t>
  </si>
  <si>
    <t>000224720</t>
  </si>
  <si>
    <t>0000035998</t>
  </si>
  <si>
    <t>08892605</t>
  </si>
  <si>
    <t>Weight</t>
  </si>
  <si>
    <t>Pallet Qty</t>
  </si>
  <si>
    <t>Gr. Weight</t>
  </si>
  <si>
    <t>Pallet</t>
  </si>
  <si>
    <t>Zone</t>
  </si>
  <si>
    <t>Row Labels</t>
  </si>
  <si>
    <t>Q26-01</t>
  </si>
  <si>
    <t>Q26-02</t>
  </si>
  <si>
    <t>Q26-03</t>
  </si>
  <si>
    <t>Q27-01</t>
  </si>
  <si>
    <t>Q27-03</t>
  </si>
  <si>
    <t>QC1-01</t>
  </si>
  <si>
    <t>QM4-01</t>
  </si>
  <si>
    <t>Grand Total</t>
  </si>
  <si>
    <t>Sum of Weight</t>
  </si>
  <si>
    <t>Sum of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</si>
</sst>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4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</cellXfs>
  <cellStyles count="2">
    <cellStyle name="Comma" xfId="1" builtinId="3"/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hoi, Le Minh" refreshedDate="46155.594519791666" createdVersion="6" refreshedVersion="6" minRefreshableVersion="3" recordCount="1974">
  <cacheSource type="worksheet">
    <worksheetSource name="Table1"/>
  </cacheSource>
  <cacheFields count="17">
    <cacheField name="Owner" numFmtId="0">
      <sharedItems/>
    </cacheField>
    <cacheField name="Item" numFmtId="0">
      <sharedItems/>
    </cacheField>
    <cacheField name="Description" numFmtId="0">
      <sharedItems/>
    </cacheField>
    <cacheField name="Location" numFmtId="0">
      <sharedItems/>
    </cacheField>
    <cacheField name="LPN" numFmtId="0">
      <sharedItems/>
    </cacheField>
    <cacheField name="On Hand" numFmtId="0">
      <sharedItems containsSemiMixedTypes="0" containsString="0" containsNumber="1" minValue="0.03" maxValue="35600"/>
    </cacheField>
    <cacheField name="Available" numFmtId="0">
      <sharedItems containsSemiMixedTypes="0" containsString="0" containsNumber="1" containsInteger="1" minValue="0" maxValue="0"/>
    </cacheField>
    <cacheField name="Status" numFmtId="0">
      <sharedItems/>
    </cacheField>
    <cacheField name="Lottable 02" numFmtId="0">
      <sharedItems/>
    </cacheField>
    <cacheField name="Lottable 03" numFmtId="0">
      <sharedItems/>
    </cacheField>
    <cacheField name="Expiration Date" numFmtId="14">
      <sharedItems containsSemiMixedTypes="0" containsNonDate="0" containsDate="1" containsString="0" minDate="2024-01-31T00:00:00" maxDate="2100-01-01T00:00:00"/>
    </cacheField>
    <cacheField name="Lottable 06" numFmtId="0">
      <sharedItems/>
    </cacheField>
    <cacheField name="Gr. Weight" numFmtId="0">
      <sharedItems containsSemiMixedTypes="0" containsString="0" containsNumber="1" minValue="0" maxValue="1.034"/>
    </cacheField>
    <cacheField name="Pallet Qty" numFmtId="0">
      <sharedItems containsSemiMixedTypes="0" containsString="0" containsNumber="1" containsInteger="1" minValue="0" maxValue="20000"/>
    </cacheField>
    <cacheField name="Weight" numFmtId="0">
      <sharedItems containsSemiMixedTypes="0" containsString="0" containsNumber="1" minValue="0" maxValue="268.8"/>
    </cacheField>
    <cacheField name="Pallet" numFmtId="0">
      <sharedItems containsString="0" containsBlank="1" containsNumber="1" minValue="3.472222222222222E-6" maxValue="1.0860606060606062" count="479">
        <n v="0.82933333333333337"/>
        <n v="0.87783333333333335"/>
        <n v="6.9444444444444447E-4"/>
        <n v="3.4722222222222224E-4"/>
        <n v="5.2910052910052914E-4"/>
        <n v="1.0582010582010583E-3"/>
        <n v="2.6455026455026457E-4"/>
        <n v="2.91005291005291E-3"/>
        <n v="3.7037037037037035E-4"/>
        <n v="2.0833333333333333E-3"/>
        <n v="1.5625000000000001E-3"/>
        <n v="3.5714285714285713E-3"/>
        <n v="1.1904761904761906E-3"/>
        <n v="4.1666666666666666E-3"/>
        <n v="2.3809523809523812E-3"/>
        <n v="8.9583333333333338E-3"/>
        <m/>
        <n v="1.3333333333333334E-2"/>
        <n v="1.3020833333333333E-3"/>
        <n v="1.953125E-3"/>
        <n v="4.557291666666667E-3"/>
        <n v="3.2552083333333335E-3"/>
        <n v="1.6927083333333332E-2"/>
        <n v="1.1067708333333334E-2"/>
        <n v="5.859375E-3"/>
        <n v="7.8125E-3"/>
        <n v="9.1145833333333339E-3"/>
        <n v="1.0416666666666666E-2"/>
        <n v="6.1197916666666664E-2"/>
        <n v="4.2317708333333336E-2"/>
        <n v="3.3203125E-2"/>
        <n v="2.734375E-2"/>
        <n v="1.3020833333333334E-2"/>
        <n v="0.10677083333333333"/>
        <n v="2.8645833333333332E-2"/>
        <n v="6.5104166666666663E-4"/>
        <n v="5.208333333333333E-3"/>
        <n v="3.90625E-3"/>
        <n v="1.011904761904762E-2"/>
        <n v="3.8194444444444443E-3"/>
        <n v="3.3482142857142855E-3"/>
        <n v="2.976190476190476E-3"/>
        <n v="1.488095238095238E-3"/>
        <n v="7.068452380952381E-3"/>
        <n v="2.6041666666666665E-3"/>
        <n v="1.1160714285714285E-3"/>
        <n v="1.8601190476190475E-3"/>
        <n v="4.092261904761905E-3"/>
        <n v="4.836309523809524E-3"/>
        <n v="5.9523809523809521E-3"/>
        <n v="3.720238095238095E-3"/>
        <n v="3.720238095238095E-4"/>
        <n v="7.4404761904761901E-4"/>
        <n v="2.232142857142857E-3"/>
        <n v="0.32673611111111112"/>
        <n v="1.7857142857142857E-3"/>
        <n v="1.3392857142857143E-3"/>
        <n v="8.9285714285714283E-4"/>
        <n v="4.4642857142857141E-4"/>
        <n v="2.6785714285714286E-3"/>
        <n v="4.0178571428571425E-3"/>
        <n v="3.1250000000000002E-3"/>
        <n v="0.44374999999999998"/>
        <n v="1.2276785714285714E-2"/>
        <n v="4.464285714285714E-3"/>
        <n v="8.5565476190476199E-3"/>
        <n v="2.4305555555555556E-3"/>
        <n v="2.7777777777777776E-2"/>
        <n v="1.8229166666666668E-2"/>
        <n v="5.2083333333333336E-2"/>
        <n v="1.736111111111111E-3"/>
        <n v="8.6805555555555551E-4"/>
        <n v="4.3402777777777776E-2"/>
        <n v="4.0798611111111112E-2"/>
        <n v="2.0833333333333332E-2"/>
        <n v="9.5486111111111119E-3"/>
        <n v="1.9965277777777776E-2"/>
        <n v="2.1043771043771043E-4"/>
        <n v="0.12622826908541193"/>
        <n v="2.6455026455026454E-3"/>
        <n v="2.9761904761904765E-4"/>
        <n v="6.8576388888888895E-2"/>
        <n v="3.90625E-2"/>
        <n v="1.6666666666666668E-3"/>
        <n v="8.3333333333333339E-4"/>
        <n v="1.1532738095238096E-2"/>
        <n v="9.300595238095238E-3"/>
        <n v="7.5000000000000006E-3"/>
        <n v="7.1428571428571426E-3"/>
        <n v="3.4722222222222224E-2"/>
        <n v="5.2083333333333333E-4"/>
        <n v="1.0416666666666667E-3"/>
        <n v="1.1904761904761904E-2"/>
        <n v="9.5238095238095247E-3"/>
        <n v="4.7619047619047623E-3"/>
        <n v="1.2500000000000001E-2"/>
        <n v="1.4285714285714285E-2"/>
        <n v="8.1845238095238099E-3"/>
        <n v="5.5555555555555556E-4"/>
        <n v="1.3888888888888888E-2"/>
        <n v="8.9285714285714281E-3"/>
        <n v="2.2023809523809525E-2"/>
        <n v="1.8452380952380953E-2"/>
        <n v="0.80677083333333333"/>
        <n v="1"/>
        <n v="1.7361111111111112E-2"/>
        <n v="5.2951388888888888E-2"/>
        <n v="6.9444444444444441E-3"/>
        <n v="1.9097222222222224E-2"/>
        <n v="7.7380952380952384E-3"/>
        <n v="1.0714285714285714E-2"/>
        <n v="2.5173611111111112E-2"/>
        <n v="8.6805555555555559E-3"/>
        <n v="1.3888888888888889E-4"/>
        <n v="1.3888888888888889E-3"/>
        <n v="7.8125000000000004E-4"/>
        <n v="1.4136904761904762E-2"/>
        <n v="5.580357142857143E-3"/>
        <n v="2.4305555555555556E-2"/>
        <n v="3.4523809523809526E-2"/>
        <n v="3.8095238095238099E-2"/>
        <n v="5.185185185185185E-3"/>
        <n v="3.968253968253968E-3"/>
        <n v="8.0808080808080808E-4"/>
        <n v="2.2569444444444444E-2"/>
        <n v="0.33616161616161616"/>
        <n v="0.10464646464646464"/>
        <n v="2.4242424242424242E-3"/>
        <n v="3.2323232323232323E-3"/>
        <n v="1.0860606060606062"/>
        <n v="4.0404040404040404E-4"/>
        <n v="4.8484848484848485E-3"/>
        <n v="1.984126984126984E-3"/>
        <n v="4.0584415584415587E-4"/>
        <n v="1.1111111111111111E-3"/>
        <n v="2.7056277056277055E-3"/>
        <n v="1.0822510822510823E-3"/>
        <n v="1.7857142857142856E-2"/>
        <n v="2.5974025974025976E-2"/>
        <n v="3.4632034632034632E-2"/>
        <n v="1.5376984126984126E-2"/>
        <n v="0.66567460317460314"/>
        <n v="6.4935064935064939E-3"/>
        <n v="1.6233766233766235E-3"/>
        <n v="8.0086580086580081E-2"/>
        <n v="5.627705627705628E-2"/>
        <n v="3.246753246753247E-3"/>
        <n v="0.14556277056277056"/>
        <n v="4.96031746031746E-4"/>
        <n v="1.8939393939393939E-4"/>
        <n v="9.7222222222222224E-3"/>
        <n v="1.0648148148148148E-2"/>
        <n v="1.1309523809523809E-2"/>
        <n v="5.9523809523809529E-4"/>
        <n v="1.4814814814814814E-3"/>
        <n v="6.5476190476190478E-3"/>
        <n v="3.7878787878787879E-4"/>
        <n v="1.3095238095238096E-2"/>
        <n v="3.3333333333333332E-4"/>
        <n v="1.6161616161616162E-3"/>
        <n v="1.4545454545454545E-2"/>
        <n v="3.6363636363636364E-3"/>
        <n v="1.6161616161616162E-2"/>
        <n v="3.8461538461538464E-3"/>
        <n v="6.0606060606060606E-3"/>
        <n v="2.0202020202020202E-3"/>
        <n v="4.0404040404040404E-3"/>
        <n v="4.4444444444444444E-3"/>
        <n v="1.2121212121212121E-3"/>
        <n v="7.6767676767676768E-3"/>
        <n v="0.55434343434343436"/>
        <n v="2.8282828282828283E-3"/>
        <n v="5.0000000000000001E-4"/>
        <n v="5.3571428571428572E-3"/>
        <n v="9.9206349206349201E-4"/>
        <n v="2.492559523809524E-2"/>
        <n v="0.9694166666666667"/>
        <n v="1.2820512820512821E-3"/>
        <n v="1.8518518518518519E-3"/>
        <n v="2.3148148148148149E-4"/>
        <n v="2.4404761904761905E-2"/>
        <n v="3.8580246913580245E-4"/>
        <n v="3.9062500000000002E-4"/>
        <n v="1.4141414141414142E-2"/>
        <n v="1.2929292929292929E-2"/>
        <n v="5.6565656565656566E-3"/>
        <n v="8.6464646464646466E-2"/>
        <n v="0.1486868686868687"/>
        <n v="6.0606060606060608E-2"/>
        <n v="8.8888888888888889E-3"/>
        <n v="0.66666666666666663"/>
        <n v="0.15151515151515152"/>
        <n v="5.6818181818181815E-4"/>
        <n v="4.6296296296296298E-4"/>
        <n v="4.1666666666666664E-2"/>
        <n v="3.0555555555555555E-2"/>
        <n v="3.3333333333333333E-2"/>
        <n v="1.0101010101010102E-2"/>
        <n v="9.8379629629629633E-3"/>
        <n v="0.7278787878787879"/>
        <n v="0.78666666666666663"/>
        <n v="2.3214285714285715E-2"/>
        <n v="3.3535353535353536E-2"/>
        <n v="1.7777777777777779E-3"/>
        <n v="4.4444444444444447E-4"/>
        <n v="9.2592592592592596E-4"/>
        <n v="3.7326388888888888E-2"/>
        <n v="1.5625E-2"/>
        <n v="3.0952380952380953E-2"/>
        <n v="0.04"/>
        <n v="1.1574074074074073E-3"/>
        <n v="7.716049382716049E-4"/>
        <n v="1.636904761904762E-2"/>
        <n v="5.7870370370370367E-4"/>
        <n v="1.5873015873015873E-3"/>
        <n v="4.0000000000000002E-4"/>
        <n v="2.2727272727272726E-3"/>
        <n v="5.7777777777777775E-2"/>
        <n v="0.12572685185185184"/>
        <n v="1.1111111111111112E-4"/>
        <n v="7.4404761904761901E-3"/>
        <n v="6.6964285714285711E-3"/>
        <n v="2.269345238095238E-2"/>
        <n v="1.488095238095238E-2"/>
        <n v="6.8686868686868687E-3"/>
        <n v="1.090909090909091E-2"/>
        <n v="2.5000000000000001E-3"/>
        <n v="2.05761316872428E-3"/>
        <n v="4.1666666666666669E-4"/>
        <n v="3.5714285714285712E-2"/>
        <n v="7.7303648732220164E-4"/>
        <n v="2.5000000000000001E-2"/>
        <n v="3.472222222222222E-6"/>
        <n v="2.1205357142857144E-2"/>
        <n v="2.194940476190476E-2"/>
        <n v="0.11458333333333333"/>
        <n v="1.6493055555555556E-2"/>
        <n v="6.9444444444444448E-2"/>
        <n v="7.5757575757575758E-4"/>
        <n v="2.7777777777777779E-3"/>
        <n v="6.3775510204081628E-4"/>
        <n v="8.5034013605442174E-4"/>
        <n v="3.3333333333333335E-3"/>
        <n v="0.20297619047619048"/>
        <n v="5.9523809523809521E-2"/>
        <n v="3.6309523809523812E-2"/>
        <n v="8.9880952380952381E-2"/>
        <n v="3.6830357142857144E-2"/>
        <n v="8.4821428571428575E-2"/>
        <n v="0.23368055555555556"/>
        <n v="5.9895833333333336E-2"/>
        <n v="3.472222222222222E-3"/>
        <n v="2.6909722222222224E-2"/>
        <n v="4.4270833333333336E-2"/>
        <n v="3.0357142857142857E-2"/>
        <n v="7.5892857142857142E-3"/>
        <n v="3.5807291666666664E-2"/>
        <n v="2.2395833333333334E-2"/>
        <n v="5.6250000000000001E-2"/>
        <n v="5.5944055944055944E-4"/>
        <n v="2.0833333333333335E-4"/>
        <n v="6.076388888888889E-3"/>
        <n v="4.340277777777778E-3"/>
        <n v="2.1701388888888888E-2"/>
        <n v="6.5972222222222222E-3"/>
        <n v="2.6190476190476191E-2"/>
        <n v="2.4553571428571428E-2"/>
        <n v="2.6041666666666666E-4"/>
        <n v="9.2929292929292938E-3"/>
        <n v="0.10698051948051948"/>
        <n v="5.7407407407407407E-2"/>
        <n v="2.9166666666666668E-3"/>
        <n v="2.6388888888888889E-2"/>
        <n v="7.0000000000000001E-3"/>
        <n v="1.3986013986013986E-4"/>
        <n v="1.2587412587412587E-3"/>
        <n v="5.4166666666666669E-3"/>
        <n v="4.6296296296296294E-3"/>
        <n v="2.7972027972027972E-4"/>
        <n v="3.0303030303030303E-3"/>
        <n v="4.6875E-2"/>
        <n v="3.2986111111111112E-2"/>
        <n v="8.59375E-2"/>
        <n v="5.5989583333333336E-2"/>
        <n v="7.161458333333333E-3"/>
        <n v="2.976190476190476E-2"/>
        <n v="2.0238095238095239E-2"/>
        <n v="1.0788690476190476E-2"/>
        <n v="6.324404761904762E-3"/>
        <n v="1.1160714285714286E-2"/>
        <n v="2.8571428571428571E-2"/>
        <n v="4.8611111111111112E-2"/>
        <n v="4.0064102564102561E-3"/>
        <n v="4.0064102564102563E-4"/>
        <n v="2.3E-2"/>
        <n v="2.5595238095238095E-2"/>
        <n v="1.9047619047619049E-2"/>
        <n v="0.10535714285714286"/>
        <n v="5.5357142857142855E-2"/>
        <n v="2.8273809523809524E-2"/>
        <n v="0.05"/>
        <n v="2.9947916666666668E-2"/>
        <n v="2.9166666666666667E-2"/>
        <n v="5.0000000000000002E-5"/>
        <n v="1.2698412698412698E-3"/>
        <n v="1.4285714285714286E-3"/>
        <n v="7.1428571428571429E-4"/>
        <n v="4.8701298701298701E-4"/>
        <n v="7.1428571428571425E-2"/>
        <n v="4.7619047619047616E-2"/>
        <n v="0.11071428571428571"/>
        <n v="3.1994047619047616E-2"/>
        <n v="1.6517857142857143E-2"/>
        <n v="2.3809523809523808E-2"/>
        <n v="1.2369791666666666E-2"/>
        <n v="9.3749999999999997E-3"/>
        <n v="6.2500000000000003E-3"/>
        <n v="8.3333333333333332E-3"/>
        <n v="2.1258503401360543E-4"/>
        <n v="2.7976190476190477E-2"/>
        <n v="6.4935064935064935E-4"/>
        <n v="2.48015873015873E-4"/>
        <n v="7.7256944444444448E-2"/>
        <n v="7.407407407407407E-4"/>
        <n v="8.9743589743589737E-3"/>
        <n v="1.1111111111111112E-2"/>
        <n v="5.1748251748251753E-3"/>
        <n v="5.5555555555555558E-3"/>
        <n v="2.3842592592592592E-2"/>
        <n v="2.0486111111111111E-2"/>
        <n v="1.0069444444444445E-2"/>
        <n v="6.7708333333333336E-3"/>
        <n v="2.1577380952380952E-2"/>
        <n v="0.88541666666666663"/>
        <n v="1.5997023809523808E-2"/>
        <n v="2.0089285714285716E-2"/>
        <n v="1.6319444444444445E-2"/>
        <n v="2.9017857142857144E-2"/>
        <n v="3.3854166666666664E-2"/>
        <n v="0.14479166666666668"/>
        <n v="3.273809523809524E-2"/>
        <n v="7.0238095238095238E-2"/>
        <n v="0.13263888888888889"/>
        <n v="2.7901785714285716E-2"/>
        <n v="1.8601190476190475E-4"/>
        <n v="1.9290123456790122E-3"/>
        <n v="9.0277777777777776E-2"/>
        <n v="1.1284722222222222E-2"/>
        <n v="3.5000000000000003E-2"/>
        <n v="1.7500000000000002E-2"/>
        <n v="0.14749999999999999"/>
        <n v="1.9531250000000001E-4"/>
        <n v="2.380952380952381E-4"/>
        <n v="4.9382716049382715E-3"/>
        <n v="4.3402777777777775E-4"/>
        <n v="0.34375"/>
        <n v="4.4583333333333336E-2"/>
        <n v="1.5046296296296295E-2"/>
        <n v="2.3148148148148147E-3"/>
        <n v="8.0952380952380946E-3"/>
        <n v="4.5238095238095237E-3"/>
        <n v="6.1728395061728394E-4"/>
        <n v="4.9382716049382717E-4"/>
        <n v="4.0777777777777781E-2"/>
        <n v="1.5432098765432098E-3"/>
        <n v="6.3888888888888884E-2"/>
        <n v="1.6666666666666666E-2"/>
        <n v="1.3636363636363637E-3"/>
        <n v="1.25E-3"/>
        <n v="6.3657407407407404E-3"/>
        <n v="2.1645021645021645E-4"/>
        <n v="1.607142857142857E-2"/>
        <n v="7.5231481481481477E-3"/>
        <n v="9.6153846153846159E-3"/>
        <n v="6.6666666666666664E-4"/>
        <n v="1.1142857142857144E-2"/>
        <n v="1.6000000000000001E-3"/>
        <n v="1.3333333333333334E-4"/>
        <n v="2.8935185185185184E-3"/>
        <n v="1.9290123456790122E-4"/>
        <n v="2.3437499999999999E-3"/>
        <n v="3.5156250000000001E-3"/>
        <n v="0.01"/>
        <n v="8.4444444444444437E-3"/>
        <n v="0.42727272727272725"/>
        <n v="1.5422077922077922E-2"/>
        <n v="1.2731481481481481E-2"/>
        <n v="8.8734567901234563E-3"/>
        <n v="8.666666666666667E-2"/>
        <n v="0.21333333333333335"/>
        <n v="2.57201646090535E-4"/>
        <n v="6.6666666666666671E-3"/>
        <n v="0.11474358974358974"/>
        <n v="3.1250000000000001E-4"/>
        <n v="9.583333333333334E-2"/>
        <n v="0.36653645833333331"/>
        <n v="0.24348958333333334"/>
        <n v="1.7261904761904763E-2"/>
        <n v="4.7222222222222221E-2"/>
        <n v="3.3482142857142856E-2"/>
        <n v="1.8880208333333332E-2"/>
        <n v="9.0277777777777769E-3"/>
        <n v="1.1805555555555555E-2"/>
        <n v="4.8611111111111112E-3"/>
        <n v="1.6666666666666666E-4"/>
        <n v="1.7708333333333333E-2"/>
        <n v="2.5694444444444443E-2"/>
        <n v="5.0505050505050505E-4"/>
        <n v="5.4012345679012343E-3"/>
        <n v="5.0154320987654318E-3"/>
        <n v="1.7361111111111112E-4"/>
        <n v="1.5277777777777777E-2"/>
        <n v="2.7006172839506171E-3"/>
        <n v="7.0861678004535147E-4"/>
        <n v="3.214285714285714E-2"/>
        <n v="1.3333333333333333E-3"/>
        <n v="0.30249999999999999"/>
        <n v="2.7777777777777778E-4"/>
        <n v="1.0146103896103895E-3"/>
        <n v="1.1038961038961039E-2"/>
        <n v="2.435064935064935E-3"/>
        <n v="6.084656084656085E-3"/>
        <n v="9.5779220779220776E-3"/>
        <n v="1.2152777777777778E-2"/>
        <n v="0.17447916666666666"/>
        <n v="1.8402777777777778E-2"/>
        <n v="2.1527777777777778E-2"/>
        <n v="6.510416666666667E-3"/>
        <n v="2.403846153846154E-3"/>
        <n v="8.3333333333333329E-2"/>
        <n v="0.64523809523809528"/>
        <n v="1.25E-4"/>
        <n v="3.7500000000000001E-4"/>
        <n v="7.5000000000000002E-4"/>
        <n v="6.2500000000000001E-4"/>
        <n v="5.7692307692307696E-2"/>
        <n v="1.1574074074074075E-4"/>
        <n v="1.5476190476190477E-2"/>
        <n v="1.4973958333333334E-2"/>
        <n v="8.4635416666666661E-3"/>
        <n v="0.16423611111111111"/>
        <n v="4.6874999999999998E-3"/>
        <n v="2.9012345679012345E-2"/>
        <n v="4.583333333333333E-2"/>
        <n v="3.6075036075036075E-4"/>
        <n v="2.0416666666666666E-2"/>
        <n v="0.86199999999999999"/>
        <n v="2.2222222222222223E-4"/>
        <n v="2.834467120181406E-4"/>
        <n v="8.3501683501683507E-2"/>
        <n v="1.5432098765432098E-2"/>
        <n v="9.3377976190476192E-2"/>
        <n v="5.6689342403628121E-2"/>
        <n v="2.170138888888889E-3"/>
        <n v="3.1597222222222221E-2"/>
        <n v="1.369047619047619E-2"/>
        <n v="1.3541666666666667E-2"/>
        <n v="2.5925925925925925E-2"/>
        <n v="2.34375E-2"/>
        <n v="1.8601190476190476E-2"/>
        <n v="1.3764880952380952E-2"/>
        <n v="3.6458333333333336E-2"/>
        <n v="2.5000000000000001E-4"/>
        <n v="0.10416666666666667"/>
        <n v="2.0576131687242798E-4"/>
        <n v="1.0101010101010101E-3"/>
        <n v="5.3819444444444448E-2"/>
        <n v="7.215007215007215E-4"/>
        <n v="2.0461309523809524E-2"/>
        <n v="4.4791666666666667E-2"/>
        <n v="2.1484375E-2"/>
        <n v="9.765625E-3"/>
        <n v="4.5138888888888885E-3"/>
        <n v="1.8749999999999999E-2"/>
        <n v="3.5119047619047619E-2"/>
        <n v="1.4756944444444444E-2"/>
        <n v="1.00625E-2"/>
        <n v="1.6203703703703703E-3"/>
        <n v="4.2517006802721087E-4"/>
      </sharedItems>
    </cacheField>
    <cacheField name="Zone" numFmtId="0">
      <sharedItems count="7">
        <s v="Q27-01"/>
        <s v="Q26-03"/>
        <s v="Q26-01"/>
        <s v="QM4-01"/>
        <s v="Q27-03"/>
        <s v="Q26-02"/>
        <s v="QC1-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74">
  <r>
    <s v="HOANGDUC"/>
    <s v="GA1100008"/>
    <s v="NADAXENA 500 (HOP/30 VIEN)"/>
    <s v="Q27-01-3-1"/>
    <s v="000109515"/>
    <n v="4976"/>
    <n v="0"/>
    <s v="HOLD"/>
    <s v="VN-21927-19"/>
    <s v="0000019617"/>
    <d v="2026-02-01T00:00:00"/>
    <s v="12763452"/>
    <n v="0.03"/>
    <n v="6000"/>
    <n v="149.28"/>
    <x v="0"/>
    <x v="0"/>
  </r>
  <r>
    <s v="HOANGDUC"/>
    <s v="GA1100008"/>
    <s v="NADAXENA 500 (HOP/30 VIEN)"/>
    <s v="Q27-01-4-1"/>
    <s v="LPN010912"/>
    <n v="5267"/>
    <n v="0"/>
    <s v="HOLD"/>
    <s v="VN-21927-19"/>
    <s v="0000019617"/>
    <d v="2026-02-01T00:00:00"/>
    <s v="12763458"/>
    <n v="0.03"/>
    <n v="6000"/>
    <n v="158.01"/>
    <x v="1"/>
    <x v="0"/>
  </r>
  <r>
    <s v="HOANGDUC"/>
    <s v="AZ1100007"/>
    <s v="NOLVADEX-D TAB 20MG BL 3X10 EA VN"/>
    <s v="Q26-03-2-1"/>
    <s v="000126586"/>
    <n v="2"/>
    <n v="0"/>
    <s v="HOLD"/>
    <s v="VN-19007-15"/>
    <s v="0000022146"/>
    <d v="2028-05-10T00:00:00"/>
    <s v="SK695"/>
    <n v="2.9000000000000001E-2"/>
    <n v="2880"/>
    <n v="5.8000000000000003E-2"/>
    <x v="2"/>
    <x v="1"/>
  </r>
  <r>
    <s v="HOANGDUC"/>
    <s v="AZ1100007"/>
    <s v="NOLVADEX-D TAB 20MG BL 3X10 EA VN"/>
    <s v="Q26-03-2-1"/>
    <s v="000129234"/>
    <n v="1"/>
    <n v="0"/>
    <s v="HOLD"/>
    <s v="VN-19007-15"/>
    <s v="0000022624"/>
    <d v="2028-05-10T00:00:00"/>
    <s v="SK695"/>
    <n v="2.9000000000000001E-2"/>
    <n v="2880"/>
    <n v="2.9000000000000001E-2"/>
    <x v="3"/>
    <x v="1"/>
  </r>
  <r>
    <s v="HOANGDUC"/>
    <s v="AZ1100007"/>
    <s v="NOLVADEX-D TAB 20MG BL 3X10 EA VN"/>
    <s v="Q26-03-2-1"/>
    <s v="000133951"/>
    <n v="2"/>
    <n v="0"/>
    <s v="HOLD"/>
    <s v="VN-19007-15"/>
    <s v="0000023476"/>
    <d v="2028-06-14T00:00:00"/>
    <s v="SL539"/>
    <n v="2.9000000000000001E-2"/>
    <n v="2880"/>
    <n v="5.8000000000000003E-2"/>
    <x v="2"/>
    <x v="1"/>
  </r>
  <r>
    <s v="HOANGDUC"/>
    <s v="AV1100021"/>
    <s v="ALFUTOR ER TABLETS 10MG (HOP/30VIEN)"/>
    <s v="Q26-01-8-2"/>
    <s v="LPN006528"/>
    <n v="2"/>
    <n v="0"/>
    <s v="HOLD"/>
    <s v="890110437723"/>
    <s v="0000023605"/>
    <d v="2026-03-04T00:00:00"/>
    <s v="BGP9L002"/>
    <n v="2.8000000000000001E-2"/>
    <n v="3780"/>
    <n v="5.6000000000000001E-2"/>
    <x v="4"/>
    <x v="2"/>
  </r>
  <r>
    <s v="HOANGDUC"/>
    <s v="AV1100021"/>
    <s v="ALFUTOR ER TABLETS 10MG (HOP/30VIEN)"/>
    <s v="Q26-01-8-2"/>
    <s v="LPN006537"/>
    <n v="4"/>
    <n v="0"/>
    <s v="HOLD"/>
    <s v="890110437723"/>
    <s v="0000023605"/>
    <d v="2026-03-04T00:00:00"/>
    <s v="BGP9L002"/>
    <n v="2.8000000000000001E-2"/>
    <n v="3780"/>
    <n v="0.112"/>
    <x v="5"/>
    <x v="2"/>
  </r>
  <r>
    <s v="HOANGDUC"/>
    <s v="AV1100021"/>
    <s v="ALFUTOR ER TABLETS 10MG (HOP/30VIEN)"/>
    <s v="Q26-01-1-1"/>
    <s v="LPN010318"/>
    <n v="1"/>
    <n v="0"/>
    <s v="HOLD"/>
    <s v="890110437723"/>
    <s v="0000023605"/>
    <d v="2026-03-04T00:00:00"/>
    <s v="BGP9L001"/>
    <n v="2.8000000000000001E-2"/>
    <n v="3780"/>
    <n v="2.8000000000000001E-2"/>
    <x v="6"/>
    <x v="2"/>
  </r>
  <r>
    <s v="HOANGDUC"/>
    <s v="AV1100021"/>
    <s v="ALFUTOR ER TABLETS 10MG (HOP/30VIEN)"/>
    <s v="Q26-01-8-2"/>
    <s v="LPN006495"/>
    <n v="2"/>
    <n v="0"/>
    <s v="HOLD"/>
    <s v="890110437723"/>
    <s v="0000023605"/>
    <d v="2026-03-04T00:00:00"/>
    <s v="BGP9L001"/>
    <n v="2.8000000000000001E-2"/>
    <n v="3780"/>
    <n v="5.6000000000000001E-2"/>
    <x v="4"/>
    <x v="2"/>
  </r>
  <r>
    <s v="HOANGDUC"/>
    <s v="AV1100021"/>
    <s v="ALFUTOR ER TABLETS 10MG (HOP/30VIEN)"/>
    <s v="Q26-01-8-2"/>
    <s v="LPN006510"/>
    <n v="11"/>
    <n v="0"/>
    <s v="HOLD"/>
    <s v="890110437723"/>
    <s v="0000023605"/>
    <d v="2026-03-04T00:00:00"/>
    <s v="BGP9L001"/>
    <n v="2.8000000000000001E-2"/>
    <n v="3780"/>
    <n v="0.308"/>
    <x v="7"/>
    <x v="2"/>
  </r>
  <r>
    <s v="HOANGDUC"/>
    <s v="AV1300026"/>
    <s v="ALLSILVER 15G (HOP/ 1 TUYP)"/>
    <s v="Q26-01-8-2"/>
    <s v="LPN006546"/>
    <n v="5"/>
    <n v="0"/>
    <s v="HOLD"/>
    <s v="VN-23146-22"/>
    <s v="0000023719"/>
    <d v="2026-03-09T00:00:00"/>
    <s v="C415"/>
    <n v="2.5999999999999999E-2"/>
    <n v="7200"/>
    <n v="0.13"/>
    <x v="2"/>
    <x v="2"/>
  </r>
  <r>
    <s v="HOANGDUC"/>
    <s v="AV1300028"/>
    <s v="ACARWIN 15G (HOP/1 TUYP)"/>
    <s v="Q26-03-4-1"/>
    <s v="LPN006549"/>
    <n v="2"/>
    <n v="0"/>
    <s v="HOLD"/>
    <s v="890110421323"/>
    <s v="0000023719"/>
    <d v="2027-03-09T00:00:00"/>
    <s v="C418"/>
    <n v="2.4E-2"/>
    <n v="5400"/>
    <n v="4.8000000000000001E-2"/>
    <x v="8"/>
    <x v="1"/>
  </r>
  <r>
    <s v="M00106"/>
    <s v="SC6100024"/>
    <s v="OSTEOCARE CHEWABLE (HOP/30 VIEN)"/>
    <s v="Q27-01-2-1"/>
    <s v="LPN006669"/>
    <n v="4"/>
    <n v="0"/>
    <s v="HOLD"/>
    <s v="9529/2023/ĐKSP"/>
    <s v="0000023979"/>
    <d v="2026-02-28T00:00:00"/>
    <s v="F169385"/>
    <n v="9.6000000000000002E-2"/>
    <n v="1920"/>
    <n v="0.38400000000000001"/>
    <x v="9"/>
    <x v="0"/>
  </r>
  <r>
    <s v="M00106"/>
    <s v="SC6100024"/>
    <s v="OSTEOCARE CHEWABLE (HOP/30 VIEN)"/>
    <s v="Q27-01-4-2"/>
    <s v="LPN006668"/>
    <n v="3"/>
    <n v="0"/>
    <s v="HOLD"/>
    <s v="9529/2023/ĐKSP"/>
    <s v="0000023979"/>
    <d v="2026-02-28T00:00:00"/>
    <s v="F169385"/>
    <n v="9.6000000000000002E-2"/>
    <n v="1920"/>
    <n v="0.28800000000000003"/>
    <x v="10"/>
    <x v="0"/>
  </r>
  <r>
    <s v="M00106"/>
    <s v="SC6100002"/>
    <s v="FEROGLOBIN B12 LIQUID 200ML"/>
    <s v="Q26-01-9-2"/>
    <s v="LPN006657"/>
    <n v="6"/>
    <n v="0"/>
    <s v="HOLD"/>
    <s v="8974/2019/ĐKSP"/>
    <s v="0000023979"/>
    <d v="2026-02-28T00:00:00"/>
    <s v="40426"/>
    <n v="0.3"/>
    <n v="1680"/>
    <n v="1.7999999999999998"/>
    <x v="11"/>
    <x v="2"/>
  </r>
  <r>
    <s v="M00106"/>
    <s v="SC6100002"/>
    <s v="FEROGLOBIN B12 LIQUID 200ML"/>
    <s v="Q27-01-1-1"/>
    <s v="LPN006710"/>
    <n v="2"/>
    <n v="0"/>
    <s v="HOLD"/>
    <s v="8974/2019/ĐKSP"/>
    <s v="0000023979"/>
    <d v="2026-02-28T00:00:00"/>
    <s v="40426"/>
    <n v="0.3"/>
    <n v="1680"/>
    <n v="0.6"/>
    <x v="12"/>
    <x v="0"/>
  </r>
  <r>
    <s v="M00106"/>
    <s v="SC6100002"/>
    <s v="FEROGLOBIN B12 LIQUID 200ML"/>
    <s v="Q27-01-2-1"/>
    <s v="LPN006646"/>
    <n v="7"/>
    <n v="0"/>
    <s v="HOLD"/>
    <s v="8974/2019/ĐKSP"/>
    <s v="0000023979"/>
    <d v="2026-02-28T00:00:00"/>
    <s v="40426"/>
    <n v="0.3"/>
    <n v="1680"/>
    <n v="2.1"/>
    <x v="13"/>
    <x v="0"/>
  </r>
  <r>
    <s v="M00106"/>
    <s v="SC6100002"/>
    <s v="FEROGLOBIN B12 LIQUID 200ML"/>
    <s v="Q27-01-4-2"/>
    <s v="LPN006658"/>
    <n v="4"/>
    <n v="0"/>
    <s v="HOLD"/>
    <s v="8974/2019/ĐKSP"/>
    <s v="0000023979"/>
    <d v="2026-02-28T00:00:00"/>
    <s v="40426"/>
    <n v="0.3"/>
    <n v="1680"/>
    <n v="1.2"/>
    <x v="14"/>
    <x v="0"/>
  </r>
  <r>
    <s v="HOANGDUC"/>
    <s v="RH7300163"/>
    <s v="NXTP ACNES SEALING JELL 18G"/>
    <s v="Q27-01-1-1"/>
    <s v="LPN010325"/>
    <n v="43"/>
    <n v="0"/>
    <s v="HOLD"/>
    <s v="NOVISA"/>
    <s v="51-130741"/>
    <d v="2025-10-07T00:00:00"/>
    <s v="JY02"/>
    <n v="3.4000000000000002E-2"/>
    <n v="4800"/>
    <n v="1.4620000000000002"/>
    <x v="15"/>
    <x v="0"/>
  </r>
  <r>
    <s v="HOANGDUC"/>
    <s v="MT1884004HR"/>
    <s v="BLADE 1884004HR TRICUT 5PK 4MM ROTATE (1BOX=5EA)"/>
    <s v="Q27-01-1-1"/>
    <s v="000051167"/>
    <n v="2"/>
    <n v="0"/>
    <s v="HOLD"/>
    <s v="NOVISA"/>
    <s v=" "/>
    <d v="2026-01-13T00:00:00"/>
    <s v="0223627717"/>
    <n v="0.63800000000000001"/>
    <n v="0"/>
    <n v="1.276"/>
    <x v="16"/>
    <x v="0"/>
  </r>
  <r>
    <s v="HOANGDUC"/>
    <s v="MT1884004HR"/>
    <s v="BLADE 1884004HR TRICUT 5PK 4MM ROTATE (1BOX=5EA)"/>
    <s v="Q27-01-1-1"/>
    <s v="000063160"/>
    <n v="1"/>
    <n v="0"/>
    <s v="HOLD"/>
    <s v="NOVISA"/>
    <s v=" "/>
    <d v="2026-01-13T00:00:00"/>
    <s v="0223627717"/>
    <n v="0.63800000000000001"/>
    <n v="0"/>
    <n v="0.63800000000000001"/>
    <x v="16"/>
    <x v="0"/>
  </r>
  <r>
    <s v="HOANGDUC"/>
    <s v="RH7300163"/>
    <s v="NXTP ACNES SEALING JELL 18G"/>
    <s v="Q27-01-1-1"/>
    <s v="LPN010325"/>
    <n v="64"/>
    <n v="0"/>
    <s v="HOLD"/>
    <s v="NOVISA"/>
    <s v=" "/>
    <d v="2025-10-07T00:00:00"/>
    <s v="JY02"/>
    <n v="3.4000000000000002E-2"/>
    <n v="4800"/>
    <n v="2.1760000000000002"/>
    <x v="17"/>
    <x v="0"/>
  </r>
  <r>
    <s v="HOANGDUC"/>
    <s v="MT1884006HR"/>
    <s v="BLADE 1884006HR RAD40 5PK M4 4MM ROTATE (1BOX=5EA)"/>
    <s v="Q27-01-1-1"/>
    <s v="000063166"/>
    <n v="4"/>
    <n v="0"/>
    <s v="HOLD"/>
    <s v="NOVISA"/>
    <s v=" "/>
    <d v="2026-01-06T00:00:00"/>
    <s v="0223576829"/>
    <n v="0.17199999999999999"/>
    <n v="0"/>
    <n v="0.68799999999999994"/>
    <x v="16"/>
    <x v="0"/>
  </r>
  <r>
    <s v="HOANGDUC"/>
    <s v="MT31135066"/>
    <s v="BUR 31135066 5MM FINE DIAMOND LONG"/>
    <s v="Q27-01-1-1"/>
    <s v="000071436"/>
    <n v="5"/>
    <n v="0"/>
    <s v="HOLD"/>
    <s v="NOVISA"/>
    <s v=" "/>
    <d v="2026-02-02T00:00:00"/>
    <s v="0223738840"/>
    <n v="0.1"/>
    <n v="0"/>
    <n v="0.5"/>
    <x v="16"/>
    <x v="0"/>
  </r>
  <r>
    <s v="HOANGDUC"/>
    <s v="MT1884004HR"/>
    <s v="BLADE 1884004HR TRICUT 5PK 4MM ROTATE (1BOX=5EA)"/>
    <s v="Q27-01-1-1"/>
    <s v="000063161"/>
    <n v="4"/>
    <n v="0"/>
    <s v="HOLD"/>
    <s v="NOVISA"/>
    <s v=" "/>
    <d v="2026-01-26T00:00:00"/>
    <s v="0223696876"/>
    <n v="0.63800000000000001"/>
    <n v="0"/>
    <n v="2.552"/>
    <x v="16"/>
    <x v="0"/>
  </r>
  <r>
    <s v="HOANGDUC"/>
    <s v="MT1884004HR"/>
    <s v="BLADE 1884004HR TRICUT 5PK 4MM ROTATE (1BOX=5EA)"/>
    <s v="Q27-01-1-1"/>
    <s v="000063165"/>
    <n v="1"/>
    <n v="0"/>
    <s v="HOLD"/>
    <s v="NOVISA"/>
    <s v=" "/>
    <d v="2026-01-26T00:00:00"/>
    <s v="0223696876"/>
    <n v="0.63800000000000001"/>
    <n v="0"/>
    <n v="0.63800000000000001"/>
    <x v="16"/>
    <x v="0"/>
  </r>
  <r>
    <s v="HOANGDUC"/>
    <s v="MT1884006HR"/>
    <s v="BLADE 1884006HR RAD40 5PK M4 4MM ROTATE (1BOX=5EA)"/>
    <s v="Q27-01-1-1"/>
    <s v="000062160"/>
    <n v="1"/>
    <n v="0"/>
    <s v="HOLD"/>
    <s v="NOVISA"/>
    <s v=" "/>
    <d v="2026-02-21T00:00:00"/>
    <s v="0223846377"/>
    <n v="0.17199999999999999"/>
    <n v="0"/>
    <n v="0.17199999999999999"/>
    <x v="16"/>
    <x v="0"/>
  </r>
  <r>
    <s v="HOANGDUC"/>
    <s v="MT31136058"/>
    <s v="BUR 31136058 6MM FINE DIAMOND MED LENGTH"/>
    <s v="Q27-01-1-1"/>
    <s v="000075279"/>
    <n v="5"/>
    <n v="0"/>
    <s v="HOLD"/>
    <s v="NOVISA"/>
    <s v=" "/>
    <d v="2025-12-14T00:00:00"/>
    <s v="0223502078"/>
    <n v="0.10199999999999999"/>
    <n v="0"/>
    <n v="0.51"/>
    <x v="16"/>
    <x v="0"/>
  </r>
  <r>
    <s v="HOANGDUC"/>
    <s v="RH7300211"/>
    <s v="KM DUNG DICH DUONG AM DA THUONG (HADA LABO ADVANCED NOURISH"/>
    <s v="Q27-01-6-2"/>
    <s v="LPN011305"/>
    <n v="21"/>
    <n v="0"/>
    <s v="HOLD"/>
    <s v="NOVISA"/>
    <s v=" "/>
    <d v="2026-03-26T00:00:00"/>
    <s v="CY03A"/>
    <n v="0"/>
    <n v="0"/>
    <n v="0"/>
    <x v="16"/>
    <x v="0"/>
  </r>
  <r>
    <s v="HOANGDUC"/>
    <s v="MT1884006HR"/>
    <s v="BLADE 1884006HR RAD40 5PK M4 4MM ROTATE (1BOX=5EA)"/>
    <s v="Q27-01-1-1"/>
    <s v="000063162"/>
    <n v="1"/>
    <n v="0"/>
    <s v="HOLD"/>
    <s v="NOVISA"/>
    <s v=" "/>
    <d v="2025-12-05T00:00:00"/>
    <s v="0223441675"/>
    <n v="0.17199999999999999"/>
    <n v="0"/>
    <n v="0.17199999999999999"/>
    <x v="16"/>
    <x v="0"/>
  </r>
  <r>
    <s v="HOANGDUC"/>
    <s v="MT1884006HR"/>
    <s v="BLADE 1884006HR RAD40 5PK M4 4MM ROTATE (1BOX=5EA)"/>
    <s v="Q27-01-1-1"/>
    <s v="000062159"/>
    <n v="4"/>
    <n v="0"/>
    <s v="HOLD"/>
    <s v="NOVISA"/>
    <s v=" "/>
    <d v="2026-02-13T00:00:00"/>
    <s v="0223793511"/>
    <n v="0.17199999999999999"/>
    <n v="0"/>
    <n v="0.68799999999999994"/>
    <x v="16"/>
    <x v="0"/>
  </r>
  <r>
    <s v="HOANGDUC"/>
    <s v="TT1300358"/>
    <s v="NHAN PHU - CERADAN GENTLE CLEANSER 500ML"/>
    <s v="Q27-01-9-1"/>
    <s v="000123636"/>
    <n v="307"/>
    <n v="0"/>
    <s v="HOLD"/>
    <s v="NOVISA"/>
    <s v=" "/>
    <d v="2025-11-30T00:00:00"/>
    <s v="_"/>
    <n v="0"/>
    <n v="0"/>
    <n v="0"/>
    <x v="16"/>
    <x v="0"/>
  </r>
  <r>
    <s v="HOANGDUC"/>
    <s v="TT1300381"/>
    <s v="NHAN PHU - CERADAN GENTLE 50ML"/>
    <s v="Q27-01-9-1"/>
    <s v="000123638"/>
    <n v="1290"/>
    <n v="0"/>
    <s v="HOLD"/>
    <s v="NOVISA"/>
    <s v=" "/>
    <d v="2025-11-30T00:00:00"/>
    <s v="_"/>
    <n v="0"/>
    <n v="0"/>
    <n v="0"/>
    <x v="16"/>
    <x v="0"/>
  </r>
  <r>
    <s v="HOANGDUC"/>
    <s v="TT1300505"/>
    <s v="NHAN PHU FONTACTIV DIABEST 400G"/>
    <s v="Q27-01-9-1"/>
    <s v="000125010"/>
    <n v="75"/>
    <n v="0"/>
    <s v="HOLD"/>
    <s v="NOVISA"/>
    <s v=" "/>
    <d v="2025-12-14T00:00:00"/>
    <s v="_"/>
    <n v="0"/>
    <n v="0"/>
    <n v="0"/>
    <x v="16"/>
    <x v="0"/>
  </r>
  <r>
    <s v="HOANGDUC"/>
    <s v="TT1300507"/>
    <s v="NHAN PHU FONTACTIV COMPLETE 400G"/>
    <s v="Q27-01-9-1"/>
    <s v="000125012"/>
    <n v="1346"/>
    <n v="0"/>
    <s v="HOLD"/>
    <s v="NOVISA"/>
    <s v=" "/>
    <d v="2025-12-14T00:00:00"/>
    <s v="_"/>
    <n v="0"/>
    <n v="0"/>
    <n v="0"/>
    <x v="16"/>
    <x v="0"/>
  </r>
  <r>
    <s v="HOANGDUC"/>
    <s v="TT1300510"/>
    <s v="NHAN PHU KHONG GIA CARDIOACE TABLETS"/>
    <s v="Q27-01-9-1"/>
    <s v="000125257"/>
    <n v="1726"/>
    <n v="0"/>
    <s v="HOLD"/>
    <s v="NOVISA"/>
    <s v=" "/>
    <d v="2025-12-19T00:00:00"/>
    <s v="_"/>
    <n v="0"/>
    <n v="0"/>
    <n v="0"/>
    <x v="16"/>
    <x v="0"/>
  </r>
  <r>
    <s v="HOANGDUC"/>
    <s v="TT1300508"/>
    <s v="NHAN PHU FONTACTIV COMPLETE 800G"/>
    <s v="Q27-01-9-1"/>
    <s v="000125013"/>
    <n v="1196"/>
    <n v="0"/>
    <s v="HOLD"/>
    <s v="NOVISA"/>
    <s v=" "/>
    <d v="2025-12-14T00:00:00"/>
    <s v="_"/>
    <n v="0"/>
    <n v="0"/>
    <n v="0"/>
    <x v="16"/>
    <x v="0"/>
  </r>
  <r>
    <s v="HOANGDUC"/>
    <s v="TT1300506"/>
    <s v="NHAN PHU FONTACTIV DIABEST 800G"/>
    <s v="Q27-01-9-1"/>
    <s v="000125011"/>
    <n v="1096"/>
    <n v="0"/>
    <s v="HOLD"/>
    <s v="NOVISA"/>
    <s v=" "/>
    <d v="2025-12-14T00:00:00"/>
    <s v="_"/>
    <n v="0"/>
    <n v="0"/>
    <n v="0"/>
    <x v="16"/>
    <x v="0"/>
  </r>
  <r>
    <s v="M00106"/>
    <s v="TT1300164"/>
    <s v="NHAN PHU - CARDIOACE (H/30 VIEN)"/>
    <s v="QM4-01-1-1"/>
    <s v="000127460"/>
    <n v="2818"/>
    <n v="0"/>
    <s v="HOLD"/>
    <s v="NOVISA"/>
    <s v=" "/>
    <d v="2026-01-15T00:00:00"/>
    <s v="_"/>
    <n v="0"/>
    <n v="0"/>
    <n v="0"/>
    <x v="16"/>
    <x v="3"/>
  </r>
  <r>
    <s v="HOANGDUC"/>
    <s v="TT1300506"/>
    <s v="NHAN PHU FONTACTIV DIABEST 800G"/>
    <s v="QM4-01-1-1"/>
    <s v="000130519"/>
    <n v="598"/>
    <n v="0"/>
    <s v="HOLD"/>
    <s v="NOVISA"/>
    <s v=" "/>
    <d v="2026-02-26T00:00:00"/>
    <s v="_"/>
    <n v="0"/>
    <n v="0"/>
    <n v="0"/>
    <x v="16"/>
    <x v="3"/>
  </r>
  <r>
    <s v="HOANGDUC"/>
    <s v="TT1300505"/>
    <s v="NHAN PHU FONTACTIV DIABEST 400G"/>
    <s v="QM4-01-1-1"/>
    <s v="000130518"/>
    <n v="400"/>
    <n v="0"/>
    <s v="HOLD"/>
    <s v="NOVISA"/>
    <s v=" "/>
    <d v="2026-02-26T00:00:00"/>
    <s v="_"/>
    <n v="0"/>
    <n v="0"/>
    <n v="0"/>
    <x v="16"/>
    <x v="3"/>
  </r>
  <r>
    <s v="HOANGDUC"/>
    <s v="TT1300344"/>
    <s v="TOA - ENTCLEAR NASAL WASH BOTTLE 1.S"/>
    <s v="QM4-01-1-1"/>
    <s v="000131383"/>
    <n v="800"/>
    <n v="0"/>
    <s v="HOLD"/>
    <s v="NOVISA"/>
    <s v=" "/>
    <d v="2026-03-04T00:00:00"/>
    <s v="_"/>
    <n v="0"/>
    <n v="0"/>
    <n v="0"/>
    <x v="16"/>
    <x v="3"/>
  </r>
  <r>
    <s v="HOANGDUC"/>
    <s v="TT1300345"/>
    <s v="TOA - ENTCLEAR NASAL WASH POWDER 20.S"/>
    <s v="QM4-01-1-1"/>
    <s v="000131384"/>
    <n v="2500"/>
    <n v="0"/>
    <s v="HOLD"/>
    <s v="NOVISA"/>
    <s v=" "/>
    <d v="2026-03-04T00:00:00"/>
    <s v="_"/>
    <n v="0"/>
    <n v="0"/>
    <n v="0"/>
    <x v="16"/>
    <x v="3"/>
  </r>
  <r>
    <s v="HOANGDUC"/>
    <s v="TT1300009"/>
    <s v="NHAN PHU - ENTCLEAR NASAL WASH POWDER 20.S"/>
    <s v="QM4-01-1-1"/>
    <s v="000131386"/>
    <n v="3126"/>
    <n v="0"/>
    <s v="HOLD"/>
    <s v="NOVISA"/>
    <s v=" "/>
    <d v="2026-03-04T00:00:00"/>
    <s v="_"/>
    <n v="0"/>
    <n v="0"/>
    <n v="0"/>
    <x v="16"/>
    <x v="3"/>
  </r>
  <r>
    <s v="HOANGDUC"/>
    <s v="TT1300493"/>
    <s v="NHAN PHU KHONG GIA OSTEOCARE LIQUID"/>
    <s v="QM4-01-1-1"/>
    <s v="000136942"/>
    <n v="2484"/>
    <n v="0"/>
    <s v="HOLD"/>
    <s v="NOVISA"/>
    <s v=" "/>
    <d v="2026-05-03T00:00:00"/>
    <s v="_"/>
    <n v="0"/>
    <n v="0"/>
    <n v="0"/>
    <x v="16"/>
    <x v="3"/>
  </r>
  <r>
    <s v="HOANGDUC"/>
    <s v="TT1300421"/>
    <s v="NHAN PHU OCUVITE LUTEIN"/>
    <s v="Q27-01-9-1"/>
    <s v="000137425"/>
    <n v="4743"/>
    <n v="0"/>
    <s v="HOLD"/>
    <s v="NOVISA"/>
    <s v=" "/>
    <d v="2026-05-13T00:00:00"/>
    <s v="_"/>
    <n v="0"/>
    <n v="0"/>
    <n v="0"/>
    <x v="16"/>
    <x v="0"/>
  </r>
  <r>
    <s v="HOANGDUC"/>
    <s v="TT1300497"/>
    <s v="NHAN PHU KHONG GIA WELLBABY MULTI-VITAMIN LIQUID"/>
    <s v="QM4-01-1-1"/>
    <s v="000137424"/>
    <n v="2068"/>
    <n v="0"/>
    <s v="HOLD"/>
    <s v="NOVISA"/>
    <s v=" "/>
    <d v="2026-05-10T00:00:00"/>
    <s v="_"/>
    <n v="0"/>
    <n v="0"/>
    <n v="0"/>
    <x v="16"/>
    <x v="3"/>
  </r>
  <r>
    <s v="M00106"/>
    <s v="SC6100015"/>
    <s v="PREGNACARE PLUS OMEGA 3 (H/56 VIEN)"/>
    <s v="Q26-01-7-2"/>
    <s v="LPN006186"/>
    <n v="2"/>
    <n v="0"/>
    <s v="HOLD"/>
    <s v="9184/2019/ĐKSP"/>
    <s v="0000022554"/>
    <d v="2026-03-31T00:00:00"/>
    <s v="PP2347"/>
    <n v="9.2999999999999999E-2"/>
    <n v="1536"/>
    <n v="0.186"/>
    <x v="18"/>
    <x v="2"/>
  </r>
  <r>
    <s v="M00106"/>
    <s v="SC6100015"/>
    <s v="PREGNACARE PLUS OMEGA 3 (H/56 VIEN)"/>
    <s v="Q26-01-7-2"/>
    <s v="LPN006198"/>
    <n v="2"/>
    <n v="0"/>
    <s v="HOLD"/>
    <s v="9184/2019/ĐKSP"/>
    <s v="0000022554"/>
    <d v="2026-03-31T00:00:00"/>
    <s v="PP2347"/>
    <n v="9.2999999999999999E-2"/>
    <n v="1536"/>
    <n v="0.186"/>
    <x v="18"/>
    <x v="2"/>
  </r>
  <r>
    <s v="M00106"/>
    <s v="SC6100015"/>
    <s v="PREGNACARE PLUS OMEGA 3 (H/56 VIEN)"/>
    <s v="Q27-01-2-1"/>
    <s v="LPN006388"/>
    <n v="3"/>
    <n v="0"/>
    <s v="HOLD"/>
    <s v="9184/2019/ĐKSP"/>
    <s v="0000022554"/>
    <d v="2026-03-31T00:00:00"/>
    <s v="PP2347"/>
    <n v="9.2999999999999999E-2"/>
    <n v="1536"/>
    <n v="0.27900000000000003"/>
    <x v="19"/>
    <x v="0"/>
  </r>
  <r>
    <s v="M00106"/>
    <s v="SC6100015"/>
    <s v="PREGNACARE PLUS OMEGA 3 (H/56 VIEN)"/>
    <s v="Q27-01-4-2"/>
    <s v="LPN006161"/>
    <n v="7"/>
    <n v="0"/>
    <s v="HOLD"/>
    <s v="9184/2019/ĐKSP"/>
    <s v="0000022554"/>
    <d v="2026-03-31T00:00:00"/>
    <s v="PP2347"/>
    <n v="9.2999999999999999E-2"/>
    <n v="1536"/>
    <n v="0.65100000000000002"/>
    <x v="20"/>
    <x v="0"/>
  </r>
  <r>
    <s v="M00106"/>
    <s v="SC6100015"/>
    <s v="PREGNACARE PLUS OMEGA 3 (H/56 VIEN)"/>
    <s v="Q27-01-4-2"/>
    <s v="LPN006179"/>
    <n v="5"/>
    <n v="0"/>
    <s v="HOLD"/>
    <s v="9184/2019/ĐKSP"/>
    <s v="0000022554"/>
    <d v="2026-03-31T00:00:00"/>
    <s v="PP2347"/>
    <n v="9.2999999999999999E-2"/>
    <n v="1536"/>
    <n v="0.46499999999999997"/>
    <x v="21"/>
    <x v="0"/>
  </r>
  <r>
    <s v="M00106"/>
    <s v="SC6100015"/>
    <s v="PREGNACARE PLUS OMEGA 3 (H/56 VIEN)"/>
    <s v="Q26-01-9-2"/>
    <s v="LPN006938"/>
    <n v="3"/>
    <n v="0"/>
    <s v="HOLD"/>
    <s v="9184/2019/ĐKSP"/>
    <s v="0000022782"/>
    <d v="2026-05-31T00:00:00"/>
    <s v="PP2359"/>
    <n v="9.2999999999999999E-2"/>
    <n v="1536"/>
    <n v="0.27900000000000003"/>
    <x v="19"/>
    <x v="2"/>
  </r>
  <r>
    <s v="M00106"/>
    <s v="SC6100015"/>
    <s v="PREGNACARE PLUS OMEGA 3 (H/56 VIEN)"/>
    <s v="Q27-03-3-1"/>
    <s v="LPN006694"/>
    <n v="26"/>
    <n v="0"/>
    <s v="HOLD"/>
    <s v="9184/2019/ĐKSP"/>
    <s v="0000022782"/>
    <d v="2026-05-31T00:00:00"/>
    <s v="PP2359"/>
    <n v="9.2999999999999999E-2"/>
    <n v="1536"/>
    <n v="2.4180000000000001"/>
    <x v="22"/>
    <x v="4"/>
  </r>
  <r>
    <s v="M00106"/>
    <s v="SC6100015"/>
    <s v="PREGNACARE PLUS OMEGA 3 (H/56 VIEN)"/>
    <s v="Q27-03-3-1"/>
    <s v="LPN006970"/>
    <n v="17"/>
    <n v="0"/>
    <s v="HOLD"/>
    <s v="9184/2019/ĐKSP"/>
    <s v="0000022782"/>
    <d v="2026-05-31T00:00:00"/>
    <s v="PP2359"/>
    <n v="9.2999999999999999E-2"/>
    <n v="1536"/>
    <n v="1.581"/>
    <x v="23"/>
    <x v="4"/>
  </r>
  <r>
    <s v="M00106"/>
    <s v="SC6100015"/>
    <s v="PREGNACARE PLUS OMEGA 3 (H/56 VIEN)"/>
    <s v="Q27-03-3-1"/>
    <s v="LPN006994"/>
    <n v="9"/>
    <n v="0"/>
    <s v="HOLD"/>
    <s v="9184/2019/ĐKSP"/>
    <s v="0000022782"/>
    <d v="2026-05-31T00:00:00"/>
    <s v="PP2359"/>
    <n v="9.2999999999999999E-2"/>
    <n v="1536"/>
    <n v="0.83699999999999997"/>
    <x v="24"/>
    <x v="4"/>
  </r>
  <r>
    <s v="M00106"/>
    <s v="SC6100015"/>
    <s v="PREGNACARE PLUS OMEGA 3 (H/56 VIEN)"/>
    <s v="Q27-03-3-1"/>
    <s v="LPN007010"/>
    <n v="12"/>
    <n v="0"/>
    <s v="HOLD"/>
    <s v="9184/2019/ĐKSP"/>
    <s v="0000022782"/>
    <d v="2026-05-31T00:00:00"/>
    <s v="PP2359"/>
    <n v="9.2999999999999999E-2"/>
    <n v="1536"/>
    <n v="1.1160000000000001"/>
    <x v="25"/>
    <x v="4"/>
  </r>
  <r>
    <s v="M00106"/>
    <s v="SC6100015"/>
    <s v="PREGNACARE PLUS OMEGA 3 (H/56 VIEN)"/>
    <s v="Q27-03-4-1"/>
    <s v="LPN006937"/>
    <n v="7"/>
    <n v="0"/>
    <s v="HOLD"/>
    <s v="9184/2019/ĐKSP"/>
    <s v="0000022782"/>
    <d v="2026-05-31T00:00:00"/>
    <s v="PP2359"/>
    <n v="9.2999999999999999E-2"/>
    <n v="1536"/>
    <n v="0.65100000000000002"/>
    <x v="20"/>
    <x v="4"/>
  </r>
  <r>
    <s v="M00106"/>
    <s v="SC6100015"/>
    <s v="PREGNACARE PLUS OMEGA 3 (H/56 VIEN)"/>
    <s v="Q26-01-9-2"/>
    <s v="LPN005886"/>
    <n v="2"/>
    <n v="0"/>
    <s v="HOLD"/>
    <s v="9184/2019/ĐKSP"/>
    <s v="0000021805"/>
    <d v="2026-05-31T00:00:00"/>
    <s v="PP2345"/>
    <n v="9.2999999999999999E-2"/>
    <n v="1536"/>
    <n v="0.186"/>
    <x v="18"/>
    <x v="2"/>
  </r>
  <r>
    <s v="M00106"/>
    <s v="SC6100015"/>
    <s v="PREGNACARE PLUS OMEGA 3 (H/56 VIEN)"/>
    <s v="Q27-03-3-1"/>
    <s v="LPN005818"/>
    <n v="14"/>
    <n v="0"/>
    <s v="HOLD"/>
    <s v="9184/2019/ĐKSP"/>
    <s v="0000021805"/>
    <d v="2026-05-31T00:00:00"/>
    <s v="PP2345"/>
    <n v="9.2999999999999999E-2"/>
    <n v="1536"/>
    <n v="1.302"/>
    <x v="26"/>
    <x v="4"/>
  </r>
  <r>
    <s v="M00106"/>
    <s v="SC6100015"/>
    <s v="PREGNACARE PLUS OMEGA 3 (H/56 VIEN)"/>
    <s v="Q27-03-5-1"/>
    <s v="000124461-1"/>
    <n v="16"/>
    <n v="0"/>
    <s v="HOLD"/>
    <s v="9184/2019/ĐKSP"/>
    <s v="0000021805"/>
    <d v="2026-05-31T00:00:00"/>
    <s v="PP2345"/>
    <n v="9.2999999999999999E-2"/>
    <n v="1536"/>
    <n v="1.488"/>
    <x v="27"/>
    <x v="4"/>
  </r>
  <r>
    <s v="M00106"/>
    <s v="SC6100015"/>
    <s v="PREGNACARE PLUS OMEGA 3 (H/56 VIEN)"/>
    <s v="Q27-03-5-1"/>
    <s v="LPN006652"/>
    <n v="94"/>
    <n v="0"/>
    <s v="HOLD"/>
    <s v="9184/2019/ĐKSP"/>
    <s v="0000021805"/>
    <d v="2026-05-31T00:00:00"/>
    <s v="PP2345"/>
    <n v="9.2999999999999999E-2"/>
    <n v="1536"/>
    <n v="8.7419999999999991"/>
    <x v="28"/>
    <x v="4"/>
  </r>
  <r>
    <s v="M00106"/>
    <s v="SC6100015"/>
    <s v="PREGNACARE PLUS OMEGA 3 (H/56 VIEN)"/>
    <s v="Q27-03-5-1"/>
    <s v="LPN006665"/>
    <n v="5"/>
    <n v="0"/>
    <s v="HOLD"/>
    <s v="9184/2019/ĐKSP"/>
    <s v="0000021805"/>
    <d v="2026-05-31T00:00:00"/>
    <s v="PP2345"/>
    <n v="9.2999999999999999E-2"/>
    <n v="1536"/>
    <n v="0.46499999999999997"/>
    <x v="21"/>
    <x v="4"/>
  </r>
  <r>
    <s v="M00106"/>
    <s v="SC6100015"/>
    <s v="PREGNACARE PLUS OMEGA 3 (H/56 VIEN)"/>
    <s v="Q27-03-6-2"/>
    <s v="LPN005851"/>
    <n v="65"/>
    <n v="0"/>
    <s v="HOLD"/>
    <s v="9184/2019/ĐKSP"/>
    <s v="0000021805"/>
    <d v="2026-05-31T00:00:00"/>
    <s v="PP2345"/>
    <n v="9.2999999999999999E-2"/>
    <n v="1536"/>
    <n v="6.0449999999999999"/>
    <x v="29"/>
    <x v="4"/>
  </r>
  <r>
    <s v="M00106"/>
    <s v="SC6100015"/>
    <s v="PREGNACARE PLUS OMEGA 3 (H/56 VIEN)"/>
    <s v="Q27-03-6-2"/>
    <s v="LPN005889"/>
    <n v="51"/>
    <n v="0"/>
    <s v="HOLD"/>
    <s v="9184/2019/ĐKSP"/>
    <s v="0000021805"/>
    <d v="2026-05-31T00:00:00"/>
    <s v="PP2345"/>
    <n v="9.2999999999999999E-2"/>
    <n v="1536"/>
    <n v="4.7430000000000003"/>
    <x v="30"/>
    <x v="4"/>
  </r>
  <r>
    <s v="M00106"/>
    <s v="SC6100015"/>
    <s v="PREGNACARE PLUS OMEGA 3 (H/56 VIEN)"/>
    <s v="Q27-03-8-1"/>
    <s v="LPN006656"/>
    <n v="42"/>
    <n v="0"/>
    <s v="HOLD"/>
    <s v="9184/2019/ĐKSP"/>
    <s v="0000021805"/>
    <d v="2026-05-31T00:00:00"/>
    <s v="PP2345"/>
    <n v="9.2999999999999999E-2"/>
    <n v="1536"/>
    <n v="3.9060000000000001"/>
    <x v="31"/>
    <x v="4"/>
  </r>
  <r>
    <s v="M00106"/>
    <s v="SC6100015"/>
    <s v="PREGNACARE PLUS OMEGA 3 (H/56 VIEN)"/>
    <s v="Q27-03-5-1"/>
    <s v="LPN006665"/>
    <n v="20"/>
    <n v="0"/>
    <s v="HOLD"/>
    <s v="9184/2019/ĐKSP"/>
    <s v="0000022255"/>
    <d v="2026-05-31T00:00:00"/>
    <s v="PP2345"/>
    <n v="9.2999999999999999E-2"/>
    <n v="1536"/>
    <n v="1.8599999999999999"/>
    <x v="32"/>
    <x v="4"/>
  </r>
  <r>
    <s v="M00106"/>
    <s v="SC6100015"/>
    <s v="PREGNACARE PLUS OMEGA 3 (H/56 VIEN)"/>
    <s v="Q27-03-8-1"/>
    <s v="LPN006664"/>
    <n v="164"/>
    <n v="0"/>
    <s v="HOLD"/>
    <s v="9184/2019/ĐKSP"/>
    <s v="0000022255"/>
    <d v="2026-05-31T00:00:00"/>
    <s v="PP2345"/>
    <n v="9.2999999999999999E-2"/>
    <n v="1536"/>
    <n v="15.252000000000001"/>
    <x v="33"/>
    <x v="4"/>
  </r>
  <r>
    <s v="M00106"/>
    <s v="SC6100015"/>
    <s v="PREGNACARE PLUS OMEGA 3 (H/56 VIEN)"/>
    <s v="Q27-03-3-1"/>
    <s v="LPN006606"/>
    <n v="44"/>
    <n v="0"/>
    <s v="HOLD"/>
    <s v="9184/2019/ĐKSP"/>
    <s v="0000022755"/>
    <d v="2026-05-31T00:00:00"/>
    <s v="PP2359"/>
    <n v="9.2999999999999999E-2"/>
    <n v="1536"/>
    <n v="4.0919999999999996"/>
    <x v="34"/>
    <x v="4"/>
  </r>
  <r>
    <s v="M00106"/>
    <s v="SC6100015"/>
    <s v="PREGNACARE PLUS OMEGA 3 (H/56 VIEN)"/>
    <s v="Q26-01-7-2"/>
    <s v="LPN005131"/>
    <n v="1"/>
    <n v="0"/>
    <s v="HOLD"/>
    <s v="9184/2019/ĐKSP"/>
    <s v="0000019919"/>
    <d v="2026-01-31T00:00:00"/>
    <s v="PP2324"/>
    <n v="9.2999999999999999E-2"/>
    <n v="1536"/>
    <n v="9.2999999999999999E-2"/>
    <x v="35"/>
    <x v="2"/>
  </r>
  <r>
    <s v="M00106"/>
    <s v="SC6100015"/>
    <s v="PREGNACARE PLUS OMEGA 3 (H/56 VIEN)"/>
    <s v="Q26-01-9-2"/>
    <s v="LPN005316"/>
    <n v="3"/>
    <n v="0"/>
    <s v="HOLD"/>
    <s v="9184/2019/ĐKSP"/>
    <s v="0000019919"/>
    <d v="2026-01-31T00:00:00"/>
    <s v="PP2324"/>
    <n v="9.2999999999999999E-2"/>
    <n v="1536"/>
    <n v="0.27900000000000003"/>
    <x v="19"/>
    <x v="2"/>
  </r>
  <r>
    <s v="M00106"/>
    <s v="SC6100015"/>
    <s v="PREGNACARE PLUS OMEGA 3 (H/56 VIEN)"/>
    <s v="Q27-01-2-1"/>
    <s v="LPN005299"/>
    <n v="1"/>
    <n v="0"/>
    <s v="HOLD"/>
    <s v="9184/2019/ĐKSP"/>
    <s v="0000019919"/>
    <d v="2026-01-31T00:00:00"/>
    <s v="PP2324"/>
    <n v="9.2999999999999999E-2"/>
    <n v="1536"/>
    <n v="9.2999999999999999E-2"/>
    <x v="35"/>
    <x v="0"/>
  </r>
  <r>
    <s v="M00106"/>
    <s v="SC6100015"/>
    <s v="PREGNACARE PLUS OMEGA 3 (H/56 VIEN)"/>
    <s v="Q27-01-4-2"/>
    <s v="LPN005181"/>
    <n v="8"/>
    <n v="0"/>
    <s v="HOLD"/>
    <s v="9184/2019/ĐKSP"/>
    <s v="0000019919"/>
    <d v="2026-01-31T00:00:00"/>
    <s v="PP2324"/>
    <n v="9.2999999999999999E-2"/>
    <n v="1536"/>
    <n v="0.74399999999999999"/>
    <x v="36"/>
    <x v="0"/>
  </r>
  <r>
    <s v="M00106"/>
    <s v="SC6100015"/>
    <s v="PREGNACARE PLUS OMEGA 3 (H/56 VIEN)"/>
    <s v="Q27-01-4-2"/>
    <s v="LPN005203"/>
    <n v="9"/>
    <n v="0"/>
    <s v="HOLD"/>
    <s v="9184/2019/ĐKSP"/>
    <s v="0000019919"/>
    <d v="2026-01-31T00:00:00"/>
    <s v="PP2324"/>
    <n v="9.2999999999999999E-2"/>
    <n v="1536"/>
    <n v="0.83699999999999997"/>
    <x v="24"/>
    <x v="0"/>
  </r>
  <r>
    <s v="M00106"/>
    <s v="SC6100015"/>
    <s v="PREGNACARE PLUS OMEGA 3 (H/56 VIEN)"/>
    <s v="Q27-01-4-2"/>
    <s v="LPN005228"/>
    <n v="5"/>
    <n v="0"/>
    <s v="HOLD"/>
    <s v="9184/2019/ĐKSP"/>
    <s v="0000019919"/>
    <d v="2026-01-31T00:00:00"/>
    <s v="PP2324"/>
    <n v="9.2999999999999999E-2"/>
    <n v="1536"/>
    <n v="0.46499999999999997"/>
    <x v="21"/>
    <x v="0"/>
  </r>
  <r>
    <s v="M00106"/>
    <s v="SC6100015"/>
    <s v="PREGNACARE PLUS OMEGA 3 (H/56 VIEN)"/>
    <s v="Q27-03-3-1"/>
    <s v="LPN005731"/>
    <n v="6"/>
    <n v="0"/>
    <s v="HOLD"/>
    <s v="9184/2019/ĐKSP"/>
    <s v="0000021250"/>
    <d v="2026-05-31T00:00:00"/>
    <s v="PP2341"/>
    <n v="9.2999999999999999E-2"/>
    <n v="1536"/>
    <n v="0.55800000000000005"/>
    <x v="37"/>
    <x v="4"/>
  </r>
  <r>
    <s v="M00106"/>
    <s v="SC6100015"/>
    <s v="PREGNACARE PLUS OMEGA 3 (H/56 VIEN)"/>
    <s v="Q27-03-6-2"/>
    <s v="LPN005715"/>
    <n v="2"/>
    <n v="0"/>
    <s v="HOLD"/>
    <s v="9184/2019/ĐKSP"/>
    <s v="0000021250"/>
    <d v="2026-05-31T00:00:00"/>
    <s v="PP2341"/>
    <n v="9.2999999999999999E-2"/>
    <n v="1536"/>
    <n v="0.186"/>
    <x v="18"/>
    <x v="4"/>
  </r>
  <r>
    <s v="M00106"/>
    <s v="SC6100015"/>
    <s v="PREGNACARE PLUS OMEGA 3 (H/56 VIEN)"/>
    <s v="Q27-03-6-2"/>
    <s v="LPN005725"/>
    <n v="1"/>
    <n v="0"/>
    <s v="HOLD"/>
    <s v="9184/2019/ĐKSP"/>
    <s v="0000021250"/>
    <d v="2026-05-31T00:00:00"/>
    <s v="PP2341"/>
    <n v="9.2999999999999999E-2"/>
    <n v="1536"/>
    <n v="9.2999999999999999E-2"/>
    <x v="35"/>
    <x v="4"/>
  </r>
  <r>
    <s v="M00106"/>
    <s v="SC6100015"/>
    <s v="PREGNACARE PLUS OMEGA 3 (H/56 VIEN)"/>
    <s v="Q27-03-3-1"/>
    <s v="LPN005617"/>
    <n v="14"/>
    <n v="0"/>
    <s v="HOLD"/>
    <s v="9184/2019/ĐKSP"/>
    <s v="0000021250"/>
    <d v="2026-05-31T00:00:00"/>
    <s v="PP2345"/>
    <n v="9.2999999999999999E-2"/>
    <n v="1536"/>
    <n v="1.302"/>
    <x v="26"/>
    <x v="4"/>
  </r>
  <r>
    <s v="M00106"/>
    <s v="SC6100015"/>
    <s v="PREGNACARE PLUS OMEGA 3 (H/56 VIEN)"/>
    <s v="Q27-03-3-1"/>
    <s v="LPN005630"/>
    <n v="3"/>
    <n v="0"/>
    <s v="HOLD"/>
    <s v="9184/2019/ĐKSP"/>
    <s v="0000021250"/>
    <d v="2026-05-31T00:00:00"/>
    <s v="PP2345"/>
    <n v="9.2999999999999999E-2"/>
    <n v="1536"/>
    <n v="0.27900000000000003"/>
    <x v="19"/>
    <x v="4"/>
  </r>
  <r>
    <s v="M00106"/>
    <s v="SC6100001"/>
    <s v="OSTEOCARE LIQUID 200ML"/>
    <s v="Q27-01-4-2"/>
    <s v="LPN006592"/>
    <n v="17"/>
    <n v="0"/>
    <s v="HOLD"/>
    <s v="9186/2019/ĐKSP"/>
    <s v="0000023794"/>
    <d v="2026-02-28T00:00:00"/>
    <s v="40314"/>
    <n v="0.3"/>
    <n v="1680"/>
    <n v="5.0999999999999996"/>
    <x v="38"/>
    <x v="0"/>
  </r>
  <r>
    <s v="M00106"/>
    <s v="SC6100011"/>
    <s v="PERFECTIL (H/30 VIEN)"/>
    <s v="Q27-03-3-1"/>
    <s v="LPN006825"/>
    <n v="11"/>
    <n v="0"/>
    <s v="HOLD"/>
    <s v="9185/2019/ĐKSP"/>
    <s v="0000024103"/>
    <d v="2026-07-31T00:00:00"/>
    <s v="PFT2319P"/>
    <n v="5.8000000000000003E-2"/>
    <n v="2880"/>
    <n v="0.63800000000000001"/>
    <x v="39"/>
    <x v="4"/>
  </r>
  <r>
    <s v="M00106"/>
    <s v="SC6100011"/>
    <s v="PERFECTIL (H/30 VIEN)"/>
    <s v="Q27-03-4-1"/>
    <s v="LPN006887"/>
    <n v="1"/>
    <n v="0"/>
    <s v="HOLD"/>
    <s v="9185/2019/ĐKSP"/>
    <s v="0000024103"/>
    <d v="2026-07-31T00:00:00"/>
    <s v="PFT2320P"/>
    <n v="5.8000000000000003E-2"/>
    <n v="2880"/>
    <n v="5.8000000000000003E-2"/>
    <x v="3"/>
    <x v="4"/>
  </r>
  <r>
    <s v="M00106"/>
    <s v="SC6100004"/>
    <s v="OSTEOCARE (H/30 VIEN)"/>
    <s v="Q27-03-5-1"/>
    <s v="LPN007340"/>
    <n v="9"/>
    <n v="0"/>
    <s v="HOLD"/>
    <s v="8615/2019/ĐKSP"/>
    <s v="0000022782"/>
    <d v="2027-07-31T00:00:00"/>
    <s v="OT2310P"/>
    <n v="7.4999999999999997E-2"/>
    <n v="2688"/>
    <n v="0.67499999999999993"/>
    <x v="40"/>
    <x v="4"/>
  </r>
  <r>
    <s v="M00106"/>
    <s v="SC6100004"/>
    <s v="OSTEOCARE (H/30 VIEN)"/>
    <s v="Q27-03-4-1"/>
    <s v="LPN007573"/>
    <n v="8"/>
    <n v="0"/>
    <s v="HOLD"/>
    <s v="8615/2019/ĐKSP"/>
    <s v="0000022755"/>
    <d v="2027-08-31T00:00:00"/>
    <s v="OT2312P"/>
    <n v="7.4999999999999997E-2"/>
    <n v="2688"/>
    <n v="0.6"/>
    <x v="41"/>
    <x v="4"/>
  </r>
  <r>
    <s v="M00106"/>
    <s v="SC6100004"/>
    <s v="OSTEOCARE (H/30 VIEN)"/>
    <s v="Q27-03-4-2"/>
    <s v="LPN007574"/>
    <n v="4"/>
    <n v="0"/>
    <s v="HOLD"/>
    <s v="8615/2019/ĐKSP"/>
    <s v="0000022755"/>
    <d v="2027-08-31T00:00:00"/>
    <s v="OT2312P"/>
    <n v="7.4999999999999997E-2"/>
    <n v="2688"/>
    <n v="0.3"/>
    <x v="42"/>
    <x v="4"/>
  </r>
  <r>
    <s v="M00106"/>
    <s v="SC6100004"/>
    <s v="OSTEOCARE (H/30 VIEN)"/>
    <s v="Q27-03-5-1"/>
    <s v="LPN007386"/>
    <n v="19"/>
    <n v="0"/>
    <s v="HOLD"/>
    <s v="8615/2019/ĐKSP"/>
    <s v="0000022782"/>
    <d v="2027-08-31T00:00:00"/>
    <s v="OT2311P"/>
    <n v="7.4999999999999997E-2"/>
    <n v="2688"/>
    <n v="1.425"/>
    <x v="43"/>
    <x v="4"/>
  </r>
  <r>
    <s v="M00106"/>
    <s v="SC6100004"/>
    <s v="OSTEOCARE (H/30 VIEN)"/>
    <s v="Q27-03-1-1"/>
    <s v="LPN006927"/>
    <n v="7"/>
    <n v="0"/>
    <s v="HOLD"/>
    <s v="8615/2019/ĐKSP"/>
    <s v="0000022554"/>
    <d v="2027-07-31T00:00:00"/>
    <s v="OT2309P"/>
    <n v="7.4999999999999997E-2"/>
    <n v="2688"/>
    <n v="0.52500000000000002"/>
    <x v="44"/>
    <x v="4"/>
  </r>
  <r>
    <s v="M00106"/>
    <s v="SC6100004"/>
    <s v="OSTEOCARE (H/30 VIEN)"/>
    <s v="Q27-03-3-1"/>
    <s v="LPN006170"/>
    <n v="3"/>
    <n v="0"/>
    <s v="HOLD"/>
    <s v="8615/2019/ĐKSP"/>
    <s v="0000022554"/>
    <d v="2027-07-31T00:00:00"/>
    <s v="OT2309P"/>
    <n v="7.4999999999999997E-2"/>
    <n v="2688"/>
    <n v="0.22499999999999998"/>
    <x v="45"/>
    <x v="4"/>
  </r>
  <r>
    <s v="M00106"/>
    <s v="SC6100004"/>
    <s v="OSTEOCARE (H/30 VIEN)"/>
    <s v="Q27-03-4-1"/>
    <s v="LPN007033"/>
    <n v="5"/>
    <n v="0"/>
    <s v="HOLD"/>
    <s v="8615/2019/ĐKSP"/>
    <s v="0000022554"/>
    <d v="2027-07-31T00:00:00"/>
    <s v="OT2309P"/>
    <n v="7.4999999999999997E-2"/>
    <n v="2688"/>
    <n v="0.375"/>
    <x v="46"/>
    <x v="4"/>
  </r>
  <r>
    <s v="M00106"/>
    <s v="SC6100004"/>
    <s v="OSTEOCARE (H/30 VIEN)"/>
    <s v="Q27-03-4-1"/>
    <s v="LPN007030"/>
    <n v="11"/>
    <n v="0"/>
    <s v="HOLD"/>
    <s v="8615/2019/ĐKSP"/>
    <s v=" "/>
    <d v="2026-04-30T00:00:00"/>
    <s v="OT2213P"/>
    <n v="7.4999999999999997E-2"/>
    <n v="2688"/>
    <n v="0.82499999999999996"/>
    <x v="47"/>
    <x v="4"/>
  </r>
  <r>
    <s v="M00106"/>
    <s v="SC6100004"/>
    <s v="OSTEOCARE (H/30 VIEN)"/>
    <s v="Q27-03-4-1"/>
    <s v="LPN007431"/>
    <n v="13"/>
    <n v="0"/>
    <s v="HOLD"/>
    <s v="8615/2019/ĐKSP"/>
    <s v="0000022755"/>
    <d v="2027-08-31T00:00:00"/>
    <s v="OT2311P"/>
    <n v="7.4999999999999997E-2"/>
    <n v="2688"/>
    <n v="0.97499999999999998"/>
    <x v="48"/>
    <x v="4"/>
  </r>
  <r>
    <s v="M00106"/>
    <s v="SC6100004"/>
    <s v="OSTEOCARE (H/30 VIEN)"/>
    <s v="Q26-01-7-2"/>
    <s v="LPN002842"/>
    <n v="4"/>
    <n v="0"/>
    <s v="HOLD"/>
    <s v="8615/2019/ĐKSP"/>
    <s v=" "/>
    <d v="2026-01-31T00:00:00"/>
    <s v="OT2201P"/>
    <n v="7.4999999999999997E-2"/>
    <n v="2688"/>
    <n v="0.3"/>
    <x v="42"/>
    <x v="2"/>
  </r>
  <r>
    <s v="M00106"/>
    <s v="SC6100004"/>
    <s v="OSTEOCARE (H/30 VIEN)"/>
    <s v="Q26-01-7-2"/>
    <s v="LPN002826"/>
    <n v="8"/>
    <n v="0"/>
    <s v="HOLD"/>
    <s v="8615/2019/ĐKSP"/>
    <s v=" "/>
    <d v="2026-01-31T00:00:00"/>
    <s v="OT2202P"/>
    <n v="7.4999999999999997E-2"/>
    <n v="2688"/>
    <n v="0.6"/>
    <x v="41"/>
    <x v="2"/>
  </r>
  <r>
    <s v="M00106"/>
    <s v="SC6100004"/>
    <s v="OSTEOCARE (H/30 VIEN)"/>
    <s v="Q26-01-7-2"/>
    <s v="LPN003752"/>
    <n v="16"/>
    <n v="0"/>
    <s v="HOLD"/>
    <s v="8615/2019/ĐKSP"/>
    <s v=" "/>
    <d v="2026-01-31T00:00:00"/>
    <s v="OT2202P"/>
    <n v="7.4999999999999997E-2"/>
    <n v="2688"/>
    <n v="1.2"/>
    <x v="49"/>
    <x v="2"/>
  </r>
  <r>
    <s v="M00106"/>
    <s v="SC6100004"/>
    <s v="OSTEOCARE (H/30 VIEN)"/>
    <s v="Q27-03-4-1"/>
    <s v="LPN007572"/>
    <n v="10"/>
    <n v="0"/>
    <s v="HOLD"/>
    <s v="8615/2019/ĐKSP"/>
    <s v="0000022554"/>
    <d v="2027-08-31T00:00:00"/>
    <s v="OT2312P"/>
    <n v="7.4999999999999997E-2"/>
    <n v="2688"/>
    <n v="0.75"/>
    <x v="50"/>
    <x v="4"/>
  </r>
  <r>
    <s v="M00106"/>
    <s v="SC6100004"/>
    <s v="OSTEOCARE (H/30 VIEN)"/>
    <s v="Q27-03-5-1"/>
    <s v="LPN007509"/>
    <n v="10"/>
    <n v="0"/>
    <s v="HOLD"/>
    <s v="8615/2019/ĐKSP"/>
    <s v="0000022554"/>
    <d v="2027-08-31T00:00:00"/>
    <s v="OT2312P"/>
    <n v="7.4999999999999997E-2"/>
    <n v="2688"/>
    <n v="0.75"/>
    <x v="50"/>
    <x v="4"/>
  </r>
  <r>
    <s v="M00106"/>
    <s v="SC6100004"/>
    <s v="OSTEOCARE (H/30 VIEN)"/>
    <s v="Q27-03-3-1"/>
    <s v="LPN007042"/>
    <n v="4"/>
    <n v="0"/>
    <s v="HOLD"/>
    <s v="8615/2019/ĐKSP"/>
    <s v="0000022554"/>
    <d v="2027-07-31T00:00:00"/>
    <s v="OT2310P"/>
    <n v="7.4999999999999997E-2"/>
    <n v="2688"/>
    <n v="0.3"/>
    <x v="42"/>
    <x v="4"/>
  </r>
  <r>
    <s v="M00106"/>
    <s v="SC6100004"/>
    <s v="OSTEOCARE (H/30 VIEN)"/>
    <s v="Q27-03-4-1"/>
    <s v="LPN007023"/>
    <n v="7"/>
    <n v="0"/>
    <s v="HOLD"/>
    <s v="8615/2019/ĐKSP"/>
    <s v="0000022554"/>
    <d v="2027-07-31T00:00:00"/>
    <s v="OT2310P"/>
    <n v="7.4999999999999997E-2"/>
    <n v="2688"/>
    <n v="0.52500000000000002"/>
    <x v="44"/>
    <x v="4"/>
  </r>
  <r>
    <s v="M00106"/>
    <s v="SC6100004"/>
    <s v="OSTEOCARE (H/30 VIEN)"/>
    <s v="Q27-03-4-1"/>
    <s v="LPN007038"/>
    <n v="5"/>
    <n v="0"/>
    <s v="HOLD"/>
    <s v="8615/2019/ĐKSP"/>
    <s v="0000022554"/>
    <d v="2027-07-31T00:00:00"/>
    <s v="OT2310P"/>
    <n v="7.4999999999999997E-2"/>
    <n v="2688"/>
    <n v="0.375"/>
    <x v="46"/>
    <x v="4"/>
  </r>
  <r>
    <s v="M00106"/>
    <s v="SC6100004"/>
    <s v="OSTEOCARE (H/30 VIEN)"/>
    <s v="Q27-03-5-1"/>
    <s v="LPN007349"/>
    <n v="1"/>
    <n v="0"/>
    <s v="HOLD"/>
    <s v="8615/2019/ĐKSP"/>
    <s v="0000022554"/>
    <d v="2027-07-31T00:00:00"/>
    <s v="OT2310P"/>
    <n v="7.4999999999999997E-2"/>
    <n v="2688"/>
    <n v="7.4999999999999997E-2"/>
    <x v="51"/>
    <x v="4"/>
  </r>
  <r>
    <s v="M00106"/>
    <s v="SC6100004"/>
    <s v="OSTEOCARE (H/30 VIEN)"/>
    <s v="Q26-01-7-2"/>
    <s v="LPN003264"/>
    <n v="2"/>
    <n v="0"/>
    <s v="HOLD"/>
    <s v="8615/2019/ĐKSP"/>
    <s v=" "/>
    <d v="2026-01-31T00:00:00"/>
    <s v="OT2203P"/>
    <n v="7.4999999999999997E-2"/>
    <n v="2688"/>
    <n v="0.15"/>
    <x v="52"/>
    <x v="2"/>
  </r>
  <r>
    <s v="M00106"/>
    <s v="SC6100004"/>
    <s v="OSTEOCARE (H/30 VIEN)"/>
    <s v="Q27-03-5-1"/>
    <s v="LPN007357"/>
    <n v="8"/>
    <n v="0"/>
    <s v="HOLD"/>
    <s v="8615/2019/ĐKSP"/>
    <s v="0000022554"/>
    <d v="2027-08-31T00:00:00"/>
    <s v="OT2311P"/>
    <n v="7.4999999999999997E-2"/>
    <n v="2688"/>
    <n v="0.6"/>
    <x v="41"/>
    <x v="4"/>
  </r>
  <r>
    <s v="M00106"/>
    <s v="SC6100004"/>
    <s v="OSTEOCARE (H/30 VIEN)"/>
    <s v="Q27-03-5-1"/>
    <s v="LPN007460"/>
    <n v="5"/>
    <n v="0"/>
    <s v="HOLD"/>
    <s v="8615/2019/ĐKSP"/>
    <s v="0000022554"/>
    <d v="2027-08-31T00:00:00"/>
    <s v="OT2311P"/>
    <n v="7.4999999999999997E-2"/>
    <n v="2688"/>
    <n v="0.375"/>
    <x v="46"/>
    <x v="4"/>
  </r>
  <r>
    <s v="M00106"/>
    <s v="SC6100004"/>
    <s v="OSTEOCARE (H/30 VIEN)"/>
    <s v="Q26-01-7-2"/>
    <s v="LPN004516"/>
    <n v="1"/>
    <n v="0"/>
    <s v="HOLD"/>
    <s v="8615/2019/ĐKSP"/>
    <s v=" "/>
    <d v="2026-01-31T00:00:00"/>
    <s v="OT2206P"/>
    <n v="7.4999999999999997E-2"/>
    <n v="2688"/>
    <n v="7.4999999999999997E-2"/>
    <x v="51"/>
    <x v="2"/>
  </r>
  <r>
    <s v="M00106"/>
    <s v="SC6100004"/>
    <s v="OSTEOCARE (H/30 VIEN)"/>
    <s v="Q26-01-7-2"/>
    <s v="LPN003289"/>
    <n v="1"/>
    <n v="0"/>
    <s v="HOLD"/>
    <s v="8615/2019/ĐKSP"/>
    <s v=" "/>
    <d v="2026-01-31T00:00:00"/>
    <s v="OT2206P"/>
    <n v="7.4999999999999997E-2"/>
    <n v="2688"/>
    <n v="7.4999999999999997E-2"/>
    <x v="51"/>
    <x v="2"/>
  </r>
  <r>
    <s v="M00106"/>
    <s v="SC6100004"/>
    <s v="OSTEOCARE (H/30 VIEN)"/>
    <s v="Q26-01-7-2"/>
    <s v="LPN003285"/>
    <n v="6"/>
    <n v="0"/>
    <s v="HOLD"/>
    <s v="8615/2019/ĐKSP"/>
    <s v=" "/>
    <d v="2026-01-31T00:00:00"/>
    <s v="OT2205P"/>
    <n v="7.4999999999999997E-2"/>
    <n v="2688"/>
    <n v="0.44999999999999996"/>
    <x v="53"/>
    <x v="2"/>
  </r>
  <r>
    <s v="M00106"/>
    <s v="SC6100004"/>
    <s v="OSTEOCARE (H/30 VIEN)"/>
    <s v="Q26-01-7-2"/>
    <s v="LPN003280"/>
    <n v="5"/>
    <n v="0"/>
    <s v="HOLD"/>
    <s v="8615/2019/ĐKSP"/>
    <s v=" "/>
    <d v="2026-01-31T00:00:00"/>
    <s v="OT2204P"/>
    <n v="7.4999999999999997E-2"/>
    <n v="2688"/>
    <n v="0.375"/>
    <x v="46"/>
    <x v="2"/>
  </r>
  <r>
    <s v="M00106"/>
    <s v="SC6100004"/>
    <s v="OSTEOCARE (H/30 VIEN)"/>
    <s v="Q27-03-4-1"/>
    <s v="LPN007590"/>
    <n v="4"/>
    <n v="0"/>
    <s v="HOLD"/>
    <s v="8615/2019/ĐKSP"/>
    <s v="0000022782"/>
    <d v="2027-08-31T00:00:00"/>
    <s v="OT2312P"/>
    <n v="7.4999999999999997E-2"/>
    <n v="2688"/>
    <n v="0.3"/>
    <x v="42"/>
    <x v="4"/>
  </r>
  <r>
    <s v="M00106"/>
    <s v="SC6100009"/>
    <s v="WELLMAN (H/30 VIEN)"/>
    <s v="Q27-01-6-2"/>
    <s v="LPN006085"/>
    <n v="941"/>
    <n v="0"/>
    <s v="HOLD"/>
    <s v="8718/2019/ĐKSP"/>
    <s v="0000021451"/>
    <d v="2026-02-28T00:00:00"/>
    <s v="WEIR2304SA"/>
    <n v="4.8000000000000001E-2"/>
    <n v="2880"/>
    <n v="45.167999999999999"/>
    <x v="54"/>
    <x v="0"/>
  </r>
  <r>
    <s v="M00106"/>
    <s v="SC6100014"/>
    <s v="LIVERIL (H/30 VIEN)"/>
    <s v="Q27-03-3-1"/>
    <s v="LPN006177"/>
    <n v="4"/>
    <n v="0"/>
    <s v="HOLD"/>
    <s v="8719/2019/ĐKSP"/>
    <s v="0000022554"/>
    <d v="2026-07-31T00:00:00"/>
    <s v="LV2311P"/>
    <n v="6.8000000000000005E-2"/>
    <n v="2240"/>
    <n v="0.27200000000000002"/>
    <x v="55"/>
    <x v="4"/>
  </r>
  <r>
    <s v="M00106"/>
    <s v="SC6100014"/>
    <s v="LIVERIL (H/30 VIEN)"/>
    <s v="Q27-03-3-1"/>
    <s v="LPN006853"/>
    <n v="5"/>
    <n v="0"/>
    <s v="HOLD"/>
    <s v="8719/2019/ĐKSP"/>
    <s v="0000022554"/>
    <d v="2026-07-31T00:00:00"/>
    <s v="LV2311P"/>
    <n v="6.8000000000000005E-2"/>
    <n v="2240"/>
    <n v="0.34"/>
    <x v="53"/>
    <x v="4"/>
  </r>
  <r>
    <s v="M00106"/>
    <s v="SC6100014"/>
    <s v="LIVERIL (H/30 VIEN)"/>
    <s v="Q27-03-4-1"/>
    <s v="LPN007027"/>
    <n v="5"/>
    <n v="0"/>
    <s v="HOLD"/>
    <s v="8719/2019/ĐKSP"/>
    <s v="0000022554"/>
    <d v="2026-07-31T00:00:00"/>
    <s v="LV2311P"/>
    <n v="6.8000000000000005E-2"/>
    <n v="2240"/>
    <n v="0.34"/>
    <x v="53"/>
    <x v="4"/>
  </r>
  <r>
    <s v="M00106"/>
    <s v="SC6100014"/>
    <s v="LIVERIL (H/30 VIEN)"/>
    <s v="Q27-03-4-1"/>
    <s v="LPN007020"/>
    <n v="8"/>
    <n v="0"/>
    <s v="HOLD"/>
    <s v="8719/2019/ĐKSP"/>
    <s v="0000021805"/>
    <d v="2026-06-30T00:00:00"/>
    <s v="LV2310P"/>
    <n v="6.8000000000000005E-2"/>
    <n v="2240"/>
    <n v="0.54400000000000004"/>
    <x v="11"/>
    <x v="4"/>
  </r>
  <r>
    <s v="M00106"/>
    <s v="SC6100014"/>
    <s v="LIVERIL (H/30 VIEN)"/>
    <s v="Q27-03-6-2"/>
    <s v="LPN005852"/>
    <n v="3"/>
    <n v="0"/>
    <s v="HOLD"/>
    <s v="8719/2019/ĐKSP"/>
    <s v="0000021805"/>
    <d v="2026-06-30T00:00:00"/>
    <s v="LV2310P"/>
    <n v="6.8000000000000005E-2"/>
    <n v="2240"/>
    <n v="0.20400000000000001"/>
    <x v="56"/>
    <x v="4"/>
  </r>
  <r>
    <s v="M00106"/>
    <s v="SC6100014"/>
    <s v="LIVERIL (H/30 VIEN)"/>
    <s v="Q27-03-6-2"/>
    <s v="LPN005844"/>
    <n v="2"/>
    <n v="0"/>
    <s v="HOLD"/>
    <s v="8719/2019/ĐKSP"/>
    <s v="0000020842"/>
    <d v="2026-05-31T00:00:00"/>
    <s v="LV2309P"/>
    <n v="6.8000000000000005E-2"/>
    <n v="2240"/>
    <n v="0.13600000000000001"/>
    <x v="57"/>
    <x v="4"/>
  </r>
  <r>
    <s v="M00106"/>
    <s v="SC6100014"/>
    <s v="LIVERIL (H/30 VIEN)"/>
    <s v="Q26-01-9-2"/>
    <s v="LPN005771"/>
    <n v="1"/>
    <n v="0"/>
    <s v="HOLD"/>
    <s v="8719/2019/ĐKSP"/>
    <s v="0000020842"/>
    <d v="2026-04-30T00:00:00"/>
    <s v="LV2306P"/>
    <n v="6.8000000000000005E-2"/>
    <n v="2240"/>
    <n v="6.8000000000000005E-2"/>
    <x v="58"/>
    <x v="2"/>
  </r>
  <r>
    <s v="M00106"/>
    <s v="SC6100014"/>
    <s v="LIVERIL (H/30 VIEN)"/>
    <s v="Q27-03-6-2"/>
    <s v="LPN005730"/>
    <n v="2"/>
    <n v="0"/>
    <s v="HOLD"/>
    <s v="8719/2019/ĐKSP"/>
    <s v="0000020842"/>
    <d v="2026-04-30T00:00:00"/>
    <s v="LV2306P"/>
    <n v="6.8000000000000005E-2"/>
    <n v="2240"/>
    <n v="0.13600000000000001"/>
    <x v="57"/>
    <x v="4"/>
  </r>
  <r>
    <s v="M00106"/>
    <s v="SC6100014"/>
    <s v="LIVERIL (H/30 VIEN)"/>
    <s v="Q27-03-3-1"/>
    <s v="LPN005779"/>
    <n v="6"/>
    <n v="0"/>
    <s v="HOLD"/>
    <s v="8719/2019/ĐKSP"/>
    <s v="0000020842"/>
    <d v="2026-05-31T00:00:00"/>
    <s v="LV2308P"/>
    <n v="6.8000000000000005E-2"/>
    <n v="2240"/>
    <n v="0.40800000000000003"/>
    <x v="59"/>
    <x v="4"/>
  </r>
  <r>
    <s v="M00106"/>
    <s v="SC6100014"/>
    <s v="LIVERIL (H/30 VIEN)"/>
    <s v="Q27-03-3-1"/>
    <s v="LPN006834"/>
    <n v="9"/>
    <n v="0"/>
    <s v="HOLD"/>
    <s v="8719/2019/ĐKSP"/>
    <s v="0000020842"/>
    <d v="2026-05-31T00:00:00"/>
    <s v="LV2308P"/>
    <n v="6.8000000000000005E-2"/>
    <n v="2240"/>
    <n v="0.6120000000000001"/>
    <x v="60"/>
    <x v="4"/>
  </r>
  <r>
    <s v="M00106"/>
    <s v="SC6100014"/>
    <s v="LIVERIL (H/30 VIEN)"/>
    <s v="Q27-03-4-1"/>
    <s v="LPN006923"/>
    <n v="2"/>
    <n v="0"/>
    <s v="HOLD"/>
    <s v="8719/2019/ĐKSP"/>
    <s v="0000020842"/>
    <d v="2026-05-31T00:00:00"/>
    <s v="LV2308P"/>
    <n v="6.8000000000000005E-2"/>
    <n v="2240"/>
    <n v="0.13600000000000001"/>
    <x v="57"/>
    <x v="4"/>
  </r>
  <r>
    <s v="M00106"/>
    <s v="SC6100014"/>
    <s v="LIVERIL (H/30 VIEN)"/>
    <s v="Q27-03-6-2"/>
    <s v="LPN005751"/>
    <n v="1"/>
    <n v="0"/>
    <s v="HOLD"/>
    <s v="8719/2019/ĐKSP"/>
    <s v="0000020842"/>
    <d v="2026-05-31T00:00:00"/>
    <s v="LV2308P"/>
    <n v="6.8000000000000005E-2"/>
    <n v="2240"/>
    <n v="6.8000000000000005E-2"/>
    <x v="58"/>
    <x v="4"/>
  </r>
  <r>
    <s v="M00106"/>
    <s v="SC6100014"/>
    <s v="LIVERIL (H/30 VIEN)"/>
    <s v="Q27-03-6-2"/>
    <s v="LPN005788"/>
    <n v="1"/>
    <n v="0"/>
    <s v="HOLD"/>
    <s v="8719/2019/ĐKSP"/>
    <s v="0000020842"/>
    <d v="2026-05-31T00:00:00"/>
    <s v="LV2308P"/>
    <n v="6.8000000000000005E-2"/>
    <n v="2240"/>
    <n v="6.8000000000000005E-2"/>
    <x v="58"/>
    <x v="4"/>
  </r>
  <r>
    <s v="M00106"/>
    <s v="SC6100014"/>
    <s v="LIVERIL (H/30 VIEN)"/>
    <s v="Q27-03-4-1"/>
    <s v="LPN006934"/>
    <n v="7"/>
    <n v="0"/>
    <s v="HOLD"/>
    <s v="8719/2019/ĐKSP"/>
    <s v="0000022782"/>
    <d v="2026-08-31T00:00:00"/>
    <s v="LV2312P"/>
    <n v="6.8000000000000005E-2"/>
    <n v="2240"/>
    <n v="0.47600000000000003"/>
    <x v="61"/>
    <x v="4"/>
  </r>
  <r>
    <s v="M00106"/>
    <s v="SC6100014"/>
    <s v="LIVERIL (H/30 VIEN)"/>
    <s v="Q27-03-4-1"/>
    <s v="LPN006940"/>
    <n v="2"/>
    <n v="0"/>
    <s v="HOLD"/>
    <s v="8719/2019/ĐKSP"/>
    <s v="0000022782"/>
    <d v="2026-08-31T00:00:00"/>
    <s v="LV2312P"/>
    <n v="6.8000000000000005E-2"/>
    <n v="2240"/>
    <n v="0.13600000000000001"/>
    <x v="57"/>
    <x v="4"/>
  </r>
  <r>
    <s v="M00106"/>
    <s v="SC6100014"/>
    <s v="LIVERIL (H/30 VIEN)"/>
    <s v="Q26-01-7-2"/>
    <s v="LPN005213"/>
    <n v="1"/>
    <n v="0"/>
    <s v="HOLD"/>
    <s v="8719/2019/ĐKSP"/>
    <s v="0000019327"/>
    <d v="2026-02-28T00:00:00"/>
    <s v="LV2304P"/>
    <n v="6.8000000000000005E-2"/>
    <n v="2240"/>
    <n v="6.8000000000000005E-2"/>
    <x v="58"/>
    <x v="2"/>
  </r>
  <r>
    <s v="M00106"/>
    <s v="SC6100021"/>
    <s v="WELLKID MULTI-VITAMIN SMART CHEWABLE (H/30VIEN)"/>
    <s v="Q27-01-2-1"/>
    <s v="LPN006572"/>
    <n v="4"/>
    <n v="0"/>
    <s v="HOLD"/>
    <s v="7661/2023/ĐKSP"/>
    <s v="0000023774"/>
    <d v="2026-01-31T00:00:00"/>
    <s v="F167061"/>
    <n v="7.1999999999999995E-2"/>
    <n v="1920"/>
    <n v="0.28799999999999998"/>
    <x v="9"/>
    <x v="0"/>
  </r>
  <r>
    <s v="M00106"/>
    <s v="SC6100021"/>
    <s v="WELLKID MULTI-VITAMIN SMART CHEWABLE (H/30VIEN)"/>
    <s v="Q27-01-8-1"/>
    <s v="000135722"/>
    <n v="852"/>
    <n v="0"/>
    <s v="HOLD"/>
    <s v="7661/2023/ĐKSP"/>
    <s v="0000023774"/>
    <d v="2026-01-31T00:00:00"/>
    <s v="F167061"/>
    <n v="7.1999999999999995E-2"/>
    <n v="1920"/>
    <n v="61.343999999999994"/>
    <x v="62"/>
    <x v="0"/>
  </r>
  <r>
    <s v="M00106"/>
    <s v="SC6100003"/>
    <s v="FEROGLOBIN B12 CAPSULES (H/30 VIEN)"/>
    <s v="Q27-03-3-1"/>
    <s v="LPN006320"/>
    <n v="1"/>
    <n v="0"/>
    <s v="HOLD"/>
    <s v="9183/2019/ĐKSP"/>
    <s v="0000022782"/>
    <d v="2026-05-31T00:00:00"/>
    <s v="FW2315TA"/>
    <n v="0.04"/>
    <n v="2688"/>
    <n v="0.04"/>
    <x v="51"/>
    <x v="4"/>
  </r>
  <r>
    <s v="M00106"/>
    <s v="SC6100003"/>
    <s v="FEROGLOBIN B12 CAPSULES (H/30 VIEN)"/>
    <s v="Q27-03-3-1"/>
    <s v="LPN006411"/>
    <n v="33"/>
    <n v="0"/>
    <s v="HOLD"/>
    <s v="9183/2019/ĐKSP"/>
    <s v="0000022782"/>
    <d v="2026-05-31T00:00:00"/>
    <s v="FW2315TA"/>
    <n v="0.04"/>
    <n v="2688"/>
    <n v="1.32"/>
    <x v="63"/>
    <x v="4"/>
  </r>
  <r>
    <s v="M00106"/>
    <s v="SC6100003"/>
    <s v="FEROGLOBIN B12 CAPSULES (H/30 VIEN)"/>
    <s v="Q27-03-8-1"/>
    <s v="LPN006342"/>
    <n v="4"/>
    <n v="0"/>
    <s v="HOLD"/>
    <s v="9183/2019/ĐKSP"/>
    <s v="0000022782"/>
    <d v="2026-05-31T00:00:00"/>
    <s v="FW2315TA"/>
    <n v="0.04"/>
    <n v="2688"/>
    <n v="0.16"/>
    <x v="42"/>
    <x v="4"/>
  </r>
  <r>
    <s v="M00106"/>
    <s v="SC6100003"/>
    <s v="FEROGLOBIN B12 CAPSULES (H/30 VIEN)"/>
    <s v="Q27-03-8-1"/>
    <s v="LPN006347"/>
    <n v="2"/>
    <n v="0"/>
    <s v="HOLD"/>
    <s v="9183/2019/ĐKSP"/>
    <s v="0000022782"/>
    <d v="2026-05-31T00:00:00"/>
    <s v="FW2315TA"/>
    <n v="0.04"/>
    <n v="2688"/>
    <n v="0.08"/>
    <x v="52"/>
    <x v="4"/>
  </r>
  <r>
    <s v="M00106"/>
    <s v="SC6100003"/>
    <s v="FEROGLOBIN B12 CAPSULES (H/30 VIEN)"/>
    <s v="Q27-03-8-1"/>
    <s v="LPN006369"/>
    <n v="1"/>
    <n v="0"/>
    <s v="HOLD"/>
    <s v="9183/2019/ĐKSP"/>
    <s v="0000022782"/>
    <d v="2026-05-31T00:00:00"/>
    <s v="FW2315TA"/>
    <n v="0.04"/>
    <n v="2688"/>
    <n v="0.04"/>
    <x v="51"/>
    <x v="4"/>
  </r>
  <r>
    <s v="M00106"/>
    <s v="SC6100003"/>
    <s v="FEROGLOBIN B12 CAPSULES (H/30 VIEN)"/>
    <s v="Q27-03-8-1"/>
    <s v="LPN006379"/>
    <n v="2"/>
    <n v="0"/>
    <s v="HOLD"/>
    <s v="9183/2019/ĐKSP"/>
    <s v="0000022782"/>
    <d v="2026-05-31T00:00:00"/>
    <s v="FW2315TA"/>
    <n v="0.04"/>
    <n v="2688"/>
    <n v="0.08"/>
    <x v="52"/>
    <x v="4"/>
  </r>
  <r>
    <s v="M00106"/>
    <s v="SC6100003"/>
    <s v="FEROGLOBIN B12 CAPSULES (H/30 VIEN)"/>
    <s v="Q27-03-3-1"/>
    <s v="LPN006166"/>
    <n v="8"/>
    <n v="0"/>
    <s v="HOLD"/>
    <s v="9183/2019/ĐKSP"/>
    <s v="0000022554"/>
    <d v="2026-04-30T00:00:00"/>
    <s v="FW2304AA"/>
    <n v="0.04"/>
    <n v="2688"/>
    <n v="0.32"/>
    <x v="41"/>
    <x v="4"/>
  </r>
  <r>
    <s v="M00106"/>
    <s v="SC6100003"/>
    <s v="FEROGLOBIN B12 CAPSULES (H/30 VIEN)"/>
    <s v="Q27-03-3-1"/>
    <s v="LPN006176"/>
    <n v="10"/>
    <n v="0"/>
    <s v="HOLD"/>
    <s v="9183/2019/ĐKSP"/>
    <s v="0000022554"/>
    <d v="2026-04-30T00:00:00"/>
    <s v="FW2304AA"/>
    <n v="0.04"/>
    <n v="2688"/>
    <n v="0.4"/>
    <x v="50"/>
    <x v="4"/>
  </r>
  <r>
    <s v="M00106"/>
    <s v="SC6100003"/>
    <s v="FEROGLOBIN B12 CAPSULES (H/30 VIEN)"/>
    <s v="Q27-03-3-1"/>
    <s v="LPN006197"/>
    <n v="7"/>
    <n v="0"/>
    <s v="HOLD"/>
    <s v="9183/2019/ĐKSP"/>
    <s v="0000022554"/>
    <d v="2026-04-30T00:00:00"/>
    <s v="FW2304AA"/>
    <n v="0.04"/>
    <n v="2688"/>
    <n v="0.28000000000000003"/>
    <x v="44"/>
    <x v="4"/>
  </r>
  <r>
    <s v="M00106"/>
    <s v="SC6100003"/>
    <s v="FEROGLOBIN B12 CAPSULES (H/30 VIEN)"/>
    <s v="Q27-03-3-1"/>
    <s v="LPN006240"/>
    <n v="6"/>
    <n v="0"/>
    <s v="HOLD"/>
    <s v="9183/2019/ĐKSP"/>
    <s v="0000022554"/>
    <d v="2026-04-30T00:00:00"/>
    <s v="FW2304AA"/>
    <n v="0.04"/>
    <n v="2688"/>
    <n v="0.24"/>
    <x v="53"/>
    <x v="4"/>
  </r>
  <r>
    <s v="M00106"/>
    <s v="SC6100003"/>
    <s v="FEROGLOBIN B12 CAPSULES (H/30 VIEN)"/>
    <s v="Q27-03-3-1"/>
    <s v="LPN006311"/>
    <n v="8"/>
    <n v="0"/>
    <s v="HOLD"/>
    <s v="9183/2019/ĐKSP"/>
    <s v="0000022554"/>
    <d v="2026-04-30T00:00:00"/>
    <s v="FW2304AA"/>
    <n v="0.04"/>
    <n v="2688"/>
    <n v="0.32"/>
    <x v="41"/>
    <x v="4"/>
  </r>
  <r>
    <s v="M00106"/>
    <s v="SC6100003"/>
    <s v="FEROGLOBIN B12 CAPSULES (H/30 VIEN)"/>
    <s v="Q27-03-3-1"/>
    <s v="LPN006314"/>
    <n v="1"/>
    <n v="0"/>
    <s v="HOLD"/>
    <s v="9183/2019/ĐKSP"/>
    <s v="0000022554"/>
    <d v="2026-04-30T00:00:00"/>
    <s v="FW2304AA"/>
    <n v="0.04"/>
    <n v="2688"/>
    <n v="0.04"/>
    <x v="51"/>
    <x v="4"/>
  </r>
  <r>
    <s v="M00106"/>
    <s v="SC6100003"/>
    <s v="FEROGLOBIN B12 CAPSULES (H/30 VIEN)"/>
    <s v="Q27-03-6-2"/>
    <s v="LPN006265"/>
    <n v="2"/>
    <n v="0"/>
    <s v="HOLD"/>
    <s v="9183/2019/ĐKSP"/>
    <s v="0000022554"/>
    <d v="2026-04-30T00:00:00"/>
    <s v="FW2304AA"/>
    <n v="0.04"/>
    <n v="2688"/>
    <n v="0.08"/>
    <x v="52"/>
    <x v="4"/>
  </r>
  <r>
    <s v="M00106"/>
    <s v="SC6100003"/>
    <s v="FEROGLOBIN B12 CAPSULES (H/30 VIEN)"/>
    <s v="Q27-03-6-2"/>
    <s v="LPN006272"/>
    <n v="4"/>
    <n v="0"/>
    <s v="HOLD"/>
    <s v="9183/2019/ĐKSP"/>
    <s v="0000022554"/>
    <d v="2026-04-30T00:00:00"/>
    <s v="FW2304AA"/>
    <n v="0.04"/>
    <n v="2688"/>
    <n v="0.16"/>
    <x v="42"/>
    <x v="4"/>
  </r>
  <r>
    <s v="M00106"/>
    <s v="SC6100003"/>
    <s v="FEROGLOBIN B12 CAPSULES (H/30 VIEN)"/>
    <s v="Q27-03-3-2"/>
    <s v="LPN006620"/>
    <n v="13"/>
    <n v="0"/>
    <s v="HOLD"/>
    <s v="9183/2019/ĐKSP"/>
    <s v="0000023794"/>
    <d v="2026-08-31T00:00:00"/>
    <s v="FW2713SA"/>
    <n v="0.04"/>
    <n v="2688"/>
    <n v="0.52"/>
    <x v="48"/>
    <x v="4"/>
  </r>
  <r>
    <s v="M00106"/>
    <s v="SC6100003"/>
    <s v="FEROGLOBIN B12 CAPSULES (H/30 VIEN)"/>
    <s v="Q27-03-5-1"/>
    <s v="LPN006578"/>
    <n v="6"/>
    <n v="0"/>
    <s v="HOLD"/>
    <s v="9183/2019/ĐKSP"/>
    <s v="0000023794"/>
    <d v="2026-08-31T00:00:00"/>
    <s v="FW2713SA"/>
    <n v="0.04"/>
    <n v="2688"/>
    <n v="0.24"/>
    <x v="53"/>
    <x v="4"/>
  </r>
  <r>
    <s v="M00106"/>
    <s v="SC6100003"/>
    <s v="FEROGLOBIN B12 CAPSULES (H/30 VIEN)"/>
    <s v="Q27-03-5-1"/>
    <s v="LPN006619"/>
    <n v="12"/>
    <n v="0"/>
    <s v="HOLD"/>
    <s v="9183/2019/ĐKSP"/>
    <s v="0000023794"/>
    <d v="2026-08-31T00:00:00"/>
    <s v="FW2713SA"/>
    <n v="0.04"/>
    <n v="2688"/>
    <n v="0.48"/>
    <x v="64"/>
    <x v="4"/>
  </r>
  <r>
    <s v="M00106"/>
    <s v="SC6100003"/>
    <s v="FEROGLOBIN B12 CAPSULES (H/30 VIEN)"/>
    <s v="Q27-03-6-2"/>
    <s v="LPN006607"/>
    <n v="23"/>
    <n v="0"/>
    <s v="HOLD"/>
    <s v="9183/2019/ĐKSP"/>
    <s v="0000023794"/>
    <d v="2026-08-31T00:00:00"/>
    <s v="FW2713SA"/>
    <n v="0.04"/>
    <n v="2688"/>
    <n v="0.92"/>
    <x v="65"/>
    <x v="4"/>
  </r>
  <r>
    <s v="M00106"/>
    <s v="SC6100003"/>
    <s v="FEROGLOBIN B12 CAPSULES (H/30 VIEN)"/>
    <s v="Q26-01-9-2"/>
    <s v="LPN005832"/>
    <n v="1"/>
    <n v="0"/>
    <s v="HOLD"/>
    <s v="9183/2019/ĐKSP"/>
    <s v="0000021250"/>
    <d v="2026-04-30T00:00:00"/>
    <s v="FW2302AA"/>
    <n v="0.04"/>
    <n v="2688"/>
    <n v="0.04"/>
    <x v="51"/>
    <x v="2"/>
  </r>
  <r>
    <s v="M00106"/>
    <s v="SC6100003"/>
    <s v="FEROGLOBIN B12 CAPSULES (H/30 VIEN)"/>
    <s v="Q27-03-3-1"/>
    <s v="LPN005717"/>
    <n v="9"/>
    <n v="0"/>
    <s v="HOLD"/>
    <s v="9183/2019/ĐKSP"/>
    <s v="0000021250"/>
    <d v="2026-04-30T00:00:00"/>
    <s v="FW2302AA"/>
    <n v="0.04"/>
    <n v="2688"/>
    <n v="0.36"/>
    <x v="40"/>
    <x v="4"/>
  </r>
  <r>
    <s v="M00106"/>
    <s v="SC6100003"/>
    <s v="FEROGLOBIN B12 CAPSULES (H/30 VIEN)"/>
    <s v="Q27-03-3-1"/>
    <s v="LPN005724"/>
    <n v="7"/>
    <n v="0"/>
    <s v="HOLD"/>
    <s v="9183/2019/ĐKSP"/>
    <s v="0000021250"/>
    <d v="2026-04-30T00:00:00"/>
    <s v="FW2302AA"/>
    <n v="0.04"/>
    <n v="2688"/>
    <n v="0.28000000000000003"/>
    <x v="44"/>
    <x v="4"/>
  </r>
  <r>
    <s v="M00106"/>
    <s v="SC6100003"/>
    <s v="FEROGLOBIN B12 CAPSULES (H/30 VIEN)"/>
    <s v="Q27-03-3-1"/>
    <s v="LPN005742"/>
    <n v="5"/>
    <n v="0"/>
    <s v="HOLD"/>
    <s v="9183/2019/ĐKSP"/>
    <s v="0000021250"/>
    <d v="2026-04-30T00:00:00"/>
    <s v="FW2302AA"/>
    <n v="0.04"/>
    <n v="2688"/>
    <n v="0.2"/>
    <x v="46"/>
    <x v="4"/>
  </r>
  <r>
    <s v="M00106"/>
    <s v="SC6100003"/>
    <s v="FEROGLOBIN B12 CAPSULES (H/30 VIEN)"/>
    <s v="Q27-03-3-1"/>
    <s v="LPN005813"/>
    <n v="14"/>
    <n v="0"/>
    <s v="HOLD"/>
    <s v="9183/2019/ĐKSP"/>
    <s v="0000021250"/>
    <d v="2026-04-30T00:00:00"/>
    <s v="FW2302AA"/>
    <n v="0.04"/>
    <n v="2688"/>
    <n v="0.56000000000000005"/>
    <x v="36"/>
    <x v="4"/>
  </r>
  <r>
    <s v="M00106"/>
    <s v="SC6100003"/>
    <s v="FEROGLOBIN B12 CAPSULES (H/30 VIEN)"/>
    <s v="Q27-03-3-1"/>
    <s v="LPN005845"/>
    <n v="5"/>
    <n v="0"/>
    <s v="HOLD"/>
    <s v="9183/2019/ĐKSP"/>
    <s v="0000021250"/>
    <d v="2026-04-30T00:00:00"/>
    <s v="FW2302AA"/>
    <n v="0.04"/>
    <n v="2688"/>
    <n v="0.2"/>
    <x v="46"/>
    <x v="4"/>
  </r>
  <r>
    <s v="M00106"/>
    <s v="SC6100003"/>
    <s v="FEROGLOBIN B12 CAPSULES (H/30 VIEN)"/>
    <s v="Q27-03-6-2"/>
    <s v="LPN005707"/>
    <n v="2"/>
    <n v="0"/>
    <s v="HOLD"/>
    <s v="9183/2019/ĐKSP"/>
    <s v="0000021250"/>
    <d v="2026-04-30T00:00:00"/>
    <s v="FW2302AA"/>
    <n v="0.04"/>
    <n v="2688"/>
    <n v="0.08"/>
    <x v="52"/>
    <x v="4"/>
  </r>
  <r>
    <s v="M00106"/>
    <s v="SC6100003"/>
    <s v="FEROGLOBIN B12 CAPSULES (H/30 VIEN)"/>
    <s v="Q27-03-6-2"/>
    <s v="LPN005734"/>
    <n v="1"/>
    <n v="0"/>
    <s v="HOLD"/>
    <s v="9183/2019/ĐKSP"/>
    <s v="0000021250"/>
    <d v="2026-04-30T00:00:00"/>
    <s v="FW2302AA"/>
    <n v="0.04"/>
    <n v="2688"/>
    <n v="0.04"/>
    <x v="51"/>
    <x v="4"/>
  </r>
  <r>
    <s v="M00106"/>
    <s v="SC6100003"/>
    <s v="FEROGLOBIN B12 CAPSULES (H/30 VIEN)"/>
    <s v="Q27-03-6-2"/>
    <s v="LPN005761"/>
    <n v="1"/>
    <n v="0"/>
    <s v="HOLD"/>
    <s v="9183/2019/ĐKSP"/>
    <s v="0000021250"/>
    <d v="2026-04-30T00:00:00"/>
    <s v="FW2302AA"/>
    <n v="0.04"/>
    <n v="2688"/>
    <n v="0.04"/>
    <x v="51"/>
    <x v="4"/>
  </r>
  <r>
    <s v="M00106"/>
    <s v="SC6100023"/>
    <s v="VISIONACE ORIGINAL (HOP/30VIEN)"/>
    <s v="Q27-03-8-1"/>
    <s v="LPN006394"/>
    <n v="1"/>
    <n v="0"/>
    <s v="HOLD"/>
    <s v="1737/2024/ĐKSP"/>
    <s v="0000023272"/>
    <d v="2026-07-31T00:00:00"/>
    <s v="126094A"/>
    <n v="5.0999999999999997E-2"/>
    <n v="2880"/>
    <n v="5.0999999999999997E-2"/>
    <x v="3"/>
    <x v="4"/>
  </r>
  <r>
    <s v="M00106"/>
    <s v="SC6100023"/>
    <s v="VISIONACE ORIGINAL (HOP/30VIEN)"/>
    <s v="Q27-03-8-1"/>
    <s v="LPN006412"/>
    <n v="1"/>
    <n v="0"/>
    <s v="HOLD"/>
    <s v="1737/2024/ĐKSP"/>
    <s v="0000023272"/>
    <d v="2026-07-31T00:00:00"/>
    <s v="126094A"/>
    <n v="5.0999999999999997E-2"/>
    <n v="2880"/>
    <n v="5.0999999999999997E-2"/>
    <x v="3"/>
    <x v="4"/>
  </r>
  <r>
    <s v="M00106"/>
    <s v="SC6100008"/>
    <s v="MENOPACE (H/30 VIEN)"/>
    <s v="Q27-01-2-1"/>
    <s v="LPN005011"/>
    <n v="7"/>
    <n v="0"/>
    <s v="HOLD"/>
    <s v="9577/2019/ĐKSP"/>
    <s v="0000019327"/>
    <d v="2026-01-31T00:00:00"/>
    <s v="165074"/>
    <n v="5.3999999999999999E-2"/>
    <n v="2880"/>
    <n v="0.378"/>
    <x v="66"/>
    <x v="0"/>
  </r>
  <r>
    <s v="M00106"/>
    <s v="SC6100018"/>
    <s v="PREGNACARE BREAST-FEEDING (HOP/56 VIEN NEN, 28 VIEN NANG)"/>
    <s v="Q27-03-6-2"/>
    <s v="LPN006598"/>
    <n v="32"/>
    <n v="0"/>
    <s v="HOLD"/>
    <s v="10645/2019/ĐKSP"/>
    <s v="0000023774"/>
    <d v="2026-10-31T00:00:00"/>
    <s v="PB2406"/>
    <n v="0.158"/>
    <n v="1152"/>
    <n v="5.056"/>
    <x v="67"/>
    <x v="4"/>
  </r>
  <r>
    <s v="M00106"/>
    <s v="SC6100018"/>
    <s v="PREGNACARE BREAST-FEEDING (HOP/56 VIEN NEN, 28 VIEN NANG)"/>
    <s v="Q26-01-9-2"/>
    <s v="LPN006475"/>
    <n v="21"/>
    <n v="0"/>
    <s v="HOLD"/>
    <s v="10645/2019/ĐKSP"/>
    <s v="0000023351"/>
    <d v="2026-10-31T00:00:00"/>
    <s v="PB2406"/>
    <n v="0.158"/>
    <n v="1152"/>
    <n v="3.3180000000000001"/>
    <x v="68"/>
    <x v="2"/>
  </r>
  <r>
    <s v="M00106"/>
    <s v="SC6100018"/>
    <s v="PREGNACARE BREAST-FEEDING (HOP/56 VIEN NEN, 28 VIEN NANG)"/>
    <s v="Q27-03-8-1"/>
    <s v="LPN006442"/>
    <n v="60"/>
    <n v="0"/>
    <s v="HOLD"/>
    <s v="10645/2019/ĐKSP"/>
    <s v="0000023351"/>
    <d v="2026-10-31T00:00:00"/>
    <s v="PB2406"/>
    <n v="0.158"/>
    <n v="1152"/>
    <n v="9.48"/>
    <x v="69"/>
    <x v="4"/>
  </r>
  <r>
    <s v="M00106"/>
    <s v="SC6100018"/>
    <s v="PREGNACARE BREAST-FEEDING (HOP/56 VIEN NEN, 28 VIEN NANG)"/>
    <s v="Q26-01-9-2"/>
    <s v="LPN006255"/>
    <n v="2"/>
    <n v="0"/>
    <s v="HOLD"/>
    <s v="10645/2019/ĐKSP"/>
    <s v="0000022755"/>
    <d v="2026-09-30T00:00:00"/>
    <s v="PB2344"/>
    <n v="0.158"/>
    <n v="1152"/>
    <n v="0.316"/>
    <x v="70"/>
    <x v="2"/>
  </r>
  <r>
    <s v="M00106"/>
    <s v="SC6100018"/>
    <s v="PREGNACARE BREAST-FEEDING (HOP/56 VIEN NEN, 28 VIEN NANG)"/>
    <s v="Q26-01-9-2"/>
    <s v="LPN006268"/>
    <n v="1"/>
    <n v="0"/>
    <s v="HOLD"/>
    <s v="10645/2019/ĐKSP"/>
    <s v="0000022755"/>
    <d v="2026-09-30T00:00:00"/>
    <s v="PB2344"/>
    <n v="0.158"/>
    <n v="1152"/>
    <n v="0.158"/>
    <x v="71"/>
    <x v="2"/>
  </r>
  <r>
    <s v="M00106"/>
    <s v="SC6100018"/>
    <s v="PREGNACARE BREAST-FEEDING (HOP/56 VIEN NEN, 28 VIEN NANG)"/>
    <s v="Q27-03-8-1"/>
    <s v="LPN006219"/>
    <n v="50"/>
    <n v="0"/>
    <s v="HOLD"/>
    <s v="10645/2019/ĐKSP"/>
    <s v="0000022755"/>
    <d v="2026-09-30T00:00:00"/>
    <s v="PB2344"/>
    <n v="0.158"/>
    <n v="1152"/>
    <n v="7.9"/>
    <x v="72"/>
    <x v="4"/>
  </r>
  <r>
    <s v="M00106"/>
    <s v="SC6100018"/>
    <s v="PREGNACARE BREAST-FEEDING (HOP/56 VIEN NEN, 28 VIEN NANG)"/>
    <s v="Q27-03-8-1"/>
    <s v="LPN006250"/>
    <n v="47"/>
    <n v="0"/>
    <s v="HOLD"/>
    <s v="10645/2019/ĐKSP"/>
    <s v="0000022755"/>
    <d v="2026-09-30T00:00:00"/>
    <s v="PB2344"/>
    <n v="0.158"/>
    <n v="1152"/>
    <n v="7.4260000000000002"/>
    <x v="73"/>
    <x v="4"/>
  </r>
  <r>
    <s v="M00106"/>
    <s v="SC6100018"/>
    <s v="PREGNACARE BREAST-FEEDING (HOP/56 VIEN NEN, 28 VIEN NANG)"/>
    <s v="Q27-03-8-1"/>
    <s v="LPN006276"/>
    <n v="24"/>
    <n v="0"/>
    <s v="HOLD"/>
    <s v="10645/2019/ĐKSP"/>
    <s v="0000022755"/>
    <d v="2026-09-30T00:00:00"/>
    <s v="PB2344"/>
    <n v="0.158"/>
    <n v="1152"/>
    <n v="3.7919999999999998"/>
    <x v="74"/>
    <x v="4"/>
  </r>
  <r>
    <s v="M00106"/>
    <s v="SC6100018"/>
    <s v="PREGNACARE BREAST-FEEDING (HOP/56 VIEN NEN, 28 VIEN NANG)"/>
    <s v="Q27-03-3-1"/>
    <s v="LPN005992"/>
    <n v="3"/>
    <n v="0"/>
    <s v="HOLD"/>
    <s v="10645/2019/ĐKSP"/>
    <s v="0000022127"/>
    <d v="2026-09-30T00:00:00"/>
    <s v="PB2344"/>
    <n v="0.158"/>
    <n v="1152"/>
    <n v="0.47399999999999998"/>
    <x v="44"/>
    <x v="4"/>
  </r>
  <r>
    <s v="M00106"/>
    <s v="SC6100018"/>
    <s v="PREGNACARE BREAST-FEEDING (HOP/56 VIEN NEN, 28 VIEN NANG)"/>
    <s v="Q27-03-3-1"/>
    <s v="LPN005998"/>
    <n v="11"/>
    <n v="0"/>
    <s v="HOLD"/>
    <s v="10645/2019/ĐKSP"/>
    <s v="0000022127"/>
    <d v="2026-09-30T00:00:00"/>
    <s v="PB2344"/>
    <n v="0.158"/>
    <n v="1152"/>
    <n v="1.738"/>
    <x v="75"/>
    <x v="4"/>
  </r>
  <r>
    <s v="M00106"/>
    <s v="SC6100018"/>
    <s v="PREGNACARE BREAST-FEEDING (HOP/56 VIEN NEN, 28 VIEN NANG)"/>
    <s v="Q27-03-3-1"/>
    <s v="LPN006005"/>
    <n v="23"/>
    <n v="0"/>
    <s v="HOLD"/>
    <s v="10645/2019/ĐKSP"/>
    <s v="0000022127"/>
    <d v="2026-09-30T00:00:00"/>
    <s v="PB2344"/>
    <n v="0.158"/>
    <n v="1152"/>
    <n v="3.6339999999999999"/>
    <x v="76"/>
    <x v="4"/>
  </r>
  <r>
    <s v="M00106"/>
    <s v="SC6100018"/>
    <s v="PREGNACARE BREAST-FEEDING (HOP/56 VIEN NEN, 28 VIEN NANG)"/>
    <s v="Q27-03-1-2"/>
    <s v="000132117"/>
    <n v="1"/>
    <n v="0"/>
    <s v="HOLD"/>
    <s v="10645/2019/ĐKSP"/>
    <s v="0000023112"/>
    <d v="2026-09-30T00:00:00"/>
    <s v="PB2344"/>
    <n v="0.158"/>
    <n v="1152"/>
    <n v="0.158"/>
    <x v="71"/>
    <x v="4"/>
  </r>
  <r>
    <s v="HD"/>
    <s v="HT1100012"/>
    <s v="MONTE-H10 (HOP/ 30 VIEN)"/>
    <s v="Q26-03-5-1"/>
    <s v="LPN008290"/>
    <n v="1"/>
    <n v="0"/>
    <s v="HOLD"/>
    <s v="VN-18904-15"/>
    <s v="0000024247"/>
    <d v="2026-01-21T00:00:00"/>
    <s v="MON24035A"/>
    <n v="2.5999999999999999E-2"/>
    <n v="4752"/>
    <n v="2.5999999999999999E-2"/>
    <x v="77"/>
    <x v="1"/>
  </r>
  <r>
    <s v="HD"/>
    <s v="TT1300526"/>
    <s v="NHAN PHU PAPILOCARE (7 CANNULAS X 5ML) - BESINS"/>
    <s v="QM4-01-1-1"/>
    <s v="000138995"/>
    <n v="157"/>
    <n v="0"/>
    <s v="HOLD"/>
    <s v="NOVISA"/>
    <s v=" "/>
    <d v="2026-05-29T00:00:00"/>
    <s v="W0151"/>
    <n v="0"/>
    <n v="0"/>
    <n v="0"/>
    <x v="16"/>
    <x v="3"/>
  </r>
  <r>
    <s v="HD"/>
    <s v="TT1300527"/>
    <s v="NHAN PHU PAPILOCARE (2 CANNULAS X 5ML) - BESINS"/>
    <s v="QM4-01-1-1"/>
    <s v="000138996"/>
    <n v="1084"/>
    <n v="0"/>
    <s v="HOLD"/>
    <s v="NOVISA"/>
    <s v=" "/>
    <d v="2026-05-29T00:00:00"/>
    <s v="W0141"/>
    <n v="0"/>
    <n v="0"/>
    <n v="0"/>
    <x v="16"/>
    <x v="3"/>
  </r>
  <r>
    <s v="HD"/>
    <s v="HT1100028"/>
    <s v="ETORICOXIB TABLETS 120MG (HOP/30 VIEN)"/>
    <s v="Q26-01-8-2"/>
    <s v="LPN011303"/>
    <n v="334"/>
    <n v="0"/>
    <s v="HOLD"/>
    <s v="890110433323"/>
    <s v="0000024330"/>
    <d v="2026-03-13T00:00:00"/>
    <s v="E240774B"/>
    <n v="0"/>
    <n v="2646"/>
    <n v="0"/>
    <x v="78"/>
    <x v="2"/>
  </r>
  <r>
    <s v="HD"/>
    <s v="HT1100028"/>
    <s v="ETORICOXIB TABLETS 120MG (HOP/30 VIEN)"/>
    <s v="Q27-01-1-2"/>
    <s v="LPN009047"/>
    <n v="7"/>
    <n v="0"/>
    <s v="HOLD"/>
    <s v="890110433323"/>
    <s v="0000024330"/>
    <d v="2026-03-13T00:00:00"/>
    <s v="E240774B"/>
    <n v="0"/>
    <n v="2646"/>
    <n v="0"/>
    <x v="79"/>
    <x v="0"/>
  </r>
  <r>
    <s v="HOANGDUC"/>
    <s v="BS1100002"/>
    <s v="UTROGESTAN 200MG"/>
    <s v="Q27-01-1-2"/>
    <s v="LPN006876"/>
    <n v="2"/>
    <n v="0"/>
    <s v="HOLD"/>
    <s v="840110179823"/>
    <s v="0000024439"/>
    <d v="2027-02-28T00:00:00"/>
    <s v="241367"/>
    <n v="2.5999999999999999E-2"/>
    <n v="6720"/>
    <n v="5.1999999999999998E-2"/>
    <x v="80"/>
    <x v="0"/>
  </r>
  <r>
    <s v="M00106"/>
    <s v="SC6100018"/>
    <s v="PREGNACARE BREAST-FEEDING (HOP/56 VIEN NEN, 28 VIEN NANG)"/>
    <s v="Q27-03-3-1"/>
    <s v="LPN006863"/>
    <n v="79"/>
    <n v="0"/>
    <s v="HOLD"/>
    <s v="10645/2019/ĐKSP"/>
    <s v="0000024456"/>
    <d v="2026-10-31T00:00:00"/>
    <s v="PB2408"/>
    <n v="0.158"/>
    <n v="1152"/>
    <n v="12.481999999999999"/>
    <x v="81"/>
    <x v="4"/>
  </r>
  <r>
    <s v="M00106"/>
    <s v="SC6100018"/>
    <s v="PREGNACARE BREAST-FEEDING (HOP/56 VIEN NEN, 28 VIEN NANG)"/>
    <s v="Q27-03-4-1"/>
    <s v="LPN006884"/>
    <n v="45"/>
    <n v="0"/>
    <s v="HOLD"/>
    <s v="10645/2019/ĐKSP"/>
    <s v="0000024456"/>
    <d v="2026-11-30T00:00:00"/>
    <s v="PB2412"/>
    <n v="0.158"/>
    <n v="1152"/>
    <n v="7.11"/>
    <x v="82"/>
    <x v="4"/>
  </r>
  <r>
    <s v="M00106"/>
    <s v="SC6100025"/>
    <s v="PREGNACARE MAX (H/56 VIEN NEN, 28 VIEN NANG)"/>
    <s v="Q27-03-4-2"/>
    <s v="LPN006857"/>
    <n v="12"/>
    <n v="0"/>
    <s v="HOLD"/>
    <s v="1475/2024/ĐKSP"/>
    <s v="0000024456"/>
    <d v="2026-11-30T00:00:00"/>
    <s v="PM2409"/>
    <n v="0.156"/>
    <n v="1152"/>
    <n v="1.8719999999999999"/>
    <x v="27"/>
    <x v="4"/>
  </r>
  <r>
    <s v="M00106"/>
    <s v="SC6100025"/>
    <s v="PREGNACARE MAX (H/56 VIEN NEN, 28 VIEN NANG)"/>
    <s v="Q27-03-5-1"/>
    <s v="LPN007513"/>
    <n v="1"/>
    <n v="0"/>
    <s v="HOLD"/>
    <s v="1475/2024/ĐKSP"/>
    <s v="0000024456"/>
    <d v="2026-11-30T00:00:00"/>
    <s v="PM2409"/>
    <n v="0.156"/>
    <n v="1152"/>
    <n v="0.156"/>
    <x v="71"/>
    <x v="4"/>
  </r>
  <r>
    <s v="M00106"/>
    <s v="SC6100025"/>
    <s v="PREGNACARE MAX (H/56 VIEN NEN, 28 VIEN NANG)"/>
    <s v="Q27-03-8-1"/>
    <s v="LPN006842"/>
    <n v="9"/>
    <n v="0"/>
    <s v="HOLD"/>
    <s v="1475/2024/ĐKSP"/>
    <s v="0000024456"/>
    <d v="2026-11-30T00:00:00"/>
    <s v="PM2409"/>
    <n v="0.156"/>
    <n v="1152"/>
    <n v="1.4039999999999999"/>
    <x v="25"/>
    <x v="4"/>
  </r>
  <r>
    <s v="HOANGDUC"/>
    <s v="RH6100003"/>
    <s v="THUC PHAM BAO VE SUC KHOE ALCOFREE 50ML"/>
    <s v="Q27-01-6-2"/>
    <s v="LPN011304"/>
    <n v="4"/>
    <n v="0"/>
    <s v="HOLD"/>
    <s v="NOVISA"/>
    <s v="0000024551"/>
    <d v="2026-03-19T00:00:00"/>
    <s v="020324"/>
    <n v="0.128"/>
    <n v="2400"/>
    <n v="0.51200000000000001"/>
    <x v="83"/>
    <x v="0"/>
  </r>
  <r>
    <s v="M00106"/>
    <s v="SC6100003"/>
    <s v="FEROGLOBIN B12 CAPSULES (H/30 VIEN)"/>
    <s v="Q27-03-3-1"/>
    <s v="LPN006893"/>
    <n v="14"/>
    <n v="0"/>
    <s v="HOLD"/>
    <s v="9183/2019/ĐKSP"/>
    <s v="0000024612"/>
    <d v="2027-03-31T00:00:00"/>
    <s v="FW2404TA"/>
    <n v="0.04"/>
    <n v="2688"/>
    <n v="0.56000000000000005"/>
    <x v="36"/>
    <x v="4"/>
  </r>
  <r>
    <s v="M00106"/>
    <s v="SC6100003"/>
    <s v="FEROGLOBIN B12 CAPSULES (H/30 VIEN)"/>
    <s v="Q27-03-3-1"/>
    <s v="LPN006904"/>
    <n v="11"/>
    <n v="0"/>
    <s v="HOLD"/>
    <s v="9183/2019/ĐKSP"/>
    <s v="0000024612"/>
    <d v="2027-03-31T00:00:00"/>
    <s v="FW2404TA"/>
    <n v="0.04"/>
    <n v="2688"/>
    <n v="0.44"/>
    <x v="47"/>
    <x v="4"/>
  </r>
  <r>
    <s v="M00106"/>
    <s v="SC6100003"/>
    <s v="FEROGLOBIN B12 CAPSULES (H/30 VIEN)"/>
    <s v="Q27-03-4-1"/>
    <s v="LPN006916"/>
    <n v="3"/>
    <n v="0"/>
    <s v="HOLD"/>
    <s v="9183/2019/ĐKSP"/>
    <s v="0000024612"/>
    <d v="2027-03-31T00:00:00"/>
    <s v="FW2404TA"/>
    <n v="0.04"/>
    <n v="2688"/>
    <n v="0.12"/>
    <x v="45"/>
    <x v="4"/>
  </r>
  <r>
    <s v="M00106"/>
    <s v="SC6100003"/>
    <s v="FEROGLOBIN B12 CAPSULES (H/30 VIEN)"/>
    <s v="Q27-03-4-1"/>
    <s v="LPN006921"/>
    <n v="5"/>
    <n v="0"/>
    <s v="HOLD"/>
    <s v="9183/2019/ĐKSP"/>
    <s v="0000024612"/>
    <d v="2027-03-31T00:00:00"/>
    <s v="FW2404TA"/>
    <n v="0.04"/>
    <n v="2688"/>
    <n v="0.2"/>
    <x v="46"/>
    <x v="4"/>
  </r>
  <r>
    <s v="M00106"/>
    <s v="SC6100003"/>
    <s v="FEROGLOBIN B12 CAPSULES (H/30 VIEN)"/>
    <s v="Q27-03-4-1"/>
    <s v="LPN006926"/>
    <n v="13"/>
    <n v="0"/>
    <s v="HOLD"/>
    <s v="9183/2019/ĐKSP"/>
    <s v="0000024612"/>
    <d v="2027-03-31T00:00:00"/>
    <s v="FW2404TA"/>
    <n v="0.04"/>
    <n v="2688"/>
    <n v="0.52"/>
    <x v="48"/>
    <x v="4"/>
  </r>
  <r>
    <s v="HOANGDUC"/>
    <s v="AZ1112003"/>
    <s v="LYNPARZA PA TAB 150MG BL 7X8 EA VN"/>
    <s v="Q26-03-8-1"/>
    <s v="000140969"/>
    <n v="1"/>
    <n v="0"/>
    <s v="HOLD"/>
    <s v="VN3-307-21"/>
    <s v="0000024718"/>
    <d v="2026-11-22T00:00:00"/>
    <s v="SK054"/>
    <n v="8.3000000000000004E-2"/>
    <n v="1200"/>
    <n v="8.3000000000000004E-2"/>
    <x v="84"/>
    <x v="1"/>
  </r>
  <r>
    <s v="M00106"/>
    <s v="SC6100003"/>
    <s v="FEROGLOBIN B12 CAPSULES (H/30 VIEN)"/>
    <s v="Q27-03-3-1"/>
    <s v="LPN006960"/>
    <n v="31"/>
    <n v="0"/>
    <s v="HOLD"/>
    <s v="9183/2019/ĐKSP"/>
    <s v="0000024757"/>
    <d v="2027-03-31T00:00:00"/>
    <s v="FW2404TA"/>
    <n v="0.04"/>
    <n v="2688"/>
    <n v="1.24"/>
    <x v="85"/>
    <x v="4"/>
  </r>
  <r>
    <s v="M00106"/>
    <s v="SC6100003"/>
    <s v="FEROGLOBIN B12 CAPSULES (H/30 VIEN)"/>
    <s v="Q27-03-4-1"/>
    <s v="LPN006947"/>
    <n v="25"/>
    <n v="0"/>
    <s v="HOLD"/>
    <s v="9183/2019/ĐKSP"/>
    <s v="0000024757"/>
    <d v="2027-03-31T00:00:00"/>
    <s v="FW2404TA"/>
    <n v="0.04"/>
    <n v="2688"/>
    <n v="1"/>
    <x v="86"/>
    <x v="4"/>
  </r>
  <r>
    <s v="HD"/>
    <s v="HT1100019"/>
    <s v="SIFE-100 (HOP/ 20 VIEN)"/>
    <s v="Q26-03-5-2"/>
    <s v="LPN008948"/>
    <n v="10.8"/>
    <n v="0"/>
    <s v="HOLD"/>
    <s v="VN-18539-14"/>
    <s v="0000024848"/>
    <d v="2027-05-01T00:00:00"/>
    <s v="SID24018"/>
    <n v="5.8000000000000003E-2"/>
    <n v="1440"/>
    <n v="0.62640000000000007"/>
    <x v="87"/>
    <x v="1"/>
  </r>
  <r>
    <s v="M00106"/>
    <s v="SC6100019"/>
    <s v="WELLBABY MULTI-VITAMIN LIQUID (CHAI 150ML)"/>
    <s v="Q27-01-4-2"/>
    <s v="LPN007002"/>
    <n v="12"/>
    <n v="0"/>
    <s v="HOLD"/>
    <s v="10643/2019/ĐKSP"/>
    <s v="0000024957"/>
    <d v="2026-03-31T00:00:00"/>
    <s v="40505"/>
    <n v="0.22600000000000001"/>
    <n v="1680"/>
    <n v="2.7120000000000002"/>
    <x v="88"/>
    <x v="0"/>
  </r>
  <r>
    <s v="M00106"/>
    <s v="SC6100018"/>
    <s v="PREGNACARE BREAST-FEEDING (HOP/56 VIEN NEN, 28 VIEN NANG)"/>
    <s v="Q27-03-3-1"/>
    <s v="LPN007005"/>
    <n v="40"/>
    <n v="0"/>
    <s v="HOLD"/>
    <s v="10645/2019/ĐKSP"/>
    <s v="0000024957"/>
    <d v="2026-11-30T00:00:00"/>
    <s v="PB2412"/>
    <n v="0.158"/>
    <n v="1152"/>
    <n v="6.32"/>
    <x v="89"/>
    <x v="4"/>
  </r>
  <r>
    <s v="HOANGDUC"/>
    <s v="AZ1100011"/>
    <s v="NOLVADEX TAB 10MG BL 3X10 EA VN"/>
    <s v="Q26-03-2-1"/>
    <s v="000142791"/>
    <n v="1"/>
    <n v="0"/>
    <s v="HOLD"/>
    <s v="VN-20911-18"/>
    <s v="0000025032"/>
    <d v="2027-08-17T00:00:00"/>
    <s v="SF616"/>
    <n v="2.3E-2"/>
    <n v="1920"/>
    <n v="2.3E-2"/>
    <x v="90"/>
    <x v="1"/>
  </r>
  <r>
    <s v="HOANGDUC"/>
    <s v="AZ1100007"/>
    <s v="NOLVADEX-D TAB 20MG BL 3X10 EA VN"/>
    <s v="Q26-03-2-1"/>
    <s v="000142859"/>
    <n v="3"/>
    <n v="0"/>
    <s v="HOLD"/>
    <s v="VN-19007-15"/>
    <s v="0000025045"/>
    <d v="2028-10-10T00:00:00"/>
    <s v="SN061"/>
    <n v="2.9000000000000001E-2"/>
    <n v="2880"/>
    <n v="8.7000000000000008E-2"/>
    <x v="91"/>
    <x v="1"/>
  </r>
  <r>
    <s v="HOANGDUC"/>
    <s v="TT1300475"/>
    <s v="TO ROI QUANG CAO MY PHAM TDF"/>
    <s v="Q27-01-9-1"/>
    <s v="000143194"/>
    <n v="6232"/>
    <n v="0"/>
    <s v="HOLD"/>
    <s v="NOVISA"/>
    <s v=" "/>
    <d v="2026-07-04T00:00:00"/>
    <s v="_"/>
    <n v="0"/>
    <n v="0"/>
    <n v="0"/>
    <x v="16"/>
    <x v="0"/>
  </r>
  <r>
    <s v="M00106"/>
    <s v="SC6100003"/>
    <s v="FEROGLOBIN B12 CAPSULES (H/30 VIEN)"/>
    <s v="Q27-03-1-2"/>
    <s v="LPN007141"/>
    <n v="12"/>
    <n v="0"/>
    <s v="HOLD"/>
    <s v="9183/2019/ĐKSP"/>
    <s v="0000025121"/>
    <d v="2027-01-31T00:00:00"/>
    <s v="FW2402PA"/>
    <n v="0.04"/>
    <n v="2688"/>
    <n v="0.48"/>
    <x v="64"/>
    <x v="4"/>
  </r>
  <r>
    <s v="M00106"/>
    <s v="SC6100003"/>
    <s v="FEROGLOBIN B12 CAPSULES (H/30 VIEN)"/>
    <s v="Q27-03-3-2"/>
    <s v="LPN007139"/>
    <n v="25"/>
    <n v="0"/>
    <s v="HOLD"/>
    <s v="9183/2019/ĐKSP"/>
    <s v="0000025121"/>
    <d v="2027-01-31T00:00:00"/>
    <s v="FW2402PA"/>
    <n v="0.04"/>
    <n v="2688"/>
    <n v="1"/>
    <x v="86"/>
    <x v="4"/>
  </r>
  <r>
    <s v="M00106"/>
    <s v="SC6100003"/>
    <s v="FEROGLOBIN B12 CAPSULES (H/30 VIEN)"/>
    <s v="Q27-03-3-2"/>
    <s v="LPN007151"/>
    <n v="32"/>
    <n v="0"/>
    <s v="HOLD"/>
    <s v="9183/2019/ĐKSP"/>
    <s v="0000025121"/>
    <d v="2027-01-31T00:00:00"/>
    <s v="FW2402PA"/>
    <n v="0.04"/>
    <n v="2688"/>
    <n v="1.28"/>
    <x v="92"/>
    <x v="4"/>
  </r>
  <r>
    <s v="M00106"/>
    <s v="SC6100003"/>
    <s v="FEROGLOBIN B12 CAPSULES (H/30 VIEN)"/>
    <s v="Q27-03-3-2"/>
    <s v="LPN007163"/>
    <n v="28"/>
    <n v="0"/>
    <s v="HOLD"/>
    <s v="9183/2019/ĐKSP"/>
    <s v="0000025121"/>
    <d v="2027-01-31T00:00:00"/>
    <s v="FW2402PA"/>
    <n v="0.04"/>
    <n v="2688"/>
    <n v="1.1200000000000001"/>
    <x v="27"/>
    <x v="4"/>
  </r>
  <r>
    <s v="M00106"/>
    <s v="SC6100003"/>
    <s v="FEROGLOBIN B12 CAPSULES (H/30 VIEN)"/>
    <s v="Q27-03-3-2"/>
    <s v="LPN007402"/>
    <n v="23"/>
    <n v="0"/>
    <s v="HOLD"/>
    <s v="9183/2019/ĐKSP"/>
    <s v="0000025121"/>
    <d v="2027-01-31T00:00:00"/>
    <s v="FW2402PA"/>
    <n v="0.04"/>
    <n v="2688"/>
    <n v="0.92"/>
    <x v="65"/>
    <x v="4"/>
  </r>
  <r>
    <s v="M00106"/>
    <s v="SC6100003"/>
    <s v="FEROGLOBIN B12 CAPSULES (H/30 VIEN)"/>
    <s v="Q27-03-4-1"/>
    <s v="LPN007072"/>
    <n v="1"/>
    <n v="0"/>
    <s v="HOLD"/>
    <s v="9183/2019/ĐKSP"/>
    <s v="0000025121"/>
    <d v="2027-01-31T00:00:00"/>
    <s v="FW2402PA"/>
    <n v="0.04"/>
    <n v="2688"/>
    <n v="0.04"/>
    <x v="51"/>
    <x v="4"/>
  </r>
  <r>
    <s v="M00106"/>
    <s v="SC6100003"/>
    <s v="FEROGLOBIN B12 CAPSULES (H/30 VIEN)"/>
    <s v="Q27-03-4-1"/>
    <s v="LPN007083"/>
    <n v="3"/>
    <n v="0"/>
    <s v="HOLD"/>
    <s v="9183/2019/ĐKSP"/>
    <s v="0000025121"/>
    <d v="2027-01-31T00:00:00"/>
    <s v="FW2402PA"/>
    <n v="0.04"/>
    <n v="2688"/>
    <n v="0.12"/>
    <x v="45"/>
    <x v="4"/>
  </r>
  <r>
    <s v="M00106"/>
    <s v="SC6100003"/>
    <s v="FEROGLOBIN B12 CAPSULES (H/30 VIEN)"/>
    <s v="Q27-03-4-1"/>
    <s v="LPN007140"/>
    <n v="2"/>
    <n v="0"/>
    <s v="HOLD"/>
    <s v="9183/2019/ĐKSP"/>
    <s v="0000025121"/>
    <d v="2027-01-31T00:00:00"/>
    <s v="FW2402PA"/>
    <n v="0.04"/>
    <n v="2688"/>
    <n v="0.08"/>
    <x v="52"/>
    <x v="4"/>
  </r>
  <r>
    <s v="M00106"/>
    <s v="SC6100003"/>
    <s v="FEROGLOBIN B12 CAPSULES (H/30 VIEN)"/>
    <s v="Q27-03-4-1"/>
    <s v="LPN007154"/>
    <n v="6"/>
    <n v="0"/>
    <s v="HOLD"/>
    <s v="9183/2019/ĐKSP"/>
    <s v="0000025121"/>
    <d v="2027-01-31T00:00:00"/>
    <s v="FW2402PA"/>
    <n v="0.04"/>
    <n v="2688"/>
    <n v="0.24"/>
    <x v="53"/>
    <x v="4"/>
  </r>
  <r>
    <s v="M00106"/>
    <s v="SC6100003"/>
    <s v="FEROGLOBIN B12 CAPSULES (H/30 VIEN)"/>
    <s v="Q27-03-4-1"/>
    <s v="LPN007401"/>
    <n v="7"/>
    <n v="0"/>
    <s v="HOLD"/>
    <s v="9183/2019/ĐKSP"/>
    <s v="0000025121"/>
    <d v="2027-01-31T00:00:00"/>
    <s v="FW2402PA"/>
    <n v="0.04"/>
    <n v="2688"/>
    <n v="0.28000000000000003"/>
    <x v="44"/>
    <x v="4"/>
  </r>
  <r>
    <s v="M00106"/>
    <s v="SC6100003"/>
    <s v="FEROGLOBIN B12 CAPSULES (H/30 VIEN)"/>
    <s v="Q27-03-4-1"/>
    <s v="LPN007403"/>
    <n v="16"/>
    <n v="0"/>
    <s v="HOLD"/>
    <s v="9183/2019/ĐKSP"/>
    <s v="0000025121"/>
    <d v="2027-01-31T00:00:00"/>
    <s v="FW2402PA"/>
    <n v="0.04"/>
    <n v="2688"/>
    <n v="0.64"/>
    <x v="49"/>
    <x v="4"/>
  </r>
  <r>
    <s v="M00106"/>
    <s v="SC6100003"/>
    <s v="FEROGLOBIN B12 CAPSULES (H/30 VIEN)"/>
    <s v="Q27-03-4-1"/>
    <s v="LPN007404"/>
    <n v="9"/>
    <n v="0"/>
    <s v="HOLD"/>
    <s v="9183/2019/ĐKSP"/>
    <s v="0000025121"/>
    <d v="2027-01-31T00:00:00"/>
    <s v="FW2402PA"/>
    <n v="0.04"/>
    <n v="2688"/>
    <n v="0.36"/>
    <x v="40"/>
    <x v="4"/>
  </r>
  <r>
    <s v="M00106"/>
    <s v="SC6100003"/>
    <s v="FEROGLOBIN B12 CAPSULES (H/30 VIEN)"/>
    <s v="Q27-03-4-1"/>
    <s v="LPN007096"/>
    <n v="7"/>
    <n v="0"/>
    <s v="HOLD"/>
    <s v="9183/2019/ĐKSP"/>
    <s v="0000025122"/>
    <d v="2026-08-31T00:00:00"/>
    <s v="FW2713SA"/>
    <n v="0.04"/>
    <n v="2688"/>
    <n v="0.28000000000000003"/>
    <x v="44"/>
    <x v="4"/>
  </r>
  <r>
    <s v="M00106"/>
    <s v="SC6100003"/>
    <s v="FEROGLOBIN B12 CAPSULES (H/30 VIEN)"/>
    <s v="Q27-03-4-1"/>
    <s v="LPN007104"/>
    <n v="7"/>
    <n v="0"/>
    <s v="HOLD"/>
    <s v="9183/2019/ĐKSP"/>
    <s v="0000025122"/>
    <d v="2026-08-31T00:00:00"/>
    <s v="FW2713SA"/>
    <n v="0.04"/>
    <n v="2688"/>
    <n v="0.28000000000000003"/>
    <x v="44"/>
    <x v="4"/>
  </r>
  <r>
    <s v="M00106"/>
    <s v="SC6100003"/>
    <s v="FEROGLOBIN B12 CAPSULES (H/30 VIEN)"/>
    <s v="Q27-03-4-1"/>
    <s v="LPN007122"/>
    <n v="25"/>
    <n v="0"/>
    <s v="HOLD"/>
    <s v="9183/2019/ĐKSP"/>
    <s v="0000025122"/>
    <d v="2026-08-31T00:00:00"/>
    <s v="FW2713SA"/>
    <n v="0.04"/>
    <n v="2688"/>
    <n v="1"/>
    <x v="86"/>
    <x v="4"/>
  </r>
  <r>
    <s v="M00106"/>
    <s v="SC6100003"/>
    <s v="FEROGLOBIN B12 CAPSULES (H/30 VIEN)"/>
    <s v="Q27-03-4-1"/>
    <s v="LPN007129"/>
    <n v="7"/>
    <n v="0"/>
    <s v="HOLD"/>
    <s v="9183/2019/ĐKSP"/>
    <s v="0000025122"/>
    <d v="2026-08-31T00:00:00"/>
    <s v="FW2713SA"/>
    <n v="0.04"/>
    <n v="2688"/>
    <n v="0.28000000000000003"/>
    <x v="44"/>
    <x v="4"/>
  </r>
  <r>
    <s v="M00106"/>
    <s v="SC6100003"/>
    <s v="FEROGLOBIN B12 CAPSULES (H/30 VIEN)"/>
    <s v="Q27-03-4-1"/>
    <s v="LPN007133"/>
    <n v="16"/>
    <n v="0"/>
    <s v="HOLD"/>
    <s v="9183/2019/ĐKSP"/>
    <s v="0000025122"/>
    <d v="2026-08-31T00:00:00"/>
    <s v="FW2713SA"/>
    <n v="0.04"/>
    <n v="2688"/>
    <n v="0.64"/>
    <x v="49"/>
    <x v="4"/>
  </r>
  <r>
    <s v="M00106"/>
    <s v="SC6100011"/>
    <s v="PERFECTIL (H/30 VIEN)"/>
    <s v="Q27-03-5-1"/>
    <s v="LPN007355"/>
    <n v="2"/>
    <n v="0"/>
    <s v="HOLD"/>
    <s v="9185/2019/ĐKSP"/>
    <s v="0000025122"/>
    <d v="2026-12-31T00:00:00"/>
    <s v="PFT2402P"/>
    <n v="5.8000000000000003E-2"/>
    <n v="2880"/>
    <n v="0.11600000000000001"/>
    <x v="2"/>
    <x v="4"/>
  </r>
  <r>
    <s v="M00106"/>
    <s v="SC6100001"/>
    <s v="OSTEOCARE LIQUID 200ML"/>
    <s v="Q27-01-2-1"/>
    <s v="LPN007167"/>
    <n v="16"/>
    <n v="0"/>
    <s v="HOLD"/>
    <s v="9186/2019/ĐKSP"/>
    <s v="0000025122"/>
    <d v="2026-02-28T00:00:00"/>
    <s v="40314"/>
    <n v="0.3"/>
    <n v="1680"/>
    <n v="4.8"/>
    <x v="93"/>
    <x v="0"/>
  </r>
  <r>
    <s v="M00106"/>
    <s v="SC6100001"/>
    <s v="OSTEOCARE LIQUID 200ML"/>
    <s v="Q27-01-2-1"/>
    <s v="LPN007317"/>
    <n v="16"/>
    <n v="0"/>
    <s v="HOLD"/>
    <s v="9186/2019/ĐKSP"/>
    <s v="0000025122"/>
    <d v="2026-02-28T00:00:00"/>
    <s v="40314"/>
    <n v="0.3"/>
    <n v="1680"/>
    <n v="4.8"/>
    <x v="93"/>
    <x v="0"/>
  </r>
  <r>
    <s v="M00106"/>
    <s v="SC6100001"/>
    <s v="OSTEOCARE LIQUID 200ML"/>
    <s v="Q27-01-4-2"/>
    <s v="LPN007065"/>
    <n v="7"/>
    <n v="0"/>
    <s v="HOLD"/>
    <s v="9186/2019/ĐKSP"/>
    <s v="0000025122"/>
    <d v="2026-02-28T00:00:00"/>
    <s v="40314"/>
    <n v="0.3"/>
    <n v="1680"/>
    <n v="2.1"/>
    <x v="13"/>
    <x v="0"/>
  </r>
  <r>
    <s v="M00106"/>
    <s v="SC6100001"/>
    <s v="OSTEOCARE LIQUID 200ML"/>
    <s v="Q27-01-4-2"/>
    <s v="LPN007093"/>
    <n v="8"/>
    <n v="0"/>
    <s v="HOLD"/>
    <s v="9186/2019/ĐKSP"/>
    <s v="0000025122"/>
    <d v="2026-02-28T00:00:00"/>
    <s v="40314"/>
    <n v="0.3"/>
    <n v="1680"/>
    <n v="2.4"/>
    <x v="94"/>
    <x v="0"/>
  </r>
  <r>
    <s v="M00106"/>
    <s v="SC6100001"/>
    <s v="OSTEOCARE LIQUID 200ML"/>
    <s v="Q27-01-4-2"/>
    <s v="LPN007094"/>
    <n v="21"/>
    <n v="0"/>
    <s v="HOLD"/>
    <s v="9186/2019/ĐKSP"/>
    <s v="0000025122"/>
    <d v="2026-02-28T00:00:00"/>
    <s v="40314"/>
    <n v="0.3"/>
    <n v="1680"/>
    <n v="6.3"/>
    <x v="95"/>
    <x v="0"/>
  </r>
  <r>
    <s v="M00106"/>
    <s v="SC6100001"/>
    <s v="OSTEOCARE LIQUID 200ML"/>
    <s v="Q27-01-4-2"/>
    <s v="LPN007192"/>
    <n v="24"/>
    <n v="0"/>
    <s v="HOLD"/>
    <s v="9186/2019/ĐKSP"/>
    <s v="0000025122"/>
    <d v="2026-02-28T00:00:00"/>
    <s v="40314"/>
    <n v="0.3"/>
    <n v="1680"/>
    <n v="7.1999999999999993"/>
    <x v="96"/>
    <x v="0"/>
  </r>
  <r>
    <s v="M00106"/>
    <s v="SC6100001"/>
    <s v="OSTEOCARE LIQUID 200ML"/>
    <s v="Q27-01-4-2"/>
    <s v="LPN007246"/>
    <n v="4"/>
    <n v="0"/>
    <s v="HOLD"/>
    <s v="9186/2019/ĐKSP"/>
    <s v="0000025122"/>
    <d v="2026-02-28T00:00:00"/>
    <s v="40314"/>
    <n v="0.3"/>
    <n v="1680"/>
    <n v="1.2"/>
    <x v="14"/>
    <x v="0"/>
  </r>
  <r>
    <s v="M00106"/>
    <s v="SC6100001"/>
    <s v="OSTEOCARE LIQUID 200ML"/>
    <s v="Q27-01-4-2"/>
    <s v="LPN007326"/>
    <n v="4"/>
    <n v="0"/>
    <s v="HOLD"/>
    <s v="9186/2019/ĐKSP"/>
    <s v="0000025122"/>
    <d v="2026-02-28T00:00:00"/>
    <s v="40314"/>
    <n v="0.3"/>
    <n v="1680"/>
    <n v="1.2"/>
    <x v="14"/>
    <x v="0"/>
  </r>
  <r>
    <s v="M00106"/>
    <s v="SC6100019"/>
    <s v="WELLBABY MULTI-VITAMIN LIQUID (CHAI 150ML)"/>
    <s v="Q27-01-4-2"/>
    <s v="LPN007066"/>
    <n v="3"/>
    <n v="0"/>
    <s v="HOLD"/>
    <s v="10643/2019/ĐKSP"/>
    <s v="0000025122"/>
    <d v="2026-02-28T00:00:00"/>
    <s v="40372"/>
    <n v="0.22600000000000001"/>
    <n v="1680"/>
    <n v="0.67800000000000005"/>
    <x v="55"/>
    <x v="0"/>
  </r>
  <r>
    <s v="M00106"/>
    <s v="SC6100019"/>
    <s v="WELLBABY MULTI-VITAMIN LIQUID (CHAI 150ML)"/>
    <s v="Q27-03-4-1"/>
    <s v="LPN007086"/>
    <n v="12"/>
    <n v="0"/>
    <s v="HOLD"/>
    <s v="10643/2019/ĐKSP"/>
    <s v="0000025161"/>
    <d v="2026-04-30T00:00:00"/>
    <s v="40812"/>
    <n v="0.22600000000000001"/>
    <n v="1680"/>
    <n v="2.7120000000000002"/>
    <x v="88"/>
    <x v="4"/>
  </r>
  <r>
    <s v="M00106"/>
    <s v="SC6100003"/>
    <s v="FEROGLOBIN B12 CAPSULES (H/30 VIEN)"/>
    <s v="Q27-03-3-2"/>
    <s v="LPN007196"/>
    <n v="9"/>
    <n v="0"/>
    <s v="HOLD"/>
    <s v="9183/2019/ĐKSP"/>
    <s v="0000025161"/>
    <d v="2027-01-31T00:00:00"/>
    <s v="FW2402PA"/>
    <n v="0.04"/>
    <n v="2688"/>
    <n v="0.36"/>
    <x v="40"/>
    <x v="4"/>
  </r>
  <r>
    <s v="M00106"/>
    <s v="SC6100003"/>
    <s v="FEROGLOBIN B12 CAPSULES (H/30 VIEN)"/>
    <s v="Q27-03-3-2"/>
    <s v="LPN007216"/>
    <n v="7"/>
    <n v="0"/>
    <s v="HOLD"/>
    <s v="9183/2019/ĐKSP"/>
    <s v="0000025161"/>
    <d v="2027-01-31T00:00:00"/>
    <s v="FW2402PA"/>
    <n v="0.04"/>
    <n v="2688"/>
    <n v="0.28000000000000003"/>
    <x v="44"/>
    <x v="4"/>
  </r>
  <r>
    <s v="M00106"/>
    <s v="SC6100003"/>
    <s v="FEROGLOBIN B12 CAPSULES (H/30 VIEN)"/>
    <s v="Q27-03-4-1"/>
    <s v="LPN007172"/>
    <n v="7"/>
    <n v="0"/>
    <s v="HOLD"/>
    <s v="9183/2019/ĐKSP"/>
    <s v="0000025161"/>
    <d v="2027-01-31T00:00:00"/>
    <s v="FW2402PA"/>
    <n v="0.04"/>
    <n v="2688"/>
    <n v="0.28000000000000003"/>
    <x v="44"/>
    <x v="4"/>
  </r>
  <r>
    <s v="M00106"/>
    <s v="SC6100003"/>
    <s v="FEROGLOBIN B12 CAPSULES (H/30 VIEN)"/>
    <s v="Q27-03-4-1"/>
    <s v="LPN007207"/>
    <n v="19"/>
    <n v="0"/>
    <s v="HOLD"/>
    <s v="9183/2019/ĐKSP"/>
    <s v="0000025161"/>
    <d v="2027-01-31T00:00:00"/>
    <s v="FW2402PA"/>
    <n v="0.04"/>
    <n v="2688"/>
    <n v="0.76"/>
    <x v="43"/>
    <x v="4"/>
  </r>
  <r>
    <s v="M00106"/>
    <s v="SC6100003"/>
    <s v="FEROGLOBIN B12 CAPSULES (H/30 VIEN)"/>
    <s v="Q27-03-4-1"/>
    <s v="LPN007208"/>
    <n v="4"/>
    <n v="0"/>
    <s v="HOLD"/>
    <s v="9183/2019/ĐKSP"/>
    <s v="0000025161"/>
    <d v="2027-01-31T00:00:00"/>
    <s v="FW2402PA"/>
    <n v="0.04"/>
    <n v="2688"/>
    <n v="0.16"/>
    <x v="42"/>
    <x v="4"/>
  </r>
  <r>
    <s v="M00106"/>
    <s v="SC6100003"/>
    <s v="FEROGLOBIN B12 CAPSULES (H/30 VIEN)"/>
    <s v="Q27-03-4-1"/>
    <s v="LPN007228"/>
    <n v="4"/>
    <n v="0"/>
    <s v="HOLD"/>
    <s v="9183/2019/ĐKSP"/>
    <s v="0000025161"/>
    <d v="2027-01-31T00:00:00"/>
    <s v="FW2402PA"/>
    <n v="0.04"/>
    <n v="2688"/>
    <n v="0.16"/>
    <x v="42"/>
    <x v="4"/>
  </r>
  <r>
    <s v="M00106"/>
    <s v="SC6100003"/>
    <s v="FEROGLOBIN B12 CAPSULES (H/30 VIEN)"/>
    <s v="Q27-03-4-1"/>
    <s v="LPN007233"/>
    <n v="9"/>
    <n v="0"/>
    <s v="HOLD"/>
    <s v="9183/2019/ĐKSP"/>
    <s v="0000025161"/>
    <d v="2027-01-31T00:00:00"/>
    <s v="FW2402PA"/>
    <n v="0.04"/>
    <n v="2688"/>
    <n v="0.36"/>
    <x v="40"/>
    <x v="4"/>
  </r>
  <r>
    <s v="M00106"/>
    <s v="SC6100003"/>
    <s v="FEROGLOBIN B12 CAPSULES (H/30 VIEN)"/>
    <s v="Q27-03-4-1"/>
    <s v="LPN007406"/>
    <n v="4"/>
    <n v="0"/>
    <s v="HOLD"/>
    <s v="9183/2019/ĐKSP"/>
    <s v="0000025161"/>
    <d v="2027-01-31T00:00:00"/>
    <s v="FW2402PA"/>
    <n v="0.04"/>
    <n v="2688"/>
    <n v="0.16"/>
    <x v="42"/>
    <x v="4"/>
  </r>
  <r>
    <s v="M00106"/>
    <s v="SC6100003"/>
    <s v="FEROGLOBIN B12 CAPSULES (H/30 VIEN)"/>
    <s v="Q27-03-4-1"/>
    <s v="LPN007407"/>
    <n v="22"/>
    <n v="0"/>
    <s v="HOLD"/>
    <s v="9183/2019/ĐKSP"/>
    <s v="0000025161"/>
    <d v="2027-01-31T00:00:00"/>
    <s v="FW2402PA"/>
    <n v="0.04"/>
    <n v="2688"/>
    <n v="0.88"/>
    <x v="97"/>
    <x v="4"/>
  </r>
  <r>
    <s v="M00106"/>
    <s v="SC6100003"/>
    <s v="FEROGLOBIN B12 CAPSULES (H/30 VIEN)"/>
    <s v="Q27-03-4-1"/>
    <s v="LPN007409"/>
    <n v="12"/>
    <n v="0"/>
    <s v="HOLD"/>
    <s v="9183/2019/ĐKSP"/>
    <s v="0000025161"/>
    <d v="2027-01-31T00:00:00"/>
    <s v="FW2402PA"/>
    <n v="0.04"/>
    <n v="2688"/>
    <n v="0.48"/>
    <x v="64"/>
    <x v="4"/>
  </r>
  <r>
    <s v="M00106"/>
    <s v="SC6100003"/>
    <s v="FEROGLOBIN B12 CAPSULES (H/30 VIEN)"/>
    <s v="Q27-03-4-1"/>
    <s v="LPN007410"/>
    <n v="2"/>
    <n v="0"/>
    <s v="HOLD"/>
    <s v="9183/2019/ĐKSP"/>
    <s v="0000025161"/>
    <d v="2027-01-31T00:00:00"/>
    <s v="FW2402PA"/>
    <n v="0.04"/>
    <n v="2688"/>
    <n v="0.08"/>
    <x v="52"/>
    <x v="4"/>
  </r>
  <r>
    <s v="M00106"/>
    <s v="SC6100003"/>
    <s v="FEROGLOBIN B12 CAPSULES (H/30 VIEN)"/>
    <s v="Q27-03-5-1"/>
    <s v="LPN007408"/>
    <n v="4"/>
    <n v="0"/>
    <s v="HOLD"/>
    <s v="9183/2019/ĐKSP"/>
    <s v="0000025161"/>
    <d v="2027-01-31T00:00:00"/>
    <s v="FW2402PA"/>
    <n v="0.04"/>
    <n v="2688"/>
    <n v="0.16"/>
    <x v="42"/>
    <x v="4"/>
  </r>
  <r>
    <s v="HOANGDUC"/>
    <s v="AV1300027"/>
    <s v="ESOJAY 15G (HOP/ 1 TUYP)"/>
    <s v="Q26-03-4-1"/>
    <s v="LPN007082"/>
    <n v="4"/>
    <n v="0"/>
    <s v="HOLD"/>
    <s v="890110007723"/>
    <s v="0000025242"/>
    <d v="2027-06-23T00:00:00"/>
    <s v="F442"/>
    <n v="2.5999999999999999E-2"/>
    <n v="7200"/>
    <n v="0.104"/>
    <x v="98"/>
    <x v="1"/>
  </r>
  <r>
    <s v="HD"/>
    <s v="TT1300529"/>
    <s v="NHAN PHU PAPILOCARE EXTERNAL GENITAL GEL - BESINS"/>
    <s v="QM4-01-1-1"/>
    <s v="000144323"/>
    <n v="550"/>
    <n v="0"/>
    <s v="HOLD"/>
    <s v="NOVISA"/>
    <s v=" "/>
    <d v="2026-07-11T00:00:00"/>
    <s v="_"/>
    <n v="0"/>
    <n v="0"/>
    <n v="0"/>
    <x v="16"/>
    <x v="3"/>
  </r>
  <r>
    <s v="M00106"/>
    <s v="SC6100002"/>
    <s v="FEROGLOBIN B12 LIQUID 200ML"/>
    <s v="Q27-03-4-1"/>
    <s v="LPN007127"/>
    <n v="7"/>
    <n v="0"/>
    <s v="HOLD"/>
    <s v="8974/2019/ĐKSP"/>
    <s v="0000025300"/>
    <d v="2026-04-30T00:00:00"/>
    <s v="40815"/>
    <n v="0.3"/>
    <n v="1680"/>
    <n v="2.1"/>
    <x v="13"/>
    <x v="4"/>
  </r>
  <r>
    <s v="M00106"/>
    <s v="SC6100018"/>
    <s v="PREGNACARE BREAST-FEEDING (HOP/56 VIEN NEN, 28 VIEN NANG)"/>
    <s v="Q27-03-3-2"/>
    <s v="LPN007367"/>
    <n v="16"/>
    <n v="0"/>
    <s v="HOLD"/>
    <s v="10645/2019/ĐKSP"/>
    <s v="0000025300"/>
    <d v="2027-02-28T00:00:00"/>
    <s v="PB2418"/>
    <n v="0.158"/>
    <n v="1152"/>
    <n v="2.528"/>
    <x v="99"/>
    <x v="4"/>
  </r>
  <r>
    <s v="M00106"/>
    <s v="SC6100001"/>
    <s v="OSTEOCARE LIQUID 200ML"/>
    <s v="Q27-01-1-1"/>
    <s v="LPN007456"/>
    <n v="20"/>
    <n v="0"/>
    <s v="HOLD"/>
    <s v="9186/2019/ĐKSP"/>
    <s v="0000025359"/>
    <d v="2026-02-28T00:00:00"/>
    <s v="40487"/>
    <n v="0.3"/>
    <n v="1680"/>
    <n v="6"/>
    <x v="92"/>
    <x v="0"/>
  </r>
  <r>
    <s v="M00106"/>
    <s v="SC6100001"/>
    <s v="OSTEOCARE LIQUID 200ML"/>
    <s v="Q27-01-2-1"/>
    <s v="LPN007399"/>
    <n v="24"/>
    <n v="0"/>
    <s v="HOLD"/>
    <s v="9186/2019/ĐKSP"/>
    <s v="0000025359"/>
    <d v="2026-02-28T00:00:00"/>
    <s v="40487"/>
    <n v="0.3"/>
    <n v="1680"/>
    <n v="7.1999999999999993"/>
    <x v="96"/>
    <x v="0"/>
  </r>
  <r>
    <s v="M00106"/>
    <s v="SC6100001"/>
    <s v="OSTEOCARE LIQUID 200ML"/>
    <s v="Q27-01-2-1"/>
    <s v="LPN007793"/>
    <n v="2"/>
    <n v="0"/>
    <s v="HOLD"/>
    <s v="9186/2019/ĐKSP"/>
    <s v="0000025359"/>
    <d v="2026-02-28T00:00:00"/>
    <s v="40487"/>
    <n v="0.3"/>
    <n v="1680"/>
    <n v="0.6"/>
    <x v="12"/>
    <x v="0"/>
  </r>
  <r>
    <s v="M00106"/>
    <s v="SC6100001"/>
    <s v="OSTEOCARE LIQUID 200ML"/>
    <s v="Q27-01-4-2"/>
    <s v="000145132"/>
    <n v="4"/>
    <n v="0"/>
    <s v="HOLD"/>
    <s v="9186/2019/ĐKSP"/>
    <s v="0000025359"/>
    <d v="2026-02-28T00:00:00"/>
    <s v="40487"/>
    <n v="0.3"/>
    <n v="1680"/>
    <n v="1.2"/>
    <x v="14"/>
    <x v="0"/>
  </r>
  <r>
    <s v="M00106"/>
    <s v="SC6100001"/>
    <s v="OSTEOCARE LIQUID 200ML"/>
    <s v="Q27-01-4-2"/>
    <s v="LPN007394"/>
    <n v="15"/>
    <n v="0"/>
    <s v="HOLD"/>
    <s v="9186/2019/ĐKSP"/>
    <s v="0000025359"/>
    <d v="2026-02-28T00:00:00"/>
    <s v="40487"/>
    <n v="0.3"/>
    <n v="1680"/>
    <n v="4.5"/>
    <x v="100"/>
    <x v="0"/>
  </r>
  <r>
    <s v="M00106"/>
    <s v="SC6100001"/>
    <s v="OSTEOCARE LIQUID 200ML"/>
    <s v="Q27-01-4-2"/>
    <s v="LPN007457"/>
    <n v="37"/>
    <n v="0"/>
    <s v="HOLD"/>
    <s v="9186/2019/ĐKSP"/>
    <s v="0000025359"/>
    <d v="2026-02-28T00:00:00"/>
    <s v="40487"/>
    <n v="0.3"/>
    <n v="1680"/>
    <n v="11.1"/>
    <x v="101"/>
    <x v="0"/>
  </r>
  <r>
    <s v="M00106"/>
    <s v="SC6100002"/>
    <s v="FEROGLOBIN B12 LIQUID 200ML"/>
    <s v="Q26-01-7-2"/>
    <s v="LPN007210"/>
    <n v="31"/>
    <n v="0"/>
    <s v="HOLD"/>
    <s v="8974/2019/ĐKSP"/>
    <s v="0000025359"/>
    <d v="2026-02-28T00:00:00"/>
    <s v="40426"/>
    <n v="0.3"/>
    <n v="1680"/>
    <n v="9.2999999999999989"/>
    <x v="102"/>
    <x v="2"/>
  </r>
  <r>
    <s v="M00106"/>
    <s v="SC6100002"/>
    <s v="FEROGLOBIN B12 LIQUID 200ML"/>
    <s v="Q26-01-9-2"/>
    <s v="LPN007212"/>
    <n v="4"/>
    <n v="0"/>
    <s v="HOLD"/>
    <s v="8974/2019/ĐKSP"/>
    <s v="0000025359"/>
    <d v="2026-02-28T00:00:00"/>
    <s v="40426"/>
    <n v="0.3"/>
    <n v="1680"/>
    <n v="1.2"/>
    <x v="14"/>
    <x v="2"/>
  </r>
  <r>
    <s v="M00106"/>
    <s v="SC6100002"/>
    <s v="FEROGLOBIN B12 LIQUID 200ML"/>
    <s v="Q27-01-4-2"/>
    <s v="LPN007155"/>
    <n v="4"/>
    <n v="0"/>
    <s v="HOLD"/>
    <s v="8974/2019/ĐKSP"/>
    <s v="0000025359"/>
    <d v="2026-02-28T00:00:00"/>
    <s v="40426"/>
    <n v="0.3"/>
    <n v="1680"/>
    <n v="1.2"/>
    <x v="14"/>
    <x v="0"/>
  </r>
  <r>
    <s v="M00106"/>
    <s v="SC6100002"/>
    <s v="FEROGLOBIN B12 LIQUID 200ML"/>
    <s v="Q27-01-4-2"/>
    <s v="LPN007245"/>
    <n v="5"/>
    <n v="0"/>
    <s v="HOLD"/>
    <s v="8974/2019/ĐKSP"/>
    <s v="0000025359"/>
    <d v="2026-02-28T00:00:00"/>
    <s v="40426A"/>
    <n v="0.3"/>
    <n v="1680"/>
    <n v="1.5"/>
    <x v="41"/>
    <x v="0"/>
  </r>
  <r>
    <s v="M00106"/>
    <s v="SC6100024"/>
    <s v="OSTEOCARE CHEWABLE (HOP/30 VIEN)"/>
    <s v="Q27-01-4-2"/>
    <s v="LPN007271"/>
    <n v="2"/>
    <n v="0"/>
    <s v="HOLD"/>
    <s v="9529/2023/ĐKSP"/>
    <s v="0000025359"/>
    <d v="2026-02-28T00:00:00"/>
    <s v="F169385"/>
    <n v="9.6000000000000002E-2"/>
    <n v="1920"/>
    <n v="0.192"/>
    <x v="91"/>
    <x v="0"/>
  </r>
  <r>
    <s v="M00106"/>
    <s v="SC6100024"/>
    <s v="OSTEOCARE CHEWABLE (HOP/30 VIEN)"/>
    <s v="Q27-01-5-2"/>
    <s v="000145153"/>
    <n v="1549"/>
    <n v="0"/>
    <s v="HOLD"/>
    <s v="9529/2023/ĐKSP"/>
    <s v="0000025359"/>
    <d v="2026-02-28T00:00:00"/>
    <s v="F169385"/>
    <n v="9.6000000000000002E-2"/>
    <n v="1920"/>
    <n v="148.70400000000001"/>
    <x v="103"/>
    <x v="0"/>
  </r>
  <r>
    <s v="M00106"/>
    <s v="SC6100024"/>
    <s v="OSTEOCARE CHEWABLE (HOP/30 VIEN)"/>
    <s v="Q27-01-6-1"/>
    <s v="000145152"/>
    <n v="1920"/>
    <n v="0"/>
    <s v="HOLD"/>
    <s v="9529/2023/ĐKSP"/>
    <s v="0000025359"/>
    <d v="2026-02-28T00:00:00"/>
    <s v="F169385"/>
    <n v="9.6000000000000002E-2"/>
    <n v="1920"/>
    <n v="184.32"/>
    <x v="104"/>
    <x v="0"/>
  </r>
  <r>
    <s v="M00106"/>
    <s v="SC6100018"/>
    <s v="PREGNACARE BREAST-FEEDING (HOP/56 VIEN NEN, 28 VIEN NANG)"/>
    <s v="Q27-03-4-1"/>
    <s v="LPN007146"/>
    <n v="20"/>
    <n v="0"/>
    <s v="HOLD"/>
    <s v="10645/2019/ĐKSP"/>
    <s v="0000025359"/>
    <d v="2026-10-31T00:00:00"/>
    <s v="PB2408"/>
    <n v="0.158"/>
    <n v="1152"/>
    <n v="3.16"/>
    <x v="105"/>
    <x v="4"/>
  </r>
  <r>
    <s v="M00106"/>
    <s v="SC6100018"/>
    <s v="PREGNACARE BREAST-FEEDING (HOP/56 VIEN NEN, 28 VIEN NANG)"/>
    <s v="Q27-03-4-1"/>
    <s v="LPN007175"/>
    <n v="61"/>
    <n v="0"/>
    <s v="HOLD"/>
    <s v="10645/2019/ĐKSP"/>
    <s v="0000025359"/>
    <d v="2026-10-31T00:00:00"/>
    <s v="PB2408"/>
    <n v="0.158"/>
    <n v="1152"/>
    <n v="9.6379999999999999"/>
    <x v="106"/>
    <x v="4"/>
  </r>
  <r>
    <s v="M00106"/>
    <s v="SC6100018"/>
    <s v="PREGNACARE BREAST-FEEDING (HOP/56 VIEN NEN, 28 VIEN NANG)"/>
    <s v="Q27-03-4-1"/>
    <s v="LPN007186"/>
    <n v="8"/>
    <n v="0"/>
    <s v="HOLD"/>
    <s v="10645/2019/ĐKSP"/>
    <s v="0000025359"/>
    <d v="2026-10-31T00:00:00"/>
    <s v="PB2408"/>
    <n v="0.158"/>
    <n v="1152"/>
    <n v="1.264"/>
    <x v="107"/>
    <x v="4"/>
  </r>
  <r>
    <s v="M00106"/>
    <s v="SC6100018"/>
    <s v="PREGNACARE BREAST-FEEDING (HOP/56 VIEN NEN, 28 VIEN NANG)"/>
    <s v="Q27-03-4-1"/>
    <s v="LPN007191"/>
    <n v="22"/>
    <n v="0"/>
    <s v="HOLD"/>
    <s v="10645/2019/ĐKSP"/>
    <s v="0000025359"/>
    <d v="2026-10-31T00:00:00"/>
    <s v="PB2408"/>
    <n v="0.158"/>
    <n v="1152"/>
    <n v="3.476"/>
    <x v="108"/>
    <x v="4"/>
  </r>
  <r>
    <s v="M00106"/>
    <s v="SC6100002"/>
    <s v="FEROGLOBIN B12 LIQUID 200ML"/>
    <s v="Q27-03-5-1"/>
    <s v="LPN007371"/>
    <n v="13"/>
    <n v="0"/>
    <s v="HOLD"/>
    <s v="8974/2019/ĐKSP"/>
    <s v="0000025403"/>
    <d v="2026-04-30T00:00:00"/>
    <s v="40683"/>
    <n v="0.3"/>
    <n v="1680"/>
    <n v="3.9"/>
    <x v="109"/>
    <x v="4"/>
  </r>
  <r>
    <s v="M00106"/>
    <s v="SC6100002"/>
    <s v="FEROGLOBIN B12 LIQUID 200ML"/>
    <s v="Q27-01-2-1"/>
    <s v="LPN007282"/>
    <n v="10"/>
    <n v="0"/>
    <s v="HOLD"/>
    <s v="8974/2019/ĐKSP"/>
    <s v="0000025403"/>
    <d v="2026-03-31T00:00:00"/>
    <s v="40488"/>
    <n v="0.3"/>
    <n v="1680"/>
    <n v="3"/>
    <x v="49"/>
    <x v="0"/>
  </r>
  <r>
    <s v="M00106"/>
    <s v="SC6100019"/>
    <s v="WELLBABY MULTI-VITAMIN LIQUID (CHAI 150ML)"/>
    <s v="Q27-01-4-2"/>
    <s v="LPN007168"/>
    <n v="3"/>
    <n v="0"/>
    <s v="HOLD"/>
    <s v="10643/2019/ĐKSP"/>
    <s v="0000025403"/>
    <d v="2026-03-31T00:00:00"/>
    <s v="40505"/>
    <n v="0.22600000000000001"/>
    <n v="1680"/>
    <n v="0.67800000000000005"/>
    <x v="55"/>
    <x v="0"/>
  </r>
  <r>
    <s v="M00106"/>
    <s v="SC6100002"/>
    <s v="FEROGLOBIN B12 LIQUID 200ML"/>
    <s v="Q27-01-4-2"/>
    <s v="LPN007328"/>
    <n v="18"/>
    <n v="0"/>
    <s v="HOLD"/>
    <s v="8974/2019/ĐKSP"/>
    <s v="0000025403"/>
    <d v="2026-03-31T00:00:00"/>
    <s v="40622"/>
    <n v="0.3"/>
    <n v="1680"/>
    <n v="5.3999999999999995"/>
    <x v="110"/>
    <x v="0"/>
  </r>
  <r>
    <s v="M00106"/>
    <s v="SC6100018"/>
    <s v="PREGNACARE BREAST-FEEDING (HOP/56 VIEN NEN, 28 VIEN NANG)"/>
    <s v="Q26-01-9-2"/>
    <s v="LPN007255"/>
    <n v="1"/>
    <n v="0"/>
    <s v="HOLD"/>
    <s v="10645/2019/ĐKSP"/>
    <s v="0000025403"/>
    <d v="2026-11-30T00:00:00"/>
    <s v="PB2412"/>
    <n v="0.158"/>
    <n v="1152"/>
    <n v="0.158"/>
    <x v="71"/>
    <x v="2"/>
  </r>
  <r>
    <s v="M00106"/>
    <s v="SC6100018"/>
    <s v="PREGNACARE BREAST-FEEDING (HOP/56 VIEN NEN, 28 VIEN NANG)"/>
    <s v="Q26-01-9-2"/>
    <s v="LPN007319"/>
    <n v="3"/>
    <n v="0"/>
    <s v="HOLD"/>
    <s v="10645/2019/ĐKSP"/>
    <s v="0000025403"/>
    <d v="2026-11-30T00:00:00"/>
    <s v="PB2412"/>
    <n v="0.158"/>
    <n v="1152"/>
    <n v="0.47399999999999998"/>
    <x v="44"/>
    <x v="2"/>
  </r>
  <r>
    <s v="M00106"/>
    <s v="SC6100018"/>
    <s v="PREGNACARE BREAST-FEEDING (HOP/56 VIEN NEN, 28 VIEN NANG)"/>
    <s v="Q26-01-9-2"/>
    <s v="LPN007333"/>
    <n v="1"/>
    <n v="0"/>
    <s v="HOLD"/>
    <s v="10645/2019/ĐKSP"/>
    <s v="0000025403"/>
    <d v="2026-11-30T00:00:00"/>
    <s v="PB2412"/>
    <n v="0.158"/>
    <n v="1152"/>
    <n v="0.158"/>
    <x v="71"/>
    <x v="2"/>
  </r>
  <r>
    <s v="M00106"/>
    <s v="SC6100018"/>
    <s v="PREGNACARE BREAST-FEEDING (HOP/56 VIEN NEN, 28 VIEN NANG)"/>
    <s v="Q27-03-4-1"/>
    <s v="LPN007253"/>
    <n v="23"/>
    <n v="0"/>
    <s v="HOLD"/>
    <s v="10645/2019/ĐKSP"/>
    <s v="0000025403"/>
    <d v="2026-11-30T00:00:00"/>
    <s v="PB2412"/>
    <n v="0.158"/>
    <n v="1152"/>
    <n v="3.6339999999999999"/>
    <x v="76"/>
    <x v="4"/>
  </r>
  <r>
    <s v="M00106"/>
    <s v="SC6100018"/>
    <s v="PREGNACARE BREAST-FEEDING (HOP/56 VIEN NEN, 28 VIEN NANG)"/>
    <s v="Q27-03-5-1"/>
    <s v="LPN007316"/>
    <n v="47"/>
    <n v="0"/>
    <s v="HOLD"/>
    <s v="10645/2019/ĐKSP"/>
    <s v="0000025403"/>
    <d v="2026-11-30T00:00:00"/>
    <s v="PB2412"/>
    <n v="0.158"/>
    <n v="1152"/>
    <n v="7.4260000000000002"/>
    <x v="73"/>
    <x v="4"/>
  </r>
  <r>
    <s v="M00106"/>
    <s v="SC6100018"/>
    <s v="PREGNACARE BREAST-FEEDING (HOP/56 VIEN NEN, 28 VIEN NANG)"/>
    <s v="Q27-03-5-1"/>
    <s v="LPN007331"/>
    <n v="21"/>
    <n v="0"/>
    <s v="HOLD"/>
    <s v="10645/2019/ĐKSP"/>
    <s v="0000025403"/>
    <d v="2026-11-30T00:00:00"/>
    <s v="PB2412"/>
    <n v="0.158"/>
    <n v="1152"/>
    <n v="3.3180000000000001"/>
    <x v="68"/>
    <x v="4"/>
  </r>
  <r>
    <s v="M00106"/>
    <s v="SC6100018"/>
    <s v="PREGNACARE BREAST-FEEDING (HOP/56 VIEN NEN, 28 VIEN NANG)"/>
    <s v="Q27-03-5-1"/>
    <s v="LPN007363"/>
    <n v="29"/>
    <n v="0"/>
    <s v="HOLD"/>
    <s v="10645/2019/ĐKSP"/>
    <s v="0000025403"/>
    <d v="2026-11-30T00:00:00"/>
    <s v="PB2412"/>
    <n v="0.158"/>
    <n v="1152"/>
    <n v="4.5819999999999999"/>
    <x v="111"/>
    <x v="4"/>
  </r>
  <r>
    <s v="M00106"/>
    <s v="SC6100025"/>
    <s v="PREGNACARE MAX (H/56 VIEN NEN, 28 VIEN NANG)"/>
    <s v="Q27-03-5-1"/>
    <s v="LPN007286"/>
    <n v="1"/>
    <n v="0"/>
    <s v="HOLD"/>
    <s v="1475/2024/ĐKSP"/>
    <s v="0000025403"/>
    <d v="2026-11-30T00:00:00"/>
    <s v="PM2409"/>
    <n v="0.156"/>
    <n v="1152"/>
    <n v="0.156"/>
    <x v="71"/>
    <x v="4"/>
  </r>
  <r>
    <s v="M00106"/>
    <s v="SC6100025"/>
    <s v="PREGNACARE MAX (H/56 VIEN NEN, 28 VIEN NANG)"/>
    <s v="Q27-03-5-1"/>
    <s v="LPN007302"/>
    <n v="10"/>
    <n v="0"/>
    <s v="HOLD"/>
    <s v="1475/2024/ĐKSP"/>
    <s v="0000025403"/>
    <d v="2026-11-30T00:00:00"/>
    <s v="PM2409"/>
    <n v="0.156"/>
    <n v="1152"/>
    <n v="1.56"/>
    <x v="112"/>
    <x v="4"/>
  </r>
  <r>
    <s v="M00106"/>
    <s v="SC6100004"/>
    <s v="OSTEOCARE (H/30 VIEN)"/>
    <s v="Q27-01-4-2"/>
    <s v="000145781"/>
    <n v="1"/>
    <n v="0"/>
    <s v="HOLD"/>
    <s v="9186/2019/ĐKSP"/>
    <s v="0000025321"/>
    <d v="2026-01-31T00:00:00"/>
    <s v="OT2203P"/>
    <n v="7.4999999999999997E-2"/>
    <n v="2688"/>
    <n v="7.4999999999999997E-2"/>
    <x v="51"/>
    <x v="0"/>
  </r>
  <r>
    <s v="HOANGDUC"/>
    <s v="AZ1100011"/>
    <s v="NOLVADEX TAB 10MG BL 3X10 EA VN"/>
    <s v="Q26-03-2-1"/>
    <s v="000145932"/>
    <n v="1"/>
    <n v="0"/>
    <s v="HOLD"/>
    <s v="VN-20911-18"/>
    <s v="0000025453"/>
    <d v="2027-08-17T00:00:00"/>
    <s v="SF616"/>
    <n v="2.3E-2"/>
    <n v="1920"/>
    <n v="2.3E-2"/>
    <x v="90"/>
    <x v="1"/>
  </r>
  <r>
    <s v="HOANGDUC"/>
    <s v="AV1300027"/>
    <s v="ESOJAY 15G (HOP/ 1 TUYP)"/>
    <s v="Q26-03-8-1"/>
    <s v="000146662"/>
    <n v="1"/>
    <n v="0"/>
    <s v="HOLD"/>
    <s v="890110007723"/>
    <s v="0000025571"/>
    <d v="2027-06-23T00:00:00"/>
    <s v="F442"/>
    <n v="2.5999999999999999E-2"/>
    <n v="7200"/>
    <n v="2.5999999999999999E-2"/>
    <x v="113"/>
    <x v="1"/>
  </r>
  <r>
    <s v="M00106"/>
    <s v="SC6100019"/>
    <s v="WELLBABY MULTI-VITAMIN LIQUID (CHAI 150ML)"/>
    <s v="Q27-03-4-1"/>
    <s v="LPN007237"/>
    <n v="7"/>
    <n v="0"/>
    <s v="HOLD"/>
    <s v="10643/2019/ĐKSP"/>
    <s v="0000025583"/>
    <d v="2026-06-30T00:00:00"/>
    <s v="41013"/>
    <n v="0.22600000000000001"/>
    <n v="1680"/>
    <n v="1.5820000000000001"/>
    <x v="13"/>
    <x v="4"/>
  </r>
  <r>
    <s v="M00106"/>
    <s v="SC6100019"/>
    <s v="WELLBABY MULTI-VITAMIN LIQUID (CHAI 150ML)"/>
    <s v="Q27-03-4-1"/>
    <s v="LPN007243"/>
    <n v="3"/>
    <n v="0"/>
    <s v="HOLD"/>
    <s v="10643/2019/ĐKSP"/>
    <s v="0000025583"/>
    <d v="2026-06-30T00:00:00"/>
    <s v="41013"/>
    <n v="0.22600000000000001"/>
    <n v="1680"/>
    <n v="0.67800000000000005"/>
    <x v="55"/>
    <x v="4"/>
  </r>
  <r>
    <s v="HOANGDUC"/>
    <s v="AZ1100007"/>
    <s v="NOLVADEX-D TAB 20MG BL 3X10 EA VN"/>
    <s v="Q26-03-2-1"/>
    <s v="LPN007230"/>
    <n v="4"/>
    <n v="0"/>
    <s v="HOLD"/>
    <s v="VN-19007-15"/>
    <s v="0000025592"/>
    <d v="2028-11-29T00:00:00"/>
    <s v="SN505"/>
    <n v="2.9000000000000001E-2"/>
    <n v="2880"/>
    <n v="0.11600000000000001"/>
    <x v="114"/>
    <x v="1"/>
  </r>
  <r>
    <s v="HOANGDUC"/>
    <s v="AZ1200002"/>
    <s v="ZOLADEX INJ 3.6MG SS 1X1 EA VN"/>
    <s v="Q26-03-2-1"/>
    <s v="LPN007231"/>
    <n v="1"/>
    <n v="0"/>
    <s v="HOLD"/>
    <s v="500114177523"/>
    <s v="0000025592"/>
    <d v="2025-11-04T00:00:00"/>
    <s v="SM512"/>
    <n v="4.1000000000000002E-2"/>
    <n v="1280"/>
    <n v="4.1000000000000002E-2"/>
    <x v="115"/>
    <x v="1"/>
  </r>
  <r>
    <s v="HOANGDUC"/>
    <s v="TT1300187"/>
    <s v="NHAN PHU - CASPOFUNGIN ACETATE 70MG"/>
    <s v="Q27-01-9-1"/>
    <s v="000148439"/>
    <n v="520"/>
    <n v="0"/>
    <s v="HOLD"/>
    <s v="NOVISA"/>
    <s v=" "/>
    <d v="2026-08-15T00:00:00"/>
    <s v="_"/>
    <n v="0"/>
    <n v="0"/>
    <n v="0"/>
    <x v="16"/>
    <x v="0"/>
  </r>
  <r>
    <s v="M00106"/>
    <s v="SC6100003"/>
    <s v="FEROGLOBIN B12 CAPSULES (H/30 VIEN)"/>
    <s v="Q27-03-3-2"/>
    <s v="LPN007437"/>
    <n v="38"/>
    <n v="0"/>
    <s v="HOLD"/>
    <s v="9183/2019/ĐKSP"/>
    <s v="0000026076"/>
    <d v="2027-01-31T00:00:00"/>
    <s v="FW2402PA"/>
    <n v="0.04"/>
    <n v="2688"/>
    <n v="1.52"/>
    <x v="116"/>
    <x v="4"/>
  </r>
  <r>
    <s v="M00106"/>
    <s v="SC6100003"/>
    <s v="FEROGLOBIN B12 CAPSULES (H/30 VIEN)"/>
    <s v="Q27-03-4-1"/>
    <s v="LPN007424"/>
    <n v="2"/>
    <n v="0"/>
    <s v="HOLD"/>
    <s v="9183/2019/ĐKSP"/>
    <s v="0000026076"/>
    <d v="2027-01-31T00:00:00"/>
    <s v="FW2402PA"/>
    <n v="0.04"/>
    <n v="2688"/>
    <n v="0.08"/>
    <x v="52"/>
    <x v="4"/>
  </r>
  <r>
    <s v="M00106"/>
    <s v="SC6100003"/>
    <s v="FEROGLOBIN B12 CAPSULES (H/30 VIEN)"/>
    <s v="Q27-03-4-1"/>
    <s v="LPN007533"/>
    <n v="1"/>
    <n v="0"/>
    <s v="HOLD"/>
    <s v="9183/2019/ĐKSP"/>
    <s v="0000026076"/>
    <d v="2027-01-31T00:00:00"/>
    <s v="FW2402PA"/>
    <n v="0.04"/>
    <n v="2688"/>
    <n v="0.04"/>
    <x v="51"/>
    <x v="4"/>
  </r>
  <r>
    <s v="M00106"/>
    <s v="SC6100003"/>
    <s v="FEROGLOBIN B12 CAPSULES (H/30 VIEN)"/>
    <s v="Q27-03-4-1"/>
    <s v="LPN007544"/>
    <n v="1"/>
    <n v="0"/>
    <s v="HOLD"/>
    <s v="9183/2019/ĐKSP"/>
    <s v="0000026076"/>
    <d v="2027-01-31T00:00:00"/>
    <s v="FW2402PA"/>
    <n v="0.04"/>
    <n v="2688"/>
    <n v="0.04"/>
    <x v="51"/>
    <x v="4"/>
  </r>
  <r>
    <s v="M00106"/>
    <s v="SC6100003"/>
    <s v="FEROGLOBIN B12 CAPSULES (H/30 VIEN)"/>
    <s v="Q27-03-5-1"/>
    <s v="LPN007476"/>
    <n v="15"/>
    <n v="0"/>
    <s v="HOLD"/>
    <s v="9183/2019/ĐKSP"/>
    <s v="0000026076"/>
    <d v="2027-01-31T00:00:00"/>
    <s v="FW2402PA"/>
    <n v="0.04"/>
    <n v="2688"/>
    <n v="0.6"/>
    <x v="117"/>
    <x v="4"/>
  </r>
  <r>
    <s v="M00106"/>
    <s v="SC6100003"/>
    <s v="FEROGLOBIN B12 CAPSULES (H/30 VIEN)"/>
    <s v="Q27-03-5-1"/>
    <s v="LPN007484"/>
    <n v="7"/>
    <n v="0"/>
    <s v="HOLD"/>
    <s v="9183/2019/ĐKSP"/>
    <s v="0000026076"/>
    <d v="2027-01-31T00:00:00"/>
    <s v="FW2402PA"/>
    <n v="0.04"/>
    <n v="2688"/>
    <n v="0.28000000000000003"/>
    <x v="44"/>
    <x v="4"/>
  </r>
  <r>
    <s v="M00106"/>
    <s v="SC6100003"/>
    <s v="FEROGLOBIN B12 CAPSULES (H/30 VIEN)"/>
    <s v="Q27-03-5-1"/>
    <s v="LPN007487"/>
    <n v="5"/>
    <n v="0"/>
    <s v="HOLD"/>
    <s v="9183/2019/ĐKSP"/>
    <s v="0000026076"/>
    <d v="2027-01-31T00:00:00"/>
    <s v="FW2402PA"/>
    <n v="0.04"/>
    <n v="2688"/>
    <n v="0.2"/>
    <x v="46"/>
    <x v="4"/>
  </r>
  <r>
    <s v="M00106"/>
    <s v="SC6100003"/>
    <s v="FEROGLOBIN B12 CAPSULES (H/30 VIEN)"/>
    <s v="Q27-03-5-1"/>
    <s v="LPN007495"/>
    <n v="12"/>
    <n v="0"/>
    <s v="HOLD"/>
    <s v="9183/2019/ĐKSP"/>
    <s v="0000026076"/>
    <d v="2027-01-31T00:00:00"/>
    <s v="FW2402PA"/>
    <n v="0.04"/>
    <n v="2688"/>
    <n v="0.48"/>
    <x v="64"/>
    <x v="4"/>
  </r>
  <r>
    <s v="M00106"/>
    <s v="SC6100018"/>
    <s v="PREGNACARE BREAST-FEEDING (HOP/56 VIEN NEN, 28 VIEN NANG)"/>
    <s v="Q27-03-6-2"/>
    <s v="LPN007475"/>
    <n v="16"/>
    <n v="0"/>
    <s v="HOLD"/>
    <s v="10645/2019/ĐKSP"/>
    <s v="0000026076"/>
    <d v="2027-02-28T00:00:00"/>
    <s v="PB2418"/>
    <n v="0.158"/>
    <n v="1152"/>
    <n v="2.528"/>
    <x v="99"/>
    <x v="4"/>
  </r>
  <r>
    <s v="M00106"/>
    <s v="SC6100018"/>
    <s v="PREGNACARE BREAST-FEEDING (HOP/56 VIEN NEN, 28 VIEN NANG)"/>
    <s v="Q27-03-6-2"/>
    <s v="LPN007497"/>
    <n v="10"/>
    <n v="0"/>
    <s v="HOLD"/>
    <s v="10645/2019/ĐKSP"/>
    <s v="0000026076"/>
    <d v="2027-02-28T00:00:00"/>
    <s v="PB2418"/>
    <n v="0.158"/>
    <n v="1152"/>
    <n v="1.58"/>
    <x v="112"/>
    <x v="4"/>
  </r>
  <r>
    <s v="M00106"/>
    <s v="SC6100018"/>
    <s v="PREGNACARE BREAST-FEEDING (HOP/56 VIEN NEN, 28 VIEN NANG)"/>
    <s v="Q27-03-6-2"/>
    <s v="LPN007514"/>
    <n v="28"/>
    <n v="0"/>
    <s v="HOLD"/>
    <s v="10645/2019/ĐKSP"/>
    <s v="0000026076"/>
    <d v="2027-02-28T00:00:00"/>
    <s v="PB2418"/>
    <n v="0.158"/>
    <n v="1152"/>
    <n v="4.4240000000000004"/>
    <x v="118"/>
    <x v="4"/>
  </r>
  <r>
    <s v="M00106"/>
    <s v="SC6100018"/>
    <s v="PREGNACARE BREAST-FEEDING (HOP/56 VIEN NEN, 28 VIEN NANG)"/>
    <s v="Q27-03-6-2"/>
    <s v="LPN007556"/>
    <n v="3"/>
    <n v="0"/>
    <s v="HOLD"/>
    <s v="10645/2019/ĐKSP"/>
    <s v="0000026076"/>
    <d v="2027-02-28T00:00:00"/>
    <s v="PB2418"/>
    <n v="0.158"/>
    <n v="1152"/>
    <n v="0.47399999999999998"/>
    <x v="44"/>
    <x v="4"/>
  </r>
  <r>
    <s v="M00106"/>
    <s v="SC6100018"/>
    <s v="PREGNACARE BREAST-FEEDING (HOP/56 VIEN NEN, 28 VIEN NANG)"/>
    <s v="Q27-03-6-2"/>
    <s v="LPN007557"/>
    <n v="2"/>
    <n v="0"/>
    <s v="HOLD"/>
    <s v="10645/2019/ĐKSP"/>
    <s v="0000026076"/>
    <d v="2027-02-28T00:00:00"/>
    <s v="PB2418"/>
    <n v="0.158"/>
    <n v="1152"/>
    <n v="0.316"/>
    <x v="70"/>
    <x v="4"/>
  </r>
  <r>
    <s v="M00106"/>
    <s v="SC6100018"/>
    <s v="PREGNACARE BREAST-FEEDING (HOP/56 VIEN NEN, 28 VIEN NANG)"/>
    <s v="Q27-03-6-2"/>
    <s v="LPN007559"/>
    <n v="8"/>
    <n v="0"/>
    <s v="HOLD"/>
    <s v="10645/2019/ĐKSP"/>
    <s v="0000026076"/>
    <d v="2027-02-28T00:00:00"/>
    <s v="PB2418"/>
    <n v="0.158"/>
    <n v="1152"/>
    <n v="1.264"/>
    <x v="107"/>
    <x v="4"/>
  </r>
  <r>
    <s v="M00106"/>
    <s v="SC6100014"/>
    <s v="LIVERIL (H/30 VIEN)"/>
    <s v="Q27-03-4-1"/>
    <s v="LPN007591"/>
    <n v="8"/>
    <n v="0"/>
    <s v="HOLD"/>
    <s v="8719/2019/ĐKSP"/>
    <s v="0000026076"/>
    <d v="2027-02-28T00:00:00"/>
    <s v="LV2403P"/>
    <n v="6.8000000000000005E-2"/>
    <n v="2240"/>
    <n v="0.54400000000000004"/>
    <x v="11"/>
    <x v="4"/>
  </r>
  <r>
    <s v="M00106"/>
    <s v="SC6100014"/>
    <s v="LIVERIL (H/30 VIEN)"/>
    <s v="Q27-03-4-1"/>
    <s v="LPN007596"/>
    <n v="4"/>
    <n v="0"/>
    <s v="HOLD"/>
    <s v="8719/2019/ĐKSP"/>
    <s v="0000026076"/>
    <d v="2027-02-28T00:00:00"/>
    <s v="LV2403P"/>
    <n v="6.8000000000000005E-2"/>
    <n v="2240"/>
    <n v="0.27200000000000002"/>
    <x v="55"/>
    <x v="4"/>
  </r>
  <r>
    <s v="M00106"/>
    <s v="SC6100019"/>
    <s v="WELLBABY MULTI-VITAMIN LIQUID (CHAI 150ML)"/>
    <s v="Q27-03-4-1"/>
    <s v="LPN007432"/>
    <n v="10"/>
    <n v="0"/>
    <s v="HOLD"/>
    <s v="10643/2019/ĐKSP"/>
    <s v="0000026076"/>
    <d v="2026-04-30T00:00:00"/>
    <s v="40662"/>
    <n v="0.22600000000000001"/>
    <n v="1680"/>
    <n v="2.2600000000000002"/>
    <x v="49"/>
    <x v="4"/>
  </r>
  <r>
    <s v="M00106"/>
    <s v="SC6100002"/>
    <s v="FEROGLOBIN B12 LIQUID 200ML"/>
    <s v="Q27-03-3-2"/>
    <s v="LPN007552"/>
    <n v="7"/>
    <n v="0"/>
    <s v="HOLD"/>
    <s v="8974/2019/ĐKSP"/>
    <s v="0000026076"/>
    <d v="2026-04-30T00:00:00"/>
    <s v="40815"/>
    <n v="0.3"/>
    <n v="1680"/>
    <n v="2.1"/>
    <x v="13"/>
    <x v="4"/>
  </r>
  <r>
    <s v="M00106"/>
    <s v="SC6100002"/>
    <s v="FEROGLOBIN B12 LIQUID 200ML"/>
    <s v="Q27-03-4-1"/>
    <s v="LPN007553"/>
    <n v="3"/>
    <n v="0"/>
    <s v="HOLD"/>
    <s v="8974/2019/ĐKSP"/>
    <s v="0000026076"/>
    <d v="2026-04-30T00:00:00"/>
    <s v="40815"/>
    <n v="0.3"/>
    <n v="1680"/>
    <n v="0.89999999999999991"/>
    <x v="55"/>
    <x v="4"/>
  </r>
  <r>
    <s v="M00106"/>
    <s v="SC6100002"/>
    <s v="FEROGLOBIN B12 LIQUID 200ML"/>
    <s v="Q27-03-5-1"/>
    <s v="LPN007498"/>
    <n v="17"/>
    <n v="0"/>
    <s v="HOLD"/>
    <s v="8974/2019/ĐKSP"/>
    <s v="0000026076"/>
    <d v="2026-04-30T00:00:00"/>
    <s v="40815"/>
    <n v="0.3"/>
    <n v="1680"/>
    <n v="5.0999999999999996"/>
    <x v="38"/>
    <x v="4"/>
  </r>
  <r>
    <s v="M00106"/>
    <s v="SC6100002"/>
    <s v="FEROGLOBIN B12 LIQUID 200ML"/>
    <s v="Q27-03-6-2"/>
    <s v="LPN007550"/>
    <n v="58"/>
    <n v="0"/>
    <s v="HOLD"/>
    <s v="8974/2019/ĐKSP"/>
    <s v="0000026076"/>
    <d v="2026-04-30T00:00:00"/>
    <s v="40815"/>
    <n v="0.3"/>
    <n v="1680"/>
    <n v="17.399999999999999"/>
    <x v="119"/>
    <x v="4"/>
  </r>
  <r>
    <s v="M00106"/>
    <s v="SC6100019"/>
    <s v="WELLBABY MULTI-VITAMIN LIQUID (CHAI 150ML)"/>
    <s v="Q27-03-4-1"/>
    <s v="LPN007543"/>
    <n v="2"/>
    <n v="0"/>
    <s v="HOLD"/>
    <s v="10643/2019/ĐKSP"/>
    <s v="0000026145"/>
    <d v="2026-06-30T00:00:00"/>
    <s v="41096"/>
    <n v="0.22600000000000001"/>
    <n v="1680"/>
    <n v="0.45200000000000001"/>
    <x v="12"/>
    <x v="4"/>
  </r>
  <r>
    <s v="M00106"/>
    <s v="SC6100019"/>
    <s v="WELLBABY MULTI-VITAMIN LIQUID (CHAI 150ML)"/>
    <s v="Q27-03-4-2"/>
    <s v="LPN007545"/>
    <n v="3"/>
    <n v="0"/>
    <s v="HOLD"/>
    <s v="10643/2019/ĐKSP"/>
    <s v="0000026145"/>
    <d v="2026-06-30T00:00:00"/>
    <s v="41096"/>
    <n v="0.22600000000000001"/>
    <n v="1680"/>
    <n v="0.67800000000000005"/>
    <x v="55"/>
    <x v="4"/>
  </r>
  <r>
    <s v="M00106"/>
    <s v="SC6100019"/>
    <s v="WELLBABY MULTI-VITAMIN LIQUID (CHAI 150ML)"/>
    <s v="Q27-03-5-1"/>
    <s v="LPN007472"/>
    <n v="64"/>
    <n v="0"/>
    <s v="HOLD"/>
    <s v="10643/2019/ĐKSP"/>
    <s v="0000026145"/>
    <d v="2026-06-30T00:00:00"/>
    <s v="41096"/>
    <n v="0.22600000000000001"/>
    <n v="1680"/>
    <n v="14.464"/>
    <x v="120"/>
    <x v="4"/>
  </r>
  <r>
    <s v="M00106"/>
    <s v="SC6100019"/>
    <s v="WELLBABY MULTI-VITAMIN LIQUID (CHAI 150ML)"/>
    <s v="Q27-03-5-1"/>
    <s v="LPN007473"/>
    <n v="13"/>
    <n v="0"/>
    <s v="HOLD"/>
    <s v="10643/2019/ĐKSP"/>
    <s v="0000026145"/>
    <d v="2026-06-30T00:00:00"/>
    <s v="41096"/>
    <n v="0.22600000000000001"/>
    <n v="1680"/>
    <n v="2.9380000000000002"/>
    <x v="109"/>
    <x v="4"/>
  </r>
  <r>
    <s v="HOANGDUC"/>
    <s v="AV1300028"/>
    <s v="ACARWIN 15G (HOP/1 TUYP)"/>
    <s v="Q26-03-4-1"/>
    <s v="LPN007502"/>
    <n v="28"/>
    <n v="0"/>
    <s v="HOLD"/>
    <s v="890110421323"/>
    <s v="0000026181"/>
    <d v="2027-07-07T00:00:00"/>
    <s v="G416"/>
    <n v="2.4E-2"/>
    <n v="5400"/>
    <n v="0.67200000000000004"/>
    <x v="121"/>
    <x v="1"/>
  </r>
  <r>
    <s v="M00106"/>
    <s v="SC6100015"/>
    <s v="PREGNACARE PLUS OMEGA 3 (H/56 VIEN)"/>
    <s v="Q26-01-9-2"/>
    <s v="000151551"/>
    <n v="1"/>
    <n v="0"/>
    <s v="HOLD"/>
    <s v="9184/2019/ĐKSP"/>
    <s v="0000026318"/>
    <d v="2026-05-31T00:00:00"/>
    <s v="PP2341"/>
    <n v="9.2999999999999999E-2"/>
    <n v="1536"/>
    <n v="9.2999999999999999E-2"/>
    <x v="35"/>
    <x v="2"/>
  </r>
  <r>
    <s v="M00106"/>
    <s v="SC6100003"/>
    <s v="FEROGLOBIN B12 CAPSULES (H/30 VIEN)"/>
    <s v="Q26-01-9-2"/>
    <s v="000151550"/>
    <n v="1"/>
    <n v="0"/>
    <s v="HOLD"/>
    <s v="9183/2019/ĐKSP"/>
    <s v="0000026318"/>
    <d v="2026-04-30T00:00:00"/>
    <s v="FW2304AA"/>
    <n v="0.04"/>
    <n v="2688"/>
    <n v="0.04"/>
    <x v="51"/>
    <x v="2"/>
  </r>
  <r>
    <s v="M00025"/>
    <s v="NV1100091"/>
    <s v="JAKAVI 20MG 4x14"/>
    <s v="Q26-01-1-1"/>
    <s v="000152528"/>
    <n v="3"/>
    <n v="0"/>
    <s v="HOLD"/>
    <s v="VN2-572-17"/>
    <s v=" "/>
    <d v="2024-07-31T00:00:00"/>
    <s v="SHJV2"/>
    <n v="0.214"/>
    <n v="756"/>
    <n v="0.64200000000000002"/>
    <x v="122"/>
    <x v="2"/>
  </r>
  <r>
    <s v="M00025"/>
    <s v="NV1100090"/>
    <s v="JAKAVI 15MG 4x14"/>
    <s v="Q26-01-1-1"/>
    <s v="000152532"/>
    <n v="2"/>
    <n v="0"/>
    <s v="HOLD"/>
    <s v="VN2-571-17"/>
    <s v=" "/>
    <d v="2024-01-31T00:00:00"/>
    <s v="SFCN9"/>
    <n v="0.214"/>
    <n v="3600"/>
    <n v="0.42799999999999999"/>
    <x v="98"/>
    <x v="2"/>
  </r>
  <r>
    <s v="HD"/>
    <s v="HT1100033"/>
    <s v="DOLUTEGRAVIR, LAMIVUDINE AND TENOFOVIR DISOPROXIL FUMARATE T"/>
    <s v="Q26-03-5-1"/>
    <s v="000156665"/>
    <n v="2"/>
    <n v="0"/>
    <s v="HOLD"/>
    <s v="890110445523"/>
    <s v=" "/>
    <d v="2026-08-25T00:00:00"/>
    <s v="E243629"/>
    <n v="9.4E-2"/>
    <n v="2475"/>
    <n v="0.188"/>
    <x v="123"/>
    <x v="1"/>
  </r>
  <r>
    <s v="M00106"/>
    <s v="SC6100003"/>
    <s v="FEROGLOBIN B12 CAPSULES (H/30 VIEN)"/>
    <s v="Q27-03-4-1"/>
    <s v="LPN007644"/>
    <n v="5"/>
    <n v="0"/>
    <s v="HOLD"/>
    <s v="9183/2019/ĐKSP"/>
    <s v="0000026507"/>
    <d v="2027-02-28T00:00:00"/>
    <s v="FW2401TA"/>
    <n v="0.04"/>
    <n v="2688"/>
    <n v="0.2"/>
    <x v="46"/>
    <x v="4"/>
  </r>
  <r>
    <s v="M00106"/>
    <s v="SC6100003"/>
    <s v="FEROGLOBIN B12 CAPSULES (H/30 VIEN)"/>
    <s v="Q27-03-4-1"/>
    <s v="LPN007677"/>
    <n v="5"/>
    <n v="0"/>
    <s v="HOLD"/>
    <s v="9183/2019/ĐKSP"/>
    <s v="0000026507"/>
    <d v="2027-02-28T00:00:00"/>
    <s v="FW2401TA"/>
    <n v="0.04"/>
    <n v="2688"/>
    <n v="0.2"/>
    <x v="46"/>
    <x v="4"/>
  </r>
  <r>
    <s v="M00106"/>
    <s v="SC6100003"/>
    <s v="FEROGLOBIN B12 CAPSULES (H/30 VIEN)"/>
    <s v="Q27-03-4-1"/>
    <s v="LPN007694"/>
    <n v="3"/>
    <n v="0"/>
    <s v="HOLD"/>
    <s v="9183/2019/ĐKSP"/>
    <s v="0000026507"/>
    <d v="2027-02-28T00:00:00"/>
    <s v="FW2401TA"/>
    <n v="0.04"/>
    <n v="2688"/>
    <n v="0.12"/>
    <x v="45"/>
    <x v="4"/>
  </r>
  <r>
    <s v="M00106"/>
    <s v="SC6100003"/>
    <s v="FEROGLOBIN B12 CAPSULES (H/30 VIEN)"/>
    <s v="Q27-03-4-1"/>
    <s v="LPN007743"/>
    <n v="1"/>
    <n v="0"/>
    <s v="HOLD"/>
    <s v="9183/2019/ĐKSP"/>
    <s v="0000026507"/>
    <d v="2027-02-28T00:00:00"/>
    <s v="FW2401TA"/>
    <n v="0.04"/>
    <n v="2688"/>
    <n v="0.04"/>
    <x v="51"/>
    <x v="4"/>
  </r>
  <r>
    <s v="M00106"/>
    <s v="SC6100003"/>
    <s v="FEROGLOBIN B12 CAPSULES (H/30 VIEN)"/>
    <s v="Q27-03-4-1"/>
    <s v="LPN007753"/>
    <n v="6"/>
    <n v="0"/>
    <s v="HOLD"/>
    <s v="9183/2019/ĐKSP"/>
    <s v="0000026507"/>
    <d v="2027-02-28T00:00:00"/>
    <s v="FW2401TA"/>
    <n v="0.04"/>
    <n v="2688"/>
    <n v="0.24"/>
    <x v="53"/>
    <x v="4"/>
  </r>
  <r>
    <s v="M00106"/>
    <s v="SC6100003"/>
    <s v="FEROGLOBIN B12 CAPSULES (H/30 VIEN)"/>
    <s v="Q27-03-8-1"/>
    <s v="LPN007686"/>
    <n v="15"/>
    <n v="0"/>
    <s v="HOLD"/>
    <s v="9183/2019/ĐKSP"/>
    <s v="0000026507"/>
    <d v="2027-02-28T00:00:00"/>
    <s v="FW2401TA"/>
    <n v="0.04"/>
    <n v="2688"/>
    <n v="0.6"/>
    <x v="117"/>
    <x v="4"/>
  </r>
  <r>
    <s v="M00106"/>
    <s v="SC6100008"/>
    <s v="MENOPACE (H/30 VIEN)"/>
    <s v="Q27-03-3-2"/>
    <s v="LPN007818"/>
    <n v="1"/>
    <n v="0"/>
    <s v="HOLD"/>
    <s v="9577/2019/ĐKSP"/>
    <s v="0000026507"/>
    <d v="2027-03-31T00:00:00"/>
    <s v="168674"/>
    <n v="5.3999999999999999E-2"/>
    <n v="2880"/>
    <n v="5.3999999999999999E-2"/>
    <x v="3"/>
    <x v="4"/>
  </r>
  <r>
    <s v="M00106"/>
    <s v="SC6100025"/>
    <s v="PREGNACARE MAX (H/56 VIEN NEN, 28 VIEN NANG)"/>
    <s v="Q27-03-1-1"/>
    <s v="LPN007785"/>
    <n v="8"/>
    <n v="0"/>
    <s v="HOLD"/>
    <s v="1475/2024/ĐKSP"/>
    <s v="0000026507"/>
    <d v="2026-11-30T00:00:00"/>
    <s v="PM2410"/>
    <n v="0.156"/>
    <n v="1152"/>
    <n v="1.248"/>
    <x v="107"/>
    <x v="4"/>
  </r>
  <r>
    <s v="M00106"/>
    <s v="SC6100025"/>
    <s v="PREGNACARE MAX (H/56 VIEN NEN, 28 VIEN NANG)"/>
    <s v="Q27-03-8-1"/>
    <s v="LPN007795"/>
    <n v="26"/>
    <n v="0"/>
    <s v="HOLD"/>
    <s v="1475/2024/ĐKSP"/>
    <s v="0000026507"/>
    <d v="2026-11-30T00:00:00"/>
    <s v="PM2410"/>
    <n v="0.156"/>
    <n v="1152"/>
    <n v="4.056"/>
    <x v="124"/>
    <x v="4"/>
  </r>
  <r>
    <s v="HD"/>
    <s v="HT1100033"/>
    <s v="DOLUTEGRAVIR, LAMIVUDINE AND TENOFOVIR DISOPROXIL FUMARATE T"/>
    <s v="Q26-03-9-1"/>
    <s v="000153085"/>
    <n v="832"/>
    <n v="0"/>
    <s v="HOLD"/>
    <s v="890110445523"/>
    <s v="0000026535"/>
    <d v="2026-08-29T00:00:00"/>
    <s v="E243666"/>
    <n v="9.4E-2"/>
    <n v="2475"/>
    <n v="78.207999999999998"/>
    <x v="125"/>
    <x v="1"/>
  </r>
  <r>
    <s v="HD"/>
    <s v="HT1100033"/>
    <s v="DOLUTEGRAVIR, LAMIVUDINE AND TENOFOVIR DISOPROXIL FUMARATE T"/>
    <s v="Q26-03-9-1"/>
    <s v="LPN007654"/>
    <n v="259"/>
    <n v="0"/>
    <s v="HOLD"/>
    <s v="890110445523"/>
    <s v="0000026535"/>
    <d v="2026-08-29T00:00:00"/>
    <s v="E243666"/>
    <n v="9.4E-2"/>
    <n v="2475"/>
    <n v="24.346"/>
    <x v="126"/>
    <x v="1"/>
  </r>
  <r>
    <s v="HD"/>
    <s v="HT1100033"/>
    <s v="DOLUTEGRAVIR, LAMIVUDINE AND TENOFOVIR DISOPROXIL FUMARATE T"/>
    <s v="Q26-03-9-1"/>
    <s v="LPN007667"/>
    <n v="6"/>
    <n v="0"/>
    <s v="HOLD"/>
    <s v="890110445523"/>
    <s v="0000026535"/>
    <d v="2026-08-29T00:00:00"/>
    <s v="E243666"/>
    <n v="9.4E-2"/>
    <n v="2475"/>
    <n v="0.56400000000000006"/>
    <x v="127"/>
    <x v="1"/>
  </r>
  <r>
    <s v="HD"/>
    <s v="HT1100033"/>
    <s v="DOLUTEGRAVIR, LAMIVUDINE AND TENOFOVIR DISOPROXIL FUMARATE T"/>
    <s v="Q26-03-9-1"/>
    <s v="LPN007668"/>
    <n v="8"/>
    <n v="0"/>
    <s v="HOLD"/>
    <s v="890110445523"/>
    <s v="0000026535"/>
    <d v="2026-08-29T00:00:00"/>
    <s v="E243666"/>
    <n v="9.4E-2"/>
    <n v="2475"/>
    <n v="0.752"/>
    <x v="128"/>
    <x v="1"/>
  </r>
  <r>
    <s v="HD"/>
    <s v="HT1100033"/>
    <s v="DOLUTEGRAVIR, LAMIVUDINE AND TENOFOVIR DISOPROXIL FUMARATE T"/>
    <s v="Q26-03-9-2"/>
    <s v="000153079"/>
    <n v="2688"/>
    <n v="0"/>
    <s v="HOLD"/>
    <s v="890110445523"/>
    <s v="0000026535"/>
    <d v="2026-08-29T00:00:00"/>
    <s v="E243666"/>
    <n v="9.4E-2"/>
    <n v="2475"/>
    <n v="252.672"/>
    <x v="129"/>
    <x v="1"/>
  </r>
  <r>
    <s v="HD"/>
    <s v="HT1100033"/>
    <s v="DOLUTEGRAVIR, LAMIVUDINE AND TENOFOVIR DISOPROXIL FUMARATE T"/>
    <s v="Q26-03-9-1"/>
    <s v="LPN007773"/>
    <n v="1"/>
    <n v="0"/>
    <s v="HOLD"/>
    <s v="890110445523"/>
    <s v="0000026535"/>
    <d v="2026-08-29T00:00:00"/>
    <s v="E243666"/>
    <n v="9.4E-2"/>
    <n v="2475"/>
    <n v="9.4E-2"/>
    <x v="130"/>
    <x v="1"/>
  </r>
  <r>
    <s v="HD"/>
    <s v="HT1100033"/>
    <s v="DOLUTEGRAVIR, LAMIVUDINE AND TENOFOVIR DISOPROXIL FUMARATE T"/>
    <s v="Q26-03-9-1"/>
    <s v="LPN007774"/>
    <n v="12"/>
    <n v="0"/>
    <s v="HOLD"/>
    <s v="890110445523"/>
    <s v="0000026561"/>
    <d v="2026-08-28T00:00:00"/>
    <s v="E243692"/>
    <n v="9.4E-2"/>
    <n v="2475"/>
    <n v="1.1280000000000001"/>
    <x v="131"/>
    <x v="1"/>
  </r>
  <r>
    <s v="HOANGDUC"/>
    <s v="AZ1100023"/>
    <s v="KOMBOGLYZE XR TAB 5.1000MG BL 4X7 EA VN"/>
    <s v="Q26-03-8-1"/>
    <s v="000153414"/>
    <n v="2"/>
    <n v="0"/>
    <s v="HOLD"/>
    <s v="VN-18678-15"/>
    <s v="0000026566"/>
    <d v="2027-05-07T00:00:00"/>
    <s v="WF0157"/>
    <n v="0.1"/>
    <n v="1008"/>
    <n v="0.2"/>
    <x v="132"/>
    <x v="1"/>
  </r>
  <r>
    <s v="M00106"/>
    <s v="SC6100003"/>
    <s v="FEROGLOBIN B12 CAPSULES (H/30 VIEN)"/>
    <s v="Q27-03-3-1"/>
    <s v="LPN007878"/>
    <n v="7"/>
    <n v="0"/>
    <s v="HOLD"/>
    <s v="9183/2019/ĐKSP"/>
    <s v="0000026610"/>
    <d v="2027-04-30T00:00:00"/>
    <s v="FW2407PA"/>
    <n v="0.04"/>
    <n v="2688"/>
    <n v="0.28000000000000003"/>
    <x v="44"/>
    <x v="4"/>
  </r>
  <r>
    <s v="M00106"/>
    <s v="SC6100003"/>
    <s v="FEROGLOBIN B12 CAPSULES (H/30 VIEN)"/>
    <s v="Q27-03-3-2"/>
    <s v="LPN007820"/>
    <n v="4"/>
    <n v="0"/>
    <s v="HOLD"/>
    <s v="9183/2019/ĐKSP"/>
    <s v="0000026610"/>
    <d v="2027-04-30T00:00:00"/>
    <s v="FW2407PA"/>
    <n v="0.04"/>
    <n v="2688"/>
    <n v="0.16"/>
    <x v="42"/>
    <x v="4"/>
  </r>
  <r>
    <s v="M00106"/>
    <s v="SC6100003"/>
    <s v="FEROGLOBIN B12 CAPSULES (H/30 VIEN)"/>
    <s v="Q27-03-3-2"/>
    <s v="LPN007850"/>
    <n v="2"/>
    <n v="0"/>
    <s v="HOLD"/>
    <s v="9183/2019/ĐKSP"/>
    <s v="0000026610"/>
    <d v="2027-04-30T00:00:00"/>
    <s v="FW2407PA"/>
    <n v="0.04"/>
    <n v="2688"/>
    <n v="0.08"/>
    <x v="52"/>
    <x v="4"/>
  </r>
  <r>
    <s v="M00106"/>
    <s v="SC6100003"/>
    <s v="FEROGLOBIN B12 CAPSULES (H/30 VIEN)"/>
    <s v="Q27-03-3-2"/>
    <s v="LPN007977"/>
    <n v="12"/>
    <n v="0"/>
    <s v="HOLD"/>
    <s v="9183/2019/ĐKSP"/>
    <s v="0000026610"/>
    <d v="2027-04-30T00:00:00"/>
    <s v="FW2407PA"/>
    <n v="0.04"/>
    <n v="2688"/>
    <n v="0.48"/>
    <x v="64"/>
    <x v="4"/>
  </r>
  <r>
    <s v="M00106"/>
    <s v="SC6100003"/>
    <s v="FEROGLOBIN B12 CAPSULES (H/30 VIEN)"/>
    <s v="Q27-03-3-2"/>
    <s v="LPN007983"/>
    <n v="4"/>
    <n v="0"/>
    <s v="HOLD"/>
    <s v="9183/2019/ĐKSP"/>
    <s v="0000026610"/>
    <d v="2027-04-30T00:00:00"/>
    <s v="FW2407PA"/>
    <n v="0.04"/>
    <n v="2688"/>
    <n v="0.16"/>
    <x v="42"/>
    <x v="4"/>
  </r>
  <r>
    <s v="M00106"/>
    <s v="SC6100003"/>
    <s v="FEROGLOBIN B12 CAPSULES (H/30 VIEN)"/>
    <s v="Q27-03-3-2"/>
    <s v="LPN008003"/>
    <n v="6"/>
    <n v="0"/>
    <s v="HOLD"/>
    <s v="9183/2019/ĐKSP"/>
    <s v="0000026610"/>
    <d v="2027-04-30T00:00:00"/>
    <s v="FW2407PA"/>
    <n v="0.04"/>
    <n v="2688"/>
    <n v="0.24"/>
    <x v="53"/>
    <x v="4"/>
  </r>
  <r>
    <s v="M00106"/>
    <s v="SC6100003"/>
    <s v="FEROGLOBIN B12 CAPSULES (H/30 VIEN)"/>
    <s v="Q27-03-3-2"/>
    <s v="LPN008011"/>
    <n v="3"/>
    <n v="0"/>
    <s v="HOLD"/>
    <s v="9183/2019/ĐKSP"/>
    <s v="0000026610"/>
    <d v="2027-04-30T00:00:00"/>
    <s v="FW2407PA"/>
    <n v="0.04"/>
    <n v="2688"/>
    <n v="0.12"/>
    <x v="45"/>
    <x v="4"/>
  </r>
  <r>
    <s v="M00106"/>
    <s v="SC6100003"/>
    <s v="FEROGLOBIN B12 CAPSULES (H/30 VIEN)"/>
    <s v="Q27-03-4-1"/>
    <s v="LPN007692"/>
    <n v="2"/>
    <n v="0"/>
    <s v="HOLD"/>
    <s v="9183/2019/ĐKSP"/>
    <s v="0000026610"/>
    <d v="2027-04-30T00:00:00"/>
    <s v="FW2407PA"/>
    <n v="0.04"/>
    <n v="2688"/>
    <n v="0.08"/>
    <x v="52"/>
    <x v="4"/>
  </r>
  <r>
    <s v="M00106"/>
    <s v="SC6100003"/>
    <s v="FEROGLOBIN B12 CAPSULES (H/30 VIEN)"/>
    <s v="Q27-03-4-1"/>
    <s v="LPN007762"/>
    <n v="1"/>
    <n v="0"/>
    <s v="HOLD"/>
    <s v="9183/2019/ĐKSP"/>
    <s v="0000026610"/>
    <d v="2027-04-30T00:00:00"/>
    <s v="FW2407PA"/>
    <n v="0.04"/>
    <n v="2688"/>
    <n v="0.04"/>
    <x v="51"/>
    <x v="4"/>
  </r>
  <r>
    <s v="M00106"/>
    <s v="SC6100003"/>
    <s v="FEROGLOBIN B12 CAPSULES (H/30 VIEN)"/>
    <s v="Q27-03-4-1"/>
    <s v="LPN007771"/>
    <n v="2"/>
    <n v="0"/>
    <s v="HOLD"/>
    <s v="9183/2019/ĐKSP"/>
    <s v="0000026610"/>
    <d v="2027-04-30T00:00:00"/>
    <s v="FW2407PA"/>
    <n v="0.04"/>
    <n v="2688"/>
    <n v="0.08"/>
    <x v="52"/>
    <x v="4"/>
  </r>
  <r>
    <s v="M00106"/>
    <s v="SC6100003"/>
    <s v="FEROGLOBIN B12 CAPSULES (H/30 VIEN)"/>
    <s v="Q27-03-4-1"/>
    <s v="LPN007778"/>
    <n v="2"/>
    <n v="0"/>
    <s v="HOLD"/>
    <s v="9183/2019/ĐKSP"/>
    <s v="0000026610"/>
    <d v="2027-04-30T00:00:00"/>
    <s v="FW2407PA"/>
    <n v="0.04"/>
    <n v="2688"/>
    <n v="0.08"/>
    <x v="52"/>
    <x v="4"/>
  </r>
  <r>
    <s v="M00106"/>
    <s v="SC6100003"/>
    <s v="FEROGLOBIN B12 CAPSULES (H/30 VIEN)"/>
    <s v="Q27-03-6-2"/>
    <s v="LPN007932"/>
    <n v="2"/>
    <n v="0"/>
    <s v="HOLD"/>
    <s v="9183/2019/ĐKSP"/>
    <s v="0000026610"/>
    <d v="2027-04-30T00:00:00"/>
    <s v="FW2407PA"/>
    <n v="0.04"/>
    <n v="2688"/>
    <n v="0.08"/>
    <x v="52"/>
    <x v="4"/>
  </r>
  <r>
    <s v="M00106"/>
    <s v="SC6100003"/>
    <s v="FEROGLOBIN B12 CAPSULES (H/30 VIEN)"/>
    <s v="Q27-03-3-1"/>
    <s v="LPN008024"/>
    <n v="12"/>
    <n v="0"/>
    <s v="HOLD"/>
    <s v="9183/2019/ĐKSP"/>
    <s v="0000026611"/>
    <d v="2027-05-31T00:00:00"/>
    <s v="FW2414PA"/>
    <n v="0.04"/>
    <n v="2688"/>
    <n v="0.48"/>
    <x v="64"/>
    <x v="4"/>
  </r>
  <r>
    <s v="M00106"/>
    <s v="SC6100003"/>
    <s v="FEROGLOBIN B12 CAPSULES (H/30 VIEN)"/>
    <s v="Q27-03-3-2"/>
    <s v="LPN007985"/>
    <n v="3"/>
    <n v="0"/>
    <s v="HOLD"/>
    <s v="9183/2019/ĐKSP"/>
    <s v="0000026611"/>
    <d v="2027-05-31T00:00:00"/>
    <s v="FW2414PA"/>
    <n v="0.04"/>
    <n v="2688"/>
    <n v="0.12"/>
    <x v="45"/>
    <x v="4"/>
  </r>
  <r>
    <s v="M00106"/>
    <s v="SC6100003"/>
    <s v="FEROGLOBIN B12 CAPSULES (H/30 VIEN)"/>
    <s v="Q27-03-3-2"/>
    <s v="LPN008029"/>
    <n v="5"/>
    <n v="0"/>
    <s v="HOLD"/>
    <s v="9183/2019/ĐKSP"/>
    <s v="0000026611"/>
    <d v="2027-05-31T00:00:00"/>
    <s v="FW2414PA"/>
    <n v="0.04"/>
    <n v="2688"/>
    <n v="0.2"/>
    <x v="46"/>
    <x v="4"/>
  </r>
  <r>
    <s v="M00106"/>
    <s v="SC6100003"/>
    <s v="FEROGLOBIN B12 CAPSULES (H/30 VIEN)"/>
    <s v="Q27-01-1-1"/>
    <s v="000154185"/>
    <n v="3"/>
    <n v="0"/>
    <s v="HOLD"/>
    <s v="9183/2019/ĐKSP"/>
    <s v="0000026687"/>
    <d v="2026-08-31T00:00:00"/>
    <s v="FW2713SA"/>
    <n v="0.04"/>
    <n v="2688"/>
    <n v="0.12"/>
    <x v="45"/>
    <x v="0"/>
  </r>
  <r>
    <s v="M00106"/>
    <s v="SC6100003"/>
    <s v="FEROGLOBIN B12 CAPSULES (H/30 VIEN)"/>
    <s v="Q26-01-9-2"/>
    <s v="000154184"/>
    <n v="2"/>
    <n v="0"/>
    <s v="HOLD"/>
    <s v="9183/2019/ĐKSP"/>
    <s v="0000026687"/>
    <d v="2027-03-31T00:00:00"/>
    <s v="FW2404TA"/>
    <n v="0.04"/>
    <n v="2688"/>
    <n v="0.08"/>
    <x v="52"/>
    <x v="2"/>
  </r>
  <r>
    <s v="M00106"/>
    <s v="SC6100015"/>
    <s v="PREGNACARE PLUS OMEGA 3 (H/56 VIEN)"/>
    <s v="Q26-01-9-2"/>
    <s v="000154164"/>
    <n v="1"/>
    <n v="0"/>
    <s v="HOLD"/>
    <s v="9184/2019/ĐKSP"/>
    <s v="0000026683"/>
    <d v="2026-03-31T00:00:00"/>
    <s v="PP2347"/>
    <n v="9.2999999999999999E-2"/>
    <n v="1536"/>
    <n v="9.2999999999999999E-2"/>
    <x v="35"/>
    <x v="2"/>
  </r>
  <r>
    <s v="M00106"/>
    <s v="SC6100015"/>
    <s v="PREGNACARE PLUS OMEGA 3 (H/56 VIEN)"/>
    <s v="Q26-01-9-2"/>
    <s v="000154186"/>
    <n v="1"/>
    <n v="0"/>
    <s v="HOLD"/>
    <s v="9184/2019/ĐKSP"/>
    <s v="0000026687"/>
    <d v="2026-05-31T00:00:00"/>
    <s v="PP2341"/>
    <n v="9.2999999999999999E-2"/>
    <n v="1536"/>
    <n v="9.2999999999999999E-2"/>
    <x v="35"/>
    <x v="2"/>
  </r>
  <r>
    <s v="HD"/>
    <s v="HT1100004"/>
    <s v="PANTIN 40 (HOP/ 30 VIEN)"/>
    <s v="Q26-03-5-2"/>
    <s v="LPN007756"/>
    <n v="2"/>
    <n v="0"/>
    <s v="HOLD"/>
    <s v="VN-19184-15"/>
    <s v="0000026676"/>
    <d v="2026-07-15T00:00:00"/>
    <s v="FD241806B"/>
    <n v="0.02"/>
    <n v="4928"/>
    <n v="0.04"/>
    <x v="133"/>
    <x v="1"/>
  </r>
  <r>
    <s v="HOANGDUC"/>
    <s v="AV1300026"/>
    <s v="ALLSILVER 15G (HOP/ 1 TUYP)"/>
    <s v="Q26-03-4-1"/>
    <s v="LPN007779"/>
    <n v="8"/>
    <n v="0"/>
    <s v="HOLD"/>
    <s v="VN-23146-22"/>
    <s v="0000026782"/>
    <d v="2026-08-25T00:00:00"/>
    <s v="H432"/>
    <n v="2.5999999999999999E-2"/>
    <n v="7200"/>
    <n v="0.20799999999999999"/>
    <x v="134"/>
    <x v="1"/>
  </r>
  <r>
    <s v="HD"/>
    <s v="TT1300550"/>
    <s v="NHAN PHU RELACTAGEL - BESINS"/>
    <s v="QM4-01-1-1"/>
    <s v="000155531"/>
    <n v="195"/>
    <n v="0"/>
    <s v="HOLD"/>
    <s v="novisa"/>
    <s v=" "/>
    <d v="2026-10-17T00:00:00"/>
    <s v="818M"/>
    <n v="0"/>
    <n v="0"/>
    <n v="0"/>
    <x v="16"/>
    <x v="3"/>
  </r>
  <r>
    <s v="HD"/>
    <s v="HT1100005"/>
    <s v="CELOFIN 200MG (HOP/30 VIEN)"/>
    <s v="Q26-03-4-1"/>
    <s v="LPN007890"/>
    <n v="5"/>
    <n v="0"/>
    <s v="HOLD"/>
    <s v="VN-19973-16"/>
    <s v="0000026920"/>
    <d v="2026-08-18T00:00:00"/>
    <s v="FD242484"/>
    <n v="3.7999999999999999E-2"/>
    <n v="1848"/>
    <n v="0.19"/>
    <x v="135"/>
    <x v="1"/>
  </r>
  <r>
    <s v="HD"/>
    <s v="HT1100005"/>
    <s v="CELOFIN 200MG (HOP/30 VIEN)"/>
    <s v="Q26-03-5-1"/>
    <s v="LPN008284"/>
    <n v="2"/>
    <n v="0"/>
    <s v="HOLD"/>
    <s v="VN-19973-16"/>
    <s v="0000026920"/>
    <d v="2026-08-18T00:00:00"/>
    <s v="FD242484"/>
    <n v="3.7999999999999999E-2"/>
    <n v="1848"/>
    <n v="7.5999999999999998E-2"/>
    <x v="136"/>
    <x v="1"/>
  </r>
  <r>
    <s v="HD"/>
    <s v="HT1100005"/>
    <s v="CELOFIN 200MG (HOP/30 VIEN)"/>
    <s v="Q26-03-5-2"/>
    <s v="LPN008285"/>
    <n v="33"/>
    <n v="0"/>
    <s v="HOLD"/>
    <s v="VN-19973-16"/>
    <s v="0000026920"/>
    <d v="2026-08-18T00:00:00"/>
    <s v="FD242484"/>
    <n v="3.7999999999999999E-2"/>
    <n v="1848"/>
    <n v="1.254"/>
    <x v="137"/>
    <x v="1"/>
  </r>
  <r>
    <s v="HD"/>
    <s v="HT1100005"/>
    <s v="CELOFIN 200MG (HOP/30 VIEN)"/>
    <s v="Q26-03-6-1"/>
    <s v="LPN007810"/>
    <n v="48"/>
    <n v="0"/>
    <s v="HOLD"/>
    <s v="VN-19973-16"/>
    <s v="0000026920"/>
    <d v="2026-08-18T00:00:00"/>
    <s v="FD242484"/>
    <n v="3.7999999999999999E-2"/>
    <n v="1848"/>
    <n v="1.8239999999999998"/>
    <x v="138"/>
    <x v="1"/>
  </r>
  <r>
    <s v="HD"/>
    <s v="HT1100005"/>
    <s v="CELOFIN 200MG (HOP/30 VIEN)"/>
    <s v="Q26-03-6-1"/>
    <s v="LPN009005"/>
    <n v="64"/>
    <n v="0"/>
    <s v="HOLD"/>
    <s v="VN-19973-16"/>
    <s v="0000026920"/>
    <d v="2026-08-18T00:00:00"/>
    <s v="FD242484"/>
    <n v="3.7999999999999999E-2"/>
    <n v="1848"/>
    <n v="2.4319999999999999"/>
    <x v="139"/>
    <x v="1"/>
  </r>
  <r>
    <s v="HD"/>
    <s v="HT1100017"/>
    <s v="HYPOLIP-20 (HOP/ 30 VIEN)"/>
    <s v="Q26-03-6-1"/>
    <s v="LPN007854"/>
    <n v="31"/>
    <n v="0"/>
    <s v="HOLD"/>
    <s v="VN-21294-18"/>
    <s v="0000026918"/>
    <d v="2026-06-28T00:00:00"/>
    <s v="FD241420"/>
    <n v="3.2000000000000001E-2"/>
    <n v="2016"/>
    <n v="0.99199999999999999"/>
    <x v="140"/>
    <x v="1"/>
  </r>
  <r>
    <s v="HD"/>
    <s v="HT1100017"/>
    <s v="HYPOLIP-20 (HOP/ 30 VIEN)"/>
    <s v="Q26-03-6-1"/>
    <s v="LPN009007"/>
    <n v="4"/>
    <n v="0"/>
    <s v="HOLD"/>
    <s v="VN-21294-18"/>
    <s v="0000026918"/>
    <d v="2026-06-28T00:00:00"/>
    <s v="FD241420"/>
    <n v="3.2000000000000001E-2"/>
    <n v="2016"/>
    <n v="0.128"/>
    <x v="132"/>
    <x v="1"/>
  </r>
  <r>
    <s v="HD"/>
    <s v="HT1100017"/>
    <s v="HYPOLIP-20 (HOP/ 30 VIEN)"/>
    <s v="Q26-03-6-2"/>
    <s v="000155432"/>
    <n v="2016"/>
    <n v="0"/>
    <s v="HOLD"/>
    <s v="VN-21294-18"/>
    <s v="0000026918"/>
    <d v="2026-06-28T00:00:00"/>
    <s v="FD241420"/>
    <n v="3.2000000000000001E-2"/>
    <n v="2016"/>
    <n v="64.512"/>
    <x v="104"/>
    <x v="1"/>
  </r>
  <r>
    <s v="HD"/>
    <s v="HT1100017"/>
    <s v="HYPOLIP-20 (HOP/ 30 VIEN)"/>
    <s v="Q26-03-6-2"/>
    <s v="LPN007811"/>
    <n v="1342"/>
    <n v="0"/>
    <s v="HOLD"/>
    <s v="VN-21294-18"/>
    <s v="0000026918"/>
    <d v="2026-06-28T00:00:00"/>
    <s v="FD241420"/>
    <n v="3.2000000000000001E-2"/>
    <n v="2016"/>
    <n v="42.944000000000003"/>
    <x v="141"/>
    <x v="1"/>
  </r>
  <r>
    <s v="HD"/>
    <s v="HT1100005"/>
    <s v="CELOFIN 200MG (HOP/30 VIEN)"/>
    <s v="Q26-03-5-2"/>
    <s v="LPN008282"/>
    <n v="12"/>
    <n v="0"/>
    <s v="HOLD"/>
    <s v="VN-19973-16"/>
    <s v="0000026920"/>
    <d v="2026-08-15T00:00:00"/>
    <s v="FD242482"/>
    <n v="3.7999999999999999E-2"/>
    <n v="1848"/>
    <n v="0.45599999999999996"/>
    <x v="142"/>
    <x v="1"/>
  </r>
  <r>
    <s v="HD"/>
    <s v="HT1100005"/>
    <s v="CELOFIN 200MG (HOP/30 VIEN)"/>
    <s v="Q26-03-5-2"/>
    <s v="LPN008305"/>
    <n v="3"/>
    <n v="0"/>
    <s v="HOLD"/>
    <s v="VN-19973-16"/>
    <s v="0000026920"/>
    <d v="2026-08-15T00:00:00"/>
    <s v="FD242482"/>
    <n v="3.7999999999999999E-2"/>
    <n v="1848"/>
    <n v="0.11399999999999999"/>
    <x v="143"/>
    <x v="1"/>
  </r>
  <r>
    <s v="HD"/>
    <s v="HT1100005"/>
    <s v="CELOFIN 200MG (HOP/30 VIEN)"/>
    <s v="Q26-03-6-1"/>
    <s v="LPN007809"/>
    <n v="148"/>
    <n v="0"/>
    <s v="HOLD"/>
    <s v="VN-19973-16"/>
    <s v="0000026920"/>
    <d v="2026-08-15T00:00:00"/>
    <s v="FD242482"/>
    <n v="3.7999999999999999E-2"/>
    <n v="1848"/>
    <n v="5.6239999999999997"/>
    <x v="144"/>
    <x v="1"/>
  </r>
  <r>
    <s v="HD"/>
    <s v="HT1100005"/>
    <s v="CELOFIN 200MG (HOP/30 VIEN)"/>
    <s v="Q26-03-6-1"/>
    <s v="LPN009004"/>
    <n v="104"/>
    <n v="0"/>
    <s v="HOLD"/>
    <s v="VN-19973-16"/>
    <s v="0000026920"/>
    <d v="2026-08-15T00:00:00"/>
    <s v="FD242482"/>
    <n v="3.7999999999999999E-2"/>
    <n v="1848"/>
    <n v="3.952"/>
    <x v="145"/>
    <x v="1"/>
  </r>
  <r>
    <s v="HD"/>
    <s v="HT1100005"/>
    <s v="CELOFIN 200MG (HOP/30 VIEN)"/>
    <s v="Q26-03-6-1"/>
    <s v="LPN009006"/>
    <n v="6"/>
    <n v="0"/>
    <s v="HOLD"/>
    <s v="VN-19973-16"/>
    <s v="0000026920"/>
    <d v="2026-08-15T00:00:00"/>
    <s v="FD242482"/>
    <n v="3.7999999999999999E-2"/>
    <n v="1848"/>
    <n v="0.22799999999999998"/>
    <x v="146"/>
    <x v="1"/>
  </r>
  <r>
    <s v="HD"/>
    <s v="HT1100005"/>
    <s v="CELOFIN 200MG (HOP/30 VIEN)"/>
    <s v="Q26-03-7-2"/>
    <s v="LPN007834"/>
    <n v="269"/>
    <n v="0"/>
    <s v="HOLD"/>
    <s v="VN-19973-16"/>
    <s v="0000026920"/>
    <d v="2026-08-15T00:00:00"/>
    <s v="FD242482"/>
    <n v="3.7999999999999999E-2"/>
    <n v="1848"/>
    <n v="10.222"/>
    <x v="147"/>
    <x v="1"/>
  </r>
  <r>
    <s v="HD"/>
    <s v="HT1100017"/>
    <s v="HYPOLIP-20 (HOP/ 30 VIEN)"/>
    <s v="Q26-03-5-2"/>
    <s v="LPN007803"/>
    <n v="1"/>
    <n v="0"/>
    <s v="HOLD"/>
    <s v="VN-21294-18"/>
    <s v="0000026918"/>
    <d v="2026-06-28T00:00:00"/>
    <s v="FD241419"/>
    <n v="3.2000000000000001E-2"/>
    <n v="2016"/>
    <n v="3.2000000000000001E-2"/>
    <x v="148"/>
    <x v="1"/>
  </r>
  <r>
    <s v="HOANGDUC"/>
    <s v="AZ1100025"/>
    <s v="PLENDIL PLUS TAB 5.47.5MG BT 1X30 EA VN"/>
    <s v="Q26-03-8-1"/>
    <s v="000155843"/>
    <n v="1"/>
    <n v="0"/>
    <s v="HOLD"/>
    <s v="VN-20224-17"/>
    <s v="0000026988"/>
    <d v="2027-04-24T00:00:00"/>
    <s v="MAPT"/>
    <n v="3.5999999999999997E-2"/>
    <n v="5280"/>
    <n v="3.5999999999999997E-2"/>
    <x v="149"/>
    <x v="1"/>
  </r>
  <r>
    <s v="HOANGDUC"/>
    <s v="WO1100004"/>
    <s v="SILYGAMMA 150MG 100.S"/>
    <s v="Q26-03-4-1"/>
    <s v="LPN007887"/>
    <n v="21"/>
    <n v="0"/>
    <s v="HOLD"/>
    <s v="VN-16542-13"/>
    <s v="0000027034"/>
    <d v="2027-05-31T00:00:00"/>
    <s v="428584"/>
    <n v="0.09"/>
    <n v="2160"/>
    <n v="1.89"/>
    <x v="150"/>
    <x v="1"/>
  </r>
  <r>
    <s v="HOANGDUC"/>
    <s v="WO1100004"/>
    <s v="SILYGAMMA 150MG 100.S"/>
    <s v="Q26-03-8-1"/>
    <s v="LPN007855"/>
    <n v="23"/>
    <n v="0"/>
    <s v="HOLD"/>
    <s v="VN-16542-13"/>
    <s v="0000027034"/>
    <d v="2027-05-31T00:00:00"/>
    <s v="428584"/>
    <n v="0.09"/>
    <n v="2160"/>
    <n v="2.0699999999999998"/>
    <x v="151"/>
    <x v="1"/>
  </r>
  <r>
    <s v="M00106"/>
    <s v="SC6100019"/>
    <s v="WELLBABY MULTI-VITAMIN LIQUID (CHAI 150ML)"/>
    <s v="Q27-03-3-2"/>
    <s v="LPN007858"/>
    <n v="19"/>
    <n v="0"/>
    <s v="HOLD"/>
    <s v="10643/2019/ĐKSP"/>
    <s v="0000027001"/>
    <d v="2026-07-31T00:00:00"/>
    <s v="41403"/>
    <n v="0.22600000000000001"/>
    <n v="1680"/>
    <n v="4.2940000000000005"/>
    <x v="152"/>
    <x v="4"/>
  </r>
  <r>
    <s v="M00106"/>
    <s v="SC6100019"/>
    <s v="WELLBABY MULTI-VITAMIN LIQUID (CHAI 150ML)"/>
    <s v="Q27-03-3-2"/>
    <s v="LPN007861"/>
    <n v="1"/>
    <n v="0"/>
    <s v="HOLD"/>
    <s v="10643/2019/ĐKSP"/>
    <s v="0000027001"/>
    <d v="2026-07-31T00:00:00"/>
    <s v="41403"/>
    <n v="0.22600000000000001"/>
    <n v="1680"/>
    <n v="0.22600000000000001"/>
    <x v="153"/>
    <x v="4"/>
  </r>
  <r>
    <s v="M00106"/>
    <s v="SC6100019"/>
    <s v="WELLBABY MULTI-VITAMIN LIQUID (CHAI 150ML)"/>
    <s v="Q27-03-3-2"/>
    <s v="LPN007859"/>
    <n v="30"/>
    <n v="0"/>
    <s v="HOLD"/>
    <s v="10643/2019/ĐKSP"/>
    <s v="0000027001"/>
    <d v="2026-07-31T00:00:00"/>
    <s v="41401"/>
    <n v="0.22600000000000001"/>
    <n v="1680"/>
    <n v="6.78"/>
    <x v="137"/>
    <x v="4"/>
  </r>
  <r>
    <s v="M00106"/>
    <s v="SC6100019"/>
    <s v="WELLBABY MULTI-VITAMIN LIQUID (CHAI 150ML)"/>
    <s v="Q27-03-3-2"/>
    <s v="LPN007860"/>
    <n v="1"/>
    <n v="0"/>
    <s v="HOLD"/>
    <s v="10643/2019/ĐKSP"/>
    <s v="0000027001"/>
    <d v="2026-07-31T00:00:00"/>
    <s v="41401"/>
    <n v="0.22600000000000001"/>
    <n v="1680"/>
    <n v="0.22600000000000001"/>
    <x v="153"/>
    <x v="4"/>
  </r>
  <r>
    <s v="HOANGDUC"/>
    <s v="AV1100015"/>
    <s v="ARIP TABLET 10MG (H/3 VI X10 VIEN)"/>
    <s v="Q26-03-5-1"/>
    <s v="LPN007877"/>
    <n v="6"/>
    <n v="0"/>
    <s v="HOLD"/>
    <s v="VN-22478-19"/>
    <s v="0000027069"/>
    <d v="2026-09-11T00:00:00"/>
    <s v="BBX3L003"/>
    <n v="2.1000000000000001E-2"/>
    <n v="4050"/>
    <n v="0.126"/>
    <x v="154"/>
    <x v="1"/>
  </r>
  <r>
    <s v="M00106"/>
    <s v="SC6100019"/>
    <s v="WELLBABY MULTI-VITAMIN LIQUID (CHAI 150ML)"/>
    <s v="Q27-03-3-1"/>
    <s v="LPN007904"/>
    <n v="10"/>
    <n v="0"/>
    <s v="HOLD"/>
    <s v="10643/2019/ĐKSP"/>
    <s v="0000027121"/>
    <d v="2026-08-30T00:00:00"/>
    <s v="41555"/>
    <n v="0.22600000000000001"/>
    <n v="1680"/>
    <n v="2.2600000000000002"/>
    <x v="49"/>
    <x v="4"/>
  </r>
  <r>
    <s v="M00106"/>
    <s v="SC6100019"/>
    <s v="WELLBABY MULTI-VITAMIN LIQUID (CHAI 150ML)"/>
    <s v="Q27-03-8-1"/>
    <s v="LPN007917"/>
    <n v="11"/>
    <n v="0"/>
    <s v="HOLD"/>
    <s v="10643/2019/ĐKSP"/>
    <s v="0000027121"/>
    <d v="2026-08-30T00:00:00"/>
    <s v="41555"/>
    <n v="0.22600000000000001"/>
    <n v="1680"/>
    <n v="2.4860000000000002"/>
    <x v="155"/>
    <x v="4"/>
  </r>
  <r>
    <s v="HOANGDUC"/>
    <s v="AZ1100025"/>
    <s v="PLENDIL PLUS TAB 5.47.5MG BT 1X30 EA VN"/>
    <s v="Q26-03-4-1"/>
    <s v="000157124"/>
    <n v="1"/>
    <n v="0"/>
    <s v="HOLD"/>
    <s v="VN-20224-17"/>
    <s v="0000027157"/>
    <d v="2027-04-24T00:00:00"/>
    <s v="MAPT"/>
    <n v="3.5999999999999997E-2"/>
    <n v="5280"/>
    <n v="3.5999999999999997E-2"/>
    <x v="149"/>
    <x v="1"/>
  </r>
  <r>
    <s v="HOANGDUC"/>
    <s v="AZ1100025"/>
    <s v="PLENDIL PLUS TAB 5.47.5MG BT 1X30 EA VN"/>
    <s v="Q26-03-4-1"/>
    <s v="LPN007923"/>
    <n v="2"/>
    <n v="0"/>
    <s v="HOLD"/>
    <s v="VN-20224-17"/>
    <s v="0000027222"/>
    <d v="2027-04-24T00:00:00"/>
    <s v="MAPT"/>
    <n v="3.5999999999999997E-2"/>
    <n v="5280"/>
    <n v="7.1999999999999995E-2"/>
    <x v="156"/>
    <x v="1"/>
  </r>
  <r>
    <s v="HOANGDUC"/>
    <s v="AZ1100007"/>
    <s v="NOLVADEX-D TAB 20MG BL 3X10 EA VN"/>
    <s v="Q26-03-2-1"/>
    <s v="LPN007926"/>
    <n v="5"/>
    <n v="0"/>
    <s v="HOLD"/>
    <s v="VN-19007-15"/>
    <s v="0000027230"/>
    <d v="2028-12-18T00:00:00"/>
    <s v="SP648"/>
    <n v="2.9000000000000001E-2"/>
    <n v="2880"/>
    <n v="0.14500000000000002"/>
    <x v="70"/>
    <x v="1"/>
  </r>
  <r>
    <s v="M00106"/>
    <s v="SC6100001"/>
    <s v="OSTEOCARE LIQUID 200ML"/>
    <s v="Q27-03-3-2"/>
    <s v="LPN008000"/>
    <n v="12"/>
    <n v="0"/>
    <s v="HOLD"/>
    <s v="9186/2019/ĐKSP"/>
    <s v="0000027247"/>
    <d v="2026-07-31T00:00:00"/>
    <s v="41302"/>
    <n v="0.3"/>
    <n v="1680"/>
    <n v="3.5999999999999996"/>
    <x v="88"/>
    <x v="4"/>
  </r>
  <r>
    <s v="M00106"/>
    <s v="SC6100001"/>
    <s v="OSTEOCARE LIQUID 200ML"/>
    <s v="Q27-03-3-2"/>
    <s v="LPN008009"/>
    <n v="22"/>
    <n v="0"/>
    <s v="HOLD"/>
    <s v="9186/2019/ĐKSP"/>
    <s v="0000027247"/>
    <d v="2026-07-31T00:00:00"/>
    <s v="41302"/>
    <n v="0.3"/>
    <n v="1680"/>
    <n v="6.6"/>
    <x v="157"/>
    <x v="4"/>
  </r>
  <r>
    <s v="M00106"/>
    <s v="SC6100019"/>
    <s v="WELLBABY MULTI-VITAMIN LIQUID (CHAI 150ML)"/>
    <s v="Q27-03-3-1"/>
    <s v="LPN007974"/>
    <n v="7"/>
    <n v="0"/>
    <s v="HOLD"/>
    <s v="10643/2019/ĐKSP"/>
    <s v="0000027247"/>
    <d v="2026-06-30T00:00:00"/>
    <s v="41079"/>
    <n v="0.22600000000000001"/>
    <n v="1680"/>
    <n v="1.5820000000000001"/>
    <x v="13"/>
    <x v="4"/>
  </r>
  <r>
    <s v="M00106"/>
    <s v="SC6100019"/>
    <s v="WELLBABY MULTI-VITAMIN LIQUID (CHAI 150ML)"/>
    <s v="Q27-03-3-2"/>
    <s v="LPN007956"/>
    <n v="1"/>
    <n v="0"/>
    <s v="HOLD"/>
    <s v="10643/2019/ĐKSP"/>
    <s v="0000027247"/>
    <d v="2026-06-30T00:00:00"/>
    <s v="41079"/>
    <n v="0.22600000000000001"/>
    <n v="1680"/>
    <n v="0.22600000000000001"/>
    <x v="153"/>
    <x v="4"/>
  </r>
  <r>
    <s v="M00106"/>
    <s v="SC6100019"/>
    <s v="WELLBABY MULTI-VITAMIN LIQUID (CHAI 150ML)"/>
    <s v="Q27-03-3-2"/>
    <s v="LPN007996"/>
    <n v="1"/>
    <n v="0"/>
    <s v="HOLD"/>
    <s v="10643/2019/ĐKSP"/>
    <s v="0000027247"/>
    <d v="2026-06-30T00:00:00"/>
    <s v="41079"/>
    <n v="0.22600000000000001"/>
    <n v="1680"/>
    <n v="0.22600000000000001"/>
    <x v="153"/>
    <x v="4"/>
  </r>
  <r>
    <s v="M00106"/>
    <s v="SC6100019"/>
    <s v="WELLBABY MULTI-VITAMIN LIQUID (CHAI 150ML)"/>
    <s v="Q27-03-3-2"/>
    <s v="LPN008013"/>
    <n v="15"/>
    <n v="0"/>
    <s v="HOLD"/>
    <s v="10643/2019/ĐKSP"/>
    <s v="0000027247"/>
    <d v="2026-06-30T00:00:00"/>
    <s v="41096"/>
    <n v="0.22600000000000001"/>
    <n v="1680"/>
    <n v="3.39"/>
    <x v="100"/>
    <x v="4"/>
  </r>
  <r>
    <s v="M00106"/>
    <s v="SC6100016"/>
    <s v="OSTEOCARE FIZZ (TUYP/ 20 VIEN)"/>
    <s v="Q26-01-9-2"/>
    <s v="LPN007964"/>
    <n v="1"/>
    <n v="0"/>
    <s v="HOLD"/>
    <s v="6464/2023/ĐKSP"/>
    <s v="0000027247"/>
    <d v="2026-06-30T00:00:00"/>
    <s v="F170292"/>
    <n v="0.10199999999999999"/>
    <n v="2880"/>
    <n v="0.10199999999999999"/>
    <x v="3"/>
    <x v="2"/>
  </r>
  <r>
    <s v="HOANGDUC"/>
    <s v="AZ1100011"/>
    <s v="NOLVADEX TAB 10MG BL 3X10 EA VN"/>
    <s v="Q26-03-2-1"/>
    <s v="000158332"/>
    <n v="1"/>
    <n v="0"/>
    <s v="HOLD"/>
    <s v="VN-20911-18"/>
    <s v="0000027296"/>
    <d v="2027-08-17T00:00:00"/>
    <s v="SF616"/>
    <n v="2.3E-2"/>
    <n v="1920"/>
    <n v="2.3E-2"/>
    <x v="90"/>
    <x v="1"/>
  </r>
  <r>
    <s v="HOANGDUC"/>
    <s v="BE90007118-KM"/>
    <s v="90007118- KM CONTOUR PLUS ELITE  BLOOD GLUCOSE MONITORING SY"/>
    <s v="Q27-03-7-1"/>
    <s v="000158367"/>
    <n v="3"/>
    <n v="0"/>
    <s v="HOLD"/>
    <s v="NOVISA"/>
    <s v=" "/>
    <d v="2028-02-01T00:00:00"/>
    <s v="PH23080018"/>
    <n v="0.46800000000000003"/>
    <n v="576"/>
    <n v="1.4040000000000001"/>
    <x v="36"/>
    <x v="4"/>
  </r>
  <r>
    <s v="HOANGDUC"/>
    <s v="AZ1100025"/>
    <s v="PLENDIL PLUS TAB 5.47.5MG BT 1X30 EA VN"/>
    <s v="Q26-03-8-1"/>
    <s v="000158867"/>
    <n v="1"/>
    <n v="0"/>
    <s v="HOLD"/>
    <s v="VN-20224-17"/>
    <s v="0000027339"/>
    <d v="2027-04-24T00:00:00"/>
    <s v="MAPT"/>
    <n v="3.5999999999999997E-2"/>
    <n v="5280"/>
    <n v="3.5999999999999997E-2"/>
    <x v="149"/>
    <x v="1"/>
  </r>
  <r>
    <s v="HOANGDUC"/>
    <s v="RD1100018"/>
    <s v="APIXABAN TABLETS 2.5 MG (HOP/60 VIEN)"/>
    <s v="Q27-01-1-2"/>
    <s v="LPN011287"/>
    <n v="1"/>
    <n v="0"/>
    <s v="HOLD"/>
    <s v="VN3-403-22"/>
    <s v="0000027578"/>
    <d v="2026-07-31T00:00:00"/>
    <s v="T2404490"/>
    <n v="0"/>
    <n v="3000"/>
    <n v="0"/>
    <x v="158"/>
    <x v="0"/>
  </r>
  <r>
    <s v="HD"/>
    <s v="HT1100033"/>
    <s v="DOLUTEGRAVIR, LAMIVUDINE AND TENOFOVIR DISOPROXIL FUMARATE T"/>
    <s v="Q26-03-5-1"/>
    <s v="LPN008052"/>
    <n v="4"/>
    <n v="0"/>
    <s v="HOLD"/>
    <s v="890110445523"/>
    <s v="0000027583"/>
    <d v="2026-10-02T00:00:00"/>
    <s v="E244213"/>
    <n v="9.4E-2"/>
    <n v="2475"/>
    <n v="0.376"/>
    <x v="159"/>
    <x v="1"/>
  </r>
  <r>
    <s v="HD"/>
    <s v="HT1100033"/>
    <s v="DOLUTEGRAVIR, LAMIVUDINE AND TENOFOVIR DISOPROXIL FUMARATE T"/>
    <s v="Q26-03-5-1"/>
    <s v="LPN008057"/>
    <n v="36"/>
    <n v="0"/>
    <s v="HOLD"/>
    <s v="890110445523"/>
    <s v="0000027583"/>
    <d v="2026-10-02T00:00:00"/>
    <s v="E244213"/>
    <n v="9.4E-2"/>
    <n v="2475"/>
    <n v="3.3839999999999999"/>
    <x v="160"/>
    <x v="1"/>
  </r>
  <r>
    <s v="HD"/>
    <s v="HT1100033"/>
    <s v="DOLUTEGRAVIR, LAMIVUDINE AND TENOFOVIR DISOPROXIL FUMARATE T"/>
    <s v="Q26-03-5-1"/>
    <s v="LPN008059"/>
    <n v="9"/>
    <n v="0"/>
    <s v="HOLD"/>
    <s v="890110445523"/>
    <s v="0000027639"/>
    <d v="2026-10-03T00:00:00"/>
    <s v="E244214"/>
    <n v="9.4E-2"/>
    <n v="2475"/>
    <n v="0.84599999999999997"/>
    <x v="161"/>
    <x v="1"/>
  </r>
  <r>
    <s v="HD"/>
    <s v="HT1100033"/>
    <s v="DOLUTEGRAVIR, LAMIVUDINE AND TENOFOVIR DISOPROXIL FUMARATE T"/>
    <s v="Q26-03-5-1"/>
    <s v="LPN008060"/>
    <n v="40"/>
    <n v="0"/>
    <s v="HOLD"/>
    <s v="890110445523"/>
    <s v="0000027639"/>
    <d v="2026-10-03T00:00:00"/>
    <s v="E244214"/>
    <n v="9.4E-2"/>
    <n v="2475"/>
    <n v="3.76"/>
    <x v="162"/>
    <x v="1"/>
  </r>
  <r>
    <s v="HD"/>
    <s v="HT1100033"/>
    <s v="DOLUTEGRAVIR, LAMIVUDINE AND TENOFOVIR DISOPROXIL FUMARATE T"/>
    <s v="Q26-03-5-1"/>
    <s v="LPN008062"/>
    <n v="8"/>
    <n v="0"/>
    <s v="HOLD"/>
    <s v="890110445523"/>
    <s v="0000027639"/>
    <d v="2026-10-03T00:00:00"/>
    <s v="E244214"/>
    <n v="9.4E-2"/>
    <n v="2475"/>
    <n v="0.752"/>
    <x v="128"/>
    <x v="1"/>
  </r>
  <r>
    <s v="HD"/>
    <s v="HT1100033"/>
    <s v="DOLUTEGRAVIR, LAMIVUDINE AND TENOFOVIR DISOPROXIL FUMARATE T"/>
    <s v="Q26-03-5-1"/>
    <s v="LPN008074"/>
    <n v="9"/>
    <n v="0"/>
    <s v="HOLD"/>
    <s v="890110445523"/>
    <s v="0000027644"/>
    <d v="2026-10-07T00:00:00"/>
    <s v="E244291"/>
    <n v="9.4E-2"/>
    <n v="2475"/>
    <n v="0.84599999999999997"/>
    <x v="161"/>
    <x v="1"/>
  </r>
  <r>
    <s v="M00106"/>
    <s v="SC6100015"/>
    <s v="PREGNACARE PLUS OMEGA 3 (H/56 VIEN)"/>
    <s v="Q26-01-9-2"/>
    <s v="000161091"/>
    <n v="1"/>
    <n v="0"/>
    <s v="HOLD"/>
    <s v="9184/2019/ĐKSP"/>
    <s v="0000027675"/>
    <d v="2026-05-31T00:00:00"/>
    <s v="PP2359"/>
    <n v="9.2999999999999999E-2"/>
    <n v="1536"/>
    <n v="9.2999999999999999E-2"/>
    <x v="35"/>
    <x v="2"/>
  </r>
  <r>
    <s v="HOANGDUC"/>
    <s v="HY6100005"/>
    <s v="OCUVITE BLUE LIGHT (HOP/ 30 VIEN)"/>
    <s v="Q27-01-1-1"/>
    <s v="LPN010725"/>
    <n v="12"/>
    <n v="0"/>
    <s v="HOLD"/>
    <s v="8923/2021/ĐKSP"/>
    <s v="54-11020"/>
    <d v="2025-12-31T00:00:00"/>
    <s v="24AAF0260"/>
    <n v="0.04"/>
    <n v="3120"/>
    <n v="0.48"/>
    <x v="163"/>
    <x v="0"/>
  </r>
  <r>
    <s v="HD"/>
    <s v="HT1100033"/>
    <s v="DOLUTEGRAVIR, LAMIVUDINE AND TENOFOVIR DISOPROXIL FUMARATE T"/>
    <s v="Q26-03-5-1"/>
    <s v="LPN008078"/>
    <n v="2"/>
    <n v="0"/>
    <s v="HOLD"/>
    <s v="890110445523"/>
    <s v="0000027677"/>
    <d v="2026-10-08T00:00:00"/>
    <s v="E244292"/>
    <n v="9.4E-2"/>
    <n v="2475"/>
    <n v="0.188"/>
    <x v="123"/>
    <x v="1"/>
  </r>
  <r>
    <s v="HD"/>
    <s v="HT1100033"/>
    <s v="DOLUTEGRAVIR, LAMIVUDINE AND TENOFOVIR DISOPROXIL FUMARATE T"/>
    <s v="Q26-03-5-1"/>
    <s v="LPN008079"/>
    <n v="8"/>
    <n v="0"/>
    <s v="HOLD"/>
    <s v="890110445523"/>
    <s v="0000027677"/>
    <d v="2026-10-08T00:00:00"/>
    <s v="E244292"/>
    <n v="9.4E-2"/>
    <n v="2475"/>
    <n v="0.752"/>
    <x v="128"/>
    <x v="1"/>
  </r>
  <r>
    <s v="HOANGDUC"/>
    <s v="AZ1100025"/>
    <s v="PLENDIL PLUS TAB 5.47.5MG BT 1X30 EA VN"/>
    <s v="Q26-03-4-1"/>
    <s v="000161538"/>
    <n v="2"/>
    <n v="0"/>
    <s v="HOLD"/>
    <s v="VN-20224-17"/>
    <s v="0000027702"/>
    <d v="2027-04-24T00:00:00"/>
    <s v="MAPT"/>
    <n v="3.5999999999999997E-2"/>
    <n v="5280"/>
    <n v="7.1999999999999995E-2"/>
    <x v="156"/>
    <x v="1"/>
  </r>
  <r>
    <s v="HD"/>
    <s v="HT1100033"/>
    <s v="DOLUTEGRAVIR, LAMIVUDINE AND TENOFOVIR DISOPROXIL FUMARATE T"/>
    <s v="Q26-03-5-1"/>
    <s v="LPN008093"/>
    <n v="12"/>
    <n v="0"/>
    <s v="HOLD"/>
    <s v="890110445523"/>
    <s v="0000027701"/>
    <d v="2026-10-21T00:00:00"/>
    <s v="E244300"/>
    <n v="9.4E-2"/>
    <n v="2475"/>
    <n v="1.1280000000000001"/>
    <x v="131"/>
    <x v="1"/>
  </r>
  <r>
    <s v="HD"/>
    <s v="HT1100033"/>
    <s v="DOLUTEGRAVIR, LAMIVUDINE AND TENOFOVIR DISOPROXIL FUMARATE T"/>
    <s v="Q26-03-5-1"/>
    <s v="LPN008122"/>
    <n v="2"/>
    <n v="0"/>
    <s v="HOLD"/>
    <s v="890110445523"/>
    <s v="0000027701"/>
    <d v="2026-10-21T00:00:00"/>
    <s v="E244300"/>
    <n v="9.4E-2"/>
    <n v="2475"/>
    <n v="0.188"/>
    <x v="123"/>
    <x v="1"/>
  </r>
  <r>
    <s v="HD"/>
    <s v="HT1100033"/>
    <s v="DOLUTEGRAVIR, LAMIVUDINE AND TENOFOVIR DISOPROXIL FUMARATE T"/>
    <s v="Q26-03-5-1"/>
    <s v="LPN008089"/>
    <n v="15"/>
    <n v="0"/>
    <s v="HOLD"/>
    <s v="890110445523"/>
    <s v="0000027703"/>
    <d v="2026-10-17T00:00:00"/>
    <s v="E244297"/>
    <n v="9.4E-2"/>
    <n v="2475"/>
    <n v="1.41"/>
    <x v="164"/>
    <x v="1"/>
  </r>
  <r>
    <s v="HD"/>
    <s v="HT1100033"/>
    <s v="DOLUTEGRAVIR, LAMIVUDINE AND TENOFOVIR DISOPROXIL FUMARATE T"/>
    <s v="Q26-03-5-1"/>
    <s v="LPN008092"/>
    <n v="5"/>
    <n v="0"/>
    <s v="HOLD"/>
    <s v="890110445523"/>
    <s v="0000027703"/>
    <d v="2026-10-17T00:00:00"/>
    <s v="E244297"/>
    <n v="9.4E-2"/>
    <n v="2475"/>
    <n v="0.47"/>
    <x v="165"/>
    <x v="1"/>
  </r>
  <r>
    <s v="HOANGDUC"/>
    <s v="TT1300145"/>
    <s v="NHAN PHU - METABIOTIC FACIAL WASH"/>
    <s v="Q27-01-9-1"/>
    <s v="000161691"/>
    <n v="236"/>
    <n v="0"/>
    <s v="HOLD"/>
    <s v="NOVISA"/>
    <s v=" "/>
    <d v="2026-12-04T00:00:00"/>
    <s v="_"/>
    <n v="0"/>
    <n v="0"/>
    <n v="0"/>
    <x v="16"/>
    <x v="0"/>
  </r>
  <r>
    <s v="HD"/>
    <s v="HT1100033"/>
    <s v="DOLUTEGRAVIR, LAMIVUDINE AND TENOFOVIR DISOPROXIL FUMARATE T"/>
    <s v="Q26-03-5-1"/>
    <s v="LPN008083"/>
    <n v="10"/>
    <n v="0"/>
    <s v="HOLD"/>
    <s v="890110445523"/>
    <s v="0000027582"/>
    <d v="2026-10-02T00:00:00"/>
    <s v="E244212"/>
    <n v="9.4E-2"/>
    <n v="2475"/>
    <n v="0.94"/>
    <x v="166"/>
    <x v="1"/>
  </r>
  <r>
    <s v="HD"/>
    <s v="HT1100033"/>
    <s v="DOLUTEGRAVIR, LAMIVUDINE AND TENOFOVIR DISOPROXIL FUMARATE T"/>
    <s v="Q26-03-5-1"/>
    <s v="LPN008086"/>
    <n v="11"/>
    <n v="0"/>
    <s v="HOLD"/>
    <s v="890110445523"/>
    <s v="0000027582"/>
    <d v="2026-10-02T00:00:00"/>
    <s v="E244212"/>
    <n v="9.4E-2"/>
    <n v="2475"/>
    <n v="1.034"/>
    <x v="167"/>
    <x v="1"/>
  </r>
  <r>
    <s v="HOANGDUC"/>
    <s v="TT1300085"/>
    <s v="NHAN PHU - MILD ASTRINGENT"/>
    <s v="Q27-01-9-1"/>
    <s v="000161876"/>
    <n v="2688"/>
    <n v="0"/>
    <s v="HOLD"/>
    <s v="novisa"/>
    <s v=" "/>
    <d v="2026-12-09T00:00:00"/>
    <s v="_"/>
    <n v="0"/>
    <n v="0"/>
    <n v="0"/>
    <x v="16"/>
    <x v="0"/>
  </r>
  <r>
    <s v="HD"/>
    <s v="HT1100033"/>
    <s v="DOLUTEGRAVIR, LAMIVUDINE AND TENOFOVIR DISOPROXIL FUMARATE T"/>
    <s v="Q26-03-8-1"/>
    <s v="LPN008123"/>
    <n v="3"/>
    <n v="0"/>
    <s v="HOLD"/>
    <s v="890110445523"/>
    <s v="0000027708"/>
    <d v="2026-10-20T00:00:00"/>
    <s v="E244299"/>
    <n v="9.4E-2"/>
    <n v="2475"/>
    <n v="0.28200000000000003"/>
    <x v="168"/>
    <x v="1"/>
  </r>
  <r>
    <s v="HD"/>
    <s v="HT1100033"/>
    <s v="DOLUTEGRAVIR, LAMIVUDINE AND TENOFOVIR DISOPROXIL FUMARATE T"/>
    <s v="Q26-03-8-1"/>
    <s v="LPN008127"/>
    <n v="5"/>
    <n v="0"/>
    <s v="HOLD"/>
    <s v="890110445523"/>
    <s v="0000027708"/>
    <d v="2026-10-20T00:00:00"/>
    <s v="E244299"/>
    <n v="9.4E-2"/>
    <n v="2475"/>
    <n v="0.47"/>
    <x v="165"/>
    <x v="1"/>
  </r>
  <r>
    <s v="HD"/>
    <s v="HT1100033"/>
    <s v="DOLUTEGRAVIR, LAMIVUDINE AND TENOFOVIR DISOPROXIL FUMARATE T"/>
    <s v="Q26-03-8-1"/>
    <s v="LPN008131"/>
    <n v="3"/>
    <n v="0"/>
    <s v="HOLD"/>
    <s v="890110445523"/>
    <s v="0000027708"/>
    <d v="2026-10-20T00:00:00"/>
    <s v="E244299"/>
    <n v="9.4E-2"/>
    <n v="2475"/>
    <n v="0.28200000000000003"/>
    <x v="168"/>
    <x v="1"/>
  </r>
  <r>
    <s v="HD"/>
    <s v="HT1100033"/>
    <s v="DOLUTEGRAVIR, LAMIVUDINE AND TENOFOVIR DISOPROXIL FUMARATE T"/>
    <s v="Q26-03-5-1"/>
    <s v="LPN008113"/>
    <n v="19"/>
    <n v="0"/>
    <s v="HOLD"/>
    <s v="890110445523"/>
    <s v="0000027755"/>
    <d v="2026-10-08T00:00:00"/>
    <s v="E244293"/>
    <n v="9.4E-2"/>
    <n v="2475"/>
    <n v="1.786"/>
    <x v="169"/>
    <x v="1"/>
  </r>
  <r>
    <s v="HD"/>
    <s v="HT1100033"/>
    <s v="DOLUTEGRAVIR, LAMIVUDINE AND TENOFOVIR DISOPROXIL FUMARATE T"/>
    <s v="Q26-03-5-2"/>
    <s v="000161869"/>
    <n v="1372"/>
    <n v="0"/>
    <s v="HOLD"/>
    <s v="890110445523"/>
    <s v="0000027760"/>
    <d v="2026-10-08T00:00:00"/>
    <s v="E244293"/>
    <n v="9.4E-2"/>
    <n v="2475"/>
    <n v="128.96799999999999"/>
    <x v="170"/>
    <x v="1"/>
  </r>
  <r>
    <s v="HD"/>
    <s v="HT1100033"/>
    <s v="DOLUTEGRAVIR, LAMIVUDINE AND TENOFOVIR DISOPROXIL FUMARATE T"/>
    <s v="Q26-03-8-1"/>
    <s v="LPN008135"/>
    <n v="11"/>
    <n v="0"/>
    <s v="HOLD"/>
    <s v="890110445523"/>
    <s v="0000027710"/>
    <d v="2026-10-24T00:00:00"/>
    <s v="E244567"/>
    <n v="9.4E-2"/>
    <n v="2475"/>
    <n v="1.034"/>
    <x v="167"/>
    <x v="1"/>
  </r>
  <r>
    <s v="HD"/>
    <s v="HT1100033"/>
    <s v="DOLUTEGRAVIR, LAMIVUDINE AND TENOFOVIR DISOPROXIL FUMARATE T"/>
    <s v="Q26-03-8-1"/>
    <s v="LPN008137"/>
    <n v="3"/>
    <n v="0"/>
    <s v="HOLD"/>
    <s v="890110445523"/>
    <s v="0000027710"/>
    <d v="2026-10-24T00:00:00"/>
    <s v="E244567"/>
    <n v="9.4E-2"/>
    <n v="2475"/>
    <n v="0.28200000000000003"/>
    <x v="168"/>
    <x v="1"/>
  </r>
  <r>
    <s v="HD"/>
    <s v="HT1100033"/>
    <s v="DOLUTEGRAVIR, LAMIVUDINE AND TENOFOVIR DISOPROXIL FUMARATE T"/>
    <s v="Q26-03-8-1"/>
    <s v="LPN008130"/>
    <n v="7"/>
    <n v="0"/>
    <s v="HOLD"/>
    <s v="890110445523"/>
    <s v="0000027709"/>
    <d v="2026-10-15T00:00:00"/>
    <s v="E244384A"/>
    <n v="9.4E-2"/>
    <n v="2475"/>
    <n v="0.65800000000000003"/>
    <x v="171"/>
    <x v="1"/>
  </r>
  <r>
    <s v="HD"/>
    <s v="TT1300550"/>
    <s v="NHAN PHU RELACTAGEL - BESINS"/>
    <s v="QM4-01-1-1"/>
    <s v="000162864"/>
    <n v="122"/>
    <n v="0"/>
    <s v="HOLD"/>
    <s v="novisa"/>
    <s v=" "/>
    <d v="2026-12-16T00:00:00"/>
    <s v="842M"/>
    <n v="0"/>
    <n v="0"/>
    <n v="0"/>
    <x v="16"/>
    <x v="3"/>
  </r>
  <r>
    <s v="HD"/>
    <s v="TT1300550"/>
    <s v="NHAN PHU RELACTAGEL - BESINS"/>
    <s v="QM4-01-1-1"/>
    <s v="000162866"/>
    <n v="142"/>
    <n v="0"/>
    <s v="HOLD"/>
    <s v="novisa"/>
    <s v=" "/>
    <d v="2026-12-16T00:00:00"/>
    <s v="845M"/>
    <n v="0"/>
    <n v="0"/>
    <n v="0"/>
    <x v="16"/>
    <x v="3"/>
  </r>
  <r>
    <s v="HD"/>
    <s v="TT1300550"/>
    <s v="NHAN PHU RELACTAGEL - BESINS"/>
    <s v="QM4-01-1-1"/>
    <s v="000162865"/>
    <n v="360"/>
    <n v="0"/>
    <s v="HOLD"/>
    <s v="novisa"/>
    <s v=" "/>
    <d v="2026-12-16T00:00:00"/>
    <s v="846M"/>
    <n v="0"/>
    <n v="0"/>
    <n v="0"/>
    <x v="16"/>
    <x v="3"/>
  </r>
  <r>
    <s v="HOANGDUC"/>
    <s v="TT1300374"/>
    <s v="NHAN PHU - LIPOSIC EYE GEL 0.2%"/>
    <s v="QM4-01-1-1"/>
    <s v="000162870"/>
    <n v="5150"/>
    <n v="0"/>
    <s v="HOLD"/>
    <s v="novisa"/>
    <s v=" "/>
    <d v="2026-12-16T00:00:00"/>
    <s v="_"/>
    <n v="0"/>
    <n v="0"/>
    <n v="0"/>
    <x v="16"/>
    <x v="3"/>
  </r>
  <r>
    <s v="HOANGDUC"/>
    <s v="RH7300104"/>
    <s v="NXTP KM SUA CHONG NANG SUNPLAY 30G (SUPER BLOCK SPF81)"/>
    <s v="Q27-03-3-2"/>
    <s v="LPN008468"/>
    <n v="1"/>
    <n v="0"/>
    <s v="HOLD"/>
    <s v="NOVISA"/>
    <s v="54-11468"/>
    <d v="2027-07-31T00:00:00"/>
    <s v="GA06"/>
    <n v="5.5E-2"/>
    <n v="2000"/>
    <n v="5.5E-2"/>
    <x v="172"/>
    <x v="4"/>
  </r>
  <r>
    <s v="M00106"/>
    <s v="SC6100017"/>
    <s v="WELLKID MULTI-VITAMIN LIQUID (CHAI/150ML)"/>
    <s v="Q27-03-3-1"/>
    <s v="LPN008170"/>
    <n v="1"/>
    <n v="0"/>
    <s v="HOLD"/>
    <s v="10642/2019/ĐKSP"/>
    <s v="0000028073"/>
    <d v="2026-07-31T00:00:00"/>
    <s v="41353"/>
    <n v="0.312"/>
    <n v="1680"/>
    <n v="0.312"/>
    <x v="153"/>
    <x v="4"/>
  </r>
  <r>
    <s v="M00106"/>
    <s v="SC6100003"/>
    <s v="FEROGLOBIN B12 CAPSULES (H/30 VIEN)"/>
    <s v="Q27-03-3-1"/>
    <s v="LPN008164"/>
    <n v="1"/>
    <n v="0"/>
    <s v="HOLD"/>
    <s v="9183/2019/ĐKSP"/>
    <s v="0000028073"/>
    <d v="2027-05-31T00:00:00"/>
    <s v="FW2414PA"/>
    <n v="0.04"/>
    <n v="2688"/>
    <n v="0.04"/>
    <x v="51"/>
    <x v="4"/>
  </r>
  <r>
    <s v="M00106"/>
    <s v="SC6100003"/>
    <s v="FEROGLOBIN B12 CAPSULES (H/30 VIEN)"/>
    <s v="Q27-03-3-1"/>
    <s v="LPN008188"/>
    <n v="1"/>
    <n v="0"/>
    <s v="HOLD"/>
    <s v="9183/2019/ĐKSP"/>
    <s v="0000028073"/>
    <d v="2027-05-31T00:00:00"/>
    <s v="FW2414PA"/>
    <n v="0.04"/>
    <n v="2688"/>
    <n v="0.04"/>
    <x v="51"/>
    <x v="4"/>
  </r>
  <r>
    <s v="M00106"/>
    <s v="SC6100004"/>
    <s v="OSTEOCARE (H/30 VIEN)"/>
    <s v="Q27-03-3-1"/>
    <s v="LPN008328"/>
    <n v="14"/>
    <n v="0"/>
    <s v="HOLD"/>
    <s v="8615/2019/ĐKSP"/>
    <s v="0000028073"/>
    <d v="2028-06-30T00:00:00"/>
    <s v="OT2404P"/>
    <n v="7.4999999999999997E-2"/>
    <n v="2688"/>
    <n v="1.05"/>
    <x v="36"/>
    <x v="4"/>
  </r>
  <r>
    <s v="M00106"/>
    <s v="SC6100001"/>
    <s v="OSTEOCARE LIQUID 200ML"/>
    <s v="Q27-03-3-1"/>
    <s v="LPN008418"/>
    <n v="9"/>
    <n v="0"/>
    <s v="HOLD"/>
    <s v="9186/2019/ĐKSP"/>
    <s v="0000028073"/>
    <d v="2026-07-31T00:00:00"/>
    <s v="41390"/>
    <n v="0.3"/>
    <n v="1680"/>
    <n v="2.6999999999999997"/>
    <x v="173"/>
    <x v="4"/>
  </r>
  <r>
    <s v="M00106"/>
    <s v="SC6100001"/>
    <s v="OSTEOCARE LIQUID 200ML"/>
    <s v="Q27-03-8-1"/>
    <s v="LPN008384"/>
    <n v="3"/>
    <n v="0"/>
    <s v="HOLD"/>
    <s v="9186/2019/ĐKSP"/>
    <s v="0000028073"/>
    <d v="2026-07-31T00:00:00"/>
    <s v="41390"/>
    <n v="0.3"/>
    <n v="1680"/>
    <n v="0.89999999999999991"/>
    <x v="55"/>
    <x v="4"/>
  </r>
  <r>
    <s v="M00106"/>
    <s v="SC6100001"/>
    <s v="OSTEOCARE LIQUID 200ML"/>
    <s v="Q27-03-8-1"/>
    <s v="LPN008409"/>
    <n v="1"/>
    <n v="0"/>
    <s v="HOLD"/>
    <s v="9186/2019/ĐKSP"/>
    <s v="0000028073"/>
    <d v="2026-07-31T00:00:00"/>
    <s v="41390"/>
    <n v="0.3"/>
    <n v="1680"/>
    <n v="0.3"/>
    <x v="153"/>
    <x v="4"/>
  </r>
  <r>
    <s v="M00106"/>
    <s v="SC6100001"/>
    <s v="OSTEOCARE LIQUID 200ML"/>
    <s v="Q27-03-8-1"/>
    <s v="LPN008590"/>
    <n v="9"/>
    <n v="0"/>
    <s v="HOLD"/>
    <s v="9186/2019/ĐKSP"/>
    <s v="0000028073"/>
    <d v="2026-07-31T00:00:00"/>
    <s v="41390"/>
    <n v="0.3"/>
    <n v="1680"/>
    <n v="2.6999999999999997"/>
    <x v="173"/>
    <x v="4"/>
  </r>
  <r>
    <s v="M00106"/>
    <s v="SC6100015"/>
    <s v="PREGNACARE PLUS OMEGA 3 (H/56 VIEN)"/>
    <s v="Q27-03-4-1"/>
    <s v="LPN008212"/>
    <n v="2"/>
    <n v="0"/>
    <s v="HOLD"/>
    <s v="9184/2019/ĐKSP"/>
    <s v="0000028073"/>
    <d v="2027-02-28T00:00:00"/>
    <s v="PP2424"/>
    <n v="9.2999999999999999E-2"/>
    <n v="1536"/>
    <n v="0.186"/>
    <x v="18"/>
    <x v="4"/>
  </r>
  <r>
    <s v="M00106"/>
    <s v="SC6100015"/>
    <s v="PREGNACARE PLUS OMEGA 3 (H/56 VIEN)"/>
    <s v="Q27-03-5-1"/>
    <s v="LPN008220"/>
    <n v="1"/>
    <n v="0"/>
    <s v="HOLD"/>
    <s v="9184/2019/ĐKSP"/>
    <s v="0000028073"/>
    <d v="2027-02-28T00:00:00"/>
    <s v="PP2424"/>
    <n v="9.2999999999999999E-2"/>
    <n v="1536"/>
    <n v="9.2999999999999999E-2"/>
    <x v="35"/>
    <x v="4"/>
  </r>
  <r>
    <s v="M00106"/>
    <s v="SC6100015"/>
    <s v="PREGNACARE PLUS OMEGA 3 (H/56 VIEN)"/>
    <s v="Q27-03-5-1"/>
    <s v="LPN008233"/>
    <n v="1"/>
    <n v="0"/>
    <s v="HOLD"/>
    <s v="9184/2019/ĐKSP"/>
    <s v="0000028073"/>
    <d v="2027-02-28T00:00:00"/>
    <s v="PP2424"/>
    <n v="9.2999999999999999E-2"/>
    <n v="1536"/>
    <n v="9.2999999999999999E-2"/>
    <x v="35"/>
    <x v="4"/>
  </r>
  <r>
    <s v="M00106"/>
    <s v="SC6100019"/>
    <s v="WELLBABY MULTI-VITAMIN LIQUID (CHAI 150ML)"/>
    <s v="Q27-03-5-1"/>
    <s v="LPN008239"/>
    <n v="4"/>
    <n v="0"/>
    <s v="HOLD"/>
    <s v="10643/2019/ĐKSP"/>
    <s v="0000028073"/>
    <d v="2026-07-31T00:00:00"/>
    <s v="41402"/>
    <n v="0.22600000000000001"/>
    <n v="1680"/>
    <n v="0.90400000000000003"/>
    <x v="14"/>
    <x v="4"/>
  </r>
  <r>
    <s v="HOANGDUC"/>
    <s v="TT1300269"/>
    <s v="NHAN PHU - AMPLATZER™ TORQVUE™ LP DELIVERY SYSTEM"/>
    <s v="Q27-01-9-1"/>
    <s v="000164895"/>
    <n v="1414"/>
    <n v="0"/>
    <s v="HOLD"/>
    <s v="novisa"/>
    <s v=" "/>
    <d v="2027-01-03T00:00:00"/>
    <s v="_"/>
    <n v="0"/>
    <n v="0"/>
    <n v="0"/>
    <x v="16"/>
    <x v="0"/>
  </r>
  <r>
    <s v="HOANGDUC"/>
    <s v="TT1300268"/>
    <s v="NHAN PHU - AMPLATZER™ TORQVUE™ DELIVERY SYSTEM"/>
    <s v="Q27-01-9-1"/>
    <s v="000164895"/>
    <n v="1704"/>
    <n v="0"/>
    <s v="HOLD"/>
    <s v="novisa"/>
    <s v=" "/>
    <d v="2027-01-03T00:00:00"/>
    <s v="_"/>
    <n v="0"/>
    <n v="0"/>
    <n v="0"/>
    <x v="16"/>
    <x v="0"/>
  </r>
  <r>
    <s v="HOANGDUC"/>
    <s v="TT1300382"/>
    <s v="NHAN PHU - AMPLATZER TREVISO"/>
    <s v="Q27-01-9-1"/>
    <s v="000164893"/>
    <n v="1126"/>
    <n v="0"/>
    <s v="HOLD"/>
    <s v="novisa"/>
    <s v=" "/>
    <d v="2027-01-03T00:00:00"/>
    <s v="_"/>
    <n v="0"/>
    <n v="0"/>
    <n v="0"/>
    <x v="16"/>
    <x v="0"/>
  </r>
  <r>
    <s v="HOANGDUC"/>
    <s v="TT1300267"/>
    <s v="NHAN PHU - AMPLATZER™ SIZING BALLOON II"/>
    <s v="Q27-01-9-1"/>
    <s v="000164892"/>
    <n v="1324"/>
    <n v="0"/>
    <s v="HOLD"/>
    <s v="novisa"/>
    <s v=" "/>
    <d v="2027-01-03T00:00:00"/>
    <s v="_"/>
    <n v="0"/>
    <n v="0"/>
    <n v="0"/>
    <x v="16"/>
    <x v="0"/>
  </r>
  <r>
    <s v="HOANGDUC"/>
    <s v="AZ1100001"/>
    <s v="ARIMIDEX TAB 1 MG BL 2X14 EA VN"/>
    <s v="Q26-03-2-1"/>
    <s v="000165136"/>
    <n v="2"/>
    <n v="0"/>
    <s v="HOLD"/>
    <s v="VN-19784-16"/>
    <s v="0000028239"/>
    <d v="2029-03-20T00:00:00"/>
    <s v="SR242"/>
    <n v="1.4999999999999999E-2"/>
    <n v="14400"/>
    <n v="0.03"/>
    <x v="113"/>
    <x v="1"/>
  </r>
  <r>
    <s v="HOANGDUC"/>
    <s v="AZ1100023"/>
    <s v="KOMBOGLYZE XR TAB 5.1000MG BL 4X7 EA VN"/>
    <s v="Q26-03-4-1"/>
    <s v="000165325"/>
    <n v="1"/>
    <n v="0"/>
    <s v="HOLD"/>
    <s v="VN-18678-15"/>
    <s v="0000028256"/>
    <d v="2027-06-09T00:00:00"/>
    <s v="WF0265"/>
    <n v="0.1"/>
    <n v="1008"/>
    <n v="0.1"/>
    <x v="174"/>
    <x v="1"/>
  </r>
  <r>
    <s v="HD"/>
    <s v="TT1300552"/>
    <s v="NHAN PHU IALURIL PREFILL - BESINS"/>
    <s v="QM4-01-1-1"/>
    <s v="000165470"/>
    <n v="115"/>
    <n v="0"/>
    <s v="HOLD"/>
    <s v="novisa"/>
    <s v=" "/>
    <d v="2027-10-07T00:00:00"/>
    <s v="D11546"/>
    <n v="0"/>
    <n v="0"/>
    <n v="0"/>
    <x v="16"/>
    <x v="3"/>
  </r>
  <r>
    <s v="HD"/>
    <s v="TT1300552"/>
    <s v="NHAN PHU IALURIL PREFILL - BESINS"/>
    <s v="QM4-01-1-1"/>
    <s v="000165469"/>
    <n v="208"/>
    <n v="0"/>
    <s v="HOLD"/>
    <s v="novisa"/>
    <s v=" "/>
    <d v="2027-01-07T00:00:00"/>
    <s v="D11547"/>
    <n v="0"/>
    <n v="0"/>
    <n v="0"/>
    <x v="16"/>
    <x v="3"/>
  </r>
  <r>
    <s v="HD"/>
    <s v="TT1300537"/>
    <s v="NHAN PHU PROGESTOGEL - BESINS"/>
    <s v="QM4-01-1-1"/>
    <s v="000165471"/>
    <n v="692"/>
    <n v="0"/>
    <s v="HOLD"/>
    <s v="novisa"/>
    <s v=" "/>
    <d v="2027-01-07T00:00:00"/>
    <s v="_"/>
    <n v="0"/>
    <n v="0"/>
    <n v="0"/>
    <x v="16"/>
    <x v="3"/>
  </r>
  <r>
    <s v="HOANGDUC"/>
    <s v="TT1300572"/>
    <s v="NHAN PHU - AMPLATZER™ TORQVUE™ LP CATHETER"/>
    <s v="Q27-01-9-1"/>
    <s v="000165475"/>
    <n v="1773"/>
    <n v="0"/>
    <s v="HOLD"/>
    <s v="novisa"/>
    <s v=" "/>
    <d v="2027-01-07T00:00:00"/>
    <s v="_"/>
    <n v="0"/>
    <n v="0"/>
    <n v="0"/>
    <x v="16"/>
    <x v="0"/>
  </r>
  <r>
    <s v="M00106"/>
    <s v="SC6100019"/>
    <s v="WELLBABY MULTI-VITAMIN LIQUID (CHAI 150ML)"/>
    <s v="Q27-03-1-1"/>
    <s v="LPN009000"/>
    <n v="4"/>
    <n v="0"/>
    <s v="HOLD"/>
    <s v="10643/2019/ĐKSP"/>
    <s v="0000028299"/>
    <d v="2026-09-30T00:00:00"/>
    <s v="41630"/>
    <n v="0.22600000000000001"/>
    <n v="1680"/>
    <n v="0.90400000000000003"/>
    <x v="14"/>
    <x v="4"/>
  </r>
  <r>
    <s v="M00106"/>
    <s v="SC6100019"/>
    <s v="WELLBABY MULTI-VITAMIN LIQUID (CHAI 150ML)"/>
    <s v="Q27-03-6-2"/>
    <s v="LPN008358"/>
    <n v="20"/>
    <n v="0"/>
    <s v="HOLD"/>
    <s v="10643/2019/ĐKSP"/>
    <s v="0000028299"/>
    <d v="2026-08-30T00:00:00"/>
    <s v="41555"/>
    <n v="0.22600000000000001"/>
    <n v="1680"/>
    <n v="4.5200000000000005"/>
    <x v="92"/>
    <x v="4"/>
  </r>
  <r>
    <s v="M00106"/>
    <s v="SC6100002"/>
    <s v="FEROGLOBIN B12 LIQUID 200ML"/>
    <s v="Q27-03-3-1"/>
    <s v="LPN008379"/>
    <n v="1"/>
    <n v="0"/>
    <s v="HOLD"/>
    <s v="8974/2019/ĐKSP"/>
    <s v="0000028299"/>
    <d v="2026-08-31T00:00:00"/>
    <s v="41547"/>
    <n v="0.3"/>
    <n v="1680"/>
    <n v="0.3"/>
    <x v="153"/>
    <x v="4"/>
  </r>
  <r>
    <s v="M00106"/>
    <s v="SC6100003"/>
    <s v="FEROGLOBIN B12 CAPSULES (H/30 VIEN)"/>
    <s v="Q27-03-3-2"/>
    <s v="LPN008246"/>
    <n v="67"/>
    <n v="0"/>
    <s v="HOLD"/>
    <s v="9183/2019/ĐKSP"/>
    <s v="0000028299"/>
    <d v="2027-05-31T00:00:00"/>
    <s v="FW2414PA"/>
    <n v="0.04"/>
    <n v="2688"/>
    <n v="2.68"/>
    <x v="175"/>
    <x v="4"/>
  </r>
  <r>
    <s v="M00106"/>
    <s v="SC6100003"/>
    <s v="FEROGLOBIN B12 CAPSULES (H/30 VIEN)"/>
    <s v="Q27-03-5-1"/>
    <s v="LPN008309"/>
    <n v="1"/>
    <n v="0"/>
    <s v="HOLD"/>
    <s v="9183/2019/ĐKSP"/>
    <s v="0000028299"/>
    <d v="2027-05-31T00:00:00"/>
    <s v="FW2414PA"/>
    <n v="0.04"/>
    <n v="2688"/>
    <n v="0.04"/>
    <x v="51"/>
    <x v="4"/>
  </r>
  <r>
    <s v="HOANGDUC"/>
    <s v="TT1300261"/>
    <s v="NHAN PHU - AMPLATZER™ DUCT  OCCLUDER II"/>
    <s v="Q27-01-9-1"/>
    <s v="000165910"/>
    <n v="1747"/>
    <n v="0"/>
    <s v="HOLD"/>
    <s v="novisa"/>
    <s v=" "/>
    <d v="2027-01-09T00:00:00"/>
    <s v="_"/>
    <n v="0"/>
    <n v="0"/>
    <n v="0"/>
    <x v="16"/>
    <x v="0"/>
  </r>
  <r>
    <s v="HD"/>
    <s v="TT1300553"/>
    <s v="TOA RELACTAGEL - BESINS"/>
    <s v="QM4-01-1-1"/>
    <s v="000165919"/>
    <n v="404"/>
    <n v="0"/>
    <s v="HOLD"/>
    <s v="novisa"/>
    <s v=" "/>
    <d v="2027-01-09T00:00:00"/>
    <s v="KORA"/>
    <n v="0"/>
    <n v="0"/>
    <n v="0"/>
    <x v="16"/>
    <x v="3"/>
  </r>
  <r>
    <s v="HD"/>
    <s v="TT1300520"/>
    <s v="TOA HDSD REGELLE – BESINS"/>
    <s v="QM4-01-1-1"/>
    <s v="000165922"/>
    <n v="939"/>
    <n v="0"/>
    <s v="HOLD"/>
    <s v="NOVISA"/>
    <s v=" "/>
    <d v="2027-01-09T00:00:00"/>
    <s v="KORA"/>
    <n v="0"/>
    <n v="0"/>
    <n v="0"/>
    <x v="16"/>
    <x v="3"/>
  </r>
  <r>
    <s v="HOANGDUC"/>
    <s v="TT1300573"/>
    <s v="NHAN PHU - AMPLATZER™ SEPTAL OCCLUDER - MY"/>
    <s v="Q27-01-9-1"/>
    <s v="000166544"/>
    <n v="1850"/>
    <n v="0"/>
    <s v="HOLD"/>
    <s v="novisa"/>
    <s v=" "/>
    <d v="2027-01-16T00:00:00"/>
    <s v="_"/>
    <n v="0"/>
    <n v="0"/>
    <n v="0"/>
    <x v="16"/>
    <x v="0"/>
  </r>
  <r>
    <s v="HOANGDUC"/>
    <s v="TT1300265"/>
    <s v="NHAN PHU - AMPLATZER™ SEPTAL OCCLUDER"/>
    <s v="Q27-01-9-1"/>
    <s v="000166545"/>
    <n v="1240"/>
    <n v="0"/>
    <s v="HOLD"/>
    <s v="novisa"/>
    <s v=" "/>
    <d v="2027-01-16T00:00:00"/>
    <s v="_"/>
    <n v="0"/>
    <n v="0"/>
    <n v="0"/>
    <x v="16"/>
    <x v="0"/>
  </r>
  <r>
    <s v="HOANGDUC"/>
    <s v="TT1300575"/>
    <s v="MAY DO DUONG HUYET CONTOUR PLUS BLOOD GLUCOSE METER"/>
    <s v="QM4-01-1-1"/>
    <s v="000166552"/>
    <n v="1292"/>
    <n v="0"/>
    <s v="HOLD"/>
    <s v="NOVISA"/>
    <s v=" "/>
    <d v="2027-01-16T00:00:00"/>
    <s v="_"/>
    <n v="0"/>
    <n v="0"/>
    <n v="0"/>
    <x v="16"/>
    <x v="3"/>
  </r>
  <r>
    <s v="HOANGDUC"/>
    <s v="MG1100052"/>
    <s v="GLY4PAR 30 (HOP/3 VI X 10 VIEN)"/>
    <s v="Q27-01-5-1"/>
    <s v="LPN011013"/>
    <n v="11633"/>
    <n v="0"/>
    <s v="HOLD"/>
    <s v="VN-21429-18"/>
    <s v="0000028457"/>
    <d v="2026-04-21T00:00:00"/>
    <s v="A08942409"/>
    <n v="1.7999999999999999E-2"/>
    <n v="12000"/>
    <n v="209.39399999999998"/>
    <x v="176"/>
    <x v="0"/>
  </r>
  <r>
    <s v="HOANGDUC"/>
    <s v="HY6100005"/>
    <s v="OCUVITE BLUE LIGHT (HOP/ 30 VIEN)"/>
    <s v="Q27-01-1-1"/>
    <s v="LPN010725"/>
    <n v="4"/>
    <n v="0"/>
    <s v="HOLD"/>
    <s v="8923/2021/ĐKSP"/>
    <s v="50-11922"/>
    <d v="2025-12-31T00:00:00"/>
    <s v="24AAF0260"/>
    <n v="0.04"/>
    <n v="3120"/>
    <n v="0.16"/>
    <x v="177"/>
    <x v="0"/>
  </r>
  <r>
    <s v="HD"/>
    <s v="HT1100016"/>
    <s v="LOSAGEN 50 (HOP/ 30 VIEN)"/>
    <s v="Q26-03-5-1"/>
    <s v="LPN008332"/>
    <n v="8"/>
    <n v="0"/>
    <s v="HOLD"/>
    <s v="VN-20286-17"/>
    <s v="0000028494"/>
    <d v="2026-10-07T00:00:00"/>
    <s v="FD243920"/>
    <n v="1.9E-2"/>
    <n v="4320"/>
    <n v="0.152"/>
    <x v="178"/>
    <x v="1"/>
  </r>
  <r>
    <s v="HD"/>
    <s v="HT1100016"/>
    <s v="LOSAGEN 50 (HOP/ 30 VIEN)"/>
    <s v="Q26-03-5-1"/>
    <s v="LPN008355"/>
    <n v="1"/>
    <n v="0"/>
    <s v="HOLD"/>
    <s v="VN-20286-17"/>
    <s v="0000028494"/>
    <d v="2026-10-07T00:00:00"/>
    <s v="FD243920"/>
    <n v="1.9E-2"/>
    <n v="4320"/>
    <n v="1.9E-2"/>
    <x v="179"/>
    <x v="1"/>
  </r>
  <r>
    <s v="HOANGDUC"/>
    <s v="TT1300360"/>
    <s v="NHAN PHU - C SCAPE+ SERUM"/>
    <s v="Q27-01-9-1"/>
    <s v="000167355"/>
    <n v="1146"/>
    <n v="0"/>
    <s v="HOLD"/>
    <s v="NOVISA"/>
    <s v=" "/>
    <d v="2027-01-22T00:00:00"/>
    <s v="_"/>
    <n v="0"/>
    <n v="0"/>
    <n v="0"/>
    <x v="16"/>
    <x v="0"/>
  </r>
  <r>
    <s v="HOANGDUC"/>
    <s v="TT1300043"/>
    <s v="NHAN PHU - ACNE - E - RASE"/>
    <s v="Q27-01-9-1"/>
    <s v="000167354"/>
    <n v="1649"/>
    <n v="0"/>
    <s v="HOLD"/>
    <s v="NOVISA"/>
    <s v=" "/>
    <d v="2027-01-22T00:00:00"/>
    <s v="_"/>
    <n v="0"/>
    <n v="0"/>
    <n v="0"/>
    <x v="16"/>
    <x v="0"/>
  </r>
  <r>
    <s v="HOANGDUC"/>
    <s v="TT1300040"/>
    <s v="NHAN PHU - ULTRA LIGHT HYDRATOR"/>
    <s v="Q27-01-9-1"/>
    <s v="000167351"/>
    <n v="806"/>
    <n v="0"/>
    <s v="HOLD"/>
    <s v="NOVISA"/>
    <s v=" "/>
    <d v="2027-01-22T00:00:00"/>
    <s v="_"/>
    <n v="0"/>
    <n v="0"/>
    <n v="0"/>
    <x v="16"/>
    <x v="0"/>
  </r>
  <r>
    <s v="M00106"/>
    <s v="SC6100015"/>
    <s v="PREGNACARE PLUS OMEGA 3 (H/56 VIEN)"/>
    <s v="Q26-01-9-2"/>
    <s v="000167299"/>
    <n v="1"/>
    <n v="0"/>
    <s v="HOLD"/>
    <s v="9184/2019/ĐKSP"/>
    <s v="0000028532"/>
    <d v="2026-05-31T00:00:00"/>
    <s v="PP2359"/>
    <n v="9.2999999999999999E-2"/>
    <n v="1536"/>
    <n v="9.2999999999999999E-2"/>
    <x v="35"/>
    <x v="2"/>
  </r>
  <r>
    <s v="M00106"/>
    <s v="SC6100001"/>
    <s v="OSTEOCARE LIQUID 200ML"/>
    <s v="Q26-01-9-2"/>
    <s v="000167298"/>
    <n v="1"/>
    <n v="0"/>
    <s v="HOLD"/>
    <s v="9186/2019/ĐKSP"/>
    <s v="0000028532"/>
    <d v="2026-02-28T00:00:00"/>
    <s v="40314"/>
    <n v="0.3"/>
    <n v="1680"/>
    <n v="0.3"/>
    <x v="153"/>
    <x v="2"/>
  </r>
  <r>
    <s v="M00106"/>
    <s v="SC6100001"/>
    <s v="OSTEOCARE LIQUID 200ML"/>
    <s v="Q27-03-3-1"/>
    <s v="LPN008962"/>
    <n v="1"/>
    <n v="0"/>
    <s v="HOLD"/>
    <s v="9186/2019/ĐKSP"/>
    <s v="0000028796"/>
    <d v="2026-08-31T00:00:00"/>
    <s v="41605"/>
    <n v="0.3"/>
    <n v="1680"/>
    <n v="0.3"/>
    <x v="153"/>
    <x v="4"/>
  </r>
  <r>
    <s v="M00106"/>
    <s v="SC6100019"/>
    <s v="WELLBABY MULTI-VITAMIN LIQUID (CHAI 150ML)"/>
    <s v="Q27-03-5-1"/>
    <s v="LPN008810"/>
    <n v="4"/>
    <n v="0"/>
    <s v="HOLD"/>
    <s v="10643/2019/ĐKSP"/>
    <s v="0000028796"/>
    <d v="2026-08-31T00:00:00"/>
    <s v="41588"/>
    <n v="0.22600000000000001"/>
    <n v="1680"/>
    <n v="0.90400000000000003"/>
    <x v="14"/>
    <x v="4"/>
  </r>
  <r>
    <s v="M00106"/>
    <s v="SC6100019"/>
    <s v="WELLBABY MULTI-VITAMIN LIQUID (CHAI 150ML)"/>
    <s v="Q27-03-8-1"/>
    <s v="LPN008624"/>
    <n v="3"/>
    <n v="0"/>
    <s v="HOLD"/>
    <s v="10643/2019/ĐKSP"/>
    <s v="0000028796"/>
    <d v="2026-08-31T00:00:00"/>
    <s v="41588"/>
    <n v="0.22600000000000001"/>
    <n v="1680"/>
    <n v="0.67800000000000005"/>
    <x v="55"/>
    <x v="4"/>
  </r>
  <r>
    <s v="M00106"/>
    <s v="SC6100002"/>
    <s v="FEROGLOBIN B12 LIQUID 200ML"/>
    <s v="Q27-03-3-1"/>
    <s v="LPN008672"/>
    <n v="9"/>
    <n v="0"/>
    <s v="HOLD"/>
    <s v="8974/2019/ĐKSP"/>
    <s v="0000028796"/>
    <d v="2026-09-30T00:00:00"/>
    <s v="41694"/>
    <n v="0.3"/>
    <n v="1680"/>
    <n v="2.6999999999999997"/>
    <x v="173"/>
    <x v="4"/>
  </r>
  <r>
    <s v="M00106"/>
    <s v="SC6100002"/>
    <s v="FEROGLOBIN B12 LIQUID 200ML"/>
    <s v="Q27-03-3-1"/>
    <s v="LPN008743"/>
    <n v="5"/>
    <n v="0"/>
    <s v="HOLD"/>
    <s v="8974/2019/ĐKSP"/>
    <s v="0000028796"/>
    <d v="2026-09-30T00:00:00"/>
    <s v="41694"/>
    <n v="0.3"/>
    <n v="1680"/>
    <n v="1.5"/>
    <x v="41"/>
    <x v="4"/>
  </r>
  <r>
    <s v="M00106"/>
    <s v="SC6100002"/>
    <s v="FEROGLOBIN B12 LIQUID 200ML"/>
    <s v="Q27-03-8-1"/>
    <s v="LPN008542"/>
    <n v="41"/>
    <n v="0"/>
    <s v="HOLD"/>
    <s v="8974/2019/ĐKSP"/>
    <s v="0000028796"/>
    <d v="2026-09-30T00:00:00"/>
    <s v="41694"/>
    <n v="0.3"/>
    <n v="1680"/>
    <n v="12.299999999999999"/>
    <x v="180"/>
    <x v="4"/>
  </r>
  <r>
    <s v="M00106"/>
    <s v="SC6100019"/>
    <s v="WELLBABY MULTI-VITAMIN LIQUID (CHAI 150ML)"/>
    <s v="Q27-03-1-1"/>
    <s v="LPN009217"/>
    <n v="9"/>
    <n v="0"/>
    <s v="HOLD"/>
    <s v="10643/2019/ĐKSP"/>
    <s v="0000028796"/>
    <d v="2026-09-30T00:00:00"/>
    <s v="41630"/>
    <n v="0.22600000000000001"/>
    <n v="1680"/>
    <n v="2.0340000000000003"/>
    <x v="173"/>
    <x v="4"/>
  </r>
  <r>
    <s v="M00106"/>
    <s v="SC6100003"/>
    <s v="FEROGLOBIN B12 CAPSULES (H/30 VIEN)"/>
    <s v="Q27-03-3-1"/>
    <s v="LPN008730"/>
    <n v="1"/>
    <n v="0"/>
    <s v="HOLD"/>
    <s v="9183/2019/ĐKSP"/>
    <s v="0000028796"/>
    <d v="2027-07-31T00:00:00"/>
    <s v="FW2420PA"/>
    <n v="0.04"/>
    <n v="2688"/>
    <n v="0.04"/>
    <x v="51"/>
    <x v="4"/>
  </r>
  <r>
    <s v="M00106"/>
    <s v="SC6100003"/>
    <s v="FEROGLOBIN B12 CAPSULES (H/30 VIEN)"/>
    <s v="Q27-03-3-1"/>
    <s v="LPN008746"/>
    <n v="9"/>
    <n v="0"/>
    <s v="HOLD"/>
    <s v="9183/2019/ĐKSP"/>
    <s v="0000028796"/>
    <d v="2027-07-31T00:00:00"/>
    <s v="FW2420PA"/>
    <n v="0.04"/>
    <n v="2688"/>
    <n v="0.36"/>
    <x v="40"/>
    <x v="4"/>
  </r>
  <r>
    <s v="M00106"/>
    <s v="SC6100003"/>
    <s v="FEROGLOBIN B12 CAPSULES (H/30 VIEN)"/>
    <s v="Q27-03-3-1"/>
    <s v="LPN008747"/>
    <n v="2"/>
    <n v="0"/>
    <s v="HOLD"/>
    <s v="9183/2019/ĐKSP"/>
    <s v="0000028796"/>
    <d v="2027-07-31T00:00:00"/>
    <s v="FW2420PA"/>
    <n v="0.04"/>
    <n v="2688"/>
    <n v="0.08"/>
    <x v="52"/>
    <x v="4"/>
  </r>
  <r>
    <s v="M00106"/>
    <s v="SC6100003"/>
    <s v="FEROGLOBIN B12 CAPSULES (H/30 VIEN)"/>
    <s v="Q27-03-5-1"/>
    <s v="LPN008641"/>
    <n v="2"/>
    <n v="0"/>
    <s v="HOLD"/>
    <s v="9183/2019/ĐKSP"/>
    <s v="0000028796"/>
    <d v="2027-07-31T00:00:00"/>
    <s v="FW2420PA"/>
    <n v="0.04"/>
    <n v="2688"/>
    <n v="0.08"/>
    <x v="52"/>
    <x v="4"/>
  </r>
  <r>
    <s v="M00106"/>
    <s v="SC6100003"/>
    <s v="FEROGLOBIN B12 CAPSULES (H/30 VIEN)"/>
    <s v="Q27-03-8-1"/>
    <s v="LPN008463"/>
    <n v="7"/>
    <n v="0"/>
    <s v="HOLD"/>
    <s v="9183/2019/ĐKSP"/>
    <s v="0000028796"/>
    <d v="2027-07-31T00:00:00"/>
    <s v="FW2420PA"/>
    <n v="0.04"/>
    <n v="2688"/>
    <n v="0.28000000000000003"/>
    <x v="44"/>
    <x v="4"/>
  </r>
  <r>
    <s v="M00106"/>
    <s v="SC6100003"/>
    <s v="FEROGLOBIN B12 CAPSULES (H/30 VIEN)"/>
    <s v="Q27-03-8-1"/>
    <s v="LPN008609"/>
    <n v="4"/>
    <n v="0"/>
    <s v="HOLD"/>
    <s v="9183/2019/ĐKSP"/>
    <s v="0000028796"/>
    <d v="2027-07-31T00:00:00"/>
    <s v="FW2420PA"/>
    <n v="0.04"/>
    <n v="2688"/>
    <n v="0.16"/>
    <x v="42"/>
    <x v="4"/>
  </r>
  <r>
    <s v="M00106"/>
    <s v="SC6100003"/>
    <s v="FEROGLOBIN B12 CAPSULES (H/30 VIEN)"/>
    <s v="Q27-03-8-1"/>
    <s v="LPN008612"/>
    <n v="3"/>
    <n v="0"/>
    <s v="HOLD"/>
    <s v="9183/2019/ĐKSP"/>
    <s v="0000028796"/>
    <d v="2027-07-31T00:00:00"/>
    <s v="FW2420PA"/>
    <n v="0.04"/>
    <n v="2688"/>
    <n v="0.12"/>
    <x v="45"/>
    <x v="4"/>
  </r>
  <r>
    <s v="HOANGDUC"/>
    <s v="RH6100003"/>
    <s v="THUC PHAM BAO VE SUC KHOE ALCOFREE 50ML"/>
    <s v="Q27-01-6-2"/>
    <s v="LPN011304"/>
    <n v="10"/>
    <n v="0"/>
    <s v="HOLD"/>
    <s v="NOVISA"/>
    <s v="54-12320"/>
    <d v="2026-03-19T00:00:00"/>
    <s v="020324"/>
    <n v="0.128"/>
    <n v="2400"/>
    <n v="1.28"/>
    <x v="13"/>
    <x v="0"/>
  </r>
  <r>
    <s v="HOANGDUC"/>
    <s v="RD1100004"/>
    <s v="STAMLO 5 (H/2VI X 10VIEN)"/>
    <s v="Q26-03-4-1"/>
    <s v="LPN008643"/>
    <n v="2"/>
    <n v="0"/>
    <s v="HOLD"/>
    <s v="VN-21414-18"/>
    <s v="0000028848"/>
    <d v="2026-10-31T00:00:00"/>
    <s v="B2403968"/>
    <n v="1.9E-2"/>
    <n v="5184"/>
    <n v="3.7999999999999999E-2"/>
    <x v="181"/>
    <x v="1"/>
  </r>
  <r>
    <s v="HOANGDUC"/>
    <s v="RH6100006"/>
    <s v="THUC PHAM BAO VE SUC KHOE BLOSSOMY 50 ML"/>
    <s v="Q27-01-1-1"/>
    <s v="LPN010726"/>
    <n v="1"/>
    <n v="0"/>
    <s v="HOLD"/>
    <s v="NOVISA"/>
    <s v="54-12345"/>
    <d v="2026-01-03T00:00:00"/>
    <s v="010124"/>
    <n v="0.13"/>
    <n v="2560"/>
    <n v="0.13"/>
    <x v="182"/>
    <x v="0"/>
  </r>
  <r>
    <s v="HOANGDUC"/>
    <s v="RH6100003"/>
    <s v="THUC PHAM BAO VE SUC KHOE ALCOFREE 50ML"/>
    <s v="Q27-01-6-2"/>
    <s v="LPN011304"/>
    <n v="5"/>
    <n v="0"/>
    <s v="HOLD"/>
    <s v="NOVISA"/>
    <s v="54-12345"/>
    <d v="2026-03-19T00:00:00"/>
    <s v="020324"/>
    <n v="0.128"/>
    <n v="2400"/>
    <n v="0.64"/>
    <x v="9"/>
    <x v="0"/>
  </r>
  <r>
    <s v="HD"/>
    <s v="HT1100033"/>
    <s v="DOLUTEGRAVIR, LAMIVUDINE AND TENOFOVIR DISOPROXIL FUMARATE T"/>
    <s v="Q26-03-8-1"/>
    <s v="LPN008448"/>
    <n v="3"/>
    <n v="0"/>
    <s v="HOLD"/>
    <s v="890110445523"/>
    <s v="0000028944"/>
    <d v="2026-12-08T00:00:00"/>
    <s v="E245032"/>
    <n v="9.4E-2"/>
    <n v="2475"/>
    <n v="0.28200000000000003"/>
    <x v="168"/>
    <x v="1"/>
  </r>
  <r>
    <s v="HD"/>
    <s v="HT1100033"/>
    <s v="DOLUTEGRAVIR, LAMIVUDINE AND TENOFOVIR DISOPROXIL FUMARATE T"/>
    <s v="Q26-03-8-1"/>
    <s v="LPN008437"/>
    <n v="35"/>
    <n v="0"/>
    <s v="HOLD"/>
    <s v="890110445523"/>
    <s v="0000028943"/>
    <d v="2026-10-27T00:00:00"/>
    <s v="E244668"/>
    <n v="9.4E-2"/>
    <n v="2475"/>
    <n v="3.29"/>
    <x v="183"/>
    <x v="1"/>
  </r>
  <r>
    <s v="HD"/>
    <s v="HT1100033"/>
    <s v="DOLUTEGRAVIR, LAMIVUDINE AND TENOFOVIR DISOPROXIL FUMARATE T"/>
    <s v="Q26-03-8-1"/>
    <s v="LPN008445"/>
    <n v="32"/>
    <n v="0"/>
    <s v="HOLD"/>
    <s v="890110445523"/>
    <s v="0000028943"/>
    <d v="2026-10-27T00:00:00"/>
    <s v="E244668"/>
    <n v="9.4E-2"/>
    <n v="2475"/>
    <n v="3.008"/>
    <x v="184"/>
    <x v="1"/>
  </r>
  <r>
    <s v="HD"/>
    <s v="HT1100033"/>
    <s v="DOLUTEGRAVIR, LAMIVUDINE AND TENOFOVIR DISOPROXIL FUMARATE T"/>
    <s v="Q26-03-8-1"/>
    <s v="LPN009288"/>
    <n v="2"/>
    <n v="0"/>
    <s v="HOLD"/>
    <s v="890110445523"/>
    <s v="0000028943"/>
    <d v="2026-10-27T00:00:00"/>
    <s v="E244668"/>
    <n v="9.4E-2"/>
    <n v="2475"/>
    <n v="0.188"/>
    <x v="123"/>
    <x v="1"/>
  </r>
  <r>
    <s v="HD"/>
    <s v="HT1100033"/>
    <s v="DOLUTEGRAVIR, LAMIVUDINE AND TENOFOVIR DISOPROXIL FUMARATE T"/>
    <s v="Q26-03-8-1"/>
    <s v="LPN008455"/>
    <n v="1"/>
    <n v="0"/>
    <s v="HOLD"/>
    <s v="890110445523"/>
    <s v="0000028994"/>
    <d v="2026-12-09T00:00:00"/>
    <s v="E245327"/>
    <n v="9.4E-2"/>
    <n v="2475"/>
    <n v="9.4E-2"/>
    <x v="130"/>
    <x v="1"/>
  </r>
  <r>
    <s v="HD"/>
    <s v="HT1100033"/>
    <s v="DOLUTEGRAVIR, LAMIVUDINE AND TENOFOVIR DISOPROXIL FUMARATE T"/>
    <s v="Q26-03-8-1"/>
    <s v="LPN008459"/>
    <n v="4"/>
    <n v="0"/>
    <s v="HOLD"/>
    <s v="890110445523"/>
    <s v="0000028994"/>
    <d v="2026-12-09T00:00:00"/>
    <s v="E245327"/>
    <n v="9.4E-2"/>
    <n v="2475"/>
    <n v="0.376"/>
    <x v="159"/>
    <x v="1"/>
  </r>
  <r>
    <s v="HOANGDUC"/>
    <s v="AZ1100007"/>
    <s v="NOLVADEX-D TAB 20MG BL 3X10 EA VN"/>
    <s v="Q26-03-2-1"/>
    <s v="000170276"/>
    <n v="1"/>
    <n v="0"/>
    <s v="HOLD"/>
    <s v="VN-19007-15"/>
    <s v="0000029011"/>
    <d v="2029-08-01T00:00:00"/>
    <s v="SS035"/>
    <n v="2.9000000000000001E-2"/>
    <n v="2880"/>
    <n v="2.9000000000000001E-2"/>
    <x v="3"/>
    <x v="1"/>
  </r>
  <r>
    <s v="HD"/>
    <s v="HT1100033"/>
    <s v="DOLUTEGRAVIR, LAMIVUDINE AND TENOFOVIR DISOPROXIL FUMARATE T"/>
    <s v="Q26-03-8-1"/>
    <s v="LPN008475"/>
    <n v="2"/>
    <n v="0"/>
    <s v="HOLD"/>
    <s v="890110445523"/>
    <s v="0000029021"/>
    <d v="2026-12-10T00:00:00"/>
    <s v="E245328"/>
    <n v="9.4E-2"/>
    <n v="2475"/>
    <n v="0.188"/>
    <x v="123"/>
    <x v="1"/>
  </r>
  <r>
    <s v="HD"/>
    <s v="HT1100033"/>
    <s v="DOLUTEGRAVIR, LAMIVUDINE AND TENOFOVIR DISOPROXIL FUMARATE T"/>
    <s v="Q26-03-8-1"/>
    <s v="LPN008480"/>
    <n v="1"/>
    <n v="0"/>
    <s v="HOLD"/>
    <s v="890110445523"/>
    <s v="0000029021"/>
    <d v="2026-12-10T00:00:00"/>
    <s v="E245328"/>
    <n v="9.4E-2"/>
    <n v="2475"/>
    <n v="9.4E-2"/>
    <x v="130"/>
    <x v="1"/>
  </r>
  <r>
    <s v="HD"/>
    <s v="HT1100033"/>
    <s v="DOLUTEGRAVIR, LAMIVUDINE AND TENOFOVIR DISOPROXIL FUMARATE T"/>
    <s v="Q26-03-8-1"/>
    <s v="LPN008501"/>
    <n v="2"/>
    <n v="0"/>
    <s v="HOLD"/>
    <s v="890110445523"/>
    <s v="0000029021"/>
    <d v="2026-12-10T00:00:00"/>
    <s v="E245328"/>
    <n v="9.4E-2"/>
    <n v="2475"/>
    <n v="0.188"/>
    <x v="123"/>
    <x v="1"/>
  </r>
  <r>
    <s v="HD"/>
    <s v="HT1100033"/>
    <s v="DOLUTEGRAVIR, LAMIVUDINE AND TENOFOVIR DISOPROXIL FUMARATE T"/>
    <s v="Q26-03-8-1"/>
    <s v="LPN008517"/>
    <n v="12"/>
    <n v="0"/>
    <s v="HOLD"/>
    <s v="890110445523"/>
    <s v="0000029052"/>
    <d v="2026-12-06T00:00:00"/>
    <s v="E245338"/>
    <n v="9.4E-2"/>
    <n v="2475"/>
    <n v="1.1280000000000001"/>
    <x v="131"/>
    <x v="1"/>
  </r>
  <r>
    <s v="M00106"/>
    <s v="SC6100017"/>
    <s v="WELLKID MULTI-VITAMIN LIQUID (CHAI/150ML)"/>
    <s v="Q27-03-5-1"/>
    <s v="LPN008495"/>
    <n v="2"/>
    <n v="0"/>
    <s v="HOLD"/>
    <s v="10642/2019/ĐKSP"/>
    <s v="0000029068"/>
    <d v="2026-10-31T00:00:00"/>
    <s v="41750"/>
    <n v="0.312"/>
    <n v="1680"/>
    <n v="0.624"/>
    <x v="12"/>
    <x v="4"/>
  </r>
  <r>
    <s v="HD"/>
    <s v="HT1100033"/>
    <s v="DOLUTEGRAVIR, LAMIVUDINE AND TENOFOVIR DISOPROXIL FUMARATE T"/>
    <s v="Q26-03-8-1"/>
    <s v="LPN008508"/>
    <n v="14"/>
    <n v="0"/>
    <s v="HOLD"/>
    <s v="890110445523"/>
    <s v="0000029065"/>
    <d v="2026-12-15T00:00:00"/>
    <s v="E245330"/>
    <n v="9.4E-2"/>
    <n v="2475"/>
    <n v="1.3160000000000001"/>
    <x v="185"/>
    <x v="1"/>
  </r>
  <r>
    <s v="HOANGDUC"/>
    <s v="TT1300496"/>
    <s v="NHAN PHU KHONG GIA PREGNACARE PLUS OMEGA 3 (H/56 VIEN)"/>
    <s v="QM4-01-1-1"/>
    <s v="000170828"/>
    <n v="1127"/>
    <n v="0"/>
    <s v="HOLD"/>
    <s v="NOVISA"/>
    <s v=" "/>
    <d v="2027-02-26T00:00:00"/>
    <s v="_"/>
    <n v="0"/>
    <n v="0"/>
    <n v="0"/>
    <x v="16"/>
    <x v="3"/>
  </r>
  <r>
    <s v="HD"/>
    <s v="HT1100033"/>
    <s v="DOLUTEGRAVIR, LAMIVUDINE AND TENOFOVIR DISOPROXIL FUMARATE T"/>
    <s v="Q26-03-4-2"/>
    <s v="000161178"/>
    <n v="2475"/>
    <n v="0"/>
    <s v="HOLD"/>
    <s v="890110445523"/>
    <s v="0000027681"/>
    <d v="2026-10-08T00:00:00"/>
    <s v="E244292"/>
    <n v="9.4E-2"/>
    <n v="2475"/>
    <n v="232.65"/>
    <x v="104"/>
    <x v="1"/>
  </r>
  <r>
    <s v="HD"/>
    <s v="HT1100033"/>
    <s v="DOLUTEGRAVIR, LAMIVUDINE AND TENOFOVIR DISOPROXIL FUMARATE T"/>
    <s v="Q26-03-4-2"/>
    <s v="000161179"/>
    <n v="214"/>
    <n v="0"/>
    <s v="HOLD"/>
    <s v="890110445523"/>
    <s v="0000027681"/>
    <d v="2026-10-08T00:00:00"/>
    <s v="E244292"/>
    <n v="9.4E-2"/>
    <n v="2475"/>
    <n v="20.116"/>
    <x v="186"/>
    <x v="1"/>
  </r>
  <r>
    <s v="HD"/>
    <s v="HT1100033"/>
    <s v="DOLUTEGRAVIR, LAMIVUDINE AND TENOFOVIR DISOPROXIL FUMARATE T"/>
    <s v="Q26-03-9-1"/>
    <s v="LPN007662"/>
    <n v="368"/>
    <n v="0"/>
    <s v="HOLD"/>
    <s v="890110445523"/>
    <s v="0000026561"/>
    <d v="2026-08-28T00:00:00"/>
    <s v="E243692"/>
    <n v="9.4E-2"/>
    <n v="2475"/>
    <n v="34.591999999999999"/>
    <x v="187"/>
    <x v="1"/>
  </r>
  <r>
    <s v="HD"/>
    <s v="HT1100033"/>
    <s v="DOLUTEGRAVIR, LAMIVUDINE AND TENOFOVIR DISOPROXIL FUMARATE T"/>
    <s v="Q26-03-9-1"/>
    <s v="LPN007672"/>
    <n v="1"/>
    <n v="0"/>
    <s v="HOLD"/>
    <s v="890110445523"/>
    <s v="0000026561"/>
    <d v="2026-08-28T00:00:00"/>
    <s v="E243692"/>
    <n v="9.4E-2"/>
    <n v="2475"/>
    <n v="9.4E-2"/>
    <x v="130"/>
    <x v="1"/>
  </r>
  <r>
    <s v="HD"/>
    <s v="HT1100033"/>
    <s v="DOLUTEGRAVIR, LAMIVUDINE AND TENOFOVIR DISOPROXIL FUMARATE T"/>
    <s v="Q26-03-8-1"/>
    <s v="LPN008568"/>
    <n v="2"/>
    <n v="0"/>
    <s v="HOLD"/>
    <s v="890110445523"/>
    <s v="0000029190"/>
    <d v="2026-12-16T00:00:00"/>
    <s v="E245331"/>
    <n v="9.4E-2"/>
    <n v="2475"/>
    <n v="0.188"/>
    <x v="123"/>
    <x v="1"/>
  </r>
  <r>
    <s v="HD"/>
    <s v="HT1100033"/>
    <s v="DOLUTEGRAVIR, LAMIVUDINE AND TENOFOVIR DISOPROXIL FUMARATE T"/>
    <s v="Q26-03-8-1"/>
    <s v="LPN009289"/>
    <n v="2"/>
    <n v="0"/>
    <s v="HOLD"/>
    <s v="890110445523"/>
    <s v="0000029190"/>
    <d v="2026-12-16T00:00:00"/>
    <s v="E245331"/>
    <n v="9.4E-2"/>
    <n v="2475"/>
    <n v="0.188"/>
    <x v="123"/>
    <x v="1"/>
  </r>
  <r>
    <s v="HD"/>
    <s v="HT1100033"/>
    <s v="DOLUTEGRAVIR, LAMIVUDINE AND TENOFOVIR DISOPROXIL FUMARATE T"/>
    <s v="Q26-03-5-2"/>
    <s v="000171418"/>
    <n v="150"/>
    <n v="0"/>
    <s v="HOLD"/>
    <s v="890110445523"/>
    <s v="0000029192"/>
    <d v="2026-12-10T00:00:00"/>
    <s v="E245340"/>
    <n v="9.4E-2"/>
    <n v="2475"/>
    <n v="14.1"/>
    <x v="188"/>
    <x v="1"/>
  </r>
  <r>
    <s v="HD"/>
    <s v="HT1100033"/>
    <s v="DOLUTEGRAVIR, LAMIVUDINE AND TENOFOVIR DISOPROXIL FUMARATE T"/>
    <s v="Q26-03-8-1"/>
    <s v="LPN008562"/>
    <n v="6"/>
    <n v="0"/>
    <s v="HOLD"/>
    <s v="890110445523"/>
    <s v="0000029192"/>
    <d v="2026-12-10T00:00:00"/>
    <s v="E245340"/>
    <n v="9.4E-2"/>
    <n v="2475"/>
    <n v="0.56400000000000006"/>
    <x v="127"/>
    <x v="1"/>
  </r>
  <r>
    <s v="HD"/>
    <s v="HT1100033"/>
    <s v="DOLUTEGRAVIR, LAMIVUDINE AND TENOFOVIR DISOPROXIL FUMARATE T"/>
    <s v="Q26-03-8-1"/>
    <s v="LPN008569"/>
    <n v="22"/>
    <n v="0"/>
    <s v="HOLD"/>
    <s v="890110445523"/>
    <s v="0000029191"/>
    <d v="2026-12-17T00:00:00"/>
    <s v="E245450"/>
    <n v="9.4E-2"/>
    <n v="2475"/>
    <n v="2.0680000000000001"/>
    <x v="189"/>
    <x v="1"/>
  </r>
  <r>
    <s v="HD"/>
    <s v="HT1100033"/>
    <s v="DOLUTEGRAVIR, LAMIVUDINE AND TENOFOVIR DISOPROXIL FUMARATE T"/>
    <s v="Q26-03-8-2"/>
    <s v="000171372"/>
    <n v="1650"/>
    <n v="0"/>
    <s v="HOLD"/>
    <s v="890110445523"/>
    <s v="0000029191"/>
    <d v="2026-12-17T00:00:00"/>
    <s v="E245450"/>
    <n v="9.4E-2"/>
    <n v="2475"/>
    <n v="155.1"/>
    <x v="190"/>
    <x v="1"/>
  </r>
  <r>
    <s v="HD"/>
    <s v="HT1100033"/>
    <s v="DOLUTEGRAVIR, LAMIVUDINE AND TENOFOVIR DISOPROXIL FUMARATE T"/>
    <s v="Q26-03-3-2"/>
    <s v="000170590"/>
    <n v="2475"/>
    <n v="0"/>
    <s v="HOLD"/>
    <s v="890110445523"/>
    <s v="0000029066"/>
    <d v="2026-12-08T00:00:00"/>
    <s v="E245339"/>
    <n v="9.4E-2"/>
    <n v="2475"/>
    <n v="232.65"/>
    <x v="104"/>
    <x v="1"/>
  </r>
  <r>
    <s v="HD"/>
    <s v="HT1100033"/>
    <s v="DOLUTEGRAVIR, LAMIVUDINE AND TENOFOVIR DISOPROXIL FUMARATE T"/>
    <s v="Q26-03-5-2"/>
    <s v="000170591"/>
    <n v="375"/>
    <n v="0"/>
    <s v="HOLD"/>
    <s v="890110445523"/>
    <s v="0000029066"/>
    <d v="2026-12-08T00:00:00"/>
    <s v="E245339"/>
    <n v="9.4E-2"/>
    <n v="2475"/>
    <n v="35.25"/>
    <x v="191"/>
    <x v="1"/>
  </r>
  <r>
    <s v="HD"/>
    <s v="HT1100033"/>
    <s v="DOLUTEGRAVIR, LAMIVUDINE AND TENOFOVIR DISOPROXIL FUMARATE T"/>
    <s v="Q26-03-8-1"/>
    <s v="LPN008546"/>
    <n v="3"/>
    <n v="0"/>
    <s v="HOLD"/>
    <s v="890110445523"/>
    <s v="0000029066"/>
    <d v="2026-12-08T00:00:00"/>
    <s v="E245339"/>
    <n v="9.4E-2"/>
    <n v="2475"/>
    <n v="0.28200000000000003"/>
    <x v="168"/>
    <x v="1"/>
  </r>
  <r>
    <s v="HOANGDUC"/>
    <s v="AZ1100025"/>
    <s v="PLENDIL PLUS TAB 5.47.5MG BT 1X30 EA VN"/>
    <s v="Q26-03-4-1"/>
    <s v="LPN008530"/>
    <n v="3"/>
    <n v="0"/>
    <s v="HOLD"/>
    <s v="VN-20224-17"/>
    <s v="0000029196"/>
    <d v="2027-10-14T00:00:00"/>
    <s v="MAPX"/>
    <n v="3.5999999999999997E-2"/>
    <n v="5280"/>
    <n v="0.10799999999999998"/>
    <x v="192"/>
    <x v="1"/>
  </r>
  <r>
    <s v="M00106"/>
    <s v="TT1300522"/>
    <s v="NHAN PHU VISIONACE ORIGINAL – VE"/>
    <s v="QM4-01-1-1"/>
    <s v="000171588"/>
    <n v="660"/>
    <n v="0"/>
    <s v="HOLD"/>
    <s v="novisa"/>
    <s v=" "/>
    <d v="2027-03-04T00:00:00"/>
    <s v="_"/>
    <n v="0"/>
    <n v="0"/>
    <n v="0"/>
    <x v="16"/>
    <x v="3"/>
  </r>
  <r>
    <s v="M00106"/>
    <s v="SC6100004"/>
    <s v="OSTEOCARE (H/30 VIEN)"/>
    <s v="Q27-03-1-1"/>
    <s v="LPN009505"/>
    <n v="22"/>
    <n v="0"/>
    <s v="HOLD"/>
    <s v="8615/2019/ĐKSP"/>
    <s v=" "/>
    <d v="2028-06-30T00:00:00"/>
    <s v="OT2404P"/>
    <n v="7.4999999999999997E-2"/>
    <n v="2688"/>
    <n v="1.65"/>
    <x v="97"/>
    <x v="4"/>
  </r>
  <r>
    <s v="HD"/>
    <s v="HT1100016"/>
    <s v="LOSAGEN 50 (HOP/ 30 VIEN)"/>
    <s v="Q26-03-5-1"/>
    <s v="LPN008573"/>
    <n v="2"/>
    <n v="0"/>
    <s v="HOLD"/>
    <s v="VN-20286-17"/>
    <s v="0000029201"/>
    <d v="2026-08-09T00:00:00"/>
    <s v="FD242198D"/>
    <n v="1.9E-2"/>
    <n v="4320"/>
    <n v="3.7999999999999999E-2"/>
    <x v="193"/>
    <x v="1"/>
  </r>
  <r>
    <s v="HD"/>
    <s v="HT1100016"/>
    <s v="LOSAGEN 50 (HOP/ 30 VIEN)"/>
    <s v="Q26-03-5-2"/>
    <s v="LPN008536"/>
    <n v="180"/>
    <n v="0"/>
    <s v="HOLD"/>
    <s v="VN-20286-17"/>
    <s v="0000029201"/>
    <d v="2026-08-09T00:00:00"/>
    <s v="FD242198D"/>
    <n v="1.9E-2"/>
    <n v="4320"/>
    <n v="3.42"/>
    <x v="194"/>
    <x v="1"/>
  </r>
  <r>
    <s v="HD"/>
    <s v="HT1100016"/>
    <s v="LOSAGEN 50 (HOP/ 30 VIEN)"/>
    <s v="Q26-03-9-1"/>
    <s v="000171535"/>
    <n v="132"/>
    <n v="0"/>
    <s v="HOLD"/>
    <s v="VN-20286-17"/>
    <s v="0000029201"/>
    <d v="2026-08-09T00:00:00"/>
    <s v="FD242198D"/>
    <n v="1.9E-2"/>
    <n v="4320"/>
    <n v="2.508"/>
    <x v="195"/>
    <x v="1"/>
  </r>
  <r>
    <s v="HOANGDUC"/>
    <s v="AZ1100007"/>
    <s v="NOLVADEX-D TAB 20MG BL 3X10 EA VN"/>
    <s v="Q26-03-2-1"/>
    <s v="000171841"/>
    <n v="1"/>
    <n v="0"/>
    <s v="HOLD"/>
    <s v="VN-19007-15"/>
    <s v="0000029252"/>
    <d v="2029-08-01T00:00:00"/>
    <s v="SS035"/>
    <n v="2.9000000000000001E-2"/>
    <n v="2880"/>
    <n v="2.9000000000000001E-2"/>
    <x v="3"/>
    <x v="1"/>
  </r>
  <r>
    <s v="HOANGDUC"/>
    <s v="RH3300052"/>
    <s v="KM PHIM THAM DAU (ACNES OIL REMOVER FILM) 50 TO"/>
    <s v="Q27-01-1-1"/>
    <s v="LPN009767"/>
    <n v="75"/>
    <n v="0"/>
    <s v="HOLD"/>
    <s v="NOVISA"/>
    <s v="51-332645"/>
    <d v="2025-07-15T00:00:00"/>
    <s v="220715"/>
    <n v="0"/>
    <n v="2250"/>
    <n v="0"/>
    <x v="196"/>
    <x v="0"/>
  </r>
  <r>
    <s v="HOANGDUC"/>
    <s v="TT1300029"/>
    <s v="NHAN PHU - ELLGY PLUS CRACKED HELL CREAM"/>
    <s v="QM4-01-1-1"/>
    <s v="000172329"/>
    <n v="12734"/>
    <n v="0"/>
    <s v="HOLD"/>
    <s v="novisa"/>
    <s v=" "/>
    <d v="2027-03-13T00:00:00"/>
    <s v="_"/>
    <n v="0"/>
    <n v="0"/>
    <n v="0"/>
    <x v="16"/>
    <x v="3"/>
  </r>
  <r>
    <s v="HD"/>
    <s v="HT1100033"/>
    <s v="DOLUTEGRAVIR, LAMIVUDINE AND TENOFOVIR DISOPROXIL FUMARATE T"/>
    <s v="Q26-03-5-1"/>
    <s v="000172906"/>
    <n v="25"/>
    <n v="0"/>
    <s v="HOLD"/>
    <s v="890110445523"/>
    <s v="51-335236"/>
    <d v="2026-08-28T00:00:00"/>
    <s v="E243664"/>
    <n v="9.4E-2"/>
    <n v="2475"/>
    <n v="2.35"/>
    <x v="197"/>
    <x v="1"/>
  </r>
  <r>
    <s v="HOANGDUC"/>
    <s v="HT1100033"/>
    <s v="DOLUTEGRAVIR, LAMIVUDINE AND TENOFOVIR DISOPROXIL FUMARATE T"/>
    <s v="Q26-03-8-1"/>
    <s v="LPN008680"/>
    <n v="6"/>
    <n v="0"/>
    <s v="HOLD"/>
    <s v="890110445523"/>
    <s v="0000029371"/>
    <d v="2026-12-13T00:00:00"/>
    <s v="E245400"/>
    <n v="9.4E-2"/>
    <n v="2475"/>
    <n v="0.56400000000000006"/>
    <x v="127"/>
    <x v="1"/>
  </r>
  <r>
    <s v="HOANGDUC"/>
    <s v="HT1100033"/>
    <s v="DOLUTEGRAVIR, LAMIVUDINE AND TENOFOVIR DISOPROXIL FUMARATE T"/>
    <s v="Q26-03-8-1"/>
    <s v="LPN009290"/>
    <n v="1"/>
    <n v="0"/>
    <s v="HOLD"/>
    <s v="890110445523"/>
    <s v="0000029371"/>
    <d v="2026-12-13T00:00:00"/>
    <s v="E245400"/>
    <n v="9.4E-2"/>
    <n v="2475"/>
    <n v="9.4E-2"/>
    <x v="130"/>
    <x v="1"/>
  </r>
  <r>
    <s v="M00106"/>
    <s v="SC6100003"/>
    <s v="FEROGLOBIN B12 CAPSULES (H/30 VIEN)"/>
    <s v="Q27-03-1-1"/>
    <s v="LPN009017"/>
    <n v="3"/>
    <n v="0"/>
    <s v="HOLD"/>
    <s v="9183/2019/ĐKSP"/>
    <s v="0000029503"/>
    <d v="2027-07-31T00:00:00"/>
    <s v="FW2422PA"/>
    <n v="0.04"/>
    <n v="2688"/>
    <n v="0.12"/>
    <x v="45"/>
    <x v="4"/>
  </r>
  <r>
    <s v="M00106"/>
    <s v="SC6100003"/>
    <s v="FEROGLOBIN B12 CAPSULES (H/30 VIEN)"/>
    <s v="Q27-03-1-1"/>
    <s v="LPN009068"/>
    <n v="3"/>
    <n v="0"/>
    <s v="HOLD"/>
    <s v="9183/2019/ĐKSP"/>
    <s v="0000029503"/>
    <d v="2027-07-31T00:00:00"/>
    <s v="FW2422PA"/>
    <n v="0.04"/>
    <n v="2688"/>
    <n v="0.12"/>
    <x v="45"/>
    <x v="4"/>
  </r>
  <r>
    <s v="M00106"/>
    <s v="SC6100003"/>
    <s v="FEROGLOBIN B12 CAPSULES (H/30 VIEN)"/>
    <s v="Q27-03-1-1"/>
    <s v="LPN009081"/>
    <n v="5"/>
    <n v="0"/>
    <s v="HOLD"/>
    <s v="9183/2019/ĐKSP"/>
    <s v="0000029503"/>
    <d v="2027-07-31T00:00:00"/>
    <s v="FW2422PA"/>
    <n v="0.04"/>
    <n v="2688"/>
    <n v="0.2"/>
    <x v="46"/>
    <x v="4"/>
  </r>
  <r>
    <s v="M00106"/>
    <s v="SC6100003"/>
    <s v="FEROGLOBIN B12 CAPSULES (H/30 VIEN)"/>
    <s v="Q27-03-1-1"/>
    <s v="LPN009098"/>
    <n v="8"/>
    <n v="0"/>
    <s v="HOLD"/>
    <s v="9183/2019/ĐKSP"/>
    <s v="0000029503"/>
    <d v="2027-07-31T00:00:00"/>
    <s v="FW2422PA"/>
    <n v="0.04"/>
    <n v="2688"/>
    <n v="0.32"/>
    <x v="41"/>
    <x v="4"/>
  </r>
  <r>
    <s v="M00106"/>
    <s v="SC6100003"/>
    <s v="FEROGLOBIN B12 CAPSULES (H/30 VIEN)"/>
    <s v="Q27-03-1-1"/>
    <s v="LPN009141"/>
    <n v="1"/>
    <n v="0"/>
    <s v="HOLD"/>
    <s v="9183/2019/ĐKSP"/>
    <s v="0000029503"/>
    <d v="2027-07-31T00:00:00"/>
    <s v="FW2422PA"/>
    <n v="0.04"/>
    <n v="2688"/>
    <n v="0.04"/>
    <x v="51"/>
    <x v="4"/>
  </r>
  <r>
    <s v="M00106"/>
    <s v="SC6100003"/>
    <s v="FEROGLOBIN B12 CAPSULES (H/30 VIEN)"/>
    <s v="Q27-03-1-1"/>
    <s v="LPN009152"/>
    <n v="5"/>
    <n v="0"/>
    <s v="HOLD"/>
    <s v="9183/2019/ĐKSP"/>
    <s v="0000029503"/>
    <d v="2027-07-31T00:00:00"/>
    <s v="FW2422PA"/>
    <n v="0.04"/>
    <n v="2688"/>
    <n v="0.2"/>
    <x v="46"/>
    <x v="4"/>
  </r>
  <r>
    <s v="M00106"/>
    <s v="SC6100003"/>
    <s v="FEROGLOBIN B12 CAPSULES (H/30 VIEN)"/>
    <s v="Q27-03-1-1"/>
    <s v="LPN009162"/>
    <n v="3"/>
    <n v="0"/>
    <s v="HOLD"/>
    <s v="9183/2019/ĐKSP"/>
    <s v="0000029503"/>
    <d v="2027-07-31T00:00:00"/>
    <s v="FW2422PA"/>
    <n v="0.04"/>
    <n v="2688"/>
    <n v="0.12"/>
    <x v="45"/>
    <x v="4"/>
  </r>
  <r>
    <s v="M00106"/>
    <s v="SC6100003"/>
    <s v="FEROGLOBIN B12 CAPSULES (H/30 VIEN)"/>
    <s v="Q27-03-1-1"/>
    <s v="LPN009182"/>
    <n v="1"/>
    <n v="0"/>
    <s v="HOLD"/>
    <s v="9183/2019/ĐKSP"/>
    <s v="0000029503"/>
    <d v="2027-07-31T00:00:00"/>
    <s v="FW2422PA"/>
    <n v="0.04"/>
    <n v="2688"/>
    <n v="0.04"/>
    <x v="51"/>
    <x v="4"/>
  </r>
  <r>
    <s v="M00106"/>
    <s v="SC6100003"/>
    <s v="FEROGLOBIN B12 CAPSULES (H/30 VIEN)"/>
    <s v="Q27-03-1-1"/>
    <s v="LPN009194"/>
    <n v="5"/>
    <n v="0"/>
    <s v="HOLD"/>
    <s v="9183/2019/ĐKSP"/>
    <s v="0000029503"/>
    <d v="2027-07-31T00:00:00"/>
    <s v="FW2422PA"/>
    <n v="0.04"/>
    <n v="2688"/>
    <n v="0.2"/>
    <x v="46"/>
    <x v="4"/>
  </r>
  <r>
    <s v="M00106"/>
    <s v="SC6100003"/>
    <s v="FEROGLOBIN B12 CAPSULES (H/30 VIEN)"/>
    <s v="Q27-03-1-1"/>
    <s v="LPN009211"/>
    <n v="5"/>
    <n v="0"/>
    <s v="HOLD"/>
    <s v="9183/2019/ĐKSP"/>
    <s v="0000029503"/>
    <d v="2027-07-31T00:00:00"/>
    <s v="FW2422PA"/>
    <n v="0.04"/>
    <n v="2688"/>
    <n v="0.2"/>
    <x v="46"/>
    <x v="4"/>
  </r>
  <r>
    <s v="M00106"/>
    <s v="SC6100003"/>
    <s v="FEROGLOBIN B12 CAPSULES (H/30 VIEN)"/>
    <s v="Q27-03-1-1"/>
    <s v="LPN009215"/>
    <n v="2"/>
    <n v="0"/>
    <s v="HOLD"/>
    <s v="9183/2019/ĐKSP"/>
    <s v="0000029503"/>
    <d v="2027-07-31T00:00:00"/>
    <s v="FW2422PA"/>
    <n v="0.04"/>
    <n v="2688"/>
    <n v="0.08"/>
    <x v="52"/>
    <x v="4"/>
  </r>
  <r>
    <s v="M00106"/>
    <s v="SC6100003"/>
    <s v="FEROGLOBIN B12 CAPSULES (H/30 VIEN)"/>
    <s v="Q27-03-1-1"/>
    <s v="LPN009233"/>
    <n v="8"/>
    <n v="0"/>
    <s v="HOLD"/>
    <s v="9183/2019/ĐKSP"/>
    <s v="0000029503"/>
    <d v="2027-07-31T00:00:00"/>
    <s v="FW2422PA"/>
    <n v="0.04"/>
    <n v="2688"/>
    <n v="0.32"/>
    <x v="41"/>
    <x v="4"/>
  </r>
  <r>
    <s v="M00106"/>
    <s v="SC6100003"/>
    <s v="FEROGLOBIN B12 CAPSULES (H/30 VIEN)"/>
    <s v="Q27-03-1-1"/>
    <s v="LPN009245"/>
    <n v="16"/>
    <n v="0"/>
    <s v="HOLD"/>
    <s v="9183/2019/ĐKSP"/>
    <s v="0000029503"/>
    <d v="2027-07-31T00:00:00"/>
    <s v="FW2422PA"/>
    <n v="0.04"/>
    <n v="2688"/>
    <n v="0.64"/>
    <x v="49"/>
    <x v="4"/>
  </r>
  <r>
    <s v="M00106"/>
    <s v="SC6100003"/>
    <s v="FEROGLOBIN B12 CAPSULES (H/30 VIEN)"/>
    <s v="Q27-03-3-1"/>
    <s v="LPN008875"/>
    <n v="3"/>
    <n v="0"/>
    <s v="HOLD"/>
    <s v="9183/2019/ĐKSP"/>
    <s v="0000029503"/>
    <d v="2027-07-31T00:00:00"/>
    <s v="FW2422PA"/>
    <n v="0.04"/>
    <n v="2688"/>
    <n v="0.12"/>
    <x v="45"/>
    <x v="4"/>
  </r>
  <r>
    <s v="M00106"/>
    <s v="SC6100003"/>
    <s v="FEROGLOBIN B12 CAPSULES (H/30 VIEN)"/>
    <s v="Q27-03-3-1"/>
    <s v="LPN008957"/>
    <n v="1"/>
    <n v="0"/>
    <s v="HOLD"/>
    <s v="9183/2019/ĐKSP"/>
    <s v="0000029503"/>
    <d v="2027-07-31T00:00:00"/>
    <s v="FW2422PA"/>
    <n v="0.04"/>
    <n v="2688"/>
    <n v="0.04"/>
    <x v="51"/>
    <x v="4"/>
  </r>
  <r>
    <s v="M00106"/>
    <s v="SC6100003"/>
    <s v="FEROGLOBIN B12 CAPSULES (H/30 VIEN)"/>
    <s v="Q27-03-3-1"/>
    <s v="LPN008960"/>
    <n v="6"/>
    <n v="0"/>
    <s v="HOLD"/>
    <s v="9183/2019/ĐKSP"/>
    <s v="0000029503"/>
    <d v="2027-07-31T00:00:00"/>
    <s v="FW2422PA"/>
    <n v="0.04"/>
    <n v="2688"/>
    <n v="0.24"/>
    <x v="53"/>
    <x v="4"/>
  </r>
  <r>
    <s v="HOANGDUC"/>
    <s v="AZ1100007"/>
    <s v="NOLVADEX-D TAB 20MG BL 3X10 EA VN"/>
    <s v="Q26-03-2-1"/>
    <s v="LPN008705"/>
    <n v="1"/>
    <n v="0"/>
    <s v="HOLD"/>
    <s v="VN-19007-15"/>
    <s v="0000029517"/>
    <d v="2029-09-05T00:00:00"/>
    <s v="SS034"/>
    <n v="2.9000000000000001E-2"/>
    <n v="2880"/>
    <n v="2.9000000000000001E-2"/>
    <x v="3"/>
    <x v="1"/>
  </r>
  <r>
    <s v="HOANGDUC"/>
    <s v="HT1100033"/>
    <s v="DOLUTEGRAVIR, LAMIVUDINE AND TENOFOVIR DISOPROXIL FUMARATE T"/>
    <s v="Q26-03-8-1"/>
    <s v="LPN008742"/>
    <n v="11"/>
    <n v="0"/>
    <s v="HOLD"/>
    <s v="890110445523"/>
    <s v="0000029580"/>
    <d v="2026-12-13T00:00:00"/>
    <s v="E245401"/>
    <n v="9.4E-2"/>
    <n v="2475"/>
    <n v="1.034"/>
    <x v="167"/>
    <x v="1"/>
  </r>
  <r>
    <s v="HOANGDUC"/>
    <s v="AV1100019"/>
    <s v="FEGEM-100 (HOP/100VIEN)"/>
    <s v="Q26-03-4-1"/>
    <s v="LPN008744"/>
    <n v="17"/>
    <n v="0"/>
    <s v="HOLD"/>
    <s v="VN-14829-12"/>
    <s v="0000029592"/>
    <d v="2027-02-19T00:00:00"/>
    <s v="BNZ1M004"/>
    <n v="0.114"/>
    <n v="1728"/>
    <n v="1.9380000000000002"/>
    <x v="198"/>
    <x v="1"/>
  </r>
  <r>
    <s v="M00106"/>
    <s v="SC6100002"/>
    <s v="FEROGLOBIN B12 LIQUID 200ML"/>
    <s v="Q27-03-1-1"/>
    <s v="LPN008986"/>
    <n v="11"/>
    <n v="0"/>
    <s v="HOLD"/>
    <s v="8974/2019/ĐKSP"/>
    <s v="0000029662"/>
    <d v="2026-11-30T00:00:00"/>
    <s v="41951"/>
    <n v="0.3"/>
    <n v="1680"/>
    <n v="3.3"/>
    <x v="155"/>
    <x v="4"/>
  </r>
  <r>
    <s v="M00106"/>
    <s v="SC6100002"/>
    <s v="FEROGLOBIN B12 LIQUID 200ML"/>
    <s v="Q27-03-1-1"/>
    <s v="LPN009219"/>
    <n v="6"/>
    <n v="0"/>
    <s v="HOLD"/>
    <s v="8974/2019/ĐKSP"/>
    <s v="0000029662"/>
    <d v="2026-11-30T00:00:00"/>
    <s v="41952"/>
    <n v="0.3"/>
    <n v="1680"/>
    <n v="1.7999999999999998"/>
    <x v="11"/>
    <x v="4"/>
  </r>
  <r>
    <s v="M00106"/>
    <s v="SC6100002"/>
    <s v="FEROGLOBIN B12 LIQUID 200ML"/>
    <s v="Q27-03-1-1"/>
    <s v="LPN009287"/>
    <n v="2"/>
    <n v="0"/>
    <s v="HOLD"/>
    <s v="8974/2019/ĐKSP"/>
    <s v="0000029662"/>
    <d v="2026-11-30T00:00:00"/>
    <s v="41952"/>
    <n v="0.3"/>
    <n v="1680"/>
    <n v="0.6"/>
    <x v="12"/>
    <x v="4"/>
  </r>
  <r>
    <s v="M00106"/>
    <s v="SC6100002"/>
    <s v="FEROGLOBIN B12 LIQUID 200ML"/>
    <s v="Q27-03-1-1"/>
    <s v="LPN009360"/>
    <n v="1"/>
    <n v="0"/>
    <s v="HOLD"/>
    <s v="8974/2019/ĐKSP"/>
    <s v="0000029662"/>
    <d v="2026-11-30T00:00:00"/>
    <s v="41952"/>
    <n v="0.3"/>
    <n v="1680"/>
    <n v="0.3"/>
    <x v="153"/>
    <x v="4"/>
  </r>
  <r>
    <s v="M00106"/>
    <s v="SC6100002"/>
    <s v="FEROGLOBIN B12 LIQUID 200ML"/>
    <s v="Q27-03-1-1"/>
    <s v="LPN009464"/>
    <n v="1"/>
    <n v="0"/>
    <s v="HOLD"/>
    <s v="8974/2019/ĐKSP"/>
    <s v="0000029662"/>
    <d v="2026-11-30T00:00:00"/>
    <s v="41952"/>
    <n v="0.3"/>
    <n v="1680"/>
    <n v="0.3"/>
    <x v="153"/>
    <x v="4"/>
  </r>
  <r>
    <s v="M00106"/>
    <s v="SC6100004"/>
    <s v="OSTEOCARE (H/30 VIEN)"/>
    <s v="Q27-03-1-1"/>
    <s v="LPN009507"/>
    <n v="4"/>
    <n v="0"/>
    <s v="HOLD"/>
    <s v="8615/2019/ĐKSP"/>
    <s v="0000029662"/>
    <d v="2028-10-31T00:00:00"/>
    <s v="OT2409P"/>
    <n v="7.4999999999999997E-2"/>
    <n v="2688"/>
    <n v="0.3"/>
    <x v="42"/>
    <x v="4"/>
  </r>
  <r>
    <s v="M00106"/>
    <s v="SC6100004"/>
    <s v="OSTEOCARE (H/30 VIEN)"/>
    <s v="Q27-03-1-1"/>
    <s v="LPN009569"/>
    <n v="13"/>
    <n v="0"/>
    <s v="HOLD"/>
    <s v="8615/2019/ĐKSP"/>
    <s v="0000029662"/>
    <d v="2028-10-31T00:00:00"/>
    <s v="OT2410P"/>
    <n v="7.4999999999999997E-2"/>
    <n v="2688"/>
    <n v="0.97499999999999998"/>
    <x v="48"/>
    <x v="4"/>
  </r>
  <r>
    <s v="HD"/>
    <s v="HT1100033"/>
    <s v="DOLUTEGRAVIR, LAMIVUDINE AND TENOFOVIR DISOPROXIL FUMARATE T"/>
    <s v="Q26-03-8-1"/>
    <s v="LPN008772"/>
    <n v="4"/>
    <n v="0"/>
    <s v="HOLD"/>
    <s v="890110445523"/>
    <s v="0000029646"/>
    <d v="2026-12-15T00:00:00"/>
    <s v="E245402"/>
    <n v="9.4E-2"/>
    <n v="2475"/>
    <n v="0.376"/>
    <x v="159"/>
    <x v="1"/>
  </r>
  <r>
    <s v="HD"/>
    <s v="HT1100033"/>
    <s v="DOLUTEGRAVIR, LAMIVUDINE AND TENOFOVIR DISOPROXIL FUMARATE T"/>
    <s v="Q26-03-8-1"/>
    <s v="LPN008865"/>
    <n v="3"/>
    <n v="0"/>
    <s v="HOLD"/>
    <s v="890110445523"/>
    <s v="0000029654"/>
    <d v="2026-12-11T00:00:00"/>
    <s v="E245341"/>
    <n v="9.4E-2"/>
    <n v="2475"/>
    <n v="0.28200000000000003"/>
    <x v="168"/>
    <x v="1"/>
  </r>
  <r>
    <s v="HOANGDUC"/>
    <s v="TT1300302"/>
    <s v="NHAN PHU - 90001893 CONTOUR TS BLOOD GLUCOSE TEST STRIPS 25."/>
    <s v="Q27-01-9-1"/>
    <s v="000174807"/>
    <n v="2932"/>
    <n v="0"/>
    <s v="HOLD"/>
    <s v="novisa"/>
    <s v=" "/>
    <d v="2027-04-02T00:00:00"/>
    <s v="_"/>
    <n v="0"/>
    <n v="0"/>
    <n v="0"/>
    <x v="16"/>
    <x v="0"/>
  </r>
  <r>
    <s v="HOANGDUC"/>
    <s v="TT1300574"/>
    <s v="NHAN PHU 85734105 ASCENSIA MICROLET LANCETS 100.S"/>
    <s v="Q27-01-9-1"/>
    <s v="000174809"/>
    <n v="1597"/>
    <n v="0"/>
    <s v="HOLD"/>
    <s v="novisa"/>
    <s v=" "/>
    <d v="2027-04-02T00:00:00"/>
    <s v="_"/>
    <n v="0"/>
    <n v="0"/>
    <n v="0"/>
    <x v="16"/>
    <x v="0"/>
  </r>
  <r>
    <s v="HOANGDUC"/>
    <s v="MY6100001"/>
    <s v="SMEBIOCTA LP299v (10CAPS) VN"/>
    <s v="Q26-01-6-1"/>
    <s v="000175318"/>
    <n v="1201"/>
    <n v="0"/>
    <s v="HOLD"/>
    <s v="7777/2022/ĐKSP"/>
    <s v="0000029765"/>
    <d v="2026-01-11T00:00:00"/>
    <s v="IN23001"/>
    <n v="0.02"/>
    <n v="1650"/>
    <n v="24.02"/>
    <x v="199"/>
    <x v="2"/>
  </r>
  <r>
    <s v="HOANGDUC"/>
    <s v="MY6100001"/>
    <s v="SMEBIOCTA LP299v (10CAPS) VN"/>
    <s v="Q26-01-6-2"/>
    <s v="000175317"/>
    <n v="1298"/>
    <n v="0"/>
    <s v="HOLD"/>
    <s v="7777/2022/ĐKSP"/>
    <s v="0000029765"/>
    <d v="2026-01-11T00:00:00"/>
    <s v="IN23001"/>
    <n v="0.02"/>
    <n v="1650"/>
    <n v="25.96"/>
    <x v="200"/>
    <x v="2"/>
  </r>
  <r>
    <s v="M00106"/>
    <s v="SC6100017"/>
    <s v="WELLKID MULTI-VITAMIN LIQUID (CHAI/150ML)"/>
    <s v="Q27-03-1-1"/>
    <s v="LPN009262"/>
    <n v="39"/>
    <n v="0"/>
    <s v="HOLD"/>
    <s v="10642/2019/ĐKSP"/>
    <s v="0000029769"/>
    <d v="2027-01-31T00:00:00"/>
    <s v="50219"/>
    <n v="0.312"/>
    <n v="1680"/>
    <n v="12.167999999999999"/>
    <x v="201"/>
    <x v="4"/>
  </r>
  <r>
    <s v="M00106"/>
    <s v="SC6100017"/>
    <s v="WELLKID MULTI-VITAMIN LIQUID (CHAI/150ML)"/>
    <s v="Q27-03-1-1"/>
    <s v="LPN009263"/>
    <n v="7"/>
    <n v="0"/>
    <s v="HOLD"/>
    <s v="10642/2019/ĐKSP"/>
    <s v="0000029769"/>
    <d v="2027-01-31T00:00:00"/>
    <s v="50219"/>
    <n v="0.312"/>
    <n v="1680"/>
    <n v="2.1840000000000002"/>
    <x v="13"/>
    <x v="4"/>
  </r>
  <r>
    <s v="M00106"/>
    <s v="SC6100017"/>
    <s v="WELLKID MULTI-VITAMIN LIQUID (CHAI/150ML)"/>
    <s v="Q27-03-5-1"/>
    <s v="LPN008816"/>
    <n v="5"/>
    <n v="0"/>
    <s v="HOLD"/>
    <s v="10642/2019/ĐKSP"/>
    <s v="0000029769"/>
    <d v="2027-01-31T00:00:00"/>
    <s v="50219"/>
    <n v="0.312"/>
    <n v="1680"/>
    <n v="1.56"/>
    <x v="41"/>
    <x v="4"/>
  </r>
  <r>
    <s v="HD"/>
    <s v="HT1100033"/>
    <s v="DOLUTEGRAVIR, LAMIVUDINE AND TENOFOVIR DISOPROXIL FUMARATE T"/>
    <s v="Q26-03-8-1"/>
    <s v="LPN008892"/>
    <n v="83"/>
    <n v="0"/>
    <s v="HOLD"/>
    <s v="890110445523"/>
    <s v="0000029808"/>
    <d v="2027-02-03T00:00:00"/>
    <s v="E250327"/>
    <n v="9.4E-2"/>
    <n v="2475"/>
    <n v="7.8019999999999996"/>
    <x v="202"/>
    <x v="1"/>
  </r>
  <r>
    <s v="HD"/>
    <s v="HT1100033"/>
    <s v="DOLUTEGRAVIR, LAMIVUDINE AND TENOFOVIR DISOPROXIL FUMARATE T"/>
    <s v="Q26-03-8-1"/>
    <s v="LPN009291"/>
    <n v="10"/>
    <n v="0"/>
    <s v="HOLD"/>
    <s v="890110445523"/>
    <s v="0000029808"/>
    <d v="2027-02-03T00:00:00"/>
    <s v="E250327"/>
    <n v="9.4E-2"/>
    <n v="2475"/>
    <n v="0.94"/>
    <x v="166"/>
    <x v="1"/>
  </r>
  <r>
    <s v="HOANGDUC"/>
    <s v="RH3300052"/>
    <s v="KM PHIM THAM DAU (ACNES OIL REMOVER FILM) 50 TO"/>
    <s v="Q27-01-1-1"/>
    <s v="LPN009767"/>
    <n v="4"/>
    <n v="0"/>
    <s v="HOLD"/>
    <s v="NOVISA"/>
    <s v="50-12934"/>
    <d v="2025-07-15T00:00:00"/>
    <s v="220715"/>
    <n v="0"/>
    <n v="2250"/>
    <n v="0"/>
    <x v="203"/>
    <x v="0"/>
  </r>
  <r>
    <s v="HOANGDUC"/>
    <s v="RH3300052"/>
    <s v="KM PHIM THAM DAU (ACNES OIL REMOVER FILM) 50 TO"/>
    <s v="Q27-01-1-1"/>
    <s v="LPN009767"/>
    <n v="1"/>
    <n v="0"/>
    <s v="HOLD"/>
    <s v="NOVISA"/>
    <s v="50-12936"/>
    <d v="2025-07-15T00:00:00"/>
    <s v="220715"/>
    <n v="0"/>
    <n v="2250"/>
    <n v="0"/>
    <x v="204"/>
    <x v="0"/>
  </r>
  <r>
    <s v="M00106"/>
    <s v="SC6100018"/>
    <s v="PREGNACARE BREAST-FEEDING (HOP/56 VIEN NEN, 28 VIEN NANG)"/>
    <s v="Q27-03-1-1"/>
    <s v="LPN008895"/>
    <n v="3"/>
    <n v="0"/>
    <s v="HOLD"/>
    <s v="10645/2019/ĐKSP"/>
    <s v="0000029856"/>
    <d v="2027-11-30T00:00:00"/>
    <s v="PB2505"/>
    <n v="0.158"/>
    <n v="1152"/>
    <n v="0.47399999999999998"/>
    <x v="44"/>
    <x v="4"/>
  </r>
  <r>
    <s v="HOANGDUC"/>
    <s v="MY1100008"/>
    <s v="FORLAX 10G 20SACH VN"/>
    <s v="Q26-03-8-1"/>
    <s v="LPN010471"/>
    <n v="1"/>
    <n v="0"/>
    <s v="HOLD"/>
    <s v="VN-16801-13"/>
    <s v="0000029862"/>
    <d v="2027-10-02T00:00:00"/>
    <s v="C61007"/>
    <n v="0.25700000000000001"/>
    <n v="1080"/>
    <n v="0.25700000000000001"/>
    <x v="205"/>
    <x v="1"/>
  </r>
  <r>
    <s v="M00106"/>
    <s v="SC6100001"/>
    <s v="OSTEOCARE LIQUID 200ML"/>
    <s v="Q27-03-1-1"/>
    <s v="LPN009271"/>
    <n v="3"/>
    <n v="0"/>
    <s v="HOLD"/>
    <s v="9186/2019/ĐKSP"/>
    <s v="0000029895"/>
    <d v="2026-12-31T00:00:00"/>
    <s v="50111"/>
    <n v="0.3"/>
    <n v="1680"/>
    <n v="0.89999999999999991"/>
    <x v="55"/>
    <x v="4"/>
  </r>
  <r>
    <s v="M00106"/>
    <s v="SC6100025"/>
    <s v="PREGNACARE MAX (H/56 VIEN NEN, 28 VIEN NANG)"/>
    <s v="Q27-03-1-1"/>
    <s v="LPN009188"/>
    <n v="43"/>
    <n v="0"/>
    <s v="HOLD"/>
    <s v="1475/2024/ĐKSP"/>
    <s v="0000029895"/>
    <d v="2027-08-31T00:00:00"/>
    <s v="PM2501CP"/>
    <n v="0.156"/>
    <n v="1152"/>
    <n v="6.7080000000000002"/>
    <x v="206"/>
    <x v="4"/>
  </r>
  <r>
    <s v="M00106"/>
    <s v="SC6100025"/>
    <s v="PREGNACARE MAX (H/56 VIEN NEN, 28 VIEN NANG)"/>
    <s v="Q27-03-1-1"/>
    <s v="LPN009216"/>
    <n v="1"/>
    <n v="0"/>
    <s v="HOLD"/>
    <s v="1475/2024/ĐKSP"/>
    <s v="0000029895"/>
    <d v="2027-08-31T00:00:00"/>
    <s v="PM2501CP"/>
    <n v="0.156"/>
    <n v="1152"/>
    <n v="0.156"/>
    <x v="71"/>
    <x v="4"/>
  </r>
  <r>
    <s v="M00106"/>
    <s v="SC6100018"/>
    <s v="PREGNACARE BREAST-FEEDING (HOP/56 VIEN NEN, 28 VIEN NANG)"/>
    <s v="Q26-01-9-2"/>
    <s v="LPN009136"/>
    <n v="3"/>
    <n v="0"/>
    <s v="HOLD"/>
    <s v="10645/2019/ĐKSP"/>
    <s v="0000029895"/>
    <d v="2027-09-30T00:00:00"/>
    <s v="PB2501"/>
    <n v="0.158"/>
    <n v="1152"/>
    <n v="0.47399999999999998"/>
    <x v="44"/>
    <x v="2"/>
  </r>
  <r>
    <s v="M00106"/>
    <s v="SC6100018"/>
    <s v="PREGNACARE BREAST-FEEDING (HOP/56 VIEN NEN, 28 VIEN NANG)"/>
    <s v="Q27-03-1-1"/>
    <s v="LPN008922"/>
    <n v="12"/>
    <n v="0"/>
    <s v="HOLD"/>
    <s v="10645/2019/ĐKSP"/>
    <s v="0000029895"/>
    <d v="2027-09-30T00:00:00"/>
    <s v="PB2501"/>
    <n v="0.158"/>
    <n v="1152"/>
    <n v="1.8959999999999999"/>
    <x v="27"/>
    <x v="4"/>
  </r>
  <r>
    <s v="M00106"/>
    <s v="SC6100018"/>
    <s v="PREGNACARE BREAST-FEEDING (HOP/56 VIEN NEN, 28 VIEN NANG)"/>
    <s v="Q27-03-1-1"/>
    <s v="LPN009026"/>
    <n v="18"/>
    <n v="0"/>
    <s v="HOLD"/>
    <s v="10645/2019/ĐKSP"/>
    <s v="0000029895"/>
    <d v="2027-09-30T00:00:00"/>
    <s v="PB2501"/>
    <n v="0.158"/>
    <n v="1152"/>
    <n v="2.8439999999999999"/>
    <x v="207"/>
    <x v="4"/>
  </r>
  <r>
    <s v="M00106"/>
    <s v="SC6100018"/>
    <s v="PREGNACARE BREAST-FEEDING (HOP/56 VIEN NEN, 28 VIEN NANG)"/>
    <s v="Q27-03-1-1"/>
    <s v="LPN009135"/>
    <n v="2"/>
    <n v="0"/>
    <s v="HOLD"/>
    <s v="10645/2019/ĐKSP"/>
    <s v="0000029895"/>
    <d v="2027-09-30T00:00:00"/>
    <s v="PB2501"/>
    <n v="0.158"/>
    <n v="1152"/>
    <n v="0.316"/>
    <x v="70"/>
    <x v="4"/>
  </r>
  <r>
    <s v="M00106"/>
    <s v="SC6100018"/>
    <s v="PREGNACARE BREAST-FEEDING (HOP/56 VIEN NEN, 28 VIEN NANG)"/>
    <s v="Q27-03-1-1"/>
    <s v="LPN009137"/>
    <n v="3"/>
    <n v="0"/>
    <s v="HOLD"/>
    <s v="10645/2019/ĐKSP"/>
    <s v="0000029895"/>
    <d v="2027-09-30T00:00:00"/>
    <s v="PB2501"/>
    <n v="0.158"/>
    <n v="1152"/>
    <n v="0.47399999999999998"/>
    <x v="44"/>
    <x v="4"/>
  </r>
  <r>
    <s v="M00106"/>
    <s v="SC6100018"/>
    <s v="PREGNACARE BREAST-FEEDING (HOP/56 VIEN NEN, 28 VIEN NANG)"/>
    <s v="Q27-03-1-1"/>
    <s v="LPN009138"/>
    <n v="2"/>
    <n v="0"/>
    <s v="HOLD"/>
    <s v="10645/2019/ĐKSP"/>
    <s v="0000029895"/>
    <d v="2027-09-30T00:00:00"/>
    <s v="PB2501"/>
    <n v="0.158"/>
    <n v="1152"/>
    <n v="0.316"/>
    <x v="70"/>
    <x v="4"/>
  </r>
  <r>
    <s v="M00106"/>
    <s v="SC6100018"/>
    <s v="PREGNACARE BREAST-FEEDING (HOP/56 VIEN NEN, 28 VIEN NANG)"/>
    <s v="Q27-03-1-1"/>
    <s v="LPN009167"/>
    <n v="26"/>
    <n v="0"/>
    <s v="HOLD"/>
    <s v="10645/2019/ĐKSP"/>
    <s v="0000029895"/>
    <d v="2027-09-30T00:00:00"/>
    <s v="PB2501"/>
    <n v="0.158"/>
    <n v="1152"/>
    <n v="4.1079999999999997"/>
    <x v="124"/>
    <x v="4"/>
  </r>
  <r>
    <s v="M00106"/>
    <s v="SC6100019"/>
    <s v="WELLBABY MULTI-VITAMIN LIQUID (CHAI 150ML)"/>
    <s v="Q27-01-1-1"/>
    <s v="LPN009480"/>
    <n v="1"/>
    <n v="0"/>
    <s v="HOLD"/>
    <s v="10643/2019/ĐKSP"/>
    <s v="0000029895"/>
    <d v="2026-12-31T00:00:00"/>
    <s v="50026"/>
    <n v="0.22600000000000001"/>
    <n v="1680"/>
    <n v="0.22600000000000001"/>
    <x v="153"/>
    <x v="0"/>
  </r>
  <r>
    <s v="M00106"/>
    <s v="SC6100019"/>
    <s v="WELLBABY MULTI-VITAMIN LIQUID (CHAI 150ML)"/>
    <s v="Q27-03-1-1"/>
    <s v="LPN009448"/>
    <n v="5"/>
    <n v="0"/>
    <s v="HOLD"/>
    <s v="10643/2019/ĐKSP"/>
    <s v="0000029895"/>
    <d v="2026-12-31T00:00:00"/>
    <s v="50026"/>
    <n v="0.22600000000000001"/>
    <n v="1680"/>
    <n v="1.1300000000000001"/>
    <x v="41"/>
    <x v="4"/>
  </r>
  <r>
    <s v="M00106"/>
    <s v="SC6100019"/>
    <s v="WELLBABY MULTI-VITAMIN LIQUID (CHAI 150ML)"/>
    <s v="Q27-03-1-1"/>
    <s v="LPN009465"/>
    <n v="7"/>
    <n v="0"/>
    <s v="HOLD"/>
    <s v="10643/2019/ĐKSP"/>
    <s v="0000029895"/>
    <d v="2026-12-31T00:00:00"/>
    <s v="50026"/>
    <n v="0.22600000000000001"/>
    <n v="1680"/>
    <n v="1.5820000000000001"/>
    <x v="13"/>
    <x v="4"/>
  </r>
  <r>
    <s v="M00106"/>
    <s v="SC6100019"/>
    <s v="WELLBABY MULTI-VITAMIN LIQUID (CHAI 150ML)"/>
    <s v="Q27-03-1-1"/>
    <s v="LPN009479"/>
    <n v="2"/>
    <n v="0"/>
    <s v="HOLD"/>
    <s v="10643/2019/ĐKSP"/>
    <s v="0000029895"/>
    <d v="2026-12-31T00:00:00"/>
    <s v="50026"/>
    <n v="0.22600000000000001"/>
    <n v="1680"/>
    <n v="0.45200000000000001"/>
    <x v="12"/>
    <x v="4"/>
  </r>
  <r>
    <s v="M00106"/>
    <s v="SC6100019"/>
    <s v="WELLBABY MULTI-VITAMIN LIQUID (CHAI 150ML)"/>
    <s v="Q27-03-1-1"/>
    <s v="LPN009496"/>
    <n v="2"/>
    <n v="0"/>
    <s v="HOLD"/>
    <s v="10643/2019/ĐKSP"/>
    <s v="0000029895"/>
    <d v="2026-12-31T00:00:00"/>
    <s v="50026"/>
    <n v="0.22600000000000001"/>
    <n v="1680"/>
    <n v="0.45200000000000001"/>
    <x v="12"/>
    <x v="4"/>
  </r>
  <r>
    <s v="M00106"/>
    <s v="SC6100017"/>
    <s v="WELLKID MULTI-VITAMIN LIQUID (CHAI/150ML)"/>
    <s v="Q27-03-1-1"/>
    <s v="LPN008932"/>
    <n v="52"/>
    <n v="0"/>
    <s v="HOLD"/>
    <s v="10642/2019/ĐKSP"/>
    <s v="0000029895"/>
    <d v="2026-11-30T00:00:00"/>
    <s v="41876"/>
    <n v="0.312"/>
    <n v="1680"/>
    <n v="16.224"/>
    <x v="208"/>
    <x v="4"/>
  </r>
  <r>
    <s v="M00106"/>
    <s v="SC6100017"/>
    <s v="WELLKID MULTI-VITAMIN LIQUID (CHAI/150ML)"/>
    <s v="Q27-03-1-1"/>
    <s v="LPN008933"/>
    <n v="2"/>
    <n v="0"/>
    <s v="HOLD"/>
    <s v="10642/2019/ĐKSP"/>
    <s v="0000029895"/>
    <d v="2026-11-30T00:00:00"/>
    <s v="41876"/>
    <n v="0.312"/>
    <n v="1680"/>
    <n v="0.624"/>
    <x v="12"/>
    <x v="4"/>
  </r>
  <r>
    <s v="HOANGDUC"/>
    <s v="TT1300007"/>
    <s v="NHAN PHU - FENOSUP LIDOSE 160 MG"/>
    <s v="Q27-01-9-1"/>
    <s v="000176866"/>
    <n v="15641"/>
    <n v="0"/>
    <s v="HOLD"/>
    <s v="NOVISA"/>
    <s v=" "/>
    <d v="2027-04-17T00:00:00"/>
    <s v="_"/>
    <n v="0"/>
    <n v="0"/>
    <n v="0"/>
    <x v="16"/>
    <x v="0"/>
  </r>
  <r>
    <s v="HOANGDUC"/>
    <s v="AZ1100025"/>
    <s v="PLENDIL PLUS TAB 5.47.5MG BT 1X30 EA VN"/>
    <s v="Q26-03-4-1"/>
    <s v="000176928"/>
    <n v="2"/>
    <n v="0"/>
    <s v="HOLD"/>
    <s v="VN-20224-17"/>
    <s v="0000029940"/>
    <d v="2027-10-14T00:00:00"/>
    <s v="MAPX"/>
    <n v="3.5999999999999997E-2"/>
    <n v="5280"/>
    <n v="7.1999999999999995E-2"/>
    <x v="156"/>
    <x v="1"/>
  </r>
  <r>
    <s v="M00106"/>
    <s v="SC6100018"/>
    <s v="PREGNACARE BREAST-FEEDING (HOP/56 VIEN NEN, 28 VIEN NANG)"/>
    <s v="Q27-03-3-1"/>
    <s v="000177464"/>
    <n v="2"/>
    <n v="0"/>
    <s v="HOLD"/>
    <s v="10645/2019/ĐKSP"/>
    <s v="0000030017"/>
    <d v="2027-02-28T00:00:00"/>
    <s v="PB2418"/>
    <n v="0.158"/>
    <n v="1152"/>
    <n v="0.316"/>
    <x v="70"/>
    <x v="4"/>
  </r>
  <r>
    <s v="M00106"/>
    <s v="SC6100019"/>
    <s v="WELLBABY MULTI-VITAMIN LIQUID (CHAI 150ML)"/>
    <s v="Q27-03-3-1"/>
    <s v="000177470"/>
    <n v="1"/>
    <n v="0"/>
    <s v="HOLD"/>
    <s v="10643/2019/ĐKSP"/>
    <s v="0000030017"/>
    <d v="2026-06-30T00:00:00"/>
    <s v="41079"/>
    <n v="0.22600000000000001"/>
    <n v="1680"/>
    <n v="0.22600000000000001"/>
    <x v="153"/>
    <x v="4"/>
  </r>
  <r>
    <s v="M00106"/>
    <s v="SC6100001"/>
    <s v="OSTEOCARE LIQUID 200ML"/>
    <s v="Q27-01-4-2"/>
    <s v="000177462"/>
    <n v="1"/>
    <n v="0"/>
    <s v="HOLD"/>
    <s v="9186/2019/ĐKSP"/>
    <s v="0000030017"/>
    <d v="2026-02-28T00:00:00"/>
    <s v="40487"/>
    <n v="0.3"/>
    <n v="1680"/>
    <n v="0.3"/>
    <x v="153"/>
    <x v="0"/>
  </r>
  <r>
    <s v="M00106"/>
    <s v="SC6100011"/>
    <s v="PERFECTIL (H/30 VIEN)"/>
    <s v="Q27-03-3-1"/>
    <s v="000177466"/>
    <n v="2"/>
    <n v="0"/>
    <s v="HOLD"/>
    <s v="9185/2019/ĐKSP"/>
    <s v="0000030017"/>
    <d v="2027-09-30T00:00:00"/>
    <s v="PFT2425P"/>
    <n v="5.8000000000000003E-2"/>
    <n v="2880"/>
    <n v="0.11600000000000001"/>
    <x v="2"/>
    <x v="4"/>
  </r>
  <r>
    <s v="M00106"/>
    <s v="SC6100011"/>
    <s v="PERFECTIL (H/30 VIEN)"/>
    <s v="Q27-03-3-1"/>
    <s v="000177467"/>
    <n v="2"/>
    <n v="0"/>
    <s v="HOLD"/>
    <s v="9185/2019/ĐKSP"/>
    <s v="0000030017"/>
    <d v="2026-12-31T00:00:00"/>
    <s v="PFT2405P"/>
    <n v="5.8000000000000003E-2"/>
    <n v="2880"/>
    <n v="0.11600000000000001"/>
    <x v="2"/>
    <x v="4"/>
  </r>
  <r>
    <s v="HOANGDUC"/>
    <s v="TT1300359"/>
    <s v="NHAN PHU - BLU VOILE SUNSCREEN"/>
    <s v="Q27-01-9-1"/>
    <s v="000177782"/>
    <n v="595"/>
    <n v="0"/>
    <s v="HOLD"/>
    <s v="NOVISA"/>
    <s v=" "/>
    <d v="2027-04-25T00:00:00"/>
    <s v="_"/>
    <n v="0"/>
    <n v="0"/>
    <n v="0"/>
    <x v="16"/>
    <x v="0"/>
  </r>
  <r>
    <s v="HOANGDUC"/>
    <s v="TT1300062"/>
    <s v="NHAN PHU - CERADAN DIAPER CREAM"/>
    <s v="Q27-01-9-1"/>
    <s v="000177781"/>
    <n v="1637"/>
    <n v="0"/>
    <s v="HOLD"/>
    <s v="NOVISA"/>
    <s v=" "/>
    <d v="2027-04-25T00:00:00"/>
    <s v="_"/>
    <n v="0"/>
    <n v="0"/>
    <n v="0"/>
    <x v="16"/>
    <x v="0"/>
  </r>
  <r>
    <s v="HOANGDUC"/>
    <s v="MY6100001"/>
    <s v="SMEBIOCTA LP299v (10CAPS) VN"/>
    <s v="Q26-01-6-1"/>
    <s v="000175318"/>
    <n v="66"/>
    <n v="0"/>
    <s v="HOLD"/>
    <s v="7777/2022/ĐKSP"/>
    <s v="0000029836"/>
    <d v="2026-01-11T00:00:00"/>
    <s v="IN23001"/>
    <n v="0.02"/>
    <n v="1650"/>
    <n v="1.32"/>
    <x v="209"/>
    <x v="2"/>
  </r>
  <r>
    <s v="HOANGDUC"/>
    <s v="RD1100016"/>
    <s v="STAMLO-T (HOP/ 28 VIEN)"/>
    <s v="Q26-03-4-1"/>
    <s v="LPN008989"/>
    <n v="3"/>
    <n v="0"/>
    <s v="HOLD"/>
    <s v="890110125423"/>
    <s v="0000030086"/>
    <d v="2027-02-28T00:00:00"/>
    <s v="V2500577"/>
    <n v="4.1000000000000002E-2"/>
    <n v="2592"/>
    <n v="0.123"/>
    <x v="210"/>
    <x v="1"/>
  </r>
  <r>
    <s v="HOANGDUC"/>
    <s v="RD1100016"/>
    <s v="STAMLO-T (HOP/ 28 VIEN)"/>
    <s v="Q26-03-4-1"/>
    <s v="LPN009003"/>
    <n v="2"/>
    <n v="0"/>
    <s v="HOLD"/>
    <s v="890110125423"/>
    <s v="0000030086"/>
    <d v="2027-02-28T00:00:00"/>
    <s v="V2500577"/>
    <n v="4.1000000000000002E-2"/>
    <n v="2592"/>
    <n v="8.2000000000000003E-2"/>
    <x v="211"/>
    <x v="1"/>
  </r>
  <r>
    <s v="HOANGDUC"/>
    <s v="DE6100001"/>
    <s v="THUC PHAM DINH DUONG Y HOC FORTIMEL POWDER (HUONG VANI)"/>
    <s v="Q27-03-7-1"/>
    <s v="LPN009154"/>
    <n v="11"/>
    <n v="0"/>
    <s v="HOLD"/>
    <s v="322/2023/ĐKSP"/>
    <s v="0000030090"/>
    <d v="2026-07-20T00:00:00"/>
    <s v="111468732"/>
    <n v="0.441"/>
    <n v="672"/>
    <n v="4.851"/>
    <x v="212"/>
    <x v="4"/>
  </r>
  <r>
    <s v="HOANGDUC"/>
    <s v="HY1300045"/>
    <s v="STERIMAR BLOCKED NOSE BABY 50 ML"/>
    <s v="Q27-03-1-1"/>
    <s v="000178374"/>
    <n v="6"/>
    <n v="0"/>
    <s v="HOLD"/>
    <s v="200001777/PCBA-HN"/>
    <s v="54-13572"/>
    <d v="2026-10-31T00:00:00"/>
    <s v="FE3274"/>
    <n v="0.1"/>
    <n v="3600"/>
    <n v="0.60000000000000009"/>
    <x v="83"/>
    <x v="4"/>
  </r>
  <r>
    <s v="HOANGDUC"/>
    <s v="AV1100019"/>
    <s v="FEGEM-100 (HOP/100VIEN)"/>
    <s v="Q26-03-4-1"/>
    <s v="000178537"/>
    <n v="1"/>
    <n v="0"/>
    <s v="HOLD"/>
    <s v="VN-14829-12"/>
    <s v="51-346414"/>
    <d v="2027-02-19T00:00:00"/>
    <s v="BNZ1M004"/>
    <n v="0.114"/>
    <n v="1728"/>
    <n v="0.114"/>
    <x v="213"/>
    <x v="1"/>
  </r>
  <r>
    <s v="HOANGDUC"/>
    <s v="TT1300119"/>
    <s v="NHAN PHU - BORTEZOMIB 3.5MG"/>
    <s v="Q27-01-9-1"/>
    <s v="000178680"/>
    <n v="2507"/>
    <n v="0"/>
    <s v="HOLD"/>
    <s v="NOVISA"/>
    <s v=" "/>
    <d v="2027-05-07T00:00:00"/>
    <s v="_"/>
    <n v="0"/>
    <n v="0"/>
    <n v="0"/>
    <x v="16"/>
    <x v="0"/>
  </r>
  <r>
    <s v="HOANGDUC"/>
    <s v="AV1100021"/>
    <s v="ALFUTOR ER TABLETS 10MG (HOP/30VIEN)"/>
    <s v="Q26-03-4-1"/>
    <s v="LPN009096"/>
    <n v="11"/>
    <n v="0"/>
    <s v="HOLD"/>
    <s v="890110437723"/>
    <s v="0000030244"/>
    <d v="2027-03-31T00:00:00"/>
    <s v="BGP9M001"/>
    <n v="2.8000000000000001E-2"/>
    <n v="3780"/>
    <n v="0.308"/>
    <x v="7"/>
    <x v="1"/>
  </r>
  <r>
    <s v="HOANGDUC"/>
    <s v="AV1100021"/>
    <s v="ALFUTOR ER TABLETS 10MG (HOP/30VIEN)"/>
    <s v="Q26-03-4-1"/>
    <s v="LPN009097"/>
    <n v="6"/>
    <n v="0"/>
    <s v="HOLD"/>
    <s v="890110437723"/>
    <s v="0000030244"/>
    <d v="2027-03-31T00:00:00"/>
    <s v="BGP9M001"/>
    <n v="2.8000000000000001E-2"/>
    <n v="3780"/>
    <n v="0.16800000000000001"/>
    <x v="214"/>
    <x v="1"/>
  </r>
  <r>
    <s v="HOANGDUC"/>
    <s v="AV1100021"/>
    <s v="ALFUTOR ER TABLETS 10MG (HOP/30VIEN)"/>
    <s v="Q26-03-5-1"/>
    <s v="LPN009780"/>
    <n v="6"/>
    <n v="0"/>
    <s v="HOLD"/>
    <s v="890110437723"/>
    <s v="0000030244"/>
    <d v="2027-03-31T00:00:00"/>
    <s v="BGP9M001"/>
    <n v="2.8000000000000001E-2"/>
    <n v="3780"/>
    <n v="0.16800000000000001"/>
    <x v="214"/>
    <x v="1"/>
  </r>
  <r>
    <s v="HOANGDUC"/>
    <s v="AV1100021"/>
    <s v="ALFUTOR ER TABLETS 10MG (HOP/30VIEN)"/>
    <s v="Q26-03-4-1"/>
    <s v="LPN009116"/>
    <n v="9"/>
    <n v="0"/>
    <s v="HOLD"/>
    <s v="890110437723"/>
    <s v="0000030244"/>
    <d v="2027-03-31T00:00:00"/>
    <s v="BGP9M002"/>
    <n v="2.8000000000000001E-2"/>
    <n v="3780"/>
    <n v="0.252"/>
    <x v="14"/>
    <x v="1"/>
  </r>
  <r>
    <s v="HOANGDUC"/>
    <s v="AV1100021"/>
    <s v="ALFUTOR ER TABLETS 10MG (HOP/30VIEN)"/>
    <s v="Q26-03-4-1"/>
    <s v="LPN009117"/>
    <n v="6"/>
    <n v="0"/>
    <s v="HOLD"/>
    <s v="890110437723"/>
    <s v="0000030244"/>
    <d v="2027-03-31T00:00:00"/>
    <s v="BGP9M002"/>
    <n v="2.8000000000000001E-2"/>
    <n v="3780"/>
    <n v="0.16800000000000001"/>
    <x v="214"/>
    <x v="1"/>
  </r>
  <r>
    <s v="HOANGDUC"/>
    <s v="AV1100021"/>
    <s v="ALFUTOR ER TABLETS 10MG (HOP/30VIEN)"/>
    <s v="Q26-03-5-1"/>
    <s v="LPN009789"/>
    <n v="2"/>
    <n v="0"/>
    <s v="HOLD"/>
    <s v="890110437723"/>
    <s v="0000030244"/>
    <d v="2027-03-31T00:00:00"/>
    <s v="BGP9M002"/>
    <n v="2.8000000000000001E-2"/>
    <n v="3780"/>
    <n v="5.6000000000000001E-2"/>
    <x v="4"/>
    <x v="1"/>
  </r>
  <r>
    <s v="HOANGDUC"/>
    <s v="TT1300266"/>
    <s v="NHAN PHU - AMPLATZER™ GUIDEWIRE"/>
    <s v="Q27-01-9-1"/>
    <s v="000179348"/>
    <n v="1524"/>
    <n v="0"/>
    <s v="HOLD"/>
    <s v="NOVISA"/>
    <s v=" "/>
    <d v="2027-05-13T00:00:00"/>
    <s v="_"/>
    <n v="0"/>
    <n v="0"/>
    <n v="0"/>
    <x v="16"/>
    <x v="0"/>
  </r>
  <r>
    <s v="HOANGDUC"/>
    <s v="RD1100020"/>
    <s v="APIXABAN TABLETS 5 MG (HOP/60 VIEN)"/>
    <s v="Q27-01-1-2"/>
    <s v="LPN011293"/>
    <n v="1"/>
    <n v="0"/>
    <s v="HOLD"/>
    <s v="890110972124"/>
    <s v="0000030287"/>
    <d v="2027-01-31T00:00:00"/>
    <s v="T2501080"/>
    <n v="0"/>
    <n v="2500"/>
    <n v="0"/>
    <x v="215"/>
    <x v="0"/>
  </r>
  <r>
    <s v="HOANGDUC"/>
    <s v="SA1100037"/>
    <s v="DEPAKINE SOLUTION 200MG BTLX40ML VN"/>
    <s v="Q26-03-2-1"/>
    <s v="000179873"/>
    <n v="5"/>
    <n v="0"/>
    <s v="HOLD"/>
    <s v="868114087823"/>
    <s v="54-13785"/>
    <d v="2027-04-30T00:00:00"/>
    <s v="ELB03419"/>
    <n v="0.13200000000000001"/>
    <n v="2200"/>
    <n v="0.66"/>
    <x v="216"/>
    <x v="1"/>
  </r>
  <r>
    <s v="HOANGDUC"/>
    <s v="AZ1100025"/>
    <s v="PLENDIL PLUS TAB 5.47.5MG BT 1X30 EA VN"/>
    <s v="Q26-03-4-1"/>
    <s v="000180049"/>
    <n v="3"/>
    <n v="0"/>
    <s v="HOLD"/>
    <s v="VN-20224-17"/>
    <s v="0000030364"/>
    <d v="2027-10-14T00:00:00"/>
    <s v="MAPX"/>
    <n v="3.5999999999999997E-2"/>
    <n v="5280"/>
    <n v="0.10799999999999998"/>
    <x v="192"/>
    <x v="1"/>
  </r>
  <r>
    <s v="HOANGDUC"/>
    <s v="TT1300594"/>
    <s v="NHAN PHU LENANGIO 25"/>
    <s v="Q27-01-9-1"/>
    <s v="000180591"/>
    <n v="708"/>
    <n v="0"/>
    <s v="HOLD"/>
    <s v="NOVISA"/>
    <s v=" "/>
    <d v="2027-05-22T00:00:00"/>
    <s v="_"/>
    <n v="0"/>
    <n v="0"/>
    <n v="0"/>
    <x v="16"/>
    <x v="0"/>
  </r>
  <r>
    <s v="HOANGDUC"/>
    <s v="TT1300593"/>
    <s v="NHAN PHU LENANGIO 10"/>
    <s v="Q27-01-9-1"/>
    <s v="000180590"/>
    <n v="597"/>
    <n v="0"/>
    <s v="HOLD"/>
    <s v="NOVISA"/>
    <s v=" "/>
    <d v="2027-05-22T00:00:00"/>
    <s v="_"/>
    <n v="0"/>
    <n v="0"/>
    <n v="0"/>
    <x v="16"/>
    <x v="0"/>
  </r>
  <r>
    <s v="HOANGDUC"/>
    <s v="TT1300592"/>
    <s v="NHAN PHU LENANGIO 5"/>
    <s v="Q27-01-9-1"/>
    <s v="000180589"/>
    <n v="882"/>
    <n v="0"/>
    <s v="HOLD"/>
    <s v="NOVISA"/>
    <s v=" "/>
    <d v="2027-05-22T00:00:00"/>
    <s v="_"/>
    <n v="0"/>
    <n v="0"/>
    <n v="0"/>
    <x v="16"/>
    <x v="0"/>
  </r>
  <r>
    <s v="HOANGDUC"/>
    <s v="AZ1100025"/>
    <s v="PLENDIL PLUS TAB 5.47.5MG BT 1X30 EA VN"/>
    <s v="Q26-03-4-1"/>
    <s v="000180628"/>
    <n v="1"/>
    <n v="0"/>
    <s v="HOLD"/>
    <s v="VN-20224-17"/>
    <s v="0000030455"/>
    <d v="2028-01-07T00:00:00"/>
    <s v="MAPZ"/>
    <n v="3.5999999999999997E-2"/>
    <n v="5280"/>
    <n v="3.5999999999999997E-2"/>
    <x v="149"/>
    <x v="1"/>
  </r>
  <r>
    <s v="HOANGDUC"/>
    <s v="WO1100004"/>
    <s v="SILYGAMMA 150MG 100.S"/>
    <s v="Q26-02-1-1"/>
    <s v="000180629"/>
    <n v="2.5"/>
    <n v="0"/>
    <s v="HOLD"/>
    <s v="VN-16542-13"/>
    <s v="51-352564"/>
    <d v="2027-05-31T00:00:00"/>
    <s v="428584"/>
    <n v="0.09"/>
    <n v="2160"/>
    <n v="0.22499999999999998"/>
    <x v="210"/>
    <x v="5"/>
  </r>
  <r>
    <s v="HOANGDUC"/>
    <s v="TT1300028"/>
    <s v="NHAN PHU - DOTAREM 10 ML"/>
    <s v="Q27-01-9-1"/>
    <s v="000180954"/>
    <n v="1381"/>
    <n v="0"/>
    <s v="HOLD"/>
    <s v="NOVISA"/>
    <s v=" "/>
    <d v="2027-05-24T00:00:00"/>
    <s v="_"/>
    <n v="0"/>
    <n v="0"/>
    <n v="0"/>
    <x v="16"/>
    <x v="0"/>
  </r>
  <r>
    <s v="HOANGDUC"/>
    <s v="RH3300052"/>
    <s v="KM PHIM THAM DAU (ACNES OIL REMOVER FILM) 50 TO"/>
    <s v="Q27-01-1-1"/>
    <s v="LPN009767"/>
    <n v="130"/>
    <n v="0"/>
    <s v="HOLD"/>
    <s v="NOVISA"/>
    <s v="54-13928"/>
    <d v="2025-07-15T00:00:00"/>
    <s v="220715"/>
    <n v="0"/>
    <n v="2250"/>
    <n v="0"/>
    <x v="217"/>
    <x v="0"/>
  </r>
  <r>
    <s v="HOANGDUC"/>
    <s v="AZ1100025"/>
    <s v="PLENDIL PLUS TAB 5.47.5MG BT 1X30 EA VN"/>
    <s v="Q26-03-4-1"/>
    <s v="LPN009236"/>
    <n v="1"/>
    <n v="0"/>
    <s v="HOLD"/>
    <s v="VN-20224-17"/>
    <s v="0000030522"/>
    <d v="2027-10-14T00:00:00"/>
    <s v="MAPX"/>
    <n v="3.5999999999999997E-2"/>
    <n v="5280"/>
    <n v="3.5999999999999997E-2"/>
    <x v="149"/>
    <x v="1"/>
  </r>
  <r>
    <s v="HOANGDUC"/>
    <s v="HT1100033"/>
    <s v="DOLUTEGRAVIR, LAMIVUDINE AND TENOFOVIR DISOPROXIL FUMARATE T"/>
    <s v="Q26-03-4-1"/>
    <s v="LPN009292"/>
    <n v="1"/>
    <n v="0"/>
    <s v="HOLD"/>
    <s v="890110445523"/>
    <s v="0000030489"/>
    <d v="2027-02-14T00:00:00"/>
    <s v="E250806"/>
    <n v="9.4E-2"/>
    <n v="2475"/>
    <n v="9.4E-2"/>
    <x v="130"/>
    <x v="1"/>
  </r>
  <r>
    <s v="HOANGDUC"/>
    <s v="WO1100004"/>
    <s v="SILYGAMMA 150MG 100.S"/>
    <s v="Q26-02-1-2"/>
    <s v="000182023"/>
    <n v="271.57"/>
    <n v="0"/>
    <s v="HOLD"/>
    <s v="VN-16542-13"/>
    <s v=" "/>
    <d v="2027-05-31T00:00:00"/>
    <s v="428584"/>
    <n v="0.09"/>
    <n v="2160"/>
    <n v="24.441299999999998"/>
    <x v="218"/>
    <x v="5"/>
  </r>
  <r>
    <s v="HD"/>
    <s v="HT1100033"/>
    <s v="DOLUTEGRAVIR, LAMIVUDINE AND TENOFOVIR DISOPROXIL FUMARATE T"/>
    <s v="Q26-03-4-1"/>
    <s v="LPN009303"/>
    <n v="1"/>
    <n v="0"/>
    <s v="HOLD"/>
    <s v="890110445523"/>
    <s v="0000030489"/>
    <d v="2027-02-14T00:00:00"/>
    <s v="E250806"/>
    <n v="9.4E-2"/>
    <n v="2475"/>
    <n v="9.4E-2"/>
    <x v="130"/>
    <x v="1"/>
  </r>
  <r>
    <s v="HD"/>
    <s v="HT1100033"/>
    <s v="DOLUTEGRAVIR, LAMIVUDINE AND TENOFOVIR DISOPROXIL FUMARATE T"/>
    <s v="Q26-03-5-1"/>
    <s v="LPN009293"/>
    <n v="3"/>
    <n v="0"/>
    <s v="HOLD"/>
    <s v="890110445523"/>
    <s v="0000030489"/>
    <d v="2027-02-14T00:00:00"/>
    <s v="E250806"/>
    <n v="9.4E-2"/>
    <n v="2475"/>
    <n v="0.28200000000000003"/>
    <x v="168"/>
    <x v="1"/>
  </r>
  <r>
    <s v="HD"/>
    <s v="HT1100033"/>
    <s v="DOLUTEGRAVIR, LAMIVUDINE AND TENOFOVIR DISOPROXIL FUMARATE T"/>
    <s v="Q26-03-4-1"/>
    <s v="LPN009412"/>
    <n v="10"/>
    <n v="0"/>
    <s v="HOLD"/>
    <s v="890110445523"/>
    <s v="0000030489"/>
    <d v="2027-02-25T00:00:00"/>
    <s v="E250863"/>
    <n v="9.4E-2"/>
    <n v="2475"/>
    <n v="0.94"/>
    <x v="166"/>
    <x v="1"/>
  </r>
  <r>
    <s v="HD"/>
    <s v="HT1100033"/>
    <s v="DOLUTEGRAVIR, LAMIVUDINE AND TENOFOVIR DISOPROXIL FUMARATE T"/>
    <s v="Q26-03-4-1"/>
    <s v="LPN009413"/>
    <n v="3"/>
    <n v="0"/>
    <s v="HOLD"/>
    <s v="890110445523"/>
    <s v="0000030489"/>
    <d v="2027-02-25T00:00:00"/>
    <s v="E250863"/>
    <n v="9.4E-2"/>
    <n v="2475"/>
    <n v="0.28200000000000003"/>
    <x v="168"/>
    <x v="1"/>
  </r>
  <r>
    <s v="HD"/>
    <s v="HT1100033"/>
    <s v="DOLUTEGRAVIR, LAMIVUDINE AND TENOFOVIR DISOPROXIL FUMARATE T"/>
    <s v="Q26-03-4-1"/>
    <s v="LPN009453"/>
    <n v="12"/>
    <n v="0"/>
    <s v="HOLD"/>
    <s v="890110445523"/>
    <s v="0000030489"/>
    <d v="2027-02-23T00:00:00"/>
    <s v="E250916"/>
    <n v="9.4E-2"/>
    <n v="2475"/>
    <n v="1.1280000000000001"/>
    <x v="131"/>
    <x v="1"/>
  </r>
  <r>
    <s v="HD"/>
    <s v="HT1100033"/>
    <s v="DOLUTEGRAVIR, LAMIVUDINE AND TENOFOVIR DISOPROXIL FUMARATE T"/>
    <s v="Q26-03-4-1"/>
    <s v="LPN009474"/>
    <n v="4"/>
    <n v="0"/>
    <s v="HOLD"/>
    <s v="890110445523"/>
    <s v="0000030489"/>
    <d v="2027-02-23T00:00:00"/>
    <s v="E250916"/>
    <n v="9.4E-2"/>
    <n v="2475"/>
    <n v="0.376"/>
    <x v="159"/>
    <x v="1"/>
  </r>
  <r>
    <s v="HD"/>
    <s v="HT1100033"/>
    <s v="DOLUTEGRAVIR, LAMIVUDINE AND TENOFOVIR DISOPROXIL FUMARATE T"/>
    <s v="Q26-03-5-1"/>
    <s v="LPN009322"/>
    <n v="1"/>
    <n v="0"/>
    <s v="HOLD"/>
    <s v="890110445523"/>
    <s v="0000030489"/>
    <d v="2027-02-14T00:00:00"/>
    <s v="E250807"/>
    <n v="9.4E-2"/>
    <n v="2475"/>
    <n v="9.4E-2"/>
    <x v="130"/>
    <x v="1"/>
  </r>
  <r>
    <s v="HD"/>
    <s v="HT1100033"/>
    <s v="DOLUTEGRAVIR, LAMIVUDINE AND TENOFOVIR DISOPROXIL FUMARATE T"/>
    <s v="Q26-03-6-1"/>
    <s v="LPN009320"/>
    <n v="2"/>
    <n v="0"/>
    <s v="HOLD"/>
    <s v="890110445523"/>
    <s v="0000030489"/>
    <d v="2027-02-14T00:00:00"/>
    <s v="E250807"/>
    <n v="9.4E-2"/>
    <n v="2475"/>
    <n v="0.188"/>
    <x v="123"/>
    <x v="1"/>
  </r>
  <r>
    <s v="HD"/>
    <s v="HT1100033"/>
    <s v="DOLUTEGRAVIR, LAMIVUDINE AND TENOFOVIR DISOPROXIL FUMARATE T"/>
    <s v="Q26-03-5-1"/>
    <s v="LPN009340"/>
    <n v="1"/>
    <n v="0"/>
    <s v="HOLD"/>
    <s v="890110445523"/>
    <s v="0000030489"/>
    <d v="2027-02-17T00:00:00"/>
    <s v="E250808"/>
    <n v="9.4E-2"/>
    <n v="2475"/>
    <n v="9.4E-2"/>
    <x v="130"/>
    <x v="1"/>
  </r>
  <r>
    <s v="HOANGDUC"/>
    <s v="HY1100001"/>
    <s v="DORITHRICIN TAB 20.S"/>
    <s v="Q26-01-1-2"/>
    <s v="000182164"/>
    <n v="1"/>
    <n v="0"/>
    <s v="HOLD"/>
    <s v="VN-20293-17"/>
    <s v="54-14096"/>
    <d v="2026-04-04T00:00:00"/>
    <s v="2452301"/>
    <n v="0.04"/>
    <n v="9000"/>
    <n v="0.04"/>
    <x v="219"/>
    <x v="2"/>
  </r>
  <r>
    <s v="HOANGDUC"/>
    <s v="TT1300577"/>
    <s v="VO HOP YESOM 40 - HETERO"/>
    <s v="QM4-01-1-1"/>
    <s v="000182236"/>
    <n v="61"/>
    <n v="0"/>
    <s v="HOLD"/>
    <s v="novisa"/>
    <s v=" "/>
    <d v="2027-06-03T00:00:00"/>
    <s v="E244227"/>
    <n v="0"/>
    <n v="0"/>
    <n v="0"/>
    <x v="16"/>
    <x v="3"/>
  </r>
  <r>
    <s v="M00106"/>
    <s v="SC6100015"/>
    <s v="PREGNACARE PLUS OMEGA 3 (H/56 VIEN)"/>
    <s v="Q27-03-1-2"/>
    <s v="LPN009470"/>
    <n v="2"/>
    <n v="0"/>
    <s v="HOLD"/>
    <s v="9184/2019/ĐKSP"/>
    <s v="0000030673"/>
    <d v="2027-09-30T00:00:00"/>
    <s v="PP2509"/>
    <n v="9.2999999999999999E-2"/>
    <n v="1536"/>
    <n v="0.186"/>
    <x v="18"/>
    <x v="4"/>
  </r>
  <r>
    <s v="M00106"/>
    <s v="SC6100015"/>
    <s v="PREGNACARE PLUS OMEGA 3 (H/56 VIEN)"/>
    <s v="Q27-03-1-2"/>
    <s v="LPN009483"/>
    <n v="3"/>
    <n v="0"/>
    <s v="HOLD"/>
    <s v="9184/2019/ĐKSP"/>
    <s v="0000030673"/>
    <d v="2027-09-30T00:00:00"/>
    <s v="PP2509"/>
    <n v="9.2999999999999999E-2"/>
    <n v="1536"/>
    <n v="0.27900000000000003"/>
    <x v="19"/>
    <x v="4"/>
  </r>
  <r>
    <s v="M00106"/>
    <s v="SC6100015"/>
    <s v="PREGNACARE PLUS OMEGA 3 (H/56 VIEN)"/>
    <s v="Q27-03-1-2"/>
    <s v="LPN009498"/>
    <n v="2"/>
    <n v="0"/>
    <s v="HOLD"/>
    <s v="9184/2019/ĐKSP"/>
    <s v="0000030673"/>
    <d v="2027-09-30T00:00:00"/>
    <s v="PP2509"/>
    <n v="9.2999999999999999E-2"/>
    <n v="1536"/>
    <n v="0.186"/>
    <x v="18"/>
    <x v="4"/>
  </r>
  <r>
    <s v="M00106"/>
    <s v="SC6100015"/>
    <s v="PREGNACARE PLUS OMEGA 3 (H/56 VIEN)"/>
    <s v="Q27-03-1-2"/>
    <s v="LPN009499"/>
    <n v="3"/>
    <n v="0"/>
    <s v="HOLD"/>
    <s v="9184/2019/ĐKSP"/>
    <s v="0000030673"/>
    <d v="2027-09-30T00:00:00"/>
    <s v="PP2509"/>
    <n v="9.2999999999999999E-2"/>
    <n v="1536"/>
    <n v="0.27900000000000003"/>
    <x v="19"/>
    <x v="4"/>
  </r>
  <r>
    <s v="M00106"/>
    <s v="SC6100003"/>
    <s v="FEROGLOBIN B12 CAPSULES (H/30 VIEN)"/>
    <s v="Q27-03-1-1"/>
    <s v="LPN009400"/>
    <n v="23"/>
    <n v="0"/>
    <s v="HOLD"/>
    <s v="9183/2019/ĐKSP"/>
    <s v="0000030673"/>
    <d v="2027-10-31T00:00:00"/>
    <s v="FW2402DBA"/>
    <n v="0.04"/>
    <n v="2688"/>
    <n v="0.92"/>
    <x v="65"/>
    <x v="4"/>
  </r>
  <r>
    <s v="M00106"/>
    <s v="SC6100003"/>
    <s v="FEROGLOBIN B12 CAPSULES (H/30 VIEN)"/>
    <s v="Q27-03-1-1"/>
    <s v="LPN009434"/>
    <n v="20"/>
    <n v="0"/>
    <s v="HOLD"/>
    <s v="9183/2019/ĐKSP"/>
    <s v="0000030673"/>
    <d v="2027-10-31T00:00:00"/>
    <s v="FW2402DBA"/>
    <n v="0.04"/>
    <n v="2688"/>
    <n v="0.8"/>
    <x v="220"/>
    <x v="4"/>
  </r>
  <r>
    <s v="M00106"/>
    <s v="SC6100003"/>
    <s v="FEROGLOBIN B12 CAPSULES (H/30 VIEN)"/>
    <s v="Q27-03-1-1"/>
    <s v="LPN009487"/>
    <n v="5"/>
    <n v="0"/>
    <s v="HOLD"/>
    <s v="9183/2019/ĐKSP"/>
    <s v="0000030673"/>
    <d v="2027-10-31T00:00:00"/>
    <s v="FW2402DBA"/>
    <n v="0.04"/>
    <n v="2688"/>
    <n v="0.2"/>
    <x v="46"/>
    <x v="4"/>
  </r>
  <r>
    <s v="M00106"/>
    <s v="SC6100003"/>
    <s v="FEROGLOBIN B12 CAPSULES (H/30 VIEN)"/>
    <s v="Q27-03-1-1"/>
    <s v="LPN009490"/>
    <n v="1"/>
    <n v="0"/>
    <s v="HOLD"/>
    <s v="9183/2019/ĐKSP"/>
    <s v="0000030673"/>
    <d v="2027-10-31T00:00:00"/>
    <s v="FW2402DBA"/>
    <n v="0.04"/>
    <n v="2688"/>
    <n v="0.04"/>
    <x v="51"/>
    <x v="4"/>
  </r>
  <r>
    <s v="M00106"/>
    <s v="SC6100003"/>
    <s v="FEROGLOBIN B12 CAPSULES (H/30 VIEN)"/>
    <s v="Q27-03-1-1"/>
    <s v="LPN009503"/>
    <n v="18"/>
    <n v="0"/>
    <s v="HOLD"/>
    <s v="9183/2019/ĐKSP"/>
    <s v="0000030673"/>
    <d v="2027-10-31T00:00:00"/>
    <s v="FW2402DBA"/>
    <n v="0.04"/>
    <n v="2688"/>
    <n v="0.72"/>
    <x v="221"/>
    <x v="4"/>
  </r>
  <r>
    <s v="M00106"/>
    <s v="SC6100003"/>
    <s v="FEROGLOBIN B12 CAPSULES (H/30 VIEN)"/>
    <s v="Q27-03-1-1"/>
    <s v="LPN009514"/>
    <n v="14"/>
    <n v="0"/>
    <s v="HOLD"/>
    <s v="9183/2019/ĐKSP"/>
    <s v="0000030673"/>
    <d v="2027-10-31T00:00:00"/>
    <s v="FW2402DBA"/>
    <n v="0.04"/>
    <n v="2688"/>
    <n v="0.56000000000000005"/>
    <x v="36"/>
    <x v="4"/>
  </r>
  <r>
    <s v="M00106"/>
    <s v="SC6100003"/>
    <s v="FEROGLOBIN B12 CAPSULES (H/30 VIEN)"/>
    <s v="Q27-03-1-1"/>
    <s v="LPN009550"/>
    <n v="61"/>
    <n v="0"/>
    <s v="HOLD"/>
    <s v="9183/2019/ĐKSP"/>
    <s v="0000030673"/>
    <d v="2027-10-31T00:00:00"/>
    <s v="FW2402DBA"/>
    <n v="0.04"/>
    <n v="2688"/>
    <n v="2.44"/>
    <x v="222"/>
    <x v="4"/>
  </r>
  <r>
    <s v="M00106"/>
    <s v="SC6100003"/>
    <s v="FEROGLOBIN B12 CAPSULES (H/30 VIEN)"/>
    <s v="Q27-03-1-1"/>
    <s v="LPN009554"/>
    <n v="7"/>
    <n v="0"/>
    <s v="HOLD"/>
    <s v="9183/2019/ĐKSP"/>
    <s v="0000030673"/>
    <d v="2027-10-31T00:00:00"/>
    <s v="FW2402DBA"/>
    <n v="0.04"/>
    <n v="2688"/>
    <n v="0.28000000000000003"/>
    <x v="44"/>
    <x v="4"/>
  </r>
  <r>
    <s v="M00106"/>
    <s v="SC6100003"/>
    <s v="FEROGLOBIN B12 CAPSULES (H/30 VIEN)"/>
    <s v="Q27-03-1-2"/>
    <s v="LPN009458"/>
    <n v="6"/>
    <n v="0"/>
    <s v="HOLD"/>
    <s v="9183/2019/ĐKSP"/>
    <s v="0000030673"/>
    <d v="2027-10-31T00:00:00"/>
    <s v="FW2402DBA"/>
    <n v="0.04"/>
    <n v="2688"/>
    <n v="0.24"/>
    <x v="53"/>
    <x v="4"/>
  </r>
  <r>
    <s v="M00106"/>
    <s v="SC6100003"/>
    <s v="FEROGLOBIN B12 CAPSULES (H/30 VIEN)"/>
    <s v="Q27-03-1-2"/>
    <s v="LPN009580"/>
    <n v="5"/>
    <n v="0"/>
    <s v="HOLD"/>
    <s v="9183/2019/ĐKSP"/>
    <s v="0000030673"/>
    <d v="2027-10-31T00:00:00"/>
    <s v="FW2402DBA"/>
    <n v="0.04"/>
    <n v="2688"/>
    <n v="0.2"/>
    <x v="46"/>
    <x v="4"/>
  </r>
  <r>
    <s v="M00106"/>
    <s v="SC6100003"/>
    <s v="FEROGLOBIN B12 CAPSULES (H/30 VIEN)"/>
    <s v="Q27-03-1-2"/>
    <s v="LPN009620"/>
    <n v="40"/>
    <n v="0"/>
    <s v="HOLD"/>
    <s v="9183/2019/ĐKSP"/>
    <s v="0000030673"/>
    <d v="2027-10-31T00:00:00"/>
    <s v="FW2402DBA"/>
    <n v="0.04"/>
    <n v="2688"/>
    <n v="1.6"/>
    <x v="223"/>
    <x v="4"/>
  </r>
  <r>
    <s v="HOANGDUC"/>
    <s v="TT1300566"/>
    <s v="NHAN PHU RXOLVE ULTRA EYE DROPS"/>
    <s v="Q27-01-9-1"/>
    <s v="000182532"/>
    <n v="5054"/>
    <n v="0"/>
    <s v="HOLD"/>
    <s v="NOVISA"/>
    <s v=" "/>
    <d v="2027-06-05T00:00:00"/>
    <s v="_"/>
    <n v="0"/>
    <n v="0"/>
    <n v="0"/>
    <x v="16"/>
    <x v="0"/>
  </r>
  <r>
    <s v="HD"/>
    <s v="HT1100033"/>
    <s v="DOLUTEGRAVIR, LAMIVUDINE AND TENOFOVIR DISOPROXIL FUMARATE T"/>
    <s v="Q26-03-4-1"/>
    <s v="LPN009348"/>
    <n v="14"/>
    <n v="0"/>
    <s v="HOLD"/>
    <s v="890110445523"/>
    <s v="0000030662"/>
    <d v="2027-02-17T00:00:00"/>
    <s v="E250782"/>
    <n v="9.4E-2"/>
    <n v="2475"/>
    <n v="1.3160000000000001"/>
    <x v="185"/>
    <x v="1"/>
  </r>
  <r>
    <s v="HD"/>
    <s v="HT1100033"/>
    <s v="DOLUTEGRAVIR, LAMIVUDINE AND TENOFOVIR DISOPROXIL FUMARATE T"/>
    <s v="Q26-03-5-1"/>
    <s v="LPN009341"/>
    <n v="17"/>
    <n v="0"/>
    <s v="HOLD"/>
    <s v="890110445523"/>
    <s v="0000030662"/>
    <d v="2027-02-17T00:00:00"/>
    <s v="E250782"/>
    <n v="9.4E-2"/>
    <n v="2475"/>
    <n v="1.5980000000000001"/>
    <x v="224"/>
    <x v="1"/>
  </r>
  <r>
    <s v="HD"/>
    <s v="HT1100033"/>
    <s v="DOLUTEGRAVIR, LAMIVUDINE AND TENOFOVIR DISOPROXIL FUMARATE T"/>
    <s v="Q26-03-4-1"/>
    <s v="LPN009356"/>
    <n v="27"/>
    <n v="0"/>
    <s v="HOLD"/>
    <s v="890110445523"/>
    <s v="0000030662"/>
    <d v="2027-02-19T00:00:00"/>
    <s v="E250784"/>
    <n v="9.4E-2"/>
    <n v="2475"/>
    <n v="2.5379999999999998"/>
    <x v="225"/>
    <x v="1"/>
  </r>
  <r>
    <s v="HOANGDUC"/>
    <s v="HY1300043"/>
    <s v="STERIMAR NOSE HYGIENE &amp; COMFORT 50 ML"/>
    <s v="Q27-03-1-1"/>
    <s v="000182569"/>
    <n v="6"/>
    <n v="0"/>
    <s v="HOLD"/>
    <s v="200001769/PCBA-HN"/>
    <s v="54-14183"/>
    <d v="2026-10-31T00:00:00"/>
    <s v="FE3302B"/>
    <n v="9.4E-2"/>
    <n v="2400"/>
    <n v="0.56400000000000006"/>
    <x v="226"/>
    <x v="4"/>
  </r>
  <r>
    <s v="HD"/>
    <s v="HT1100002"/>
    <s v="TELSAR-H 40/12.5 (HOP/30 VIEN)"/>
    <s v="Q26-03-4-1"/>
    <s v="LPN009408"/>
    <n v="4"/>
    <n v="0"/>
    <s v="HOLD"/>
    <s v="VN-22528-20"/>
    <s v="0000030745"/>
    <d v="2027-02-28T00:00:00"/>
    <s v="FD251345"/>
    <n v="3.4000000000000002E-2"/>
    <n v="1944"/>
    <n v="0.13600000000000001"/>
    <x v="227"/>
    <x v="1"/>
  </r>
  <r>
    <s v="HOANGDUC"/>
    <s v="RD4200001"/>
    <s v="REDDITUX 500MG (H/1LO X 50ML)"/>
    <s v="QC1-01-2-2"/>
    <s v="LPN009429"/>
    <n v="1"/>
    <n v="0"/>
    <s v="HOLD"/>
    <s v="QLSP-862-15"/>
    <s v="0000030777"/>
    <d v="2028-02-29T00:00:00"/>
    <s v="N250148A"/>
    <n v="9.6000000000000002E-2"/>
    <n v="504"/>
    <n v="9.6000000000000002E-2"/>
    <x v="132"/>
    <x v="6"/>
  </r>
  <r>
    <s v="HOANGDUC"/>
    <s v="AZ1100025"/>
    <s v="PLENDIL PLUS TAB 5.47.5MG BT 1X30 EA VN"/>
    <s v="Q26-03-4-1"/>
    <s v="000183356"/>
    <n v="1"/>
    <n v="0"/>
    <s v="HOLD"/>
    <s v="VN-20224-17"/>
    <s v="0000030778"/>
    <d v="2027-10-14T00:00:00"/>
    <s v="MAPX"/>
    <n v="3.5999999999999997E-2"/>
    <n v="5280"/>
    <n v="3.5999999999999997E-2"/>
    <x v="149"/>
    <x v="1"/>
  </r>
  <r>
    <s v="HOANGDUC"/>
    <s v="MY1100006"/>
    <s v="SMECTAGO 12STICKS VN"/>
    <s v="Q26-03-4-1"/>
    <s v="000183559"/>
    <n v="1"/>
    <n v="0"/>
    <s v="HOLD"/>
    <s v="300100774424"/>
    <s v="0000030814"/>
    <d v="2027-11-18T00:00:00"/>
    <s v="C62958"/>
    <n v="0.156"/>
    <n v="2400"/>
    <n v="0.156"/>
    <x v="228"/>
    <x v="1"/>
  </r>
  <r>
    <s v="HOANGDUC"/>
    <s v="MY1100003"/>
    <s v="SMECTA ORANGE 3G 30SACH VN"/>
    <s v="Q26-03-4-1"/>
    <s v="000183562"/>
    <n v="60"/>
    <n v="0"/>
    <s v="HOLD"/>
    <s v="VN-19485-15"/>
    <s v="0000030814"/>
    <d v="2028-01-13T00:00:00"/>
    <s v="D50420"/>
    <n v="0.154"/>
    <n v="1680"/>
    <n v="9.24"/>
    <x v="229"/>
    <x v="1"/>
  </r>
  <r>
    <s v="HOANGDUC"/>
    <s v="MY6100001"/>
    <s v="SMEBIOCTA LP299v (10CAPS) VN"/>
    <s v="Q26-01-6-1"/>
    <s v="000175318"/>
    <n v="24"/>
    <n v="0"/>
    <s v="HOLD"/>
    <s v="7777/2022/ĐKSP"/>
    <s v="0000030812"/>
    <d v="2026-01-11T00:00:00"/>
    <s v="IN23001"/>
    <n v="0.02"/>
    <n v="1650"/>
    <n v="0.48"/>
    <x v="160"/>
    <x v="2"/>
  </r>
  <r>
    <s v="HOANGDUC"/>
    <s v="BS1300012"/>
    <s v="PAPILOCARE (2 CANNULAS X 5ML)"/>
    <s v="Q27-01-1-1"/>
    <s v="LPN009764"/>
    <n v="5"/>
    <n v="0"/>
    <s v="HOLD"/>
    <s v="250001610/PCBB-HCM"/>
    <s v="0000030818"/>
    <d v="2028-05-31T00:00:00"/>
    <s v="W0771"/>
    <n v="0.03"/>
    <n v="6468"/>
    <n v="0.15"/>
    <x v="230"/>
    <x v="0"/>
  </r>
  <r>
    <s v="HOANGDUC"/>
    <s v="JJ635002"/>
    <s v="ONG BOM TRUFILL DCS II"/>
    <s v="Q26-01-8-2"/>
    <s v="000183667"/>
    <n v="1"/>
    <n v="0"/>
    <s v="HOLD"/>
    <s v="NOVISA"/>
    <s v="54-14336"/>
    <d v="2026-03-31T00:00:00"/>
    <s v="96331463"/>
    <n v="0.30399999999999999"/>
    <n v="0"/>
    <n v="0.30399999999999999"/>
    <x v="16"/>
    <x v="2"/>
  </r>
  <r>
    <s v="HOANGDUC"/>
    <s v="JJ635002"/>
    <s v="ONG BOM TRUFILL DCS II"/>
    <s v="Q26-01-8-2"/>
    <s v="000183666"/>
    <n v="1"/>
    <n v="0"/>
    <s v="HOLD"/>
    <s v="NOVISA"/>
    <s v="54-14336"/>
    <d v="2026-03-31T00:00:00"/>
    <s v="96331465"/>
    <n v="0.30399999999999999"/>
    <n v="0"/>
    <n v="0.30399999999999999"/>
    <x v="16"/>
    <x v="2"/>
  </r>
  <r>
    <s v="HOANGDUC"/>
    <s v="TT1300303"/>
    <s v="NHAN PHU - 90001894 CONTOUR TS BLOOD GLUCOSE TEST STRIPS 50."/>
    <s v="Q27-01-9-1"/>
    <s v="000184097"/>
    <n v="1377"/>
    <n v="0"/>
    <s v="HOLD"/>
    <s v="NOVISA"/>
    <s v=" "/>
    <d v="2027-06-19T00:00:00"/>
    <s v="_"/>
    <n v="0"/>
    <n v="0"/>
    <n v="0"/>
    <x v="16"/>
    <x v="0"/>
  </r>
  <r>
    <s v="HOANGDUC"/>
    <s v="MRA1615"/>
    <s v="A1615 ACHIEVE PROGRAMMABLE AUTOMATIC BIOPSY SYSTEM 16G X 15."/>
    <s v="Q27-01-1-1"/>
    <s v="LPN010718"/>
    <n v="2"/>
    <n v="0"/>
    <s v="HOLD"/>
    <s v="NOVISA"/>
    <s v="54-14334"/>
    <d v="2025-12-30T00:00:00"/>
    <s v="I2638349"/>
    <n v="4.8000000000000001E-2"/>
    <n v="0"/>
    <n v="9.6000000000000002E-2"/>
    <x v="16"/>
    <x v="0"/>
  </r>
  <r>
    <s v="HOANGDUC"/>
    <s v="MRA1611"/>
    <s v="A1611 ACHIEVE PROGRAMMABLE AUTOMATIC BIOPSY SYSTEM 16G X 11."/>
    <s v="Q26-01-8-2"/>
    <s v="LPN011321"/>
    <n v="15"/>
    <n v="0"/>
    <s v="HOLD"/>
    <s v="NOVISA"/>
    <s v="54-14334"/>
    <d v="2026-03-30T00:00:00"/>
    <s v="I2621627"/>
    <n v="4.8000000000000001E-2"/>
    <n v="0"/>
    <n v="0.72"/>
    <x v="16"/>
    <x v="2"/>
  </r>
  <r>
    <s v="HOANGDUC"/>
    <s v="MRA1815"/>
    <s v="A1815 ACHIEVE PROGRAMMABLE AUTOMATIC BIOPSY SYSTEM 18G X 15."/>
    <s v="Q26-01-8-2"/>
    <s v="LPN011319"/>
    <n v="10"/>
    <n v="0"/>
    <s v="HOLD"/>
    <s v="NOVISA"/>
    <s v="54-14334"/>
    <d v="2026-03-26T00:00:00"/>
    <s v="I2412957"/>
    <n v="4.8000000000000001E-2"/>
    <n v="400"/>
    <n v="0.48"/>
    <x v="231"/>
    <x v="2"/>
  </r>
  <r>
    <s v="HOANGDUC"/>
    <s v="MRA1820"/>
    <s v="A1820 ACHIEVE PROGRAMMABLE AUTOMATIC BIOPSY SYSTEM 18G X 20."/>
    <s v="Q26-01-8-2"/>
    <s v="LPN011320"/>
    <n v="23"/>
    <n v="0"/>
    <s v="HOLD"/>
    <s v="NOVISA"/>
    <s v="54-14334"/>
    <d v="2026-04-22T00:00:00"/>
    <s v="I2617698"/>
    <n v="4.8000000000000001E-2"/>
    <n v="0"/>
    <n v="1.1040000000000001"/>
    <x v="16"/>
    <x v="2"/>
  </r>
  <r>
    <s v="HOANGDUC"/>
    <s v="MRT1415"/>
    <s v="T1415 TEMNO (TEMNO BIOPSY DEVICE) 14G X 15.0 CM (1BOX=5EA)"/>
    <s v="Q27-01-1-1"/>
    <s v="LPN011033"/>
    <n v="20"/>
    <n v="0"/>
    <s v="HOLD"/>
    <s v="NOVISA"/>
    <s v="54-14334"/>
    <d v="2026-02-22T00:00:00"/>
    <s v="I2618378"/>
    <n v="0.03"/>
    <n v="0"/>
    <n v="0.6"/>
    <x v="16"/>
    <x v="0"/>
  </r>
  <r>
    <s v="HOANGDUC"/>
    <s v="SA1100034"/>
    <s v="CORDARONE 200MG B/ 2BLS X 15 TABS VN"/>
    <s v="Q26-01-1-1"/>
    <s v="000184393"/>
    <n v="0.03"/>
    <n v="0"/>
    <s v="HOLD"/>
    <s v="VN-16722-13"/>
    <s v="51-361586"/>
    <d v="2026-08-01T00:00:00"/>
    <s v="FA3060"/>
    <n v="2.1999999999999999E-2"/>
    <n v="8640"/>
    <n v="6.5999999999999989E-4"/>
    <x v="232"/>
    <x v="2"/>
  </r>
  <r>
    <s v="M00106"/>
    <s v="SC6100002"/>
    <s v="FEROGLOBIN B12 LIQUID 200ML"/>
    <s v="Q27-01-1-1"/>
    <s v="000184597"/>
    <n v="2"/>
    <n v="0"/>
    <s v="HOLD"/>
    <s v="8974/2019/ĐKSP"/>
    <s v="0000030821"/>
    <d v="2026-11-30T00:00:00"/>
    <s v="41951"/>
    <n v="0.3"/>
    <n v="1680"/>
    <n v="0.6"/>
    <x v="12"/>
    <x v="0"/>
  </r>
  <r>
    <s v="M00106"/>
    <s v="SC6100017"/>
    <s v="WELLKID MULTI-VITAMIN LIQUID (CHAI/150ML)"/>
    <s v="Q27-01-1-1"/>
    <s v="000184600"/>
    <n v="10"/>
    <n v="0"/>
    <s v="HOLD"/>
    <s v="10642/2019/ĐKSP"/>
    <s v="0000030821"/>
    <d v="2026-10-31T00:00:00"/>
    <s v="41750"/>
    <n v="0.312"/>
    <n v="1680"/>
    <n v="3.12"/>
    <x v="49"/>
    <x v="0"/>
  </r>
  <r>
    <s v="M00106"/>
    <s v="SC6100019"/>
    <s v="WELLBABY MULTI-VITAMIN LIQUID (CHAI 150ML)"/>
    <s v="Q27-01-1-1"/>
    <s v="000184601"/>
    <n v="3"/>
    <n v="0"/>
    <s v="HOLD"/>
    <s v="10643/2019/ĐKSP"/>
    <s v="0000030821"/>
    <d v="2026-09-30T00:00:00"/>
    <s v="41631"/>
    <n v="0.22600000000000001"/>
    <n v="1680"/>
    <n v="0.67800000000000005"/>
    <x v="55"/>
    <x v="0"/>
  </r>
  <r>
    <s v="M00106"/>
    <s v="SC6100003"/>
    <s v="FEROGLOBIN B12 CAPSULES (H/30 VIEN)"/>
    <s v="Q27-01-1-1"/>
    <s v="000184599"/>
    <n v="1"/>
    <n v="0"/>
    <s v="HOLD"/>
    <s v="9183/2019/ĐKSP"/>
    <s v="0000030821"/>
    <d v="2027-05-31T00:00:00"/>
    <s v="FW2414PA"/>
    <n v="0.04"/>
    <n v="2688"/>
    <n v="0.04"/>
    <x v="51"/>
    <x v="0"/>
  </r>
  <r>
    <s v="M00106"/>
    <s v="SC6100003"/>
    <s v="FEROGLOBIN B12 CAPSULES (H/30 VIEN)"/>
    <s v="Q27-03-1-2"/>
    <s v="LPN009649"/>
    <n v="13"/>
    <n v="0"/>
    <s v="HOLD"/>
    <s v="9183/2019/ĐKSP"/>
    <s v="0000030995"/>
    <d v="2027-12-31T00:00:00"/>
    <s v="FW2501KA"/>
    <n v="0.04"/>
    <n v="2688"/>
    <n v="0.52"/>
    <x v="48"/>
    <x v="4"/>
  </r>
  <r>
    <s v="M00106"/>
    <s v="SC6100003"/>
    <s v="FEROGLOBIN B12 CAPSULES (H/30 VIEN)"/>
    <s v="Q27-03-1-2"/>
    <s v="LPN009665"/>
    <n v="57"/>
    <n v="0"/>
    <s v="HOLD"/>
    <s v="9183/2019/ĐKSP"/>
    <s v="0000030995"/>
    <d v="2027-12-31T00:00:00"/>
    <s v="FW2501KA"/>
    <n v="0.04"/>
    <n v="2688"/>
    <n v="2.2800000000000002"/>
    <x v="233"/>
    <x v="4"/>
  </r>
  <r>
    <s v="M00106"/>
    <s v="SC6100003"/>
    <s v="FEROGLOBIN B12 CAPSULES (H/30 VIEN)"/>
    <s v="Q27-03-1-2"/>
    <s v="LPN009686"/>
    <n v="59"/>
    <n v="0"/>
    <s v="HOLD"/>
    <s v="9183/2019/ĐKSP"/>
    <s v="0000030995"/>
    <d v="2027-12-31T00:00:00"/>
    <s v="FW2501KA"/>
    <n v="0.04"/>
    <n v="2688"/>
    <n v="2.36"/>
    <x v="234"/>
    <x v="4"/>
  </r>
  <r>
    <s v="M00106"/>
    <s v="SC6100019"/>
    <s v="WELLBABY MULTI-VITAMIN LIQUID (CHAI 150ML)"/>
    <s v="Q27-03-1-2"/>
    <s v="LPN009667"/>
    <n v="16"/>
    <n v="0"/>
    <s v="HOLD"/>
    <s v="10643/2019/ĐKSP"/>
    <s v="0000030995"/>
    <d v="2027-02-28T00:00:00"/>
    <s v="50396"/>
    <n v="0.22600000000000001"/>
    <n v="1680"/>
    <n v="3.6160000000000001"/>
    <x v="93"/>
    <x v="4"/>
  </r>
  <r>
    <s v="M00106"/>
    <s v="SC6100019"/>
    <s v="WELLBABY MULTI-VITAMIN LIQUID (CHAI 150ML)"/>
    <s v="Q27-03-1-2"/>
    <s v="LPN009678"/>
    <n v="16"/>
    <n v="0"/>
    <s v="HOLD"/>
    <s v="10643/2019/ĐKSP"/>
    <s v="0000030995"/>
    <d v="2027-02-28T00:00:00"/>
    <s v="50396"/>
    <n v="0.22600000000000001"/>
    <n v="1680"/>
    <n v="3.6160000000000001"/>
    <x v="93"/>
    <x v="4"/>
  </r>
  <r>
    <s v="M00106"/>
    <s v="SC6100018"/>
    <s v="PREGNACARE BREAST-FEEDING (HOP/56 VIEN NEN, 28 VIEN NANG)"/>
    <s v="Q27-03-1-2"/>
    <s v="LPN009587"/>
    <n v="132"/>
    <n v="0"/>
    <s v="HOLD"/>
    <s v="10645/2019/ĐKSP"/>
    <s v="0000030995"/>
    <d v="2027-11-30T00:00:00"/>
    <s v="PB2505"/>
    <n v="0.158"/>
    <n v="1152"/>
    <n v="20.856000000000002"/>
    <x v="235"/>
    <x v="4"/>
  </r>
  <r>
    <s v="M00106"/>
    <s v="SC6100018"/>
    <s v="PREGNACARE BREAST-FEEDING (HOP/56 VIEN NEN, 28 VIEN NANG)"/>
    <s v="Q27-03-1-2"/>
    <s v="LPN009588"/>
    <n v="12"/>
    <n v="0"/>
    <s v="HOLD"/>
    <s v="10645/2019/ĐKSP"/>
    <s v="0000030995"/>
    <d v="2027-11-30T00:00:00"/>
    <s v="PB2505"/>
    <n v="0.158"/>
    <n v="1152"/>
    <n v="1.8959999999999999"/>
    <x v="27"/>
    <x v="4"/>
  </r>
  <r>
    <s v="M00106"/>
    <s v="SC6100018"/>
    <s v="PREGNACARE BREAST-FEEDING (HOP/56 VIEN NEN, 28 VIEN NANG)"/>
    <s v="Q27-03-1-2"/>
    <s v="LPN009589"/>
    <n v="19"/>
    <n v="0"/>
    <s v="HOLD"/>
    <s v="10645/2019/ĐKSP"/>
    <s v="0000030995"/>
    <d v="2027-11-30T00:00:00"/>
    <s v="PB2505"/>
    <n v="0.158"/>
    <n v="1152"/>
    <n v="3.0020000000000002"/>
    <x v="236"/>
    <x v="4"/>
  </r>
  <r>
    <s v="M00106"/>
    <s v="SC6100018"/>
    <s v="PREGNACARE BREAST-FEEDING (HOP/56 VIEN NEN, 28 VIEN NANG)"/>
    <s v="Q27-03-1-2"/>
    <s v="LPN009618"/>
    <n v="80"/>
    <n v="0"/>
    <s v="HOLD"/>
    <s v="10645/2019/ĐKSP"/>
    <s v="0000030995"/>
    <d v="2027-11-30T00:00:00"/>
    <s v="PB2505"/>
    <n v="0.158"/>
    <n v="1152"/>
    <n v="12.64"/>
    <x v="237"/>
    <x v="4"/>
  </r>
  <r>
    <s v="M00106"/>
    <s v="SC6100004"/>
    <s v="OSTEOCARE (H/30 VIEN)"/>
    <s v="Q27-03-1-1"/>
    <s v="LPN009696"/>
    <n v="7"/>
    <n v="0"/>
    <s v="HOLD"/>
    <s v="8615/2019/ĐKSP"/>
    <s v="0000030995"/>
    <d v="2029-01-31T00:00:00"/>
    <s v="OT2501P"/>
    <n v="7.4999999999999997E-2"/>
    <n v="2688"/>
    <n v="0.52500000000000002"/>
    <x v="44"/>
    <x v="4"/>
  </r>
  <r>
    <s v="M00106"/>
    <s v="SC6100004"/>
    <s v="OSTEOCARE (H/30 VIEN)"/>
    <s v="Q27-03-1-2"/>
    <s v="LPN009651"/>
    <n v="2"/>
    <n v="0"/>
    <s v="HOLD"/>
    <s v="8615/2019/ĐKSP"/>
    <s v="0000030995"/>
    <d v="2029-01-31T00:00:00"/>
    <s v="OT2501P"/>
    <n v="7.4999999999999997E-2"/>
    <n v="2688"/>
    <n v="0.15"/>
    <x v="52"/>
    <x v="4"/>
  </r>
  <r>
    <s v="M00106"/>
    <s v="SC6100004"/>
    <s v="OSTEOCARE (H/30 VIEN)"/>
    <s v="Q27-03-1-2"/>
    <s v="LPN009692"/>
    <n v="1"/>
    <n v="0"/>
    <s v="HOLD"/>
    <s v="8615/2019/ĐKSP"/>
    <s v="0000030995"/>
    <d v="2029-01-31T00:00:00"/>
    <s v="OT2501P"/>
    <n v="7.4999999999999997E-2"/>
    <n v="2688"/>
    <n v="7.4999999999999997E-2"/>
    <x v="51"/>
    <x v="4"/>
  </r>
  <r>
    <s v="M00106"/>
    <s v="SC6100001"/>
    <s v="OSTEOCARE LIQUID 200ML"/>
    <s v="Q27-03-1-2"/>
    <s v="LPN009593"/>
    <n v="10"/>
    <n v="0"/>
    <s v="HOLD"/>
    <s v="9186/2019/ĐKSP"/>
    <s v="0000030995"/>
    <d v="2027-02-28T00:00:00"/>
    <s v="50306"/>
    <n v="0.3"/>
    <n v="1680"/>
    <n v="3"/>
    <x v="49"/>
    <x v="4"/>
  </r>
  <r>
    <s v="M00106"/>
    <s v="SC6100001"/>
    <s v="OSTEOCARE LIQUID 200ML"/>
    <s v="Q27-03-1-2"/>
    <s v="LPN009666"/>
    <n v="9"/>
    <n v="0"/>
    <s v="HOLD"/>
    <s v="9186/2019/ĐKSP"/>
    <s v="0000030995"/>
    <d v="2027-02-28T00:00:00"/>
    <s v="50306"/>
    <n v="0.3"/>
    <n v="1680"/>
    <n v="2.6999999999999997"/>
    <x v="173"/>
    <x v="4"/>
  </r>
  <r>
    <s v="HOANGDUC"/>
    <s v="AZ1100025"/>
    <s v="PLENDIL PLUS TAB 5.47.5MG BT 1X30 EA VN"/>
    <s v="Q26-03-4-1"/>
    <s v="000185242"/>
    <n v="4"/>
    <n v="0"/>
    <s v="HOLD"/>
    <s v="VN-20224-17"/>
    <s v="0000031009"/>
    <d v="2028-01-07T00:00:00"/>
    <s v="MAPZ"/>
    <n v="3.5999999999999997E-2"/>
    <n v="5280"/>
    <n v="0.14399999999999999"/>
    <x v="238"/>
    <x v="1"/>
  </r>
  <r>
    <s v="HOANGDUC"/>
    <s v="MY1100003"/>
    <s v="SMECTA ORANGE 3G 30SACH VN"/>
    <s v="Q26-03-5-1"/>
    <s v="000185335"/>
    <n v="41"/>
    <n v="0"/>
    <s v="HOLD"/>
    <s v="VN-19485-15"/>
    <s v="0000031012"/>
    <d v="2028-02-25T00:00:00"/>
    <s v="D52335"/>
    <n v="0.154"/>
    <n v="1680"/>
    <n v="6.3140000000000001"/>
    <x v="180"/>
    <x v="1"/>
  </r>
  <r>
    <s v="HOANGDUC"/>
    <s v="MY1100008"/>
    <s v="FORLAX 10G 20SACH VN"/>
    <s v="Q26-03-6-1"/>
    <s v="LPN011238"/>
    <n v="1"/>
    <n v="0"/>
    <s v="HOLD"/>
    <s v="VN-16801-13"/>
    <s v="0000031059"/>
    <d v="2028-03-07T00:00:00"/>
    <s v="D52459"/>
    <n v="0.25700000000000001"/>
    <n v="1080"/>
    <n v="0.25700000000000001"/>
    <x v="205"/>
    <x v="1"/>
  </r>
  <r>
    <s v="HOANGDUC"/>
    <s v="MY1100008"/>
    <s v="FORLAX 10G 20SACH VN"/>
    <s v="Q26-03-5-1"/>
    <s v="000185518"/>
    <n v="3"/>
    <n v="0"/>
    <s v="HOLD"/>
    <s v="VN-16801-13"/>
    <s v="0000031065"/>
    <d v="2028-03-08T00:00:00"/>
    <s v="D52461"/>
    <n v="0.25700000000000001"/>
    <n v="1080"/>
    <n v="0.77100000000000002"/>
    <x v="239"/>
    <x v="1"/>
  </r>
  <r>
    <s v="HOANGDUC"/>
    <s v="MY1100008"/>
    <s v="FORLAX 10G 20SACH VN"/>
    <s v="Q26-03-5-1"/>
    <s v="000185515"/>
    <n v="1"/>
    <n v="0"/>
    <s v="HOLD"/>
    <s v="VN-16801-13"/>
    <s v="0000031065"/>
    <d v="2028-03-06T00:00:00"/>
    <s v="D52438"/>
    <n v="0.25700000000000001"/>
    <n v="1080"/>
    <n v="0.25700000000000001"/>
    <x v="205"/>
    <x v="1"/>
  </r>
  <r>
    <s v="HOANGDUC"/>
    <s v="MY1100008"/>
    <s v="FORLAX 10G 20SACH VN"/>
    <s v="Q26-03-5-1"/>
    <s v="000185402"/>
    <n v="1"/>
    <n v="0"/>
    <s v="HOLD"/>
    <s v="VN-16801-13"/>
    <s v="0000031065"/>
    <d v="2028-03-07T00:00:00"/>
    <s v="D52460"/>
    <n v="0.25700000000000001"/>
    <n v="1080"/>
    <n v="0.25700000000000001"/>
    <x v="205"/>
    <x v="1"/>
  </r>
  <r>
    <s v="HOANGDUC"/>
    <s v="MY1100008"/>
    <s v="FORLAX 10G 20SACH VN"/>
    <s v="Q26-03-5-1"/>
    <s v="000185514"/>
    <n v="1"/>
    <n v="0"/>
    <s v="HOLD"/>
    <s v="VN-16801-13"/>
    <s v="0000031065"/>
    <d v="2028-03-05T00:00:00"/>
    <s v="D52437"/>
    <n v="0.25700000000000001"/>
    <n v="1080"/>
    <n v="0.25700000000000001"/>
    <x v="205"/>
    <x v="1"/>
  </r>
  <r>
    <s v="HOANGDUC"/>
    <s v="MY1100004"/>
    <s v="SMECTA ORANGE 3G 10SACH VN"/>
    <s v="Q26-03-5-1"/>
    <s v="000185592"/>
    <n v="3"/>
    <n v="0"/>
    <s v="HOLD"/>
    <s v="VN-19485-15"/>
    <s v="0000031068"/>
    <d v="2028-03-04T00:00:00"/>
    <s v="D52566"/>
    <n v="5.3999999999999999E-2"/>
    <n v="4704"/>
    <n v="0.16200000000000001"/>
    <x v="240"/>
    <x v="1"/>
  </r>
  <r>
    <s v="HOANGDUC"/>
    <s v="MY1100004"/>
    <s v="SMECTA ORANGE 3G 10SACH VN"/>
    <s v="Q26-03-5-1"/>
    <s v="000185513"/>
    <n v="4"/>
    <n v="0"/>
    <s v="HOLD"/>
    <s v="VN-19485-15"/>
    <s v="0000031068"/>
    <d v="2028-03-03T00:00:00"/>
    <s v="D52563"/>
    <n v="5.3999999999999999E-2"/>
    <n v="4704"/>
    <n v="0.216"/>
    <x v="241"/>
    <x v="1"/>
  </r>
  <r>
    <s v="HOANGDUC"/>
    <s v="DV1100152"/>
    <s v="COURTOIS (HOP/28VIEN) - EU"/>
    <s v="Q26-03-5-1"/>
    <s v="000185721"/>
    <n v="16"/>
    <n v="0"/>
    <s v="HOLD"/>
    <s v="VD-21987-14"/>
    <s v="51-364388"/>
    <d v="2027-10-02T00:00:00"/>
    <s v="242710"/>
    <n v="1.9E-2"/>
    <n v="4800"/>
    <n v="0.30399999999999999"/>
    <x v="242"/>
    <x v="1"/>
  </r>
  <r>
    <s v="M00106"/>
    <s v="SC6100002"/>
    <s v="FEROGLOBIN B12 LIQUID 200ML"/>
    <s v="Q27-03-9-1"/>
    <s v="000185770"/>
    <n v="341"/>
    <n v="0"/>
    <s v="HOLD"/>
    <s v="8974/2019/ĐKSP"/>
    <s v="0000031091"/>
    <d v="2026-04-30T00:00:00"/>
    <s v="40815"/>
    <n v="0.3"/>
    <n v="1680"/>
    <n v="102.3"/>
    <x v="243"/>
    <x v="4"/>
  </r>
  <r>
    <s v="M00106"/>
    <s v="SC6100002"/>
    <s v="FEROGLOBIN B12 LIQUID 200ML"/>
    <s v="Q27-01-6-2"/>
    <s v="000185769"/>
    <n v="100"/>
    <n v="0"/>
    <s v="HOLD"/>
    <s v="8974/2019/ĐKSP"/>
    <s v="0000031091"/>
    <d v="2026-02-28T00:00:00"/>
    <s v="40426"/>
    <n v="0.3"/>
    <n v="1680"/>
    <n v="30"/>
    <x v="244"/>
    <x v="0"/>
  </r>
  <r>
    <s v="M00106"/>
    <s v="SC6100001"/>
    <s v="OSTEOCARE LIQUID 200ML"/>
    <s v="Q27-01-4-2"/>
    <s v="000185765"/>
    <n v="61"/>
    <n v="0"/>
    <s v="HOLD"/>
    <s v="9186/2019/ĐKSP"/>
    <s v="0000031091"/>
    <d v="2026-02-28T00:00:00"/>
    <s v="40487"/>
    <n v="0.3"/>
    <n v="1680"/>
    <n v="18.3"/>
    <x v="245"/>
    <x v="0"/>
  </r>
  <r>
    <s v="M00106"/>
    <s v="SC6100001"/>
    <s v="OSTEOCARE LIQUID 200ML"/>
    <s v="Q27-01-6-2"/>
    <s v="000185764"/>
    <n v="151"/>
    <n v="0"/>
    <s v="HOLD"/>
    <s v="9186/2019/ĐKSP"/>
    <s v="0000031091"/>
    <d v="2026-02-28T00:00:00"/>
    <s v="40314"/>
    <n v="0.3"/>
    <n v="1680"/>
    <n v="45.3"/>
    <x v="246"/>
    <x v="0"/>
  </r>
  <r>
    <s v="M00106"/>
    <s v="SC6100004"/>
    <s v="OSTEOCARE (H/30 VIEN)"/>
    <s v="Q27-01-4-2"/>
    <s v="000185780"/>
    <n v="8"/>
    <n v="0"/>
    <s v="HOLD"/>
    <s v="8615/2019/ĐKSP"/>
    <s v="0000031091"/>
    <d v="2026-01-31T00:00:00"/>
    <s v="OT2205P"/>
    <n v="7.4999999999999997E-2"/>
    <n v="2688"/>
    <n v="0.6"/>
    <x v="41"/>
    <x v="0"/>
  </r>
  <r>
    <s v="M00106"/>
    <s v="SC6100004"/>
    <s v="OSTEOCARE (H/30 VIEN)"/>
    <s v="Q27-01-2-1"/>
    <s v="000185777"/>
    <n v="5"/>
    <n v="0"/>
    <s v="HOLD"/>
    <s v="8615/2019/ĐKSP"/>
    <s v="0000031091"/>
    <d v="2026-01-31T00:00:00"/>
    <s v="OT2202P"/>
    <n v="7.4999999999999997E-2"/>
    <n v="2688"/>
    <n v="0.375"/>
    <x v="46"/>
    <x v="0"/>
  </r>
  <r>
    <s v="M00106"/>
    <s v="SC6100003"/>
    <s v="FEROGLOBIN B12 CAPSULES (H/30 VIEN)"/>
    <s v="Q27-03-9-1"/>
    <s v="000185775"/>
    <n v="19"/>
    <n v="0"/>
    <s v="HOLD"/>
    <s v="9183/2019/ĐKSP"/>
    <s v="0000031091"/>
    <d v="2027-03-31T00:00:00"/>
    <s v="FW2404TA"/>
    <n v="0.04"/>
    <n v="2688"/>
    <n v="0.76"/>
    <x v="43"/>
    <x v="4"/>
  </r>
  <r>
    <s v="M00106"/>
    <s v="SC6100003"/>
    <s v="FEROGLOBIN B12 CAPSULES (H/30 VIEN)"/>
    <s v="Q27-03-9-1"/>
    <s v="000185774"/>
    <n v="31"/>
    <n v="0"/>
    <s v="HOLD"/>
    <s v="9183/2019/ĐKSP"/>
    <s v="0000031091"/>
    <d v="2026-05-31T00:00:00"/>
    <s v="FW2315TA"/>
    <n v="0.04"/>
    <n v="2688"/>
    <n v="1.24"/>
    <x v="85"/>
    <x v="4"/>
  </r>
  <r>
    <s v="M00106"/>
    <s v="SC6100003"/>
    <s v="FEROGLOBIN B12 CAPSULES (H/30 VIEN)"/>
    <s v="Q27-03-9-1"/>
    <s v="000185773"/>
    <n v="1"/>
    <n v="0"/>
    <s v="HOLD"/>
    <s v="9183/2019/ĐKSP"/>
    <s v="0000031091"/>
    <d v="2026-04-30T00:00:00"/>
    <s v="FW2304AA"/>
    <n v="0.04"/>
    <n v="2688"/>
    <n v="0.04"/>
    <x v="51"/>
    <x v="4"/>
  </r>
  <r>
    <s v="M00106"/>
    <s v="SC6100003"/>
    <s v="FEROGLOBIN B12 CAPSULES (H/30 VIEN)"/>
    <s v="Q26-01-9-2"/>
    <s v="000185772"/>
    <n v="3"/>
    <n v="0"/>
    <s v="HOLD"/>
    <s v="9183/2019/ĐKSP"/>
    <s v="0000031091"/>
    <d v="2026-04-30T00:00:00"/>
    <s v="FW2302AA"/>
    <n v="0.04"/>
    <n v="2688"/>
    <n v="0.12"/>
    <x v="45"/>
    <x v="2"/>
  </r>
  <r>
    <s v="M00106"/>
    <s v="SC6100004"/>
    <s v="OSTEOCARE (H/30 VIEN)"/>
    <s v="Q27-01-2-1"/>
    <s v="000185778"/>
    <n v="99"/>
    <n v="0"/>
    <s v="HOLD"/>
    <s v="8615/2019/ĐKSP"/>
    <s v="0000031091"/>
    <d v="2026-01-31T00:00:00"/>
    <s v="OT2203P"/>
    <n v="7.4999999999999997E-2"/>
    <n v="2688"/>
    <n v="7.4249999999999998"/>
    <x v="247"/>
    <x v="0"/>
  </r>
  <r>
    <s v="M00106"/>
    <s v="SC6100004"/>
    <s v="OSTEOCARE (H/30 VIEN)"/>
    <s v="Q27-01-4-2"/>
    <s v="000185779"/>
    <n v="228"/>
    <n v="0"/>
    <s v="HOLD"/>
    <s v="8615/2019/ĐKSP"/>
    <s v="0000031091"/>
    <d v="2026-01-31T00:00:00"/>
    <s v="OT2204P"/>
    <n v="7.4999999999999997E-2"/>
    <n v="2688"/>
    <n v="17.099999999999998"/>
    <x v="248"/>
    <x v="0"/>
  </r>
  <r>
    <s v="M00106"/>
    <s v="SC6100009"/>
    <s v="WELLMAN (H/30 VIEN)"/>
    <s v="Q27-01-4-2"/>
    <s v="000185788"/>
    <n v="80"/>
    <n v="0"/>
    <s v="HOLD"/>
    <s v="8718/2019/ĐKSP"/>
    <s v="0000031091"/>
    <d v="2026-02-28T00:00:00"/>
    <s v="WEIR2304SA"/>
    <n v="4.8000000000000001E-2"/>
    <n v="2880"/>
    <n v="3.84"/>
    <x v="67"/>
    <x v="0"/>
  </r>
  <r>
    <s v="M00106"/>
    <s v="SC6100008"/>
    <s v="MENOPACE (H/30 VIEN)"/>
    <s v="Q27-01-6-2"/>
    <s v="000185787"/>
    <n v="673"/>
    <n v="0"/>
    <s v="HOLD"/>
    <s v="9577/2019/ĐKSP"/>
    <s v="0000031091"/>
    <d v="2026-01-31T00:00:00"/>
    <s v="165074"/>
    <n v="5.3999999999999999E-2"/>
    <n v="2880"/>
    <n v="36.341999999999999"/>
    <x v="249"/>
    <x v="0"/>
  </r>
  <r>
    <s v="M00106"/>
    <s v="SC6100018"/>
    <s v="PREGNACARE BREAST-FEEDING (HOP/56 VIEN NEN, 28 VIEN NANG)"/>
    <s v="Q27-03-9-1"/>
    <s v="000185816"/>
    <n v="69"/>
    <n v="0"/>
    <s v="HOLD"/>
    <s v="10645/2019/ĐKSP"/>
    <s v="0000031091"/>
    <d v="2026-10-31T00:00:00"/>
    <s v="PB2406"/>
    <n v="0.158"/>
    <n v="1152"/>
    <n v="10.901999999999999"/>
    <x v="250"/>
    <x v="4"/>
  </r>
  <r>
    <s v="M00106"/>
    <s v="SC6100018"/>
    <s v="PREGNACARE BREAST-FEEDING (HOP/56 VIEN NEN, 28 VIEN NANG)"/>
    <s v="Q27-03-9-1"/>
    <s v="000185817"/>
    <n v="4"/>
    <n v="0"/>
    <s v="HOLD"/>
    <s v="10645/2019/ĐKSP"/>
    <s v="0000031091"/>
    <d v="2026-10-31T00:00:00"/>
    <s v="PB2408"/>
    <n v="0.158"/>
    <n v="1152"/>
    <n v="0.63200000000000001"/>
    <x v="251"/>
    <x v="4"/>
  </r>
  <r>
    <s v="M00106"/>
    <s v="SC6100018"/>
    <s v="PREGNACARE BREAST-FEEDING (HOP/56 VIEN NEN, 28 VIEN NANG)"/>
    <s v="Q27-03-9-1"/>
    <s v="000185818"/>
    <n v="9"/>
    <n v="0"/>
    <s v="HOLD"/>
    <s v="10645/2019/ĐKSP"/>
    <s v="0000031091"/>
    <d v="2026-11-30T00:00:00"/>
    <s v="PB2412"/>
    <n v="0.158"/>
    <n v="1152"/>
    <n v="1.4219999999999999"/>
    <x v="25"/>
    <x v="4"/>
  </r>
  <r>
    <s v="M00106"/>
    <s v="SC6100018"/>
    <s v="PREGNACARE BREAST-FEEDING (HOP/56 VIEN NEN, 28 VIEN NANG)"/>
    <s v="Q27-01-1-1"/>
    <s v="LPN000003"/>
    <n v="31"/>
    <n v="0"/>
    <s v="HOLD"/>
    <s v="10645/2019/ĐKSP"/>
    <s v="0000031091"/>
    <d v="2026-09-30T00:00:00"/>
    <s v="PB2344"/>
    <n v="0.158"/>
    <n v="1152"/>
    <n v="4.8979999999999997"/>
    <x v="252"/>
    <x v="0"/>
  </r>
  <r>
    <s v="M00106"/>
    <s v="SC6100018"/>
    <s v="PREGNACARE BREAST-FEEDING (HOP/56 VIEN NEN, 28 VIEN NANG)"/>
    <s v="Q27-03-9-1"/>
    <s v="000185815"/>
    <n v="51"/>
    <n v="0"/>
    <s v="HOLD"/>
    <s v="10645/2019/ĐKSP"/>
    <s v="0000031091"/>
    <d v="2026-09-30T00:00:00"/>
    <s v="PB2344"/>
    <n v="0.158"/>
    <n v="1152"/>
    <n v="8.0579999999999998"/>
    <x v="253"/>
    <x v="4"/>
  </r>
  <r>
    <s v="M00106"/>
    <s v="SC6100018"/>
    <s v="PREGNACARE BREAST-FEEDING (HOP/56 VIEN NEN, 28 VIEN NANG)"/>
    <s v="Q27-03-9-1"/>
    <s v="000185819"/>
    <n v="1"/>
    <n v="0"/>
    <s v="HOLD"/>
    <s v="10645/2019/ĐKSP"/>
    <s v="0000031091"/>
    <d v="2027-09-30T00:00:00"/>
    <s v="PB2501"/>
    <n v="0.158"/>
    <n v="1152"/>
    <n v="0.158"/>
    <x v="71"/>
    <x v="4"/>
  </r>
  <r>
    <s v="M00106"/>
    <s v="SC6100019"/>
    <s v="WELLBABY MULTI-VITAMIN LIQUID (CHAI 150ML)"/>
    <s v="Q26-01-7-2"/>
    <s v="000185823"/>
    <n v="51"/>
    <n v="0"/>
    <s v="HOLD"/>
    <s v="10643/2019/ĐKSP"/>
    <s v="0000031091"/>
    <d v="2026-03-31T00:00:00"/>
    <s v="40505"/>
    <n v="0.22600000000000001"/>
    <n v="1680"/>
    <n v="11.526"/>
    <x v="254"/>
    <x v="2"/>
  </r>
  <r>
    <s v="M00106"/>
    <s v="SC6100011"/>
    <s v="PERFECTIL (H/30 VIEN)"/>
    <s v="Q27-03-9-1"/>
    <s v="000185792"/>
    <n v="15"/>
    <n v="0"/>
    <s v="HOLD"/>
    <s v="9185/2019/ĐKSP"/>
    <s v="0000031091"/>
    <d v="2026-07-31T00:00:00"/>
    <s v="PFT2320P"/>
    <n v="5.8000000000000003E-2"/>
    <n v="2880"/>
    <n v="0.87"/>
    <x v="36"/>
    <x v="4"/>
  </r>
  <r>
    <s v="M00106"/>
    <s v="SC6100013"/>
    <s v="PREGNACARE ORIGINAL (H/30 VIEN)"/>
    <s v="Q27-03-9-1"/>
    <s v="000185795"/>
    <n v="45"/>
    <n v="0"/>
    <s v="HOLD"/>
    <s v="4140/2020/ĐKSP"/>
    <s v="0000031091"/>
    <d v="2026-04-30T00:00:00"/>
    <s v="PRW2323PA"/>
    <n v="4.9000000000000002E-2"/>
    <n v="2880"/>
    <n v="2.2050000000000001"/>
    <x v="207"/>
    <x v="4"/>
  </r>
  <r>
    <s v="M00106"/>
    <s v="SC6100014"/>
    <s v="LIVERIL (H/30 VIEN)"/>
    <s v="Q27-01-4-2"/>
    <s v="000185801"/>
    <n v="17"/>
    <n v="0"/>
    <s v="HOLD"/>
    <s v="8719/2019/ĐKSP"/>
    <s v="0000031091"/>
    <d v="2026-02-28T00:00:00"/>
    <s v="LV2305P"/>
    <n v="6.8000000000000005E-2"/>
    <n v="2240"/>
    <n v="1.1560000000000001"/>
    <x v="255"/>
    <x v="0"/>
  </r>
  <r>
    <s v="M00106"/>
    <s v="SC6100019"/>
    <s v="WELLBABY MULTI-VITAMIN LIQUID (CHAI 150ML)"/>
    <s v="Q27-03-9-1"/>
    <s v="000185825"/>
    <n v="11"/>
    <n v="0"/>
    <s v="HOLD"/>
    <s v="10643/2019/ĐKSP"/>
    <s v="0000031091"/>
    <d v="2026-07-31T00:00:00"/>
    <s v="41402"/>
    <n v="0.22600000000000001"/>
    <n v="1680"/>
    <n v="2.4860000000000002"/>
    <x v="155"/>
    <x v="4"/>
  </r>
  <r>
    <s v="M00106"/>
    <s v="SC6100019"/>
    <s v="WELLBABY MULTI-VITAMIN LIQUID (CHAI 150ML)"/>
    <s v="Q27-03-9-1"/>
    <s v="000185824"/>
    <n v="1"/>
    <n v="0"/>
    <s v="HOLD"/>
    <s v="10643/2019/ĐKSP"/>
    <s v="0000031091"/>
    <d v="2026-06-30T00:00:00"/>
    <s v="41013"/>
    <n v="0.22600000000000001"/>
    <n v="1680"/>
    <n v="0.22600000000000001"/>
    <x v="153"/>
    <x v="4"/>
  </r>
  <r>
    <s v="M00106"/>
    <s v="SC6100019"/>
    <s v="WELLBABY MULTI-VITAMIN LIQUID (CHAI 150ML)"/>
    <s v="Q27-03-9-1"/>
    <s v="000185826"/>
    <n v="1"/>
    <n v="0"/>
    <s v="HOLD"/>
    <s v="10643/2019/ĐKSP"/>
    <s v="0000031091"/>
    <d v="2026-07-31T00:00:00"/>
    <s v="41403"/>
    <n v="0.22600000000000001"/>
    <n v="1680"/>
    <n v="0.22600000000000001"/>
    <x v="153"/>
    <x v="4"/>
  </r>
  <r>
    <s v="M00106"/>
    <s v="SC6100019"/>
    <s v="WELLBABY MULTI-VITAMIN LIQUID (CHAI 150ML)"/>
    <s v="Q27-03-9-1"/>
    <s v="000185827"/>
    <n v="1"/>
    <n v="0"/>
    <s v="HOLD"/>
    <s v="10643/2019/ĐKSP"/>
    <s v="0000031091"/>
    <d v="2026-08-31T00:00:00"/>
    <s v="41588"/>
    <n v="0.22600000000000001"/>
    <n v="1680"/>
    <n v="0.22600000000000001"/>
    <x v="153"/>
    <x v="4"/>
  </r>
  <r>
    <s v="M00106"/>
    <s v="SC6100017"/>
    <s v="WELLKID MULTI-VITAMIN LIQUID (CHAI/150ML)"/>
    <s v="Q27-03-9-1"/>
    <s v="000185809"/>
    <n v="10"/>
    <n v="0"/>
    <s v="HOLD"/>
    <s v="10642/2019/ĐKSP"/>
    <s v="0000031091"/>
    <d v="2026-09-30T00:00:00"/>
    <s v="41589"/>
    <n v="0.312"/>
    <n v="1680"/>
    <n v="3.12"/>
    <x v="49"/>
    <x v="4"/>
  </r>
  <r>
    <s v="M00106"/>
    <s v="SC6100015"/>
    <s v="PREGNACARE PLUS OMEGA 3 (H/56 VIEN)"/>
    <s v="Q27-01-4-2"/>
    <s v="000185805"/>
    <n v="55"/>
    <n v="0"/>
    <s v="HOLD"/>
    <s v="9184/2019/ĐKSP"/>
    <s v="0000031091"/>
    <d v="2026-03-31T00:00:00"/>
    <s v="PP2347"/>
    <n v="9.2999999999999999E-2"/>
    <n v="1536"/>
    <n v="5.1150000000000002"/>
    <x v="256"/>
    <x v="0"/>
  </r>
  <r>
    <s v="M00106"/>
    <s v="SC6100015"/>
    <s v="PREGNACARE PLUS OMEGA 3 (H/56 VIEN)"/>
    <s v="Q26-01-9-2"/>
    <s v="LPN000005"/>
    <n v="2"/>
    <n v="0"/>
    <s v="HOLD"/>
    <s v="9184/2019/ĐKSP"/>
    <s v="0000031091"/>
    <d v="2026-05-31T00:00:00"/>
    <s v="PP2345"/>
    <n v="9.2999999999999999E-2"/>
    <n v="1536"/>
    <n v="0.186"/>
    <x v="18"/>
    <x v="2"/>
  </r>
  <r>
    <s v="M00106"/>
    <s v="SC6100015"/>
    <s v="PREGNACARE PLUS OMEGA 3 (H/56 VIEN)"/>
    <s v="Q27-03-9-1"/>
    <s v="000185804"/>
    <n v="7"/>
    <n v="0"/>
    <s v="HOLD"/>
    <s v="9184/2019/ĐKSP"/>
    <s v="0000031091"/>
    <d v="2026-05-31T00:00:00"/>
    <s v="PP2345"/>
    <n v="9.2999999999999999E-2"/>
    <n v="1536"/>
    <n v="0.65100000000000002"/>
    <x v="20"/>
    <x v="4"/>
  </r>
  <r>
    <s v="M00106"/>
    <s v="SC6100015"/>
    <s v="PREGNACARE PLUS OMEGA 3 (H/56 VIEN)"/>
    <s v="Q26-01-9-2"/>
    <s v="000185802"/>
    <n v="3"/>
    <n v="0"/>
    <s v="HOLD"/>
    <s v="9184/2019/ĐKSP"/>
    <s v="0000031091"/>
    <d v="2026-01-31T00:00:00"/>
    <s v="PP2324"/>
    <n v="9.2999999999999999E-2"/>
    <n v="1536"/>
    <n v="0.27900000000000003"/>
    <x v="19"/>
    <x v="2"/>
  </r>
  <r>
    <s v="M00106"/>
    <s v="SC6100015"/>
    <s v="PREGNACARE PLUS OMEGA 3 (H/56 VIEN)"/>
    <s v="Q27-01-4-2"/>
    <s v="LPN000002"/>
    <n v="20"/>
    <n v="0"/>
    <s v="HOLD"/>
    <s v="9184/2019/ĐKSP"/>
    <s v="0000031091"/>
    <d v="2026-01-31T00:00:00"/>
    <s v="PP2324"/>
    <n v="9.2999999999999999E-2"/>
    <n v="1536"/>
    <n v="1.8599999999999999"/>
    <x v="32"/>
    <x v="0"/>
  </r>
  <r>
    <s v="M00106"/>
    <s v="SC6100015"/>
    <s v="PREGNACARE PLUS OMEGA 3 (H/56 VIEN)"/>
    <s v="Q27-03-9-1"/>
    <s v="000185803"/>
    <n v="7"/>
    <n v="0"/>
    <s v="HOLD"/>
    <s v="9184/2019/ĐKSP"/>
    <s v="0000031091"/>
    <d v="2026-05-31T00:00:00"/>
    <s v="PP2341"/>
    <n v="9.2999999999999999E-2"/>
    <n v="1536"/>
    <n v="0.65100000000000002"/>
    <x v="20"/>
    <x v="4"/>
  </r>
  <r>
    <s v="M00106"/>
    <s v="SC6100025"/>
    <s v="PREGNACARE MAX (H/56 VIEN NEN, 28 VIEN NANG)"/>
    <s v="Q27-03-9-1"/>
    <s v="000185834"/>
    <n v="9"/>
    <n v="0"/>
    <s v="HOLD"/>
    <s v="1475/2024/ĐKSP"/>
    <s v="0000031091"/>
    <d v="2026-11-30T00:00:00"/>
    <s v="PM2409"/>
    <n v="0.156"/>
    <n v="1152"/>
    <n v="1.4039999999999999"/>
    <x v="25"/>
    <x v="4"/>
  </r>
  <r>
    <s v="M00106"/>
    <s v="SC6100025"/>
    <s v="PREGNACARE MAX (H/56 VIEN NEN, 28 VIEN NANG)"/>
    <s v="Q27-03-9-1"/>
    <s v="LPN000004"/>
    <n v="29"/>
    <n v="0"/>
    <s v="HOLD"/>
    <s v="1475/2024/ĐKSP"/>
    <s v="0000031091"/>
    <d v="2026-11-30T00:00:00"/>
    <s v="PM2409"/>
    <n v="0.156"/>
    <n v="1152"/>
    <n v="4.524"/>
    <x v="111"/>
    <x v="4"/>
  </r>
  <r>
    <s v="M00106"/>
    <s v="SC6100024"/>
    <s v="OSTEOCARE CHEWABLE (HOP/30 VIEN)"/>
    <s v="Q27-01-4-2"/>
    <s v="000185833"/>
    <n v="43"/>
    <n v="0"/>
    <s v="HOLD"/>
    <s v="9529/2023/ĐKSP"/>
    <s v="0000031091"/>
    <d v="2026-02-28T00:00:00"/>
    <s v="F169385"/>
    <n v="9.6000000000000002E-2"/>
    <n v="1920"/>
    <n v="4.1280000000000001"/>
    <x v="257"/>
    <x v="0"/>
  </r>
  <r>
    <s v="M00106"/>
    <s v="SC6100021"/>
    <s v="WELLKID MULTI-VITAMIN SMART CHEWABLE (H/30VIEN)"/>
    <s v="Q26-01-7-2"/>
    <s v="000185830"/>
    <n v="108"/>
    <n v="0"/>
    <s v="HOLD"/>
    <s v="7661/2023/ĐKSP"/>
    <s v="0000031091"/>
    <d v="2026-01-31T00:00:00"/>
    <s v="F167061"/>
    <n v="7.1999999999999995E-2"/>
    <n v="1920"/>
    <n v="7.7759999999999998"/>
    <x v="258"/>
    <x v="2"/>
  </r>
  <r>
    <s v="M00106"/>
    <s v="SC6100023"/>
    <s v="VISIONACE ORIGINAL (HOP/30VIEN)"/>
    <s v="Q27-03-4-2"/>
    <s v="000185832"/>
    <n v="5"/>
    <n v="0"/>
    <s v="HOLD"/>
    <s v="1737/2024/ĐKSP"/>
    <s v="0000031091"/>
    <d v="2026-07-31T00:00:00"/>
    <s v="126094A"/>
    <n v="5.0999999999999997E-2"/>
    <n v="2880"/>
    <n v="0.255"/>
    <x v="70"/>
    <x v="4"/>
  </r>
  <r>
    <s v="HOANGDUC"/>
    <s v="TT1300336"/>
    <s v="NHAN PHU - ABIRATRED"/>
    <s v="Q27-01-9-1"/>
    <s v="000185910"/>
    <n v="229"/>
    <n v="0"/>
    <s v="HOLD"/>
    <s v="novisa"/>
    <s v=" "/>
    <d v="2027-07-01T00:00:00"/>
    <s v="_"/>
    <n v="0"/>
    <n v="0"/>
    <n v="0"/>
    <x v="16"/>
    <x v="0"/>
  </r>
  <r>
    <s v="HOANGDUC"/>
    <s v="TT1300158"/>
    <s v="NHAN PHU - CERADAN ADVANCED MOISTURISING SKIN BARRIER CREAM"/>
    <s v="Q27-01-9-1"/>
    <s v="000185913"/>
    <n v="2017"/>
    <n v="0"/>
    <s v="HOLD"/>
    <s v="novisa"/>
    <s v=" "/>
    <d v="2027-07-01T00:00:00"/>
    <s v="_"/>
    <n v="0"/>
    <n v="0"/>
    <n v="0"/>
    <x v="16"/>
    <x v="0"/>
  </r>
  <r>
    <s v="HOANGDUC"/>
    <s v="TT1300001"/>
    <s v="NHAN PHU - LIPIODOL ULTRA FLUIDE 10ML"/>
    <s v="Q27-01-9-1"/>
    <s v="000185911"/>
    <n v="1828"/>
    <n v="0"/>
    <s v="HOLD"/>
    <s v="novisa"/>
    <s v=" "/>
    <d v="2027-07-01T00:00:00"/>
    <s v="_"/>
    <n v="0"/>
    <n v="0"/>
    <n v="0"/>
    <x v="16"/>
    <x v="0"/>
  </r>
  <r>
    <s v="HOANGDUC"/>
    <s v="MY1100001"/>
    <s v="TANAKAN 40MG 30TABS VN"/>
    <s v="Q26-01-1-1"/>
    <s v="000186082"/>
    <n v="4"/>
    <n v="0"/>
    <s v="HOLD"/>
    <s v="VN-16289-13"/>
    <s v="0000031096"/>
    <d v="2026-12-21T00:00:00"/>
    <s v="D51988"/>
    <n v="2.1000000000000001E-2"/>
    <n v="7150"/>
    <n v="8.4000000000000005E-2"/>
    <x v="259"/>
    <x v="2"/>
  </r>
  <r>
    <s v="HOANGDUC"/>
    <s v="MY1100003"/>
    <s v="SMECTA ORANGE 3G 30SACH VN"/>
    <s v="Q26-01-1-1"/>
    <s v="000186086"/>
    <n v="2"/>
    <n v="0"/>
    <s v="HOLD"/>
    <s v="VN-19485-15"/>
    <s v="0000031108"/>
    <d v="2028-03-24T00:00:00"/>
    <s v="D53472"/>
    <n v="0.154"/>
    <n v="1680"/>
    <n v="0.308"/>
    <x v="12"/>
    <x v="2"/>
  </r>
  <r>
    <s v="HOANGDUC"/>
    <s v="MY1100003"/>
    <s v="SMECTA ORANGE 3G 30SACH VN"/>
    <s v="Q26-01-1-1"/>
    <s v="000186089"/>
    <n v="5"/>
    <n v="0"/>
    <s v="HOLD"/>
    <s v="VN-19485-15"/>
    <s v="0000031107"/>
    <d v="2028-03-05T00:00:00"/>
    <s v="D52608"/>
    <n v="0.154"/>
    <n v="1680"/>
    <n v="0.77"/>
    <x v="41"/>
    <x v="2"/>
  </r>
  <r>
    <s v="HOANGDUC"/>
    <s v="TT1300053"/>
    <s v="NHAN PHU - CASPOFUNGIN ACETATE 50MG"/>
    <s v="Q27-01-9-1"/>
    <s v="000186209"/>
    <n v="1656"/>
    <n v="0"/>
    <s v="HOLD"/>
    <s v="novisa"/>
    <s v=" "/>
    <d v="2027-07-02T00:00:00"/>
    <s v="_"/>
    <n v="0"/>
    <n v="0"/>
    <n v="0"/>
    <x v="16"/>
    <x v="0"/>
  </r>
  <r>
    <s v="HOANGDUC"/>
    <s v="AZ1100025"/>
    <s v="PLENDIL PLUS TAB 5.47.5MG BT 1X30 EA VN"/>
    <s v="Q26-03-5-1"/>
    <s v="000186399"/>
    <n v="1"/>
    <n v="0"/>
    <s v="HOLD"/>
    <s v="VN-20224-17"/>
    <s v="0000031134"/>
    <d v="2028-01-07T00:00:00"/>
    <s v="MAPZ"/>
    <n v="3.5999999999999997E-2"/>
    <n v="5280"/>
    <n v="3.5999999999999997E-2"/>
    <x v="149"/>
    <x v="1"/>
  </r>
  <r>
    <s v="M00106"/>
    <s v="SC6100017"/>
    <s v="WELLKID MULTI-VITAMIN LIQUID (CHAI/150ML)"/>
    <s v="Q27-01-1-1"/>
    <s v="000186681"/>
    <n v="1"/>
    <n v="0"/>
    <s v="HOLD"/>
    <s v="10642/2019/ĐKSP"/>
    <s v="0000031195"/>
    <d v="2026-10-31T00:00:00"/>
    <s v="41750"/>
    <n v="0.312"/>
    <n v="1680"/>
    <n v="0.312"/>
    <x v="153"/>
    <x v="0"/>
  </r>
  <r>
    <s v="HOANGDUC"/>
    <s v="AZ1100011"/>
    <s v="NOLVADEX TAB 10MG BL 3X10 EA VN"/>
    <s v="Q26-03-5-1"/>
    <s v="000187020"/>
    <n v="2"/>
    <n v="0"/>
    <s v="HOLD"/>
    <s v="VN-20911-18"/>
    <s v="0000031212"/>
    <d v="2027-08-17T00:00:00"/>
    <s v="SF616"/>
    <n v="2.3E-2"/>
    <n v="1920"/>
    <n v="4.5999999999999999E-2"/>
    <x v="91"/>
    <x v="1"/>
  </r>
  <r>
    <s v="HOANGDUC"/>
    <s v="TT1300120"/>
    <s v="NHAN PHU - XENETIX 300MG 100ML  H/10"/>
    <s v="Q27-01-9-1"/>
    <s v="000187482"/>
    <n v="1950"/>
    <n v="0"/>
    <s v="HOLD"/>
    <s v="NOVISA"/>
    <s v=" "/>
    <d v="2027-07-15T00:00:00"/>
    <s v="_"/>
    <n v="0"/>
    <n v="0"/>
    <n v="0"/>
    <x v="16"/>
    <x v="0"/>
  </r>
  <r>
    <s v="HOANGDUC"/>
    <s v="AZ1100001"/>
    <s v="ARIMIDEX TAB 1 MG BL 2X14 EA VN"/>
    <s v="Q26-03-5-1"/>
    <s v="LPN009772"/>
    <n v="3"/>
    <n v="0"/>
    <s v="HOLD"/>
    <s v="VN-19784-16"/>
    <s v="0000031272"/>
    <d v="2030-01-08T00:00:00"/>
    <s v="SV292"/>
    <n v="1.4999999999999999E-2"/>
    <n v="14400"/>
    <n v="4.4999999999999998E-2"/>
    <x v="260"/>
    <x v="1"/>
  </r>
  <r>
    <s v="HD"/>
    <s v="TT1300527"/>
    <s v="NHAN PHU PAPILOCARE (2 CANNULAS X 5ML) - BESINS"/>
    <s v="QM4-01-1-1"/>
    <s v="000187576"/>
    <n v="318"/>
    <n v="0"/>
    <s v="HOLD"/>
    <s v="NOVISA"/>
    <s v=" "/>
    <d v="2027-07-16T00:00:00"/>
    <s v="W0771"/>
    <n v="0"/>
    <n v="0"/>
    <n v="0"/>
    <x v="16"/>
    <x v="3"/>
  </r>
  <r>
    <s v="HD"/>
    <s v="TT1300536"/>
    <s v="NHAN PHU PAPILOCARE - BESINS"/>
    <s v="QM4-01-1-1"/>
    <s v="000187575"/>
    <n v="754"/>
    <n v="0"/>
    <s v="HOLD"/>
    <s v="NOVISA"/>
    <s v=" "/>
    <d v="2027-07-16T00:00:00"/>
    <s v="_"/>
    <n v="0"/>
    <n v="0"/>
    <n v="0"/>
    <x v="16"/>
    <x v="3"/>
  </r>
  <r>
    <s v="M00106"/>
    <s v="SC6100015"/>
    <s v="PREGNACARE PLUS OMEGA 3 (H/56 VIEN)"/>
    <s v="Q26-01-9-2"/>
    <s v="000187714"/>
    <n v="9"/>
    <n v="0"/>
    <s v="HOLD"/>
    <s v="9184/2019/ĐKSP"/>
    <s v="0000031312"/>
    <d v="2026-05-31T00:00:00"/>
    <s v="PP2345"/>
    <n v="9.2999999999999999E-2"/>
    <n v="1536"/>
    <n v="0.83699999999999997"/>
    <x v="24"/>
    <x v="2"/>
  </r>
  <r>
    <s v="M00106"/>
    <s v="SC6100002"/>
    <s v="FEROGLOBIN B12 LIQUID 200ML"/>
    <s v="Q26-01-9-2"/>
    <s v="000187692"/>
    <n v="1"/>
    <n v="0"/>
    <s v="HOLD"/>
    <s v="8974/2019/ĐKSP"/>
    <s v="0000031312"/>
    <d v="2026-04-30T00:00:00"/>
    <s v="40815"/>
    <n v="0.3"/>
    <n v="1680"/>
    <n v="0.3"/>
    <x v="153"/>
    <x v="2"/>
  </r>
  <r>
    <s v="M00106"/>
    <s v="SC6100018"/>
    <s v="PREGNACARE BREAST-FEEDING (HOP/56 VIEN NEN, 28 VIEN NANG)"/>
    <s v="Q27-03-9-2"/>
    <s v="000187706"/>
    <n v="15"/>
    <n v="0"/>
    <s v="HOLD"/>
    <s v="10645/2019/ĐKSP"/>
    <s v="0000031312"/>
    <d v="2026-11-30T00:00:00"/>
    <s v="PB2412"/>
    <n v="0.158"/>
    <n v="1152"/>
    <n v="2.37"/>
    <x v="32"/>
    <x v="4"/>
  </r>
  <r>
    <s v="M00106"/>
    <s v="SC6100025"/>
    <s v="PREGNACARE MAX (H/56 VIEN NEN, 28 VIEN NANG)"/>
    <s v="Q27-03-9-2"/>
    <s v="000187715"/>
    <n v="11"/>
    <n v="0"/>
    <s v="HOLD"/>
    <s v="1475/2024/ĐKSP"/>
    <s v="0000031312"/>
    <d v="2026-11-30T00:00:00"/>
    <s v="PM2410"/>
    <n v="0.156"/>
    <n v="1152"/>
    <n v="1.716"/>
    <x v="75"/>
    <x v="4"/>
  </r>
  <r>
    <s v="M00106"/>
    <s v="SC6100025"/>
    <s v="PREGNACARE MAX (H/56 VIEN NEN, 28 VIEN NANG)"/>
    <s v="Q27-03-9-2"/>
    <s v="000187716"/>
    <n v="21"/>
    <n v="0"/>
    <s v="HOLD"/>
    <s v="1475/2024/ĐKSP"/>
    <s v="0000031312"/>
    <d v="2026-11-30T00:00:00"/>
    <s v="PM2409"/>
    <n v="0.156"/>
    <n v="1152"/>
    <n v="3.2759999999999998"/>
    <x v="68"/>
    <x v="4"/>
  </r>
  <r>
    <s v="M00106"/>
    <s v="SC6100001"/>
    <s v="OSTEOCARE LIQUID 200ML"/>
    <s v="Q27-01-1-1"/>
    <s v="000187696"/>
    <n v="13"/>
    <n v="0"/>
    <s v="HOLD"/>
    <s v="9186/2019/ĐKSP"/>
    <s v="0000031312"/>
    <d v="2026-02-28T00:00:00"/>
    <s v="40487"/>
    <n v="0.3"/>
    <n v="1680"/>
    <n v="3.9"/>
    <x v="109"/>
    <x v="0"/>
  </r>
  <r>
    <s v="M00106"/>
    <s v="SC6100001"/>
    <s v="OSTEOCARE LIQUID 200ML"/>
    <s v="Q27-03-9-2"/>
    <s v="000187699"/>
    <n v="3"/>
    <n v="0"/>
    <s v="HOLD"/>
    <s v="9186/2019/ĐKSP"/>
    <s v="0000031312"/>
    <d v="2026-07-31T00:00:00"/>
    <s v="41390"/>
    <n v="0.3"/>
    <n v="1680"/>
    <n v="0.89999999999999991"/>
    <x v="55"/>
    <x v="4"/>
  </r>
  <r>
    <s v="M00106"/>
    <s v="SC6100001"/>
    <s v="OSTEOCARE LIQUID 200ML"/>
    <s v="Q26-01-9-2"/>
    <s v="000187698"/>
    <n v="4"/>
    <n v="0"/>
    <s v="HOLD"/>
    <s v="9186/2019/ĐKSP"/>
    <s v="0000031312"/>
    <d v="2026-02-28T00:00:00"/>
    <s v="40314"/>
    <n v="0.3"/>
    <n v="1680"/>
    <n v="1.2"/>
    <x v="14"/>
    <x v="2"/>
  </r>
  <r>
    <s v="M00106"/>
    <s v="SC6100019"/>
    <s v="WELLBABY MULTI-VITAMIN LIQUID (CHAI 150ML)"/>
    <s v="Q26-01-9-2"/>
    <s v="000187689"/>
    <n v="1"/>
    <n v="0"/>
    <s v="HOLD"/>
    <s v="10643/2019/ĐKSP"/>
    <s v="0000031312"/>
    <d v="2026-06-30T00:00:00"/>
    <s v="41096"/>
    <n v="0.22600000000000001"/>
    <n v="1680"/>
    <n v="0.22600000000000001"/>
    <x v="153"/>
    <x v="2"/>
  </r>
  <r>
    <s v="M00106"/>
    <s v="SC6100019"/>
    <s v="WELLBABY MULTI-VITAMIN LIQUID (CHAI 150ML)"/>
    <s v="Q26-01-9-2"/>
    <s v="000187688"/>
    <n v="2"/>
    <n v="0"/>
    <s v="HOLD"/>
    <s v="10643/2019/ĐKSP"/>
    <s v="0000031312"/>
    <d v="2026-06-30T00:00:00"/>
    <s v="41079"/>
    <n v="0.22600000000000001"/>
    <n v="1680"/>
    <n v="0.45200000000000001"/>
    <x v="12"/>
    <x v="2"/>
  </r>
  <r>
    <s v="M00106"/>
    <s v="SC6100018"/>
    <s v="PREGNACARE BREAST-FEEDING (HOP/56 VIEN NEN, 28 VIEN NANG)"/>
    <s v="Q27-03-9-2"/>
    <s v="000187702"/>
    <n v="7"/>
    <n v="0"/>
    <s v="HOLD"/>
    <s v="10645/2019/ĐKSP"/>
    <s v="0000031312"/>
    <d v="2027-09-30T00:00:00"/>
    <s v="PB2501"/>
    <n v="0.158"/>
    <n v="1152"/>
    <n v="1.1060000000000001"/>
    <x v="261"/>
    <x v="4"/>
  </r>
  <r>
    <s v="M00106"/>
    <s v="SC6100017"/>
    <s v="WELLKID MULTI-VITAMIN LIQUID (CHAI/150ML)"/>
    <s v="Q26-01-9-2"/>
    <s v="000187694"/>
    <n v="3"/>
    <n v="0"/>
    <s v="HOLD"/>
    <s v="10642/2019/ĐKSP"/>
    <s v="0000031312"/>
    <d v="2026-03-31T00:00:00"/>
    <s v="40696"/>
    <n v="0.312"/>
    <n v="1680"/>
    <n v="0.93599999999999994"/>
    <x v="55"/>
    <x v="2"/>
  </r>
  <r>
    <s v="M00106"/>
    <s v="SC6100017"/>
    <s v="WELLKID MULTI-VITAMIN LIQUID (CHAI/150ML)"/>
    <s v="Q26-01-9-2"/>
    <s v="000187695"/>
    <n v="2"/>
    <n v="0"/>
    <s v="HOLD"/>
    <s v="10642/2019/ĐKSP"/>
    <s v="0000031312"/>
    <d v="2026-03-31T00:00:00"/>
    <s v="40696"/>
    <n v="0.312"/>
    <n v="1680"/>
    <n v="0.624"/>
    <x v="12"/>
    <x v="2"/>
  </r>
  <r>
    <s v="M00106"/>
    <s v="SC6100018"/>
    <s v="PREGNACARE BREAST-FEEDING (HOP/56 VIEN NEN, 28 VIEN NANG)"/>
    <s v="Q27-03-9-2"/>
    <s v="000187700"/>
    <n v="5"/>
    <n v="0"/>
    <s v="HOLD"/>
    <s v="10645/2019/ĐKSP"/>
    <s v="0000031312"/>
    <d v="2026-09-30T00:00:00"/>
    <s v="PB2344"/>
    <n v="0.158"/>
    <n v="1152"/>
    <n v="0.79"/>
    <x v="262"/>
    <x v="4"/>
  </r>
  <r>
    <s v="M00106"/>
    <s v="SC6100018"/>
    <s v="PREGNACARE BREAST-FEEDING (HOP/56 VIEN NEN, 28 VIEN NANG)"/>
    <s v="Q27-03-9-2"/>
    <s v="000187701"/>
    <n v="10"/>
    <n v="0"/>
    <s v="HOLD"/>
    <s v="10645/2019/ĐKSP"/>
    <s v="0000031312"/>
    <d v="2026-10-31T00:00:00"/>
    <s v="PB2406"/>
    <n v="0.158"/>
    <n v="1152"/>
    <n v="1.58"/>
    <x v="112"/>
    <x v="4"/>
  </r>
  <r>
    <s v="M00106"/>
    <s v="SC6100018"/>
    <s v="PREGNACARE BREAST-FEEDING (HOP/56 VIEN NEN, 28 VIEN NANG)"/>
    <s v="Q27-03-9-2"/>
    <s v="000187704"/>
    <n v="12"/>
    <n v="0"/>
    <s v="HOLD"/>
    <s v="10645/2019/ĐKSP"/>
    <s v="0000031312"/>
    <d v="2026-10-31T00:00:00"/>
    <s v="PB2408"/>
    <n v="0.158"/>
    <n v="1152"/>
    <n v="1.8959999999999999"/>
    <x v="27"/>
    <x v="4"/>
  </r>
  <r>
    <s v="M00106"/>
    <s v="SC6100018"/>
    <s v="PREGNACARE BREAST-FEEDING (HOP/56 VIEN NEN, 28 VIEN NANG)"/>
    <s v="Q27-03-9-2"/>
    <s v="000187703"/>
    <n v="22"/>
    <n v="0"/>
    <s v="HOLD"/>
    <s v="10645/2019/ĐKSP"/>
    <s v="0000031312"/>
    <d v="2027-11-30T00:00:00"/>
    <s v="PB2505"/>
    <n v="0.158"/>
    <n v="1152"/>
    <n v="3.476"/>
    <x v="108"/>
    <x v="4"/>
  </r>
  <r>
    <s v="M00106"/>
    <s v="SC6100018"/>
    <s v="PREGNACARE BREAST-FEEDING (HOP/56 VIEN NEN, 28 VIEN NANG)"/>
    <s v="Q27-03-9-2"/>
    <s v="000187705"/>
    <n v="25"/>
    <n v="0"/>
    <s v="HOLD"/>
    <s v="10645/2019/ĐKSP"/>
    <s v="0000031312"/>
    <d v="2027-02-28T00:00:00"/>
    <s v="PB2418"/>
    <n v="0.158"/>
    <n v="1152"/>
    <n v="3.95"/>
    <x v="263"/>
    <x v="4"/>
  </r>
  <r>
    <s v="M00106"/>
    <s v="SC6100009"/>
    <s v="WELLMAN (H/30 VIEN)"/>
    <s v="Q26-01-9-2"/>
    <s v="000187717"/>
    <n v="1"/>
    <n v="0"/>
    <s v="HOLD"/>
    <s v="8718/2019/ĐKSP"/>
    <s v="0000031312"/>
    <d v="2026-02-28T00:00:00"/>
    <s v="WEIR2303SA"/>
    <n v="4.8000000000000001E-2"/>
    <n v="2880"/>
    <n v="4.8000000000000001E-2"/>
    <x v="3"/>
    <x v="2"/>
  </r>
  <r>
    <s v="M00106"/>
    <s v="SC6100009"/>
    <s v="WELLMAN (H/30 VIEN)"/>
    <s v="Q27-01-4-2"/>
    <s v="000187676"/>
    <n v="19"/>
    <n v="0"/>
    <s v="HOLD"/>
    <s v="8718/2019/ĐKSP"/>
    <s v="0000031311"/>
    <d v="2026-02-28T00:00:00"/>
    <s v="WEIR2303SA"/>
    <n v="4.8000000000000001E-2"/>
    <n v="2880"/>
    <n v="0.91200000000000003"/>
    <x v="264"/>
    <x v="0"/>
  </r>
  <r>
    <s v="M00106"/>
    <s v="SC6100009"/>
    <s v="WELLMAN (H/30 VIEN)"/>
    <s v="Q27-01-4-2"/>
    <s v="000187675"/>
    <n v="10"/>
    <n v="0"/>
    <s v="HOLD"/>
    <s v="8718/2019/ĐKSP"/>
    <s v="0000031311"/>
    <d v="2026-02-28T00:00:00"/>
    <s v="WEIR2304SA"/>
    <n v="4.8000000000000001E-2"/>
    <n v="2880"/>
    <n v="0.48"/>
    <x v="251"/>
    <x v="0"/>
  </r>
  <r>
    <s v="M00106"/>
    <s v="SC6100011"/>
    <s v="PERFECTIL (H/30 VIEN)"/>
    <s v="Q27-03-9-2"/>
    <s v="000187682"/>
    <n v="1"/>
    <n v="0"/>
    <s v="HOLD"/>
    <s v="9185/2019/ĐKSP"/>
    <s v="0000031312"/>
    <d v="2026-07-31T00:00:00"/>
    <s v="PFT2319P"/>
    <n v="5.8000000000000003E-2"/>
    <n v="2880"/>
    <n v="5.8000000000000003E-2"/>
    <x v="3"/>
    <x v="4"/>
  </r>
  <r>
    <s v="M00106"/>
    <s v="SC6100004"/>
    <s v="OSTEOCARE (H/30 VIEN)"/>
    <s v="Q27-03-9-2"/>
    <s v="000187685"/>
    <n v="1"/>
    <n v="0"/>
    <s v="HOLD"/>
    <s v="8615/2019/ĐKSP"/>
    <s v="0000031312"/>
    <d v="2027-07-31T00:00:00"/>
    <s v="OT2309P"/>
    <n v="7.4999999999999997E-2"/>
    <n v="2688"/>
    <n v="7.4999999999999997E-2"/>
    <x v="51"/>
    <x v="4"/>
  </r>
  <r>
    <s v="M00106"/>
    <s v="SC6100004"/>
    <s v="OSTEOCARE (H/30 VIEN)"/>
    <s v="Q27-03-9-2"/>
    <s v="000187683"/>
    <n v="1"/>
    <n v="0"/>
    <s v="HOLD"/>
    <s v="8615/2019/ĐKSP"/>
    <s v="0000031312"/>
    <d v="2027-07-31T00:00:00"/>
    <s v="OT2310P"/>
    <n v="7.4999999999999997E-2"/>
    <n v="2688"/>
    <n v="7.4999999999999997E-2"/>
    <x v="51"/>
    <x v="4"/>
  </r>
  <r>
    <s v="M00106"/>
    <s v="SC6100004"/>
    <s v="OSTEOCARE (H/30 VIEN)"/>
    <s v="Q27-01-1-1"/>
    <s v="000187684"/>
    <n v="1"/>
    <n v="0"/>
    <s v="HOLD"/>
    <s v="8615/2019/ĐKSP"/>
    <s v="0000031312"/>
    <d v="2026-01-31T00:00:00"/>
    <s v="OT2204P"/>
    <n v="7.4999999999999997E-2"/>
    <n v="2688"/>
    <n v="7.4999999999999997E-2"/>
    <x v="51"/>
    <x v="0"/>
  </r>
  <r>
    <s v="M00106"/>
    <s v="SC6100023"/>
    <s v="VISIONACE ORIGINAL (HOP/30VIEN)"/>
    <s v="Q27-03-9-2"/>
    <s v="000187686"/>
    <n v="2"/>
    <n v="0"/>
    <s v="HOLD"/>
    <s v="1737/2024/ĐKSP"/>
    <s v="0000031312"/>
    <d v="2026-07-31T00:00:00"/>
    <s v="126094A"/>
    <n v="5.0999999999999997E-2"/>
    <n v="2880"/>
    <n v="0.10199999999999999"/>
    <x v="2"/>
    <x v="4"/>
  </r>
  <r>
    <s v="M00106"/>
    <s v="SC6100024"/>
    <s v="OSTEOCARE CHEWABLE (HOP/30 VIEN)"/>
    <s v="Q26-01-9-2"/>
    <s v="000187687"/>
    <n v="1"/>
    <n v="0"/>
    <s v="HOLD"/>
    <s v="9529/2023/ĐKSP"/>
    <s v="0000031312"/>
    <d v="2026-02-28T00:00:00"/>
    <s v="F169385"/>
    <n v="9.6000000000000002E-2"/>
    <n v="1920"/>
    <n v="9.6000000000000002E-2"/>
    <x v="90"/>
    <x v="2"/>
  </r>
  <r>
    <s v="M00106"/>
    <s v="SC6100016"/>
    <s v="OSTEOCARE FIZZ (TUYP/ 20 VIEN)"/>
    <s v="Q27-03-9-2"/>
    <s v="000187677"/>
    <n v="19"/>
    <n v="0"/>
    <s v="HOLD"/>
    <s v="6464/2023/ĐKSP"/>
    <s v="0000031311"/>
    <d v="2026-06-30T00:00:00"/>
    <s v="F170292"/>
    <n v="0.10199999999999999"/>
    <n v="2880"/>
    <n v="1.9379999999999999"/>
    <x v="264"/>
    <x v="4"/>
  </r>
  <r>
    <s v="M00106"/>
    <s v="SC6100003"/>
    <s v="FEROGLOBIN B12 CAPSULES (H/30 VIEN)"/>
    <s v="Q27-03-9-2"/>
    <s v="000187707"/>
    <n v="10"/>
    <n v="0"/>
    <s v="HOLD"/>
    <s v="9183/2019/ĐKSP"/>
    <s v="0000031312"/>
    <d v="2027-05-31T00:00:00"/>
    <s v="FW2414PA"/>
    <n v="0.04"/>
    <n v="2688"/>
    <n v="0.4"/>
    <x v="50"/>
    <x v="4"/>
  </r>
  <r>
    <s v="M00106"/>
    <s v="SC6100003"/>
    <s v="FEROGLOBIN B12 CAPSULES (H/30 VIEN)"/>
    <s v="Q27-03-9-2"/>
    <s v="000187709"/>
    <n v="2"/>
    <n v="0"/>
    <s v="HOLD"/>
    <s v="9183/2019/ĐKSP"/>
    <s v="0000031312"/>
    <d v="2027-06-30T00:00:00"/>
    <s v="FW2418PA"/>
    <n v="0.04"/>
    <n v="2688"/>
    <n v="0.08"/>
    <x v="52"/>
    <x v="4"/>
  </r>
  <r>
    <s v="M00106"/>
    <s v="SC6100003"/>
    <s v="FEROGLOBIN B12 CAPSULES (H/30 VIEN)"/>
    <s v="Q27-03-9-2"/>
    <s v="000187711"/>
    <n v="2"/>
    <n v="0"/>
    <s v="HOLD"/>
    <s v="9183/2019/ĐKSP"/>
    <s v="0000031312"/>
    <d v="2027-04-30T00:00:00"/>
    <s v="FW2407PA"/>
    <n v="0.04"/>
    <n v="2688"/>
    <n v="0.08"/>
    <x v="52"/>
    <x v="4"/>
  </r>
  <r>
    <s v="M00106"/>
    <s v="SC6100003"/>
    <s v="FEROGLOBIN B12 CAPSULES (H/30 VIEN)"/>
    <s v="Q27-01-1-1"/>
    <s v="000187713"/>
    <n v="2"/>
    <n v="0"/>
    <s v="HOLD"/>
    <s v="9183/2019/ĐKSP"/>
    <s v="0000031312"/>
    <d v="2026-05-31T00:00:00"/>
    <s v="FW2315TA"/>
    <n v="0.04"/>
    <n v="2688"/>
    <n v="0.08"/>
    <x v="52"/>
    <x v="0"/>
  </r>
  <r>
    <s v="M00106"/>
    <s v="SC6100003"/>
    <s v="FEROGLOBIN B12 CAPSULES (H/30 VIEN)"/>
    <s v="Q27-03-9-2"/>
    <s v="000187712"/>
    <n v="1"/>
    <n v="0"/>
    <s v="HOLD"/>
    <s v="9183/2019/ĐKSP"/>
    <s v="0000031312"/>
    <d v="2027-07-31T00:00:00"/>
    <s v="FW2422PA"/>
    <n v="0.04"/>
    <n v="2688"/>
    <n v="0.04"/>
    <x v="51"/>
    <x v="4"/>
  </r>
  <r>
    <s v="M00106"/>
    <s v="SC6100003"/>
    <s v="FEROGLOBIN B12 CAPSULES (H/30 VIEN)"/>
    <s v="Q27-03-9-2"/>
    <s v="000187708"/>
    <n v="3"/>
    <n v="0"/>
    <s v="HOLD"/>
    <s v="9183/2019/ĐKSP"/>
    <s v="0000031312"/>
    <d v="2027-03-31T00:00:00"/>
    <s v="FW2404TA"/>
    <n v="0.04"/>
    <n v="2688"/>
    <n v="0.12"/>
    <x v="45"/>
    <x v="4"/>
  </r>
  <r>
    <s v="M00106"/>
    <s v="SC6100003"/>
    <s v="FEROGLOBIN B12 CAPSULES (H/30 VIEN)"/>
    <s v="Q27-03-9-2"/>
    <s v="000187710"/>
    <n v="2"/>
    <n v="0"/>
    <s v="HOLD"/>
    <s v="9183/2019/ĐKSP"/>
    <s v="0000031312"/>
    <d v="2027-01-31T00:00:00"/>
    <s v="FW2402PA"/>
    <n v="0.04"/>
    <n v="2688"/>
    <n v="0.08"/>
    <x v="52"/>
    <x v="4"/>
  </r>
  <r>
    <s v="HOANGDUC"/>
    <s v="LU1100002"/>
    <s v="SEROQUEL XR TAB 200MG 30.S (HOP/30VIEN)"/>
    <s v="Q26-03-5-1"/>
    <s v="LPN009774"/>
    <n v="5"/>
    <n v="0"/>
    <s v="HOLD"/>
    <s v="VN-22283-19"/>
    <s v="0000031340"/>
    <d v="2028-02-11T00:00:00"/>
    <s v="SV940"/>
    <n v="5.0999999999999997E-2"/>
    <n v="4200"/>
    <n v="0.255"/>
    <x v="12"/>
    <x v="1"/>
  </r>
  <r>
    <s v="M00106"/>
    <s v="SC6100003"/>
    <s v="FEROGLOBIN B12 CAPSULES (H/30 VIEN)"/>
    <s v="Q27-03-1-1"/>
    <s v="LPN009802"/>
    <n v="6"/>
    <n v="0"/>
    <s v="HOLD"/>
    <s v="9183/2019/ĐKSP"/>
    <s v="0000031339"/>
    <d v="2027-11-30T00:00:00"/>
    <s v="FW2413TA"/>
    <n v="0.04"/>
    <n v="2688"/>
    <n v="0.24"/>
    <x v="53"/>
    <x v="4"/>
  </r>
  <r>
    <s v="M00106"/>
    <s v="SC6100003"/>
    <s v="FEROGLOBIN B12 CAPSULES (H/30 VIEN)"/>
    <s v="Q27-03-1-1"/>
    <s v="LPN009838"/>
    <n v="5"/>
    <n v="0"/>
    <s v="HOLD"/>
    <s v="9183/2019/ĐKSP"/>
    <s v="0000031339"/>
    <d v="2027-11-30T00:00:00"/>
    <s v="FW2413TA"/>
    <n v="0.04"/>
    <n v="2688"/>
    <n v="0.2"/>
    <x v="46"/>
    <x v="4"/>
  </r>
  <r>
    <s v="M00106"/>
    <s v="SC6100003"/>
    <s v="FEROGLOBIN B12 CAPSULES (H/30 VIEN)"/>
    <s v="Q27-03-1-1"/>
    <s v="LPN009846"/>
    <n v="7"/>
    <n v="0"/>
    <s v="HOLD"/>
    <s v="9183/2019/ĐKSP"/>
    <s v="0000031339"/>
    <d v="2027-11-30T00:00:00"/>
    <s v="FW2413TA"/>
    <n v="0.04"/>
    <n v="2688"/>
    <n v="0.28000000000000003"/>
    <x v="44"/>
    <x v="4"/>
  </r>
  <r>
    <s v="M00106"/>
    <s v="SC6100003"/>
    <s v="FEROGLOBIN B12 CAPSULES (H/30 VIEN)"/>
    <s v="Q27-03-1-1"/>
    <s v="LPN009883"/>
    <n v="15"/>
    <n v="0"/>
    <s v="HOLD"/>
    <s v="9183/2019/ĐKSP"/>
    <s v="0000031339"/>
    <d v="2027-11-30T00:00:00"/>
    <s v="FW2413TA"/>
    <n v="0.04"/>
    <n v="2688"/>
    <n v="0.6"/>
    <x v="117"/>
    <x v="4"/>
  </r>
  <r>
    <s v="M00106"/>
    <s v="SC6100003"/>
    <s v="FEROGLOBIN B12 CAPSULES (H/30 VIEN)"/>
    <s v="Q27-03-1-1"/>
    <s v="LPN009888"/>
    <n v="5"/>
    <n v="0"/>
    <s v="HOLD"/>
    <s v="9183/2019/ĐKSP"/>
    <s v="0000031339"/>
    <d v="2027-11-30T00:00:00"/>
    <s v="FW2413TA"/>
    <n v="0.04"/>
    <n v="2688"/>
    <n v="0.2"/>
    <x v="46"/>
    <x v="4"/>
  </r>
  <r>
    <s v="M00106"/>
    <s v="SC6100003"/>
    <s v="FEROGLOBIN B12 CAPSULES (H/30 VIEN)"/>
    <s v="Q27-03-1-2"/>
    <s v="LPN009832"/>
    <n v="1"/>
    <n v="0"/>
    <s v="HOLD"/>
    <s v="9183/2019/ĐKSP"/>
    <s v="0000031339"/>
    <d v="2027-11-30T00:00:00"/>
    <s v="FW2413TA"/>
    <n v="0.04"/>
    <n v="2688"/>
    <n v="0.04"/>
    <x v="51"/>
    <x v="4"/>
  </r>
  <r>
    <s v="M00106"/>
    <s v="SC6100003"/>
    <s v="FEROGLOBIN B12 CAPSULES (H/30 VIEN)"/>
    <s v="Q27-03-8-1"/>
    <s v="LPN009856"/>
    <n v="4"/>
    <n v="0"/>
    <s v="HOLD"/>
    <s v="9183/2019/ĐKSP"/>
    <s v="0000031339"/>
    <d v="2027-11-30T00:00:00"/>
    <s v="FW2413TA"/>
    <n v="0.04"/>
    <n v="2688"/>
    <n v="0.16"/>
    <x v="42"/>
    <x v="4"/>
  </r>
  <r>
    <s v="M00106"/>
    <s v="SC6100003"/>
    <s v="FEROGLOBIN B12 CAPSULES (H/30 VIEN)"/>
    <s v="Q27-03-8-1"/>
    <s v="LPN009869"/>
    <n v="4"/>
    <n v="0"/>
    <s v="HOLD"/>
    <s v="9183/2019/ĐKSP"/>
    <s v="0000031339"/>
    <d v="2027-11-30T00:00:00"/>
    <s v="FW2413TA"/>
    <n v="0.04"/>
    <n v="2688"/>
    <n v="0.16"/>
    <x v="42"/>
    <x v="4"/>
  </r>
  <r>
    <s v="M00106"/>
    <s v="SC6100003"/>
    <s v="FEROGLOBIN B12 CAPSULES (H/30 VIEN)"/>
    <s v="Q27-03-8-1"/>
    <s v="LPN009873"/>
    <n v="6"/>
    <n v="0"/>
    <s v="HOLD"/>
    <s v="9183/2019/ĐKSP"/>
    <s v="0000031339"/>
    <d v="2027-11-30T00:00:00"/>
    <s v="FW2413TA"/>
    <n v="0.04"/>
    <n v="2688"/>
    <n v="0.24"/>
    <x v="53"/>
    <x v="4"/>
  </r>
  <r>
    <s v="M00106"/>
    <s v="SC6100001"/>
    <s v="OSTEOCARE LIQUID 200ML"/>
    <s v="Q27-03-1-1"/>
    <s v="LPN009841"/>
    <n v="11"/>
    <n v="0"/>
    <s v="HOLD"/>
    <s v="9186/2019/ĐKSP"/>
    <s v="0000031339"/>
    <d v="2027-03-31T00:00:00"/>
    <s v="50461"/>
    <n v="0.3"/>
    <n v="1680"/>
    <n v="3.3"/>
    <x v="155"/>
    <x v="4"/>
  </r>
  <r>
    <s v="M00106"/>
    <s v="SC6100001"/>
    <s v="OSTEOCARE LIQUID 200ML"/>
    <s v="Q27-03-1-2"/>
    <s v="LPN009875"/>
    <n v="44"/>
    <n v="0"/>
    <s v="HOLD"/>
    <s v="9186/2019/ĐKSP"/>
    <s v="0000031339"/>
    <d v="2027-03-31T00:00:00"/>
    <s v="50461"/>
    <n v="0.3"/>
    <n v="1680"/>
    <n v="13.2"/>
    <x v="265"/>
    <x v="4"/>
  </r>
  <r>
    <s v="M00106"/>
    <s v="SC6100001"/>
    <s v="OSTEOCARE LIQUID 200ML"/>
    <s v="Q27-03-5-2"/>
    <s v="LPN009818"/>
    <n v="10"/>
    <n v="0"/>
    <s v="HOLD"/>
    <s v="9186/2019/ĐKSP"/>
    <s v="0000031339"/>
    <d v="2027-03-31T00:00:00"/>
    <s v="50461"/>
    <n v="0.3"/>
    <n v="1680"/>
    <n v="3"/>
    <x v="49"/>
    <x v="4"/>
  </r>
  <r>
    <s v="M00106"/>
    <s v="SC6100001"/>
    <s v="OSTEOCARE LIQUID 200ML"/>
    <s v="Q27-03-5-2"/>
    <s v="LPN009870"/>
    <n v="18"/>
    <n v="0"/>
    <s v="HOLD"/>
    <s v="9186/2019/ĐKSP"/>
    <s v="0000031339"/>
    <d v="2027-03-31T00:00:00"/>
    <s v="50461"/>
    <n v="0.3"/>
    <n v="1680"/>
    <n v="5.3999999999999995"/>
    <x v="110"/>
    <x v="4"/>
  </r>
  <r>
    <s v="HOANGDUC"/>
    <s v="HY1200007"/>
    <s v="XENETIX 300 (HOP/10 LO x 100ML)"/>
    <s v="Q26-03-4-1"/>
    <s v="LPN009819"/>
    <n v="1"/>
    <n v="0"/>
    <s v="HOLD"/>
    <s v="VN-16787-13"/>
    <s v="0000031347"/>
    <d v="2028-02-29T00:00:00"/>
    <s v="25WC0141"/>
    <n v="0.23799999999999999"/>
    <n v="2400"/>
    <n v="0.23799999999999999"/>
    <x v="228"/>
    <x v="1"/>
  </r>
  <r>
    <s v="M00106"/>
    <s v="TT1300052"/>
    <s v="NHAN PHU - PREGNACARE PLUS OMEGA 3 (H/56 VIEN)"/>
    <s v="QM4-01-1-1"/>
    <s v="000188275"/>
    <n v="321"/>
    <n v="0"/>
    <s v="HOLD"/>
    <s v="NOVISA"/>
    <s v=" "/>
    <d v="2027-07-22T00:00:00"/>
    <s v="_"/>
    <n v="0"/>
    <n v="0"/>
    <n v="0"/>
    <x v="16"/>
    <x v="3"/>
  </r>
  <r>
    <s v="M00106"/>
    <s v="SC6100003"/>
    <s v="FEROGLOBIN B12 CAPSULES (H/30 VIEN)"/>
    <s v="Q27-03-1-1"/>
    <s v="000188225"/>
    <n v="66"/>
    <n v="0"/>
    <s v="HOLD"/>
    <s v="9183/2019/ĐKSP"/>
    <s v="0000031351"/>
    <d v="2027-06-30T00:00:00"/>
    <s v="FW2418PA"/>
    <n v="0.04"/>
    <n v="2688"/>
    <n v="2.64"/>
    <x v="266"/>
    <x v="4"/>
  </r>
  <r>
    <s v="HOANGDUC"/>
    <s v="RD1200013"/>
    <s v="WINDUZA (H/1 LO)"/>
    <s v="Q26-01-1-1"/>
    <s v="000188228"/>
    <n v="1"/>
    <n v="0"/>
    <s v="HOLD"/>
    <s v="890114075223"/>
    <s v="54-15160"/>
    <d v="2027-02-28T00:00:00"/>
    <s v="H250330"/>
    <n v="4.2000000000000003E-2"/>
    <n v="3840"/>
    <n v="4.2000000000000003E-2"/>
    <x v="267"/>
    <x v="2"/>
  </r>
  <r>
    <s v="HD"/>
    <s v="HT1100033"/>
    <s v="DOLUTEGRAVIR, LAMIVUDINE AND TENOFOVIR DISOPROXIL FUMARATE T"/>
    <s v="Q26-03-5-1"/>
    <s v="LPN009795"/>
    <n v="23"/>
    <n v="0"/>
    <s v="HOLD"/>
    <s v="890110445523"/>
    <s v="0000031364"/>
    <d v="2027-02-04T00:00:00"/>
    <s v="E250328F"/>
    <n v="9.4E-2"/>
    <n v="2475"/>
    <n v="2.1619999999999999"/>
    <x v="268"/>
    <x v="1"/>
  </r>
  <r>
    <s v="M00106"/>
    <s v="SC6100021"/>
    <s v="WELLKID MULTI-VITAMIN SMART CHEWABLE (H/30VIEN)"/>
    <s v="Q27-01-1-1"/>
    <s v="000188368"/>
    <n v="5"/>
    <n v="0"/>
    <s v="HOLD"/>
    <s v="7661/2023/ĐKSP"/>
    <s v="0000031379"/>
    <d v="2026-01-31T00:00:00"/>
    <s v="F167061"/>
    <n v="7.1999999999999995E-2"/>
    <n v="1920"/>
    <n v="0.36"/>
    <x v="44"/>
    <x v="0"/>
  </r>
  <r>
    <s v="HOANGDUC"/>
    <s v="MG1100065"/>
    <s v="CILZEC 40 (HOP/3VI X 10VIEN)"/>
    <s v="Q26-01-1-1"/>
    <s v="000188381"/>
    <n v="659"/>
    <n v="0"/>
    <s v="HOLD"/>
    <s v="VN-11962-11"/>
    <s v="0000031384"/>
    <d v="2026-01-02T00:00:00"/>
    <s v="BRE01064A"/>
    <n v="2.8000000000000001E-2"/>
    <n v="6160"/>
    <n v="18.452000000000002"/>
    <x v="269"/>
    <x v="2"/>
  </r>
  <r>
    <s v="HOANGDUC"/>
    <s v="WO1100004"/>
    <s v="SILYGAMMA 150MG 100.S"/>
    <s v="Q26-02-1-1"/>
    <s v="000188537"/>
    <n v="124"/>
    <n v="0"/>
    <s v="HOLD"/>
    <s v="VN-16542-13"/>
    <s v="51-372183"/>
    <d v="2027-05-31T00:00:00"/>
    <s v="428584"/>
    <n v="0.09"/>
    <n v="2160"/>
    <n v="11.16"/>
    <x v="270"/>
    <x v="5"/>
  </r>
  <r>
    <s v="HOANGDUC"/>
    <s v="AZ1100025"/>
    <s v="PLENDIL PLUS TAB 5.47.5MG BT 1X30 EA VN"/>
    <s v="Q26-03-5-1"/>
    <s v="000188860"/>
    <n v="2"/>
    <n v="0"/>
    <s v="HOLD"/>
    <s v="VN-20224-17"/>
    <s v="0000031444"/>
    <d v="2028-01-07T00:00:00"/>
    <s v="MAPZ"/>
    <n v="3.5999999999999997E-2"/>
    <n v="5280"/>
    <n v="7.1999999999999995E-2"/>
    <x v="156"/>
    <x v="1"/>
  </r>
  <r>
    <s v="HOANGDUC"/>
    <s v="HY1300046"/>
    <s v="STERIMAR ALLERGIC NOSE 50 ML"/>
    <s v="Q27-03-1-1"/>
    <s v="000188983"/>
    <n v="7"/>
    <n v="0"/>
    <s v="HOLD"/>
    <s v="200001772/PCBA-HN"/>
    <s v="54-15319"/>
    <d v="2026-08-31T00:00:00"/>
    <s v="FE3222C"/>
    <n v="0.1"/>
    <n v="2400"/>
    <n v="0.70000000000000007"/>
    <x v="271"/>
    <x v="4"/>
  </r>
  <r>
    <s v="HOANGDUC"/>
    <s v="TT1300064"/>
    <s v="NHAN PHU - CERADAN SOOTHING GEL 50G"/>
    <s v="Q27-01-9-1"/>
    <s v="000189299"/>
    <n v="2031"/>
    <n v="0"/>
    <s v="HOLD"/>
    <s v="NOVISA"/>
    <s v=" "/>
    <d v="2027-07-31T00:00:00"/>
    <s v="_"/>
    <n v="0"/>
    <n v="0"/>
    <n v="0"/>
    <x v="16"/>
    <x v="0"/>
  </r>
  <r>
    <s v="HOANGDUC"/>
    <s v="AZ1100011"/>
    <s v="NOLVADEX TAB 10MG BL 3X10 EA VN"/>
    <s v="Q26-03-4-1"/>
    <s v="000189619"/>
    <n v="1"/>
    <n v="0"/>
    <s v="HOLD"/>
    <s v="VN-20911-18"/>
    <s v="0000031519"/>
    <d v="2027-08-17T00:00:00"/>
    <s v="SF616"/>
    <n v="2.3E-2"/>
    <n v="1920"/>
    <n v="2.3E-2"/>
    <x v="90"/>
    <x v="1"/>
  </r>
  <r>
    <s v="M00106"/>
    <s v="SC6100003"/>
    <s v="FEROGLOBIN B12 CAPSULES (H/30 VIEN)"/>
    <s v="Q27-03-9-2"/>
    <s v="000189665"/>
    <n v="4"/>
    <n v="0"/>
    <s v="HOLD"/>
    <s v="9183/2019/ĐKSP"/>
    <s v="0000031534"/>
    <d v="2027-07-31T00:00:00"/>
    <s v="FW2420PA"/>
    <n v="0.04"/>
    <n v="2688"/>
    <n v="0.16"/>
    <x v="42"/>
    <x v="4"/>
  </r>
  <r>
    <s v="M00106"/>
    <s v="SC6100001"/>
    <s v="OSTEOCARE LIQUID 200ML"/>
    <s v="Q27-03-9-2"/>
    <s v="000189657"/>
    <n v="1"/>
    <n v="0"/>
    <s v="HOLD"/>
    <s v="9186/2019/ĐKSP"/>
    <s v="0000031534"/>
    <d v="2026-08-31T00:00:00"/>
    <s v="41605"/>
    <n v="0.3"/>
    <n v="1680"/>
    <n v="0.3"/>
    <x v="153"/>
    <x v="4"/>
  </r>
  <r>
    <s v="M00106"/>
    <s v="SC6100004"/>
    <s v="OSTEOCARE (H/30 VIEN)"/>
    <s v="Q27-03-9-2"/>
    <s v="000189654"/>
    <n v="3"/>
    <n v="0"/>
    <s v="HOLD"/>
    <s v="8615/2019/ĐKSP"/>
    <s v="0000031534"/>
    <d v="2027-08-31T00:00:00"/>
    <s v="OT2312P"/>
    <n v="7.4999999999999997E-2"/>
    <n v="2688"/>
    <n v="0.22499999999999998"/>
    <x v="45"/>
    <x v="4"/>
  </r>
  <r>
    <s v="M00106"/>
    <s v="SC6100021"/>
    <s v="WELLKID MULTI-VITAMIN SMART CHEWABLE (H/30VIEN)"/>
    <s v="Q27-03-9-2"/>
    <s v="000189656"/>
    <n v="1"/>
    <n v="0"/>
    <s v="HOLD"/>
    <s v="7661/2023/ĐKSP"/>
    <s v="0000031534"/>
    <d v="2026-11-30T00:00:00"/>
    <s v="F173695"/>
    <n v="7.1999999999999995E-2"/>
    <n v="1920"/>
    <n v="7.1999999999999995E-2"/>
    <x v="90"/>
    <x v="4"/>
  </r>
  <r>
    <s v="M00106"/>
    <s v="SC6100015"/>
    <s v="PREGNACARE PLUS OMEGA 3 (H/56 VIEN)"/>
    <s v="Q27-01-1-1"/>
    <s v="000189663"/>
    <n v="2"/>
    <n v="0"/>
    <s v="HOLD"/>
    <s v="9184/2019/ĐKSP"/>
    <s v="0000031534"/>
    <d v="2026-05-31T00:00:00"/>
    <s v="PP2345"/>
    <n v="9.2999999999999999E-2"/>
    <n v="1536"/>
    <n v="0.186"/>
    <x v="18"/>
    <x v="0"/>
  </r>
  <r>
    <s v="M00106"/>
    <s v="SC6100007"/>
    <s v="JOINTACE (H/30 VIEN)"/>
    <s v="Q27-03-9-2"/>
    <s v="000189668"/>
    <n v="2"/>
    <n v="0"/>
    <s v="HOLD"/>
    <s v="10281/2019/ĐKSP"/>
    <s v="0000031534"/>
    <d v="2027-04-30T00:00:00"/>
    <s v="170023A"/>
    <n v="6.0999999999999999E-2"/>
    <n v="2688"/>
    <n v="0.122"/>
    <x v="52"/>
    <x v="4"/>
  </r>
  <r>
    <s v="M00106"/>
    <s v="SC6100017"/>
    <s v="WELLKID MULTI-VITAMIN LIQUID (CHAI/150ML)"/>
    <s v="Q27-03-9-2"/>
    <s v="000189666"/>
    <n v="1"/>
    <n v="0"/>
    <s v="HOLD"/>
    <s v="10642/2019/ĐKSP"/>
    <s v="0000031534"/>
    <d v="2026-11-30T00:00:00"/>
    <s v="41876"/>
    <n v="0.312"/>
    <n v="1680"/>
    <n v="0.312"/>
    <x v="153"/>
    <x v="4"/>
  </r>
  <r>
    <s v="M00106"/>
    <s v="SC6100002"/>
    <s v="FEROGLOBIN B12 LIQUID 200ML"/>
    <s v="Q27-03-9-2"/>
    <s v="000189662"/>
    <n v="2"/>
    <n v="0"/>
    <s v="HOLD"/>
    <s v="8974/2019/ĐKSP"/>
    <s v="0000031534"/>
    <d v="2026-11-30T00:00:00"/>
    <s v="41951"/>
    <n v="0.3"/>
    <n v="1680"/>
    <n v="0.6"/>
    <x v="12"/>
    <x v="4"/>
  </r>
  <r>
    <s v="M00106"/>
    <s v="SC6100019"/>
    <s v="WELLBABY MULTI-VITAMIN LIQUID (CHAI 150ML)"/>
    <s v="Q27-03-9-2"/>
    <s v="000189669"/>
    <n v="1"/>
    <n v="0"/>
    <s v="HOLD"/>
    <s v="10643/2019/ĐKSP"/>
    <s v="0000031534"/>
    <d v="2026-08-31T00:00:00"/>
    <s v="41588"/>
    <n v="0.22600000000000001"/>
    <n v="1680"/>
    <n v="0.22600000000000001"/>
    <x v="153"/>
    <x v="4"/>
  </r>
  <r>
    <s v="M00106"/>
    <s v="SC6100024"/>
    <s v="OSTEOCARE CHEWABLE (HOP/30 VIEN)"/>
    <s v="Q27-01-1-1"/>
    <s v="000189667"/>
    <n v="2"/>
    <n v="0"/>
    <s v="HOLD"/>
    <s v="9529/2023/ĐKSP"/>
    <s v="0000031534"/>
    <d v="2026-02-28T00:00:00"/>
    <s v="F169385"/>
    <n v="9.6000000000000002E-2"/>
    <n v="1920"/>
    <n v="0.192"/>
    <x v="91"/>
    <x v="0"/>
  </r>
  <r>
    <s v="M00106"/>
    <s v="SC6100025"/>
    <s v="PREGNACARE MAX (H/56 VIEN NEN, 28 VIEN NANG)"/>
    <s v="Q27-03-9-2"/>
    <s v="000189661"/>
    <n v="18"/>
    <n v="0"/>
    <s v="HOLD"/>
    <s v="1475/2024/ĐKSP"/>
    <s v="0000031534"/>
    <d v="2026-11-30T00:00:00"/>
    <s v="PM2410"/>
    <n v="0.156"/>
    <n v="1152"/>
    <n v="2.8079999999999998"/>
    <x v="207"/>
    <x v="4"/>
  </r>
  <r>
    <s v="M00106"/>
    <s v="SC6100003"/>
    <s v="FEROGLOBIN B12 CAPSULES (H/30 VIEN)"/>
    <s v="Q27-03-9-2"/>
    <s v="000189664"/>
    <n v="40"/>
    <n v="0"/>
    <s v="HOLD"/>
    <s v="9183/2019/ĐKSP"/>
    <s v="0000031534"/>
    <d v="2027-07-31T00:00:00"/>
    <s v="FW2422PA"/>
    <n v="0.04"/>
    <n v="2688"/>
    <n v="1.6"/>
    <x v="223"/>
    <x v="4"/>
  </r>
  <r>
    <s v="HOANGDUC"/>
    <s v="TT1300020"/>
    <s v="NHAN PHU - STAMLO 5"/>
    <s v="Q27-01-9-1"/>
    <s v="000189720"/>
    <n v="54"/>
    <n v="0"/>
    <s v="HOLD"/>
    <s v="NOVISA"/>
    <s v=" "/>
    <d v="2027-08-06T00:00:00"/>
    <s v="_"/>
    <n v="0"/>
    <n v="0"/>
    <n v="0"/>
    <x v="16"/>
    <x v="0"/>
  </r>
  <r>
    <s v="M00106"/>
    <s v="SC6100011"/>
    <s v="PERFECTIL (H/30 VIEN)"/>
    <s v="Q27-03-9-2"/>
    <s v="LPN009901"/>
    <n v="3"/>
    <n v="0"/>
    <s v="HOLD"/>
    <s v="9185/2019/ĐKSP"/>
    <s v="0000031541"/>
    <d v="2028-01-31T00:00:00"/>
    <s v="PFT2502A"/>
    <n v="5.8000000000000003E-2"/>
    <n v="2880"/>
    <n v="0.17400000000000002"/>
    <x v="91"/>
    <x v="4"/>
  </r>
  <r>
    <s v="M00106"/>
    <s v="SC6100011"/>
    <s v="PERFECTIL (H/30 VIEN)"/>
    <s v="Q27-03-9-2"/>
    <s v="LPN009904"/>
    <n v="20"/>
    <n v="0"/>
    <s v="HOLD"/>
    <s v="9185/2019/ĐKSP"/>
    <s v="0000031541"/>
    <d v="2028-01-31T00:00:00"/>
    <s v="PFT2501A"/>
    <n v="5.8000000000000003E-2"/>
    <n v="2880"/>
    <n v="1.1600000000000001"/>
    <x v="107"/>
    <x v="4"/>
  </r>
  <r>
    <s v="M00106"/>
    <s v="SC6100011"/>
    <s v="PERFECTIL (H/30 VIEN)"/>
    <s v="Q27-03-9-2"/>
    <s v="LPN009906"/>
    <n v="76"/>
    <n v="0"/>
    <s v="HOLD"/>
    <s v="9185/2019/ĐKSP"/>
    <s v="0000031541"/>
    <d v="2028-01-31T00:00:00"/>
    <s v="PFT2501A"/>
    <n v="5.8000000000000003E-2"/>
    <n v="2880"/>
    <n v="4.4080000000000004"/>
    <x v="272"/>
    <x v="4"/>
  </r>
  <r>
    <s v="M00106"/>
    <s v="SC6100025"/>
    <s v="PREGNACARE MAX (H/56 VIEN NEN, 28 VIEN NANG)"/>
    <s v="Q27-03-9-2"/>
    <s v="LPN009899"/>
    <n v="16"/>
    <n v="0"/>
    <s v="HOLD"/>
    <s v="1475/2024/ĐKSP"/>
    <s v="0000031541"/>
    <d v="2027-10-31T00:00:00"/>
    <s v="PM2510CP"/>
    <n v="0.156"/>
    <n v="1152"/>
    <n v="2.496"/>
    <x v="99"/>
    <x v="4"/>
  </r>
  <r>
    <s v="M00106"/>
    <s v="SC6100025"/>
    <s v="PREGNACARE MAX (H/56 VIEN NEN, 28 VIEN NANG)"/>
    <s v="Q27-03-9-2"/>
    <s v="LPN009902"/>
    <n v="5"/>
    <n v="0"/>
    <s v="HOLD"/>
    <s v="1475/2024/ĐKSP"/>
    <s v="0000031541"/>
    <d v="2027-10-31T00:00:00"/>
    <s v="PM2510CP"/>
    <n v="0.156"/>
    <n v="1152"/>
    <n v="0.78"/>
    <x v="262"/>
    <x v="4"/>
  </r>
  <r>
    <s v="HOANGDUC"/>
    <s v="OR5700001"/>
    <s v="FOSTER"/>
    <s v="QC1-01-2-1"/>
    <s v="LPN009928"/>
    <n v="7"/>
    <n v="0"/>
    <s v="HOLD"/>
    <s v="800110017024"/>
    <s v="0000031566"/>
    <d v="2026-09-22T00:00:00"/>
    <s v="1215224"/>
    <n v="4.1300000000000003E-2"/>
    <n v="1000"/>
    <n v="0.28910000000000002"/>
    <x v="273"/>
    <x v="6"/>
  </r>
  <r>
    <s v="M00106"/>
    <s v="SC6100018"/>
    <s v="PREGNACARE BREAST-FEEDING (HOP/56 VIEN NEN, 28 VIEN NANG)"/>
    <s v="Q27-03-9-2"/>
    <s v="000189895"/>
    <n v="1"/>
    <n v="0"/>
    <s v="HOLD"/>
    <s v="10645/2019/ĐKSP"/>
    <s v="0000031581"/>
    <d v="2027-02-28T00:00:00"/>
    <s v="PB2418"/>
    <n v="0.158"/>
    <n v="1152"/>
    <n v="0.158"/>
    <x v="71"/>
    <x v="4"/>
  </r>
  <r>
    <s v="HOANGDUC"/>
    <s v="MY1100001"/>
    <s v="TANAKAN 40MG 30TABS VN"/>
    <s v="Q26-03-5-1"/>
    <s v="000189898"/>
    <n v="1"/>
    <n v="0"/>
    <s v="HOLD"/>
    <s v="VN-16289-13"/>
    <s v="0000031563"/>
    <d v="2026-12-21T00:00:00"/>
    <s v="D51988"/>
    <n v="2.1000000000000001E-2"/>
    <n v="7150"/>
    <n v="2.1000000000000001E-2"/>
    <x v="274"/>
    <x v="1"/>
  </r>
  <r>
    <s v="HOANGDUC"/>
    <s v="MY1100001"/>
    <s v="TANAKAN 40MG 30TABS VN"/>
    <s v="Q26-03-5-1"/>
    <s v="000189897"/>
    <n v="9"/>
    <n v="0"/>
    <s v="HOLD"/>
    <s v="VN-16289-13"/>
    <s v="0000031563"/>
    <d v="2026-12-24T00:00:00"/>
    <s v="D51989"/>
    <n v="2.1000000000000001E-2"/>
    <n v="7150"/>
    <n v="0.189"/>
    <x v="275"/>
    <x v="1"/>
  </r>
  <r>
    <s v="HOANGDUC"/>
    <s v="TT1300376"/>
    <s v="NHAN PHU - RIVAXORED 15MG"/>
    <s v="Q27-01-9-1"/>
    <s v="000189941"/>
    <n v="2402"/>
    <n v="0"/>
    <s v="HOLD"/>
    <s v="novisa"/>
    <s v=" "/>
    <d v="2027-08-07T00:00:00"/>
    <s v="_"/>
    <n v="0"/>
    <n v="0"/>
    <n v="0"/>
    <x v="16"/>
    <x v="0"/>
  </r>
  <r>
    <s v="HOANGDUC"/>
    <s v="TT1300375"/>
    <s v="NHAN PHU - RIVAXORED 10MG"/>
    <s v="Q27-01-9-1"/>
    <s v="000189942"/>
    <n v="3808"/>
    <n v="0"/>
    <s v="HOLD"/>
    <s v="novisa"/>
    <s v=" "/>
    <d v="2027-08-07T00:00:00"/>
    <s v="_"/>
    <n v="0"/>
    <n v="0"/>
    <n v="0"/>
    <x v="16"/>
    <x v="0"/>
  </r>
  <r>
    <s v="HOANGDUC"/>
    <s v="MY1100006"/>
    <s v="SMECTAGO 12STICKS VN"/>
    <s v="Q26-03-5-1"/>
    <s v="000189938"/>
    <n v="13"/>
    <n v="0"/>
    <s v="HOLD"/>
    <s v="300100774424"/>
    <s v="0000031587"/>
    <d v="2028-03-24T00:00:00"/>
    <s v="D53451"/>
    <n v="0.156"/>
    <n v="2400"/>
    <n v="2.028"/>
    <x v="276"/>
    <x v="1"/>
  </r>
  <r>
    <s v="M00106"/>
    <s v="SC6100018"/>
    <s v="PREGNACARE BREAST-FEEDING (HOP/56 VIEN NEN, 28 VIEN NANG)"/>
    <s v="Q27-03-1-1"/>
    <s v="000189658"/>
    <n v="25"/>
    <n v="0"/>
    <s v="HOLD"/>
    <s v="10645/2019/ĐKSP"/>
    <s v="0000031613"/>
    <d v="2027-11-30T00:00:00"/>
    <s v="PB2505"/>
    <n v="0.158"/>
    <n v="1152"/>
    <n v="3.95"/>
    <x v="263"/>
    <x v="4"/>
  </r>
  <r>
    <s v="M00106"/>
    <s v="SC6100018"/>
    <s v="PREGNACARE BREAST-FEEDING (HOP/56 VIEN NEN, 28 VIEN NANG)"/>
    <s v="Q27-03-1-1"/>
    <s v="000189659"/>
    <n v="31"/>
    <n v="0"/>
    <s v="HOLD"/>
    <s v="10645/2019/ĐKSP"/>
    <s v="0000031613"/>
    <d v="2027-09-30T00:00:00"/>
    <s v="PB2501"/>
    <n v="0.158"/>
    <n v="1152"/>
    <n v="4.8979999999999997"/>
    <x v="252"/>
    <x v="4"/>
  </r>
  <r>
    <s v="HOANGDUC"/>
    <s v="MY1100008"/>
    <s v="FORLAX 10G 20SACH VN"/>
    <s v="Q26-03-4-1"/>
    <s v="000190219"/>
    <n v="1"/>
    <n v="0"/>
    <s v="HOLD"/>
    <s v="VN-16801-13"/>
    <s v="0000031622"/>
    <d v="2028-03-08T00:00:00"/>
    <s v="D52638"/>
    <n v="0.25700000000000001"/>
    <n v="1080"/>
    <n v="0.25700000000000001"/>
    <x v="205"/>
    <x v="1"/>
  </r>
  <r>
    <s v="HOANGDUC"/>
    <s v="MY1100008"/>
    <s v="FORLAX 10G 20SACH VN"/>
    <s v="Q26-03-4-1"/>
    <s v="000190215"/>
    <n v="5"/>
    <n v="0"/>
    <s v="HOLD"/>
    <s v="VN-16801-13"/>
    <s v="0000031622"/>
    <d v="2028-03-04T00:00:00"/>
    <s v="D52433"/>
    <n v="0.25700000000000001"/>
    <n v="1080"/>
    <n v="1.2850000000000001"/>
    <x v="277"/>
    <x v="1"/>
  </r>
  <r>
    <s v="HOANGDUC"/>
    <s v="MY1100001"/>
    <s v="TANAKAN 40MG 30TABS VN"/>
    <s v="Q26-03-4-1"/>
    <s v="000190464"/>
    <n v="2"/>
    <n v="0"/>
    <s v="HOLD"/>
    <s v="VN-16289-13"/>
    <s v="0000031633"/>
    <d v="2026-12-25T00:00:00"/>
    <s v="D52356"/>
    <n v="2.1000000000000001E-2"/>
    <n v="7150"/>
    <n v="4.2000000000000003E-2"/>
    <x v="278"/>
    <x v="1"/>
  </r>
  <r>
    <s v="HOANGDUC"/>
    <s v="MY1100001"/>
    <s v="TANAKAN 40MG 30TABS VN"/>
    <s v="Q26-03-4-1"/>
    <s v="000190463"/>
    <n v="2"/>
    <n v="0"/>
    <s v="HOLD"/>
    <s v="VN-16289-13"/>
    <s v="0000031633"/>
    <d v="2026-12-27T00:00:00"/>
    <s v="D52360"/>
    <n v="2.1000000000000001E-2"/>
    <n v="7150"/>
    <n v="4.2000000000000003E-2"/>
    <x v="278"/>
    <x v="1"/>
  </r>
  <r>
    <s v="HOANGDUC"/>
    <s v="RH7300517"/>
    <s v="SELSUN ANTI-DANDRUFF SHAMPOO WITH SELENIUM SULFIDE 100ML +KM"/>
    <s v="Q27-01-1-1"/>
    <s v="000190485"/>
    <n v="4"/>
    <n v="0"/>
    <s v="HOLD"/>
    <s v="NOVISA"/>
    <s v="54-15611"/>
    <d v="2028-04-22T00:00:00"/>
    <s v="DB03"/>
    <n v="0.17399999999999999"/>
    <n v="1320"/>
    <n v="0.69599999999999995"/>
    <x v="279"/>
    <x v="0"/>
  </r>
  <r>
    <s v="M00106"/>
    <s v="SC6100018"/>
    <s v="PREGNACARE BREAST-FEEDING (HOP/56 VIEN NEN, 28 VIEN NANG)"/>
    <s v="Q27-03-5-2"/>
    <s v="LPN009942"/>
    <n v="54"/>
    <n v="0"/>
    <s v="HOLD"/>
    <s v="10645/2019/ĐKSP"/>
    <s v="0000031642"/>
    <d v="2027-12-31T00:00:00"/>
    <s v="PB2507"/>
    <n v="0.158"/>
    <n v="1152"/>
    <n v="8.532"/>
    <x v="280"/>
    <x v="4"/>
  </r>
  <r>
    <s v="M00106"/>
    <s v="SC6100018"/>
    <s v="PREGNACARE BREAST-FEEDING (HOP/56 VIEN NEN, 28 VIEN NANG)"/>
    <s v="Q27-03-5-2"/>
    <s v="LPN009969"/>
    <n v="38"/>
    <n v="0"/>
    <s v="HOLD"/>
    <s v="10645/2019/ĐKSP"/>
    <s v="0000031642"/>
    <d v="2027-12-31T00:00:00"/>
    <s v="PB2507"/>
    <n v="0.158"/>
    <n v="1152"/>
    <n v="6.0040000000000004"/>
    <x v="281"/>
    <x v="4"/>
  </r>
  <r>
    <s v="M00106"/>
    <s v="SC6100018"/>
    <s v="PREGNACARE BREAST-FEEDING (HOP/56 VIEN NEN, 28 VIEN NANG)"/>
    <s v="Q27-03-5-2"/>
    <s v="LPN009983"/>
    <n v="7"/>
    <n v="0"/>
    <s v="HOLD"/>
    <s v="10645/2019/ĐKSP"/>
    <s v="0000031642"/>
    <d v="2027-12-31T00:00:00"/>
    <s v="PB2507"/>
    <n v="0.158"/>
    <n v="1152"/>
    <n v="1.1060000000000001"/>
    <x v="261"/>
    <x v="4"/>
  </r>
  <r>
    <s v="M00106"/>
    <s v="SC6100015"/>
    <s v="PREGNACARE PLUS OMEGA 3 (H/56 VIEN)"/>
    <s v="Q27-03-5-2"/>
    <s v="LPN009964"/>
    <n v="132"/>
    <n v="0"/>
    <s v="HOLD"/>
    <s v="9184/2019/ĐKSP"/>
    <s v="0000031642"/>
    <d v="2027-09-30T00:00:00"/>
    <s v="PP2518"/>
    <n v="9.2999999999999999E-2"/>
    <n v="1536"/>
    <n v="12.276"/>
    <x v="282"/>
    <x v="4"/>
  </r>
  <r>
    <s v="M00106"/>
    <s v="SC6100015"/>
    <s v="PREGNACARE PLUS OMEGA 3 (H/56 VIEN)"/>
    <s v="Q27-03-5-2"/>
    <s v="LPN009965"/>
    <n v="26"/>
    <n v="0"/>
    <s v="HOLD"/>
    <s v="9184/2019/ĐKSP"/>
    <s v="0000031642"/>
    <d v="2027-09-30T00:00:00"/>
    <s v="PP2518"/>
    <n v="9.2999999999999999E-2"/>
    <n v="1536"/>
    <n v="2.4180000000000001"/>
    <x v="22"/>
    <x v="4"/>
  </r>
  <r>
    <s v="M00106"/>
    <s v="SC6100015"/>
    <s v="PREGNACARE PLUS OMEGA 3 (H/56 VIEN)"/>
    <s v="Q27-03-5-2"/>
    <s v="LPN009972"/>
    <n v="86"/>
    <n v="0"/>
    <s v="HOLD"/>
    <s v="9184/2019/ĐKSP"/>
    <s v="0000031642"/>
    <d v="2027-09-30T00:00:00"/>
    <s v="PP2518"/>
    <n v="9.2999999999999999E-2"/>
    <n v="1536"/>
    <n v="7.9980000000000002"/>
    <x v="283"/>
    <x v="4"/>
  </r>
  <r>
    <s v="M00106"/>
    <s v="SC6100015"/>
    <s v="PREGNACARE PLUS OMEGA 3 (H/56 VIEN)"/>
    <s v="Q27-03-5-2"/>
    <s v="LPN009973"/>
    <n v="11"/>
    <n v="0"/>
    <s v="HOLD"/>
    <s v="9184/2019/ĐKSP"/>
    <s v="0000031642"/>
    <d v="2027-09-30T00:00:00"/>
    <s v="PP2518"/>
    <n v="9.2999999999999999E-2"/>
    <n v="1536"/>
    <n v="1.0229999999999999"/>
    <x v="284"/>
    <x v="4"/>
  </r>
  <r>
    <s v="M00106"/>
    <s v="SC6100011"/>
    <s v="PERFECTIL (H/30 VIEN)"/>
    <s v="Q27-03-5-2"/>
    <s v="LPN009984"/>
    <n v="6"/>
    <n v="0"/>
    <s v="HOLD"/>
    <s v="9185/2019/ĐKSP"/>
    <s v="0000031642"/>
    <d v="2028-01-31T00:00:00"/>
    <s v="PFT2502A"/>
    <n v="5.8000000000000003E-2"/>
    <n v="2880"/>
    <n v="0.34800000000000003"/>
    <x v="9"/>
    <x v="4"/>
  </r>
  <r>
    <s v="M00106"/>
    <s v="SC6100001"/>
    <s v="OSTEOCARE LIQUID 200ML"/>
    <s v="Q27-03-5-2"/>
    <s v="LPN009998"/>
    <n v="50"/>
    <n v="0"/>
    <s v="HOLD"/>
    <s v="9186/2019/ĐKSP"/>
    <s v="0000031642"/>
    <d v="2027-03-31T00:00:00"/>
    <s v="50494"/>
    <n v="0.3"/>
    <n v="1680"/>
    <n v="15"/>
    <x v="285"/>
    <x v="4"/>
  </r>
  <r>
    <s v="M00106"/>
    <s v="SC6100002"/>
    <s v="FEROGLOBIN B12 LIQUID 200ML"/>
    <s v="Q27-03-5-2"/>
    <s v="LPN009956"/>
    <n v="34"/>
    <n v="0"/>
    <s v="HOLD"/>
    <s v="8974/2019/ĐKSP"/>
    <s v="0000031642"/>
    <d v="2027-03-31T00:00:00"/>
    <s v="50445"/>
    <n v="0.3"/>
    <n v="1680"/>
    <n v="10.199999999999999"/>
    <x v="286"/>
    <x v="4"/>
  </r>
  <r>
    <s v="M00106"/>
    <s v="SC6100019"/>
    <s v="WELLBABY MULTI-VITAMIN LIQUID (CHAI 150ML)"/>
    <s v="Q27-03-5-2"/>
    <s v="LPN009963"/>
    <n v="3"/>
    <n v="0"/>
    <s v="HOLD"/>
    <s v="10643/2019/ĐKSP"/>
    <s v="0000031642"/>
    <d v="2027-03-31T00:00:00"/>
    <s v="50444"/>
    <n v="0.22600000000000001"/>
    <n v="1680"/>
    <n v="0.67800000000000005"/>
    <x v="55"/>
    <x v="4"/>
  </r>
  <r>
    <s v="M00106"/>
    <s v="SC6100014"/>
    <s v="LIVERIL (H/30 VIEN)"/>
    <s v="Q27-03-5-2"/>
    <s v="LPN009977"/>
    <n v="1"/>
    <n v="0"/>
    <s v="HOLD"/>
    <s v="8719/2019/ĐKSP"/>
    <s v="0000031642"/>
    <d v="2027-10-31T00:00:00"/>
    <s v="LV2413P"/>
    <n v="6.8000000000000005E-2"/>
    <n v="2240"/>
    <n v="6.8000000000000005E-2"/>
    <x v="58"/>
    <x v="4"/>
  </r>
  <r>
    <s v="M00106"/>
    <s v="SC6100003"/>
    <s v="FEROGLOBIN B12 CAPSULES (H/30 VIEN)"/>
    <s v="Q27-03-1-2"/>
    <s v="LPN010013"/>
    <n v="14"/>
    <n v="0"/>
    <s v="HOLD"/>
    <s v="9183/2019/ĐKSP"/>
    <s v="0000031659"/>
    <d v="2027-12-31T00:00:00"/>
    <s v="FW2502TA"/>
    <n v="0.04"/>
    <n v="2688"/>
    <n v="0.56000000000000005"/>
    <x v="36"/>
    <x v="4"/>
  </r>
  <r>
    <s v="M00106"/>
    <s v="SC6100003"/>
    <s v="FEROGLOBIN B12 CAPSULES (H/30 VIEN)"/>
    <s v="Q27-03-5-2"/>
    <s v="LPN009974"/>
    <n v="16"/>
    <n v="0"/>
    <s v="HOLD"/>
    <s v="9183/2019/ĐKSP"/>
    <s v="0000031659"/>
    <d v="2027-12-31T00:00:00"/>
    <s v="FW2502TA"/>
    <n v="0.04"/>
    <n v="2688"/>
    <n v="0.64"/>
    <x v="49"/>
    <x v="4"/>
  </r>
  <r>
    <s v="M00106"/>
    <s v="SC6100003"/>
    <s v="FEROGLOBIN B12 CAPSULES (H/30 VIEN)"/>
    <s v="Q27-03-5-2"/>
    <s v="LPN010029"/>
    <n v="25"/>
    <n v="0"/>
    <s v="HOLD"/>
    <s v="9183/2019/ĐKSP"/>
    <s v="0000031659"/>
    <d v="2027-12-31T00:00:00"/>
    <s v="FW2502TA"/>
    <n v="0.04"/>
    <n v="2688"/>
    <n v="1"/>
    <x v="86"/>
    <x v="4"/>
  </r>
  <r>
    <s v="M00106"/>
    <s v="SC6100003"/>
    <s v="FEROGLOBIN B12 CAPSULES (H/30 VIEN)"/>
    <s v="Q27-03-5-2"/>
    <s v="LPN010034"/>
    <n v="3"/>
    <n v="0"/>
    <s v="HOLD"/>
    <s v="9183/2019/ĐKSP"/>
    <s v="0000031659"/>
    <d v="2027-12-31T00:00:00"/>
    <s v="FW2502TA"/>
    <n v="0.04"/>
    <n v="2688"/>
    <n v="0.12"/>
    <x v="45"/>
    <x v="4"/>
  </r>
  <r>
    <s v="M00106"/>
    <s v="SC6100003"/>
    <s v="FEROGLOBIN B12 CAPSULES (H/30 VIEN)"/>
    <s v="Q27-03-1-1"/>
    <s v="LPN010146"/>
    <n v="2"/>
    <n v="0"/>
    <s v="HOLD"/>
    <s v="9183/2019/ĐKSP"/>
    <s v="0000031659"/>
    <d v="2027-12-31T00:00:00"/>
    <s v="FW2503KA"/>
    <n v="0.04"/>
    <n v="2688"/>
    <n v="0.08"/>
    <x v="52"/>
    <x v="4"/>
  </r>
  <r>
    <s v="M00106"/>
    <s v="SC6100003"/>
    <s v="FEROGLOBIN B12 CAPSULES (H/30 VIEN)"/>
    <s v="Q27-03-1-1"/>
    <s v="LPN010147"/>
    <n v="8"/>
    <n v="0"/>
    <s v="HOLD"/>
    <s v="9183/2019/ĐKSP"/>
    <s v="0000031659"/>
    <d v="2027-12-31T00:00:00"/>
    <s v="FW2503KA"/>
    <n v="0.04"/>
    <n v="2688"/>
    <n v="0.32"/>
    <x v="41"/>
    <x v="4"/>
  </r>
  <r>
    <s v="M00106"/>
    <s v="SC6100003"/>
    <s v="FEROGLOBIN B12 CAPSULES (H/30 VIEN)"/>
    <s v="Q27-03-3-2"/>
    <s v="LPN010241"/>
    <n v="1"/>
    <n v="0"/>
    <s v="HOLD"/>
    <s v="9183/2019/ĐKSP"/>
    <s v="0000031659"/>
    <d v="2027-12-31T00:00:00"/>
    <s v="FW2503KA"/>
    <n v="0.04"/>
    <n v="2688"/>
    <n v="0.04"/>
    <x v="51"/>
    <x v="4"/>
  </r>
  <r>
    <s v="M00106"/>
    <s v="SC6100003"/>
    <s v="FEROGLOBIN B12 CAPSULES (H/30 VIEN)"/>
    <s v="Q27-03-3-2"/>
    <s v="LPN010247"/>
    <n v="6"/>
    <n v="0"/>
    <s v="HOLD"/>
    <s v="9183/2019/ĐKSP"/>
    <s v="0000031659"/>
    <d v="2027-12-31T00:00:00"/>
    <s v="FW2503KA"/>
    <n v="0.04"/>
    <n v="2688"/>
    <n v="0.24"/>
    <x v="53"/>
    <x v="4"/>
  </r>
  <r>
    <s v="M00106"/>
    <s v="SC6100003"/>
    <s v="FEROGLOBIN B12 CAPSULES (H/30 VIEN)"/>
    <s v="Q27-03-4-2"/>
    <s v="LPN010068"/>
    <n v="15"/>
    <n v="0"/>
    <s v="HOLD"/>
    <s v="9183/2019/ĐKSP"/>
    <s v="0000031659"/>
    <d v="2027-12-31T00:00:00"/>
    <s v="FW2503KA"/>
    <n v="0.04"/>
    <n v="2688"/>
    <n v="0.6"/>
    <x v="117"/>
    <x v="4"/>
  </r>
  <r>
    <s v="M00106"/>
    <s v="SC6100003"/>
    <s v="FEROGLOBIN B12 CAPSULES (H/30 VIEN)"/>
    <s v="Q27-03-6-2"/>
    <s v="LPN010255"/>
    <n v="1"/>
    <n v="0"/>
    <s v="HOLD"/>
    <s v="9183/2019/ĐKSP"/>
    <s v="0000031659"/>
    <d v="2027-12-31T00:00:00"/>
    <s v="FW2503KA"/>
    <n v="0.04"/>
    <n v="2688"/>
    <n v="0.04"/>
    <x v="51"/>
    <x v="4"/>
  </r>
  <r>
    <s v="HOANGDUC"/>
    <s v="BE-90001889"/>
    <s v="90001889 CONTOUR PLUS BLOOD GLUCOSE TEST STRIPS 25.S ( QUE T"/>
    <s v="Q26-01-1-1"/>
    <s v="000190800"/>
    <n v="16"/>
    <n v="0"/>
    <s v="HOLD"/>
    <s v="2300583ĐKLH/BYT-HTTB"/>
    <s v="51-378372"/>
    <d v="2026-02-28T00:00:00"/>
    <s v="DP4BQHH33C"/>
    <n v="3.2000000000000001E-2"/>
    <n v="8640"/>
    <n v="0.51200000000000001"/>
    <x v="178"/>
    <x v="2"/>
  </r>
  <r>
    <s v="M00106"/>
    <s v="SC6100003"/>
    <s v="FEROGLOBIN B12 CAPSULES (H/30 VIEN)"/>
    <s v="Q27-03-5-2"/>
    <s v="LPN009976"/>
    <n v="6"/>
    <n v="0"/>
    <s v="HOLD"/>
    <s v="9183/2019/ĐKSP"/>
    <s v="0000031657"/>
    <d v="2027-12-31T00:00:00"/>
    <s v="FW2502TA"/>
    <n v="0.04"/>
    <n v="2688"/>
    <n v="0.24"/>
    <x v="53"/>
    <x v="4"/>
  </r>
  <r>
    <s v="M00106"/>
    <s v="SC6100003"/>
    <s v="FEROGLOBIN B12 CAPSULES (H/30 VIEN)"/>
    <s v="Q27-03-5-2"/>
    <s v="LPN009986"/>
    <n v="11"/>
    <n v="0"/>
    <s v="HOLD"/>
    <s v="9183/2019/ĐKSP"/>
    <s v="0000031657"/>
    <d v="2027-12-31T00:00:00"/>
    <s v="FW2502TA"/>
    <n v="0.04"/>
    <n v="2688"/>
    <n v="0.44"/>
    <x v="47"/>
    <x v="4"/>
  </r>
  <r>
    <s v="M00106"/>
    <s v="SC6100003"/>
    <s v="FEROGLOBIN B12 CAPSULES (H/30 VIEN)"/>
    <s v="Q27-03-5-2"/>
    <s v="LPN009993"/>
    <n v="21"/>
    <n v="0"/>
    <s v="HOLD"/>
    <s v="9183/2019/ĐKSP"/>
    <s v="0000031657"/>
    <d v="2027-12-31T00:00:00"/>
    <s v="FW2502TA"/>
    <n v="0.04"/>
    <n v="2688"/>
    <n v="0.84"/>
    <x v="25"/>
    <x v="4"/>
  </r>
  <r>
    <s v="M00106"/>
    <s v="SC6100003"/>
    <s v="FEROGLOBIN B12 CAPSULES (H/30 VIEN)"/>
    <s v="Q27-03-5-2"/>
    <s v="LPN009997"/>
    <n v="5"/>
    <n v="0"/>
    <s v="HOLD"/>
    <s v="9183/2019/ĐKSP"/>
    <s v="0000031657"/>
    <d v="2027-12-31T00:00:00"/>
    <s v="FW2502TA"/>
    <n v="0.04"/>
    <n v="2688"/>
    <n v="0.2"/>
    <x v="46"/>
    <x v="4"/>
  </r>
  <r>
    <s v="M00106"/>
    <s v="SC6100003"/>
    <s v="FEROGLOBIN B12 CAPSULES (H/30 VIEN)"/>
    <s v="Q27-03-5-2"/>
    <s v="LPN010006"/>
    <n v="29"/>
    <n v="0"/>
    <s v="HOLD"/>
    <s v="9183/2019/ĐKSP"/>
    <s v="0000031657"/>
    <d v="2027-12-31T00:00:00"/>
    <s v="FW2502TA"/>
    <n v="0.04"/>
    <n v="2688"/>
    <n v="1.1599999999999999"/>
    <x v="287"/>
    <x v="4"/>
  </r>
  <r>
    <s v="M00106"/>
    <s v="SC6100003"/>
    <s v="FEROGLOBIN B12 CAPSULES (H/30 VIEN)"/>
    <s v="Q27-03-5-2"/>
    <s v="LPN010027"/>
    <n v="19"/>
    <n v="0"/>
    <s v="HOLD"/>
    <s v="9183/2019/ĐKSP"/>
    <s v="0000031657"/>
    <d v="2027-12-31T00:00:00"/>
    <s v="FW2502TA"/>
    <n v="0.04"/>
    <n v="2688"/>
    <n v="0.76"/>
    <x v="43"/>
    <x v="4"/>
  </r>
  <r>
    <s v="M00106"/>
    <s v="SC6100003"/>
    <s v="FEROGLOBIN B12 CAPSULES (H/30 VIEN)"/>
    <s v="Q27-03-1-2"/>
    <s v="LPN010317"/>
    <n v="17"/>
    <n v="0"/>
    <s v="HOLD"/>
    <s v="9183/2019/ĐKSP"/>
    <s v="0000031657"/>
    <d v="2028-02-29T00:00:00"/>
    <s v="FW2506PA"/>
    <n v="0.04"/>
    <n v="2688"/>
    <n v="0.68"/>
    <x v="288"/>
    <x v="4"/>
  </r>
  <r>
    <s v="M00106"/>
    <s v="SC6100003"/>
    <s v="FEROGLOBIN B12 CAPSULES (H/30 VIEN)"/>
    <s v="Q27-03-1-2"/>
    <s v="LPN010358"/>
    <n v="30"/>
    <n v="0"/>
    <s v="HOLD"/>
    <s v="9183/2019/ĐKSP"/>
    <s v="0000031657"/>
    <d v="2028-02-29T00:00:00"/>
    <s v="FW2506PA"/>
    <n v="0.04"/>
    <n v="2688"/>
    <n v="1.2"/>
    <x v="289"/>
    <x v="4"/>
  </r>
  <r>
    <s v="HOANGDUC"/>
    <s v="TT1300169"/>
    <s v="NHAN PHU - WINDUZA"/>
    <s v="Q27-01-9-1"/>
    <s v="000191701"/>
    <n v="1533"/>
    <n v="0"/>
    <s v="HOLD"/>
    <s v="novisa"/>
    <s v=" "/>
    <d v="2027-08-19T00:00:00"/>
    <s v="_"/>
    <n v="0"/>
    <n v="0"/>
    <n v="0"/>
    <x v="16"/>
    <x v="0"/>
  </r>
  <r>
    <s v="HOANGDUC"/>
    <s v="TT1300004"/>
    <s v="NHAN PHU - CETRAXAL (H/15 ONG)"/>
    <s v="Q27-01-9-1"/>
    <s v="000191705"/>
    <n v="470"/>
    <n v="0"/>
    <s v="HOLD"/>
    <s v="NOVISA"/>
    <s v=" "/>
    <d v="2027-08-20T00:00:00"/>
    <s v="_"/>
    <n v="0"/>
    <n v="0"/>
    <n v="0"/>
    <x v="16"/>
    <x v="0"/>
  </r>
  <r>
    <s v="HOANGDUC"/>
    <s v="MRTT1420"/>
    <s v="TT1420 TEMNO EVOLUTION (TEMNO EVOLUTION BIOPSY DEVICE) 14G X"/>
    <s v="Q27-01-1-1"/>
    <s v="M0003210"/>
    <n v="2"/>
    <n v="0"/>
    <s v="HOLD"/>
    <s v="NOVISA"/>
    <s v="57-29864"/>
    <d v="2026-01-31T00:00:00"/>
    <s v="I2394638"/>
    <n v="0.26"/>
    <n v="0"/>
    <n v="0.52"/>
    <x v="16"/>
    <x v="0"/>
  </r>
  <r>
    <s v="M00106"/>
    <s v="SC6100016"/>
    <s v="OSTEOCARE FIZZ (TUYP/ 20 VIEN)"/>
    <s v="Q27-03-5-2"/>
    <s v="000191851"/>
    <n v="40"/>
    <n v="0"/>
    <s v="HOLD"/>
    <s v="6464/2023/ĐKSP"/>
    <s v="0000031786"/>
    <d v="2026-06-30T00:00:00"/>
    <s v="F170292"/>
    <n v="0.10199999999999999"/>
    <n v="2880"/>
    <n v="4.08"/>
    <x v="99"/>
    <x v="4"/>
  </r>
  <r>
    <s v="M00106"/>
    <s v="SC6100015"/>
    <s v="PREGNACARE PLUS OMEGA 3 (H/56 VIEN)"/>
    <s v="Q27-03-5-2"/>
    <s v="000191850"/>
    <n v="32"/>
    <n v="0"/>
    <s v="HOLD"/>
    <s v="9184/2019/ĐKSP"/>
    <s v="0000031786"/>
    <d v="2026-05-31T00:00:00"/>
    <s v="PP2359"/>
    <n v="9.2999999999999999E-2"/>
    <n v="1536"/>
    <n v="2.976"/>
    <x v="74"/>
    <x v="4"/>
  </r>
  <r>
    <s v="M00106"/>
    <s v="SC6100023"/>
    <s v="VISIONACE ORIGINAL (HOP/30VIEN)"/>
    <s v="Q27-03-5-2"/>
    <s v="000191852"/>
    <n v="20"/>
    <n v="0"/>
    <s v="HOLD"/>
    <s v="1737/2024/ĐKSP"/>
    <s v="0000031786"/>
    <d v="2026-07-31T00:00:00"/>
    <s v="126094A"/>
    <n v="5.0999999999999997E-2"/>
    <n v="2880"/>
    <n v="1.02"/>
    <x v="107"/>
    <x v="4"/>
  </r>
  <r>
    <s v="M00106"/>
    <s v="SC6100002"/>
    <s v="FEROGLOBIN B12 LIQUID 200ML"/>
    <s v="Q27-01-4-2"/>
    <s v="000191847"/>
    <n v="48"/>
    <n v="0"/>
    <s v="HOLD"/>
    <s v="8974/2019/ĐKSP"/>
    <s v="0000031786"/>
    <d v="2026-02-28T00:00:00"/>
    <s v="40426A"/>
    <n v="0.3"/>
    <n v="1680"/>
    <n v="14.399999999999999"/>
    <x v="290"/>
    <x v="0"/>
  </r>
  <r>
    <s v="M00106"/>
    <s v="SC6100008"/>
    <s v="MENOPACE (H/30 VIEN)"/>
    <s v="Q26-01-7-2"/>
    <s v="000191849"/>
    <n v="140"/>
    <n v="0"/>
    <s v="HOLD"/>
    <s v="9577/2019/ĐKSP"/>
    <s v="0000031786"/>
    <d v="2026-01-31T00:00:00"/>
    <s v="165074"/>
    <n v="5.3999999999999999E-2"/>
    <n v="2880"/>
    <n v="7.56"/>
    <x v="291"/>
    <x v="2"/>
  </r>
  <r>
    <s v="M00106"/>
    <s v="SC6100002"/>
    <s v="FEROGLOBIN B12 LIQUID 200ML"/>
    <s v="Q27-01-4-2"/>
    <s v="000191848"/>
    <n v="24"/>
    <n v="0"/>
    <s v="HOLD"/>
    <s v="8974/2019/ĐKSP"/>
    <s v="0000031786"/>
    <d v="2026-03-31T00:00:00"/>
    <s v="40622"/>
    <n v="0.3"/>
    <n v="1680"/>
    <n v="7.1999999999999993"/>
    <x v="96"/>
    <x v="0"/>
  </r>
  <r>
    <s v="HOANGDUC"/>
    <s v="AV1100020"/>
    <s v="ARIP TABLET 15MG (H/3 VI X10 VIEN)"/>
    <s v="Q26-03-4-1"/>
    <s v="LPN010009"/>
    <n v="2"/>
    <n v="0"/>
    <s v="HOLD"/>
    <s v="VN-23051-22"/>
    <s v="0000031840"/>
    <d v="2027-06-19T00:00:00"/>
    <s v="BBX5M002"/>
    <n v="2.1999999999999999E-2"/>
    <n v="4032"/>
    <n v="4.3999999999999997E-2"/>
    <x v="148"/>
    <x v="1"/>
  </r>
  <r>
    <s v="HOANGDUC"/>
    <s v="DE6100004"/>
    <s v="THUC PHAM DINH DUONG Y HOC FORTIMEL COMPACT PROTEIN 2.4 kcal"/>
    <s v="Q27-03-7-1"/>
    <s v="LPN010046"/>
    <n v="10"/>
    <n v="0"/>
    <s v="HOLD"/>
    <s v="1081/2024/ĐKSP"/>
    <s v="0000031838"/>
    <d v="2026-04-21T00:00:00"/>
    <s v="111500106"/>
    <n v="0.158"/>
    <n v="2496"/>
    <n v="1.58"/>
    <x v="292"/>
    <x v="4"/>
  </r>
  <r>
    <s v="HOANGDUC"/>
    <s v="AZ1100025"/>
    <s v="PLENDIL PLUS TAB 5.47.5MG BT 1X30 EA VN"/>
    <s v="Q26-03-4-1"/>
    <s v="000192095"/>
    <n v="1"/>
    <n v="0"/>
    <s v="HOLD"/>
    <s v="VN-20224-17"/>
    <s v="0000031845"/>
    <d v="2028-01-07T00:00:00"/>
    <s v="MAPZ"/>
    <n v="3.5999999999999997E-2"/>
    <n v="5280"/>
    <n v="3.5999999999999997E-2"/>
    <x v="149"/>
    <x v="1"/>
  </r>
  <r>
    <s v="HOANGDUC"/>
    <s v="DE6100005"/>
    <s v="THUC PHAM DINH DUONG Y HOC FORTIMEL COMPACT PROTEIN 2.4 kcal"/>
    <s v="Q27-03-7-1"/>
    <s v="LPN010061"/>
    <n v="1"/>
    <n v="0"/>
    <s v="HOLD"/>
    <s v="1080/2024/ĐKSP"/>
    <s v="0000031838"/>
    <d v="2026-04-28T00:00:00"/>
    <s v="111505247"/>
    <n v="0.159"/>
    <n v="2496"/>
    <n v="0.159"/>
    <x v="293"/>
    <x v="4"/>
  </r>
  <r>
    <s v="HOANGDUC"/>
    <s v="TT1300022"/>
    <s v="TEM NHA NHAP KHAU CHU THICH HAN DUNG"/>
    <s v="Q27-01-9-1"/>
    <s v="000192245"/>
    <n v="1537"/>
    <n v="0"/>
    <s v="HOLD"/>
    <s v="NOVISA"/>
    <s v=" "/>
    <d v="2027-08-25T00:00:00"/>
    <s v="_"/>
    <n v="0"/>
    <n v="0"/>
    <n v="0"/>
    <x v="16"/>
    <x v="0"/>
  </r>
  <r>
    <s v="HOANGDUC"/>
    <s v="TT1300565"/>
    <s v="NHAN PHU RXOLVE SOOTHE EYE DROPS"/>
    <s v="Q27-01-9-1"/>
    <s v="000192360"/>
    <n v="1297"/>
    <n v="0"/>
    <s v="HOLD"/>
    <s v="novisa"/>
    <s v=" "/>
    <d v="2027-08-26T00:00:00"/>
    <s v="_"/>
    <n v="0"/>
    <n v="0"/>
    <n v="0"/>
    <x v="16"/>
    <x v="0"/>
  </r>
  <r>
    <s v="HOANGDUC"/>
    <s v="TT1300383"/>
    <s v="NHAN PHU - AMPLATZER PICCO"/>
    <s v="Q27-01-9-1"/>
    <s v="000192389"/>
    <n v="1657"/>
    <n v="0"/>
    <s v="HOLD"/>
    <s v="NOVISA"/>
    <s v=" "/>
    <d v="2027-08-26T00:00:00"/>
    <s v="_"/>
    <n v="0"/>
    <n v="0"/>
    <n v="0"/>
    <x v="16"/>
    <x v="0"/>
  </r>
  <r>
    <s v="HOANGDUC"/>
    <s v="HY1100001"/>
    <s v="DORITHRICIN TAB 20.S"/>
    <s v="Q26-01-1-2"/>
    <s v="LPN010169"/>
    <n v="207"/>
    <n v="0"/>
    <s v="HOLD"/>
    <s v="VN-20293-17"/>
    <s v="54-15920"/>
    <d v="2026-04-05T00:00:00"/>
    <s v="2452801"/>
    <n v="0.04"/>
    <n v="9000"/>
    <n v="8.2799999999999994"/>
    <x v="294"/>
    <x v="2"/>
  </r>
  <r>
    <s v="M00106"/>
    <s v="SC6100013"/>
    <s v="PREGNACARE ORIGINAL (H/30 VIEN)"/>
    <s v="Q27-03-5-2"/>
    <s v="LPN010035"/>
    <n v="3"/>
    <n v="0"/>
    <s v="HOLD"/>
    <s v="4140/2020/ĐKSP"/>
    <s v="0000031899"/>
    <d v="2027-10-31T00:00:00"/>
    <s v="PRW2427A"/>
    <n v="4.9000000000000002E-2"/>
    <n v="2880"/>
    <n v="0.14700000000000002"/>
    <x v="91"/>
    <x v="4"/>
  </r>
  <r>
    <s v="M00106"/>
    <s v="SC6100017"/>
    <s v="WELLKID MULTI-VITAMIN LIQUID (CHAI/150ML)"/>
    <s v="Q27-03-4-2"/>
    <s v="LPN010054"/>
    <n v="43"/>
    <n v="0"/>
    <s v="HOLD"/>
    <s v="10642/2019/ĐKSP"/>
    <s v="0000031899"/>
    <d v="2027-01-31T00:00:00"/>
    <s v="50219"/>
    <n v="0.312"/>
    <n v="1680"/>
    <n v="13.416"/>
    <x v="295"/>
    <x v="4"/>
  </r>
  <r>
    <s v="M00106"/>
    <s v="SC6100017"/>
    <s v="WELLKID MULTI-VITAMIN LIQUID (CHAI/150ML)"/>
    <s v="Q27-03-5-2"/>
    <s v="LPN010037"/>
    <n v="15"/>
    <n v="0"/>
    <s v="HOLD"/>
    <s v="10642/2019/ĐKSP"/>
    <s v="0000031899"/>
    <d v="2027-01-31T00:00:00"/>
    <s v="50219"/>
    <n v="0.312"/>
    <n v="1680"/>
    <n v="4.68"/>
    <x v="100"/>
    <x v="4"/>
  </r>
  <r>
    <s v="M00106"/>
    <s v="SC6100017"/>
    <s v="WELLKID MULTI-VITAMIN LIQUID (CHAI/150ML)"/>
    <s v="Q27-03-5-2"/>
    <s v="LPN010038"/>
    <n v="32"/>
    <n v="0"/>
    <s v="HOLD"/>
    <s v="10642/2019/ĐKSP"/>
    <s v="0000031899"/>
    <d v="2027-01-31T00:00:00"/>
    <s v="50219"/>
    <n v="0.312"/>
    <n v="1680"/>
    <n v="9.984"/>
    <x v="296"/>
    <x v="4"/>
  </r>
  <r>
    <s v="M00106"/>
    <s v="SC6100001"/>
    <s v="OSTEOCARE LIQUID 200ML"/>
    <s v="Q26-01-9-1"/>
    <s v="000192611"/>
    <n v="177"/>
    <n v="0"/>
    <s v="HOLD"/>
    <s v="9186/2019/ĐKSP"/>
    <s v="0000031923"/>
    <d v="2026-02-28T00:00:00"/>
    <s v="40487"/>
    <n v="0.3"/>
    <n v="1680"/>
    <n v="53.1"/>
    <x v="297"/>
    <x v="2"/>
  </r>
  <r>
    <s v="M00106"/>
    <s v="SC6100001"/>
    <s v="OSTEOCARE LIQUID 200ML"/>
    <s v="Q27-03-5-2"/>
    <s v="000192612"/>
    <n v="4"/>
    <n v="0"/>
    <s v="HOLD"/>
    <s v="9186/2019/ĐKSP"/>
    <s v="0000031923"/>
    <d v="2026-08-31T00:00:00"/>
    <s v="41605"/>
    <n v="0.3"/>
    <n v="1680"/>
    <n v="1.2"/>
    <x v="14"/>
    <x v="4"/>
  </r>
  <r>
    <s v="M00106"/>
    <s v="SC6100001"/>
    <s v="OSTEOCARE LIQUID 200ML"/>
    <s v="Q26-01-9-1"/>
    <s v="000192610"/>
    <n v="93"/>
    <n v="0"/>
    <s v="HOLD"/>
    <s v="9186/2019/ĐKSP"/>
    <s v="0000031923"/>
    <d v="2026-02-28T00:00:00"/>
    <s v="40314"/>
    <n v="0.3"/>
    <n v="1680"/>
    <n v="27.9"/>
    <x v="298"/>
    <x v="2"/>
  </r>
  <r>
    <s v="M00106"/>
    <s v="SC6100004"/>
    <s v="OSTEOCARE (H/30 VIEN)"/>
    <s v="Q26-01-9-2"/>
    <s v="000192614"/>
    <n v="35"/>
    <n v="0"/>
    <s v="HOLD"/>
    <s v="8615/2019/ĐKSP"/>
    <s v="0000031923"/>
    <d v="2026-01-31T00:00:00"/>
    <s v="OT2202P"/>
    <n v="7.4999999999999997E-2"/>
    <n v="2688"/>
    <n v="2.625"/>
    <x v="32"/>
    <x v="2"/>
  </r>
  <r>
    <s v="M00106"/>
    <s v="SC6100004"/>
    <s v="OSTEOCARE (H/30 VIEN)"/>
    <s v="Q27-01-1-1"/>
    <s v="000192615"/>
    <n v="76"/>
    <n v="0"/>
    <s v="HOLD"/>
    <s v="8615/2019/ĐKSP"/>
    <s v="0000031923"/>
    <d v="2026-01-31T00:00:00"/>
    <s v="OT2205P"/>
    <n v="7.4999999999999997E-2"/>
    <n v="2688"/>
    <n v="5.7"/>
    <x v="299"/>
    <x v="0"/>
  </r>
  <r>
    <s v="M00106"/>
    <s v="SC6100019"/>
    <s v="WELLBABY MULTI-VITAMIN LIQUID (CHAI 150ML)"/>
    <s v="Q26-01-9-1"/>
    <s v="000192624"/>
    <n v="84"/>
    <n v="0"/>
    <s v="HOLD"/>
    <s v="10643/2019/ĐKSP"/>
    <s v="0000031923"/>
    <d v="2026-03-31T00:00:00"/>
    <s v="40505"/>
    <n v="0.22600000000000001"/>
    <n v="1680"/>
    <n v="18.984000000000002"/>
    <x v="300"/>
    <x v="2"/>
  </r>
  <r>
    <s v="M00106"/>
    <s v="SC6100017"/>
    <s v="WELLKID MULTI-VITAMIN LIQUID (CHAI/150ML)"/>
    <s v="Q26-01-9-2"/>
    <s v="000192622"/>
    <n v="24"/>
    <n v="0"/>
    <s v="HOLD"/>
    <s v="10642/2019/ĐKSP"/>
    <s v="0000031923"/>
    <d v="2026-03-31T00:00:00"/>
    <s v="40696"/>
    <n v="0.312"/>
    <n v="1680"/>
    <n v="7.4879999999999995"/>
    <x v="96"/>
    <x v="2"/>
  </r>
  <r>
    <s v="M00106"/>
    <s v="SC6100015"/>
    <s v="PREGNACARE PLUS OMEGA 3 (H/56 VIEN)"/>
    <s v="Q26-01-9-1"/>
    <s v="000192620"/>
    <n v="46"/>
    <n v="0"/>
    <s v="HOLD"/>
    <s v="9184/2019/ĐKSP"/>
    <s v="0000031923"/>
    <d v="2026-03-31T00:00:00"/>
    <s v="PP2347"/>
    <n v="9.2999999999999999E-2"/>
    <n v="1536"/>
    <n v="4.2779999999999996"/>
    <x v="301"/>
    <x v="2"/>
  </r>
  <r>
    <s v="M00106"/>
    <s v="SC6100002"/>
    <s v="FEROGLOBIN B12 LIQUID 200ML"/>
    <s v="Q26-01-9-2"/>
    <s v="000192617"/>
    <n v="21"/>
    <n v="0"/>
    <s v="HOLD"/>
    <s v="8974/2019/ĐKSP"/>
    <s v="0000031923"/>
    <d v="2026-03-31T00:00:00"/>
    <s v="40622"/>
    <n v="0.3"/>
    <n v="1680"/>
    <n v="6.3"/>
    <x v="95"/>
    <x v="2"/>
  </r>
  <r>
    <s v="M00106"/>
    <s v="SC6100002"/>
    <s v="FEROGLOBIN B12 LIQUID 200ML"/>
    <s v="Q26-01-9-1"/>
    <s v="000192619"/>
    <n v="49"/>
    <n v="0"/>
    <s v="HOLD"/>
    <s v="8974/2019/ĐKSP"/>
    <s v="0000031923"/>
    <d v="2026-02-28T00:00:00"/>
    <s v="40426"/>
    <n v="0.3"/>
    <n v="1680"/>
    <n v="14.7"/>
    <x v="302"/>
    <x v="2"/>
  </r>
  <r>
    <s v="M00106"/>
    <s v="SC6100002"/>
    <s v="FEROGLOBIN B12 LIQUID 200ML"/>
    <s v="Q26-01-9-2"/>
    <s v="000192618"/>
    <n v="5"/>
    <n v="0"/>
    <s v="HOLD"/>
    <s v="8974/2019/ĐKSP"/>
    <s v="0000031923"/>
    <d v="2026-02-28T00:00:00"/>
    <s v="40426A"/>
    <n v="0.3"/>
    <n v="1680"/>
    <n v="1.5"/>
    <x v="41"/>
    <x v="2"/>
  </r>
  <r>
    <s v="HOANGDUC"/>
    <s v="SD1100005"/>
    <s v="OSPAMOX 500MG TAB 10.S (NQ)"/>
    <s v="Q26-03-6-1"/>
    <s v="LPN011224"/>
    <n v="1"/>
    <n v="0"/>
    <s v="HOLD"/>
    <s v="893110720324"/>
    <s v="0000031977"/>
    <d v="2029-07-28T00:00:00"/>
    <s v="040D037"/>
    <n v="8.9999999999999993E-3"/>
    <n v="20000"/>
    <n v="8.9999999999999993E-3"/>
    <x v="303"/>
    <x v="1"/>
  </r>
  <r>
    <s v="HOANGDUC"/>
    <s v="AZ1100007"/>
    <s v="NOLVADEX-D TAB 20MG BL 3X10 EA VN"/>
    <s v="Q26-03-4-1"/>
    <s v="000193314"/>
    <n v="1"/>
    <n v="0"/>
    <s v="HOLD"/>
    <s v="VN-19007-15"/>
    <s v="0000032006"/>
    <d v="2029-10-08T00:00:00"/>
    <s v="SV978"/>
    <n v="2.9000000000000001E-2"/>
    <n v="2880"/>
    <n v="2.9000000000000001E-2"/>
    <x v="3"/>
    <x v="1"/>
  </r>
  <r>
    <s v="HOANGDUC"/>
    <s v="AZ1100011"/>
    <s v="NOLVADEX TAB 10MG BL 3X10 EA VN"/>
    <s v="Q26-03-4-1"/>
    <s v="000193313"/>
    <n v="2"/>
    <n v="0"/>
    <s v="HOLD"/>
    <s v="VN-20911-18"/>
    <s v="0000032006"/>
    <d v="2027-08-17T00:00:00"/>
    <s v="SF616"/>
    <n v="2.3E-2"/>
    <n v="1920"/>
    <n v="4.5999999999999999E-2"/>
    <x v="91"/>
    <x v="1"/>
  </r>
  <r>
    <s v="HOANGDUC"/>
    <s v="TT1300109"/>
    <s v="NHAN PHU - DECITABINE 50MG"/>
    <s v="Q27-01-9-1"/>
    <s v="000193441"/>
    <n v="3348"/>
    <n v="0"/>
    <s v="HOLD"/>
    <s v="NOVISA"/>
    <s v=" "/>
    <d v="2027-09-04T00:00:00"/>
    <s v="_"/>
    <n v="0"/>
    <n v="0"/>
    <n v="0"/>
    <x v="16"/>
    <x v="0"/>
  </r>
  <r>
    <s v="HOANGDUC"/>
    <s v="HY1300022"/>
    <s v="CETRAXAL (H/15 ONG)"/>
    <s v="Q26-03-4-1"/>
    <s v="LPN010109"/>
    <n v="2"/>
    <n v="0"/>
    <s v="HOLD"/>
    <s v="840115525624"/>
    <s v="0000032046"/>
    <d v="2027-04-14T00:00:00"/>
    <s v="X608"/>
    <n v="3.7999999999999999E-2"/>
    <n v="1575"/>
    <n v="7.5999999999999998E-2"/>
    <x v="304"/>
    <x v="1"/>
  </r>
  <r>
    <s v="M00106"/>
    <s v="SC6100002"/>
    <s v="FEROGLOBIN B12 LIQUID 200ML"/>
    <s v="Q27-03-1-1"/>
    <s v="LPN010110"/>
    <n v="4"/>
    <n v="0"/>
    <s v="HOLD"/>
    <s v="8974/2019/ĐKSP"/>
    <s v="0000032067"/>
    <d v="2027-05-31T00:00:00"/>
    <s v="50802"/>
    <n v="0.3"/>
    <n v="1680"/>
    <n v="1.2"/>
    <x v="14"/>
    <x v="4"/>
  </r>
  <r>
    <s v="M00106"/>
    <s v="SC6100002"/>
    <s v="FEROGLOBIN B12 LIQUID 200ML"/>
    <s v="Q27-03-1-1"/>
    <s v="LPN010126"/>
    <n v="6"/>
    <n v="0"/>
    <s v="HOLD"/>
    <s v="8974/2019/ĐKSP"/>
    <s v="0000032067"/>
    <d v="2027-05-31T00:00:00"/>
    <s v="50802"/>
    <n v="0.3"/>
    <n v="1680"/>
    <n v="1.7999999999999998"/>
    <x v="11"/>
    <x v="4"/>
  </r>
  <r>
    <s v="M00106"/>
    <s v="SC6100002"/>
    <s v="FEROGLOBIN B12 LIQUID 200ML"/>
    <s v="Q27-03-1-1"/>
    <s v="LPN010141"/>
    <n v="15"/>
    <n v="0"/>
    <s v="HOLD"/>
    <s v="8974/2019/ĐKSP"/>
    <s v="0000032067"/>
    <d v="2027-05-31T00:00:00"/>
    <s v="50802"/>
    <n v="0.3"/>
    <n v="1680"/>
    <n v="4.5"/>
    <x v="100"/>
    <x v="4"/>
  </r>
  <r>
    <s v="M00106"/>
    <s v="SC6100018"/>
    <s v="PREGNACARE BREAST-FEEDING (HOP/56 VIEN NEN, 28 VIEN NANG)"/>
    <s v="Q27-03-3-2"/>
    <s v="LPN010189"/>
    <n v="20"/>
    <n v="0"/>
    <s v="HOLD"/>
    <s v="10645/2019/ĐKSP"/>
    <s v="0000032067"/>
    <d v="2028-02-29T00:00:00"/>
    <s v="PB2517CP"/>
    <n v="0.158"/>
    <n v="1152"/>
    <n v="3.16"/>
    <x v="105"/>
    <x v="4"/>
  </r>
  <r>
    <s v="HOANGDUC"/>
    <s v="TT1300110"/>
    <s v="NHAN PHU - REDIVEC ( IMATINIB CAPSULES 100MG )"/>
    <s v="Q27-01-9-1"/>
    <s v="000194042"/>
    <n v="1899"/>
    <n v="0"/>
    <s v="HOLD"/>
    <s v="novisa"/>
    <s v=" "/>
    <d v="2027-09-09T00:00:00"/>
    <s v="_"/>
    <n v="0"/>
    <n v="0"/>
    <n v="0"/>
    <x v="16"/>
    <x v="0"/>
  </r>
  <r>
    <s v="HOANGDUC"/>
    <s v="TT1300604"/>
    <s v="NHAN PHU CERADAN ADVANCED EMOLLIENT WASH"/>
    <s v="Q27-01-9-1"/>
    <s v="000194041"/>
    <n v="2053"/>
    <n v="0"/>
    <s v="HOLD"/>
    <s v="novisa"/>
    <s v=" "/>
    <d v="2027-09-09T00:00:00"/>
    <s v="_"/>
    <n v="0"/>
    <n v="0"/>
    <n v="0"/>
    <x v="16"/>
    <x v="0"/>
  </r>
  <r>
    <s v="HD"/>
    <s v="HT1100033"/>
    <s v="DOLUTEGRAVIR, LAMIVUDINE AND TENOFOVIR DISOPROXIL FUMARATE T"/>
    <s v="Q26-03-6-1"/>
    <s v="LPN010183"/>
    <n v="2"/>
    <n v="0"/>
    <s v="HOLD"/>
    <s v="890110445523"/>
    <s v="0000032052"/>
    <d v="2027-05-29T00:00:00"/>
    <s v="E252446"/>
    <n v="9.4E-2"/>
    <n v="2475"/>
    <n v="0.188"/>
    <x v="123"/>
    <x v="1"/>
  </r>
  <r>
    <s v="HD"/>
    <s v="HT1100033"/>
    <s v="DOLUTEGRAVIR, LAMIVUDINE AND TENOFOVIR DISOPROXIL FUMARATE T"/>
    <s v="Q26-03-4-1"/>
    <s v="LPN010149"/>
    <n v="1"/>
    <n v="0"/>
    <s v="HOLD"/>
    <s v="890110445523"/>
    <s v="0000032053"/>
    <d v="2027-05-28T00:00:00"/>
    <s v="E252444"/>
    <n v="9.4E-2"/>
    <n v="2475"/>
    <n v="9.4E-2"/>
    <x v="130"/>
    <x v="1"/>
  </r>
  <r>
    <s v="HOANGDUC"/>
    <s v="MG1100039"/>
    <s v="DIOPOLOL 2.5 (HOP/2 VI X 14 VIEN)"/>
    <s v="Q26-01-8-2"/>
    <s v="LPN010765"/>
    <n v="1117"/>
    <n v="0"/>
    <s v="HOLD"/>
    <s v="539110207323"/>
    <s v="54-16228"/>
    <d v="2026-03-31T00:00:00"/>
    <s v="31139B/5"/>
    <n v="0.02"/>
    <n v="0"/>
    <n v="22.34"/>
    <x v="16"/>
    <x v="2"/>
  </r>
  <r>
    <s v="HOANGDUC"/>
    <s v="TT1300324"/>
    <s v="NHAN PHU 90001890 CONTOUR PLUS BLOOD GLUCOSE TEST STRIPS 50."/>
    <s v="QM4-01-1-1"/>
    <s v="000194938"/>
    <n v="3343"/>
    <n v="0"/>
    <s v="HOLD"/>
    <s v="novisa"/>
    <s v=" "/>
    <d v="2027-09-13T00:00:00"/>
    <s v="_"/>
    <n v="0"/>
    <n v="0"/>
    <n v="0"/>
    <x v="16"/>
    <x v="3"/>
  </r>
  <r>
    <s v="HOANGDUC"/>
    <s v="LU1100003"/>
    <s v="SEROQUEL XR TAB 50MG 30.S (HOP/30VIEN)"/>
    <s v="Q26-03-4-1"/>
    <s v="LPN010195"/>
    <n v="6"/>
    <n v="0"/>
    <s v="HOLD"/>
    <s v="VN-22285-19"/>
    <s v="0000032267"/>
    <d v="2028-01-15T00:00:00"/>
    <s v="SV941"/>
    <n v="4.7899999999999998E-2"/>
    <n v="4200"/>
    <n v="0.28739999999999999"/>
    <x v="305"/>
    <x v="1"/>
  </r>
  <r>
    <s v="HOANGDUC"/>
    <s v="LU1100003"/>
    <s v="SEROQUEL XR TAB 50MG 30.S (HOP/30VIEN)"/>
    <s v="Q26-03-4-1"/>
    <s v="LPN010197"/>
    <n v="3"/>
    <n v="0"/>
    <s v="HOLD"/>
    <s v="VN-22285-19"/>
    <s v="0000032267"/>
    <d v="2028-01-15T00:00:00"/>
    <s v="SV941"/>
    <n v="4.7899999999999998E-2"/>
    <n v="4200"/>
    <n v="0.14369999999999999"/>
    <x v="306"/>
    <x v="1"/>
  </r>
  <r>
    <s v="HOANGDUC"/>
    <s v="TT1300467"/>
    <s v="NHAN PHU - SEVELAMER CARBONATE TABLETS 800MG"/>
    <s v="QM4-01-1-1"/>
    <s v="000195328"/>
    <n v="1289"/>
    <n v="0"/>
    <s v="HOLD"/>
    <s v="novisa"/>
    <s v=" "/>
    <d v="2027-09-17T00:00:00"/>
    <s v="_"/>
    <n v="0"/>
    <n v="0"/>
    <n v="0"/>
    <x v="16"/>
    <x v="3"/>
  </r>
  <r>
    <s v="HOANGDUC"/>
    <s v="TT1300555"/>
    <s v="NHAN PHU STAMLO-T 80/5MG (HOP/28 VIEN)"/>
    <s v="Q27-01-9-1"/>
    <s v="000195327"/>
    <n v="4606"/>
    <n v="0"/>
    <s v="HOLD"/>
    <s v="novisa"/>
    <s v=" "/>
    <d v="2027-09-17T00:00:00"/>
    <s v="_"/>
    <n v="0"/>
    <n v="0"/>
    <n v="0"/>
    <x v="16"/>
    <x v="0"/>
  </r>
  <r>
    <s v="HOANGDUC"/>
    <s v="TT1300484"/>
    <s v="NHAN PHU STAMLO-T"/>
    <s v="Q27-01-9-1"/>
    <s v="000195326"/>
    <n v="2693"/>
    <n v="0"/>
    <s v="HOLD"/>
    <s v="novisa"/>
    <s v=" "/>
    <d v="2027-09-17T00:00:00"/>
    <s v="_"/>
    <n v="0"/>
    <n v="0"/>
    <n v="0"/>
    <x v="16"/>
    <x v="0"/>
  </r>
  <r>
    <s v="HOANGDUC"/>
    <s v="MG1100065"/>
    <s v="CILZEC 40 (HOP/3VI X 10VIEN)"/>
    <s v="Q26-01-1-1"/>
    <s v="LPN010764"/>
    <n v="3"/>
    <n v="0"/>
    <s v="HOLD"/>
    <s v="VN-11962-11"/>
    <s v="0000032253"/>
    <d v="2026-03-12T00:00:00"/>
    <s v="BRE03282A"/>
    <n v="2.8000000000000001E-2"/>
    <n v="6160"/>
    <n v="8.4000000000000005E-2"/>
    <x v="307"/>
    <x v="2"/>
  </r>
  <r>
    <s v="M00106"/>
    <s v="SC6100001"/>
    <s v="OSTEOCARE LIQUID 200ML"/>
    <s v="Q26-01-7-2"/>
    <s v="000195672"/>
    <n v="120"/>
    <n v="0"/>
    <s v="HOLD"/>
    <s v="9186/2019/ĐKSP"/>
    <s v="0000032256"/>
    <d v="2026-02-28T00:00:00"/>
    <s v="40314"/>
    <n v="0.3"/>
    <n v="1680"/>
    <n v="36"/>
    <x v="308"/>
    <x v="2"/>
  </r>
  <r>
    <s v="M00106"/>
    <s v="SC6100017"/>
    <s v="WELLKID MULTI-VITAMIN LIQUID (CHAI/150ML)"/>
    <s v="Q26-01-7-2"/>
    <s v="000195669"/>
    <n v="80"/>
    <n v="0"/>
    <s v="HOLD"/>
    <s v="10642/2019/ĐKSP"/>
    <s v="0000032256"/>
    <d v="2026-03-31T00:00:00"/>
    <s v="40696"/>
    <n v="0.312"/>
    <n v="1680"/>
    <n v="24.96"/>
    <x v="309"/>
    <x v="2"/>
  </r>
  <r>
    <s v="M00106"/>
    <s v="SC6100001"/>
    <s v="OSTEOCARE LIQUID 200ML"/>
    <s v="Q26-01-7-2"/>
    <s v="000195670"/>
    <n v="186"/>
    <n v="0"/>
    <s v="HOLD"/>
    <s v="9186/2019/ĐKSP"/>
    <s v="0000032256"/>
    <d v="2026-02-28T00:00:00"/>
    <s v="40487"/>
    <n v="0.3"/>
    <n v="1680"/>
    <n v="55.8"/>
    <x v="310"/>
    <x v="2"/>
  </r>
  <r>
    <s v="M00106"/>
    <s v="SC6100002"/>
    <s v="FEROGLOBIN B12 LIQUID 200ML"/>
    <s v="Q26-01-7-2"/>
    <s v="000195660"/>
    <n v="42"/>
    <n v="0"/>
    <s v="HOLD"/>
    <s v="8974/2019/ĐKSP"/>
    <s v="0000032256"/>
    <d v="2026-02-28T00:00:00"/>
    <s v="40426"/>
    <n v="0.3"/>
    <n v="1680"/>
    <n v="12.6"/>
    <x v="231"/>
    <x v="2"/>
  </r>
  <r>
    <s v="M00106"/>
    <s v="SC6100004"/>
    <s v="OSTEOCARE (H/30 VIEN)"/>
    <s v="Q26-01-7-2"/>
    <s v="000195659"/>
    <n v="86"/>
    <n v="0"/>
    <s v="HOLD"/>
    <s v="8615/2019/ĐKSP"/>
    <s v="0000032256"/>
    <d v="2026-01-31T00:00:00"/>
    <s v="OT2205P"/>
    <n v="7.4999999999999997E-2"/>
    <n v="2688"/>
    <n v="6.45"/>
    <x v="311"/>
    <x v="2"/>
  </r>
  <r>
    <s v="M00106"/>
    <s v="SC6100002"/>
    <s v="FEROGLOBIN B12 LIQUID 200ML"/>
    <s v="Q27-01-4-2"/>
    <s v="000195665"/>
    <n v="8"/>
    <n v="0"/>
    <s v="HOLD"/>
    <s v="8974/2019/ĐKSP"/>
    <s v="0000032256"/>
    <d v="2026-03-31T00:00:00"/>
    <s v="40488"/>
    <n v="0.3"/>
    <n v="1680"/>
    <n v="2.4"/>
    <x v="94"/>
    <x v="0"/>
  </r>
  <r>
    <s v="M00106"/>
    <s v="SC6100014"/>
    <s v="LIVERIL (H/30 VIEN)"/>
    <s v="Q26-01-7-2"/>
    <s v="000195653"/>
    <n v="37"/>
    <n v="0"/>
    <s v="HOLD"/>
    <s v="8719/2019/ĐKSP"/>
    <s v="0000032256"/>
    <d v="2026-02-28T00:00:00"/>
    <s v="LV2305P"/>
    <n v="6.8000000000000005E-2"/>
    <n v="2240"/>
    <n v="2.516"/>
    <x v="312"/>
    <x v="2"/>
  </r>
  <r>
    <s v="M00106"/>
    <s v="SC6100001"/>
    <s v="OSTEOCARE LIQUID 200ML"/>
    <s v="Q27-03-9-1"/>
    <s v="000195671"/>
    <n v="1"/>
    <n v="0"/>
    <s v="HOLD"/>
    <s v="9186/2019/ĐKSP"/>
    <s v="0000032256"/>
    <d v="2026-07-31T00:00:00"/>
    <s v="41390"/>
    <n v="0.3"/>
    <n v="1680"/>
    <n v="0.3"/>
    <x v="153"/>
    <x v="4"/>
  </r>
  <r>
    <s v="M00106"/>
    <s v="SC6100002"/>
    <s v="FEROGLOBIN B12 LIQUID 200ML"/>
    <s v="Q27-03-9-1"/>
    <s v="000195661"/>
    <n v="1"/>
    <n v="0"/>
    <s v="HOLD"/>
    <s v="8974/2019/ĐKSP"/>
    <s v="0000032256"/>
    <d v="2026-04-30T00:00:00"/>
    <s v="40815"/>
    <n v="0.3"/>
    <n v="1680"/>
    <n v="0.3"/>
    <x v="153"/>
    <x v="4"/>
  </r>
  <r>
    <s v="M00106"/>
    <s v="SC6100002"/>
    <s v="FEROGLOBIN B12 LIQUID 200ML"/>
    <s v="Q27-01-4-2"/>
    <s v="000195662"/>
    <n v="2"/>
    <n v="0"/>
    <s v="HOLD"/>
    <s v="8974/2019/ĐKSP"/>
    <s v="0000032256"/>
    <d v="2026-02-28T00:00:00"/>
    <s v="40426A"/>
    <n v="0.3"/>
    <n v="1680"/>
    <n v="0.6"/>
    <x v="12"/>
    <x v="0"/>
  </r>
  <r>
    <s v="M00106"/>
    <s v="SC6100002"/>
    <s v="FEROGLOBIN B12 LIQUID 200ML"/>
    <s v="Q26-01-7-2"/>
    <s v="000195664"/>
    <n v="40"/>
    <n v="0"/>
    <s v="HOLD"/>
    <s v="8974/2019/ĐKSP"/>
    <s v="0000032256"/>
    <d v="2026-03-31T00:00:00"/>
    <s v="40622"/>
    <n v="0.3"/>
    <n v="1680"/>
    <n v="12"/>
    <x v="313"/>
    <x v="2"/>
  </r>
  <r>
    <s v="M00106"/>
    <s v="SC6100015"/>
    <s v="PREGNACARE PLUS OMEGA 3 (H/56 VIEN)"/>
    <s v="Q26-01-7-2"/>
    <s v="000195666"/>
    <n v="19"/>
    <n v="0"/>
    <s v="HOLD"/>
    <s v="9184/2019/ĐKSP"/>
    <s v="0000032256"/>
    <d v="2026-03-31T00:00:00"/>
    <s v="PP2347"/>
    <n v="9.2999999999999999E-2"/>
    <n v="1536"/>
    <n v="1.7669999999999999"/>
    <x v="314"/>
    <x v="2"/>
  </r>
  <r>
    <s v="M00106"/>
    <s v="SC6100019"/>
    <s v="WELLBABY MULTI-VITAMIN LIQUID (CHAI 150ML)"/>
    <s v="Q27-03-9-1"/>
    <s v="000195655"/>
    <n v="1"/>
    <n v="0"/>
    <s v="HOLD"/>
    <s v="10643/2019/ĐKSP"/>
    <s v="0000032256"/>
    <d v="2026-09-30T00:00:00"/>
    <s v="41631"/>
    <n v="0.22600000000000001"/>
    <n v="1680"/>
    <n v="0.22600000000000001"/>
    <x v="153"/>
    <x v="4"/>
  </r>
  <r>
    <s v="M00106"/>
    <s v="SC6100023"/>
    <s v="VISIONACE ORIGINAL (HOP/30VIEN)"/>
    <s v="Q27-03-9-1"/>
    <s v="000195675"/>
    <n v="9"/>
    <n v="0"/>
    <s v="HOLD"/>
    <s v="1737/2024/ĐKSP"/>
    <s v="0000032256"/>
    <d v="2026-07-31T00:00:00"/>
    <s v="126094A"/>
    <n v="5.0999999999999997E-2"/>
    <n v="2880"/>
    <n v="0.45899999999999996"/>
    <x v="61"/>
    <x v="4"/>
  </r>
  <r>
    <s v="M00106"/>
    <s v="SC6100019"/>
    <s v="WELLBABY MULTI-VITAMIN LIQUID (CHAI 150ML)"/>
    <s v="Q27-03-9-1"/>
    <s v="000195656"/>
    <n v="1"/>
    <n v="0"/>
    <s v="HOLD"/>
    <s v="10643/2019/ĐKSP"/>
    <s v="0000032256"/>
    <d v="2026-11-30T00:00:00"/>
    <s v="41736"/>
    <n v="0.22600000000000001"/>
    <n v="1680"/>
    <n v="0.22600000000000001"/>
    <x v="153"/>
    <x v="4"/>
  </r>
  <r>
    <s v="M00106"/>
    <s v="SC6100019"/>
    <s v="WELLBABY MULTI-VITAMIN LIQUID (CHAI 150ML)"/>
    <s v="Q27-01-4-2"/>
    <s v="000195657"/>
    <n v="2"/>
    <n v="0"/>
    <s v="HOLD"/>
    <s v="10643/2019/ĐKSP"/>
    <s v="0000032256"/>
    <d v="2026-02-28T00:00:00"/>
    <s v="40372"/>
    <n v="0.22600000000000001"/>
    <n v="1680"/>
    <n v="0.45200000000000001"/>
    <x v="12"/>
    <x v="0"/>
  </r>
  <r>
    <s v="M00106"/>
    <s v="SC6100003"/>
    <s v="FEROGLOBIN B12 CAPSULES (H/30 VIEN)"/>
    <s v="Q27-03-9-1"/>
    <s v="000195674"/>
    <n v="2"/>
    <n v="0"/>
    <s v="HOLD"/>
    <s v="9183/2019/ĐKSP"/>
    <s v="0000032256"/>
    <d v="2027-05-31T00:00:00"/>
    <s v="FW2414PA"/>
    <n v="0.04"/>
    <n v="2688"/>
    <n v="0.08"/>
    <x v="52"/>
    <x v="4"/>
  </r>
  <r>
    <s v="M00106"/>
    <s v="SC6100004"/>
    <s v="OSTEOCARE (H/30 VIEN)"/>
    <s v="Q27-01-4-2"/>
    <s v="000195658"/>
    <n v="38"/>
    <n v="0"/>
    <s v="HOLD"/>
    <s v="8615/2019/ĐKSP"/>
    <s v="0000032256"/>
    <d v="2026-01-31T00:00:00"/>
    <s v="OT2202P"/>
    <n v="7.4999999999999997E-2"/>
    <n v="2688"/>
    <n v="2.85"/>
    <x v="116"/>
    <x v="0"/>
  </r>
  <r>
    <s v="HOANGDUC"/>
    <s v="BE-90001885"/>
    <s v="90001885 CNTR PLUS,BN/HK/MY/SG(EN/MS/ZHT)MMOL/L,RET,7618B (C"/>
    <s v="Q27-01-1-1"/>
    <s v="000195709"/>
    <n v="8"/>
    <n v="0"/>
    <s v="HOLD"/>
    <s v="15132NK/BYT-TB-CT"/>
    <s v="54-16415"/>
    <d v="2027-06-01T00:00:00"/>
    <s v="PH23010007"/>
    <n v="0.33400000000000002"/>
    <n v="672"/>
    <n v="2.6720000000000002"/>
    <x v="92"/>
    <x v="0"/>
  </r>
  <r>
    <s v="HOANGDUC"/>
    <s v="GZ4205001"/>
    <s v="DIAMISU-70+30 100IU/ML INJ"/>
    <s v="QC1-01-1-1"/>
    <s v="000195875"/>
    <n v="18"/>
    <n v="0"/>
    <s v="HOLD"/>
    <s v="QLSP-1051-17"/>
    <s v="54-16439"/>
    <d v="2027-04-10T00:00:00"/>
    <s v="359PA7"/>
    <n v="0.03"/>
    <n v="1920"/>
    <n v="0.54"/>
    <x v="315"/>
    <x v="6"/>
  </r>
  <r>
    <s v="HOANGDUC"/>
    <s v="GZ4205001"/>
    <s v="DIAMISU-70+30 100IU/ML INJ"/>
    <s v="QC1-01-1-2"/>
    <s v="000195872"/>
    <n v="2"/>
    <n v="0"/>
    <s v="HOLD"/>
    <s v="QLSP-1051-17"/>
    <s v="54-16439"/>
    <d v="2027-04-30T00:00:00"/>
    <s v="373PA7"/>
    <n v="0.03"/>
    <n v="1920"/>
    <n v="0.06"/>
    <x v="91"/>
    <x v="6"/>
  </r>
  <r>
    <s v="HOANGDUC"/>
    <s v="RD4200002"/>
    <s v="REDDITUX 100MG (H/1LO X 10ML)"/>
    <s v="QC1-01-4-2"/>
    <s v="000195876"/>
    <n v="1"/>
    <n v="0"/>
    <s v="HOLD"/>
    <s v="QLSP-861-15"/>
    <s v="54-16439"/>
    <d v="2028-02-29T00:00:00"/>
    <s v="N250204A"/>
    <n v="3.1E-2"/>
    <n v="1200"/>
    <n v="3.1E-2"/>
    <x v="84"/>
    <x v="6"/>
  </r>
  <r>
    <s v="HOANGDUC"/>
    <s v="GZ4205001"/>
    <s v="DIAMISU-70+30 100IU/ML INJ"/>
    <s v="QC1-01-1-1"/>
    <s v="000195874"/>
    <n v="12"/>
    <n v="0"/>
    <s v="HOLD"/>
    <s v="QLSP-1051-17"/>
    <s v="54-16439"/>
    <d v="2027-03-21T00:00:00"/>
    <s v="355PA7"/>
    <n v="0.03"/>
    <n v="1920"/>
    <n v="0.36"/>
    <x v="316"/>
    <x v="6"/>
  </r>
  <r>
    <s v="HOANGDUC"/>
    <s v="GZ4205001"/>
    <s v="DIAMISU-70+30 100IU/ML INJ"/>
    <s v="QC1-01-1-1"/>
    <s v="000195873"/>
    <n v="16"/>
    <n v="0"/>
    <s v="HOLD"/>
    <s v="QLSP-1051-17"/>
    <s v="54-16439"/>
    <d v="2027-04-21T00:00:00"/>
    <s v="360PA7"/>
    <n v="0.03"/>
    <n v="1920"/>
    <n v="0.48"/>
    <x v="317"/>
    <x v="6"/>
  </r>
  <r>
    <s v="HOANGDUC"/>
    <s v="MY1100004"/>
    <s v="SMECTA ORANGE 3G 10SACH VN"/>
    <s v="Q26-03-4-1"/>
    <s v="000195858"/>
    <n v="1"/>
    <n v="0"/>
    <s v="HOLD"/>
    <s v="VN-19485-15"/>
    <s v="54-16440"/>
    <d v="2027-02-21T00:00:00"/>
    <s v="C52355"/>
    <n v="5.3999999999999999E-2"/>
    <n v="4704"/>
    <n v="5.3999999999999999E-2"/>
    <x v="318"/>
    <x v="1"/>
  </r>
  <r>
    <s v="HOANGDUC"/>
    <s v="MY1100004"/>
    <s v="SMECTA ORANGE 3G 10SACH VN"/>
    <s v="Q26-03-4-1"/>
    <s v="000195859"/>
    <n v="1"/>
    <n v="0"/>
    <s v="HOLD"/>
    <s v="VN-19485-15"/>
    <s v="54-16440"/>
    <d v="2027-02-21T00:00:00"/>
    <s v="C52355"/>
    <n v="5.3999999999999999E-2"/>
    <n v="4704"/>
    <n v="5.3999999999999999E-2"/>
    <x v="318"/>
    <x v="1"/>
  </r>
  <r>
    <s v="HOANGDUC"/>
    <s v="MY1100008"/>
    <s v="FORLAX 10G 20SACH VN"/>
    <s v="Q26-03-4-1"/>
    <s v="000195860"/>
    <n v="1"/>
    <n v="0"/>
    <s v="HOLD"/>
    <s v="VN-16801-13"/>
    <s v="54-16440"/>
    <d v="2027-08-29T00:00:00"/>
    <s v="C59631"/>
    <n v="0.25700000000000001"/>
    <n v="1080"/>
    <n v="0.25700000000000001"/>
    <x v="205"/>
    <x v="1"/>
  </r>
  <r>
    <s v="HOANGDUC"/>
    <s v="MY1100002"/>
    <s v="FORTRANS 4SACH VN"/>
    <s v="Q26-03-4-1"/>
    <s v="000195857"/>
    <n v="1"/>
    <n v="0"/>
    <s v="HOLD"/>
    <s v="VN-19677-16"/>
    <s v="54-16440"/>
    <d v="2027-09-18T00:00:00"/>
    <s v="C60550"/>
    <n v="0.33600000000000002"/>
    <n v="720"/>
    <n v="0.33600000000000002"/>
    <x v="114"/>
    <x v="1"/>
  </r>
  <r>
    <s v="HOANGDUC"/>
    <s v="AZ1100025"/>
    <s v="PLENDIL PLUS TAB 5.47.5MG BT 1X30 EA VN"/>
    <s v="Q26-03-6-1"/>
    <s v="000196004"/>
    <n v="4"/>
    <n v="0"/>
    <s v="HOLD"/>
    <s v="VN-20224-17"/>
    <s v="0000032359"/>
    <d v="2028-01-07T00:00:00"/>
    <s v="MAPZ"/>
    <n v="3.5999999999999997E-2"/>
    <n v="5280"/>
    <n v="0.14399999999999999"/>
    <x v="238"/>
    <x v="1"/>
  </r>
  <r>
    <s v="M00106"/>
    <s v="SC6100002"/>
    <s v="FEROGLOBIN B12 LIQUID 200ML"/>
    <s v="Q27-03-3-2"/>
    <s v="LPN010230"/>
    <n v="5"/>
    <n v="0"/>
    <s v="HOLD"/>
    <s v="8974/2019/ĐKSP"/>
    <s v="0000032415"/>
    <d v="2027-07-31T00:00:00"/>
    <s v="51043"/>
    <n v="0.3"/>
    <n v="1680"/>
    <n v="1.5"/>
    <x v="41"/>
    <x v="4"/>
  </r>
  <r>
    <s v="M00106"/>
    <s v="SC6100002"/>
    <s v="FEROGLOBIN B12 LIQUID 200ML"/>
    <s v="Q27-03-3-2"/>
    <s v="LPN010237"/>
    <n v="47"/>
    <n v="0"/>
    <s v="HOLD"/>
    <s v="8974/2019/ĐKSP"/>
    <s v="0000032415"/>
    <d v="2027-07-31T00:00:00"/>
    <s v="51043"/>
    <n v="0.3"/>
    <n v="1680"/>
    <n v="14.1"/>
    <x v="319"/>
    <x v="4"/>
  </r>
  <r>
    <s v="M00106"/>
    <s v="SC6100002"/>
    <s v="FEROGLOBIN B12 LIQUID 200ML"/>
    <s v="Q27-03-3-2"/>
    <s v="LPN010238"/>
    <n v="18"/>
    <n v="0"/>
    <s v="HOLD"/>
    <s v="8974/2019/ĐKSP"/>
    <s v="0000032415"/>
    <d v="2027-07-31T00:00:00"/>
    <s v="51043"/>
    <n v="0.3"/>
    <n v="1680"/>
    <n v="5.3999999999999995"/>
    <x v="110"/>
    <x v="4"/>
  </r>
  <r>
    <s v="HOANGDUC"/>
    <s v="TT1300108"/>
    <s v="NHAN PHU - FAIRENCE T-COMPLEX 30G"/>
    <s v="Q27-01-9-1"/>
    <s v="000196519"/>
    <n v="1477"/>
    <n v="0"/>
    <s v="HOLD"/>
    <s v="NOVISA"/>
    <s v=" "/>
    <d v="2027-09-26T00:00:00"/>
    <s v="_"/>
    <n v="0"/>
    <n v="0"/>
    <n v="0"/>
    <x v="16"/>
    <x v="0"/>
  </r>
  <r>
    <s v="HOANGDUC"/>
    <s v="SA1207001"/>
    <s v="NO-SPA 40MG/2ML INJ AM25 VN"/>
    <s v="Q26-03-5-1"/>
    <s v="000196627"/>
    <n v="1"/>
    <n v="0"/>
    <s v="HOLD"/>
    <s v="VN-23047-22"/>
    <s v="51-393524"/>
    <d v="2027-09-30T00:00:00"/>
    <s v="HC636A"/>
    <n v="0.126"/>
    <n v="1920"/>
    <n v="0.126"/>
    <x v="90"/>
    <x v="1"/>
  </r>
  <r>
    <s v="HOANGDUC"/>
    <s v="MG1100065"/>
    <s v="CILZEC 40 (HOP/3VI X 10VIEN)"/>
    <s v="Q26-01-1-1"/>
    <s v="000188381"/>
    <n v="4"/>
    <n v="0"/>
    <s v="HOLD"/>
    <s v="VN-11962-11"/>
    <s v="51-393586"/>
    <d v="2026-01-02T00:00:00"/>
    <s v="BRE01064A"/>
    <n v="2.8000000000000001E-2"/>
    <n v="6160"/>
    <n v="0.112"/>
    <x v="320"/>
    <x v="2"/>
  </r>
  <r>
    <s v="HOANGDUC"/>
    <s v="TT1300018"/>
    <s v="NHAN PHU - PODOXRED 500MG"/>
    <s v="Q27-01-9-1"/>
    <s v="000197026"/>
    <n v="791"/>
    <n v="0"/>
    <s v="HOLD"/>
    <s v="NOVISA"/>
    <s v=" "/>
    <d v="2027-10-01T00:00:00"/>
    <s v="_"/>
    <n v="0"/>
    <n v="0"/>
    <n v="0"/>
    <x v="16"/>
    <x v="0"/>
  </r>
  <r>
    <s v="M00106"/>
    <s v="SC6100001"/>
    <s v="OSTEOCARE LIQUID 200ML"/>
    <s v="Q27-03-1-1"/>
    <s v="LPN010491"/>
    <n v="1"/>
    <n v="0"/>
    <s v="HOLD"/>
    <s v="9186/2019/ĐKSP"/>
    <s v="0000032485"/>
    <d v="2027-04-30T00:00:00"/>
    <s v="50690"/>
    <n v="0.3"/>
    <n v="1680"/>
    <n v="0.3"/>
    <x v="153"/>
    <x v="4"/>
  </r>
  <r>
    <s v="M00106"/>
    <s v="SC6100001"/>
    <s v="OSTEOCARE LIQUID 200ML"/>
    <s v="Q27-03-4-2"/>
    <s v="LPN010303"/>
    <n v="1"/>
    <n v="0"/>
    <s v="HOLD"/>
    <s v="9186/2019/ĐKSP"/>
    <s v="0000032485"/>
    <d v="2027-04-30T00:00:00"/>
    <s v="50690"/>
    <n v="0.3"/>
    <n v="1680"/>
    <n v="0.3"/>
    <x v="153"/>
    <x v="4"/>
  </r>
  <r>
    <s v="M00106"/>
    <s v="SC6100001"/>
    <s v="OSTEOCARE LIQUID 200ML"/>
    <s v="Q27-03-5-2"/>
    <s v="LPN010315"/>
    <n v="3"/>
    <n v="0"/>
    <s v="HOLD"/>
    <s v="9186/2019/ĐKSP"/>
    <s v="0000032485"/>
    <d v="2027-04-30T00:00:00"/>
    <s v="50690"/>
    <n v="0.3"/>
    <n v="1680"/>
    <n v="0.89999999999999991"/>
    <x v="55"/>
    <x v="4"/>
  </r>
  <r>
    <s v="M00106"/>
    <s v="SC6100025"/>
    <s v="PREGNACARE MAX (H/56 VIEN NEN, 28 VIEN NANG)"/>
    <s v="Q27-03-6-2"/>
    <s v="LPN010251"/>
    <n v="25"/>
    <n v="0"/>
    <s v="HOLD"/>
    <s v="1475/2024/ĐKSP"/>
    <s v="0000032485"/>
    <d v="2027-10-31T00:00:00"/>
    <s v="PM2510CP"/>
    <n v="0.156"/>
    <n v="1152"/>
    <n v="3.9"/>
    <x v="263"/>
    <x v="4"/>
  </r>
  <r>
    <s v="M00106"/>
    <s v="SC6100025"/>
    <s v="PREGNACARE MAX (H/56 VIEN NEN, 28 VIEN NANG)"/>
    <s v="Q27-03-6-2"/>
    <s v="LPN010257"/>
    <n v="11"/>
    <n v="0"/>
    <s v="HOLD"/>
    <s v="1475/2024/ĐKSP"/>
    <s v="0000032485"/>
    <d v="2027-10-31T00:00:00"/>
    <s v="PM2510CP"/>
    <n v="0.156"/>
    <n v="1152"/>
    <n v="1.716"/>
    <x v="75"/>
    <x v="4"/>
  </r>
  <r>
    <s v="M00106"/>
    <s v="SC6100019"/>
    <s v="WELLBABY MULTI-VITAMIN LIQUID (CHAI 150ML)"/>
    <s v="Q27-03-1-2"/>
    <s v="LPN010331"/>
    <n v="2"/>
    <n v="0"/>
    <s v="HOLD"/>
    <s v="10643/2019/ĐKSP"/>
    <s v="0000032485"/>
    <d v="2027-05-31T00:00:00"/>
    <s v="50726"/>
    <n v="0.22600000000000001"/>
    <n v="1680"/>
    <n v="0.45200000000000001"/>
    <x v="12"/>
    <x v="4"/>
  </r>
  <r>
    <s v="M00106"/>
    <s v="SC6100019"/>
    <s v="WELLBABY MULTI-VITAMIN LIQUID (CHAI 150ML)"/>
    <s v="Q27-03-2-1"/>
    <s v="LPN010343"/>
    <n v="4"/>
    <n v="0"/>
    <s v="HOLD"/>
    <s v="10643/2019/ĐKSP"/>
    <s v="0000032485"/>
    <d v="2027-05-31T00:00:00"/>
    <s v="50726"/>
    <n v="0.22600000000000001"/>
    <n v="1680"/>
    <n v="0.90400000000000003"/>
    <x v="14"/>
    <x v="4"/>
  </r>
  <r>
    <s v="M00106"/>
    <s v="SC6100019"/>
    <s v="WELLBABY MULTI-VITAMIN LIQUID (CHAI 150ML)"/>
    <s v="Q27-03-4-2"/>
    <s v="LPN010298"/>
    <n v="6"/>
    <n v="0"/>
    <s v="HOLD"/>
    <s v="10643/2019/ĐKSP"/>
    <s v="0000032485"/>
    <d v="2027-04-30T00:00:00"/>
    <s v="50693"/>
    <n v="0.22600000000000001"/>
    <n v="1680"/>
    <n v="1.3560000000000001"/>
    <x v="11"/>
    <x v="4"/>
  </r>
  <r>
    <s v="M00106"/>
    <s v="SC6100002"/>
    <s v="FEROGLOBIN B12 LIQUID 200ML"/>
    <s v="Q27-03-1-2"/>
    <s v="LPN010336"/>
    <n v="2"/>
    <n v="0"/>
    <s v="HOLD"/>
    <s v="8974/2019/ĐKSP"/>
    <s v="0000032485"/>
    <d v="2027-04-30T00:00:00"/>
    <s v="50590"/>
    <n v="0.3"/>
    <n v="1680"/>
    <n v="0.6"/>
    <x v="12"/>
    <x v="4"/>
  </r>
  <r>
    <s v="M00106"/>
    <s v="SC6100002"/>
    <s v="FEROGLOBIN B12 LIQUID 200ML"/>
    <s v="Q27-03-4-2"/>
    <s v="LPN010293"/>
    <n v="1"/>
    <n v="0"/>
    <s v="HOLD"/>
    <s v="8974/2019/ĐKSP"/>
    <s v="0000032485"/>
    <d v="2027-04-30T00:00:00"/>
    <s v="50590"/>
    <n v="0.3"/>
    <n v="1680"/>
    <n v="0.3"/>
    <x v="153"/>
    <x v="4"/>
  </r>
  <r>
    <s v="M00106"/>
    <s v="SC6100003"/>
    <s v="FEROGLOBIN B12 CAPSULES (H/30 VIEN)"/>
    <s v="Q27-03-2-1"/>
    <s v="LPN010384"/>
    <n v="23"/>
    <n v="0"/>
    <s v="HOLD"/>
    <s v="9183/2019/ĐKSP"/>
    <s v="0000032485"/>
    <d v="2028-02-29T00:00:00"/>
    <s v="FW2511PA"/>
    <n v="0.04"/>
    <n v="2688"/>
    <n v="0.92"/>
    <x v="65"/>
    <x v="4"/>
  </r>
  <r>
    <s v="M00106"/>
    <s v="SC6100003"/>
    <s v="FEROGLOBIN B12 CAPSULES (H/30 VIEN)"/>
    <s v="Q27-03-2-1"/>
    <s v="LPN010393"/>
    <n v="1"/>
    <n v="0"/>
    <s v="HOLD"/>
    <s v="9183/2019/ĐKSP"/>
    <s v="0000032485"/>
    <d v="2028-02-29T00:00:00"/>
    <s v="FW2511PA"/>
    <n v="0.04"/>
    <n v="2688"/>
    <n v="0.04"/>
    <x v="51"/>
    <x v="4"/>
  </r>
  <r>
    <s v="M00106"/>
    <s v="SC6100003"/>
    <s v="FEROGLOBIN B12 CAPSULES (H/30 VIEN)"/>
    <s v="Q27-03-2-1"/>
    <s v="LPN010394"/>
    <n v="5"/>
    <n v="0"/>
    <s v="HOLD"/>
    <s v="9183/2019/ĐKSP"/>
    <s v="0000032485"/>
    <d v="2028-02-29T00:00:00"/>
    <s v="FW2511PA"/>
    <n v="0.04"/>
    <n v="2688"/>
    <n v="0.2"/>
    <x v="46"/>
    <x v="4"/>
  </r>
  <r>
    <s v="M00106"/>
    <s v="SC6100003"/>
    <s v="FEROGLOBIN B12 CAPSULES (H/30 VIEN)"/>
    <s v="Q27-03-3-2"/>
    <s v="LPN010480"/>
    <n v="4"/>
    <n v="0"/>
    <s v="HOLD"/>
    <s v="9183/2019/ĐKSP"/>
    <s v="0000032485"/>
    <d v="2028-02-29T00:00:00"/>
    <s v="FW2511PA"/>
    <n v="0.04"/>
    <n v="2688"/>
    <n v="0.16"/>
    <x v="42"/>
    <x v="4"/>
  </r>
  <r>
    <s v="M00106"/>
    <s v="SC6100003"/>
    <s v="FEROGLOBIN B12 CAPSULES (H/30 VIEN)"/>
    <s v="Q27-03-3-2"/>
    <s v="LPN010486"/>
    <n v="3"/>
    <n v="0"/>
    <s v="HOLD"/>
    <s v="9183/2019/ĐKSP"/>
    <s v="0000032485"/>
    <d v="2028-02-29T00:00:00"/>
    <s v="FW2511PA"/>
    <n v="0.04"/>
    <n v="2688"/>
    <n v="0.12"/>
    <x v="45"/>
    <x v="4"/>
  </r>
  <r>
    <s v="HOANGDUC"/>
    <s v="BE-90001890"/>
    <s v="90001890 CONTOUR PLUS BLOOD GLUCOSE TEST STRIPS 50.S  2X25 ("/>
    <s v="Q27-03-7-1"/>
    <s v="LPN010266"/>
    <n v="1"/>
    <n v="0"/>
    <s v="HOLD"/>
    <s v="2300583ĐKLH/BYT-HTTB"/>
    <s v="51-396376"/>
    <d v="2026-08-31T00:00:00"/>
    <s v="DP4HQHH31B"/>
    <n v="0.05"/>
    <n v="4032"/>
    <n v="0.05"/>
    <x v="321"/>
    <x v="4"/>
  </r>
  <r>
    <s v="HD"/>
    <s v="HT1100001"/>
    <s v="TENOF EM (HOP/30VIEN)"/>
    <s v="Q26-03-6-1"/>
    <s v="LPN010278"/>
    <n v="1"/>
    <n v="0"/>
    <s v="HOLD"/>
    <s v="890110088723"/>
    <s v="0000032530"/>
    <d v="2027-07-08T00:00:00"/>
    <s v="E253134A"/>
    <n v="7.8E-2"/>
    <n v="2688"/>
    <n v="7.8E-2"/>
    <x v="51"/>
    <x v="1"/>
  </r>
  <r>
    <s v="HD"/>
    <s v="HT1100001"/>
    <s v="TENOF EM (HOP/30VIEN)"/>
    <s v="Q26-03-6-1"/>
    <s v="LPN010302"/>
    <n v="8"/>
    <n v="0"/>
    <s v="HOLD"/>
    <s v="890110088723"/>
    <s v="0000032530"/>
    <d v="2027-07-08T00:00:00"/>
    <s v="E253134A"/>
    <n v="7.8E-2"/>
    <n v="2688"/>
    <n v="0.624"/>
    <x v="41"/>
    <x v="1"/>
  </r>
  <r>
    <s v="HOANGDUC"/>
    <s v="TT1300262"/>
    <s v="NHAN PHU - AMPLATZER™ DUCT OCCLUDER"/>
    <s v="Q27-01-9-1"/>
    <s v="000197736"/>
    <n v="1949"/>
    <n v="0"/>
    <s v="HOLD"/>
    <s v="NOVISA"/>
    <s v=" "/>
    <d v="2027-10-07T00:00:00"/>
    <s v="_"/>
    <n v="0"/>
    <n v="0"/>
    <n v="0"/>
    <x v="16"/>
    <x v="0"/>
  </r>
  <r>
    <s v="HOANGDUC"/>
    <s v="TT1300005"/>
    <s v="NHAN PHU CUROSURF"/>
    <s v="Q27-01-9-1"/>
    <s v="000197735"/>
    <n v="199"/>
    <n v="0"/>
    <s v="HOLD"/>
    <s v="NOVISA"/>
    <s v=" "/>
    <d v="2027-10-07T00:00:00"/>
    <s v="1221868"/>
    <n v="0"/>
    <n v="0"/>
    <n v="0"/>
    <x v="16"/>
    <x v="0"/>
  </r>
  <r>
    <s v="HOANGDUC"/>
    <s v="RD1200016"/>
    <s v="DAPTOMRED 500 MG (H/1 LO)"/>
    <s v="Q26-01-1-1"/>
    <s v="000197816"/>
    <n v="89"/>
    <n v="0"/>
    <s v="HOLD"/>
    <s v="VN-22524-20"/>
    <s v="51-397099"/>
    <d v="2026-01-31T00:00:00"/>
    <s v="K240283"/>
    <n v="5.1999999999999998E-2"/>
    <n v="1152"/>
    <n v="4.6280000000000001"/>
    <x v="322"/>
    <x v="2"/>
  </r>
  <r>
    <s v="HOANGDUC"/>
    <s v="MY1100002"/>
    <s v="FORTRANS 4SACH VN"/>
    <s v="Q26-01-1-1"/>
    <s v="000197862"/>
    <n v="1"/>
    <n v="0"/>
    <s v="HOLD"/>
    <s v="VN-19677-16"/>
    <s v="0000032608"/>
    <d v="2028-03-07T00:00:00"/>
    <s v="D52816"/>
    <n v="0.33600000000000002"/>
    <n v="720"/>
    <n v="0.33600000000000002"/>
    <x v="114"/>
    <x v="2"/>
  </r>
  <r>
    <s v="HOANGDUC"/>
    <s v="TT1300606"/>
    <s v="NHAN PHU IMATINIB DRLA PVC - ACLAR"/>
    <s v="Q27-01-9-1"/>
    <s v="000197920"/>
    <n v="1209"/>
    <n v="0"/>
    <s v="HOLD"/>
    <s v="NOVISA"/>
    <s v=" "/>
    <d v="2027-10-08T00:00:00"/>
    <s v="_"/>
    <n v="0"/>
    <n v="0"/>
    <n v="0"/>
    <x v="16"/>
    <x v="0"/>
  </r>
  <r>
    <s v="HOANGDUC"/>
    <s v="OR1100001"/>
    <s v="PITATOR TABLETS 2MG (HOP/ 2VI X 14VIEN)"/>
    <s v="Q26-03-6-1"/>
    <s v="000197974"/>
    <n v="2"/>
    <n v="0"/>
    <s v="HOLD"/>
    <s v="471110172300"/>
    <s v="0000032623"/>
    <d v="2028-08-31T00:00:00"/>
    <s v="P121015"/>
    <n v="0.03"/>
    <n v="2700"/>
    <n v="0.06"/>
    <x v="323"/>
    <x v="1"/>
  </r>
  <r>
    <s v="HOANGDUC"/>
    <s v="MY1100002"/>
    <s v="FORTRANS 4SACH VN"/>
    <s v="Q26-03-6-1"/>
    <s v="000198366"/>
    <n v="6"/>
    <n v="0"/>
    <s v="HOLD"/>
    <s v="VN-19677-16"/>
    <s v="0000032632"/>
    <d v="2028-03-09T00:00:00"/>
    <s v="D52878"/>
    <n v="0.33600000000000002"/>
    <n v="720"/>
    <n v="2.016"/>
    <x v="317"/>
    <x v="1"/>
  </r>
  <r>
    <s v="HOANGDUC"/>
    <s v="MY1100002"/>
    <s v="FORTRANS 4SACH VN"/>
    <s v="Q26-03-6-1"/>
    <s v="000198365"/>
    <n v="5"/>
    <n v="0"/>
    <s v="HOLD"/>
    <s v="VN-19677-16"/>
    <s v="0000032632"/>
    <d v="2028-03-10T00:00:00"/>
    <s v="D52879"/>
    <n v="0.33600000000000002"/>
    <n v="720"/>
    <n v="1.6800000000000002"/>
    <x v="107"/>
    <x v="1"/>
  </r>
  <r>
    <s v="HOANGDUC"/>
    <s v="HY6100005"/>
    <s v="OCUVITE BLUE LIGHT (HOP/ 30 VIEN)"/>
    <s v="Q27-01-1-1"/>
    <s v="LPN010725"/>
    <n v="28"/>
    <n v="0"/>
    <s v="HOLD"/>
    <s v="8923/2021/ĐKSP"/>
    <s v="54-16742"/>
    <d v="2025-12-31T00:00:00"/>
    <s v="24AAF0260"/>
    <n v="0.04"/>
    <n v="3120"/>
    <n v="1.1200000000000001"/>
    <x v="324"/>
    <x v="0"/>
  </r>
  <r>
    <s v="HOANGDUC"/>
    <s v="HY1100001"/>
    <s v="DORITHRICIN TAB 20.S"/>
    <s v="Q26-01-1-2"/>
    <s v="000198518"/>
    <n v="100"/>
    <n v="0"/>
    <s v="HOLD"/>
    <s v="VN-20293-17"/>
    <s v="54-16822"/>
    <d v="2026-04-05T00:00:00"/>
    <s v="2452801"/>
    <n v="0.04"/>
    <n v="9000"/>
    <n v="4"/>
    <x v="325"/>
    <x v="2"/>
  </r>
  <r>
    <s v="HOANGDUC"/>
    <s v="TT1300039"/>
    <s v="NHAN PHU - QUICK RECOVERY CREAM 15G"/>
    <s v="Q27-01-9-1"/>
    <s v="000198675"/>
    <n v="2721"/>
    <n v="0"/>
    <s v="HOLD"/>
    <s v="NOVISA"/>
    <s v=" "/>
    <d v="2027-10-10T00:00:00"/>
    <s v="_"/>
    <n v="0"/>
    <n v="0"/>
    <n v="0"/>
    <x v="16"/>
    <x v="0"/>
  </r>
  <r>
    <s v="HOANGDUC"/>
    <s v="TT1300487"/>
    <s v="NHAN PHU CERADAN MOISTURISING WASH (HOP 1 TUYP 150 ML)"/>
    <s v="Q27-01-9-1"/>
    <s v="000198674"/>
    <n v="2810"/>
    <n v="0"/>
    <s v="HOLD"/>
    <s v="NOVISA"/>
    <s v=" "/>
    <d v="2027-10-10T00:00:00"/>
    <s v="_"/>
    <n v="0"/>
    <n v="0"/>
    <n v="0"/>
    <x v="16"/>
    <x v="0"/>
  </r>
  <r>
    <s v="HOANGDUC"/>
    <s v="TT1300060"/>
    <s v="NHAN PHU CERADAN SKIN BARRIER REPAIR CREAM 10G"/>
    <s v="Q27-01-9-1"/>
    <s v="000198676"/>
    <n v="2070"/>
    <n v="0"/>
    <s v="HOLD"/>
    <s v="NOVISA"/>
    <s v=" "/>
    <d v="2027-10-10T00:00:00"/>
    <s v="_"/>
    <n v="0"/>
    <n v="0"/>
    <n v="0"/>
    <x v="16"/>
    <x v="0"/>
  </r>
  <r>
    <s v="HOANGDUC"/>
    <s v="TT1300061"/>
    <s v="NHAN PHU - CERADAN HYDRA (30G, 80G)"/>
    <s v="Q27-01-9-1"/>
    <s v="000198677"/>
    <n v="3437"/>
    <n v="0"/>
    <s v="HOLD"/>
    <s v="NOVISA"/>
    <s v=" "/>
    <d v="2027-10-10T00:00:00"/>
    <s v="_"/>
    <n v="0"/>
    <n v="0"/>
    <n v="0"/>
    <x v="16"/>
    <x v="0"/>
  </r>
  <r>
    <s v="HOANGDUC"/>
    <s v="MY1100001"/>
    <s v="TANAKAN 40MG 30TABS VN"/>
    <s v="Q26-03-6-1"/>
    <s v="000198829"/>
    <n v="37"/>
    <n v="0"/>
    <s v="HOLD"/>
    <s v="VN-16289-13"/>
    <s v="0000032659"/>
    <d v="2027-04-30T00:00:00"/>
    <s v="D71679"/>
    <n v="2.1000000000000001E-2"/>
    <n v="7150"/>
    <n v="0.77700000000000002"/>
    <x v="326"/>
    <x v="1"/>
  </r>
  <r>
    <s v="M00106"/>
    <s v="SC6100018"/>
    <s v="PREGNACARE BREAST-FEEDING (HOP/56 VIEN NEN, 28 VIEN NANG)"/>
    <s v="Q27-01-1-1"/>
    <s v="000198831"/>
    <n v="1"/>
    <n v="0"/>
    <s v="HOLD"/>
    <s v="10645/2019/ĐKSP"/>
    <s v="0000032678"/>
    <d v="2027-12-31T00:00:00"/>
    <s v="PB2507"/>
    <n v="0.158"/>
    <n v="1152"/>
    <n v="0.158"/>
    <x v="71"/>
    <x v="0"/>
  </r>
  <r>
    <s v="M00106"/>
    <s v="SC6100013"/>
    <s v="PREGNACARE ORIGINAL (H/30 VIEN)"/>
    <s v="Q27-01-1-1"/>
    <s v="000198830"/>
    <n v="2"/>
    <n v="0"/>
    <s v="HOLD"/>
    <s v="4140/2020/ĐKSP"/>
    <s v="0000032678"/>
    <d v="2027-10-31T00:00:00"/>
    <s v="PRW2427A"/>
    <n v="4.9000000000000002E-2"/>
    <n v="2880"/>
    <n v="9.8000000000000004E-2"/>
    <x v="2"/>
    <x v="0"/>
  </r>
  <r>
    <s v="HOANGDUC"/>
    <s v="MY1100002"/>
    <s v="FORTRANS 4SACH VN"/>
    <s v="Q26-03-6-1"/>
    <s v="000198833"/>
    <n v="1"/>
    <n v="0"/>
    <s v="HOLD"/>
    <s v="VN-19677-16"/>
    <s v="0000032671"/>
    <d v="2028-03-11T00:00:00"/>
    <s v="D52891"/>
    <n v="0.33600000000000002"/>
    <n v="720"/>
    <n v="0.33600000000000002"/>
    <x v="114"/>
    <x v="1"/>
  </r>
  <r>
    <s v="HOANGDUC"/>
    <s v="MY1100002"/>
    <s v="FORTRANS 4SACH VN"/>
    <s v="Q26-03-6-1"/>
    <s v="000198834"/>
    <n v="1"/>
    <n v="0"/>
    <s v="HOLD"/>
    <s v="VN-19677-16"/>
    <s v="0000032671"/>
    <d v="2028-03-10T00:00:00"/>
    <s v="D52890"/>
    <n v="0.33600000000000002"/>
    <n v="720"/>
    <n v="0.33600000000000002"/>
    <x v="114"/>
    <x v="1"/>
  </r>
  <r>
    <s v="HOANGDUC"/>
    <s v="MY1100002"/>
    <s v="FORTRANS 4SACH VN"/>
    <s v="Q26-03-6-1"/>
    <s v="000198912"/>
    <n v="1"/>
    <n v="0"/>
    <s v="HOLD"/>
    <s v="VN-19677-16"/>
    <s v="0000032673"/>
    <d v="2028-03-11T00:00:00"/>
    <s v="D52922"/>
    <n v="0.33600000000000002"/>
    <n v="720"/>
    <n v="0.33600000000000002"/>
    <x v="114"/>
    <x v="1"/>
  </r>
  <r>
    <s v="M00106"/>
    <s v="SC6100025"/>
    <s v="PREGNACARE MAX (H/56 VIEN NEN, 28 VIEN NANG)"/>
    <s v="Q27-03-5-2"/>
    <s v="000199141"/>
    <n v="1"/>
    <n v="0"/>
    <s v="HOLD"/>
    <s v="1475/2024/ĐKSP"/>
    <s v="0000032636"/>
    <d v="2027-10-31T00:00:00"/>
    <s v="PM2510CP"/>
    <n v="0.156"/>
    <n v="1152"/>
    <n v="0.156"/>
    <x v="71"/>
    <x v="4"/>
  </r>
  <r>
    <s v="M00106"/>
    <s v="SC6100018"/>
    <s v="PREGNACARE BREAST-FEEDING (HOP/56 VIEN NEN, 28 VIEN NANG)"/>
    <s v="Q27-03-5-2"/>
    <s v="000199140"/>
    <n v="2"/>
    <n v="0"/>
    <s v="HOLD"/>
    <s v="10645/2019/ĐKSP"/>
    <s v="0000032636"/>
    <d v="2027-12-31T00:00:00"/>
    <s v="PB2507"/>
    <n v="0.158"/>
    <n v="1152"/>
    <n v="0.316"/>
    <x v="70"/>
    <x v="4"/>
  </r>
  <r>
    <s v="M00106"/>
    <s v="SC6100009"/>
    <s v="WELLMAN (H/30 VIEN)"/>
    <s v="Q27-01-1-1"/>
    <s v="000199135"/>
    <n v="60"/>
    <n v="0"/>
    <s v="HOLD"/>
    <s v="8718/2019/ĐKSP"/>
    <s v="0000032636"/>
    <d v="2026-02-28T00:00:00"/>
    <s v="WEIR2304SA"/>
    <n v="4.8000000000000001E-2"/>
    <n v="2880"/>
    <n v="2.88"/>
    <x v="74"/>
    <x v="0"/>
  </r>
  <r>
    <s v="HOANGDUC"/>
    <s v="MY1100002"/>
    <s v="FORTRANS 4SACH VN"/>
    <s v="Q26-03-4-1"/>
    <s v="LPN010326"/>
    <n v="2"/>
    <n v="0"/>
    <s v="HOLD"/>
    <s v="VN-19677-16"/>
    <s v="51-399488"/>
    <d v="2027-05-27T00:00:00"/>
    <s v="C56397"/>
    <n v="0.33600000000000002"/>
    <n v="720"/>
    <n v="0.67200000000000004"/>
    <x v="239"/>
    <x v="1"/>
  </r>
  <r>
    <s v="HOANGDUC"/>
    <s v="MY1100002"/>
    <s v="FORTRANS 4SACH VN"/>
    <s v="Q26-03-4-1"/>
    <s v="LPN010328"/>
    <n v="4"/>
    <n v="0"/>
    <s v="HOLD"/>
    <s v="VN-19677-16"/>
    <s v="51-399488"/>
    <d v="2027-05-27T00:00:00"/>
    <s v="C56395"/>
    <n v="0.33600000000000002"/>
    <n v="720"/>
    <n v="1.3440000000000001"/>
    <x v="327"/>
    <x v="1"/>
  </r>
  <r>
    <s v="HD"/>
    <s v="HT1100016"/>
    <s v="LOSAGEN 50 (HOP/ 30 VIEN)"/>
    <s v="Q26-03-8-1"/>
    <s v="LPN010348"/>
    <n v="103"/>
    <n v="0"/>
    <s v="HOLD"/>
    <s v="VN-20286-17"/>
    <s v="0000032679"/>
    <d v="2027-07-25T00:00:00"/>
    <s v="FD254773C"/>
    <n v="1.9E-2"/>
    <n v="4320"/>
    <n v="1.9569999999999999"/>
    <x v="328"/>
    <x v="1"/>
  </r>
  <r>
    <s v="HOANGDUC"/>
    <s v="AB6100013"/>
    <s v="HEPTRAL 400 (H/30V)"/>
    <s v="Q27-01-1-1"/>
    <s v="000199343"/>
    <n v="5"/>
    <n v="0"/>
    <s v="HOLD"/>
    <s v="3931/2020/ĐKSP"/>
    <s v="0000032733"/>
    <d v="2026-01-31T00:00:00"/>
    <s v="0002202967"/>
    <n v="0.06"/>
    <n v="0"/>
    <n v="0.3"/>
    <x v="16"/>
    <x v="0"/>
  </r>
  <r>
    <s v="HOANGDUC"/>
    <s v="AB1100026"/>
    <s v="TANATRIL TAB 10MG 100.S"/>
    <s v="Q26-01-1-1"/>
    <s v="000199346"/>
    <n v="5"/>
    <n v="0"/>
    <s v="HOLD"/>
    <s v="VN-22051-19"/>
    <s v="0000032733"/>
    <d v="2025-12-08T00:00:00"/>
    <s v="XM282"/>
    <n v="3.4000000000000002E-2"/>
    <n v="0"/>
    <n v="0.17"/>
    <x v="16"/>
    <x v="2"/>
  </r>
  <r>
    <s v="HOANGDUC"/>
    <s v="AB1100026"/>
    <s v="TANATRIL TAB 10MG 100.S"/>
    <s v="Q26-01-1-1"/>
    <s v="000199345"/>
    <n v="1"/>
    <n v="0"/>
    <s v="HOLD"/>
    <s v="VN-22051-19"/>
    <s v="0000032733"/>
    <d v="2025-12-09T00:00:00"/>
    <s v="XE283"/>
    <n v="3.4000000000000002E-2"/>
    <n v="0"/>
    <n v="3.4000000000000002E-2"/>
    <x v="16"/>
    <x v="2"/>
  </r>
  <r>
    <s v="M00106"/>
    <s v="SC6100018"/>
    <s v="PREGNACARE BREAST-FEEDING (HOP/56 VIEN NEN, 28 VIEN NANG)"/>
    <s v="Q26-01-9-2"/>
    <s v="000199610"/>
    <n v="1"/>
    <n v="0"/>
    <s v="HOLD"/>
    <s v="10645/2019/ĐKSP"/>
    <s v="0000032773"/>
    <d v="2026-10-31T00:00:00"/>
    <s v="PB2408"/>
    <n v="0.158"/>
    <n v="1152"/>
    <n v="0.158"/>
    <x v="71"/>
    <x v="2"/>
  </r>
  <r>
    <s v="M00106"/>
    <s v="SC6100018"/>
    <s v="PREGNACARE BREAST-FEEDING (HOP/56 VIEN NEN, 28 VIEN NANG)"/>
    <s v="Q26-01-9-2"/>
    <s v="000199612"/>
    <n v="3"/>
    <n v="0"/>
    <s v="HOLD"/>
    <s v="10645/2019/ĐKSP"/>
    <s v="0000032773"/>
    <d v="2027-09-30T00:00:00"/>
    <s v="PB2501"/>
    <n v="0.158"/>
    <n v="1152"/>
    <n v="0.47399999999999998"/>
    <x v="44"/>
    <x v="2"/>
  </r>
  <r>
    <s v="M00106"/>
    <s v="SC6100019"/>
    <s v="WELLBABY MULTI-VITAMIN LIQUID (CHAI 150ML)"/>
    <s v="Q26-01-9-2"/>
    <s v="000199616"/>
    <n v="30"/>
    <n v="0"/>
    <s v="HOLD"/>
    <s v="10643/2019/ĐKSP"/>
    <s v="0000032773"/>
    <d v="2026-08-31T00:00:00"/>
    <s v="41588"/>
    <n v="0.22600000000000001"/>
    <n v="1680"/>
    <n v="6.78"/>
    <x v="137"/>
    <x v="2"/>
  </r>
  <r>
    <s v="M00106"/>
    <s v="SC6100008"/>
    <s v="MENOPACE (H/30 VIEN)"/>
    <s v="Q26-01-9-2"/>
    <s v="000199594"/>
    <n v="59"/>
    <n v="0"/>
    <s v="HOLD"/>
    <s v="9577/2019/ĐKSP"/>
    <s v="0000032773"/>
    <d v="2026-01-31T00:00:00"/>
    <s v="165074"/>
    <n v="5.3999999999999999E-2"/>
    <n v="2880"/>
    <n v="3.1859999999999999"/>
    <x v="329"/>
    <x v="2"/>
  </r>
  <r>
    <s v="M00106"/>
    <s v="SC6100004"/>
    <s v="OSTEOCARE (H/30 VIEN)"/>
    <s v="Q26-01-9-2"/>
    <s v="000199589"/>
    <n v="14"/>
    <n v="0"/>
    <s v="HOLD"/>
    <s v="8615/2019/ĐKSP"/>
    <s v="0000032773"/>
    <d v="2026-01-31T00:00:00"/>
    <s v="OT2205P"/>
    <n v="7.4999999999999997E-2"/>
    <n v="2688"/>
    <n v="1.05"/>
    <x v="36"/>
    <x v="2"/>
  </r>
  <r>
    <s v="M00106"/>
    <s v="SC6100025"/>
    <s v="PREGNACARE MAX (H/56 VIEN NEN, 28 VIEN NANG)"/>
    <s v="Q26-01-9-2"/>
    <s v="000199622"/>
    <n v="3"/>
    <n v="0"/>
    <s v="HOLD"/>
    <s v="1475/2024/ĐKSP"/>
    <s v="0000032773"/>
    <d v="2027-08-31T00:00:00"/>
    <s v="PM2501CP"/>
    <n v="0.156"/>
    <n v="1152"/>
    <n v="0.46799999999999997"/>
    <x v="44"/>
    <x v="2"/>
  </r>
  <r>
    <s v="M00106"/>
    <s v="SC6100013"/>
    <s v="PREGNACARE ORIGINAL (H/30 VIEN)"/>
    <s v="Q26-01-9-2"/>
    <s v="000199596"/>
    <n v="29"/>
    <n v="0"/>
    <s v="HOLD"/>
    <s v="4140/2020/ĐKSP"/>
    <s v="0000032773"/>
    <d v="2026-06-30T00:00:00"/>
    <s v="831952A"/>
    <n v="4.9000000000000002E-2"/>
    <n v="2880"/>
    <n v="1.421"/>
    <x v="330"/>
    <x v="2"/>
  </r>
  <r>
    <s v="M00106"/>
    <s v="SC6100024"/>
    <s v="OSTEOCARE CHEWABLE (HOP/30 VIEN)"/>
    <s v="Q26-01-9-2"/>
    <s v="000199620"/>
    <n v="13"/>
    <n v="0"/>
    <s v="HOLD"/>
    <s v="9529/2023/ĐKSP"/>
    <s v="0000032773"/>
    <d v="2026-02-28T00:00:00"/>
    <s v="F169385"/>
    <n v="9.6000000000000002E-2"/>
    <n v="1920"/>
    <n v="1.248"/>
    <x v="331"/>
    <x v="2"/>
  </r>
  <r>
    <s v="M00106"/>
    <s v="SC6100004"/>
    <s v="OSTEOCARE (H/30 VIEN)"/>
    <s v="Q26-01-9-2"/>
    <s v="000199586"/>
    <n v="58"/>
    <n v="0"/>
    <s v="HOLD"/>
    <s v="8615/2019/ĐKSP"/>
    <s v="0000032773"/>
    <d v="2026-01-31T00:00:00"/>
    <s v="OT2201P"/>
    <n v="7.4999999999999997E-2"/>
    <n v="2688"/>
    <n v="4.3499999999999996"/>
    <x v="332"/>
    <x v="2"/>
  </r>
  <r>
    <s v="M00106"/>
    <s v="SC6100014"/>
    <s v="LIVERIL (H/30 VIEN)"/>
    <s v="Q26-01-9-2"/>
    <s v="000199601"/>
    <n v="5"/>
    <n v="0"/>
    <s v="HOLD"/>
    <s v="8719/2019/ĐKSP"/>
    <s v="0000032773"/>
    <d v="2026-02-28T00:00:00"/>
    <s v="LV2304P"/>
    <n v="6.8000000000000005E-2"/>
    <n v="2240"/>
    <n v="0.34"/>
    <x v="53"/>
    <x v="2"/>
  </r>
  <r>
    <s v="M00106"/>
    <s v="SC6100002"/>
    <s v="FEROGLOBIN B12 LIQUID 200ML"/>
    <s v="Q26-01-9-2"/>
    <s v="000199582"/>
    <n v="5"/>
    <n v="0"/>
    <s v="HOLD"/>
    <s v="8974/2019/ĐKSP"/>
    <s v="0000032773"/>
    <d v="2026-09-30T00:00:00"/>
    <s v="41694"/>
    <n v="0.3"/>
    <n v="1680"/>
    <n v="1.5"/>
    <x v="41"/>
    <x v="2"/>
  </r>
  <r>
    <s v="M00106"/>
    <s v="SC6100003"/>
    <s v="FEROGLOBIN B12 CAPSULES (H/30 VIEN)"/>
    <s v="Q26-01-9-2"/>
    <s v="000199584"/>
    <n v="4"/>
    <n v="0"/>
    <s v="HOLD"/>
    <s v="9183/2019/ĐKSP"/>
    <s v="0000032773"/>
    <d v="2027-07-31T00:00:00"/>
    <s v="FW2422PA"/>
    <n v="0.04"/>
    <n v="2688"/>
    <n v="0.16"/>
    <x v="42"/>
    <x v="2"/>
  </r>
  <r>
    <s v="M00106"/>
    <s v="SC6100015"/>
    <s v="PREGNACARE PLUS OMEGA 3 (H/56 VIEN)"/>
    <s v="Q27-01-7-2"/>
    <s v="000199603"/>
    <n v="1360"/>
    <n v="0"/>
    <s v="HOLD"/>
    <s v="9184/2019/ĐKSP"/>
    <s v="0000032773"/>
    <d v="2026-05-31T00:00:00"/>
    <s v="PP2359"/>
    <n v="9.2999999999999999E-2"/>
    <n v="1536"/>
    <n v="126.48"/>
    <x v="333"/>
    <x v="0"/>
  </r>
  <r>
    <s v="M00106"/>
    <s v="SC6100018"/>
    <s v="PREGNACARE BREAST-FEEDING (HOP/56 VIEN NEN, 28 VIEN NANG)"/>
    <s v="Q27-01-1-1"/>
    <s v="000199609"/>
    <n v="1"/>
    <n v="0"/>
    <s v="HOLD"/>
    <s v="10645/2019/ĐKSP"/>
    <s v="0000032773"/>
    <d v="2026-10-31T00:00:00"/>
    <s v="PB2406"/>
    <n v="0.158"/>
    <n v="1152"/>
    <n v="0.158"/>
    <x v="71"/>
    <x v="0"/>
  </r>
  <r>
    <s v="M00106"/>
    <s v="SC6100018"/>
    <s v="PREGNACARE BREAST-FEEDING (HOP/56 VIEN NEN, 28 VIEN NANG)"/>
    <s v="Q26-01-9-2"/>
    <s v="000199611"/>
    <n v="2"/>
    <n v="0"/>
    <s v="HOLD"/>
    <s v="10645/2019/ĐKSP"/>
    <s v="0000032773"/>
    <d v="2026-11-30T00:00:00"/>
    <s v="PB2412"/>
    <n v="0.158"/>
    <n v="1152"/>
    <n v="0.316"/>
    <x v="70"/>
    <x v="2"/>
  </r>
  <r>
    <s v="M00106"/>
    <s v="SC6100019"/>
    <s v="WELLBABY MULTI-VITAMIN LIQUID (CHAI 150ML)"/>
    <s v="Q26-01-9-2"/>
    <s v="000199615"/>
    <n v="84"/>
    <n v="0"/>
    <s v="HOLD"/>
    <s v="10643/2019/ĐKSP"/>
    <s v="0000032773"/>
    <d v="2026-06-30T00:00:00"/>
    <s v="41013"/>
    <n v="0.22600000000000001"/>
    <n v="1680"/>
    <n v="18.984000000000002"/>
    <x v="300"/>
    <x v="2"/>
  </r>
  <r>
    <s v="M00106"/>
    <s v="SC6100004"/>
    <s v="OSTEOCARE (H/30 VIEN)"/>
    <s v="Q26-01-9-2"/>
    <s v="000199590"/>
    <n v="43"/>
    <n v="0"/>
    <s v="HOLD"/>
    <s v="8615/2019/ĐKSP"/>
    <s v="0000032773"/>
    <d v="2026-01-31T00:00:00"/>
    <s v="OT2206P"/>
    <n v="7.4999999999999997E-2"/>
    <n v="2688"/>
    <n v="3.2250000000000001"/>
    <x v="334"/>
    <x v="2"/>
  </r>
  <r>
    <s v="M00106"/>
    <s v="SC6100004"/>
    <s v="OSTEOCARE (H/30 VIEN)"/>
    <s v="Q26-01-9-2"/>
    <s v="000199588"/>
    <n v="54"/>
    <n v="0"/>
    <s v="HOLD"/>
    <s v="8615/2019/ĐKSP"/>
    <s v="0000032773"/>
    <d v="2026-01-31T00:00:00"/>
    <s v="OT2204P"/>
    <n v="7.4999999999999997E-2"/>
    <n v="2688"/>
    <n v="4.05"/>
    <x v="335"/>
    <x v="2"/>
  </r>
  <r>
    <s v="M00106"/>
    <s v="SC6100025"/>
    <s v="PREGNACARE MAX (H/56 VIEN NEN, 28 VIEN NANG)"/>
    <s v="Q26-01-9-2"/>
    <s v="000199621"/>
    <n v="16"/>
    <n v="0"/>
    <s v="HOLD"/>
    <s v="1475/2024/ĐKSP"/>
    <s v="0000032773"/>
    <d v="2026-11-30T00:00:00"/>
    <s v="PM2409"/>
    <n v="0.156"/>
    <n v="1152"/>
    <n v="2.496"/>
    <x v="99"/>
    <x v="2"/>
  </r>
  <r>
    <s v="M00106"/>
    <s v="SC6100011"/>
    <s v="PERFECTIL (H/30 VIEN)"/>
    <s v="Q26-01-9-2"/>
    <s v="000199595"/>
    <n v="47"/>
    <n v="0"/>
    <s v="HOLD"/>
    <s v="9185/2019/ĐKSP"/>
    <s v="0000032773"/>
    <d v="2026-07-31T00:00:00"/>
    <s v="PFT2320P"/>
    <n v="5.8000000000000003E-2"/>
    <n v="2880"/>
    <n v="2.726"/>
    <x v="336"/>
    <x v="2"/>
  </r>
  <r>
    <s v="M00106"/>
    <s v="SC6100023"/>
    <s v="VISIONACE ORIGINAL (HOP/30VIEN)"/>
    <s v="Q26-01-9-2"/>
    <s v="000199619"/>
    <n v="6"/>
    <n v="0"/>
    <s v="HOLD"/>
    <s v="1737/2024/ĐKSP"/>
    <s v="0000032773"/>
    <d v="2026-07-31T00:00:00"/>
    <s v="126094A"/>
    <n v="5.0999999999999997E-2"/>
    <n v="2880"/>
    <n v="0.30599999999999999"/>
    <x v="9"/>
    <x v="2"/>
  </r>
  <r>
    <s v="M00106"/>
    <s v="SC6100004"/>
    <s v="OSTEOCARE (H/30 VIEN)"/>
    <s v="Q26-01-9-2"/>
    <s v="000199587"/>
    <n v="78"/>
    <n v="0"/>
    <s v="HOLD"/>
    <s v="8615/2019/ĐKSP"/>
    <s v="0000032773"/>
    <d v="2026-01-31T00:00:00"/>
    <s v="OT2203P"/>
    <n v="7.4999999999999997E-2"/>
    <n v="2688"/>
    <n v="5.85"/>
    <x v="337"/>
    <x v="2"/>
  </r>
  <r>
    <s v="M00106"/>
    <s v="SC6100015"/>
    <s v="PREGNACARE PLUS OMEGA 3 (H/56 VIEN)"/>
    <s v="Q26-01-9-2"/>
    <s v="000199602"/>
    <n v="52"/>
    <n v="0"/>
    <s v="HOLD"/>
    <s v="9184/2019/ĐKSP"/>
    <s v="0000032773"/>
    <d v="2026-01-31T00:00:00"/>
    <s v="PP2324"/>
    <n v="9.2999999999999999E-2"/>
    <n v="1536"/>
    <n v="4.8360000000000003"/>
    <x v="338"/>
    <x v="2"/>
  </r>
  <r>
    <s v="M00106"/>
    <s v="SC6100003"/>
    <s v="FEROGLOBIN B12 CAPSULES (H/30 VIEN)"/>
    <s v="Q26-01-9-2"/>
    <s v="000199585"/>
    <n v="6"/>
    <n v="0"/>
    <s v="HOLD"/>
    <s v="9183/2019/ĐKSP"/>
    <s v="0000032773"/>
    <d v="2026-08-31T00:00:00"/>
    <s v="FW2713SA"/>
    <n v="0.04"/>
    <n v="2688"/>
    <n v="0.24"/>
    <x v="53"/>
    <x v="2"/>
  </r>
  <r>
    <s v="M00106"/>
    <s v="SC6100016"/>
    <s v="OSTEOCARE FIZZ (TUYP/ 20 VIEN)"/>
    <s v="Q26-01-9-2"/>
    <s v="000199604"/>
    <n v="417"/>
    <n v="0"/>
    <s v="HOLD"/>
    <s v="6464/2023/ĐKSP"/>
    <s v="0000032773"/>
    <d v="2026-06-30T00:00:00"/>
    <s v="F170292"/>
    <n v="0.10199999999999999"/>
    <n v="2880"/>
    <n v="42.533999999999999"/>
    <x v="339"/>
    <x v="2"/>
  </r>
  <r>
    <s v="HOANGDUC"/>
    <s v="TT1300434"/>
    <s v="NHAN PHU THUC PHAM BAO VE SUC KHOE OCEAN HEALTH VITAMIN D3 1"/>
    <s v="Q27-01-9-1"/>
    <s v="000199691"/>
    <n v="1240"/>
    <n v="0"/>
    <s v="HOLD"/>
    <s v="NOVISA"/>
    <s v=" "/>
    <d v="2027-10-17T00:00:00"/>
    <s v="_"/>
    <n v="0"/>
    <n v="0"/>
    <n v="0"/>
    <x v="16"/>
    <x v="0"/>
  </r>
  <r>
    <s v="HOANGDUC"/>
    <s v="HY1100001"/>
    <s v="DORITHRICIN TAB 20.S"/>
    <s v="Q26-01-1-2"/>
    <s v="000199737"/>
    <n v="10"/>
    <n v="0"/>
    <s v="HOLD"/>
    <s v="VN-20293-17"/>
    <s v="54-16964"/>
    <d v="2026-04-11T00:00:00"/>
    <s v="2454201"/>
    <n v="0.04"/>
    <n v="9000"/>
    <n v="0.4"/>
    <x v="134"/>
    <x v="2"/>
  </r>
  <r>
    <s v="M00106"/>
    <s v="SC6100017"/>
    <s v="WELLKID MULTI-VITAMIN LIQUID (CHAI/150ML)"/>
    <s v="Q27-03-2-1"/>
    <s v="LPN010377"/>
    <n v="3"/>
    <n v="0"/>
    <s v="HOLD"/>
    <s v="10642/2019/ĐKSP"/>
    <s v="0000032782"/>
    <d v="2027-06-30T00:00:00"/>
    <s v="51033"/>
    <n v="0.312"/>
    <n v="1680"/>
    <n v="0.93599999999999994"/>
    <x v="55"/>
    <x v="4"/>
  </r>
  <r>
    <s v="M00106"/>
    <s v="SC6100004"/>
    <s v="OSTEOCARE (H/30 VIEN)"/>
    <s v="Q27-03-2-1"/>
    <s v="LPN010378"/>
    <n v="1"/>
    <n v="0"/>
    <s v="HOLD"/>
    <s v="8615/2019/ĐKSP"/>
    <s v="0000032782"/>
    <d v="2029-05-31T00:00:00"/>
    <s v="OT2503P"/>
    <n v="7.4999999999999997E-2"/>
    <n v="2688"/>
    <n v="7.4999999999999997E-2"/>
    <x v="51"/>
    <x v="4"/>
  </r>
  <r>
    <s v="M00106"/>
    <s v="SC6100004"/>
    <s v="OSTEOCARE (H/30 VIEN)"/>
    <s v="Q27-03-2-1"/>
    <s v="LPN010376"/>
    <n v="1"/>
    <n v="0"/>
    <s v="HOLD"/>
    <s v="8615/2019/ĐKSP"/>
    <s v="0000032782"/>
    <d v="2029-05-31T00:00:00"/>
    <s v="OT2502P"/>
    <n v="7.4999999999999997E-2"/>
    <n v="2688"/>
    <n v="7.4999999999999997E-2"/>
    <x v="51"/>
    <x v="4"/>
  </r>
  <r>
    <s v="HOANGDUC"/>
    <s v="MY1100002"/>
    <s v="FORTRANS 4SACH VN"/>
    <s v="Q26-01-1-1"/>
    <s v="000199720"/>
    <n v="1"/>
    <n v="0"/>
    <s v="HOLD"/>
    <s v="VN-19677-16"/>
    <s v="54-16967"/>
    <d v="2027-10-17T00:00:00"/>
    <s v="C61859"/>
    <n v="0.33600000000000002"/>
    <n v="720"/>
    <n v="0.33600000000000002"/>
    <x v="114"/>
    <x v="2"/>
  </r>
  <r>
    <s v="HOANGDUC"/>
    <s v="MY1100008"/>
    <s v="FORLAX 10G 20SACH VN"/>
    <s v="Q26-01-1-1"/>
    <s v="000199721"/>
    <n v="1"/>
    <n v="0"/>
    <s v="HOLD"/>
    <s v="VN-16801-13"/>
    <s v="54-16967"/>
    <d v="2027-09-27T00:00:00"/>
    <s v="C60956"/>
    <n v="0.25700000000000001"/>
    <n v="1080"/>
    <n v="0.25700000000000001"/>
    <x v="205"/>
    <x v="2"/>
  </r>
  <r>
    <s v="M00106"/>
    <s v="SC6100019"/>
    <s v="WELLBABY MULTI-VITAMIN LIQUID (CHAI 150ML)"/>
    <s v="Q27-03-4-2"/>
    <s v="000199951"/>
    <n v="55"/>
    <n v="0"/>
    <s v="HOLD"/>
    <s v="10643/2019/ĐKSP"/>
    <s v="0000032810"/>
    <d v="2026-04-30T00:00:00"/>
    <s v="40662"/>
    <n v="0.22600000000000001"/>
    <n v="1680"/>
    <n v="12.43"/>
    <x v="340"/>
    <x v="4"/>
  </r>
  <r>
    <s v="M00106"/>
    <s v="SC6100002"/>
    <s v="FEROGLOBIN B12 LIQUID 200ML"/>
    <s v="Q27-03-4-2"/>
    <s v="000199948"/>
    <n v="118"/>
    <n v="0"/>
    <s v="HOLD"/>
    <s v="8974/2019/ĐKSP"/>
    <s v="0000032810"/>
    <d v="2026-04-30T00:00:00"/>
    <s v="40815"/>
    <n v="0.3"/>
    <n v="1680"/>
    <n v="35.4"/>
    <x v="341"/>
    <x v="4"/>
  </r>
  <r>
    <s v="M00106"/>
    <s v="SC6100013"/>
    <s v="PREGNACARE ORIGINAL (H/30 VIEN)"/>
    <s v="Q27-03-4-2"/>
    <s v="000199944"/>
    <n v="382"/>
    <n v="0"/>
    <s v="HOLD"/>
    <s v="4140/2020/ĐKSP"/>
    <s v="0000032810"/>
    <d v="2026-04-30T00:00:00"/>
    <s v="PRW2323PA"/>
    <n v="4.9000000000000002E-2"/>
    <n v="2880"/>
    <n v="18.718"/>
    <x v="342"/>
    <x v="4"/>
  </r>
  <r>
    <s v="M00106"/>
    <s v="SC6100002"/>
    <s v="FEROGLOBIN B12 LIQUID 200ML"/>
    <s v="Q27-01-2-1"/>
    <s v="000199946"/>
    <n v="4"/>
    <n v="0"/>
    <s v="HOLD"/>
    <s v="8974/2019/ĐKSP"/>
    <s v="0000032810"/>
    <d v="2026-02-28T00:00:00"/>
    <s v="40426"/>
    <n v="0.3"/>
    <n v="1680"/>
    <n v="1.2"/>
    <x v="14"/>
    <x v="0"/>
  </r>
  <r>
    <s v="M00106"/>
    <s v="SC6100017"/>
    <s v="WELLKID MULTI-VITAMIN LIQUID (CHAI/150ML)"/>
    <s v="Q27-01-4-2"/>
    <s v="000199959"/>
    <n v="8"/>
    <n v="0"/>
    <s v="HOLD"/>
    <s v="10642/2019/ĐKSP"/>
    <s v="0000032810"/>
    <d v="2026-03-31T00:00:00"/>
    <s v="40696"/>
    <n v="0.312"/>
    <n v="1680"/>
    <n v="2.496"/>
    <x v="94"/>
    <x v="0"/>
  </r>
  <r>
    <s v="M00106"/>
    <s v="SC6100002"/>
    <s v="FEROGLOBIN B12 LIQUID 200ML"/>
    <s v="Q27-03-4-2"/>
    <s v="000199945"/>
    <n v="22"/>
    <n v="0"/>
    <s v="HOLD"/>
    <s v="8974/2019/ĐKSP"/>
    <s v="0000032810"/>
    <d v="2026-04-30T00:00:00"/>
    <s v="40683"/>
    <n v="0.3"/>
    <n v="1680"/>
    <n v="6.6"/>
    <x v="157"/>
    <x v="4"/>
  </r>
  <r>
    <s v="M00106"/>
    <s v="SC6100004"/>
    <s v="OSTEOCARE (H/30 VIEN)"/>
    <s v="Q27-03-4-2"/>
    <s v="000199954"/>
    <n v="75"/>
    <n v="0"/>
    <s v="HOLD"/>
    <s v="8615/2019/ĐKSP"/>
    <s v="0000032810"/>
    <d v="2026-04-30T00:00:00"/>
    <s v="OT2213P"/>
    <n v="7.4999999999999997E-2"/>
    <n v="2688"/>
    <n v="5.625"/>
    <x v="343"/>
    <x v="4"/>
  </r>
  <r>
    <s v="M00106"/>
    <s v="SC6100004"/>
    <s v="OSTEOCARE (H/30 VIEN)"/>
    <s v="Q27-01-4-2"/>
    <s v="000199955"/>
    <n v="7"/>
    <n v="0"/>
    <s v="HOLD"/>
    <s v="8615/2019/ĐKSP"/>
    <s v="0000032810"/>
    <d v="2026-01-31T00:00:00"/>
    <s v="OT2204P"/>
    <n v="7.4999999999999997E-2"/>
    <n v="2688"/>
    <n v="0.52500000000000002"/>
    <x v="44"/>
    <x v="0"/>
  </r>
  <r>
    <s v="M00106"/>
    <s v="SC6100019"/>
    <s v="WELLBABY MULTI-VITAMIN LIQUID (CHAI 150ML)"/>
    <s v="Q27-03-4-2"/>
    <s v="000199952"/>
    <n v="6"/>
    <n v="0"/>
    <s v="HOLD"/>
    <s v="10643/2019/ĐKSP"/>
    <s v="0000032810"/>
    <d v="2026-04-30T00:00:00"/>
    <s v="40812"/>
    <n v="0.22600000000000001"/>
    <n v="1680"/>
    <n v="1.3560000000000001"/>
    <x v="11"/>
    <x v="4"/>
  </r>
  <r>
    <s v="M00106"/>
    <s v="SC6100002"/>
    <s v="FEROGLOBIN B12 LIQUID 200ML"/>
    <s v="Q27-01-4-2"/>
    <s v="000199949"/>
    <n v="5"/>
    <n v="0"/>
    <s v="HOLD"/>
    <s v="8974/2019/ĐKSP"/>
    <s v="0000032810"/>
    <d v="2026-03-31T00:00:00"/>
    <s v="40622"/>
    <n v="0.3"/>
    <n v="1680"/>
    <n v="1.5"/>
    <x v="41"/>
    <x v="0"/>
  </r>
  <r>
    <s v="M00106"/>
    <s v="SC6100001"/>
    <s v="OSTEOCARE LIQUID 200ML"/>
    <s v="Q27-01-4-2"/>
    <s v="000199960"/>
    <n v="3"/>
    <n v="0"/>
    <s v="HOLD"/>
    <s v="9186/2019/ĐKSP"/>
    <s v="0000032810"/>
    <d v="2026-02-28T00:00:00"/>
    <s v="40314"/>
    <n v="0.3"/>
    <n v="1680"/>
    <n v="0.89999999999999991"/>
    <x v="55"/>
    <x v="0"/>
  </r>
  <r>
    <s v="M00106"/>
    <s v="SC6100004"/>
    <s v="OSTEOCARE (H/30 VIEN)"/>
    <s v="Q27-01-4-2"/>
    <s v="000199956"/>
    <n v="2"/>
    <n v="0"/>
    <s v="HOLD"/>
    <s v="8615/2019/ĐKSP"/>
    <s v="0000032810"/>
    <d v="2026-01-31T00:00:00"/>
    <s v="OT2205P"/>
    <n v="7.4999999999999997E-2"/>
    <n v="2688"/>
    <n v="0.15"/>
    <x v="52"/>
    <x v="0"/>
  </r>
  <r>
    <s v="M00106"/>
    <s v="SC6100004"/>
    <s v="OSTEOCARE (H/30 VIEN)"/>
    <s v="Q27-01-4-2"/>
    <s v="000199957"/>
    <n v="4"/>
    <n v="0"/>
    <s v="HOLD"/>
    <s v="8615/2019/ĐKSP"/>
    <s v="0000032810"/>
    <d v="2026-01-31T00:00:00"/>
    <s v="OT2201P"/>
    <n v="7.4999999999999997E-2"/>
    <n v="2688"/>
    <n v="0.3"/>
    <x v="42"/>
    <x v="0"/>
  </r>
  <r>
    <s v="M00106"/>
    <s v="SC6100004"/>
    <s v="OSTEOCARE (H/30 VIEN)"/>
    <s v="Q27-01-4-2"/>
    <s v="000199958"/>
    <n v="2"/>
    <n v="0"/>
    <s v="HOLD"/>
    <s v="8615/2019/ĐKSP"/>
    <s v="0000032810"/>
    <d v="2026-01-31T00:00:00"/>
    <s v="OT2202P"/>
    <n v="7.4999999999999997E-2"/>
    <n v="2688"/>
    <n v="0.15"/>
    <x v="52"/>
    <x v="0"/>
  </r>
  <r>
    <s v="M00106"/>
    <s v="SC6100015"/>
    <s v="PREGNACARE PLUS OMEGA 3 (H/56 VIEN)"/>
    <s v="Q27-01-2-1"/>
    <s v="000199963"/>
    <n v="7"/>
    <n v="0"/>
    <s v="HOLD"/>
    <s v="9184/2019/ĐKSP"/>
    <s v="0000032810"/>
    <d v="2026-03-31T00:00:00"/>
    <s v="PP2347"/>
    <n v="9.2999999999999999E-2"/>
    <n v="1536"/>
    <n v="0.65100000000000002"/>
    <x v="20"/>
    <x v="0"/>
  </r>
  <r>
    <s v="M00106"/>
    <s v="SC6100019"/>
    <s v="WELLBABY MULTI-VITAMIN LIQUID (CHAI 150ML)"/>
    <s v="Q27-01-4-2"/>
    <s v="000199950"/>
    <n v="30"/>
    <n v="0"/>
    <s v="HOLD"/>
    <s v="10643/2019/ĐKSP"/>
    <s v="0000032810"/>
    <d v="2026-03-31T00:00:00"/>
    <s v="40505"/>
    <n v="0.22600000000000001"/>
    <n v="1680"/>
    <n v="6.78"/>
    <x v="137"/>
    <x v="0"/>
  </r>
  <r>
    <s v="M00106"/>
    <s v="SC6100001"/>
    <s v="OSTEOCARE LIQUID 200ML"/>
    <s v="Q27-01-4-2"/>
    <s v="000199962"/>
    <n v="6"/>
    <n v="0"/>
    <s v="HOLD"/>
    <s v="9186/2019/ĐKSP"/>
    <s v="0000032810"/>
    <d v="2026-02-28T00:00:00"/>
    <s v="40487"/>
    <n v="0.3"/>
    <n v="1680"/>
    <n v="1.7999999999999998"/>
    <x v="11"/>
    <x v="0"/>
  </r>
  <r>
    <s v="HOANGDUC"/>
    <s v="SC6100004"/>
    <s v="OSTEOCARE (H/30 VIEN)"/>
    <s v="Q27-01-1-1"/>
    <s v="000200029"/>
    <n v="0.5"/>
    <n v="0"/>
    <s v="HOLD"/>
    <s v="8615/2019/ĐKSP"/>
    <s v="51-402445"/>
    <d v="2027-08-31T00:00:00"/>
    <s v="OT2312P"/>
    <n v="7.4999999999999997E-2"/>
    <n v="2688"/>
    <n v="3.7499999999999999E-2"/>
    <x v="344"/>
    <x v="0"/>
  </r>
  <r>
    <s v="M00106"/>
    <s v="SC6100002"/>
    <s v="FEROGLOBIN B12 LIQUID 200ML"/>
    <s v="Q27-01-2-1"/>
    <s v="000200069"/>
    <n v="1"/>
    <n v="0"/>
    <s v="HOLD"/>
    <s v="8974/2019/ĐKSP"/>
    <s v="0000032833"/>
    <d v="2026-02-28T00:00:00"/>
    <s v="40426A"/>
    <n v="0.3"/>
    <n v="1680"/>
    <n v="0.3"/>
    <x v="153"/>
    <x v="0"/>
  </r>
  <r>
    <s v="HOANGDUC"/>
    <s v="TT1300417"/>
    <s v="NHAN PHU -THUC PHAM BAO VE SUC KHOE OCEAN HEALTH OMEGA-3 FIS"/>
    <s v="Q27-01-9-1"/>
    <s v="000200092"/>
    <n v="697"/>
    <n v="0"/>
    <s v="HOLD"/>
    <s v="NOVISA"/>
    <s v=" "/>
    <d v="2027-10-23T00:00:00"/>
    <s v="_"/>
    <n v="0"/>
    <n v="0"/>
    <n v="0"/>
    <x v="16"/>
    <x v="0"/>
  </r>
  <r>
    <s v="HOANGDUC"/>
    <s v="TT1300007"/>
    <s v="NHAN PHU - FENOSUP LIDOSE 160 MG"/>
    <s v="Q27-01-9-1"/>
    <s v="000200100"/>
    <n v="35600"/>
    <n v="0"/>
    <s v="HOLD"/>
    <s v="novisa"/>
    <s v=" "/>
    <d v="2027-10-23T00:00:00"/>
    <s v="_"/>
    <n v="0"/>
    <n v="0"/>
    <n v="0"/>
    <x v="16"/>
    <x v="0"/>
  </r>
  <r>
    <s v="M00106"/>
    <s v="SC6100018"/>
    <s v="PREGNACARE BREAST-FEEDING (HOP/56 VIEN NEN, 28 VIEN NANG)"/>
    <s v="Q27-03-2-1"/>
    <s v="LPN010399"/>
    <n v="19"/>
    <n v="0"/>
    <s v="HOLD"/>
    <s v="10645/2019/ĐKSP"/>
    <s v="0000032843"/>
    <d v="2028-02-29T00:00:00"/>
    <s v="PB2517CP"/>
    <n v="0.158"/>
    <n v="1152"/>
    <n v="3.0020000000000002"/>
    <x v="236"/>
    <x v="4"/>
  </r>
  <r>
    <s v="M00106"/>
    <s v="SC6100018"/>
    <s v="PREGNACARE BREAST-FEEDING (HOP/56 VIEN NEN, 28 VIEN NANG)"/>
    <s v="Q27-03-2-1"/>
    <s v="LPN010407"/>
    <n v="11"/>
    <n v="0"/>
    <s v="HOLD"/>
    <s v="10645/2019/ĐKSP"/>
    <s v="0000032843"/>
    <d v="2028-02-29T00:00:00"/>
    <s v="PB2517CP"/>
    <n v="0.158"/>
    <n v="1152"/>
    <n v="1.738"/>
    <x v="75"/>
    <x v="4"/>
  </r>
  <r>
    <s v="M00106"/>
    <s v="SC6100011"/>
    <s v="PERFECTIL (H/30 VIEN)"/>
    <s v="Q27-03-2-1"/>
    <s v="LPN010395"/>
    <n v="6"/>
    <n v="0"/>
    <s v="HOLD"/>
    <s v="9185/2019/ĐKSP"/>
    <s v="0000032843"/>
    <d v="2028-01-31T00:00:00"/>
    <s v="PFT2503A"/>
    <n v="5.8000000000000003E-2"/>
    <n v="2880"/>
    <n v="0.34800000000000003"/>
    <x v="9"/>
    <x v="4"/>
  </r>
  <r>
    <s v="M00106"/>
    <s v="SC6100011"/>
    <s v="PERFECTIL (H/30 VIEN)"/>
    <s v="Q27-03-2-1"/>
    <s v="LPN010396"/>
    <n v="1"/>
    <n v="0"/>
    <s v="HOLD"/>
    <s v="9185/2019/ĐKSP"/>
    <s v="0000032843"/>
    <d v="2028-01-31T00:00:00"/>
    <s v="PFT2501A"/>
    <n v="5.8000000000000003E-2"/>
    <n v="2880"/>
    <n v="5.8000000000000003E-2"/>
    <x v="3"/>
    <x v="4"/>
  </r>
  <r>
    <s v="M00106"/>
    <s v="SC6100011"/>
    <s v="PERFECTIL (H/30 VIEN)"/>
    <s v="Q27-03-2-1"/>
    <s v="LPN010397"/>
    <n v="4"/>
    <n v="0"/>
    <s v="HOLD"/>
    <s v="9185/2019/ĐKSP"/>
    <s v="0000032843"/>
    <d v="2028-02-29T00:00:00"/>
    <s v="PFT2504A"/>
    <n v="5.8000000000000003E-2"/>
    <n v="2880"/>
    <n v="0.23200000000000001"/>
    <x v="114"/>
    <x v="4"/>
  </r>
  <r>
    <s v="M00106"/>
    <s v="SC6100001"/>
    <s v="OSTEOCARE LIQUID 200ML"/>
    <s v="Q27-03-1-1"/>
    <s v="LPN010489"/>
    <n v="24"/>
    <n v="0"/>
    <s v="HOLD"/>
    <s v="9186/2019/ĐKSP"/>
    <s v="0000032843"/>
    <d v="2027-04-30T00:00:00"/>
    <s v="50691"/>
    <n v="0.3"/>
    <n v="1680"/>
    <n v="7.1999999999999993"/>
    <x v="96"/>
    <x v="4"/>
  </r>
  <r>
    <s v="M00106"/>
    <s v="SC6100001"/>
    <s v="OSTEOCARE LIQUID 200ML"/>
    <s v="Q27-03-1-2"/>
    <s v="LPN010488"/>
    <n v="9"/>
    <n v="0"/>
    <s v="HOLD"/>
    <s v="9186/2019/ĐKSP"/>
    <s v="0000032843"/>
    <d v="2027-04-30T00:00:00"/>
    <s v="50691"/>
    <n v="0.3"/>
    <n v="1680"/>
    <n v="2.6999999999999997"/>
    <x v="173"/>
    <x v="4"/>
  </r>
  <r>
    <s v="M00106"/>
    <s v="SC6100001"/>
    <s v="OSTEOCARE LIQUID 200ML"/>
    <s v="Q27-03-2-1"/>
    <s v="LPN010403"/>
    <n v="6"/>
    <n v="0"/>
    <s v="HOLD"/>
    <s v="9186/2019/ĐKSP"/>
    <s v="0000032843"/>
    <d v="2027-04-30T00:00:00"/>
    <s v="50691"/>
    <n v="0.3"/>
    <n v="1680"/>
    <n v="1.7999999999999998"/>
    <x v="11"/>
    <x v="4"/>
  </r>
  <r>
    <s v="M00106"/>
    <s v="SC6100019"/>
    <s v="WELLBABY MULTI-VITAMIN LIQUID (CHAI 150ML)"/>
    <s v="Q27-01-1-1"/>
    <s v="LPN010482"/>
    <n v="1"/>
    <n v="0"/>
    <s v="HOLD"/>
    <s v="10643/2019/ĐKSP"/>
    <s v="0000032843"/>
    <d v="2027-06-30T00:00:00"/>
    <s v="50884"/>
    <n v="0.22600000000000001"/>
    <n v="1680"/>
    <n v="0.22600000000000001"/>
    <x v="153"/>
    <x v="0"/>
  </r>
  <r>
    <s v="HOANGDUC"/>
    <s v="RD1100021"/>
    <s v="VILDAREDDYS (HOP/30 VIEN)"/>
    <s v="Q26-03-6-1"/>
    <s v="LPN010427"/>
    <n v="5"/>
    <n v="0"/>
    <s v="HOLD"/>
    <s v="520110773124"/>
    <s v="0000032871"/>
    <d v="2028-01-31T00:00:00"/>
    <s v="1502727"/>
    <n v="3.2000000000000001E-2"/>
    <n v="2592"/>
    <n v="0.16"/>
    <x v="345"/>
    <x v="1"/>
  </r>
  <r>
    <s v="HOANGDUC"/>
    <s v="RD1100021"/>
    <s v="VILDAREDDYS (HOP/30 VIEN)"/>
    <s v="Q27-01-1-2"/>
    <s v="LPN011290"/>
    <n v="1"/>
    <n v="0"/>
    <s v="HOLD"/>
    <s v="520110773124"/>
    <s v="0000032871"/>
    <d v="2028-01-31T00:00:00"/>
    <s v="1502727"/>
    <n v="3.2000000000000001E-2"/>
    <n v="2592"/>
    <n v="3.2000000000000001E-2"/>
    <x v="181"/>
    <x v="0"/>
  </r>
  <r>
    <s v="HOANGDUC"/>
    <s v="AZ1200003"/>
    <s v="ZOLADEX INJ 10.8 MG SS 1X1 EA VN"/>
    <s v="Q26-03-4-1"/>
    <s v="000200684"/>
    <n v="1"/>
    <n v="0"/>
    <s v="HOLD"/>
    <s v="500114446023"/>
    <s v="50-15801"/>
    <d v="2026-11-27T00:00:00"/>
    <s v="ST849"/>
    <n v="4.3999999999999997E-2"/>
    <n v="1280"/>
    <n v="4.3999999999999997E-2"/>
    <x v="115"/>
    <x v="1"/>
  </r>
  <r>
    <s v="M00106"/>
    <s v="SC6100004"/>
    <s v="OSTEOCARE (H/30 VIEN)"/>
    <s v="Q27-03-2-1"/>
    <s v="LPN010432"/>
    <n v="2"/>
    <n v="0"/>
    <s v="HOLD"/>
    <s v="8615/2019/ĐKSP"/>
    <s v="0000032927"/>
    <d v="2029-05-31T00:00:00"/>
    <s v="OT2502P"/>
    <n v="7.4999999999999997E-2"/>
    <n v="2688"/>
    <n v="0.15"/>
    <x v="52"/>
    <x v="4"/>
  </r>
  <r>
    <s v="M00106"/>
    <s v="SC6100004"/>
    <s v="OSTEOCARE (H/30 VIEN)"/>
    <s v="Q27-03-2-1"/>
    <s v="LPN010441"/>
    <n v="2"/>
    <n v="0"/>
    <s v="HOLD"/>
    <s v="8615/2019/ĐKSP"/>
    <s v="0000032927"/>
    <d v="2029-05-31T00:00:00"/>
    <s v="OT2503P"/>
    <n v="7.4999999999999997E-2"/>
    <n v="2688"/>
    <n v="0.15"/>
    <x v="52"/>
    <x v="4"/>
  </r>
  <r>
    <s v="M00106"/>
    <s v="SC6100007"/>
    <s v="JOINTACE (H/30 VIEN)"/>
    <s v="Q27-03-2-1"/>
    <s v="LPN010412"/>
    <n v="4"/>
    <n v="0"/>
    <s v="HOLD"/>
    <s v="10281/2019/ĐKSP"/>
    <s v="0000032927"/>
    <d v="2028-03-31T00:00:00"/>
    <s v="173949"/>
    <n v="6.0999999999999999E-2"/>
    <n v="2688"/>
    <n v="0.24399999999999999"/>
    <x v="42"/>
    <x v="4"/>
  </r>
  <r>
    <s v="M00106"/>
    <s v="SC6100017"/>
    <s v="WELLKID MULTI-VITAMIN LIQUID (CHAI/150ML)"/>
    <s v="Q27-03-2-1"/>
    <s v="LPN010438"/>
    <n v="32"/>
    <n v="0"/>
    <s v="HOLD"/>
    <s v="10642/2019/ĐKSP"/>
    <s v="0000032926"/>
    <d v="2027-07-31T00:00:00"/>
    <s v="51035"/>
    <n v="0.312"/>
    <n v="1680"/>
    <n v="9.984"/>
    <x v="296"/>
    <x v="4"/>
  </r>
  <r>
    <s v="M00106"/>
    <s v="SC6100024"/>
    <s v="OSTEOCARE CHEWABLE (HOP/30 VIEN)"/>
    <s v="Q27-03-2-1"/>
    <s v="LPN010416"/>
    <n v="2"/>
    <n v="0"/>
    <s v="HOLD"/>
    <s v="9529/2023/ĐKSP"/>
    <s v="0000032926"/>
    <d v="2027-07-31T00:00:00"/>
    <s v="F175288"/>
    <n v="9.6000000000000002E-2"/>
    <n v="1920"/>
    <n v="0.192"/>
    <x v="91"/>
    <x v="4"/>
  </r>
  <r>
    <s v="M00106"/>
    <s v="SC6100025"/>
    <s v="PREGNACARE MAX (H/56 VIEN NEN, 28 VIEN NANG)"/>
    <s v="Q27-03-2-1"/>
    <s v="LPN010410"/>
    <n v="15"/>
    <n v="0"/>
    <s v="HOLD"/>
    <s v="1475/2024/ĐKSP"/>
    <s v="0000032926"/>
    <d v="2028-02-29T00:00:00"/>
    <s v="PM2517CP"/>
    <n v="0.156"/>
    <n v="1152"/>
    <n v="2.34"/>
    <x v="32"/>
    <x v="4"/>
  </r>
  <r>
    <s v="M00106"/>
    <s v="SC6100025"/>
    <s v="PREGNACARE MAX (H/56 VIEN NEN, 28 VIEN NANG)"/>
    <s v="Q27-03-2-1"/>
    <s v="LPN010423"/>
    <n v="104"/>
    <n v="0"/>
    <s v="HOLD"/>
    <s v="1475/2024/ĐKSP"/>
    <s v="0000032926"/>
    <d v="2028-02-29T00:00:00"/>
    <s v="PM2517CP"/>
    <n v="0.156"/>
    <n v="1152"/>
    <n v="16.224"/>
    <x v="346"/>
    <x v="4"/>
  </r>
  <r>
    <s v="M00106"/>
    <s v="SC6100025"/>
    <s v="PREGNACARE MAX (H/56 VIEN NEN, 28 VIEN NANG)"/>
    <s v="Q27-03-3-2"/>
    <s v="LPN010458"/>
    <n v="51"/>
    <n v="0"/>
    <s v="HOLD"/>
    <s v="1475/2024/ĐKSP"/>
    <s v="0000032926"/>
    <d v="2028-02-29T00:00:00"/>
    <s v="PM2517CP"/>
    <n v="0.156"/>
    <n v="1152"/>
    <n v="7.9560000000000004"/>
    <x v="253"/>
    <x v="4"/>
  </r>
  <r>
    <s v="M00106"/>
    <s v="SC6100025"/>
    <s v="PREGNACARE MAX (H/56 VIEN NEN, 28 VIEN NANG)"/>
    <s v="Q27-03-3-2"/>
    <s v="LPN010473"/>
    <n v="13"/>
    <n v="0"/>
    <s v="HOLD"/>
    <s v="1475/2024/ĐKSP"/>
    <s v="0000032926"/>
    <d v="2028-02-29T00:00:00"/>
    <s v="PM2517CP"/>
    <n v="0.156"/>
    <n v="1152"/>
    <n v="2.028"/>
    <x v="347"/>
    <x v="4"/>
  </r>
  <r>
    <s v="M00106"/>
    <s v="SC6100011"/>
    <s v="PERFECTIL (H/30 VIEN)"/>
    <s v="Q27-03-2-1"/>
    <s v="LPN010424"/>
    <n v="2"/>
    <n v="0"/>
    <s v="HOLD"/>
    <s v="9185/2019/ĐKSP"/>
    <s v="0000032927"/>
    <d v="2028-02-29T00:00:00"/>
    <s v="PFT2504A"/>
    <n v="5.8000000000000003E-2"/>
    <n v="2880"/>
    <n v="0.11600000000000001"/>
    <x v="2"/>
    <x v="4"/>
  </r>
  <r>
    <s v="HOANGDUC"/>
    <s v="HY1300046"/>
    <s v="STERIMAR ALLERGIC NOSE 50 ML"/>
    <s v="Q27-03-1-1"/>
    <s v="000200883"/>
    <n v="84"/>
    <n v="0"/>
    <s v="HOLD"/>
    <s v="200001772/PCBA-HN"/>
    <s v="54-17155"/>
    <d v="2026-08-31T00:00:00"/>
    <s v="FE3222C"/>
    <n v="0.1"/>
    <n v="2400"/>
    <n v="8.4"/>
    <x v="348"/>
    <x v="4"/>
  </r>
  <r>
    <s v="HOANGDUC"/>
    <s v="HY1300046"/>
    <s v="STERIMAR ALLERGIC NOSE 50 ML"/>
    <s v="Q27-03-1-1"/>
    <s v="LPN011216"/>
    <n v="42"/>
    <n v="0"/>
    <s v="HOLD"/>
    <s v="200001772/PCBA-HN"/>
    <s v="54-17155"/>
    <d v="2026-08-31T00:00:00"/>
    <s v="FE3222C"/>
    <n v="0.1"/>
    <n v="2400"/>
    <n v="4.2"/>
    <x v="349"/>
    <x v="4"/>
  </r>
  <r>
    <s v="HOANGDUC"/>
    <s v="HY1300049"/>
    <s v="STERIMAR BLOCKED NOSE 50 ML"/>
    <s v="Q27-03-1-1"/>
    <s v="000200884"/>
    <n v="708"/>
    <n v="0"/>
    <s v="HOLD"/>
    <s v="200001776/PCBA-HN"/>
    <s v="54-17155"/>
    <d v="2026-10-31T00:00:00"/>
    <s v="FE3304C"/>
    <n v="0.1"/>
    <n v="4800"/>
    <n v="70.8"/>
    <x v="350"/>
    <x v="4"/>
  </r>
  <r>
    <s v="HOANGDUC"/>
    <s v="HY1300049"/>
    <s v="STERIMAR BLOCKED NOSE 50 ML"/>
    <s v="Q27-03-1-1"/>
    <s v="LPN011217"/>
    <n v="5"/>
    <n v="0"/>
    <s v="HOLD"/>
    <s v="200001776/PCBA-HN"/>
    <s v="54-17155"/>
    <d v="2026-10-31T00:00:00"/>
    <s v="FE3304C"/>
    <n v="0.1"/>
    <n v="4800"/>
    <n v="0.5"/>
    <x v="91"/>
    <x v="4"/>
  </r>
  <r>
    <s v="HOANGDUC"/>
    <s v="HY1300043"/>
    <s v="STERIMAR NOSE HYGIENE &amp; COMFORT 50 ML"/>
    <s v="Q27-03-1-1"/>
    <s v="000200889"/>
    <n v="1"/>
    <n v="0"/>
    <s v="HOLD"/>
    <s v="200001769/PCBA-HN"/>
    <s v="54-17155"/>
    <d v="2026-10-31T00:00:00"/>
    <s v="FE3302"/>
    <n v="9.4E-2"/>
    <n v="2400"/>
    <n v="9.4E-2"/>
    <x v="228"/>
    <x v="4"/>
  </r>
  <r>
    <s v="HOANGDUC"/>
    <s v="GZ1103024"/>
    <s v="ALENTA 10MG TAB 10.S"/>
    <s v="Q26-03-4-1"/>
    <s v="000200999"/>
    <n v="1"/>
    <n v="0"/>
    <s v="HOLD"/>
    <s v="VN-22260-19"/>
    <s v="51-404720"/>
    <d v="2027-08-07T00:00:00"/>
    <s v="113T23"/>
    <n v="1.2999999999999999E-2"/>
    <n v="5120"/>
    <n v="1.2999999999999999E-2"/>
    <x v="351"/>
    <x v="1"/>
  </r>
  <r>
    <s v="HOANGDUC"/>
    <s v="MG1100059"/>
    <s v="ALVORI 200MG (HOP/3 VI X 10 VIEN)"/>
    <s v="Q26-01-1-1"/>
    <s v="LPN010548"/>
    <n v="2"/>
    <n v="0"/>
    <s v="HOLD"/>
    <s v="520110434523"/>
    <s v="0000032968"/>
    <d v="2027-03-31T00:00:00"/>
    <s v="1405498"/>
    <n v="3.7999999999999999E-2"/>
    <n v="2304"/>
    <n v="7.5999999999999998E-2"/>
    <x v="71"/>
    <x v="2"/>
  </r>
  <r>
    <s v="HOANGDUC"/>
    <s v="LU1100002"/>
    <s v="SEROQUEL XR TAB 200MG 30.S (HOP/30VIEN)"/>
    <s v="Q26-03-4-1"/>
    <s v="LPN010452"/>
    <n v="1"/>
    <n v="0"/>
    <s v="HOLD"/>
    <s v="VN-22283-19"/>
    <s v="0000033029"/>
    <d v="2028-03-24T00:00:00"/>
    <s v="SW681"/>
    <n v="5.0999999999999997E-2"/>
    <n v="4200"/>
    <n v="5.0999999999999997E-2"/>
    <x v="352"/>
    <x v="1"/>
  </r>
  <r>
    <s v="HOANGDUC"/>
    <s v="BE-90001893"/>
    <s v="90001893 CONTOUR TS BLOOD GLUCOSE TEST STRIPS 25.S (QUE THU"/>
    <s v="Q27-01-1-1"/>
    <s v="000201410"/>
    <n v="14"/>
    <n v="0"/>
    <s v="HOLD"/>
    <s v="15132NK/BYT-TB-CT"/>
    <s v="54-17253"/>
    <d v="2025-11-30T00:00:00"/>
    <s v="DP3LM3F31B"/>
    <n v="2.1999999999999999E-2"/>
    <n v="6720"/>
    <n v="0.308"/>
    <x v="9"/>
    <x v="0"/>
  </r>
  <r>
    <s v="HOANGDUC"/>
    <s v="AV1100015"/>
    <s v="ARIP TABLET 10MG (H/3 VI X10 VIEN)"/>
    <s v="Q26-01-1-1"/>
    <s v="000201643"/>
    <n v="20"/>
    <n v="0"/>
    <s v="HOLD"/>
    <s v="VN-22478-19"/>
    <s v="50-15905"/>
    <d v="2026-01-30T00:00:00"/>
    <s v="BBX3L002"/>
    <n v="2.1000000000000001E-2"/>
    <n v="4050"/>
    <n v="0.42000000000000004"/>
    <x v="353"/>
    <x v="2"/>
  </r>
  <r>
    <s v="HOANGDUC"/>
    <s v="MG1100059"/>
    <s v="ALVORI 200MG (HOP/3 VI X 10 VIEN)"/>
    <s v="Q26-03-4-1"/>
    <s v="000201750"/>
    <n v="1"/>
    <n v="0"/>
    <s v="HOLD"/>
    <s v="520110434523"/>
    <s v="54-17302"/>
    <d v="2027-03-31T00:00:00"/>
    <s v="1405498"/>
    <n v="3.7999999999999999E-2"/>
    <n v="2304"/>
    <n v="3.7999999999999999E-2"/>
    <x v="354"/>
    <x v="1"/>
  </r>
  <r>
    <s v="HOANGDUC"/>
    <s v="HY1300043"/>
    <s v="STERIMAR NOSE HYGIENE &amp; COMFORT 50 ML"/>
    <s v="Q27-03-1-1"/>
    <s v="000201756"/>
    <n v="825"/>
    <n v="0"/>
    <s v="HOLD"/>
    <s v="200001769/PCBA-HN"/>
    <s v="54-17303"/>
    <d v="2026-10-31T00:00:00"/>
    <s v="FE3274C"/>
    <n v="9.4E-2"/>
    <n v="2400"/>
    <n v="77.55"/>
    <x v="355"/>
    <x v="4"/>
  </r>
  <r>
    <s v="HOANGDUC"/>
    <s v="HY1300043"/>
    <s v="STERIMAR NOSE HYGIENE &amp; COMFORT 50 ML"/>
    <s v="Q27-03-1-1"/>
    <s v="LPN011218"/>
    <n v="107"/>
    <n v="0"/>
    <s v="HOLD"/>
    <s v="200001769/PCBA-HN"/>
    <s v="54-17303"/>
    <d v="2026-10-31T00:00:00"/>
    <s v="FE3274C"/>
    <n v="9.4E-2"/>
    <n v="2400"/>
    <n v="10.058"/>
    <x v="356"/>
    <x v="4"/>
  </r>
  <r>
    <s v="HOANGDUC"/>
    <s v="MG1100048"/>
    <s v="PERGLIM M-2 (HOP/5 VI X 20 VIEN)"/>
    <s v="Q26-03-8-1"/>
    <s v="000201893"/>
    <n v="26"/>
    <n v="0"/>
    <s v="HOLD"/>
    <s v="890110035223"/>
    <s v="0000033063"/>
    <d v="2027-06-26T00:00:00"/>
    <s v="A08922519"/>
    <n v="0.14399999999999999"/>
    <n v="1728"/>
    <n v="3.7439999999999998"/>
    <x v="357"/>
    <x v="1"/>
  </r>
  <r>
    <s v="HOANGDUC"/>
    <s v="MG1100047"/>
    <s v="PERGLIM M-1 (HOP/5 VI X 20 VIEN)"/>
    <s v="Q26-03-8-1"/>
    <s v="000201892"/>
    <n v="4"/>
    <n v="0"/>
    <s v="HOLD"/>
    <s v="890110035323"/>
    <s v="0000033063"/>
    <d v="2027-06-25T00:00:00"/>
    <s v="A08912508"/>
    <n v="0.14399999999999999"/>
    <n v="1728"/>
    <n v="0.57599999999999996"/>
    <x v="358"/>
    <x v="1"/>
  </r>
  <r>
    <s v="HOANGDUC"/>
    <s v="MG5200002"/>
    <s v="INSUNOVA -G PEN (HOP/1 BUT TIEM NAP SAN 3ML DUNG DICH THUOC"/>
    <s v="Q26-03-8-1"/>
    <s v="000201967"/>
    <n v="1"/>
    <n v="0"/>
    <s v="HOLD"/>
    <s v="QLSP-907-15"/>
    <s v="51-408370"/>
    <d v="2027-08-17T00:00:00"/>
    <s v="BF24003310"/>
    <n v="6.4000000000000001E-2"/>
    <n v="432"/>
    <n v="6.4000000000000001E-2"/>
    <x v="358"/>
    <x v="1"/>
  </r>
  <r>
    <s v="HOANGDUC"/>
    <s v="MG5200002"/>
    <s v="INSUNOVA -G PEN (HOP/1 BUT TIEM NAP SAN 3ML DUNG DICH THUOC"/>
    <s v="Q26-03-8-1"/>
    <s v="000201968"/>
    <n v="1"/>
    <n v="0"/>
    <s v="HOLD"/>
    <s v="QLSP-907-15"/>
    <s v="51-408370"/>
    <d v="2027-08-15T00:00:00"/>
    <s v="BF24003328"/>
    <n v="6.4000000000000001E-2"/>
    <n v="432"/>
    <n v="6.4000000000000001E-2"/>
    <x v="358"/>
    <x v="1"/>
  </r>
  <r>
    <s v="HOANGDUC"/>
    <s v="TT1300158"/>
    <s v="NHAN PHU - CERADAN ADVANCED MOISTURISING SKIN BARRIER CREAM"/>
    <s v="Q27-01-9-1"/>
    <s v="000202006"/>
    <n v="1113"/>
    <n v="0"/>
    <s v="HOLD"/>
    <s v="NOVISA"/>
    <s v=" "/>
    <d v="2027-11-06T00:00:00"/>
    <s v="_"/>
    <n v="0"/>
    <n v="0"/>
    <n v="0"/>
    <x v="16"/>
    <x v="0"/>
  </r>
  <r>
    <s v="HOANGDUC"/>
    <s v="TT1300158"/>
    <s v="NHAN PHU - CERADAN ADVANCED MOISTURISING SKIN BARRIER CREAM"/>
    <s v="Q27-01-9-1"/>
    <s v="000202007"/>
    <n v="639"/>
    <n v="0"/>
    <s v="HOLD"/>
    <s v="NOVISA"/>
    <s v=" "/>
    <d v="2027-11-06T00:00:00"/>
    <s v="_"/>
    <n v="0"/>
    <n v="0"/>
    <n v="0"/>
    <x v="16"/>
    <x v="0"/>
  </r>
  <r>
    <s v="HOANGDUC"/>
    <s v="TT1300039"/>
    <s v="NHAN PHU - QUICK RECOVERY CREAM 15G"/>
    <s v="Q27-01-9-1"/>
    <s v="000202004"/>
    <n v="1210"/>
    <n v="0"/>
    <s v="HOLD"/>
    <s v="NOVISA"/>
    <s v=" "/>
    <d v="2027-11-06T00:00:00"/>
    <s v="_"/>
    <n v="0"/>
    <n v="0"/>
    <n v="0"/>
    <x v="16"/>
    <x v="0"/>
  </r>
  <r>
    <s v="HOANGDUC"/>
    <s v="TT1300145"/>
    <s v="NHAN PHU - METABIOTIC FACIAL WASH"/>
    <s v="Q27-01-9-1"/>
    <s v="000202005"/>
    <n v="1497"/>
    <n v="0"/>
    <s v="HOLD"/>
    <s v="NOVISA"/>
    <s v=" "/>
    <d v="2027-11-06T00:00:00"/>
    <s v="_"/>
    <n v="0"/>
    <n v="0"/>
    <n v="0"/>
    <x v="16"/>
    <x v="0"/>
  </r>
  <r>
    <s v="HOANGDUC"/>
    <s v="TT1300359"/>
    <s v="NHAN PHU - BLU VOILE SUNSCREEN"/>
    <s v="Q27-01-9-1"/>
    <s v="000202003"/>
    <n v="898"/>
    <n v="0"/>
    <s v="HOLD"/>
    <s v="NOVISA"/>
    <s v=" "/>
    <d v="2027-11-06T00:00:00"/>
    <s v="_"/>
    <n v="0"/>
    <n v="0"/>
    <n v="0"/>
    <x v="16"/>
    <x v="0"/>
  </r>
  <r>
    <s v="HOANGDUC"/>
    <s v="TT1300062"/>
    <s v="NHAN PHU - CERADAN DIAPER CREAM"/>
    <s v="Q27-01-9-1"/>
    <s v="000202000"/>
    <n v="4800"/>
    <n v="0"/>
    <s v="HOLD"/>
    <s v="NOVISA"/>
    <s v=" "/>
    <d v="2027-11-06T00:00:00"/>
    <s v="_"/>
    <n v="0"/>
    <n v="0"/>
    <n v="0"/>
    <x v="16"/>
    <x v="0"/>
  </r>
  <r>
    <s v="HOANGDUC"/>
    <s v="TT1300360"/>
    <s v="NHAN PHU - C SCAPE+ SERUM"/>
    <s v="Q27-01-9-1"/>
    <s v="000201996"/>
    <n v="1399"/>
    <n v="0"/>
    <s v="HOLD"/>
    <s v="NOVISA"/>
    <s v=" "/>
    <d v="2027-11-06T00:00:00"/>
    <s v="_"/>
    <n v="0"/>
    <n v="0"/>
    <n v="0"/>
    <x v="16"/>
    <x v="0"/>
  </r>
  <r>
    <s v="HOANGDUC"/>
    <s v="RD1100016"/>
    <s v="STAMLO-T (HOP/ 28 VIEN)"/>
    <s v="Q26-01-1-1"/>
    <s v="LPN010492"/>
    <n v="2"/>
    <n v="0"/>
    <s v="HOLD"/>
    <s v="890110125423"/>
    <s v="0000033112"/>
    <d v="2027-09-30T00:00:00"/>
    <s v="V2502066"/>
    <n v="4.1000000000000002E-2"/>
    <n v="2592"/>
    <n v="8.2000000000000003E-2"/>
    <x v="211"/>
    <x v="2"/>
  </r>
  <r>
    <s v="HOANGDUC"/>
    <s v="LU1100002"/>
    <s v="SEROQUEL XR TAB 200MG 30.S (HOP/30VIEN)"/>
    <s v="Q26-03-8-1"/>
    <s v="LPN010501"/>
    <n v="1"/>
    <n v="0"/>
    <s v="HOLD"/>
    <s v="VN-22283-19"/>
    <s v="0000033141"/>
    <d v="2028-06-05T00:00:00"/>
    <s v="SX739"/>
    <n v="5.0999999999999997E-2"/>
    <n v="4200"/>
    <n v="5.0999999999999997E-2"/>
    <x v="352"/>
    <x v="1"/>
  </r>
  <r>
    <s v="HOANGDUC"/>
    <s v="LU1100003"/>
    <s v="SEROQUEL XR TAB 50MG 30.S (HOP/30VIEN)"/>
    <s v="Q26-03-8-1"/>
    <s v="LPN010498"/>
    <n v="34"/>
    <n v="0"/>
    <s v="HOLD"/>
    <s v="VN-22285-19"/>
    <s v="0000033141"/>
    <d v="2028-03-31T00:00:00"/>
    <s v="SX242"/>
    <n v="4.7899999999999998E-2"/>
    <n v="4200"/>
    <n v="1.6286"/>
    <x v="359"/>
    <x v="1"/>
  </r>
  <r>
    <s v="HOANGDUC"/>
    <s v="LU1100003"/>
    <s v="SEROQUEL XR TAB 50MG 30.S (HOP/30VIEN)"/>
    <s v="Q26-03-8-1"/>
    <s v="LPN010508"/>
    <n v="19"/>
    <n v="0"/>
    <s v="HOLD"/>
    <s v="VN-22285-19"/>
    <s v="0000033141"/>
    <d v="2028-03-31T00:00:00"/>
    <s v="SX242"/>
    <n v="4.7899999999999998E-2"/>
    <n v="4200"/>
    <n v="0.91009999999999991"/>
    <x v="360"/>
    <x v="1"/>
  </r>
  <r>
    <s v="HOANGDUC"/>
    <s v="HY6100007"/>
    <s v="OCUVITE LUTEIN TAB 60.S"/>
    <s v="Q26-01-1-1"/>
    <s v="000214604"/>
    <n v="1"/>
    <n v="0"/>
    <s v="HOLD"/>
    <s v="4701/2020/ĐKSP"/>
    <s v="54-17446"/>
    <d v="2026-02-28T00:00:00"/>
    <s v="40005"/>
    <n v="5.3999999999999999E-2"/>
    <n v="1620"/>
    <n v="5.3999999999999999E-2"/>
    <x v="361"/>
    <x v="2"/>
  </r>
  <r>
    <s v="HOANGDUC"/>
    <s v="RD1100009"/>
    <s v="ABIRATRED 250MG 120.S"/>
    <s v="Q26-03-4-1"/>
    <s v="000202369"/>
    <n v="1"/>
    <n v="0"/>
    <s v="HOLD"/>
    <s v="890114086523"/>
    <s v="54-17442"/>
    <d v="2027-05-31T00:00:00"/>
    <s v="H2500727"/>
    <n v="0.13800000000000001"/>
    <n v="2025"/>
    <n v="0.13800000000000001"/>
    <x v="362"/>
    <x v="1"/>
  </r>
  <r>
    <s v="HOANGDUC"/>
    <s v="HY1100001"/>
    <s v="DORITHRICIN TAB 20.S"/>
    <s v="Q26-01-1-2"/>
    <s v="000202389"/>
    <n v="367"/>
    <n v="0"/>
    <s v="HOLD"/>
    <s v="VN-20293-17"/>
    <s v="54-17446"/>
    <d v="2026-04-04T00:00:00"/>
    <s v="2452301"/>
    <n v="0.04"/>
    <n v="9000"/>
    <n v="14.68"/>
    <x v="363"/>
    <x v="2"/>
  </r>
  <r>
    <s v="HOANGDUC"/>
    <s v="HY1300043"/>
    <s v="STERIMAR NOSE HYGIENE &amp; COMFORT 50 ML"/>
    <s v="Q27-03-1-1"/>
    <s v="LPN011219"/>
    <n v="7"/>
    <n v="0"/>
    <s v="HOLD"/>
    <s v="200001769/PCBA-HN"/>
    <s v="54-17446"/>
    <d v="2026-10-31T00:00:00"/>
    <s v="FE3302B"/>
    <n v="9.4E-2"/>
    <n v="2400"/>
    <n v="0.65800000000000003"/>
    <x v="271"/>
    <x v="4"/>
  </r>
  <r>
    <s v="HOANGDUC"/>
    <s v="RD1100017"/>
    <s v="STAMLO-T 80/5MG (HOP/28 VIEN)"/>
    <s v="Q26-01-1-1"/>
    <s v="LPN010518"/>
    <n v="4"/>
    <n v="0"/>
    <s v="HOLD"/>
    <s v="890110125523"/>
    <s v="0000033201"/>
    <d v="2027-09-30T00:00:00"/>
    <s v="V2502056"/>
    <n v="4.8000000000000001E-2"/>
    <n v="2592"/>
    <n v="0.192"/>
    <x v="364"/>
    <x v="2"/>
  </r>
  <r>
    <s v="HOANGDUC"/>
    <s v="MG1100036"/>
    <s v="BAROLE 20 (HOP/10 VI X 10 VIEN)"/>
    <s v="Q26-03-8-1"/>
    <s v="000203036"/>
    <n v="2"/>
    <n v="0"/>
    <s v="HOLD"/>
    <s v="890110022524"/>
    <s v="0000033186"/>
    <d v="2027-06-23T00:00:00"/>
    <s v="A08872505"/>
    <n v="6.6000000000000003E-2"/>
    <n v="1344"/>
    <n v="0.13200000000000001"/>
    <x v="42"/>
    <x v="1"/>
  </r>
  <r>
    <s v="HOANGDUC"/>
    <s v="MG1100048"/>
    <s v="PERGLIM M-2 (HOP/5 VI X 20 VIEN)"/>
    <s v="Q26-03-8-1"/>
    <s v="000203039"/>
    <n v="2"/>
    <n v="0"/>
    <s v="HOLD"/>
    <s v="890110035223"/>
    <s v="0000033186"/>
    <d v="2027-06-26T00:00:00"/>
    <s v="A08922518"/>
    <n v="0.14399999999999999"/>
    <n v="1728"/>
    <n v="0.28799999999999998"/>
    <x v="210"/>
    <x v="1"/>
  </r>
  <r>
    <s v="HOANGDUC"/>
    <s v="MG1100048"/>
    <s v="PERGLIM M-2 (HOP/5 VI X 20 VIEN)"/>
    <s v="Q26-03-8-1"/>
    <s v="000203040"/>
    <n v="15"/>
    <n v="0"/>
    <s v="HOLD"/>
    <s v="890110035223"/>
    <s v="0000033186"/>
    <d v="2027-06-26T00:00:00"/>
    <s v="A08922519"/>
    <n v="0.14399999999999999"/>
    <n v="1728"/>
    <n v="2.1599999999999997"/>
    <x v="112"/>
    <x v="1"/>
  </r>
  <r>
    <s v="HOANGDUC"/>
    <s v="MG1100047"/>
    <s v="PERGLIM M-1 (HOP/5 VI X 20 VIEN)"/>
    <s v="Q26-03-8-1"/>
    <s v="000203038"/>
    <n v="2"/>
    <n v="0"/>
    <s v="HOLD"/>
    <s v="890110035323"/>
    <s v="0000033186"/>
    <d v="2027-06-25T00:00:00"/>
    <s v="A08912508"/>
    <n v="0.14399999999999999"/>
    <n v="1728"/>
    <n v="0.28799999999999998"/>
    <x v="210"/>
    <x v="1"/>
  </r>
  <r>
    <s v="HOANGDUC"/>
    <s v="MG1100044"/>
    <s v="PANFOR SR-750 (HOP/10 VI X 10 VIEN)"/>
    <s v="Q26-03-8-1"/>
    <s v="000203035"/>
    <n v="17"/>
    <n v="0"/>
    <s v="HOLD"/>
    <s v="VN-20188-16"/>
    <s v="0000033187"/>
    <d v="2027-10-16T00:00:00"/>
    <s v="A08902511"/>
    <n v="0.154"/>
    <n v="1536"/>
    <n v="2.6179999999999999"/>
    <x v="23"/>
    <x v="1"/>
  </r>
  <r>
    <s v="HOANGDUC"/>
    <s v="MG1100043"/>
    <s v="PANFOR SR-500 (HOP/5 VI X 20 VIEN)"/>
    <s v="Q26-03-8-1"/>
    <s v="000203037"/>
    <n v="1"/>
    <n v="0"/>
    <s v="HOLD"/>
    <s v="890110015924"/>
    <s v="0000033186"/>
    <d v="2027-11-08T00:00:00"/>
    <s v="PAF01798"/>
    <n v="0.12"/>
    <n v="1920"/>
    <n v="0.12"/>
    <x v="90"/>
    <x v="1"/>
  </r>
  <r>
    <s v="HOANGDUC"/>
    <s v="HT1100008"/>
    <s v="TELSAR 40 (HOP/ 30 VIEN)"/>
    <s v="Q26-03-6-1"/>
    <s v="LPN010523"/>
    <n v="1"/>
    <n v="0"/>
    <s v="HOLD"/>
    <s v="890110788424"/>
    <s v="0000033235"/>
    <d v="2028-08-18T00:00:00"/>
    <s v="FD255498B"/>
    <n v="3.2000000000000001E-2"/>
    <n v="2160"/>
    <n v="3.2000000000000001E-2"/>
    <x v="193"/>
    <x v="1"/>
  </r>
  <r>
    <s v="HD"/>
    <s v="HT1100033"/>
    <s v="DOLUTEGRAVIR, LAMIVUDINE AND TENOFOVIR DISOPROXIL FUMARATE T"/>
    <s v="Q26-03-8-1"/>
    <s v="000203106"/>
    <n v="1"/>
    <n v="0"/>
    <s v="HOLD"/>
    <s v="890110445523"/>
    <s v="51-411400"/>
    <d v="2027-02-17T00:00:00"/>
    <s v="E250808"/>
    <n v="9.4E-2"/>
    <n v="2475"/>
    <n v="9.4E-2"/>
    <x v="130"/>
    <x v="1"/>
  </r>
  <r>
    <s v="HOANGDUC"/>
    <s v="SC6100002"/>
    <s v="FEROGLOBIN B12 LIQUID 200ML"/>
    <s v="Q27-03-7-1"/>
    <s v="000203140"/>
    <n v="1"/>
    <n v="0"/>
    <s v="HOLD"/>
    <s v="8974/2019/ĐKSP"/>
    <s v="54-17553"/>
    <d v="2027-05-31T00:00:00"/>
    <s v="50802"/>
    <n v="0.3"/>
    <n v="1680"/>
    <n v="0.3"/>
    <x v="153"/>
    <x v="4"/>
  </r>
  <r>
    <s v="HOANGDUC"/>
    <s v="HY1300043"/>
    <s v="STERIMAR NOSE HYGIENE &amp; COMFORT 50 ML"/>
    <s v="Q27-03-1-1"/>
    <s v="000188984"/>
    <n v="7"/>
    <n v="0"/>
    <s v="HOLD"/>
    <s v="200001769/PCBA-HN"/>
    <s v="54-15319"/>
    <d v="2026-10-31T00:00:00"/>
    <s v="FE3302B"/>
    <n v="9.4E-2"/>
    <n v="2400"/>
    <n v="0.65800000000000003"/>
    <x v="271"/>
    <x v="4"/>
  </r>
  <r>
    <s v="HOANGDUC"/>
    <s v="MRA1415"/>
    <s v="A1415 ACHIEVE PROGRAMMABLE AUTOMATIC BIOPSY SYSTEM 14G X 15."/>
    <s v="Q27-03-7-1"/>
    <s v="M0003515"/>
    <n v="1"/>
    <n v="0"/>
    <s v="HOLD"/>
    <s v="NOVISA"/>
    <s v="57-31996"/>
    <d v="2026-04-30T00:00:00"/>
    <s v="I2708594"/>
    <n v="0.05"/>
    <n v="400"/>
    <n v="0.05"/>
    <x v="226"/>
    <x v="4"/>
  </r>
  <r>
    <s v="M00106"/>
    <s v="SC6100013"/>
    <s v="PREGNACARE ORIGINAL (H/30 VIEN)"/>
    <s v="Q27-03-4-2"/>
    <s v="000203231"/>
    <n v="184"/>
    <n v="0"/>
    <s v="HOLD"/>
    <s v="4140/2020/ĐKSP"/>
    <s v="0000033252"/>
    <d v="2026-04-30T00:00:00"/>
    <s v="PRW2323PA"/>
    <n v="4.9000000000000002E-2"/>
    <n v="2880"/>
    <n v="9.016"/>
    <x v="365"/>
    <x v="4"/>
  </r>
  <r>
    <s v="HOANGDUC"/>
    <s v="RH7300267"/>
    <s v="(2023) DAU GOI NGAN RUNG TOC (50 MEGUMI HAIR FALL CONTROL SH"/>
    <s v="Q27-03-7-1"/>
    <s v="000203260"/>
    <n v="1"/>
    <n v="0"/>
    <s v="HOLD"/>
    <s v="NOVISA"/>
    <s v="54-17583"/>
    <d v="2028-08-11T00:00:00"/>
    <s v="HB01A"/>
    <n v="0.30599999999999999"/>
    <n v="825"/>
    <n v="0.30599999999999999"/>
    <x v="168"/>
    <x v="4"/>
  </r>
  <r>
    <s v="M00106"/>
    <s v="SC6100015"/>
    <s v="PREGNACARE PLUS OMEGA 3 (H/56 VIEN)"/>
    <s v="Q27-03-4-2"/>
    <s v="000203250"/>
    <n v="3"/>
    <n v="0"/>
    <s v="HOLD"/>
    <s v="9184/2019/ĐKSP"/>
    <s v="0000033252"/>
    <d v="2026-05-31T00:00:00"/>
    <s v="PP2359"/>
    <n v="9.2999999999999999E-2"/>
    <n v="1536"/>
    <n v="0.27900000000000003"/>
    <x v="19"/>
    <x v="4"/>
  </r>
  <r>
    <s v="HOANGDUC"/>
    <s v="MG1100044"/>
    <s v="PANFOR SR-750 (HOP/10 VI X 10 VIEN)"/>
    <s v="Q26-03-8-1"/>
    <s v="000203259"/>
    <n v="2"/>
    <n v="0"/>
    <s v="HOLD"/>
    <s v="VN-20188-16"/>
    <s v="54-17583"/>
    <d v="2027-06-13T00:00:00"/>
    <s v="A08902508"/>
    <n v="0.154"/>
    <n v="1536"/>
    <n v="0.308"/>
    <x v="18"/>
    <x v="1"/>
  </r>
  <r>
    <s v="M00106"/>
    <s v="SC6100015"/>
    <s v="PREGNACARE PLUS OMEGA 3 (H/56 VIEN)"/>
    <s v="Q27-01-2-1"/>
    <s v="000203249"/>
    <n v="7"/>
    <n v="0"/>
    <s v="HOLD"/>
    <s v="9184/2019/ĐKSP"/>
    <s v="0000033252"/>
    <d v="2026-03-31T00:00:00"/>
    <s v="PP2347"/>
    <n v="9.2999999999999999E-2"/>
    <n v="1536"/>
    <n v="0.65100000000000002"/>
    <x v="20"/>
    <x v="0"/>
  </r>
  <r>
    <s v="M00106"/>
    <s v="SC6100014"/>
    <s v="LIVERIL (H/30 VIEN)"/>
    <s v="Q27-03-4-2"/>
    <s v="000203252"/>
    <n v="3"/>
    <n v="0"/>
    <s v="HOLD"/>
    <s v="8719/2019/ĐKSP"/>
    <s v="0000033252"/>
    <d v="2026-04-30T00:00:00"/>
    <s v="LV2306P"/>
    <n v="6.8000000000000005E-2"/>
    <n v="2240"/>
    <n v="0.20400000000000001"/>
    <x v="56"/>
    <x v="4"/>
  </r>
  <r>
    <s v="M00106"/>
    <s v="SC6100014"/>
    <s v="LIVERIL (H/30 VIEN)"/>
    <s v="Q27-03-4-2"/>
    <s v="000203253"/>
    <n v="1"/>
    <n v="0"/>
    <s v="HOLD"/>
    <s v="8719/2019/ĐKSP"/>
    <s v="0000033252"/>
    <d v="2026-05-31T00:00:00"/>
    <s v="LV2309P"/>
    <n v="6.8000000000000005E-2"/>
    <n v="2240"/>
    <n v="6.8000000000000005E-2"/>
    <x v="58"/>
    <x v="4"/>
  </r>
  <r>
    <s v="M00106"/>
    <s v="SC6100004"/>
    <s v="OSTEOCARE (H/30 VIEN)"/>
    <s v="Q27-01-4-2"/>
    <s v="000203242"/>
    <n v="4"/>
    <n v="0"/>
    <s v="HOLD"/>
    <s v="8615/2019/ĐKSP"/>
    <s v="0000033252"/>
    <d v="2026-01-31T00:00:00"/>
    <s v="OT2203P"/>
    <n v="7.4999999999999997E-2"/>
    <n v="2688"/>
    <n v="0.3"/>
    <x v="42"/>
    <x v="0"/>
  </r>
  <r>
    <s v="M00106"/>
    <s v="SC6100002"/>
    <s v="FEROGLOBIN B12 LIQUID 200ML"/>
    <s v="Q27-03-4-2"/>
    <s v="000203233"/>
    <n v="28"/>
    <n v="0"/>
    <s v="HOLD"/>
    <s v="8974/2019/ĐKSP"/>
    <s v="0000033252"/>
    <d v="2026-04-30T00:00:00"/>
    <s v="40815"/>
    <n v="0.3"/>
    <n v="1680"/>
    <n v="8.4"/>
    <x v="366"/>
    <x v="4"/>
  </r>
  <r>
    <s v="M00106"/>
    <s v="SC6100017"/>
    <s v="WELLKID MULTI-VITAMIN LIQUID (CHAI/150ML)"/>
    <s v="Q27-01-4-2"/>
    <s v="000203243"/>
    <n v="17"/>
    <n v="0"/>
    <s v="HOLD"/>
    <s v="10642/2019/ĐKSP"/>
    <s v="0000033252"/>
    <d v="2026-03-31T00:00:00"/>
    <s v="40696"/>
    <n v="0.312"/>
    <n v="1680"/>
    <n v="5.3040000000000003"/>
    <x v="38"/>
    <x v="0"/>
  </r>
  <r>
    <s v="M00106"/>
    <s v="SC6100019"/>
    <s v="WELLBABY MULTI-VITAMIN LIQUID (CHAI 150ML)"/>
    <s v="Q27-03-4-2"/>
    <s v="000203237"/>
    <n v="9"/>
    <n v="0"/>
    <s v="HOLD"/>
    <s v="10643/2019/ĐKSP"/>
    <s v="0000033252"/>
    <d v="2026-04-30T00:00:00"/>
    <s v="40662"/>
    <n v="0.22600000000000001"/>
    <n v="1680"/>
    <n v="2.0340000000000003"/>
    <x v="173"/>
    <x v="4"/>
  </r>
  <r>
    <s v="M00106"/>
    <s v="SC6100002"/>
    <s v="FEROGLOBIN B12 LIQUID 200ML"/>
    <s v="Q27-03-4-2"/>
    <s v="000203232"/>
    <n v="12"/>
    <n v="0"/>
    <s v="HOLD"/>
    <s v="8974/2019/ĐKSP"/>
    <s v="0000033252"/>
    <d v="2026-04-30T00:00:00"/>
    <s v="40683"/>
    <n v="0.3"/>
    <n v="1680"/>
    <n v="3.5999999999999996"/>
    <x v="88"/>
    <x v="4"/>
  </r>
  <r>
    <s v="M00106"/>
    <s v="SC6100002"/>
    <s v="FEROGLOBIN B12 LIQUID 200ML"/>
    <s v="Q27-01-4-2"/>
    <s v="000203234"/>
    <n v="3"/>
    <n v="0"/>
    <s v="HOLD"/>
    <s v="8974/2019/ĐKSP"/>
    <s v="0000033252"/>
    <d v="2026-02-28T00:00:00"/>
    <s v="40426"/>
    <n v="0.3"/>
    <n v="1680"/>
    <n v="0.89999999999999991"/>
    <x v="55"/>
    <x v="0"/>
  </r>
  <r>
    <s v="M00106"/>
    <s v="SC6100002"/>
    <s v="FEROGLOBIN B12 LIQUID 200ML"/>
    <s v="Q27-01-1-1"/>
    <s v="000203235"/>
    <n v="2"/>
    <n v="0"/>
    <s v="HOLD"/>
    <s v="8974/2019/ĐKSP"/>
    <s v="0000033252"/>
    <d v="2025-12-31T00:00:00"/>
    <s v="40120"/>
    <n v="0.3"/>
    <n v="1680"/>
    <n v="0.6"/>
    <x v="12"/>
    <x v="0"/>
  </r>
  <r>
    <s v="M00106"/>
    <s v="SC6100017"/>
    <s v="WELLKID MULTI-VITAMIN LIQUID (CHAI/150ML)"/>
    <s v="Q27-01-1-1"/>
    <s v="000203244"/>
    <n v="4"/>
    <n v="0"/>
    <s v="HOLD"/>
    <s v="10642/2019/ĐKSP"/>
    <s v="0000033252"/>
    <d v="2025-11-30T00:00:00"/>
    <s v="31948"/>
    <n v="0.312"/>
    <n v="1680"/>
    <n v="1.248"/>
    <x v="14"/>
    <x v="0"/>
  </r>
  <r>
    <s v="M00106"/>
    <s v="SC6100014"/>
    <s v="LIVERIL (H/30 VIEN)"/>
    <s v="Q27-01-4-2"/>
    <s v="000203251"/>
    <n v="2"/>
    <n v="0"/>
    <s v="HOLD"/>
    <s v="8719/2019/ĐKSP"/>
    <s v="0000033252"/>
    <d v="2026-02-28T00:00:00"/>
    <s v="LV2305P"/>
    <n v="6.8000000000000005E-2"/>
    <n v="2240"/>
    <n v="0.13600000000000001"/>
    <x v="57"/>
    <x v="0"/>
  </r>
  <r>
    <s v="M00184"/>
    <s v="AZ1113001"/>
    <s v="TAGRISSO PA TAB 80MG BL 1X10 EA VN"/>
    <s v="Q26-01-1-1"/>
    <s v="000203230"/>
    <n v="3"/>
    <n v="0"/>
    <s v="HOLD"/>
    <s v="VN3-36-18"/>
    <s v="0000033251"/>
    <d v="2027-06-03T00:00:00"/>
    <s v="FLVS"/>
    <n v="0.03"/>
    <n v="2200"/>
    <n v="0.09"/>
    <x v="367"/>
    <x v="2"/>
  </r>
  <r>
    <s v="M00106"/>
    <s v="SC6100001"/>
    <s v="OSTEOCARE LIQUID 200ML"/>
    <s v="Q27-01-2-1"/>
    <s v="000203246"/>
    <n v="20"/>
    <n v="0"/>
    <s v="HOLD"/>
    <s v="9186/2019/ĐKSP"/>
    <s v="0000033252"/>
    <d v="2026-02-28T00:00:00"/>
    <s v="40487"/>
    <n v="0.3"/>
    <n v="1680"/>
    <n v="6"/>
    <x v="92"/>
    <x v="0"/>
  </r>
  <r>
    <s v="M00106"/>
    <s v="SC6100001"/>
    <s v="OSTEOCARE LIQUID 200ML"/>
    <s v="Q27-01-4-2"/>
    <s v="000203247"/>
    <n v="18"/>
    <n v="0"/>
    <s v="HOLD"/>
    <s v="9186/2019/ĐKSP"/>
    <s v="0000033252"/>
    <d v="2026-02-28T00:00:00"/>
    <s v="40314"/>
    <n v="0.3"/>
    <n v="1680"/>
    <n v="5.3999999999999995"/>
    <x v="110"/>
    <x v="0"/>
  </r>
  <r>
    <s v="M00106"/>
    <s v="SC6100004"/>
    <s v="OSTEOCARE (H/30 VIEN)"/>
    <s v="Q27-01-2-1"/>
    <s v="000203241"/>
    <n v="3"/>
    <n v="0"/>
    <s v="HOLD"/>
    <s v="8615/2019/ĐKSP"/>
    <s v="0000033252"/>
    <d v="2026-01-31T00:00:00"/>
    <s v="OT2205P"/>
    <n v="7.4999999999999997E-2"/>
    <n v="2688"/>
    <n v="0.22499999999999998"/>
    <x v="45"/>
    <x v="0"/>
  </r>
  <r>
    <s v="M00106"/>
    <s v="SC6100019"/>
    <s v="WELLBABY MULTI-VITAMIN LIQUID (CHAI 150ML)"/>
    <s v="Q27-01-1-1"/>
    <s v="000203240"/>
    <n v="3"/>
    <n v="0"/>
    <s v="HOLD"/>
    <s v="10643/2019/ĐKSP"/>
    <s v="0000033252"/>
    <d v="2025-12-31T00:00:00"/>
    <s v="40028"/>
    <n v="0.22600000000000001"/>
    <n v="1680"/>
    <n v="0.67800000000000005"/>
    <x v="55"/>
    <x v="0"/>
  </r>
  <r>
    <s v="M00106"/>
    <s v="SC6100001"/>
    <s v="OSTEOCARE LIQUID 200ML"/>
    <s v="Q27-01-1-1"/>
    <s v="000203248"/>
    <n v="2"/>
    <n v="0"/>
    <s v="HOLD"/>
    <s v="9186/2019/ĐKSP"/>
    <s v="0000033252"/>
    <d v="2025-12-31T00:00:00"/>
    <s v="40153"/>
    <n v="0.3"/>
    <n v="1680"/>
    <n v="0.6"/>
    <x v="12"/>
    <x v="0"/>
  </r>
  <r>
    <s v="M00106"/>
    <s v="SC6100019"/>
    <s v="WELLBABY MULTI-VITAMIN LIQUID (CHAI 150ML)"/>
    <s v="Q27-01-4-2"/>
    <s v="000203239"/>
    <n v="1"/>
    <n v="0"/>
    <s v="HOLD"/>
    <s v="10643/2019/ĐKSP"/>
    <s v="0000033252"/>
    <d v="2026-03-31T00:00:00"/>
    <s v="40505"/>
    <n v="0.22600000000000001"/>
    <n v="1680"/>
    <n v="0.22600000000000001"/>
    <x v="153"/>
    <x v="0"/>
  </r>
  <r>
    <s v="M00106"/>
    <s v="SC6100019"/>
    <s v="WELLBABY MULTI-VITAMIN LIQUID (CHAI 150ML)"/>
    <s v="Q27-03-4-2"/>
    <s v="000203238"/>
    <n v="2"/>
    <n v="0"/>
    <s v="HOLD"/>
    <s v="10643/2019/ĐKSP"/>
    <s v="0000033252"/>
    <d v="2026-04-30T00:00:00"/>
    <s v="40812"/>
    <n v="0.22600000000000001"/>
    <n v="1680"/>
    <n v="0.45200000000000001"/>
    <x v="12"/>
    <x v="4"/>
  </r>
  <r>
    <s v="M00106"/>
    <s v="SC6100017"/>
    <s v="WELLKID MULTI-VITAMIN LIQUID (CHAI/150ML)"/>
    <s v="Q27-01-1-1"/>
    <s v="000203245"/>
    <n v="6"/>
    <n v="0"/>
    <s v="HOLD"/>
    <s v="10642/2019/ĐKSP"/>
    <s v="0000033252"/>
    <d v="2025-11-30T00:00:00"/>
    <s v="32022"/>
    <n v="0.312"/>
    <n v="1680"/>
    <n v="1.8719999999999999"/>
    <x v="11"/>
    <x v="0"/>
  </r>
  <r>
    <s v="M00184"/>
    <s v="AZ1112001"/>
    <s v="CALQUENCE PA CAP 100MG BL 10X6 EA VN"/>
    <s v="Q26-01-1-1"/>
    <s v="000203229"/>
    <n v="1"/>
    <n v="0"/>
    <s v="HOLD"/>
    <s v="730110017023"/>
    <s v="0000033251"/>
    <d v="2027-06-07T00:00:00"/>
    <s v="ABHH"/>
    <n v="7.8E-2"/>
    <n v="800"/>
    <n v="7.8E-2"/>
    <x v="368"/>
    <x v="2"/>
  </r>
  <r>
    <s v="M00106"/>
    <s v="SC6100002"/>
    <s v="FEROGLOBIN B12 LIQUID 200ML"/>
    <s v="Q27-01-4-2"/>
    <s v="000203236"/>
    <n v="12"/>
    <n v="0"/>
    <s v="HOLD"/>
    <s v="8974/2019/ĐKSP"/>
    <s v="0000033252"/>
    <d v="2026-03-31T00:00:00"/>
    <s v="40622"/>
    <n v="0.3"/>
    <n v="1680"/>
    <n v="3.5999999999999996"/>
    <x v="88"/>
    <x v="0"/>
  </r>
  <r>
    <s v="M00106"/>
    <s v="SC6100002"/>
    <s v="FEROGLOBIN B12 LIQUID 200ML"/>
    <s v="Q27-03-1-2"/>
    <s v="LPN010536"/>
    <n v="5"/>
    <n v="0"/>
    <s v="HOLD"/>
    <s v="8974/2019/ĐKSP"/>
    <s v="0000033286"/>
    <d v="2027-08-31T00:00:00"/>
    <s v="51295"/>
    <n v="0.3"/>
    <n v="1680"/>
    <n v="1.5"/>
    <x v="41"/>
    <x v="4"/>
  </r>
  <r>
    <s v="HOANGDUC"/>
    <s v="HT1100045"/>
    <s v="ABACAVIR TABLETS USP 300MG (HOP/1 LO 60 VIEN)"/>
    <s v="Q26-03-4-1"/>
    <s v="LPN010542"/>
    <n v="22"/>
    <n v="0"/>
    <s v="HOLD"/>
    <s v="890110007300"/>
    <s v="0000033307"/>
    <d v="2028-09-02T00:00:00"/>
    <s v="E254148B"/>
    <n v="0.09"/>
    <n v="3456"/>
    <n v="1.98"/>
    <x v="369"/>
    <x v="1"/>
  </r>
  <r>
    <s v="HOANGDUC"/>
    <s v="HT1100045"/>
    <s v="ABACAVIR TABLETS USP 300MG (HOP/1 LO 60 VIEN)"/>
    <s v="Q26-03-4-1"/>
    <s v="LPN010543"/>
    <n v="16"/>
    <n v="0"/>
    <s v="HOLD"/>
    <s v="890110007300"/>
    <s v="0000033307"/>
    <d v="2028-09-02T00:00:00"/>
    <s v="E254148B"/>
    <n v="0.09"/>
    <n v="3456"/>
    <n v="1.44"/>
    <x v="277"/>
    <x v="1"/>
  </r>
  <r>
    <s v="HOANGDUC"/>
    <s v="MG1100059"/>
    <s v="ALVORI 200MG (HOP/3 VI X 10 VIEN)"/>
    <s v="Q26-03-4-1"/>
    <s v="000203579"/>
    <n v="1"/>
    <n v="0"/>
    <s v="HOLD"/>
    <s v="520110434523"/>
    <s v="50-16104"/>
    <d v="2027-03-31T00:00:00"/>
    <s v="1405498"/>
    <n v="3.7999999999999999E-2"/>
    <n v="2304"/>
    <n v="3.7999999999999999E-2"/>
    <x v="354"/>
    <x v="1"/>
  </r>
  <r>
    <s v="HOANGDUC"/>
    <s v="TT1300007"/>
    <s v="NHAN PHU - FENOSUP LIDOSE 160 MG"/>
    <s v="QM4-01-1-1"/>
    <s v="000203863"/>
    <n v="2361"/>
    <n v="0"/>
    <s v="HOLD"/>
    <s v="NOVISA"/>
    <s v=" "/>
    <d v="2027-11-21T00:00:00"/>
    <s v="25G02"/>
    <n v="0"/>
    <n v="0"/>
    <n v="0"/>
    <x v="16"/>
    <x v="3"/>
  </r>
  <r>
    <s v="HOANGDUC"/>
    <s v="TT1300007"/>
    <s v="NHAN PHU - FENOSUP LIDOSE 160 MG"/>
    <s v="QM4-01-1-1"/>
    <s v="000203864"/>
    <n v="2238"/>
    <n v="0"/>
    <s v="HOLD"/>
    <s v="NOVISA"/>
    <s v=" "/>
    <d v="2027-11-21T00:00:00"/>
    <s v="25G07"/>
    <n v="0"/>
    <n v="0"/>
    <n v="0"/>
    <x v="16"/>
    <x v="3"/>
  </r>
  <r>
    <s v="HOANGDUC"/>
    <s v="HY1100002"/>
    <s v="FENOSUP LIDOSE 160 MG(H/30VIEN)"/>
    <s v="Q26-01-1-1"/>
    <s v="LPN010549"/>
    <n v="1"/>
    <n v="0"/>
    <s v="HOLD"/>
    <s v="540110076523"/>
    <s v="0000033384"/>
    <d v="2028-07-02T00:00:00"/>
    <s v="25G02"/>
    <n v="3.4000000000000002E-2"/>
    <n v="4620"/>
    <n v="3.4000000000000002E-2"/>
    <x v="370"/>
    <x v="2"/>
  </r>
  <r>
    <s v="M00106"/>
    <s v="SC6100002"/>
    <s v="FEROGLOBIN B12 LIQUID 200ML"/>
    <s v="Q27-03-1-2"/>
    <s v="LPN010564"/>
    <n v="3"/>
    <n v="0"/>
    <s v="HOLD"/>
    <s v="8974/2019/ĐKSP"/>
    <s v="0000033370"/>
    <d v="2027-07-31T00:00:00"/>
    <s v="51023"/>
    <n v="0.3"/>
    <n v="1680"/>
    <n v="0.89999999999999991"/>
    <x v="55"/>
    <x v="4"/>
  </r>
  <r>
    <s v="M00106"/>
    <s v="SC6100002"/>
    <s v="FEROGLOBIN B12 LIQUID 200ML"/>
    <s v="Q27-03-1-2"/>
    <s v="LPN010567"/>
    <n v="3"/>
    <n v="0"/>
    <s v="HOLD"/>
    <s v="8974/2019/ĐKSP"/>
    <s v="0000033370"/>
    <d v="2027-07-31T00:00:00"/>
    <s v="51023"/>
    <n v="0.3"/>
    <n v="1680"/>
    <n v="0.89999999999999991"/>
    <x v="55"/>
    <x v="4"/>
  </r>
  <r>
    <s v="M00106"/>
    <s v="SC6100002"/>
    <s v="FEROGLOBIN B12 LIQUID 200ML"/>
    <s v="Q27-03-1-2"/>
    <s v="LPN010574"/>
    <n v="4"/>
    <n v="0"/>
    <s v="HOLD"/>
    <s v="8974/2019/ĐKSP"/>
    <s v="0000033370"/>
    <d v="2027-07-31T00:00:00"/>
    <s v="51023"/>
    <n v="0.3"/>
    <n v="1680"/>
    <n v="1.2"/>
    <x v="14"/>
    <x v="4"/>
  </r>
  <r>
    <s v="M00106"/>
    <s v="SC6100002"/>
    <s v="FEROGLOBIN B12 LIQUID 200ML"/>
    <s v="Q27-03-6-2"/>
    <s v="LPN010747"/>
    <n v="1"/>
    <n v="0"/>
    <s v="HOLD"/>
    <s v="8974/2019/ĐKSP"/>
    <s v="0000033370"/>
    <d v="2027-07-31T00:00:00"/>
    <s v="51023"/>
    <n v="0.3"/>
    <n v="1680"/>
    <n v="0.3"/>
    <x v="153"/>
    <x v="4"/>
  </r>
  <r>
    <s v="M00106"/>
    <s v="SC6100002"/>
    <s v="FEROGLOBIN B12 LIQUID 200ML"/>
    <s v="Q27-03-1-1"/>
    <s v="LPN010854"/>
    <n v="34"/>
    <n v="0"/>
    <s v="HOLD"/>
    <s v="8974/2019/ĐKSP"/>
    <s v="0000033370"/>
    <d v="2027-07-31T00:00:00"/>
    <s v="51043"/>
    <n v="0.3"/>
    <n v="1680"/>
    <n v="10.199999999999999"/>
    <x v="286"/>
    <x v="4"/>
  </r>
  <r>
    <s v="M00106"/>
    <s v="SC6100002"/>
    <s v="FEROGLOBIN B12 LIQUID 200ML"/>
    <s v="Q27-03-1-2"/>
    <s v="LPN010551"/>
    <n v="15"/>
    <n v="0"/>
    <s v="HOLD"/>
    <s v="8974/2019/ĐKSP"/>
    <s v="0000033370"/>
    <d v="2027-07-31T00:00:00"/>
    <s v="51024"/>
    <n v="0.3"/>
    <n v="1680"/>
    <n v="4.5"/>
    <x v="100"/>
    <x v="4"/>
  </r>
  <r>
    <s v="M00106"/>
    <s v="SC6100002"/>
    <s v="FEROGLOBIN B12 LIQUID 200ML"/>
    <s v="Q27-03-1-2"/>
    <s v="LPN010558"/>
    <n v="6"/>
    <n v="0"/>
    <s v="HOLD"/>
    <s v="8974/2019/ĐKSP"/>
    <s v="0000033370"/>
    <d v="2027-07-31T00:00:00"/>
    <s v="51024"/>
    <n v="0.3"/>
    <n v="1680"/>
    <n v="1.7999999999999998"/>
    <x v="11"/>
    <x v="4"/>
  </r>
  <r>
    <s v="M00106"/>
    <s v="SC6100002"/>
    <s v="FEROGLOBIN B12 LIQUID 200ML"/>
    <s v="Q27-03-1-2"/>
    <s v="LPN010565"/>
    <n v="27"/>
    <n v="0"/>
    <s v="HOLD"/>
    <s v="8974/2019/ĐKSP"/>
    <s v="0000033370"/>
    <d v="2027-07-31T00:00:00"/>
    <s v="51024"/>
    <n v="0.3"/>
    <n v="1680"/>
    <n v="8.1"/>
    <x v="371"/>
    <x v="4"/>
  </r>
  <r>
    <s v="M00106"/>
    <s v="SC6100002"/>
    <s v="FEROGLOBIN B12 LIQUID 200ML"/>
    <s v="Q27-03-1-2"/>
    <s v="LPN010568"/>
    <n v="1"/>
    <n v="0"/>
    <s v="HOLD"/>
    <s v="8974/2019/ĐKSP"/>
    <s v="0000033370"/>
    <d v="2027-07-31T00:00:00"/>
    <s v="51024"/>
    <n v="0.3"/>
    <n v="1680"/>
    <n v="0.3"/>
    <x v="153"/>
    <x v="4"/>
  </r>
  <r>
    <s v="HOANGDUC"/>
    <s v="MG1100048"/>
    <s v="PERGLIM M-2 (HOP/5 VI X 20 VIEN)"/>
    <s v="Q26-01-1-1"/>
    <s v="000204101"/>
    <n v="2"/>
    <n v="0"/>
    <s v="HOLD"/>
    <s v="890110035223"/>
    <s v="0000033288"/>
    <d v="2027-08-06T00:00:00"/>
    <s v="A08922521"/>
    <n v="0.14399999999999999"/>
    <n v="1728"/>
    <n v="0.28799999999999998"/>
    <x v="210"/>
    <x v="2"/>
  </r>
  <r>
    <s v="HOANGDUC"/>
    <s v="MG1100036"/>
    <s v="BAROLE 20 (HOP/10 VI X 10 VIEN)"/>
    <s v="Q26-01-1-1"/>
    <s v="000204096"/>
    <n v="1"/>
    <n v="0"/>
    <s v="HOLD"/>
    <s v="890110022524"/>
    <s v="0000033288"/>
    <d v="2027-06-23T00:00:00"/>
    <s v="A08872505"/>
    <n v="6.6000000000000003E-2"/>
    <n v="1344"/>
    <n v="6.6000000000000003E-2"/>
    <x v="52"/>
    <x v="2"/>
  </r>
  <r>
    <s v="HOANGDUC"/>
    <s v="MG1100048"/>
    <s v="PERGLIM M-2 (HOP/5 VI X 20 VIEN)"/>
    <s v="Q26-01-1-1"/>
    <s v="000204100"/>
    <n v="1"/>
    <n v="0"/>
    <s v="HOLD"/>
    <s v="890110035223"/>
    <s v="0000033288"/>
    <d v="2027-08-03T00:00:00"/>
    <s v="A08922520"/>
    <n v="0.14399999999999999"/>
    <n v="1728"/>
    <n v="0.14399999999999999"/>
    <x v="213"/>
    <x v="2"/>
  </r>
  <r>
    <s v="HOANGDUC"/>
    <s v="MG1100048"/>
    <s v="PERGLIM M-2 (HOP/5 VI X 20 VIEN)"/>
    <s v="Q26-01-1-1"/>
    <s v="000204099"/>
    <n v="4"/>
    <n v="0"/>
    <s v="HOLD"/>
    <s v="890110035223"/>
    <s v="0000033288"/>
    <d v="2027-06-26T00:00:00"/>
    <s v="A08922519"/>
    <n v="0.14399999999999999"/>
    <n v="1728"/>
    <n v="0.57599999999999996"/>
    <x v="358"/>
    <x v="2"/>
  </r>
  <r>
    <s v="HOANGDUC"/>
    <s v="MG1100047"/>
    <s v="PERGLIM M-1 (HOP/5 VI X 20 VIEN)"/>
    <s v="Q26-01-1-1"/>
    <s v="000204097"/>
    <n v="13"/>
    <n v="0"/>
    <s v="HOLD"/>
    <s v="890110035323"/>
    <s v="0000033288"/>
    <d v="2027-08-17T00:00:00"/>
    <s v="A08912509"/>
    <n v="0.14399999999999999"/>
    <n v="1728"/>
    <n v="1.8719999999999999"/>
    <x v="372"/>
    <x v="2"/>
  </r>
  <r>
    <s v="HOANGDUC"/>
    <s v="MG1100047"/>
    <s v="PERGLIM M-1 (HOP/5 VI X 20 VIEN)"/>
    <s v="Q26-01-1-1"/>
    <s v="000204098"/>
    <n v="9"/>
    <n v="0"/>
    <s v="HOLD"/>
    <s v="890110035323"/>
    <s v="0000033288"/>
    <d v="2027-09-09T00:00:00"/>
    <s v="A08912510"/>
    <n v="0.14399999999999999"/>
    <n v="1728"/>
    <n v="1.2959999999999998"/>
    <x v="36"/>
    <x v="2"/>
  </r>
  <r>
    <s v="HD"/>
    <s v="HT1100044"/>
    <s v="RITOCOM (HOP/1 LO 120 VIEN)"/>
    <s v="Q26-03-4-1"/>
    <s v="LPN010554"/>
    <n v="2"/>
    <n v="0"/>
    <s v="HOLD"/>
    <s v="890110353124"/>
    <s v="0000033375"/>
    <d v="2027-09-04T00:00:00"/>
    <s v="E254161C"/>
    <n v="0.23599999999999999"/>
    <n v="1344"/>
    <n v="0.47199999999999998"/>
    <x v="42"/>
    <x v="1"/>
  </r>
  <r>
    <s v="HD"/>
    <s v="HT1100044"/>
    <s v="RITOCOM (HOP/1 LO 120 VIEN)"/>
    <s v="Q26-03-4-1"/>
    <s v="LPN010553"/>
    <n v="5"/>
    <n v="0"/>
    <s v="HOLD"/>
    <s v="890110353124"/>
    <s v="0000033375"/>
    <d v="2027-09-04T00:00:00"/>
    <s v="E254161B"/>
    <n v="0.23599999999999999"/>
    <n v="1344"/>
    <n v="1.18"/>
    <x v="50"/>
    <x v="1"/>
  </r>
  <r>
    <s v="HD"/>
    <s v="HT1100044"/>
    <s v="RITOCOM (HOP/1 LO 120 VIEN)"/>
    <s v="Q26-03-4-1"/>
    <s v="LPN010584"/>
    <n v="1"/>
    <n v="0"/>
    <s v="HOLD"/>
    <s v="890110353124"/>
    <s v="0000033375"/>
    <d v="2027-09-04T00:00:00"/>
    <s v="E254161B"/>
    <n v="0.23599999999999999"/>
    <n v="1344"/>
    <n v="0.23599999999999999"/>
    <x v="52"/>
    <x v="1"/>
  </r>
  <r>
    <s v="HOANGDUC"/>
    <s v="RD1100016"/>
    <s v="STAMLO-T (HOP/ 28 VIEN)"/>
    <s v="Q26-01-1-1"/>
    <s v="000204189"/>
    <n v="1"/>
    <n v="0"/>
    <s v="HOLD"/>
    <s v="890110125423"/>
    <s v="51-414684"/>
    <d v="2027-02-28T00:00:00"/>
    <s v="V2500577"/>
    <n v="4.1000000000000002E-2"/>
    <n v="2592"/>
    <n v="4.1000000000000002E-2"/>
    <x v="181"/>
    <x v="2"/>
  </r>
  <r>
    <s v="HOANGDUC"/>
    <s v="DE6100005"/>
    <s v="THUC PHAM DINH DUONG Y HOC FORTIMEL COMPACT PROTEIN 2.4 kcal"/>
    <s v="Q27-01-1-1"/>
    <s v="000204217"/>
    <n v="24"/>
    <n v="0"/>
    <s v="HOLD"/>
    <s v="1080/2024/ĐKSP"/>
    <s v="54-17731"/>
    <d v="2025-11-12T00:00:00"/>
    <s v="111449713"/>
    <n v="0.159"/>
    <n v="2496"/>
    <n v="3.8159999999999998"/>
    <x v="373"/>
    <x v="0"/>
  </r>
  <r>
    <s v="HOANGDUC"/>
    <s v="JJENC403012"/>
    <s v="ENTERPRISE2 4MMX30MM"/>
    <s v="Q27-01-1-1"/>
    <s v="LPN010717"/>
    <n v="1"/>
    <n v="0"/>
    <s v="HOLD"/>
    <s v="NOVISA"/>
    <s v="57-32241"/>
    <d v="2025-12-28T00:00:00"/>
    <s v="8028682"/>
    <n v="0.17399999999999999"/>
    <n v="0"/>
    <n v="0.17399999999999999"/>
    <x v="16"/>
    <x v="0"/>
  </r>
  <r>
    <s v="HOANGDUC"/>
    <s v="HT1100033"/>
    <s v="DOLUTEGRAVIR, LAMIVUDINE AND TENOFOVIR DISOPROXIL FUMARATE T"/>
    <s v="Q26-03-4-1"/>
    <s v="LPN010573"/>
    <n v="22"/>
    <n v="0"/>
    <s v="HOLD"/>
    <s v="890110445523"/>
    <s v="0000033435"/>
    <d v="2027-09-28T00:00:00"/>
    <s v="E254605"/>
    <n v="9.4E-2"/>
    <n v="2475"/>
    <n v="2.0680000000000001"/>
    <x v="189"/>
    <x v="1"/>
  </r>
  <r>
    <s v="M00184"/>
    <s v="AZ1112005"/>
    <s v="TAGRISSO PA TAB 80MG BL 3X10 EA VN"/>
    <s v="Q26-01-1-1"/>
    <s v="000204687"/>
    <n v="1"/>
    <n v="0"/>
    <s v="HOLD"/>
    <s v="VN3-36-18"/>
    <s v="0000033477"/>
    <d v="2027-07-01T00:00:00"/>
    <s v="FLWX"/>
    <n v="0.05"/>
    <n v="1500"/>
    <n v="0.05"/>
    <x v="374"/>
    <x v="2"/>
  </r>
  <r>
    <s v="M00184"/>
    <s v="AZ1112005"/>
    <s v="TAGRISSO PA TAB 80MG BL 3X10 EA VN"/>
    <s v="Q26-01-1-1"/>
    <s v="000204688"/>
    <n v="1"/>
    <n v="0"/>
    <s v="HOLD"/>
    <s v="VN3-36-18"/>
    <s v="0000033477"/>
    <d v="2028-01-22T00:00:00"/>
    <s v="FMDF"/>
    <n v="0.05"/>
    <n v="1500"/>
    <n v="0.05"/>
    <x v="374"/>
    <x v="2"/>
  </r>
  <r>
    <s v="M00184"/>
    <s v="AZ1112003"/>
    <s v="LYNPARZA PA TAB 150MG BL 7X8 EA VN"/>
    <s v="Q26-01-1-1"/>
    <s v="000204710"/>
    <n v="2"/>
    <n v="0"/>
    <s v="HOLD"/>
    <s v="001110403323"/>
    <s v="0000033479"/>
    <d v="2027-06-06T00:00:00"/>
    <s v="SN711"/>
    <n v="8.3000000000000004E-2"/>
    <n v="1200"/>
    <n v="0.16600000000000001"/>
    <x v="83"/>
    <x v="2"/>
  </r>
  <r>
    <s v="HOANGDUC"/>
    <s v="HT1100033"/>
    <s v="DOLUTEGRAVIR, LAMIVUDINE AND TENOFOVIR DISOPROXIL FUMARATE T"/>
    <s v="Q26-03-4-1"/>
    <s v="LPN010575"/>
    <n v="7"/>
    <n v="0"/>
    <s v="HOLD"/>
    <s v="890110445523"/>
    <s v="0000033480"/>
    <d v="2027-09-30T00:00:00"/>
    <s v="E254607"/>
    <n v="9.4E-2"/>
    <n v="2475"/>
    <n v="0.65800000000000003"/>
    <x v="171"/>
    <x v="1"/>
  </r>
  <r>
    <s v="HOANGDUC"/>
    <s v="AZ1200002"/>
    <s v="ZOLADEX INJ 3.6MG SS 1X1 EA VN"/>
    <s v="Q26-03-4-1"/>
    <s v="000204953"/>
    <n v="1"/>
    <n v="0"/>
    <s v="HOLD"/>
    <s v="500114177523"/>
    <s v="50-16232"/>
    <d v="2026-10-19T00:00:00"/>
    <s v="ST259"/>
    <n v="4.1000000000000002E-2"/>
    <n v="1280"/>
    <n v="4.1000000000000002E-2"/>
    <x v="115"/>
    <x v="1"/>
  </r>
  <r>
    <s v="HOANGDUC"/>
    <s v="TT1300005"/>
    <s v="NHAN PHU CUROSURF"/>
    <s v="QM4-01-1-1"/>
    <s v="000205002"/>
    <n v="599"/>
    <n v="0"/>
    <s v="HOLD"/>
    <s v="NOVISA"/>
    <s v=" "/>
    <d v="2027-11-28T00:00:00"/>
    <s v="1224270"/>
    <n v="0"/>
    <n v="0"/>
    <n v="0"/>
    <x v="16"/>
    <x v="3"/>
  </r>
  <r>
    <s v="HD"/>
    <s v="HT1100033"/>
    <s v="DOLUTEGRAVIR, LAMIVUDINE AND TENOFOVIR DISOPROXIL FUMARATE T"/>
    <s v="Q26-03-4-1"/>
    <s v="LPN010590"/>
    <n v="1"/>
    <n v="0"/>
    <s v="HOLD"/>
    <s v="890110445523"/>
    <s v="0000033490"/>
    <d v="2027-08-24T00:00:00"/>
    <s v="E253992"/>
    <n v="9.4E-2"/>
    <n v="2475"/>
    <n v="9.4E-2"/>
    <x v="130"/>
    <x v="1"/>
  </r>
  <r>
    <s v="M00106"/>
    <s v="SC6100011"/>
    <s v="PERFECTIL (H/30 VIEN)"/>
    <s v="Q27-03-1-1"/>
    <s v="LPN010658"/>
    <n v="8"/>
    <n v="0"/>
    <s v="HOLD"/>
    <s v="9185/2019/ĐKSP"/>
    <s v="0000033491"/>
    <d v="2028-02-29T00:00:00"/>
    <s v="PFT2504A"/>
    <n v="5.8000000000000003E-2"/>
    <n v="2880"/>
    <n v="0.46400000000000002"/>
    <x v="239"/>
    <x v="4"/>
  </r>
  <r>
    <s v="M00106"/>
    <s v="SC6100001"/>
    <s v="OSTEOCARE LIQUID 200ML"/>
    <s v="Q27-03-1-1"/>
    <s v="LPN010623"/>
    <n v="3"/>
    <n v="0"/>
    <s v="HOLD"/>
    <s v="9186/2019/ĐKSP"/>
    <s v="0000033491"/>
    <d v="2027-04-30T00:00:00"/>
    <s v="50691"/>
    <n v="0.3"/>
    <n v="1680"/>
    <n v="0.89999999999999991"/>
    <x v="55"/>
    <x v="4"/>
  </r>
  <r>
    <s v="M00106"/>
    <s v="SC6100003"/>
    <s v="FEROGLOBIN B12 CAPSULES (H/30 VIEN)"/>
    <s v="Q27-03-1-2"/>
    <s v="LPN010804"/>
    <n v="1"/>
    <n v="0"/>
    <s v="HOLD"/>
    <s v="9183/2019/ĐKSP"/>
    <s v="0000033491"/>
    <d v="2028-02-29T00:00:00"/>
    <s v="FW2511PA"/>
    <n v="0.04"/>
    <n v="2688"/>
    <n v="0.04"/>
    <x v="51"/>
    <x v="4"/>
  </r>
  <r>
    <s v="M00106"/>
    <s v="SC6100003"/>
    <s v="FEROGLOBIN B12 CAPSULES (H/30 VIEN)"/>
    <s v="Q27-03-1-2"/>
    <s v="LPN010815"/>
    <n v="1"/>
    <n v="0"/>
    <s v="HOLD"/>
    <s v="9183/2019/ĐKSP"/>
    <s v="0000033491"/>
    <d v="2028-02-29T00:00:00"/>
    <s v="FW2511PA"/>
    <n v="0.04"/>
    <n v="2688"/>
    <n v="0.04"/>
    <x v="51"/>
    <x v="4"/>
  </r>
  <r>
    <s v="M00106"/>
    <s v="SC6100003"/>
    <s v="FEROGLOBIN B12 CAPSULES (H/30 VIEN)"/>
    <s v="Q27-03-3-2"/>
    <s v="LPN010755"/>
    <n v="4"/>
    <n v="0"/>
    <s v="HOLD"/>
    <s v="9183/2019/ĐKSP"/>
    <s v="0000033491"/>
    <d v="2028-02-29T00:00:00"/>
    <s v="FW2511PA"/>
    <n v="0.04"/>
    <n v="2688"/>
    <n v="0.16"/>
    <x v="42"/>
    <x v="4"/>
  </r>
  <r>
    <s v="M00106"/>
    <s v="SC6100003"/>
    <s v="FEROGLOBIN B12 CAPSULES (H/30 VIEN)"/>
    <s v="Q27-03-3-2"/>
    <s v="LPN010781"/>
    <n v="2"/>
    <n v="0"/>
    <s v="HOLD"/>
    <s v="9183/2019/ĐKSP"/>
    <s v="0000033491"/>
    <d v="2028-02-29T00:00:00"/>
    <s v="FW2511PA"/>
    <n v="0.04"/>
    <n v="2688"/>
    <n v="0.08"/>
    <x v="52"/>
    <x v="4"/>
  </r>
  <r>
    <s v="M00106"/>
    <s v="SC6100003"/>
    <s v="FEROGLOBIN B12 CAPSULES (H/30 VIEN)"/>
    <s v="Q27-03-4-2"/>
    <s v="LPN010722"/>
    <n v="1"/>
    <n v="0"/>
    <s v="HOLD"/>
    <s v="9183/2019/ĐKSP"/>
    <s v="0000033491"/>
    <d v="2028-02-29T00:00:00"/>
    <s v="FW2506PA"/>
    <n v="0.04"/>
    <n v="2688"/>
    <n v="0.04"/>
    <x v="51"/>
    <x v="4"/>
  </r>
  <r>
    <s v="M00106"/>
    <s v="SC6100003"/>
    <s v="FEROGLOBIN B12 CAPSULES (H/30 VIEN)"/>
    <s v="Q27-03-6-2"/>
    <s v="LPN010746"/>
    <n v="2"/>
    <n v="0"/>
    <s v="HOLD"/>
    <s v="9183/2019/ĐKSP"/>
    <s v="0000033491"/>
    <d v="2028-02-29T00:00:00"/>
    <s v="FW2506PA"/>
    <n v="0.04"/>
    <n v="2688"/>
    <n v="0.08"/>
    <x v="52"/>
    <x v="4"/>
  </r>
  <r>
    <s v="HOANGDUC"/>
    <s v="AZ1112007"/>
    <s v="NEXIUM MUPS TAB 20MG BL 2X7 EA VN"/>
    <s v="Q26-01-1-1"/>
    <s v="LPN010994"/>
    <n v="39"/>
    <n v="0"/>
    <s v="HOLD"/>
    <s v="VN-19783-16"/>
    <s v="54-17879"/>
    <d v="2026-02-06T00:00:00"/>
    <s v="ZEXB"/>
    <n v="2.5000000000000001E-2"/>
    <n v="3500"/>
    <n v="0.97500000000000009"/>
    <x v="375"/>
    <x v="2"/>
  </r>
  <r>
    <s v="HOANGDUC"/>
    <s v="NV1100075"/>
    <s v="ESTOR TAB 40MG 4x7 .S"/>
    <s v="Q26-01-1-1"/>
    <s v="000205334"/>
    <n v="4"/>
    <n v="0"/>
    <s v="HOLD"/>
    <s v="VN-18081-14"/>
    <s v="54-17908"/>
    <d v="2026-12-31T00:00:00"/>
    <s v="PR9895"/>
    <n v="4.8000000000000001E-2"/>
    <n v="2500"/>
    <n v="0.192"/>
    <x v="376"/>
    <x v="2"/>
  </r>
  <r>
    <s v="HOANGDUC"/>
    <s v="HY1300010"/>
    <s v="LOTEMAX 5ML (H/1)"/>
    <s v="Q26-01-1-1"/>
    <s v="000205333"/>
    <n v="30"/>
    <n v="0"/>
    <s v="HOLD"/>
    <s v="VN-18326-14"/>
    <s v="54-17908"/>
    <d v="2027-07-31T00:00:00"/>
    <s v="501541"/>
    <n v="1.6E-2"/>
    <n v="5760"/>
    <n v="0.48"/>
    <x v="36"/>
    <x v="2"/>
  </r>
  <r>
    <s v="M00106"/>
    <s v="SC6100019"/>
    <s v="WELLBABY MULTI-VITAMIN LIQUID (CHAI 150ML)"/>
    <s v="Q27-03-4-2"/>
    <s v="000205408"/>
    <n v="50"/>
    <n v="0"/>
    <s v="HOLD"/>
    <s v="10643/2019/ĐKSP"/>
    <s v="0000033538"/>
    <d v="2026-04-30T00:00:00"/>
    <s v="40662"/>
    <n v="0.22600000000000001"/>
    <n v="1680"/>
    <n v="11.3"/>
    <x v="285"/>
    <x v="4"/>
  </r>
  <r>
    <s v="HOANGDUC"/>
    <s v="RD1100011"/>
    <s v="RIVAXORED 10MG (HOP/1VI X 10VIEN)"/>
    <s v="Q27-01-1-2"/>
    <s v="LPN011294"/>
    <n v="1"/>
    <n v="0"/>
    <s v="HOLD"/>
    <s v="VN-22641-20"/>
    <s v="0000033541"/>
    <d v="2028-07-31T00:00:00"/>
    <s v="B2503290"/>
    <n v="0.01"/>
    <n v="7500"/>
    <n v="0.01"/>
    <x v="377"/>
    <x v="0"/>
  </r>
  <r>
    <s v="HOANGDUC"/>
    <s v="MG1100047"/>
    <s v="PERGLIM M-1 (HOP/5 VI X 20 VIEN)"/>
    <s v="Q26-03-4-1"/>
    <s v="000205776"/>
    <n v="5"/>
    <n v="0"/>
    <s v="HOLD"/>
    <s v="890110035323"/>
    <s v="0000033573"/>
    <d v="2027-09-09T00:00:00"/>
    <s v="A08912510"/>
    <n v="0.14399999999999999"/>
    <n v="1728"/>
    <n v="0.72"/>
    <x v="378"/>
    <x v="1"/>
  </r>
  <r>
    <s v="HOANGDUC"/>
    <s v="MG1100043"/>
    <s v="PANFOR SR-500 (HOP/5 VI X 20 VIEN)"/>
    <s v="Q26-03-4-1"/>
    <s v="000205777"/>
    <n v="3"/>
    <n v="0"/>
    <s v="HOLD"/>
    <s v="890110015924"/>
    <s v="0000033573"/>
    <d v="2028-02-10T00:00:00"/>
    <s v="A08882501"/>
    <n v="0.12"/>
    <n v="1920"/>
    <n v="0.36"/>
    <x v="10"/>
    <x v="1"/>
  </r>
  <r>
    <s v="HOANGDUC"/>
    <s v="TT1300108"/>
    <s v="NHAN PHU - FAIRENCE T-COMPLEX 30G"/>
    <s v="Q27-01-9-1"/>
    <s v="000205954"/>
    <n v="1915"/>
    <n v="0"/>
    <s v="HOLD"/>
    <s v="novisa"/>
    <s v=" "/>
    <d v="2027-12-05T00:00:00"/>
    <s v="_"/>
    <n v="0"/>
    <n v="0"/>
    <n v="0"/>
    <x v="16"/>
    <x v="0"/>
  </r>
  <r>
    <s v="HOANGDUC"/>
    <s v="RD1100004"/>
    <s v="STAMLO 5 (H/2VI X 10VIEN)"/>
    <s v="Q26-01-1-1"/>
    <s v="LPN010698"/>
    <n v="1"/>
    <n v="0"/>
    <s v="HOLD"/>
    <s v="890110994224"/>
    <s v="0000033626"/>
    <d v="2027-09-30T00:00:00"/>
    <s v="B2503423"/>
    <n v="1.9E-2"/>
    <n v="5184"/>
    <n v="1.9E-2"/>
    <x v="379"/>
    <x v="2"/>
  </r>
  <r>
    <s v="HOANGDUC"/>
    <s v="DV1100320"/>
    <s v="JANUS-30 (HOP/8 VIEN) - EU"/>
    <s v="Q26-03-4-1"/>
    <s v="000206015"/>
    <n v="20"/>
    <n v="0"/>
    <s v="HOLD"/>
    <s v="VD-35712-22"/>
    <s v="51-419040"/>
    <d v="2027-03-11T00:00:00"/>
    <s v="240480"/>
    <n v="1.4E-2"/>
    <n v="5760"/>
    <n v="0.28000000000000003"/>
    <x v="251"/>
    <x v="1"/>
  </r>
  <r>
    <s v="HOANGDUC"/>
    <s v="DV1100319"/>
    <s v="JANUS-60 (HOP/8 VIEN) - EU"/>
    <s v="Q26-03-4-1"/>
    <s v="000206016"/>
    <n v="18"/>
    <n v="0"/>
    <s v="HOLD"/>
    <s v="VD-35713-22"/>
    <s v="51-419040"/>
    <d v="2027-02-28T00:00:00"/>
    <s v="240347"/>
    <n v="0.01"/>
    <n v="7200"/>
    <n v="0.18"/>
    <x v="226"/>
    <x v="1"/>
  </r>
  <r>
    <s v="M00106"/>
    <s v="TT1300093"/>
    <s v="NHAN PHU - THUC PHAM BAO VE SUC KHOE WELLKID MULTI-VITAMIN L"/>
    <s v="QM4-01-1-1"/>
    <s v="000206136"/>
    <n v="1651"/>
    <n v="0"/>
    <s v="HOLD"/>
    <s v="NOVISA"/>
    <s v=" "/>
    <d v="2027-12-08T00:00:00"/>
    <s v="_"/>
    <n v="0"/>
    <n v="0"/>
    <n v="0"/>
    <x v="16"/>
    <x v="3"/>
  </r>
  <r>
    <s v="M00106"/>
    <s v="TT1300048"/>
    <s v="NHAN PHU - FEROGLOBIN LIQUID 200ML (UY THAC VE)"/>
    <s v="QM4-01-1-1"/>
    <s v="000206137"/>
    <n v="790"/>
    <n v="0"/>
    <s v="HOLD"/>
    <s v="NOVISA"/>
    <s v=" "/>
    <d v="2027-12-08T00:00:00"/>
    <s v="_"/>
    <n v="0"/>
    <n v="0"/>
    <n v="0"/>
    <x v="16"/>
    <x v="3"/>
  </r>
  <r>
    <s v="M00106"/>
    <s v="SC6100017"/>
    <s v="WELLKID MULTI-VITAMIN LIQUID (CHAI/150ML)"/>
    <s v="Q27-03-1-2"/>
    <s v="LPN010597"/>
    <n v="5"/>
    <n v="0"/>
    <s v="HOLD"/>
    <s v="10642/2019/ĐKSP"/>
    <s v="0000033646"/>
    <d v="2027-07-31T00:00:00"/>
    <s v="51034"/>
    <n v="0.312"/>
    <n v="1680"/>
    <n v="1.56"/>
    <x v="41"/>
    <x v="4"/>
  </r>
  <r>
    <s v="M00106"/>
    <s v="SC6100008"/>
    <s v="MENOPACE (H/30 VIEN)"/>
    <s v="Q27-03-1-2"/>
    <s v="LPN010600"/>
    <n v="3"/>
    <n v="0"/>
    <s v="HOLD"/>
    <s v="9577/2019/ĐKSP"/>
    <s v="0000033646"/>
    <d v="2028-03-31T00:00:00"/>
    <s v="174337"/>
    <n v="5.3999999999999999E-2"/>
    <n v="2880"/>
    <n v="0.16200000000000001"/>
    <x v="91"/>
    <x v="4"/>
  </r>
  <r>
    <s v="M00106"/>
    <s v="SC6100017"/>
    <s v="WELLKID MULTI-VITAMIN LIQUID (CHAI/150ML)"/>
    <s v="Q27-03-1-1"/>
    <s v="LPN010621"/>
    <n v="6"/>
    <n v="0"/>
    <s v="HOLD"/>
    <s v="10642/2019/ĐKSP"/>
    <s v="0000033646"/>
    <d v="2027-08-31T00:00:00"/>
    <s v="51235"/>
    <n v="0.312"/>
    <n v="1680"/>
    <n v="1.8719999999999999"/>
    <x v="11"/>
    <x v="4"/>
  </r>
  <r>
    <s v="M00106"/>
    <s v="SC6100018"/>
    <s v="PREGNACARE BREAST-FEEDING (HOP/56 VIEN NEN, 28 VIEN NANG)"/>
    <s v="Q27-03-1-1"/>
    <s v="LPN010615"/>
    <n v="3"/>
    <n v="0"/>
    <s v="HOLD"/>
    <s v="10645/2019/ĐKSP"/>
    <s v="0000033646"/>
    <d v="2028-05-31T00:00:00"/>
    <s v="PB2529CP"/>
    <n v="0.158"/>
    <n v="1152"/>
    <n v="0.47399999999999998"/>
    <x v="44"/>
    <x v="4"/>
  </r>
  <r>
    <s v="M00106"/>
    <s v="SC6100018"/>
    <s v="PREGNACARE BREAST-FEEDING (HOP/56 VIEN NEN, 28 VIEN NANG)"/>
    <s v="Q27-03-1-1"/>
    <s v="LPN010632"/>
    <n v="7"/>
    <n v="0"/>
    <s v="HOLD"/>
    <s v="10645/2019/ĐKSP"/>
    <s v="0000033646"/>
    <d v="2028-05-31T00:00:00"/>
    <s v="PB2529CP"/>
    <n v="0.158"/>
    <n v="1152"/>
    <n v="1.1060000000000001"/>
    <x v="261"/>
    <x v="4"/>
  </r>
  <r>
    <s v="M00106"/>
    <s v="SC6100018"/>
    <s v="PREGNACARE BREAST-FEEDING (HOP/56 VIEN NEN, 28 VIEN NANG)"/>
    <s v="Q27-03-1-1"/>
    <s v="LPN010643"/>
    <n v="7"/>
    <n v="0"/>
    <s v="HOLD"/>
    <s v="10645/2019/ĐKSP"/>
    <s v="0000033646"/>
    <d v="2028-05-31T00:00:00"/>
    <s v="PB2529CP"/>
    <n v="0.158"/>
    <n v="1152"/>
    <n v="1.1060000000000001"/>
    <x v="261"/>
    <x v="4"/>
  </r>
  <r>
    <s v="M00106"/>
    <s v="SC6100018"/>
    <s v="PREGNACARE BREAST-FEEDING (HOP/56 VIEN NEN, 28 VIEN NANG)"/>
    <s v="Q27-03-1-1"/>
    <s v="LPN010644"/>
    <n v="10"/>
    <n v="0"/>
    <s v="HOLD"/>
    <s v="10645/2019/ĐKSP"/>
    <s v="0000033646"/>
    <d v="2028-05-31T00:00:00"/>
    <s v="PB2529CP"/>
    <n v="0.158"/>
    <n v="1152"/>
    <n v="1.58"/>
    <x v="112"/>
    <x v="4"/>
  </r>
  <r>
    <s v="M00106"/>
    <s v="SC6100018"/>
    <s v="PREGNACARE BREAST-FEEDING (HOP/56 VIEN NEN, 28 VIEN NANG)"/>
    <s v="Q27-03-1-2"/>
    <s v="LPN010594"/>
    <n v="11"/>
    <n v="0"/>
    <s v="HOLD"/>
    <s v="10645/2019/ĐKSP"/>
    <s v="0000033646"/>
    <d v="2028-05-31T00:00:00"/>
    <s v="PB2529CP"/>
    <n v="0.158"/>
    <n v="1152"/>
    <n v="1.738"/>
    <x v="75"/>
    <x v="4"/>
  </r>
  <r>
    <s v="M00106"/>
    <s v="SC6100017"/>
    <s v="WELLKID MULTI-VITAMIN LIQUID (CHAI/150ML)"/>
    <s v="Q27-03-1-2"/>
    <s v="LPN010601"/>
    <n v="19"/>
    <n v="0"/>
    <s v="HOLD"/>
    <s v="10642/2019/ĐKSP"/>
    <s v="0000033646"/>
    <d v="2027-07-31T00:00:00"/>
    <s v="51108"/>
    <n v="0.312"/>
    <n v="1680"/>
    <n v="5.9279999999999999"/>
    <x v="152"/>
    <x v="4"/>
  </r>
  <r>
    <s v="HOANGDUC"/>
    <s v="MG5300001"/>
    <s v="EASYEF HOP/1 BO 10ML (BOM TIEM CHUA 1ML DUNG DICH THUOC + LO"/>
    <s v="Q26-03-4-1"/>
    <s v="000206174"/>
    <n v="1"/>
    <n v="0"/>
    <s v="HOLD"/>
    <s v="QLSP-860-15"/>
    <s v="51-419308"/>
    <d v="2026-10-17T00:00:00"/>
    <s v="B07850"/>
    <n v="0.20799999999999999"/>
    <n v="240"/>
    <n v="0.20799999999999999"/>
    <x v="13"/>
    <x v="1"/>
  </r>
  <r>
    <s v="HOANGDUC"/>
    <s v="GZ1106002"/>
    <s v="MEBEVER MR 200MG CAPS 10.S"/>
    <s v="Q26-03-4-1"/>
    <s v="000206140"/>
    <n v="6"/>
    <n v="0"/>
    <s v="HOLD"/>
    <s v="VN-10704-10"/>
    <s v="0000033648"/>
    <d v="2028-01-05T00:00:00"/>
    <s v="219C31"/>
    <n v="0.02"/>
    <n v="2560"/>
    <n v="0.12"/>
    <x v="380"/>
    <x v="1"/>
  </r>
  <r>
    <s v="HOANGDUC"/>
    <s v="GZ1106002"/>
    <s v="MEBEVER MR 200MG CAPS 10.S"/>
    <s v="Q26-03-4-1"/>
    <s v="000206141"/>
    <n v="9"/>
    <n v="0"/>
    <s v="HOLD"/>
    <s v="VN-10704-10"/>
    <s v="0000033648"/>
    <d v="2028-04-18T00:00:00"/>
    <s v="218C31"/>
    <n v="0.02"/>
    <n v="2560"/>
    <n v="0.18"/>
    <x v="381"/>
    <x v="1"/>
  </r>
  <r>
    <s v="HOANGDUC"/>
    <s v="GZ1301002"/>
    <s v="SALBOGET PRESSURISED INHALATION 100MCG"/>
    <s v="Q26-03-4-1"/>
    <s v="LPN010605"/>
    <n v="3"/>
    <n v="0"/>
    <s v="HOLD"/>
    <s v="896115206723"/>
    <s v="0000033651"/>
    <d v="2027-06-27T00:00:00"/>
    <s v="585M04"/>
    <n v="4.3999999999999997E-2"/>
    <n v="3600"/>
    <n v="0.13200000000000001"/>
    <x v="84"/>
    <x v="1"/>
  </r>
  <r>
    <s v="M00106"/>
    <s v="SC6100018"/>
    <s v="PREGNACARE BREAST-FEEDING (HOP/56 VIEN NEN, 28 VIEN NANG)"/>
    <s v="Q27-03-3-2"/>
    <s v="LPN010648"/>
    <n v="13"/>
    <n v="0"/>
    <s v="HOLD"/>
    <s v="10645/2019/ĐKSP"/>
    <s v="0000033677"/>
    <d v="2028-06-30T00:00:00"/>
    <s v="PB2528CP"/>
    <n v="0.158"/>
    <n v="1152"/>
    <n v="2.0539999999999998"/>
    <x v="347"/>
    <x v="4"/>
  </r>
  <r>
    <s v="M00106"/>
    <s v="SC6100018"/>
    <s v="PREGNACARE BREAST-FEEDING (HOP/56 VIEN NEN, 28 VIEN NANG)"/>
    <s v="Q27-03-3-2"/>
    <s v="LPN010768"/>
    <n v="12"/>
    <n v="0"/>
    <s v="HOLD"/>
    <s v="10645/2019/ĐKSP"/>
    <s v="0000033677"/>
    <d v="2028-06-30T00:00:00"/>
    <s v="PB2528CP"/>
    <n v="0.158"/>
    <n v="1152"/>
    <n v="1.8959999999999999"/>
    <x v="27"/>
    <x v="4"/>
  </r>
  <r>
    <s v="M00106"/>
    <s v="SC6100018"/>
    <s v="PREGNACARE BREAST-FEEDING (HOP/56 VIEN NEN, 28 VIEN NANG)"/>
    <s v="Q27-03-4-2"/>
    <s v="LPN010721"/>
    <n v="8"/>
    <n v="0"/>
    <s v="HOLD"/>
    <s v="10645/2019/ĐKSP"/>
    <s v="0000033677"/>
    <d v="2028-06-30T00:00:00"/>
    <s v="PB2528CP"/>
    <n v="0.158"/>
    <n v="1152"/>
    <n v="1.264"/>
    <x v="107"/>
    <x v="4"/>
  </r>
  <r>
    <s v="M00106"/>
    <s v="SC6100018"/>
    <s v="PREGNACARE BREAST-FEEDING (HOP/56 VIEN NEN, 28 VIEN NANG)"/>
    <s v="Q27-03-6-2"/>
    <s v="LPN010748"/>
    <n v="31"/>
    <n v="0"/>
    <s v="HOLD"/>
    <s v="10645/2019/ĐKSP"/>
    <s v="0000033677"/>
    <d v="2028-06-30T00:00:00"/>
    <s v="PB2528CP"/>
    <n v="0.158"/>
    <n v="1152"/>
    <n v="4.8979999999999997"/>
    <x v="252"/>
    <x v="4"/>
  </r>
  <r>
    <s v="M00106"/>
    <s v="SC6100025"/>
    <s v="PREGNACARE MAX (H/56 VIEN NEN, 28 VIEN NANG)"/>
    <s v="Q27-03-3-2"/>
    <s v="LPN010767"/>
    <n v="10"/>
    <n v="0"/>
    <s v="HOLD"/>
    <s v="1475/2024/ĐKSP"/>
    <s v="0000033677"/>
    <d v="2028-02-29T00:00:00"/>
    <s v="PM2519CP"/>
    <n v="0.156"/>
    <n v="1152"/>
    <n v="1.56"/>
    <x v="112"/>
    <x v="4"/>
  </r>
  <r>
    <s v="M00106"/>
    <s v="SC6100025"/>
    <s v="PREGNACARE MAX (H/56 VIEN NEN, 28 VIEN NANG)"/>
    <s v="Q27-03-4-2"/>
    <s v="LPN010674"/>
    <n v="2"/>
    <n v="0"/>
    <s v="HOLD"/>
    <s v="1475/2024/ĐKSP"/>
    <s v="0000033677"/>
    <d v="2028-02-29T00:00:00"/>
    <s v="PM2519CP"/>
    <n v="0.156"/>
    <n v="1152"/>
    <n v="0.312"/>
    <x v="70"/>
    <x v="4"/>
  </r>
  <r>
    <s v="M00106"/>
    <s v="SC6100025"/>
    <s v="PREGNACARE MAX (H/56 VIEN NEN, 28 VIEN NANG)"/>
    <s v="Q27-03-4-2"/>
    <s v="LPN010679"/>
    <n v="24"/>
    <n v="0"/>
    <s v="HOLD"/>
    <s v="1475/2024/ĐKSP"/>
    <s v="0000033677"/>
    <d v="2028-02-29T00:00:00"/>
    <s v="PM2519CP"/>
    <n v="0.156"/>
    <n v="1152"/>
    <n v="3.7439999999999998"/>
    <x v="74"/>
    <x v="4"/>
  </r>
  <r>
    <s v="HOANGDUC"/>
    <s v="HY7300009"/>
    <s v="TDF POST PEEL NEUTRALIZER 1L"/>
    <s v="Q27-01-1-1"/>
    <s v="LPN010727"/>
    <n v="2"/>
    <n v="0"/>
    <s v="HOLD"/>
    <s v="239426/24/CBMP-QLD"/>
    <s v="54-18081"/>
    <d v="2025-12-31T00:00:00"/>
    <s v="XN0477"/>
    <n v="1.034"/>
    <n v="288"/>
    <n v="2.0680000000000001"/>
    <x v="107"/>
    <x v="0"/>
  </r>
  <r>
    <s v="HOANGDUC"/>
    <s v="HY1100001"/>
    <s v="DORITHRICIN TAB 20.S"/>
    <s v="Q26-03-4-1"/>
    <s v="000206342"/>
    <n v="3"/>
    <n v="0"/>
    <s v="HOLD"/>
    <s v="400100014224"/>
    <s v="54-18079"/>
    <d v="2027-05-05T00:00:00"/>
    <s v="2564802"/>
    <n v="0.04"/>
    <n v="9000"/>
    <n v="0.12"/>
    <x v="158"/>
    <x v="1"/>
  </r>
  <r>
    <s v="M00184"/>
    <s v="AZ1112003"/>
    <s v="LYNPARZA PA TAB 150MG BL 7X8 EA VN"/>
    <s v="Q26-01-1-1"/>
    <s v="000206343"/>
    <n v="1"/>
    <n v="0"/>
    <s v="HOLD"/>
    <s v="VN3-307-21"/>
    <s v="0000033597"/>
    <d v="2026-11-21T00:00:00"/>
    <s v="SK052"/>
    <n v="8.3000000000000004E-2"/>
    <n v="1200"/>
    <n v="8.3000000000000004E-2"/>
    <x v="84"/>
    <x v="2"/>
  </r>
  <r>
    <s v="M00184"/>
    <s v="AZ1112003"/>
    <s v="LYNPARZA PA TAB 150MG BL 7X8 EA VN"/>
    <s v="Q26-01-1-1"/>
    <s v="000206344"/>
    <n v="1"/>
    <n v="0"/>
    <s v="HOLD"/>
    <s v="001110403323"/>
    <s v="0000033597"/>
    <d v="2027-09-07T00:00:00"/>
    <s v="SN710"/>
    <n v="8.3000000000000004E-2"/>
    <n v="1200"/>
    <n v="8.3000000000000004E-2"/>
    <x v="84"/>
    <x v="2"/>
  </r>
  <r>
    <s v="HD"/>
    <s v="HT1100044"/>
    <s v="RITOCOM (HOP/1 LO 120 VIEN)"/>
    <s v="Q26-03-5-1"/>
    <s v="LPN010691"/>
    <n v="5"/>
    <n v="0"/>
    <s v="HOLD"/>
    <s v="890110353124"/>
    <s v=" "/>
    <d v="2027-09-04T00:00:00"/>
    <s v="E254161C"/>
    <n v="0.23599999999999999"/>
    <n v="1344"/>
    <n v="1.18"/>
    <x v="50"/>
    <x v="1"/>
  </r>
  <r>
    <s v="HOANGDUC"/>
    <s v="WO1100004"/>
    <s v="SILYGAMMA 150MG 100.S"/>
    <s v="Q26-01-1-1"/>
    <s v="LPN010612"/>
    <n v="1"/>
    <n v="0"/>
    <s v="HOLD"/>
    <s v="VN-16542-13"/>
    <s v="0000033690"/>
    <d v="2028-08-31T00:00:00"/>
    <s v="471612"/>
    <n v="0.09"/>
    <n v="2160"/>
    <n v="0.09"/>
    <x v="193"/>
    <x v="2"/>
  </r>
  <r>
    <s v="HOANGDUC"/>
    <s v="MG5300001"/>
    <s v="EASYEF HOP/1 BO 10ML (BOM TIEM CHUA 1ML DUNG DICH THUOC + LO"/>
    <s v="Q26-03-4-1"/>
    <s v="000206850"/>
    <n v="1"/>
    <n v="0"/>
    <s v="HOLD"/>
    <s v="QLSP-860-15"/>
    <s v="51-420340"/>
    <d v="2026-10-31T00:00:00"/>
    <s v="B07946"/>
    <n v="0.20799999999999999"/>
    <n v="240"/>
    <n v="0.20799999999999999"/>
    <x v="13"/>
    <x v="1"/>
  </r>
  <r>
    <s v="HOANGDUC"/>
    <s v="WO1100004"/>
    <s v="SILYGAMMA 150MG 100.S"/>
    <s v="Q26-01-1-1"/>
    <s v="LPN010680"/>
    <n v="1"/>
    <n v="0"/>
    <s v="HOLD"/>
    <s v="VN-16542-13"/>
    <s v="0000033731"/>
    <d v="2028-09-30T00:00:00"/>
    <s v="477851"/>
    <n v="0.09"/>
    <n v="2160"/>
    <n v="0.09"/>
    <x v="193"/>
    <x v="2"/>
  </r>
  <r>
    <s v="HOANGDUC"/>
    <s v="AZ1312001"/>
    <s v="PULMICORT RESPULES 500MCG.2ML 20X2ML VN"/>
    <s v="Q26-03-4-1"/>
    <s v="000207074"/>
    <n v="12"/>
    <n v="0"/>
    <s v="HOLD"/>
    <s v="VN-22715-21"/>
    <s v="0000033737"/>
    <d v="2027-02-26T00:00:00"/>
    <s v="331132"/>
    <n v="0.13700000000000001"/>
    <n v="1200"/>
    <n v="1.6440000000000001"/>
    <x v="382"/>
    <x v="1"/>
  </r>
  <r>
    <s v="HOANGDUC"/>
    <s v="HY1100001"/>
    <s v="DORITHRICIN TAB 20.S"/>
    <s v="Q26-01-1-2"/>
    <s v="000207151"/>
    <n v="76"/>
    <n v="0"/>
    <s v="HOLD"/>
    <s v="VN-20293-17"/>
    <s v="50-16433"/>
    <d v="2026-04-05T00:00:00"/>
    <s v="2452701"/>
    <n v="0.04"/>
    <n v="9000"/>
    <n v="3.04"/>
    <x v="383"/>
    <x v="2"/>
  </r>
  <r>
    <s v="HOANGDUC"/>
    <s v="RD1200014"/>
    <s v="CASPOFUNGIN ACETATE 70MG (H/1 LO)"/>
    <s v="QC1-01-4-1"/>
    <s v="LPN011297"/>
    <n v="1"/>
    <n v="0"/>
    <s v="HOLD"/>
    <s v="VN-22393-19"/>
    <s v="50-16443"/>
    <d v="2026-06-30T00:00:00"/>
    <s v="A1490012"/>
    <n v="0.03"/>
    <n v="1440"/>
    <n v="0.03"/>
    <x v="2"/>
    <x v="6"/>
  </r>
  <r>
    <s v="HOANGDUC"/>
    <s v="TT1300414"/>
    <s v="NHAN PHU - DYNETIC 35"/>
    <s v="Q27-01-9-1"/>
    <s v="000207166"/>
    <n v="1"/>
    <n v="0"/>
    <s v="HOLD"/>
    <s v="NOVISA"/>
    <s v=" "/>
    <d v="2027-12-04T00:00:00"/>
    <s v="_"/>
    <n v="0"/>
    <n v="0"/>
    <n v="0"/>
    <x v="16"/>
    <x v="0"/>
  </r>
  <r>
    <s v="HOANGDUC"/>
    <s v="MY6100001"/>
    <s v="SMEBIOCTA LP299v (10CAPS) VN"/>
    <s v="Q26-01-1-2"/>
    <s v="000207333"/>
    <n v="705"/>
    <n v="0"/>
    <s v="HOLD"/>
    <s v="7777/2022/DKSP"/>
    <s v="54-18194"/>
    <d v="2026-01-11T00:00:00"/>
    <s v="IN23001"/>
    <n v="0.02"/>
    <n v="1650"/>
    <n v="14.1"/>
    <x v="384"/>
    <x v="2"/>
  </r>
  <r>
    <s v="HOANGDUC"/>
    <s v="MG1100065"/>
    <s v="CILZEC 40 (HOP/3VI X 10VIEN)"/>
    <s v="Q26-01-1-1"/>
    <s v="000207323"/>
    <n v="95"/>
    <n v="0"/>
    <s v="HOLD"/>
    <s v="VN-11962-11"/>
    <s v="54-18194"/>
    <d v="2026-01-02T00:00:00"/>
    <s v="BRE01064A"/>
    <n v="2.8000000000000001E-2"/>
    <n v="6160"/>
    <n v="2.66"/>
    <x v="385"/>
    <x v="2"/>
  </r>
  <r>
    <s v="HOANGDUC"/>
    <s v="AZ1100007"/>
    <s v="NOLVADEX-D TAB 20MG BL 3X10 EA VN"/>
    <s v="Q26-03-4-1"/>
    <s v="000207427"/>
    <n v="3"/>
    <n v="0"/>
    <s v="HOLD"/>
    <s v="VN-19007-15"/>
    <s v="0000033798"/>
    <d v="2030-03-17T00:00:00"/>
    <s v="SV977"/>
    <n v="2.9000000000000001E-2"/>
    <n v="2880"/>
    <n v="8.7000000000000008E-2"/>
    <x v="91"/>
    <x v="1"/>
  </r>
  <r>
    <s v="HOANGDUC"/>
    <s v="TT1300040"/>
    <s v="NHAN PHU - ULTRA LIGHT HYDRATOR"/>
    <s v="Q27-01-9-1"/>
    <s v="000207441"/>
    <n v="1449"/>
    <n v="0"/>
    <s v="HOLD"/>
    <s v="novisa"/>
    <s v=" "/>
    <d v="2027-12-16T00:00:00"/>
    <s v="_"/>
    <n v="0"/>
    <n v="0"/>
    <n v="0"/>
    <x v="16"/>
    <x v="0"/>
  </r>
  <r>
    <s v="HOANGDUC"/>
    <s v="TT1300064"/>
    <s v="NHAN PHU - CERADAN SOOTHING GEL 50G"/>
    <s v="QM4-01-1-1"/>
    <s v="000207443"/>
    <n v="2558"/>
    <n v="0"/>
    <s v="HOLD"/>
    <s v="novisa"/>
    <s v=" "/>
    <d v="2027-12-16T00:00:00"/>
    <s v="_"/>
    <n v="0"/>
    <n v="0"/>
    <n v="0"/>
    <x v="16"/>
    <x v="3"/>
  </r>
  <r>
    <s v="HOANGDUC"/>
    <s v="TT1300487"/>
    <s v="NHAN PHU CERADAN MOISTURISING WASH (HOP 1 TUYP 150 ML)"/>
    <s v="QM4-01-1-1"/>
    <s v="000207442"/>
    <n v="3192"/>
    <n v="0"/>
    <s v="HOLD"/>
    <s v="novisa"/>
    <s v=" "/>
    <d v="2027-12-16T00:00:00"/>
    <s v="_"/>
    <n v="0"/>
    <n v="0"/>
    <n v="0"/>
    <x v="16"/>
    <x v="3"/>
  </r>
  <r>
    <s v="HOANGDUC"/>
    <s v="MG1100065"/>
    <s v="CILZEC 40 (HOP/3VI X 10VIEN)"/>
    <s v="Q26-01-1-1"/>
    <s v="LPN010728"/>
    <n v="10"/>
    <n v="0"/>
    <s v="HOLD"/>
    <s v="VN-11962-11"/>
    <s v="54-18218"/>
    <d v="2026-01-02T00:00:00"/>
    <s v="BRE01064A"/>
    <n v="2.8000000000000001E-2"/>
    <n v="6160"/>
    <n v="0.28000000000000003"/>
    <x v="143"/>
    <x v="2"/>
  </r>
  <r>
    <s v="HOANGDUC"/>
    <s v="RD1100004"/>
    <s v="STAMLO 5 (H/2VI X 10VIEN)"/>
    <s v="Q26-03-5-1"/>
    <s v="LPN010756"/>
    <n v="66"/>
    <n v="0"/>
    <s v="HOLD"/>
    <s v="890110994224"/>
    <s v="0000033831"/>
    <d v="2027-09-30T00:00:00"/>
    <s v="B2503424"/>
    <n v="1.9E-2"/>
    <n v="5184"/>
    <n v="1.254"/>
    <x v="386"/>
    <x v="1"/>
  </r>
  <r>
    <s v="HOANGDUC"/>
    <s v="RD1100004"/>
    <s v="STAMLO 5 (H/2VI X 10VIEN)"/>
    <s v="Q26-03-5-1"/>
    <s v="LPN010759"/>
    <n v="46"/>
    <n v="0"/>
    <s v="HOLD"/>
    <s v="890110994224"/>
    <s v="0000033831"/>
    <d v="2027-09-30T00:00:00"/>
    <s v="B2503424"/>
    <n v="1.9E-2"/>
    <n v="5184"/>
    <n v="0.874"/>
    <x v="387"/>
    <x v="1"/>
  </r>
  <r>
    <s v="HOANGDUC"/>
    <s v="HY1100013"/>
    <s v="RUPAFIN (ORAL SOLUTION 120ML)"/>
    <s v="Q26-03-4-1"/>
    <s v="LPN010659"/>
    <n v="3"/>
    <n v="0"/>
    <s v="HOLD"/>
    <s v="840110447523"/>
    <s v="0000033826"/>
    <d v="2028-01-31T00:00:00"/>
    <s v="25510"/>
    <n v="0.19600000000000001"/>
    <n v="1920"/>
    <n v="0.58800000000000008"/>
    <x v="10"/>
    <x v="1"/>
  </r>
  <r>
    <s v="HOANGDUC"/>
    <s v="MY6100001"/>
    <s v="SMEBIOCTA LP299v (10CAPS) VN"/>
    <s v="Q26-01-6-1"/>
    <s v="000175318"/>
    <n v="143"/>
    <n v="0"/>
    <s v="HOLD"/>
    <s v="7777/2022/ĐKSP"/>
    <s v="54-18272"/>
    <d v="2026-01-11T00:00:00"/>
    <s v="IN23001"/>
    <n v="0.02"/>
    <n v="1650"/>
    <n v="2.86"/>
    <x v="388"/>
    <x v="2"/>
  </r>
  <r>
    <s v="HOANGDUC"/>
    <s v="MY6100001"/>
    <s v="SMEBIOCTA LP299v (10CAPS) VN"/>
    <s v="Q26-01-6-2"/>
    <s v="000175317"/>
    <n v="352"/>
    <n v="0"/>
    <s v="HOLD"/>
    <s v="7777/2022/ĐKSP"/>
    <s v="54-18272"/>
    <d v="2026-01-11T00:00:00"/>
    <s v="IN23001"/>
    <n v="0.02"/>
    <n v="1650"/>
    <n v="7.04"/>
    <x v="389"/>
    <x v="2"/>
  </r>
  <r>
    <s v="HOANGDUC"/>
    <s v="AZ1100007"/>
    <s v="NOLVADEX-D TAB 20MG BL 3X10 EA VN"/>
    <s v="Q26-03-4-1"/>
    <s v="000207755"/>
    <n v="7"/>
    <n v="0"/>
    <s v="HOLD"/>
    <s v="VN-19007-15"/>
    <s v="0000033832"/>
    <d v="2030-03-17T00:00:00"/>
    <s v="SV977"/>
    <n v="2.9000000000000001E-2"/>
    <n v="2880"/>
    <n v="0.20300000000000001"/>
    <x v="66"/>
    <x v="1"/>
  </r>
  <r>
    <s v="HOANGDUC"/>
    <s v="NV1100070"/>
    <s v="COFIDEC TAB 20.S"/>
    <s v="Q26-03-4-1"/>
    <s v="000207753"/>
    <n v="1"/>
    <n v="0"/>
    <s v="HOLD"/>
    <s v="VN-16821-13"/>
    <s v="51-422207"/>
    <d v="2026-07-16T00:00:00"/>
    <s v="PD7990"/>
    <n v="0.02"/>
    <n v="3888"/>
    <n v="0.02"/>
    <x v="390"/>
    <x v="1"/>
  </r>
  <r>
    <s v="HOANGDUC"/>
    <s v="MG1100047"/>
    <s v="PERGLIM M-1 (HOP/5 VI X 20 VIEN)"/>
    <s v="Q26-03-4-1"/>
    <s v="000207777"/>
    <n v="3"/>
    <n v="0"/>
    <s v="HOLD"/>
    <s v="890110035323"/>
    <s v="0000033833"/>
    <d v="2027-09-09T00:00:00"/>
    <s v="A08912510"/>
    <n v="0.14399999999999999"/>
    <n v="1728"/>
    <n v="0.43199999999999994"/>
    <x v="70"/>
    <x v="1"/>
  </r>
  <r>
    <s v="HOANGDUC"/>
    <s v="MG1100043"/>
    <s v="PANFOR SR-500 (HOP/5 VI X 20 VIEN)"/>
    <s v="Q26-03-4-1"/>
    <s v="000207776"/>
    <n v="2"/>
    <n v="0"/>
    <s v="HOLD"/>
    <s v="890110015924"/>
    <s v="0000033833"/>
    <d v="2028-02-10T00:00:00"/>
    <s v="A08882501"/>
    <n v="0.12"/>
    <n v="1920"/>
    <n v="0.24"/>
    <x v="91"/>
    <x v="1"/>
  </r>
  <r>
    <s v="HOANGDUC"/>
    <s v="AZ1312001"/>
    <s v="PULMICORT RESPULES 500MCG.2ML 20X2ML VN"/>
    <s v="Q26-03-4-1"/>
    <s v="000208124"/>
    <n v="8"/>
    <n v="0"/>
    <s v="HOLD"/>
    <s v="VN-22715-21"/>
    <s v="0000033867"/>
    <d v="2027-02-26T00:00:00"/>
    <s v="331132"/>
    <n v="0.13700000000000001"/>
    <n v="1200"/>
    <n v="1.0960000000000001"/>
    <x v="391"/>
    <x v="1"/>
  </r>
  <r>
    <s v="M00184"/>
    <s v="BA1313005"/>
    <s v="VO HOP THU HOI TAGRISSO PA TAB 40MG BL 3X10 EA VN"/>
    <s v="Q26-01-1-1"/>
    <s v="000208154"/>
    <n v="17"/>
    <n v="0"/>
    <s v="HOLD"/>
    <s v="NOVISA"/>
    <s v="0000033909"/>
    <d v="2099-12-31T00:00:00"/>
    <s v="_"/>
    <n v="2.4E-2"/>
    <n v="0"/>
    <n v="0.40800000000000003"/>
    <x v="16"/>
    <x v="2"/>
  </r>
  <r>
    <s v="M00184"/>
    <s v="BA1313002"/>
    <s v="VO HOP THU HOI TAGRISSO PA TAB 80MG BL 3X10 EA VN"/>
    <s v="Q26-01-7-1"/>
    <s v="000208155"/>
    <n v="3479"/>
    <n v="0"/>
    <s v="HOLD"/>
    <s v="NOVISA"/>
    <s v="0000033910"/>
    <d v="2099-12-31T00:00:00"/>
    <s v="_"/>
    <n v="2.5999999999999999E-2"/>
    <n v="0"/>
    <n v="90.453999999999994"/>
    <x v="16"/>
    <x v="2"/>
  </r>
  <r>
    <s v="HOANGDUC"/>
    <s v="HY6100005"/>
    <s v="OCUVITE BLUE LIGHT (HOP/ 30 VIEN)"/>
    <s v="Q27-01-1-2"/>
    <s v="000208205"/>
    <n v="358"/>
    <n v="0"/>
    <s v="HOLD"/>
    <s v="8923/2021/ĐKSP"/>
    <s v="54-18318"/>
    <d v="2025-12-31T00:00:00"/>
    <s v="24AAF0260"/>
    <n v="0.04"/>
    <n v="3120"/>
    <n v="14.32"/>
    <x v="392"/>
    <x v="0"/>
  </r>
  <r>
    <s v="HOANGDUC"/>
    <s v="RH1300051"/>
    <s v="THUOC NHO MAT (NEW V-ROHTO) 13ML"/>
    <s v="Q26-03-1-1"/>
    <s v="000208670"/>
    <n v="2"/>
    <n v="0"/>
    <s v="HOLD"/>
    <s v="VD-20092-13"/>
    <s v="51-423485"/>
    <d v="2027-10-01T00:00:00"/>
    <s v="JA02-3"/>
    <n v="0.03"/>
    <n v="6400"/>
    <n v="0.06"/>
    <x v="393"/>
    <x v="1"/>
  </r>
  <r>
    <s v="M00106"/>
    <s v="SC6100019"/>
    <s v="WELLBABY MULTI-VITAMIN LIQUID (CHAI 150ML)"/>
    <s v="Q27-03-6-1"/>
    <s v="000208599"/>
    <n v="55"/>
    <n v="0"/>
    <s v="HOLD"/>
    <s v="10643/2019/ĐKSP"/>
    <s v="0000033944"/>
    <d v="2026-06-30T00:00:00"/>
    <s v="41096"/>
    <n v="0.22600000000000001"/>
    <n v="1680"/>
    <n v="12.43"/>
    <x v="340"/>
    <x v="4"/>
  </r>
  <r>
    <s v="M00106"/>
    <s v="SC6100019"/>
    <s v="WELLBABY MULTI-VITAMIN LIQUID (CHAI 150ML)"/>
    <s v="Q27-03-6-1"/>
    <s v="000208600"/>
    <n v="161"/>
    <n v="0"/>
    <s v="HOLD"/>
    <s v="10643/2019/ĐKSP"/>
    <s v="0000033944"/>
    <d v="2026-06-30T00:00:00"/>
    <s v="41079"/>
    <n v="0.22600000000000001"/>
    <n v="1680"/>
    <n v="36.386000000000003"/>
    <x v="394"/>
    <x v="4"/>
  </r>
  <r>
    <s v="M00106"/>
    <s v="SC6100001"/>
    <s v="OSTEOCARE LIQUID 200ML"/>
    <s v="Q27-03-6-1"/>
    <s v="000208591"/>
    <n v="11"/>
    <n v="0"/>
    <s v="HOLD"/>
    <s v="9186/2019/ĐKSP"/>
    <s v="0000033944"/>
    <d v="2026-12-31T00:00:00"/>
    <s v="50111"/>
    <n v="0.3"/>
    <n v="1680"/>
    <n v="3.3"/>
    <x v="155"/>
    <x v="4"/>
  </r>
  <r>
    <s v="M00106"/>
    <s v="SC6100015"/>
    <s v="PREGNACARE PLUS OMEGA 3 (H/56 VIEN)"/>
    <s v="Q27-03-6-1"/>
    <s v="000208561"/>
    <n v="563"/>
    <n v="0"/>
    <s v="HOLD"/>
    <s v="9184/2019/ĐKSP"/>
    <s v="0000033944"/>
    <d v="2026-05-31T00:00:00"/>
    <s v="PP2359"/>
    <n v="9.2999999999999999E-2"/>
    <n v="1536"/>
    <n v="52.359000000000002"/>
    <x v="395"/>
    <x v="4"/>
  </r>
  <r>
    <s v="M00106"/>
    <s v="SC6100015"/>
    <s v="PREGNACARE PLUS OMEGA 3 (H/56 VIEN)"/>
    <s v="Q27-03-6-1"/>
    <s v="000208564"/>
    <n v="374"/>
    <n v="0"/>
    <s v="HOLD"/>
    <s v="9184/2019/ĐKSP"/>
    <s v="0000033944"/>
    <d v="2026-05-31T00:00:00"/>
    <s v="PP2345"/>
    <n v="9.2999999999999999E-2"/>
    <n v="1536"/>
    <n v="34.781999999999996"/>
    <x v="396"/>
    <x v="4"/>
  </r>
  <r>
    <s v="M00106"/>
    <s v="SC6100019"/>
    <s v="WELLBABY MULTI-VITAMIN LIQUID (CHAI 150ML)"/>
    <s v="Q27-03-6-1"/>
    <s v="000208605"/>
    <n v="6"/>
    <n v="0"/>
    <s v="HOLD"/>
    <s v="10643/2019/ĐKSP"/>
    <s v="0000033944"/>
    <d v="2026-07-31T00:00:00"/>
    <s v="41402"/>
    <n v="0.22600000000000001"/>
    <n v="1680"/>
    <n v="1.3560000000000001"/>
    <x v="11"/>
    <x v="4"/>
  </r>
  <r>
    <s v="M00106"/>
    <s v="SC6100003"/>
    <s v="FEROGLOBIN B12 CAPSULES (H/30 VIEN)"/>
    <s v="Q27-03-6-1"/>
    <s v="000208583"/>
    <n v="2"/>
    <n v="0"/>
    <s v="HOLD"/>
    <s v="9183/2019/ĐKSP"/>
    <s v="0000033944"/>
    <d v="2026-04-30T00:00:00"/>
    <s v="FW2302AA"/>
    <n v="0.04"/>
    <n v="2688"/>
    <n v="0.08"/>
    <x v="52"/>
    <x v="4"/>
  </r>
  <r>
    <s v="M00106"/>
    <s v="SC6100019"/>
    <s v="WELLBABY MULTI-VITAMIN LIQUID (CHAI 150ML)"/>
    <s v="Q27-03-6-1"/>
    <s v="000208597"/>
    <n v="14"/>
    <n v="0"/>
    <s v="HOLD"/>
    <s v="10643/2019/ĐKSP"/>
    <s v="0000033944"/>
    <d v="2026-09-30T00:00:00"/>
    <s v="41630"/>
    <n v="0.22600000000000001"/>
    <n v="1680"/>
    <n v="3.1640000000000001"/>
    <x v="317"/>
    <x v="4"/>
  </r>
  <r>
    <s v="M00106"/>
    <s v="SC6100001"/>
    <s v="OSTEOCARE LIQUID 200ML"/>
    <s v="Q27-03-6-1"/>
    <s v="000208588"/>
    <n v="9"/>
    <n v="0"/>
    <s v="HOLD"/>
    <s v="9186/2019/ĐKSP"/>
    <s v="0000033944"/>
    <d v="2026-07-31T00:00:00"/>
    <s v="41302"/>
    <n v="0.3"/>
    <n v="1680"/>
    <n v="2.6999999999999997"/>
    <x v="173"/>
    <x v="4"/>
  </r>
  <r>
    <s v="M00106"/>
    <s v="SC6100002"/>
    <s v="FEROGLOBIN B12 LIQUID 200ML"/>
    <s v="Q27-03-6-1"/>
    <s v="000208626"/>
    <n v="10"/>
    <n v="0"/>
    <s v="HOLD"/>
    <s v="8974/2019/ĐKSP"/>
    <s v="0000033944"/>
    <d v="2026-11-30T00:00:00"/>
    <s v="41952"/>
    <n v="0.3"/>
    <n v="1680"/>
    <n v="3"/>
    <x v="49"/>
    <x v="4"/>
  </r>
  <r>
    <s v="M00106"/>
    <s v="SC6100001"/>
    <s v="OSTEOCARE LIQUID 200ML"/>
    <s v="Q27-01-4-2"/>
    <s v="000208586"/>
    <n v="3"/>
    <n v="0"/>
    <s v="HOLD"/>
    <s v="9186/2019/ĐKSP"/>
    <s v="0000033944"/>
    <d v="2026-02-28T00:00:00"/>
    <s v="40314"/>
    <n v="0.3"/>
    <n v="1680"/>
    <n v="0.89999999999999991"/>
    <x v="55"/>
    <x v="0"/>
  </r>
  <r>
    <s v="M00106"/>
    <s v="SC6100002"/>
    <s v="FEROGLOBIN B12 LIQUID 200ML"/>
    <s v="Q27-03-6-1"/>
    <s v="000208628"/>
    <n v="4"/>
    <n v="0"/>
    <s v="HOLD"/>
    <s v="8974/2019/ĐKSP"/>
    <s v="0000033944"/>
    <d v="2026-09-30T00:00:00"/>
    <s v="41694"/>
    <n v="0.3"/>
    <n v="1680"/>
    <n v="1.2"/>
    <x v="14"/>
    <x v="4"/>
  </r>
  <r>
    <s v="M00106"/>
    <s v="SC6100002"/>
    <s v="FEROGLOBIN B12 LIQUID 200ML"/>
    <s v="Q27-03-6-1"/>
    <s v="000208624"/>
    <n v="4"/>
    <n v="0"/>
    <s v="HOLD"/>
    <s v="8974/2019/ĐKSP"/>
    <s v="0000033944"/>
    <d v="2027-05-31T00:00:00"/>
    <s v="50802"/>
    <n v="0.3"/>
    <n v="1680"/>
    <n v="1.2"/>
    <x v="14"/>
    <x v="4"/>
  </r>
  <r>
    <s v="M00106"/>
    <s v="SC6100001"/>
    <s v="OSTEOCARE LIQUID 200ML"/>
    <s v="Q27-03-6-1"/>
    <s v="000208589"/>
    <n v="13"/>
    <n v="0"/>
    <s v="HOLD"/>
    <s v="9186/2019/ĐKSP"/>
    <s v="0000033944"/>
    <d v="2026-07-31T00:00:00"/>
    <s v="41390"/>
    <n v="0.3"/>
    <n v="1680"/>
    <n v="3.9"/>
    <x v="109"/>
    <x v="4"/>
  </r>
  <r>
    <s v="M00106"/>
    <s v="SC6100019"/>
    <s v="WELLBABY MULTI-VITAMIN LIQUID (CHAI 150ML)"/>
    <s v="Q27-03-6-1"/>
    <s v="000208596"/>
    <n v="9"/>
    <n v="0"/>
    <s v="HOLD"/>
    <s v="10643/2019/ĐKSP"/>
    <s v="0000033944"/>
    <d v="2026-12-31T00:00:00"/>
    <s v="50026"/>
    <n v="0.22600000000000001"/>
    <n v="1680"/>
    <n v="2.0340000000000003"/>
    <x v="173"/>
    <x v="4"/>
  </r>
  <r>
    <s v="M00106"/>
    <s v="SC6100019"/>
    <s v="WELLBABY MULTI-VITAMIN LIQUID (CHAI 150ML)"/>
    <s v="Q27-03-6-1"/>
    <s v="000208602"/>
    <n v="5"/>
    <n v="0"/>
    <s v="HOLD"/>
    <s v="10643/2019/ĐKSP"/>
    <s v="0000033944"/>
    <d v="2026-08-30T00:00:00"/>
    <s v="41555"/>
    <n v="0.22600000000000001"/>
    <n v="1680"/>
    <n v="1.1300000000000001"/>
    <x v="41"/>
    <x v="4"/>
  </r>
  <r>
    <s v="M00106"/>
    <s v="SC6100002"/>
    <s v="FEROGLOBIN B12 LIQUID 200ML"/>
    <s v="Q27-03-6-1"/>
    <s v="000208623"/>
    <n v="18"/>
    <n v="0"/>
    <s v="HOLD"/>
    <s v="8974/2019/ĐKSP"/>
    <s v="0000033944"/>
    <d v="2026-04-30T00:00:00"/>
    <s v="40815"/>
    <n v="0.3"/>
    <n v="1680"/>
    <n v="5.3999999999999995"/>
    <x v="110"/>
    <x v="4"/>
  </r>
  <r>
    <s v="M00106"/>
    <s v="SC6100001"/>
    <s v="OSTEOCARE LIQUID 200ML"/>
    <s v="Q27-03-6-1"/>
    <s v="000208590"/>
    <n v="18"/>
    <n v="0"/>
    <s v="HOLD"/>
    <s v="9186/2019/ĐKSP"/>
    <s v="0000033944"/>
    <d v="2026-08-31T00:00:00"/>
    <s v="41605"/>
    <n v="0.3"/>
    <n v="1680"/>
    <n v="5.3999999999999995"/>
    <x v="110"/>
    <x v="4"/>
  </r>
  <r>
    <s v="M00106"/>
    <s v="SC6100019"/>
    <s v="WELLBABY MULTI-VITAMIN LIQUID (CHAI 150ML)"/>
    <s v="Q27-03-6-1"/>
    <s v="000208601"/>
    <n v="29"/>
    <n v="0"/>
    <s v="HOLD"/>
    <s v="10643/2019/ĐKSP"/>
    <s v="0000033944"/>
    <d v="2026-06-30T00:00:00"/>
    <s v="41013"/>
    <n v="0.22600000000000001"/>
    <n v="1680"/>
    <n v="6.5540000000000003"/>
    <x v="397"/>
    <x v="4"/>
  </r>
  <r>
    <s v="M00106"/>
    <s v="SC6100001"/>
    <s v="OSTEOCARE LIQUID 200ML"/>
    <s v="Q27-03-6-1"/>
    <s v="000208592"/>
    <n v="2"/>
    <n v="0"/>
    <s v="HOLD"/>
    <s v="9186/2019/ĐKSP"/>
    <s v="0000033944"/>
    <d v="2027-02-28T00:00:00"/>
    <s v="50306"/>
    <n v="0.3"/>
    <n v="1680"/>
    <n v="0.6"/>
    <x v="12"/>
    <x v="4"/>
  </r>
  <r>
    <s v="M00106"/>
    <s v="SC6100019"/>
    <s v="WELLBABY MULTI-VITAMIN LIQUID (CHAI 150ML)"/>
    <s v="Q27-01-2-1"/>
    <s v="000208595"/>
    <n v="4"/>
    <n v="0"/>
    <s v="HOLD"/>
    <s v="10643/2019/ĐKSP"/>
    <s v="0000033944"/>
    <d v="2026-03-31T00:00:00"/>
    <s v="40505"/>
    <n v="0.22600000000000001"/>
    <n v="1680"/>
    <n v="0.90400000000000003"/>
    <x v="14"/>
    <x v="0"/>
  </r>
  <r>
    <s v="M00106"/>
    <s v="SC6100002"/>
    <s v="FEROGLOBIN B12 LIQUID 200ML"/>
    <s v="Q27-03-6-1"/>
    <s v="000208629"/>
    <n v="14"/>
    <n v="0"/>
    <s v="HOLD"/>
    <s v="8974/2019/ĐKSP"/>
    <s v="0000033944"/>
    <d v="2026-08-31T00:00:00"/>
    <s v="41547"/>
    <n v="0.3"/>
    <n v="1680"/>
    <n v="4.2"/>
    <x v="317"/>
    <x v="4"/>
  </r>
  <r>
    <s v="M00106"/>
    <s v="SC6100001"/>
    <s v="OSTEOCARE LIQUID 200ML"/>
    <s v="Q27-03-6-1"/>
    <s v="000208593"/>
    <n v="8"/>
    <n v="0"/>
    <s v="HOLD"/>
    <s v="9186/2019/ĐKSP"/>
    <s v="0000033944"/>
    <d v="2027-03-31T00:00:00"/>
    <s v="50461"/>
    <n v="0.3"/>
    <n v="1680"/>
    <n v="2.4"/>
    <x v="94"/>
    <x v="4"/>
  </r>
  <r>
    <s v="M00106"/>
    <s v="SC6100002"/>
    <s v="FEROGLOBIN B12 LIQUID 200ML"/>
    <s v="Q27-03-6-1"/>
    <s v="000208625"/>
    <n v="6"/>
    <n v="0"/>
    <s v="HOLD"/>
    <s v="8974/2019/ĐKSP"/>
    <s v="0000033944"/>
    <d v="2026-08-31T00:00:00"/>
    <s v="41404"/>
    <n v="0.3"/>
    <n v="1680"/>
    <n v="1.7999999999999998"/>
    <x v="11"/>
    <x v="4"/>
  </r>
  <r>
    <s v="M00106"/>
    <s v="SC6100001"/>
    <s v="OSTEOCARE LIQUID 200ML"/>
    <s v="Q27-01-4-2"/>
    <s v="000208587"/>
    <n v="4"/>
    <n v="0"/>
    <s v="HOLD"/>
    <s v="9186/2019/ĐKSP"/>
    <s v="0000033944"/>
    <d v="2026-02-28T00:00:00"/>
    <s v="40487"/>
    <n v="0.3"/>
    <n v="1680"/>
    <n v="1.2"/>
    <x v="14"/>
    <x v="0"/>
  </r>
  <r>
    <s v="M00106"/>
    <s v="SC6100019"/>
    <s v="WELLBABY MULTI-VITAMIN LIQUID (CHAI 150ML)"/>
    <s v="Q27-03-6-1"/>
    <s v="000208598"/>
    <n v="2"/>
    <n v="0"/>
    <s v="HOLD"/>
    <s v="10643/2019/ĐKSP"/>
    <s v="0000033944"/>
    <d v="2026-09-30T00:00:00"/>
    <s v="41631"/>
    <n v="0.22600000000000001"/>
    <n v="1680"/>
    <n v="0.45200000000000001"/>
    <x v="12"/>
    <x v="4"/>
  </r>
  <r>
    <s v="M00106"/>
    <s v="SC6100002"/>
    <s v="FEROGLOBIN B12 LIQUID 200ML"/>
    <s v="Q27-03-6-1"/>
    <s v="000208627"/>
    <n v="1"/>
    <n v="0"/>
    <s v="HOLD"/>
    <s v="8974/2019/ĐKSP"/>
    <s v="0000033944"/>
    <d v="2027-07-31T00:00:00"/>
    <s v="51043"/>
    <n v="0.3"/>
    <n v="1680"/>
    <n v="0.3"/>
    <x v="153"/>
    <x v="4"/>
  </r>
  <r>
    <s v="M00106"/>
    <s v="SC6100019"/>
    <s v="WELLBABY MULTI-VITAMIN LIQUID (CHAI 150ML)"/>
    <s v="Q27-03-6-1"/>
    <s v="000208603"/>
    <n v="1"/>
    <n v="0"/>
    <s v="HOLD"/>
    <s v="10643/2019/ĐKSP"/>
    <s v="0000033944"/>
    <d v="2027-04-30T00:00:00"/>
    <s v="50693"/>
    <n v="0.22600000000000001"/>
    <n v="1680"/>
    <n v="0.22600000000000001"/>
    <x v="153"/>
    <x v="4"/>
  </r>
  <r>
    <s v="M00106"/>
    <s v="SC6100001"/>
    <s v="OSTEOCARE LIQUID 200ML"/>
    <s v="Q27-01-4-2"/>
    <s v="000208585"/>
    <n v="1"/>
    <n v="0"/>
    <s v="HOLD"/>
    <s v="9186/2019/ĐKSP"/>
    <s v="0000033944"/>
    <d v="2025-12-31T00:00:00"/>
    <s v="40153"/>
    <n v="0.3"/>
    <n v="1680"/>
    <n v="0.3"/>
    <x v="153"/>
    <x v="0"/>
  </r>
  <r>
    <s v="M00106"/>
    <s v="SC6100019"/>
    <s v="WELLBABY MULTI-VITAMIN LIQUID (CHAI 150ML)"/>
    <s v="Q27-03-6-1"/>
    <s v="000208594"/>
    <n v="10"/>
    <n v="0"/>
    <s v="HOLD"/>
    <s v="10643/2019/ĐKSP"/>
    <s v="0000033944"/>
    <d v="2026-04-30T00:00:00"/>
    <s v="40662"/>
    <n v="0.22600000000000001"/>
    <n v="1680"/>
    <n v="2.2600000000000002"/>
    <x v="49"/>
    <x v="4"/>
  </r>
  <r>
    <s v="M00106"/>
    <s v="SC6100003"/>
    <s v="FEROGLOBIN B12 CAPSULES (H/30 VIEN)"/>
    <s v="Q27-03-6-1"/>
    <s v="000208580"/>
    <n v="3"/>
    <n v="0"/>
    <s v="HOLD"/>
    <s v="9183/2019/ĐKSP"/>
    <s v="0000033944"/>
    <d v="2026-05-31T00:00:00"/>
    <s v="FW2315TA"/>
    <n v="0.04"/>
    <n v="2688"/>
    <n v="0.12"/>
    <x v="45"/>
    <x v="4"/>
  </r>
  <r>
    <s v="M00106"/>
    <s v="SC6100002"/>
    <s v="FEROGLOBIN B12 LIQUID 200ML"/>
    <s v="Q27-03-6-1"/>
    <s v="000208630"/>
    <n v="7"/>
    <n v="0"/>
    <s v="HOLD"/>
    <s v="8974/2019/ĐKSP"/>
    <s v="0000033944"/>
    <d v="2026-04-30T00:00:00"/>
    <s v="40683"/>
    <n v="0.3"/>
    <n v="1680"/>
    <n v="2.1"/>
    <x v="13"/>
    <x v="4"/>
  </r>
  <r>
    <s v="M00106"/>
    <s v="SC6100004"/>
    <s v="OSTEOCARE (H/30 VIEN)"/>
    <s v="Q27-03-6-1"/>
    <s v="000208567"/>
    <n v="17"/>
    <n v="0"/>
    <s v="HOLD"/>
    <s v="8615/2019/ĐKSP"/>
    <s v="0000033944"/>
    <d v="2026-04-30T00:00:00"/>
    <s v="OT2213P"/>
    <n v="7.4999999999999997E-2"/>
    <n v="2688"/>
    <n v="1.2749999999999999"/>
    <x v="288"/>
    <x v="4"/>
  </r>
  <r>
    <s v="M00106"/>
    <s v="SC6100018"/>
    <s v="PREGNACARE BREAST-FEEDING (HOP/56 VIEN NEN, 28 VIEN NANG)"/>
    <s v="Q27-03-6-1"/>
    <s v="000208633"/>
    <n v="2"/>
    <n v="0"/>
    <s v="HOLD"/>
    <s v="10645/2019/ĐKSP"/>
    <s v="0000033944"/>
    <d v="2026-11-30T00:00:00"/>
    <s v="PB2412"/>
    <n v="0.158"/>
    <n v="1152"/>
    <n v="0.316"/>
    <x v="70"/>
    <x v="4"/>
  </r>
  <r>
    <s v="M00106"/>
    <s v="SC6100015"/>
    <s v="PREGNACARE PLUS OMEGA 3 (H/56 VIEN)"/>
    <s v="Q27-03-6-1"/>
    <s v="000208565"/>
    <n v="4"/>
    <n v="0"/>
    <s v="HOLD"/>
    <s v="9184/2019/ĐKSP"/>
    <s v="0000033944"/>
    <d v="2027-02-28T00:00:00"/>
    <s v="PP2424"/>
    <n v="9.2999999999999999E-2"/>
    <n v="1536"/>
    <n v="0.372"/>
    <x v="44"/>
    <x v="4"/>
  </r>
  <r>
    <s v="M00106"/>
    <s v="SC6100004"/>
    <s v="OSTEOCARE (H/30 VIEN)"/>
    <s v="Q27-01-2-1"/>
    <s v="000208570"/>
    <n v="1"/>
    <n v="0"/>
    <s v="HOLD"/>
    <s v="8615/2019/ĐKSP"/>
    <s v="0000033944"/>
    <d v="2026-01-31T00:00:00"/>
    <s v="OT2204P"/>
    <n v="7.4999999999999997E-2"/>
    <n v="2688"/>
    <n v="7.4999999999999997E-2"/>
    <x v="51"/>
    <x v="0"/>
  </r>
  <r>
    <s v="M00106"/>
    <s v="SC6100004"/>
    <s v="OSTEOCARE (H/30 VIEN)"/>
    <s v="Q27-03-6-1"/>
    <s v="000208571"/>
    <n v="2"/>
    <n v="0"/>
    <s v="HOLD"/>
    <s v="8615/2019/ĐKSP"/>
    <s v="0000033944"/>
    <d v="2028-10-31T00:00:00"/>
    <s v="OT2410P"/>
    <n v="7.4999999999999997E-2"/>
    <n v="2688"/>
    <n v="0.15"/>
    <x v="52"/>
    <x v="4"/>
  </r>
  <r>
    <s v="M00106"/>
    <s v="SC6100002"/>
    <s v="FEROGLOBIN B12 LIQUID 200ML"/>
    <s v="Q27-03-6-1"/>
    <s v="000208631"/>
    <n v="5"/>
    <n v="0"/>
    <s v="HOLD"/>
    <s v="8974/2019/ĐKSP"/>
    <s v="0000033944"/>
    <d v="2027-03-31T00:00:00"/>
    <s v="50445"/>
    <n v="0.3"/>
    <n v="1680"/>
    <n v="1.5"/>
    <x v="41"/>
    <x v="4"/>
  </r>
  <r>
    <s v="M00106"/>
    <s v="SC6100019"/>
    <s v="WELLBABY MULTI-VITAMIN LIQUID (CHAI 150ML)"/>
    <s v="Q27-03-6-1"/>
    <s v="000208604"/>
    <n v="2"/>
    <n v="0"/>
    <s v="HOLD"/>
    <s v="10643/2019/ĐKSP"/>
    <s v="0000033944"/>
    <d v="2026-07-31T00:00:00"/>
    <s v="41401"/>
    <n v="0.22600000000000001"/>
    <n v="1680"/>
    <n v="0.45200000000000001"/>
    <x v="12"/>
    <x v="4"/>
  </r>
  <r>
    <s v="M00106"/>
    <s v="SC6100003"/>
    <s v="FEROGLOBIN B12 CAPSULES (H/30 VIEN)"/>
    <s v="Q27-03-6-1"/>
    <s v="000208578"/>
    <n v="3"/>
    <n v="0"/>
    <s v="HOLD"/>
    <s v="9183/2019/ĐKSP"/>
    <s v="0000033944"/>
    <d v="2027-05-31T00:00:00"/>
    <s v="FW2414PA"/>
    <n v="0.04"/>
    <n v="2688"/>
    <n v="0.12"/>
    <x v="45"/>
    <x v="4"/>
  </r>
  <r>
    <s v="M00106"/>
    <s v="SC6100003"/>
    <s v="FEROGLOBIN B12 CAPSULES (H/30 VIEN)"/>
    <s v="Q27-03-6-1"/>
    <s v="000208576"/>
    <n v="4"/>
    <n v="0"/>
    <s v="HOLD"/>
    <s v="9183/2019/ĐKSP"/>
    <s v="0000033944"/>
    <d v="2027-06-30T00:00:00"/>
    <s v="FW2418PA"/>
    <n v="0.04"/>
    <n v="2688"/>
    <n v="0.16"/>
    <x v="42"/>
    <x v="4"/>
  </r>
  <r>
    <s v="M00106"/>
    <s v="SC6100004"/>
    <s v="OSTEOCARE (H/30 VIEN)"/>
    <s v="Q27-03-6-1"/>
    <s v="000208573"/>
    <n v="2"/>
    <n v="0"/>
    <s v="HOLD"/>
    <s v="8615/2019/ĐKSP"/>
    <s v="0000033944"/>
    <d v="2028-10-31T00:00:00"/>
    <s v="OT2409P"/>
    <n v="7.4999999999999997E-2"/>
    <n v="2688"/>
    <n v="0.15"/>
    <x v="52"/>
    <x v="4"/>
  </r>
  <r>
    <s v="M00106"/>
    <s v="SC6100015"/>
    <s v="PREGNACARE PLUS OMEGA 3 (H/56 VIEN)"/>
    <s v="Q27-03-6-1"/>
    <s v="000208566"/>
    <n v="2"/>
    <n v="0"/>
    <s v="HOLD"/>
    <s v="9184/2019/ĐKSP"/>
    <s v="0000033944"/>
    <d v="2027-09-30T00:00:00"/>
    <s v="PP2509"/>
    <n v="9.2999999999999999E-2"/>
    <n v="1536"/>
    <n v="0.186"/>
    <x v="18"/>
    <x v="4"/>
  </r>
  <r>
    <s v="M00106"/>
    <s v="SC6100004"/>
    <s v="OSTEOCARE (H/30 VIEN)"/>
    <s v="Q27-03-6-1"/>
    <s v="000208572"/>
    <n v="2"/>
    <n v="0"/>
    <s v="HOLD"/>
    <s v="8615/2019/ĐKSP"/>
    <s v="0000033944"/>
    <d v="2027-07-31T00:00:00"/>
    <s v="OT2309P"/>
    <n v="7.4999999999999997E-2"/>
    <n v="2688"/>
    <n v="0.15"/>
    <x v="52"/>
    <x v="4"/>
  </r>
  <r>
    <s v="M00106"/>
    <s v="SC6100015"/>
    <s v="PREGNACARE PLUS OMEGA 3 (H/56 VIEN)"/>
    <s v="Q27-01-4-2"/>
    <s v="000208562"/>
    <n v="2"/>
    <n v="0"/>
    <s v="HOLD"/>
    <s v="9184/2019/ĐKSP"/>
    <s v="0000033944"/>
    <d v="2026-03-31T00:00:00"/>
    <s v="PP2347"/>
    <n v="9.2999999999999999E-2"/>
    <n v="1536"/>
    <n v="0.186"/>
    <x v="18"/>
    <x v="0"/>
  </r>
  <r>
    <s v="M00106"/>
    <s v="SC6100018"/>
    <s v="PREGNACARE BREAST-FEEDING (HOP/56 VIEN NEN, 28 VIEN NANG)"/>
    <s v="Q27-03-6-1"/>
    <s v="000208632"/>
    <n v="1"/>
    <n v="0"/>
    <s v="HOLD"/>
    <s v="10645/2019/ĐKSP"/>
    <s v="0000033944"/>
    <d v="2026-10-31T00:00:00"/>
    <s v="PB2406"/>
    <n v="0.158"/>
    <n v="1152"/>
    <n v="0.158"/>
    <x v="71"/>
    <x v="4"/>
  </r>
  <r>
    <s v="M00106"/>
    <s v="SC6100003"/>
    <s v="FEROGLOBIN B12 CAPSULES (H/30 VIEN)"/>
    <s v="Q27-03-6-1"/>
    <s v="000208584"/>
    <n v="1"/>
    <n v="0"/>
    <s v="HOLD"/>
    <s v="9183/2019/ĐKSP"/>
    <s v="0000033944"/>
    <d v="2027-04-30T00:00:00"/>
    <s v="FW2407PA"/>
    <n v="0.04"/>
    <n v="2688"/>
    <n v="0.04"/>
    <x v="51"/>
    <x v="4"/>
  </r>
  <r>
    <s v="M00106"/>
    <s v="SC6100003"/>
    <s v="FEROGLOBIN B12 CAPSULES (H/30 VIEN)"/>
    <s v="Q27-03-6-1"/>
    <s v="000208581"/>
    <n v="7"/>
    <n v="0"/>
    <s v="HOLD"/>
    <s v="9183/2019/ĐKSP"/>
    <s v="0000033944"/>
    <d v="2027-11-30T00:00:00"/>
    <s v="FW2413TA"/>
    <n v="0.04"/>
    <n v="2688"/>
    <n v="0.28000000000000003"/>
    <x v="44"/>
    <x v="4"/>
  </r>
  <r>
    <s v="M00106"/>
    <s v="SC6100011"/>
    <s v="PERFECTIL (H/30 VIEN)"/>
    <s v="Q27-03-6-1"/>
    <s v="000208611"/>
    <n v="1"/>
    <n v="0"/>
    <s v="HOLD"/>
    <s v="9185/2019/ĐKSP"/>
    <s v="0000033944"/>
    <d v="2026-12-31T00:00:00"/>
    <s v="PFT2405P"/>
    <n v="5.8000000000000003E-2"/>
    <n v="2880"/>
    <n v="5.8000000000000003E-2"/>
    <x v="3"/>
    <x v="4"/>
  </r>
  <r>
    <s v="M00106"/>
    <s v="SC6100013"/>
    <s v="PREGNACARE ORIGINAL (H/30 VIEN)"/>
    <s v="Q27-03-6-1"/>
    <s v="000208606"/>
    <n v="96"/>
    <n v="0"/>
    <s v="HOLD"/>
    <s v="4140/2020/ĐKSP"/>
    <s v="0000033944"/>
    <d v="2026-04-30T00:00:00"/>
    <s v="PRW2323PA"/>
    <n v="4.9000000000000002E-2"/>
    <n v="2880"/>
    <n v="4.7040000000000006"/>
    <x v="196"/>
    <x v="4"/>
  </r>
  <r>
    <s v="M00106"/>
    <s v="SC6100023"/>
    <s v="VISIONACE ORIGINAL (HOP/30VIEN)"/>
    <s v="Q27-03-6-1"/>
    <s v="000208636"/>
    <n v="136"/>
    <n v="0"/>
    <s v="HOLD"/>
    <s v="1737/2024/ĐKSP"/>
    <s v="0000033944"/>
    <d v="2026-07-31T00:00:00"/>
    <s v="126094A"/>
    <n v="5.0999999999999997E-2"/>
    <n v="2880"/>
    <n v="6.9359999999999999"/>
    <x v="398"/>
    <x v="4"/>
  </r>
  <r>
    <s v="M00106"/>
    <s v="SC6100014"/>
    <s v="LIVERIL (H/30 VIEN)"/>
    <s v="Q27-03-6-1"/>
    <s v="000208614"/>
    <n v="75"/>
    <n v="0"/>
    <s v="HOLD"/>
    <s v="8719/2019/ĐKSP"/>
    <s v="0000033944"/>
    <d v="2026-05-31T00:00:00"/>
    <s v="LV2308P"/>
    <n v="6.8000000000000005E-2"/>
    <n v="2240"/>
    <n v="5.1000000000000005"/>
    <x v="399"/>
    <x v="4"/>
  </r>
  <r>
    <s v="M00106"/>
    <s v="SC6100015"/>
    <s v="PREGNACARE PLUS OMEGA 3 (H/56 VIEN)"/>
    <s v="Q27-03-6-1"/>
    <s v="000208563"/>
    <n v="29"/>
    <n v="0"/>
    <s v="HOLD"/>
    <s v="9184/2019/ĐKSP"/>
    <s v="0000033944"/>
    <d v="2026-05-31T00:00:00"/>
    <s v="PP2341"/>
    <n v="9.2999999999999999E-2"/>
    <n v="1536"/>
    <n v="2.6970000000000001"/>
    <x v="400"/>
    <x v="4"/>
  </r>
  <r>
    <s v="M00106"/>
    <s v="SC6100014"/>
    <s v="LIVERIL (H/30 VIEN)"/>
    <s v="Q27-03-6-1"/>
    <s v="000208618"/>
    <n v="1"/>
    <n v="0"/>
    <s v="HOLD"/>
    <s v="8719/2019/ĐKSP"/>
    <s v="0000033944"/>
    <d v="2026-08-31T00:00:00"/>
    <s v="LV2312P"/>
    <n v="6.8000000000000005E-2"/>
    <n v="2240"/>
    <n v="6.8000000000000005E-2"/>
    <x v="58"/>
    <x v="4"/>
  </r>
  <r>
    <s v="M00106"/>
    <s v="SC6100018"/>
    <s v="PREGNACARE BREAST-FEEDING (HOP/56 VIEN NEN, 28 VIEN NANG)"/>
    <s v="Q27-03-6-1"/>
    <s v="000208635"/>
    <n v="7"/>
    <n v="0"/>
    <s v="HOLD"/>
    <s v="10645/2019/ĐKSP"/>
    <s v="0000033944"/>
    <d v="2027-11-30T00:00:00"/>
    <s v="PB2505"/>
    <n v="0.158"/>
    <n v="1152"/>
    <n v="1.1060000000000001"/>
    <x v="261"/>
    <x v="4"/>
  </r>
  <r>
    <s v="M00106"/>
    <s v="SC6100003"/>
    <s v="FEROGLOBIN B12 CAPSULES (H/30 VIEN)"/>
    <s v="Q27-03-6-1"/>
    <s v="000208574"/>
    <n v="6"/>
    <n v="0"/>
    <s v="HOLD"/>
    <s v="9183/2019/ĐKSP"/>
    <s v="0000033944"/>
    <d v="2027-10-31T00:00:00"/>
    <s v="FW2402DBA"/>
    <n v="0.04"/>
    <n v="2688"/>
    <n v="0.24"/>
    <x v="53"/>
    <x v="4"/>
  </r>
  <r>
    <s v="M00106"/>
    <s v="SC6100017"/>
    <s v="WELLKID MULTI-VITAMIN LIQUID (CHAI/150ML)"/>
    <s v="Q27-03-6-1"/>
    <s v="000208622"/>
    <n v="4"/>
    <n v="0"/>
    <s v="HOLD"/>
    <s v="10642/2019/ĐKSP"/>
    <s v="0000033944"/>
    <d v="2027-01-31T00:00:00"/>
    <s v="50219"/>
    <n v="0.312"/>
    <n v="1680"/>
    <n v="1.248"/>
    <x v="14"/>
    <x v="4"/>
  </r>
  <r>
    <s v="M00106"/>
    <s v="SC6100014"/>
    <s v="LIVERIL (H/30 VIEN)"/>
    <s v="Q27-03-6-1"/>
    <s v="000208615"/>
    <n v="1"/>
    <n v="0"/>
    <s v="HOLD"/>
    <s v="8719/2019/ĐKSP"/>
    <s v="0000033944"/>
    <d v="2026-07-31T00:00:00"/>
    <s v="LV2311P"/>
    <n v="6.8000000000000005E-2"/>
    <n v="2240"/>
    <n v="6.8000000000000005E-2"/>
    <x v="58"/>
    <x v="4"/>
  </r>
  <r>
    <s v="M00106"/>
    <s v="SC6100017"/>
    <s v="WELLKID MULTI-VITAMIN LIQUID (CHAI/150ML)"/>
    <s v="Q27-03-6-1"/>
    <s v="000208621"/>
    <n v="1"/>
    <n v="0"/>
    <s v="HOLD"/>
    <s v="10642/2019/ĐKSP"/>
    <s v="0000033944"/>
    <d v="2026-07-31T00:00:00"/>
    <s v="41353"/>
    <n v="0.312"/>
    <n v="1680"/>
    <n v="0.312"/>
    <x v="153"/>
    <x v="4"/>
  </r>
  <r>
    <s v="M00106"/>
    <s v="SC6100003"/>
    <s v="FEROGLOBIN B12 CAPSULES (H/30 VIEN)"/>
    <s v="Q27-03-6-1"/>
    <s v="000208582"/>
    <n v="1"/>
    <n v="0"/>
    <s v="HOLD"/>
    <s v="9183/2019/ĐKSP"/>
    <s v="0000033944"/>
    <d v="2027-01-31T00:00:00"/>
    <s v="FW2402PA"/>
    <n v="0.04"/>
    <n v="2688"/>
    <n v="0.04"/>
    <x v="51"/>
    <x v="4"/>
  </r>
  <r>
    <s v="M00106"/>
    <s v="SC6100003"/>
    <s v="FEROGLOBIN B12 CAPSULES (H/30 VIEN)"/>
    <s v="Q27-03-6-1"/>
    <s v="000208577"/>
    <n v="1"/>
    <n v="0"/>
    <s v="HOLD"/>
    <s v="9183/2019/ĐKSP"/>
    <s v="0000033944"/>
    <d v="2027-07-31T00:00:00"/>
    <s v="FW2420PA"/>
    <n v="0.04"/>
    <n v="2688"/>
    <n v="0.04"/>
    <x v="51"/>
    <x v="4"/>
  </r>
  <r>
    <s v="M00106"/>
    <s v="SC6100003"/>
    <s v="FEROGLOBIN B12 CAPSULES (H/30 VIEN)"/>
    <s v="Q27-03-6-1"/>
    <s v="000208575"/>
    <n v="8"/>
    <n v="0"/>
    <s v="HOLD"/>
    <s v="9183/2019/ĐKSP"/>
    <s v="0000033944"/>
    <d v="2027-07-31T00:00:00"/>
    <s v="FW2422PA"/>
    <n v="0.04"/>
    <n v="2688"/>
    <n v="0.32"/>
    <x v="41"/>
    <x v="4"/>
  </r>
  <r>
    <s v="M00106"/>
    <s v="SC6100003"/>
    <s v="FEROGLOBIN B12 CAPSULES (H/30 VIEN)"/>
    <s v="Q27-03-6-1"/>
    <s v="000208579"/>
    <n v="1"/>
    <n v="0"/>
    <s v="HOLD"/>
    <s v="9183/2019/ĐKSP"/>
    <s v="0000033944"/>
    <d v="2027-12-31T00:00:00"/>
    <s v="FW2502TA"/>
    <n v="0.04"/>
    <n v="2688"/>
    <n v="0.04"/>
    <x v="51"/>
    <x v="4"/>
  </r>
  <r>
    <s v="M00106"/>
    <s v="SC6100011"/>
    <s v="PERFECTIL (H/30 VIEN)"/>
    <s v="Q27-03-6-1"/>
    <s v="000208610"/>
    <n v="1"/>
    <n v="0"/>
    <s v="HOLD"/>
    <s v="9185/2019/ĐKSP"/>
    <s v="0000033944"/>
    <d v="2026-12-31T00:00:00"/>
    <s v="PFT2402P"/>
    <n v="5.8000000000000003E-2"/>
    <n v="2880"/>
    <n v="5.8000000000000003E-2"/>
    <x v="3"/>
    <x v="4"/>
  </r>
  <r>
    <s v="M00106"/>
    <s v="SC6100017"/>
    <s v="WELLKID MULTI-VITAMIN LIQUID (CHAI/150ML)"/>
    <s v="Q27-03-6-1"/>
    <s v="000208620"/>
    <n v="1"/>
    <n v="0"/>
    <s v="HOLD"/>
    <s v="10642/2019/ĐKSP"/>
    <s v="0000033944"/>
    <d v="2027-05-31T00:00:00"/>
    <s v="50832"/>
    <n v="0.312"/>
    <n v="1680"/>
    <n v="0.312"/>
    <x v="153"/>
    <x v="4"/>
  </r>
  <r>
    <s v="M00106"/>
    <s v="SC6100011"/>
    <s v="PERFECTIL (H/30 VIEN)"/>
    <s v="Q27-03-6-1"/>
    <s v="000208612"/>
    <n v="1"/>
    <n v="0"/>
    <s v="HOLD"/>
    <s v="9185/2019/ĐKSP"/>
    <s v="0000033944"/>
    <d v="2027-09-30T00:00:00"/>
    <s v="PFT2425P"/>
    <n v="5.8000000000000003E-2"/>
    <n v="2880"/>
    <n v="5.8000000000000003E-2"/>
    <x v="3"/>
    <x v="4"/>
  </r>
  <r>
    <s v="M00106"/>
    <s v="SC6100011"/>
    <s v="PERFECTIL (H/30 VIEN)"/>
    <s v="Q27-03-6-1"/>
    <s v="000208608"/>
    <n v="19"/>
    <n v="0"/>
    <s v="HOLD"/>
    <s v="9185/2019/ĐKSP"/>
    <s v="0000033944"/>
    <d v="2026-07-31T00:00:00"/>
    <s v="PFT2319P"/>
    <n v="5.8000000000000003E-2"/>
    <n v="2880"/>
    <n v="1.1020000000000001"/>
    <x v="264"/>
    <x v="4"/>
  </r>
  <r>
    <s v="M00106"/>
    <s v="SC6100013"/>
    <s v="PREGNACARE ORIGINAL (H/30 VIEN)"/>
    <s v="Q27-03-6-1"/>
    <s v="000208607"/>
    <n v="26"/>
    <n v="0"/>
    <s v="HOLD"/>
    <s v="4140/2020/ĐKSP"/>
    <s v="0000033944"/>
    <d v="2026-06-30T00:00:00"/>
    <s v="831952A"/>
    <n v="4.9000000000000002E-2"/>
    <n v="2880"/>
    <n v="1.274"/>
    <x v="401"/>
    <x v="4"/>
  </r>
  <r>
    <s v="M00106"/>
    <s v="SC6100014"/>
    <s v="LIVERIL (H/30 VIEN)"/>
    <s v="Q27-03-6-1"/>
    <s v="000208616"/>
    <n v="1"/>
    <n v="0"/>
    <s v="HOLD"/>
    <s v="8719/2019/ĐKSP"/>
    <s v="0000033944"/>
    <d v="2027-10-31T00:00:00"/>
    <s v="LV2413P"/>
    <n v="6.8000000000000005E-2"/>
    <n v="2240"/>
    <n v="6.8000000000000005E-2"/>
    <x v="58"/>
    <x v="4"/>
  </r>
  <r>
    <s v="M00106"/>
    <s v="SC6100018"/>
    <s v="PREGNACARE BREAST-FEEDING (HOP/56 VIEN NEN, 28 VIEN NANG)"/>
    <s v="Q27-03-6-1"/>
    <s v="000208634"/>
    <n v="1"/>
    <n v="0"/>
    <s v="HOLD"/>
    <s v="10645/2019/ĐKSP"/>
    <s v="0000033944"/>
    <d v="2027-12-31T00:00:00"/>
    <s v="PB2507"/>
    <n v="0.158"/>
    <n v="1152"/>
    <n v="0.158"/>
    <x v="71"/>
    <x v="4"/>
  </r>
  <r>
    <s v="M00106"/>
    <s v="SC6100014"/>
    <s v="LIVERIL (H/30 VIEN)"/>
    <s v="Q27-03-6-1"/>
    <s v="000208613"/>
    <n v="12"/>
    <n v="0"/>
    <s v="HOLD"/>
    <s v="8719/2019/ĐKSP"/>
    <s v="0000033944"/>
    <d v="2026-06-30T00:00:00"/>
    <s v="LV2310P"/>
    <n v="6.8000000000000005E-2"/>
    <n v="2240"/>
    <n v="0.81600000000000006"/>
    <x v="173"/>
    <x v="4"/>
  </r>
  <r>
    <s v="M00106"/>
    <s v="SC6100014"/>
    <s v="LIVERIL (H/30 VIEN)"/>
    <s v="Q27-03-6-1"/>
    <s v="000208617"/>
    <n v="1"/>
    <n v="0"/>
    <s v="HOLD"/>
    <s v="8719/2019/ĐKSP"/>
    <s v="0000033944"/>
    <d v="2027-12-31T00:00:00"/>
    <s v="LV2501P"/>
    <n v="6.8000000000000005E-2"/>
    <n v="2240"/>
    <n v="6.8000000000000005E-2"/>
    <x v="58"/>
    <x v="4"/>
  </r>
  <r>
    <s v="M00106"/>
    <s v="SC6100014"/>
    <s v="LIVERIL (H/30 VIEN)"/>
    <s v="Q27-03-6-1"/>
    <s v="000208619"/>
    <n v="1"/>
    <n v="0"/>
    <s v="HOLD"/>
    <s v="8719/2019/ĐKSP"/>
    <s v="0000033944"/>
    <d v="2026-05-31T00:00:00"/>
    <s v="LV2309P"/>
    <n v="6.8000000000000005E-2"/>
    <n v="2240"/>
    <n v="6.8000000000000005E-2"/>
    <x v="58"/>
    <x v="4"/>
  </r>
  <r>
    <s v="M00106"/>
    <s v="SC6100004"/>
    <s v="OSTEOCARE (H/30 VIEN)"/>
    <s v="Q27-03-6-1"/>
    <s v="000208569"/>
    <n v="1"/>
    <n v="0"/>
    <s v="HOLD"/>
    <s v="8615/2019/ĐKSP"/>
    <s v="0000033944"/>
    <d v="2028-06-30T00:00:00"/>
    <s v="OT2404P"/>
    <n v="7.4999999999999997E-2"/>
    <n v="2688"/>
    <n v="7.4999999999999997E-2"/>
    <x v="51"/>
    <x v="4"/>
  </r>
  <r>
    <s v="M00106"/>
    <s v="SC6100004"/>
    <s v="OSTEOCARE (H/30 VIEN)"/>
    <s v="Q27-03-6-1"/>
    <s v="000208568"/>
    <n v="1"/>
    <n v="0"/>
    <s v="HOLD"/>
    <s v="8615/2019/ĐKSP"/>
    <s v="0000033944"/>
    <d v="2027-07-31T00:00:00"/>
    <s v="OT2310P"/>
    <n v="7.4999999999999997E-2"/>
    <n v="2688"/>
    <n v="7.4999999999999997E-2"/>
    <x v="51"/>
    <x v="4"/>
  </r>
  <r>
    <s v="M00106"/>
    <s v="SC6100011"/>
    <s v="PERFECTIL (H/30 VIEN)"/>
    <s v="Q27-03-6-1"/>
    <s v="000208609"/>
    <n v="8"/>
    <n v="0"/>
    <s v="HOLD"/>
    <s v="9185/2019/ĐKSP"/>
    <s v="0000033944"/>
    <d v="2026-07-31T00:00:00"/>
    <s v="PFT2320P"/>
    <n v="5.8000000000000003E-2"/>
    <n v="2880"/>
    <n v="0.46400000000000002"/>
    <x v="239"/>
    <x v="4"/>
  </r>
  <r>
    <s v="HOANGDUC"/>
    <s v="TT1300612"/>
    <s v="TOA TORPACE 5 - TORRENT"/>
    <s v="Q27-01-9-1"/>
    <s v="000208864"/>
    <n v="192"/>
    <n v="0"/>
    <s v="HOLD"/>
    <s v="NOVISA"/>
    <s v=" "/>
    <d v="2027-12-25T00:00:00"/>
    <s v="_"/>
    <n v="0"/>
    <n v="0"/>
    <n v="0"/>
    <x v="16"/>
    <x v="0"/>
  </r>
  <r>
    <s v="HOANGDUC"/>
    <s v="TT1300612"/>
    <s v="TOA TORPACE 5 - TORRENT"/>
    <s v="Q27-01-9-1"/>
    <s v="000209025"/>
    <n v="768"/>
    <n v="0"/>
    <s v="HOLD"/>
    <s v="NOVISA"/>
    <s v=" "/>
    <d v="2027-12-25T00:00:00"/>
    <s v="_"/>
    <n v="0"/>
    <n v="0"/>
    <n v="0"/>
    <x v="16"/>
    <x v="0"/>
  </r>
  <r>
    <s v="HOANGDUC"/>
    <s v="RH7300171"/>
    <s v="DAU GOI CHONG GAU (SELSUN ANTI-DANDRUFF SHAMPOO WITH SELENIU"/>
    <s v="Q27-03-1-2"/>
    <s v="000208929"/>
    <n v="1"/>
    <n v="0"/>
    <s v="HOLD"/>
    <s v="NOVISA"/>
    <s v="51-424248"/>
    <d v="2029-05-13T00:00:00"/>
    <s v="EB01V2"/>
    <n v="0.14199999999999999"/>
    <n v="2240"/>
    <n v="0.14199999999999999"/>
    <x v="58"/>
    <x v="4"/>
  </r>
  <r>
    <s v="HOANGDUC"/>
    <s v="MG1100044"/>
    <s v="PANFOR SR-750 (HOP/10 VI X 10 VIEN)"/>
    <s v="Q26-01-1-1"/>
    <s v="000208903"/>
    <n v="7"/>
    <n v="0"/>
    <s v="HOLD"/>
    <s v="VN-20188-16"/>
    <s v="0000033966"/>
    <d v="2027-10-16T00:00:00"/>
    <s v="A08902512"/>
    <n v="0.154"/>
    <n v="1536"/>
    <n v="1.0780000000000001"/>
    <x v="20"/>
    <x v="2"/>
  </r>
  <r>
    <s v="M00106"/>
    <s v="SC6100017"/>
    <s v="WELLKID MULTI-VITAMIN LIQUID (CHAI/150ML)"/>
    <s v="Q27-01-4-2"/>
    <s v="000209029"/>
    <n v="2"/>
    <n v="0"/>
    <s v="HOLD"/>
    <s v="10642/2019/ĐKSP"/>
    <s v="0000034002"/>
    <d v="2025-11-30T00:00:00"/>
    <s v="31948"/>
    <n v="0.312"/>
    <n v="1680"/>
    <n v="0.624"/>
    <x v="12"/>
    <x v="0"/>
  </r>
  <r>
    <s v="M00106"/>
    <s v="SC6100006"/>
    <s v="DIABETONE (H/30 VIEN)"/>
    <s v="Q27-01-4-2"/>
    <s v="000209032"/>
    <n v="34"/>
    <n v="0"/>
    <s v="HOLD"/>
    <s v="125/2020/ĐKSP"/>
    <s v="0000034002"/>
    <d v="2025-12-31T00:00:00"/>
    <s v="191036"/>
    <n v="4.2000000000000003E-2"/>
    <n v="2880"/>
    <n v="1.4280000000000002"/>
    <x v="402"/>
    <x v="0"/>
  </r>
  <r>
    <s v="M00106"/>
    <s v="SC6100007"/>
    <s v="JOINTACE (H/30 VIEN)"/>
    <s v="Q27-01-4-2"/>
    <s v="000209031"/>
    <n v="5"/>
    <n v="0"/>
    <s v="HOLD"/>
    <s v="10281/2019/ĐKSP"/>
    <s v="0000034002"/>
    <d v="2025-12-31T00:00:00"/>
    <s v="163763"/>
    <n v="6.0999999999999999E-2"/>
    <n v="2688"/>
    <n v="0.30499999999999999"/>
    <x v="46"/>
    <x v="0"/>
  </r>
  <r>
    <s v="M00106"/>
    <s v="SC6100021"/>
    <s v="WELLKID MULTI-VITAMIN SMART CHEWABLE (H/30VIEN)"/>
    <s v="Q27-01-4-2"/>
    <s v="000209033"/>
    <n v="1"/>
    <n v="0"/>
    <s v="HOLD"/>
    <s v="7661/2023/ĐKSP"/>
    <s v="0000034002"/>
    <d v="2026-01-31T00:00:00"/>
    <s v="F167061"/>
    <n v="7.1999999999999995E-2"/>
    <n v="1920"/>
    <n v="7.1999999999999995E-2"/>
    <x v="90"/>
    <x v="0"/>
  </r>
  <r>
    <s v="M00106"/>
    <s v="SC6100008"/>
    <s v="MENOPACE (H/30 VIEN)"/>
    <s v="Q27-01-2-1"/>
    <s v="000209030"/>
    <n v="14"/>
    <n v="0"/>
    <s v="HOLD"/>
    <s v="9577/2019/ĐKSP"/>
    <s v="0000034002"/>
    <d v="2026-01-31T00:00:00"/>
    <s v="165074"/>
    <n v="5.3999999999999999E-2"/>
    <n v="2880"/>
    <n v="0.75600000000000001"/>
    <x v="403"/>
    <x v="0"/>
  </r>
  <r>
    <s v="HOANGDUC"/>
    <s v="HY7300057"/>
    <s v="CERADAN SKIN BARRIER REPAIR CREAM 10G"/>
    <s v="Q27-01-1-1"/>
    <s v="000209035"/>
    <n v="1"/>
    <n v="0"/>
    <s v="HOLD"/>
    <s v="199533/23/CBMP-QLD"/>
    <s v="57-33026"/>
    <d v="2025-10-31T00:00:00"/>
    <s v="131011"/>
    <n v="0.02"/>
    <n v="6000"/>
    <n v="0.02"/>
    <x v="404"/>
    <x v="0"/>
  </r>
  <r>
    <s v="M00106"/>
    <s v="SC6100006"/>
    <s v="DIABETONE (H/30 VIEN)"/>
    <s v="Q27-01-4-2"/>
    <s v="000209148"/>
    <n v="51"/>
    <n v="0"/>
    <s v="HOLD"/>
    <s v="125/2020/ĐKSP"/>
    <s v="0000034012"/>
    <d v="2025-12-31T00:00:00"/>
    <s v="191036"/>
    <n v="4.2000000000000003E-2"/>
    <n v="2880"/>
    <n v="2.1420000000000003"/>
    <x v="405"/>
    <x v="0"/>
  </r>
  <r>
    <s v="M00106"/>
    <s v="SC6100019"/>
    <s v="WELLBABY MULTI-VITAMIN LIQUID (CHAI 150ML)"/>
    <s v="Q27-01-4-2"/>
    <s v="000209147"/>
    <n v="2"/>
    <n v="0"/>
    <s v="HOLD"/>
    <s v="10643/2019/ĐKSP"/>
    <s v="0000034012"/>
    <d v="2025-12-31T00:00:00"/>
    <s v="40028"/>
    <n v="0.22600000000000001"/>
    <n v="1680"/>
    <n v="0.45200000000000001"/>
    <x v="12"/>
    <x v="0"/>
  </r>
  <r>
    <s v="M00106"/>
    <s v="SC6100004"/>
    <s v="OSTEOCARE (H/30 VIEN)"/>
    <s v="Q27-01-2-1"/>
    <s v="000209151"/>
    <n v="7"/>
    <n v="0"/>
    <s v="HOLD"/>
    <s v="8615/2019/ĐKSP"/>
    <s v="0000034012"/>
    <d v="2026-01-31T00:00:00"/>
    <s v="OT2204P"/>
    <n v="7.4999999999999997E-2"/>
    <n v="2688"/>
    <n v="0.52500000000000002"/>
    <x v="44"/>
    <x v="0"/>
  </r>
  <r>
    <s v="M00106"/>
    <s v="SC6100007"/>
    <s v="JOINTACE (H/30 VIEN)"/>
    <s v="Q27-01-4-2"/>
    <s v="000209149"/>
    <n v="21"/>
    <n v="0"/>
    <s v="HOLD"/>
    <s v="10281/2019/ĐKSP"/>
    <s v="0000034012"/>
    <d v="2025-12-31T00:00:00"/>
    <s v="163763"/>
    <n v="6.0999999999999999E-2"/>
    <n v="2688"/>
    <n v="1.2809999999999999"/>
    <x v="25"/>
    <x v="0"/>
  </r>
  <r>
    <s v="M00106"/>
    <s v="SC6100021"/>
    <s v="WELLKID MULTI-VITAMIN SMART CHEWABLE (H/30VIEN)"/>
    <s v="Q27-01-4-2"/>
    <s v="000209152"/>
    <n v="8"/>
    <n v="0"/>
    <s v="HOLD"/>
    <s v="7661/2023/ĐKSP"/>
    <s v="0000034012"/>
    <d v="2026-01-31T00:00:00"/>
    <s v="F167061"/>
    <n v="7.1999999999999995E-2"/>
    <n v="1920"/>
    <n v="0.57599999999999996"/>
    <x v="13"/>
    <x v="0"/>
  </r>
  <r>
    <s v="M00106"/>
    <s v="SC6100004"/>
    <s v="OSTEOCARE (H/30 VIEN)"/>
    <s v="Q27-01-4-2"/>
    <s v="000209153"/>
    <n v="1"/>
    <n v="0"/>
    <s v="HOLD"/>
    <s v="8615/2019/ĐKSP"/>
    <s v="0000034012"/>
    <d v="2026-01-31T00:00:00"/>
    <s v="OT2202P"/>
    <n v="7.4999999999999997E-2"/>
    <n v="2688"/>
    <n v="7.4999999999999997E-2"/>
    <x v="51"/>
    <x v="0"/>
  </r>
  <r>
    <s v="M00106"/>
    <s v="SC6100002"/>
    <s v="FEROGLOBIN B12 LIQUID 200ML"/>
    <s v="Q27-01-4-2"/>
    <s v="000209143"/>
    <n v="2"/>
    <n v="0"/>
    <s v="HOLD"/>
    <s v="8974/2019/ĐKSP"/>
    <s v="0000034012"/>
    <d v="2026-02-28T00:00:00"/>
    <s v="40426"/>
    <n v="0.3"/>
    <n v="1680"/>
    <n v="0.6"/>
    <x v="12"/>
    <x v="0"/>
  </r>
  <r>
    <s v="M00106"/>
    <s v="SC6100001"/>
    <s v="OSTEOCARE LIQUID 200ML"/>
    <s v="Q27-01-4-2"/>
    <s v="000209145"/>
    <n v="3"/>
    <n v="0"/>
    <s v="HOLD"/>
    <s v="9186/2019/ĐKSP"/>
    <s v="0000034012"/>
    <d v="2026-02-28T00:00:00"/>
    <s v="40487"/>
    <n v="0.3"/>
    <n v="1680"/>
    <n v="0.89999999999999991"/>
    <x v="55"/>
    <x v="0"/>
  </r>
  <r>
    <s v="M00106"/>
    <s v="SC6100002"/>
    <s v="FEROGLOBIN B12 LIQUID 200ML"/>
    <s v="Q27-01-4-2"/>
    <s v="000209144"/>
    <n v="3"/>
    <n v="0"/>
    <s v="HOLD"/>
    <s v="8974/2019/ĐKSP"/>
    <s v="0000034012"/>
    <d v="2025-12-31T00:00:00"/>
    <s v="40120"/>
    <n v="0.3"/>
    <n v="1680"/>
    <n v="0.89999999999999991"/>
    <x v="55"/>
    <x v="0"/>
  </r>
  <r>
    <s v="M00106"/>
    <s v="SC6100001"/>
    <s v="OSTEOCARE LIQUID 200ML"/>
    <s v="Q27-01-4-2"/>
    <s v="000209146"/>
    <n v="3"/>
    <n v="0"/>
    <s v="HOLD"/>
    <s v="9186/2019/ĐKSP"/>
    <s v="0000034012"/>
    <d v="2025-12-31T00:00:00"/>
    <s v="40153"/>
    <n v="0.3"/>
    <n v="1680"/>
    <n v="0.89999999999999991"/>
    <x v="55"/>
    <x v="0"/>
  </r>
  <r>
    <s v="M00106"/>
    <s v="SC6100008"/>
    <s v="MENOPACE (H/30 VIEN)"/>
    <s v="Q27-01-4-2"/>
    <s v="000209142"/>
    <n v="74"/>
    <n v="0"/>
    <s v="HOLD"/>
    <s v="9577/2019/ĐKSP"/>
    <s v="0000034012"/>
    <d v="2026-01-31T00:00:00"/>
    <s v="165074"/>
    <n v="5.3999999999999999E-2"/>
    <n v="2880"/>
    <n v="3.996"/>
    <x v="406"/>
    <x v="0"/>
  </r>
  <r>
    <s v="M00106"/>
    <s v="SC6100004"/>
    <s v="OSTEOCARE (H/30 VIEN)"/>
    <s v="Q27-01-2-1"/>
    <s v="000209150"/>
    <n v="20"/>
    <n v="0"/>
    <s v="HOLD"/>
    <s v="8615/2019/ĐKSP"/>
    <s v="0000034012"/>
    <d v="2026-01-31T00:00:00"/>
    <s v="OT2205P"/>
    <n v="7.4999999999999997E-2"/>
    <n v="2688"/>
    <n v="1.5"/>
    <x v="220"/>
    <x v="0"/>
  </r>
  <r>
    <s v="M00106"/>
    <s v="SC6100011"/>
    <s v="PERFECTIL (H/30 VIEN)"/>
    <s v="Q27-03-1-1"/>
    <s v="LPN010851"/>
    <n v="4"/>
    <n v="0"/>
    <s v="HOLD"/>
    <s v="9185/2019/ĐKSP"/>
    <s v="0000034016"/>
    <d v="2028-05-31T00:00:00"/>
    <s v="PFT2505A"/>
    <n v="5.8000000000000003E-2"/>
    <n v="2880"/>
    <n v="0.23200000000000001"/>
    <x v="114"/>
    <x v="4"/>
  </r>
  <r>
    <s v="M00106"/>
    <s v="SC6100003"/>
    <s v="FEROGLOBIN B12 CAPSULES (H/30 VIEN)"/>
    <s v="Q27-03-1-1"/>
    <s v="LPN010903"/>
    <n v="3"/>
    <n v="0"/>
    <s v="HOLD"/>
    <s v="9183/2019/ĐKSP"/>
    <s v="0000034016"/>
    <d v="2028-02-29T00:00:00"/>
    <s v="FW2518TA"/>
    <n v="0.04"/>
    <n v="2688"/>
    <n v="0.12"/>
    <x v="45"/>
    <x v="4"/>
  </r>
  <r>
    <s v="M00106"/>
    <s v="SC6100003"/>
    <s v="FEROGLOBIN B12 CAPSULES (H/30 VIEN)"/>
    <s v="Q27-03-1-1"/>
    <s v="LPN010990"/>
    <n v="8"/>
    <n v="0"/>
    <s v="HOLD"/>
    <s v="9183/2019/ĐKSP"/>
    <s v="0000034016"/>
    <d v="2028-02-29T00:00:00"/>
    <s v="FW2518TA"/>
    <n v="0.04"/>
    <n v="2688"/>
    <n v="0.32"/>
    <x v="41"/>
    <x v="4"/>
  </r>
  <r>
    <s v="M00106"/>
    <s v="SC6100003"/>
    <s v="FEROGLOBIN B12 CAPSULES (H/30 VIEN)"/>
    <s v="Q27-03-1-1"/>
    <s v="LPN010995"/>
    <n v="8"/>
    <n v="0"/>
    <s v="HOLD"/>
    <s v="9183/2019/ĐKSP"/>
    <s v="0000034016"/>
    <d v="2028-02-29T00:00:00"/>
    <s v="FW2518TA"/>
    <n v="0.04"/>
    <n v="2688"/>
    <n v="0.32"/>
    <x v="41"/>
    <x v="4"/>
  </r>
  <r>
    <s v="M00106"/>
    <s v="SC6100003"/>
    <s v="FEROGLOBIN B12 CAPSULES (H/30 VIEN)"/>
    <s v="Q27-03-1-2"/>
    <s v="LPN010919"/>
    <n v="1"/>
    <n v="0"/>
    <s v="HOLD"/>
    <s v="9183/2019/ĐKSP"/>
    <s v="0000034016"/>
    <d v="2028-02-29T00:00:00"/>
    <s v="FW2518TA"/>
    <n v="0.04"/>
    <n v="2688"/>
    <n v="0.04"/>
    <x v="51"/>
    <x v="4"/>
  </r>
  <r>
    <s v="M00106"/>
    <s v="SC6100003"/>
    <s v="FEROGLOBIN B12 CAPSULES (H/30 VIEN)"/>
    <s v="Q27-03-1-2"/>
    <s v="LPN010939"/>
    <n v="6"/>
    <n v="0"/>
    <s v="HOLD"/>
    <s v="9183/2019/ĐKSP"/>
    <s v="0000034016"/>
    <d v="2028-02-29T00:00:00"/>
    <s v="FW2518TA"/>
    <n v="0.04"/>
    <n v="2688"/>
    <n v="0.24"/>
    <x v="53"/>
    <x v="4"/>
  </r>
  <r>
    <s v="M00106"/>
    <s v="SC6100003"/>
    <s v="FEROGLOBIN B12 CAPSULES (H/30 VIEN)"/>
    <s v="Q27-03-1-2"/>
    <s v="LPN010941"/>
    <n v="6"/>
    <n v="0"/>
    <s v="HOLD"/>
    <s v="9183/2019/ĐKSP"/>
    <s v="0000034016"/>
    <d v="2028-02-29T00:00:00"/>
    <s v="FW2518TA"/>
    <n v="0.04"/>
    <n v="2688"/>
    <n v="0.24"/>
    <x v="53"/>
    <x v="4"/>
  </r>
  <r>
    <s v="M00106"/>
    <s v="SC6100003"/>
    <s v="FEROGLOBIN B12 CAPSULES (H/30 VIEN)"/>
    <s v="Q27-03-1-2"/>
    <s v="LPN010942"/>
    <n v="1"/>
    <n v="0"/>
    <s v="HOLD"/>
    <s v="9183/2019/ĐKSP"/>
    <s v="0000034016"/>
    <d v="2028-02-29T00:00:00"/>
    <s v="FW2518TA"/>
    <n v="0.04"/>
    <n v="2688"/>
    <n v="0.04"/>
    <x v="51"/>
    <x v="4"/>
  </r>
  <r>
    <s v="M00106"/>
    <s v="SC6100003"/>
    <s v="FEROGLOBIN B12 CAPSULES (H/30 VIEN)"/>
    <s v="Q27-03-1-2"/>
    <s v="LPN011027"/>
    <n v="1"/>
    <n v="0"/>
    <s v="HOLD"/>
    <s v="9183/2019/ĐKSP"/>
    <s v="0000034016"/>
    <d v="2028-02-29T00:00:00"/>
    <s v="FW2518TA"/>
    <n v="0.04"/>
    <n v="2688"/>
    <n v="0.04"/>
    <x v="51"/>
    <x v="4"/>
  </r>
  <r>
    <s v="M00106"/>
    <s v="SC6100019"/>
    <s v="WELLBABY MULTI-VITAMIN LIQUID (CHAI 150ML)"/>
    <s v="Q27-03-3-2"/>
    <s v="LPN010753"/>
    <n v="1"/>
    <n v="0"/>
    <s v="HOLD"/>
    <s v="10643/2019/ĐKSP"/>
    <s v="0000034016"/>
    <d v="2027-07-31T00:00:00"/>
    <s v="51137"/>
    <n v="0.22600000000000001"/>
    <n v="1680"/>
    <n v="0.22600000000000001"/>
    <x v="153"/>
    <x v="4"/>
  </r>
  <r>
    <s v="M00106"/>
    <s v="SC6100019"/>
    <s v="WELLBABY MULTI-VITAMIN LIQUID (CHAI 150ML)"/>
    <s v="Q27-03-4-2"/>
    <s v="LPN010739"/>
    <n v="16"/>
    <n v="0"/>
    <s v="HOLD"/>
    <s v="10643/2019/ĐKSP"/>
    <s v="0000034016"/>
    <d v="2027-07-31T00:00:00"/>
    <s v="51137"/>
    <n v="0.22600000000000001"/>
    <n v="1680"/>
    <n v="3.6160000000000001"/>
    <x v="93"/>
    <x v="4"/>
  </r>
  <r>
    <s v="M00106"/>
    <s v="SC6100001"/>
    <s v="OSTEOCARE LIQUID 200ML"/>
    <s v="Q27-03-3-2"/>
    <s v="LPN010773"/>
    <n v="2"/>
    <n v="0"/>
    <s v="HOLD"/>
    <s v="9186/2019/ĐKSP"/>
    <s v="0000034016"/>
    <d v="2027-08-31T00:00:00"/>
    <s v="51271"/>
    <n v="0.3"/>
    <n v="1680"/>
    <n v="0.6"/>
    <x v="12"/>
    <x v="4"/>
  </r>
  <r>
    <s v="M00106"/>
    <s v="SC6100001"/>
    <s v="OSTEOCARE LIQUID 200ML"/>
    <s v="Q27-03-4-2"/>
    <s v="LPN010742"/>
    <n v="2"/>
    <n v="0"/>
    <s v="HOLD"/>
    <s v="9186/2019/ĐKSP"/>
    <s v="0000034016"/>
    <d v="2027-08-31T00:00:00"/>
    <s v="51271"/>
    <n v="0.3"/>
    <n v="1680"/>
    <n v="0.6"/>
    <x v="12"/>
    <x v="4"/>
  </r>
  <r>
    <s v="HOANGDUC"/>
    <s v="RD1100016"/>
    <s v="STAMLO-T (HOP/ 28 VIEN)"/>
    <s v="Q26-03-5-1"/>
    <s v="000209379"/>
    <n v="1"/>
    <n v="0"/>
    <s v="HOLD"/>
    <s v="890110125423"/>
    <s v="51-425231"/>
    <d v="2027-07-31T00:00:00"/>
    <s v="V2501712"/>
    <n v="4.1000000000000002E-2"/>
    <n v="2592"/>
    <n v="4.1000000000000002E-2"/>
    <x v="181"/>
    <x v="1"/>
  </r>
  <r>
    <s v="HOANGDUC"/>
    <s v="MY1100001"/>
    <s v="TANAKAN 40MG 30TABS VN"/>
    <s v="Q26-03-5-1"/>
    <s v="000209432"/>
    <n v="1"/>
    <n v="0"/>
    <s v="HOLD"/>
    <s v="VN-16289-13"/>
    <s v="51-425445"/>
    <d v="2026-12-21T00:00:00"/>
    <s v="D51988"/>
    <n v="2.1000000000000001E-2"/>
    <n v="7150"/>
    <n v="2.1000000000000001E-2"/>
    <x v="274"/>
    <x v="1"/>
  </r>
  <r>
    <s v="HOANGDUC"/>
    <s v="MG1100043"/>
    <s v="PANFOR SR-500 (HOP/5 VI X 20 VIEN)"/>
    <s v="Q26-01-1-1"/>
    <s v="000209433"/>
    <n v="2"/>
    <n v="0"/>
    <s v="HOLD"/>
    <s v="890110015924"/>
    <s v="0000034026"/>
    <d v="2028-02-10T00:00:00"/>
    <s v="A08882501"/>
    <n v="0.12"/>
    <n v="1920"/>
    <n v="0.24"/>
    <x v="91"/>
    <x v="2"/>
  </r>
  <r>
    <s v="HOANGDUC"/>
    <s v="MG1100047"/>
    <s v="PERGLIM M-1 (HOP/5 VI X 20 VIEN)"/>
    <s v="Q26-01-1-1"/>
    <s v="000209434"/>
    <n v="8"/>
    <n v="0"/>
    <s v="HOLD"/>
    <s v="890110035323"/>
    <s v="0000034026"/>
    <d v="2027-09-09T00:00:00"/>
    <s v="A08912511"/>
    <n v="0.14399999999999999"/>
    <n v="1728"/>
    <n v="1.1519999999999999"/>
    <x v="277"/>
    <x v="2"/>
  </r>
  <r>
    <s v="HOANGDUC"/>
    <s v="DV1100350"/>
    <s v="ZOLAFREN (5MG) (HOP/28 VIEN) - EU"/>
    <s v="Q26-03-4-1"/>
    <s v="LPN010705"/>
    <n v="3"/>
    <n v="0"/>
    <s v="HOLD"/>
    <s v="590110019723"/>
    <s v="0000034052"/>
    <d v="2027-11-05T00:00:00"/>
    <s v="13595954"/>
    <n v="1.2E-2"/>
    <n v="5940"/>
    <n v="3.6000000000000004E-2"/>
    <x v="407"/>
    <x v="1"/>
  </r>
  <r>
    <s v="HOANGDUC"/>
    <s v="RD1100016"/>
    <s v="STAMLO-T (HOP/ 28 VIEN)"/>
    <s v="Q26-03-5-1"/>
    <s v="LPN010711"/>
    <n v="14"/>
    <n v="0"/>
    <s v="HOLD"/>
    <s v="890110125423"/>
    <s v="0000034051"/>
    <d v="2027-10-31T00:00:00"/>
    <s v="V2502447"/>
    <n v="4.1000000000000002E-2"/>
    <n v="2592"/>
    <n v="0.57400000000000007"/>
    <x v="408"/>
    <x v="1"/>
  </r>
  <r>
    <s v="HOANGDUC"/>
    <s v="RD1100016"/>
    <s v="STAMLO-T (HOP/ 28 VIEN)"/>
    <s v="Q26-03-4-1"/>
    <s v="LPN010744"/>
    <n v="1"/>
    <n v="0"/>
    <s v="HOLD"/>
    <s v="890110125423"/>
    <s v="0000034054"/>
    <d v="2027-10-31T00:00:00"/>
    <s v="V2502457"/>
    <n v="4.1000000000000002E-2"/>
    <n v="2592"/>
    <n v="4.1000000000000002E-2"/>
    <x v="181"/>
    <x v="1"/>
  </r>
  <r>
    <s v="HOANGDUC"/>
    <s v="RD1100016"/>
    <s v="STAMLO-T (HOP/ 28 VIEN)"/>
    <s v="Q26-03-4-1"/>
    <s v="LPN010719"/>
    <n v="13"/>
    <n v="0"/>
    <s v="HOLD"/>
    <s v="890110125423"/>
    <s v="0000034054"/>
    <d v="2027-10-31T00:00:00"/>
    <s v="V2502454"/>
    <n v="4.1000000000000002E-2"/>
    <n v="2592"/>
    <n v="0.53300000000000003"/>
    <x v="409"/>
    <x v="1"/>
  </r>
  <r>
    <s v="HOANGDUC"/>
    <s v="RD1100016"/>
    <s v="STAMLO-T (HOP/ 28 VIEN)"/>
    <s v="Q26-03-5-1"/>
    <s v="LPN010710"/>
    <n v="1"/>
    <n v="0"/>
    <s v="HOLD"/>
    <s v="890110125423"/>
    <s v="0000034054"/>
    <d v="2027-10-31T00:00:00"/>
    <s v="V2502453"/>
    <n v="4.1000000000000002E-2"/>
    <n v="2592"/>
    <n v="4.1000000000000002E-2"/>
    <x v="181"/>
    <x v="1"/>
  </r>
  <r>
    <s v="HOANGDUC"/>
    <s v="RD1100012"/>
    <s v="RIVAXORED 15MG (HOP/1VI X 14VIEN)"/>
    <s v="Q27-01-1-2"/>
    <s v="LPN011295"/>
    <n v="1"/>
    <n v="0"/>
    <s v="HOLD"/>
    <s v="VN-22642-20"/>
    <s v="0000034055"/>
    <d v="2028-10-31T00:00:00"/>
    <s v="B2503647"/>
    <n v="1.2E-2"/>
    <n v="5760"/>
    <n v="1.2E-2"/>
    <x v="410"/>
    <x v="0"/>
  </r>
  <r>
    <s v="M00184"/>
    <s v="AZ1112002"/>
    <s v="LYNPARZA PA TAB 100MG BL 7X8 EA VN"/>
    <s v="Q27-01-1-1"/>
    <s v="000209531"/>
    <n v="2"/>
    <n v="0"/>
    <s v="HOLD"/>
    <s v="001110403223"/>
    <s v="0000034058"/>
    <d v="2028-06-19T00:00:00"/>
    <s v="ST331"/>
    <n v="7.1999999999999995E-2"/>
    <n v="1600"/>
    <n v="0.14399999999999999"/>
    <x v="368"/>
    <x v="0"/>
  </r>
  <r>
    <s v="HOANGDUC"/>
    <s v="TT1300060"/>
    <s v="NHAN PHU CERADAN SKIN BARRIER REPAIR CREAM 10G"/>
    <s v="QM4-01-1-1"/>
    <s v="000209604"/>
    <n v="2200"/>
    <n v="0"/>
    <s v="HOLD"/>
    <s v="novisa"/>
    <s v=" "/>
    <d v="2027-12-31T00:00:00"/>
    <s v="_"/>
    <n v="0"/>
    <n v="0"/>
    <n v="0"/>
    <x v="16"/>
    <x v="3"/>
  </r>
  <r>
    <s v="M00184"/>
    <s v="BA1313007"/>
    <s v="VO HOP THU HOI LYNPARZA PA TAB 150MG BL 7X8 EA VN"/>
    <s v="Q27-01-1-2"/>
    <s v="000209609"/>
    <n v="703"/>
    <n v="0"/>
    <s v="HOLD"/>
    <s v="NOVISA"/>
    <s v="0000034070"/>
    <d v="2099-12-31T00:00:00"/>
    <s v="_"/>
    <n v="3.7999999999999999E-2"/>
    <n v="0"/>
    <n v="26.713999999999999"/>
    <x v="16"/>
    <x v="0"/>
  </r>
  <r>
    <s v="M00184"/>
    <s v="BA1313006"/>
    <s v="VO HOP THU HOI LYNPARZA PA TAB 100MG BL 7X8 EA VN"/>
    <s v="Q27-01-1-2"/>
    <s v="000209613"/>
    <n v="55"/>
    <n v="0"/>
    <s v="HOLD"/>
    <s v="NOVISA"/>
    <s v="0000034072"/>
    <d v="2099-12-31T00:00:00"/>
    <s v="_"/>
    <n v="3.7999999999999999E-2"/>
    <n v="3600"/>
    <n v="2.09"/>
    <x v="411"/>
    <x v="0"/>
  </r>
  <r>
    <s v="HOANGDUC"/>
    <s v="RD1100016"/>
    <s v="STAMLO-T (HOP/ 28 VIEN)"/>
    <s v="Q26-03-4-1"/>
    <s v="LPN010733"/>
    <n v="7"/>
    <n v="0"/>
    <s v="HOLD"/>
    <s v="890110125423"/>
    <s v="0000034062"/>
    <d v="2027-10-31T00:00:00"/>
    <s v="V2502446"/>
    <n v="4.1000000000000002E-2"/>
    <n v="2592"/>
    <n v="0.28700000000000003"/>
    <x v="412"/>
    <x v="1"/>
  </r>
  <r>
    <s v="HOANGDUC"/>
    <s v="RD1100016"/>
    <s v="STAMLO-T (HOP/ 28 VIEN)"/>
    <s v="Q26-03-4-1"/>
    <s v="LPN010734"/>
    <n v="3"/>
    <n v="0"/>
    <s v="HOLD"/>
    <s v="890110125423"/>
    <s v="0000034062"/>
    <d v="2027-10-31T00:00:00"/>
    <s v="V2502457"/>
    <n v="4.1000000000000002E-2"/>
    <n v="2592"/>
    <n v="0.123"/>
    <x v="210"/>
    <x v="1"/>
  </r>
  <r>
    <s v="M00106"/>
    <s v="SC6100015"/>
    <s v="PREGNACARE PLUS OMEGA 3 (H/56 VIEN)"/>
    <s v="Q27-03-1-1"/>
    <s v="000209686"/>
    <n v="1"/>
    <n v="0"/>
    <s v="HOLD"/>
    <s v="9184/2019/ĐKSP"/>
    <s v="0000034077"/>
    <d v="2026-05-31T00:00:00"/>
    <s v="PP2359"/>
    <n v="9.2999999999999999E-2"/>
    <n v="1536"/>
    <n v="9.2999999999999999E-2"/>
    <x v="35"/>
    <x v="4"/>
  </r>
  <r>
    <s v="HOANGDUC"/>
    <s v="BK364505"/>
    <s v="ORSIRO 2.25/26"/>
    <s v="Q27-01-1-1"/>
    <s v="M0003650"/>
    <n v="2"/>
    <n v="0"/>
    <s v="HOLD"/>
    <s v="NOVISA"/>
    <s v="57-33160"/>
    <d v="2025-02-01T00:00:00"/>
    <s v="01232129"/>
    <n v="0.11799999999999999"/>
    <n v="0"/>
    <n v="0.23599999999999999"/>
    <x v="16"/>
    <x v="0"/>
  </r>
  <r>
    <s v="HOANGDUC"/>
    <s v="BK364483"/>
    <s v="ORSIRO 2.75/15"/>
    <s v="Q27-01-1-1"/>
    <s v="M0003650"/>
    <n v="1"/>
    <n v="0"/>
    <s v="HOLD"/>
    <s v="NOVISA"/>
    <s v="57-33160"/>
    <d v="2025-04-02T00:00:00"/>
    <s v="03232967"/>
    <n v="0.11799999999999999"/>
    <n v="0"/>
    <n v="0.11799999999999999"/>
    <x v="16"/>
    <x v="0"/>
  </r>
  <r>
    <s v="HOANGDUC"/>
    <s v="BK364491"/>
    <s v="ORSIRO 3.5/18"/>
    <s v="Q27-01-1-1"/>
    <s v="M0003650"/>
    <n v="1"/>
    <n v="0"/>
    <s v="HOLD"/>
    <s v="NOVISA"/>
    <s v="57-33160"/>
    <d v="2025-02-28T00:00:00"/>
    <s v="02231410"/>
    <n v="0.11799999999999999"/>
    <n v="0"/>
    <n v="0.11799999999999999"/>
    <x v="16"/>
    <x v="0"/>
  </r>
  <r>
    <s v="HOANGDUC"/>
    <s v="BK364516"/>
    <s v="ORSIRO 4.0/30"/>
    <s v="Q27-01-1-1"/>
    <s v="M0003650"/>
    <n v="1"/>
    <n v="0"/>
    <s v="HOLD"/>
    <s v="NOVISA"/>
    <s v="57-33160"/>
    <d v="2025-02-04T00:00:00"/>
    <s v="01231860"/>
    <n v="0.11799999999999999"/>
    <n v="0"/>
    <n v="0.11799999999999999"/>
    <x v="16"/>
    <x v="0"/>
  </r>
  <r>
    <s v="HOANGDUC"/>
    <s v="BK364485"/>
    <s v="ORSIRO 3.5/15"/>
    <s v="Q27-01-1-1"/>
    <s v="M0003650"/>
    <n v="1"/>
    <n v="0"/>
    <s v="HOLD"/>
    <s v="NOVISA"/>
    <s v="57-33160"/>
    <d v="2025-04-10T00:00:00"/>
    <s v="03234510"/>
    <n v="0.11799999999999999"/>
    <n v="0"/>
    <n v="0.11799999999999999"/>
    <x v="16"/>
    <x v="0"/>
  </r>
  <r>
    <s v="HOANGDUC"/>
    <s v="BE-90001894"/>
    <s v="90001894 CONTOUR TS BLOOD GLUCOSE TEST STRIPS 50.S(QUE THU D"/>
    <s v="Q27-03-7-1"/>
    <s v="LPN010703"/>
    <n v="5"/>
    <n v="0"/>
    <s v="HOLD"/>
    <s v="2504506ĐKLH/HTTB-ĐKKD"/>
    <s v="0000033996"/>
    <d v="2027-08-31T00:00:00"/>
    <s v="DP5HM3F01B"/>
    <n v="0.05"/>
    <n v="7056"/>
    <n v="0.25"/>
    <x v="413"/>
    <x v="4"/>
  </r>
  <r>
    <s v="HOANGDUC"/>
    <s v="TT1300613"/>
    <s v="NHAN PHU CERADAN HYDRA MOISTURISER 80G"/>
    <s v="QM4-01-1-1"/>
    <s v="000209746"/>
    <n v="563"/>
    <n v="0"/>
    <s v="HOLD"/>
    <s v="NOVISA"/>
    <s v=" "/>
    <d v="2028-01-05T00:00:00"/>
    <s v="_"/>
    <n v="0"/>
    <n v="0"/>
    <n v="0"/>
    <x v="16"/>
    <x v="3"/>
  </r>
  <r>
    <s v="HOANGDUC"/>
    <s v="RD1100017"/>
    <s v="STAMLO-T 80/5MG (HOP/28 VIEN)"/>
    <s v="Q26-01-1-1"/>
    <s v="000210071"/>
    <n v="3"/>
    <n v="0"/>
    <s v="HOLD"/>
    <s v="890110125523"/>
    <s v="51-426717"/>
    <d v="2027-07-31T00:00:00"/>
    <s v="V2501698"/>
    <n v="4.8000000000000001E-2"/>
    <n v="2592"/>
    <n v="0.14400000000000002"/>
    <x v="210"/>
    <x v="2"/>
  </r>
  <r>
    <s v="HOANGDUC"/>
    <s v="JJENC402312"/>
    <s v="ENTERPRISE2 4MMX23MM"/>
    <s v="Q27-01-1-1"/>
    <s v="M0003671"/>
    <n v="1"/>
    <n v="0"/>
    <s v="HOLD"/>
    <s v="NOVISA"/>
    <s v="57-33302"/>
    <d v="2026-02-28T00:00:00"/>
    <s v="8219123"/>
    <n v="0.17399999999999999"/>
    <n v="0"/>
    <n v="0.17399999999999999"/>
    <x v="16"/>
    <x v="0"/>
  </r>
  <r>
    <s v="HOANGDUC"/>
    <s v="JJ640CF0620"/>
    <s v="640CF0620 VONG XOAN KIM LOAI ORBIT GALAXY"/>
    <s v="Q27-01-1-1"/>
    <s v="M0003673"/>
    <n v="1"/>
    <n v="0"/>
    <s v="HOLD"/>
    <s v="NOVISA"/>
    <s v="50-16742"/>
    <d v="2026-12-31T00:00:00"/>
    <s v="31540328"/>
    <n v="0.17399999999999999"/>
    <n v="0"/>
    <n v="0.17399999999999999"/>
    <x v="16"/>
    <x v="0"/>
  </r>
  <r>
    <s v="M00106"/>
    <s v="SC6100002"/>
    <s v="FEROGLOBIN B12 LIQUID 200ML"/>
    <s v="Q27-03-1-2"/>
    <s v="LPN010934"/>
    <n v="2"/>
    <n v="0"/>
    <s v="HOLD"/>
    <s v="8974/2019/ĐKSP"/>
    <s v="0000034179"/>
    <d v="2027-09-30T00:00:00"/>
    <s v="51330"/>
    <n v="0.3"/>
    <n v="1680"/>
    <n v="0.6"/>
    <x v="12"/>
    <x v="4"/>
  </r>
  <r>
    <s v="M00106"/>
    <s v="SC6100002"/>
    <s v="FEROGLOBIN B12 LIQUID 200ML"/>
    <s v="Q27-03-1-2"/>
    <s v="LPN010940"/>
    <n v="7"/>
    <n v="0"/>
    <s v="HOLD"/>
    <s v="8974/2019/ĐKSP"/>
    <s v="0000034179"/>
    <d v="2027-09-30T00:00:00"/>
    <s v="51330"/>
    <n v="0.3"/>
    <n v="1680"/>
    <n v="2.1"/>
    <x v="13"/>
    <x v="4"/>
  </r>
  <r>
    <s v="M00106"/>
    <s v="SC6100002"/>
    <s v="FEROGLOBIN B12 LIQUID 200ML"/>
    <s v="Q27-03-1-2"/>
    <s v="LPN011026"/>
    <n v="3"/>
    <n v="0"/>
    <s v="HOLD"/>
    <s v="8974/2019/ĐKSP"/>
    <s v="0000034179"/>
    <d v="2027-09-30T00:00:00"/>
    <s v="51330"/>
    <n v="0.3"/>
    <n v="1680"/>
    <n v="0.89999999999999991"/>
    <x v="55"/>
    <x v="4"/>
  </r>
  <r>
    <s v="M00106"/>
    <s v="SC6100002"/>
    <s v="FEROGLOBIN B12 LIQUID 200ML"/>
    <s v="Q27-03-7-1"/>
    <s v="LPN011046"/>
    <n v="17"/>
    <n v="0"/>
    <s v="HOLD"/>
    <s v="8974/2019/ĐKSP"/>
    <s v="0000034179"/>
    <d v="2027-09-30T00:00:00"/>
    <s v="51330"/>
    <n v="0.3"/>
    <n v="1680"/>
    <n v="5.0999999999999996"/>
    <x v="38"/>
    <x v="4"/>
  </r>
  <r>
    <s v="M00106"/>
    <s v="SC6100014"/>
    <s v="LIVERIL (H/30 VIEN)"/>
    <s v="Q27-03-7-1"/>
    <s v="LPN011038"/>
    <n v="72"/>
    <n v="0"/>
    <s v="HOLD"/>
    <s v="8719/2019/ĐKSP"/>
    <s v="0000034179"/>
    <d v="2028-05-31T00:00:00"/>
    <s v="LV2506P"/>
    <n v="6.8000000000000005E-2"/>
    <n v="2240"/>
    <n v="4.8960000000000008"/>
    <x v="414"/>
    <x v="4"/>
  </r>
  <r>
    <s v="M00106"/>
    <s v="SC6100019"/>
    <s v="WELLBABY MULTI-VITAMIN LIQUID (CHAI 150ML)"/>
    <s v="Q27-03-1-2"/>
    <s v="LPN010832"/>
    <n v="1"/>
    <n v="0"/>
    <s v="HOLD"/>
    <s v="10643/2019/ĐKSP"/>
    <s v="0000034179"/>
    <d v="2027-06-30T00:00:00"/>
    <s v="50963"/>
    <n v="0.22600000000000001"/>
    <n v="1680"/>
    <n v="0.22600000000000001"/>
    <x v="153"/>
    <x v="4"/>
  </r>
  <r>
    <s v="M00106"/>
    <s v="SC6100019"/>
    <s v="WELLBABY MULTI-VITAMIN LIQUID (CHAI 150ML)"/>
    <s v="Q27-03-1-1"/>
    <s v="LPN010860"/>
    <n v="2"/>
    <n v="0"/>
    <s v="HOLD"/>
    <s v="10643/2019/ĐKSP"/>
    <s v="0000034179"/>
    <d v="2027-07-31T00:00:00"/>
    <s v="51137"/>
    <n v="0.22600000000000001"/>
    <n v="1680"/>
    <n v="0.45200000000000001"/>
    <x v="12"/>
    <x v="4"/>
  </r>
  <r>
    <s v="M00106"/>
    <s v="SC6100019"/>
    <s v="WELLBABY MULTI-VITAMIN LIQUID (CHAI 150ML)"/>
    <s v="Q27-03-1-2"/>
    <s v="LPN011003"/>
    <n v="1"/>
    <n v="0"/>
    <s v="HOLD"/>
    <s v="10643/2019/ĐKSP"/>
    <s v="0000034179"/>
    <d v="2027-07-31T00:00:00"/>
    <s v="51137"/>
    <n v="0.22600000000000001"/>
    <n v="1680"/>
    <n v="0.22600000000000001"/>
    <x v="153"/>
    <x v="4"/>
  </r>
  <r>
    <s v="M00106"/>
    <s v="SC6100001"/>
    <s v="OSTEOCARE LIQUID 200ML"/>
    <s v="Q27-03-1-1"/>
    <s v="LPN010800"/>
    <n v="5"/>
    <n v="0"/>
    <s v="HOLD"/>
    <s v="9186/2019/ĐKSP"/>
    <s v="0000034179"/>
    <d v="2027-09-30T00:00:00"/>
    <s v="51340"/>
    <n v="0.3"/>
    <n v="1680"/>
    <n v="1.5"/>
    <x v="41"/>
    <x v="4"/>
  </r>
  <r>
    <s v="HD"/>
    <s v="HT1100033"/>
    <s v="DOLUTEGRAVIR, LAMIVUDINE AND TENOFOVIR DISOPROXIL FUMARATE T"/>
    <s v="Q26-03-5-1"/>
    <s v="000210447"/>
    <n v="1"/>
    <n v="0"/>
    <s v="HOLD"/>
    <s v="890110445523"/>
    <s v="51-427906"/>
    <d v="2027-02-17T00:00:00"/>
    <s v="E250782"/>
    <n v="9.4E-2"/>
    <n v="2475"/>
    <n v="9.4E-2"/>
    <x v="130"/>
    <x v="1"/>
  </r>
  <r>
    <s v="HOANGDUC"/>
    <s v="MY1100006"/>
    <s v="SMECTAGO 12STICKS VN"/>
    <s v="Q27-01-1-1"/>
    <s v="000210420"/>
    <n v="5"/>
    <n v="0"/>
    <s v="HOLD"/>
    <s v="300100774424"/>
    <s v="54-18736"/>
    <d v="2027-11-18T00:00:00"/>
    <s v="C62958"/>
    <n v="0.156"/>
    <n v="2400"/>
    <n v="0.78"/>
    <x v="9"/>
    <x v="0"/>
  </r>
  <r>
    <s v="M00184"/>
    <s v="AZ1112005"/>
    <s v="TAGRISSO PA TAB 80MG BL 3X10 EA VN"/>
    <s v="Q26-01-1-1"/>
    <s v="000210378"/>
    <n v="2"/>
    <n v="0"/>
    <s v="HOLD"/>
    <s v="VN3-36-18"/>
    <s v="0000034166"/>
    <d v="2028-01-22T00:00:00"/>
    <s v="FMDF"/>
    <n v="0.05"/>
    <n v="1500"/>
    <n v="0.1"/>
    <x v="415"/>
    <x v="2"/>
  </r>
  <r>
    <s v="M00106"/>
    <s v="SC6100004"/>
    <s v="OSTEOCARE (H/30 VIEN)"/>
    <s v="Q27-03-1-1"/>
    <s v="LPN010801"/>
    <n v="6"/>
    <n v="0"/>
    <s v="HOLD"/>
    <s v="8615/2019/ĐKSP"/>
    <s v="0000034199"/>
    <d v="2029-09-30T00:00:00"/>
    <s v="OT2508P"/>
    <n v="7.4999999999999997E-2"/>
    <n v="2688"/>
    <n v="0.44999999999999996"/>
    <x v="53"/>
    <x v="4"/>
  </r>
  <r>
    <s v="M00106"/>
    <s v="SC6100004"/>
    <s v="OSTEOCARE (H/30 VIEN)"/>
    <s v="Q27-03-3-2"/>
    <s v="LPN010786"/>
    <n v="5"/>
    <n v="0"/>
    <s v="HOLD"/>
    <s v="8615/2019/ĐKSP"/>
    <s v="0000034199"/>
    <d v="2029-09-30T00:00:00"/>
    <s v="OT2508P"/>
    <n v="7.4999999999999997E-2"/>
    <n v="2688"/>
    <n v="0.375"/>
    <x v="46"/>
    <x v="4"/>
  </r>
  <r>
    <s v="M00106"/>
    <s v="SC6100004"/>
    <s v="OSTEOCARE (H/30 VIEN)"/>
    <s v="Q27-03-1-1"/>
    <s v="LPN010795"/>
    <n v="17"/>
    <n v="0"/>
    <s v="HOLD"/>
    <s v="8615/2019/ĐKSP"/>
    <s v="0000034199"/>
    <d v="2029-09-30T00:00:00"/>
    <s v="OT2507P"/>
    <n v="7.4999999999999997E-2"/>
    <n v="2688"/>
    <n v="1.2749999999999999"/>
    <x v="288"/>
    <x v="4"/>
  </r>
  <r>
    <s v="M00106"/>
    <s v="SC6100004"/>
    <s v="OSTEOCARE (H/30 VIEN)"/>
    <s v="Q27-03-3-2"/>
    <s v="LPN010775"/>
    <n v="6"/>
    <n v="0"/>
    <s v="HOLD"/>
    <s v="8615/2019/ĐKSP"/>
    <s v="0000034199"/>
    <d v="2029-09-30T00:00:00"/>
    <s v="OT2507P"/>
    <n v="7.4999999999999997E-2"/>
    <n v="2688"/>
    <n v="0.44999999999999996"/>
    <x v="53"/>
    <x v="4"/>
  </r>
  <r>
    <s v="HOANGDUC"/>
    <s v="AZ1100007"/>
    <s v="NOLVADEX-D TAB 20MG BL 3X10 EA VN"/>
    <s v="Q26-03-5-1"/>
    <s v="000210667"/>
    <n v="1"/>
    <n v="0"/>
    <s v="HOLD"/>
    <s v="VN-19007-15"/>
    <s v="0000034221"/>
    <d v="2029-01-15T00:00:00"/>
    <s v="SV892"/>
    <n v="2.9000000000000001E-2"/>
    <n v="2880"/>
    <n v="2.9000000000000001E-2"/>
    <x v="3"/>
    <x v="1"/>
  </r>
  <r>
    <s v="HOANGDUC"/>
    <s v="WO1100005"/>
    <s v="ALFA – LIPOGAMMA 600 ORAL BOX/30.S"/>
    <s v="Q26-03-5-1"/>
    <s v="LPN010778"/>
    <n v="4"/>
    <n v="0"/>
    <s v="HOLD"/>
    <s v="400110416923"/>
    <s v="0000034227"/>
    <d v="2028-04-24T00:00:00"/>
    <s v="455012"/>
    <n v="0.5"/>
    <n v="1920"/>
    <n v="2"/>
    <x v="9"/>
    <x v="1"/>
  </r>
  <r>
    <s v="HOANGDUC"/>
    <s v="WO1200002"/>
    <s v="MILGAMMA N INJ 2ML 5.S"/>
    <s v="Q26-01-1-1"/>
    <s v="000210833"/>
    <n v="3"/>
    <n v="0"/>
    <s v="HOLD"/>
    <s v="400100083323"/>
    <s v="54-18801"/>
    <d v="2028-07-31T00:00:00"/>
    <s v="50811C"/>
    <n v="3.2000000000000001E-2"/>
    <n v="960"/>
    <n v="9.6000000000000002E-2"/>
    <x v="61"/>
    <x v="2"/>
  </r>
  <r>
    <s v="HOANGDUC"/>
    <s v="HY1300045"/>
    <s v="STERIMAR BLOCKED NOSE BABY 50 ML"/>
    <s v="Q27-03-1-1"/>
    <s v="LPN011220"/>
    <n v="1089"/>
    <n v="0"/>
    <s v="HOLD"/>
    <s v="200001777/PCBA-HN"/>
    <s v="0000034267"/>
    <d v="2026-10-31T00:00:00"/>
    <s v="FE3274B"/>
    <n v="0.1"/>
    <n v="3600"/>
    <n v="108.9"/>
    <x v="416"/>
    <x v="4"/>
  </r>
  <r>
    <s v="HOANGDUC"/>
    <s v="MG1100036"/>
    <s v="BAROLE 20 (HOP/10 VI X 10 VIEN)"/>
    <s v="Q26-01-1-1"/>
    <s v="000210928"/>
    <n v="1"/>
    <n v="0"/>
    <s v="HOLD"/>
    <s v="890110022524"/>
    <s v="0000034254"/>
    <d v="2027-09-09T00:00:00"/>
    <s v="A08872506"/>
    <n v="6.6000000000000003E-2"/>
    <n v="1344"/>
    <n v="6.6000000000000003E-2"/>
    <x v="52"/>
    <x v="2"/>
  </r>
  <r>
    <s v="HOANGDUC"/>
    <s v="RD1200016"/>
    <s v="DAPTOMRED 500 MG (H/1 LO)"/>
    <s v="Q26-01-1-1"/>
    <s v="000211012"/>
    <n v="1"/>
    <n v="0"/>
    <s v="HOLD"/>
    <s v="VN-22524-20"/>
    <s v="51-429093"/>
    <d v="2026-12-31T00:00:00"/>
    <s v="K250095"/>
    <n v="5.1999999999999998E-2"/>
    <n v="1152"/>
    <n v="5.1999999999999998E-2"/>
    <x v="71"/>
    <x v="2"/>
  </r>
  <r>
    <s v="HOANGDUC"/>
    <s v="RD1100029"/>
    <s v="HISTALONG L 5MG (HOP/20 VIEN)"/>
    <s v="Q26-03-4-1"/>
    <s v="LPN010826"/>
    <n v="3"/>
    <n v="0"/>
    <s v="HOLD"/>
    <s v="VN-22214-19"/>
    <s v="0000034277"/>
    <d v="2027-11-30T00:00:00"/>
    <s v="V2502524"/>
    <n v="1.6E-2"/>
    <n v="5184"/>
    <n v="4.8000000000000001E-2"/>
    <x v="213"/>
    <x v="1"/>
  </r>
  <r>
    <s v="HOANGDUC"/>
    <s v="RD1100029"/>
    <s v="HISTALONG L 5MG (HOP/20 VIEN)"/>
    <s v="Q26-03-6-1"/>
    <s v="LPN010833"/>
    <n v="1"/>
    <n v="0"/>
    <s v="HOLD"/>
    <s v="VN-22214-19"/>
    <s v="0000034277"/>
    <d v="2027-11-30T00:00:00"/>
    <s v="V2502526"/>
    <n v="1.6E-2"/>
    <n v="5184"/>
    <n v="1.6E-2"/>
    <x v="379"/>
    <x v="1"/>
  </r>
  <r>
    <s v="HOANGDUC"/>
    <s v="RD1100029"/>
    <s v="HISTALONG L 5MG (HOP/20 VIEN)"/>
    <s v="Q27-01-1-2"/>
    <s v="LPN011291"/>
    <n v="1"/>
    <n v="0"/>
    <s v="HOLD"/>
    <s v="VN-22214-19"/>
    <s v="0000034277"/>
    <d v="2027-11-30T00:00:00"/>
    <s v="V2502526"/>
    <n v="1.6E-2"/>
    <n v="5184"/>
    <n v="1.6E-2"/>
    <x v="379"/>
    <x v="0"/>
  </r>
  <r>
    <s v="HOANGDUC"/>
    <s v="RD1100029"/>
    <s v="HISTALONG L 5MG (HOP/20 VIEN)"/>
    <s v="Q26-03-4-1"/>
    <s v="LPN010828"/>
    <n v="1"/>
    <n v="0"/>
    <s v="HOLD"/>
    <s v="VN-22214-19"/>
    <s v="0000034277"/>
    <d v="2027-11-30T00:00:00"/>
    <s v="V2502525"/>
    <n v="1.6E-2"/>
    <n v="5184"/>
    <n v="1.6E-2"/>
    <x v="379"/>
    <x v="1"/>
  </r>
  <r>
    <s v="HOANGDUC"/>
    <s v="TT1300158"/>
    <s v="NHAN PHU - CERADAN ADVANCED MOISTURISING SKIN BARRIER CREAM"/>
    <s v="QM4-01-1-1"/>
    <s v="000211022"/>
    <n v="1998"/>
    <n v="0"/>
    <s v="HOLD"/>
    <s v="NOVISA"/>
    <s v=" "/>
    <d v="2028-01-17T00:00:00"/>
    <s v="_"/>
    <n v="0"/>
    <n v="0"/>
    <n v="0"/>
    <x v="16"/>
    <x v="3"/>
  </r>
  <r>
    <s v="HOANGDUC"/>
    <s v="AZ1200002"/>
    <s v="ZOLADEX INJ 3.6MG SS 1X1 EA VN"/>
    <s v="Q26-03-6-1"/>
    <s v="000210950"/>
    <n v="1"/>
    <n v="0"/>
    <s v="HOLD"/>
    <s v="500114177523"/>
    <s v="54-18830"/>
    <d v="2026-10-19T00:00:00"/>
    <s v="ST259"/>
    <n v="4.1000000000000002E-2"/>
    <n v="1280"/>
    <n v="4.1000000000000002E-2"/>
    <x v="115"/>
    <x v="1"/>
  </r>
  <r>
    <s v="HOANGDUC"/>
    <s v="HY1300044"/>
    <s v="STERIMAR NOSE HYGIENE BABY 50 ML"/>
    <s v="Q27-01-1-1"/>
    <s v="000211082"/>
    <n v="1"/>
    <n v="0"/>
    <s v="HOLD"/>
    <s v="200001770/PCBA-HN"/>
    <s v="54-18832"/>
    <d v="2027-01-31T00:00:00"/>
    <s v="FE4025B"/>
    <n v="0.1"/>
    <n v="3600"/>
    <n v="0.1"/>
    <x v="417"/>
    <x v="0"/>
  </r>
  <r>
    <s v="HOANGDUC"/>
    <s v="SC6100017"/>
    <s v="WELLKID MULTI-VITAMIN LIQUID (CHAI/150ML)"/>
    <s v="Q27-03-1-2"/>
    <s v="000211121"/>
    <n v="1"/>
    <n v="0"/>
    <s v="HOLD"/>
    <s v="10642/2019/ĐKSP"/>
    <s v="51-429435"/>
    <d v="2027-07-31T00:00:00"/>
    <s v="51034"/>
    <n v="0.312"/>
    <n v="1680"/>
    <n v="0.312"/>
    <x v="153"/>
    <x v="4"/>
  </r>
  <r>
    <s v="M00106"/>
    <s v="SC6100017"/>
    <s v="WELLKID MULTI-VITAMIN LIQUID (CHAI/150ML)"/>
    <s v="Q27-03-1-2"/>
    <s v="LPN010813"/>
    <n v="4"/>
    <n v="0"/>
    <s v="HOLD"/>
    <s v="10642/2019/ĐKSP"/>
    <s v="0000034293"/>
    <d v="2027-09-30T00:00:00"/>
    <s v="51407"/>
    <n v="0.312"/>
    <n v="1680"/>
    <n v="1.248"/>
    <x v="14"/>
    <x v="4"/>
  </r>
  <r>
    <s v="HOANGDUC"/>
    <s v="MY1100010"/>
    <s v="TANAKAN 40MG 30TABS VN (0302A011_NEW)"/>
    <s v="Q26-03-6-1"/>
    <s v="000211586"/>
    <n v="1"/>
    <n v="0"/>
    <s v="HOLD"/>
    <s v="VN-16289-13"/>
    <s v="0000034330"/>
    <d v="2027-08-10T00:00:00"/>
    <s v="D75637"/>
    <n v="2.1999999999999999E-2"/>
    <n v="7150"/>
    <n v="2.1999999999999999E-2"/>
    <x v="274"/>
    <x v="1"/>
  </r>
  <r>
    <s v="HOANGDUC"/>
    <s v="MG1100038"/>
    <s v="COLESTRIM SUPRA 145MG (HOP/3 VI X 10 VIEN)"/>
    <s v="Q26-01-1-1"/>
    <s v="000211588"/>
    <n v="6"/>
    <n v="0"/>
    <s v="HOLD"/>
    <s v="300110411123"/>
    <s v="0000034309"/>
    <d v="2027-12-06T00:00:00"/>
    <s v="51466"/>
    <n v="3.7999999999999999E-2"/>
    <n v="4800"/>
    <n v="0.22799999999999998"/>
    <x v="368"/>
    <x v="2"/>
  </r>
  <r>
    <s v="HOANGDUC"/>
    <s v="MG1100036"/>
    <s v="BAROLE 20 (HOP/10 VI X 10 VIEN)"/>
    <s v="Q26-01-1-1"/>
    <s v="000211587"/>
    <n v="2"/>
    <n v="0"/>
    <s v="HOLD"/>
    <s v="890110022524"/>
    <s v="0000034309"/>
    <d v="2027-09-09T00:00:00"/>
    <s v="A08872506"/>
    <n v="6.6000000000000003E-2"/>
    <n v="1344"/>
    <n v="0.13200000000000001"/>
    <x v="42"/>
    <x v="2"/>
  </r>
  <r>
    <s v="HOANGDUC"/>
    <s v="MG1100047"/>
    <s v="PERGLIM M-1 (HOP/5 VI X 20 VIEN)"/>
    <s v="Q26-01-1-1"/>
    <s v="000211589"/>
    <n v="3"/>
    <n v="0"/>
    <s v="HOLD"/>
    <s v="890110035323"/>
    <s v="0000034309"/>
    <d v="2027-09-09T00:00:00"/>
    <s v="A08912511"/>
    <n v="0.14399999999999999"/>
    <n v="1728"/>
    <n v="0.43199999999999994"/>
    <x v="70"/>
    <x v="2"/>
  </r>
  <r>
    <s v="HOANGDUC"/>
    <s v="MG1100048"/>
    <s v="PERGLIM M-2 (HOP/5 VI X 20 VIEN)"/>
    <s v="Q26-03-5-1"/>
    <s v="000211783"/>
    <n v="1"/>
    <n v="0"/>
    <s v="HOLD"/>
    <s v="890110035223"/>
    <s v="51-430475"/>
    <d v="2027-01-30T00:00:00"/>
    <s v="A08922506"/>
    <n v="0.14399999999999999"/>
    <n v="1728"/>
    <n v="0.14399999999999999"/>
    <x v="213"/>
    <x v="1"/>
  </r>
  <r>
    <s v="HOANGDUC"/>
    <s v="HT1100004"/>
    <s v="PANTIN 40 (HOP/ 30 VIEN)"/>
    <s v="Q26-03-4-1"/>
    <s v="LPN010846"/>
    <n v="5"/>
    <n v="0"/>
    <s v="HOLD"/>
    <s v="890110030325"/>
    <s v="0000034396"/>
    <d v="2027-11-30T00:00:00"/>
    <s v="FD257587B"/>
    <n v="0.02"/>
    <n v="4928"/>
    <n v="0.1"/>
    <x v="418"/>
    <x v="1"/>
  </r>
  <r>
    <s v="HOANGDUC"/>
    <s v="MG1100039"/>
    <s v="DIOPOLOL 2.5 (HOP/2 VI X 14 VIEN)"/>
    <s v="Q26-01-1-1"/>
    <s v="000211912"/>
    <n v="154"/>
    <n v="0"/>
    <s v="HOLD"/>
    <s v="539110207323"/>
    <s v="54-18964"/>
    <d v="2026-03-31T00:00:00"/>
    <s v="31139B/5"/>
    <n v="0.02"/>
    <n v="0"/>
    <n v="3.08"/>
    <x v="16"/>
    <x v="2"/>
  </r>
  <r>
    <s v="HOANGDUC"/>
    <s v="MG1100065"/>
    <s v="CILZEC 40 (HOP/3VI X 10VIEN)"/>
    <s v="Q26-01-1-1"/>
    <s v="000211913"/>
    <n v="68"/>
    <n v="0"/>
    <s v="HOLD"/>
    <s v="VN-11962-11"/>
    <s v="54-18964"/>
    <d v="2026-03-12T00:00:00"/>
    <s v="BRE03282A"/>
    <n v="2.8000000000000001E-2"/>
    <n v="6160"/>
    <n v="1.9040000000000001"/>
    <x v="419"/>
    <x v="2"/>
  </r>
  <r>
    <s v="HOANGDUC"/>
    <s v="JJ635002"/>
    <s v="ONG BOM TRUFILL DCS II"/>
    <s v="Q26-01-8-2"/>
    <s v="000211915"/>
    <n v="1"/>
    <n v="0"/>
    <s v="HOLD"/>
    <s v="NOVISA"/>
    <s v="54-18964"/>
    <d v="2026-03-31T00:00:00"/>
    <s v="96331465"/>
    <n v="0.30399999999999999"/>
    <n v="0"/>
    <n v="0.30399999999999999"/>
    <x v="16"/>
    <x v="2"/>
  </r>
  <r>
    <s v="HD"/>
    <s v="HT1100004"/>
    <s v="PANTIN 40 (HOP/ 30 VIEN)"/>
    <s v="Q26-03-4-1"/>
    <s v="LPN010850"/>
    <n v="12"/>
    <n v="0"/>
    <s v="HOLD"/>
    <s v="890110030325"/>
    <s v="0000034396"/>
    <d v="2027-11-30T00:00:00"/>
    <s v="FD257587B"/>
    <n v="0.02"/>
    <n v="4928"/>
    <n v="0.24"/>
    <x v="420"/>
    <x v="1"/>
  </r>
  <r>
    <s v="HOANGDUC"/>
    <s v="AV1100021"/>
    <s v="ALFUTOR ER TABLETS 10MG (HOP/30VIEN)"/>
    <s v="Q26-01-1-1"/>
    <s v="000212099"/>
    <n v="27"/>
    <n v="0"/>
    <s v="HOLD"/>
    <s v="890110437723"/>
    <s v="54-18999"/>
    <d v="2026-03-04T00:00:00"/>
    <s v="BGP9L002"/>
    <n v="2.8000000000000001E-2"/>
    <n v="3780"/>
    <n v="0.75600000000000001"/>
    <x v="88"/>
    <x v="2"/>
  </r>
  <r>
    <s v="HOANGDUC"/>
    <s v="AV1100021"/>
    <s v="ALFUTOR ER TABLETS 10MG (HOP/30VIEN)"/>
    <s v="Q26-01-1-1"/>
    <s v="000212098"/>
    <n v="23"/>
    <n v="0"/>
    <s v="HOLD"/>
    <s v="890110437723"/>
    <s v="54-18999"/>
    <d v="2026-03-04T00:00:00"/>
    <s v="BGP9L001"/>
    <n v="2.8000000000000001E-2"/>
    <n v="3780"/>
    <n v="0.64400000000000002"/>
    <x v="421"/>
    <x v="2"/>
  </r>
  <r>
    <s v="HOANGDUC"/>
    <s v="MG1100039"/>
    <s v="DIOPOLOL 2.5 (HOP/2 VI X 14 VIEN)"/>
    <s v="Q26-01-1-1"/>
    <s v="000212269"/>
    <n v="18"/>
    <n v="0"/>
    <s v="HOLD"/>
    <s v="539110207323"/>
    <s v="54-19019"/>
    <d v="2026-03-31T00:00:00"/>
    <s v="31238C/1"/>
    <n v="0.02"/>
    <n v="0"/>
    <n v="0.36"/>
    <x v="16"/>
    <x v="2"/>
  </r>
  <r>
    <s v="HOANGDUC"/>
    <s v="MG1100065"/>
    <s v="CILZEC 40 (HOP/3VI X 10VIEN)"/>
    <s v="Q26-01-1-1"/>
    <s v="000212270"/>
    <n v="59"/>
    <n v="0"/>
    <s v="HOLD"/>
    <s v="VN-11962-11"/>
    <s v="54-19019"/>
    <d v="2026-03-12T00:00:00"/>
    <s v="BRE03282A"/>
    <n v="2.8000000000000001E-2"/>
    <n v="6160"/>
    <n v="1.6520000000000001"/>
    <x v="422"/>
    <x v="2"/>
  </r>
  <r>
    <s v="HOANGDUC"/>
    <s v="MG1100039"/>
    <s v="DIOPOLOL 2.5 (HOP/2 VI X 14 VIEN)"/>
    <s v="Q26-01-1-1"/>
    <s v="000212268"/>
    <n v="150"/>
    <n v="0"/>
    <s v="HOLD"/>
    <s v="539110207323"/>
    <s v="54-19019"/>
    <d v="2026-03-31T00:00:00"/>
    <s v="31139B/5"/>
    <n v="0.02"/>
    <n v="0"/>
    <n v="3"/>
    <x v="16"/>
    <x v="2"/>
  </r>
  <r>
    <s v="M00106"/>
    <s v="SC6100018"/>
    <s v="PREGNACARE BREAST-FEEDING (HOP/56 VIEN NEN, 28 VIEN NANG)"/>
    <s v="Q27-03-7-2"/>
    <s v="000212261"/>
    <n v="14"/>
    <n v="0"/>
    <s v="HOLD"/>
    <s v="10645/2019/ĐKSP"/>
    <s v="0000034167"/>
    <d v="2026-10-31T00:00:00"/>
    <s v="PB2408"/>
    <n v="0.158"/>
    <n v="1152"/>
    <n v="2.2120000000000002"/>
    <x v="423"/>
    <x v="4"/>
  </r>
  <r>
    <s v="M00106"/>
    <s v="SC6100019"/>
    <s v="WELLBABY MULTI-VITAMIN LIQUID (CHAI 150ML)"/>
    <s v="Q27-03-7-2"/>
    <s v="000212212"/>
    <n v="21"/>
    <n v="0"/>
    <s v="HOLD"/>
    <s v="10643/2019/ĐKSP"/>
    <s v="0000034167"/>
    <d v="2026-12-31T00:00:00"/>
    <s v="50026"/>
    <n v="0.22600000000000001"/>
    <n v="1680"/>
    <n v="4.7460000000000004"/>
    <x v="95"/>
    <x v="4"/>
  </r>
  <r>
    <s v="M00106"/>
    <s v="SC6100003"/>
    <s v="FEROGLOBIN B12 CAPSULES (H/30 VIEN)"/>
    <s v="Q27-03-7-2"/>
    <s v="000212255"/>
    <n v="10"/>
    <n v="0"/>
    <s v="HOLD"/>
    <s v="9183/2019/ĐKSP"/>
    <s v="0000034167"/>
    <d v="2027-03-31T00:00:00"/>
    <s v="FW2404TA"/>
    <n v="0.04"/>
    <n v="2688"/>
    <n v="0.4"/>
    <x v="50"/>
    <x v="4"/>
  </r>
  <r>
    <s v="M00106"/>
    <s v="SC6100014"/>
    <s v="LIVERIL (H/30 VIEN)"/>
    <s v="Q27-01-2-1"/>
    <s v="000212224"/>
    <n v="2"/>
    <n v="0"/>
    <s v="HOLD"/>
    <s v="8719/2019/ĐKSP"/>
    <s v="0000034167"/>
    <d v="2026-02-28T00:00:00"/>
    <s v="LV2305P"/>
    <n v="6.8000000000000005E-2"/>
    <n v="2240"/>
    <n v="0.13600000000000001"/>
    <x v="57"/>
    <x v="0"/>
  </r>
  <r>
    <s v="M00106"/>
    <s v="SC6100002"/>
    <s v="FEROGLOBIN B12 LIQUID 200ML"/>
    <s v="Q27-03-7-2"/>
    <s v="000212235"/>
    <n v="2"/>
    <n v="0"/>
    <s v="HOLD"/>
    <s v="8974/2019/ĐKSP"/>
    <s v="0000034167"/>
    <d v="2026-08-31T00:00:00"/>
    <s v="41404"/>
    <n v="0.3"/>
    <n v="1680"/>
    <n v="0.6"/>
    <x v="12"/>
    <x v="4"/>
  </r>
  <r>
    <s v="M00106"/>
    <s v="SC6100014"/>
    <s v="LIVERIL (H/30 VIEN)"/>
    <s v="Q27-03-7-2"/>
    <s v="000212225"/>
    <n v="1"/>
    <n v="0"/>
    <s v="HOLD"/>
    <s v="8719/2019/ĐKSP"/>
    <s v="0000034167"/>
    <d v="2026-08-31T00:00:00"/>
    <s v="LV2312P"/>
    <n v="6.8000000000000005E-2"/>
    <n v="2240"/>
    <n v="6.8000000000000005E-2"/>
    <x v="58"/>
    <x v="4"/>
  </r>
  <r>
    <s v="M00106"/>
    <s v="SC6100002"/>
    <s v="FEROGLOBIN B12 LIQUID 200ML"/>
    <s v="Q27-03-7-2"/>
    <s v="000212237"/>
    <n v="1"/>
    <n v="0"/>
    <s v="HOLD"/>
    <s v="8974/2019/ĐKSP"/>
    <s v="0000034167"/>
    <d v="2026-08-31T00:00:00"/>
    <s v="41547"/>
    <n v="0.3"/>
    <n v="1680"/>
    <n v="0.3"/>
    <x v="153"/>
    <x v="4"/>
  </r>
  <r>
    <s v="M00106"/>
    <s v="SC6100003"/>
    <s v="FEROGLOBIN B12 CAPSULES (H/30 VIEN)"/>
    <s v="Q27-03-7-2"/>
    <s v="000212249"/>
    <n v="11"/>
    <n v="0"/>
    <s v="HOLD"/>
    <s v="9183/2019/ĐKSP"/>
    <s v="0000034167"/>
    <d v="2027-07-31T00:00:00"/>
    <s v="FW2420PA"/>
    <n v="0.04"/>
    <n v="2688"/>
    <n v="0.44"/>
    <x v="47"/>
    <x v="4"/>
  </r>
  <r>
    <s v="M00106"/>
    <s v="SC6100004"/>
    <s v="OSTEOCARE (H/30 VIEN)"/>
    <s v="Q27-01-4-2"/>
    <s v="000212200"/>
    <n v="2"/>
    <n v="0"/>
    <s v="HOLD"/>
    <s v="8615/2019/ĐKSP"/>
    <s v="0000034167"/>
    <d v="2026-01-31T00:00:00"/>
    <s v="OT2205P"/>
    <n v="7.4999999999999997E-2"/>
    <n v="2688"/>
    <n v="0.15"/>
    <x v="52"/>
    <x v="0"/>
  </r>
  <r>
    <s v="M00106"/>
    <s v="SC6100019"/>
    <s v="WELLBABY MULTI-VITAMIN LIQUID (CHAI 150ML)"/>
    <s v="Q27-03-7-2"/>
    <s v="000212219"/>
    <n v="1"/>
    <n v="0"/>
    <s v="HOLD"/>
    <s v="10643/2019/ĐKSP"/>
    <s v="0000034167"/>
    <d v="2026-07-31T00:00:00"/>
    <s v="41402"/>
    <n v="0.22600000000000001"/>
    <n v="1680"/>
    <n v="0.22600000000000001"/>
    <x v="153"/>
    <x v="4"/>
  </r>
  <r>
    <s v="M00106"/>
    <s v="SC6100003"/>
    <s v="FEROGLOBIN B12 CAPSULES (H/30 VIEN)"/>
    <s v="Q27-03-7-2"/>
    <s v="000212254"/>
    <n v="9"/>
    <n v="0"/>
    <s v="HOLD"/>
    <s v="9183/2019/ĐKSP"/>
    <s v="0000034167"/>
    <d v="2026-04-30T00:00:00"/>
    <s v="FW2302AA"/>
    <n v="0.04"/>
    <n v="2688"/>
    <n v="0.36"/>
    <x v="40"/>
    <x v="4"/>
  </r>
  <r>
    <s v="M00106"/>
    <s v="SC6100003"/>
    <s v="FEROGLOBIN B12 CAPSULES (H/30 VIEN)"/>
    <s v="Q27-03-7-2"/>
    <s v="000212252"/>
    <n v="17"/>
    <n v="0"/>
    <s v="HOLD"/>
    <s v="9183/2019/ĐKSP"/>
    <s v="0000034167"/>
    <d v="2026-08-31T00:00:00"/>
    <s v="FW2713SA"/>
    <n v="0.04"/>
    <n v="2688"/>
    <n v="0.68"/>
    <x v="288"/>
    <x v="4"/>
  </r>
  <r>
    <s v="M00106"/>
    <s v="SC6100003"/>
    <s v="FEROGLOBIN B12 CAPSULES (H/30 VIEN)"/>
    <s v="Q27-03-7-2"/>
    <s v="000212244"/>
    <n v="23"/>
    <n v="0"/>
    <s v="HOLD"/>
    <s v="9183/2019/ĐKSP"/>
    <s v="0000034167"/>
    <d v="2027-05-31T00:00:00"/>
    <s v="FW2414PA"/>
    <n v="0.04"/>
    <n v="2688"/>
    <n v="0.92"/>
    <x v="65"/>
    <x v="4"/>
  </r>
  <r>
    <s v="M00106"/>
    <s v="SC6100018"/>
    <s v="PREGNACARE BREAST-FEEDING (HOP/56 VIEN NEN, 28 VIEN NANG)"/>
    <s v="Q27-03-7-2"/>
    <s v="000212262"/>
    <n v="14"/>
    <n v="0"/>
    <s v="HOLD"/>
    <s v="10645/2019/ĐKSP"/>
    <s v="0000034167"/>
    <d v="2026-11-30T00:00:00"/>
    <s v="PB2412"/>
    <n v="0.158"/>
    <n v="1152"/>
    <n v="2.2120000000000002"/>
    <x v="423"/>
    <x v="4"/>
  </r>
  <r>
    <s v="M00106"/>
    <s v="SC6100003"/>
    <s v="FEROGLOBIN B12 CAPSULES (H/30 VIEN)"/>
    <s v="Q27-03-7-2"/>
    <s v="000212257"/>
    <n v="7"/>
    <n v="0"/>
    <s v="HOLD"/>
    <s v="9183/2019/ĐKSP"/>
    <s v="0000034167"/>
    <d v="2026-05-31T00:00:00"/>
    <s v="FW2315TA"/>
    <n v="0.04"/>
    <n v="2688"/>
    <n v="0.28000000000000003"/>
    <x v="44"/>
    <x v="4"/>
  </r>
  <r>
    <s v="M00106"/>
    <s v="SC6100017"/>
    <s v="WELLKID MULTI-VITAMIN LIQUID (CHAI/150ML)"/>
    <s v="Q27-03-7-2"/>
    <s v="000212265"/>
    <n v="2"/>
    <n v="0"/>
    <s v="HOLD"/>
    <s v="10642/2019/ĐKSP"/>
    <s v="0000034167"/>
    <d v="2027-01-31T00:00:00"/>
    <s v="50219"/>
    <n v="0.312"/>
    <n v="1680"/>
    <n v="0.624"/>
    <x v="12"/>
    <x v="4"/>
  </r>
  <r>
    <s v="M00106"/>
    <s v="SC6100003"/>
    <s v="FEROGLOBIN B12 CAPSULES (H/30 VIEN)"/>
    <s v="Q27-03-7-2"/>
    <s v="000212247"/>
    <n v="13"/>
    <n v="0"/>
    <s v="HOLD"/>
    <s v="9183/2019/ĐKSP"/>
    <s v="0000034167"/>
    <d v="2027-01-31T00:00:00"/>
    <s v="FW2402PA"/>
    <n v="0.04"/>
    <n v="2688"/>
    <n v="0.52"/>
    <x v="48"/>
    <x v="4"/>
  </r>
  <r>
    <s v="M00106"/>
    <s v="SC6100023"/>
    <s v="VISIONACE ORIGINAL (HOP/30VIEN)"/>
    <s v="Q27-03-7-2"/>
    <s v="000212228"/>
    <n v="96"/>
    <n v="0"/>
    <s v="HOLD"/>
    <s v="1737/2024/ĐKSP"/>
    <s v="0000034167"/>
    <d v="2026-07-31T00:00:00"/>
    <s v="126094A"/>
    <n v="5.0999999999999997E-2"/>
    <n v="2880"/>
    <n v="4.8959999999999999"/>
    <x v="196"/>
    <x v="4"/>
  </r>
  <r>
    <s v="M00106"/>
    <s v="SC6100002"/>
    <s v="FEROGLOBIN B12 LIQUID 200ML"/>
    <s v="Q27-03-7-2"/>
    <s v="000212229"/>
    <n v="43"/>
    <n v="0"/>
    <s v="HOLD"/>
    <s v="8974/2019/ĐKSP"/>
    <s v="0000034167"/>
    <d v="2026-04-30T00:00:00"/>
    <s v="40815"/>
    <n v="0.3"/>
    <n v="1680"/>
    <n v="12.9"/>
    <x v="295"/>
    <x v="4"/>
  </r>
  <r>
    <s v="M00106"/>
    <s v="SC6100001"/>
    <s v="OSTEOCARE LIQUID 200ML"/>
    <s v="Q27-01-2-1"/>
    <s v="000212205"/>
    <n v="6"/>
    <n v="0"/>
    <s v="HOLD"/>
    <s v="9186/2019/ĐKSP"/>
    <s v="0000034167"/>
    <d v="2026-02-28T00:00:00"/>
    <s v="40487"/>
    <n v="0.3"/>
    <n v="1680"/>
    <n v="1.7999999999999998"/>
    <x v="11"/>
    <x v="0"/>
  </r>
  <r>
    <s v="M00106"/>
    <s v="SC6100002"/>
    <s v="FEROGLOBIN B12 LIQUID 200ML"/>
    <s v="Q27-03-7-2"/>
    <s v="000212236"/>
    <n v="3"/>
    <n v="0"/>
    <s v="HOLD"/>
    <s v="8974/2019/ĐKSP"/>
    <s v="0000034167"/>
    <d v="2026-09-30T00:00:00"/>
    <s v="41694"/>
    <n v="0.3"/>
    <n v="1680"/>
    <n v="0.89999999999999991"/>
    <x v="55"/>
    <x v="4"/>
  </r>
  <r>
    <s v="M00106"/>
    <s v="SC6100001"/>
    <s v="OSTEOCARE LIQUID 200ML"/>
    <s v="Q27-03-7-2"/>
    <s v="000212202"/>
    <n v="12"/>
    <n v="0"/>
    <s v="HOLD"/>
    <s v="9186/2019/ĐKSP"/>
    <s v="0000034167"/>
    <d v="2026-12-31T00:00:00"/>
    <s v="50111"/>
    <n v="0.3"/>
    <n v="1680"/>
    <n v="3.5999999999999996"/>
    <x v="88"/>
    <x v="4"/>
  </r>
  <r>
    <s v="M00106"/>
    <s v="SC6100015"/>
    <s v="PREGNACARE PLUS OMEGA 3 (H/56 VIEN)"/>
    <s v="Q27-03-7-2"/>
    <s v="000212196"/>
    <n v="268"/>
    <n v="0"/>
    <s v="HOLD"/>
    <s v="9184/2019/ĐKSP"/>
    <s v="0000034167"/>
    <d v="2026-05-31T00:00:00"/>
    <s v="PP2359"/>
    <n v="9.2999999999999999E-2"/>
    <n v="1536"/>
    <n v="24.923999999999999"/>
    <x v="424"/>
    <x v="4"/>
  </r>
  <r>
    <s v="M00106"/>
    <s v="SC6100003"/>
    <s v="FEROGLOBIN B12 CAPSULES (H/30 VIEN)"/>
    <s v="Q27-03-7-2"/>
    <s v="000212251"/>
    <n v="22"/>
    <n v="0"/>
    <s v="HOLD"/>
    <s v="9183/2019/ĐKSP"/>
    <s v="0000034167"/>
    <d v="2027-06-30T00:00:00"/>
    <s v="FW2418PA"/>
    <n v="0.04"/>
    <n v="2688"/>
    <n v="0.88"/>
    <x v="97"/>
    <x v="4"/>
  </r>
  <r>
    <s v="M00106"/>
    <s v="SC6100019"/>
    <s v="WELLBABY MULTI-VITAMIN LIQUID (CHAI 150ML)"/>
    <s v="Q27-03-7-2"/>
    <s v="000212214"/>
    <n v="2"/>
    <n v="0"/>
    <s v="HOLD"/>
    <s v="10643/2019/ĐKSP"/>
    <s v="0000034167"/>
    <d v="2026-04-30T00:00:00"/>
    <s v="40812"/>
    <n v="0.22600000000000001"/>
    <n v="1680"/>
    <n v="0.45200000000000001"/>
    <x v="12"/>
    <x v="4"/>
  </r>
  <r>
    <s v="M00106"/>
    <s v="SC6100003"/>
    <s v="FEROGLOBIN B12 CAPSULES (H/30 VIEN)"/>
    <s v="Q27-03-7-2"/>
    <s v="000212250"/>
    <n v="32"/>
    <n v="0"/>
    <s v="HOLD"/>
    <s v="9183/2019/ĐKSP"/>
    <s v="0000034167"/>
    <d v="2027-04-30T00:00:00"/>
    <s v="FW2407PA"/>
    <n v="0.04"/>
    <n v="2688"/>
    <n v="1.28"/>
    <x v="92"/>
    <x v="4"/>
  </r>
  <r>
    <s v="M00106"/>
    <s v="SC6100014"/>
    <s v="LIVERIL (H/30 VIEN)"/>
    <s v="Q27-03-7-2"/>
    <s v="000212223"/>
    <n v="32"/>
    <n v="0"/>
    <s v="HOLD"/>
    <s v="8719/2019/ĐKSP"/>
    <s v="0000034167"/>
    <d v="2026-05-31T00:00:00"/>
    <s v="LV2309P"/>
    <n v="6.8000000000000005E-2"/>
    <n v="2240"/>
    <n v="2.1760000000000002"/>
    <x v="96"/>
    <x v="4"/>
  </r>
  <r>
    <s v="M00106"/>
    <s v="SC6100003"/>
    <s v="FEROGLOBIN B12 CAPSULES (H/30 VIEN)"/>
    <s v="Q27-03-7-2"/>
    <s v="000212242"/>
    <n v="1"/>
    <n v="0"/>
    <s v="HOLD"/>
    <s v="9183/2019/ĐKSP"/>
    <s v="0000034167"/>
    <d v="2027-12-31T00:00:00"/>
    <s v="FW2501KA"/>
    <n v="0.04"/>
    <n v="2688"/>
    <n v="0.04"/>
    <x v="51"/>
    <x v="4"/>
  </r>
  <r>
    <s v="M00106"/>
    <s v="SC6100001"/>
    <s v="OSTEOCARE LIQUID 200ML"/>
    <s v="Q27-03-7-2"/>
    <s v="000212209"/>
    <n v="13"/>
    <n v="0"/>
    <s v="HOLD"/>
    <s v="9186/2019/ĐKSP"/>
    <s v="0000034167"/>
    <d v="2026-07-31T00:00:00"/>
    <s v="41390"/>
    <n v="0.3"/>
    <n v="1680"/>
    <n v="3.9"/>
    <x v="109"/>
    <x v="4"/>
  </r>
  <r>
    <s v="M00106"/>
    <s v="SC6100017"/>
    <s v="WELLKID MULTI-VITAMIN LIQUID (CHAI/150ML)"/>
    <s v="Q27-03-7-2"/>
    <s v="000212264"/>
    <n v="10"/>
    <n v="0"/>
    <s v="HOLD"/>
    <s v="10642/2019/ĐKSP"/>
    <s v="0000034167"/>
    <d v="2026-10-31T00:00:00"/>
    <s v="41750"/>
    <n v="0.312"/>
    <n v="1680"/>
    <n v="3.12"/>
    <x v="49"/>
    <x v="4"/>
  </r>
  <r>
    <s v="M00106"/>
    <s v="SC6100001"/>
    <s v="OSTEOCARE LIQUID 200ML"/>
    <s v="Q27-03-7-2"/>
    <s v="000212207"/>
    <n v="4"/>
    <n v="0"/>
    <s v="HOLD"/>
    <s v="9186/2019/ĐKSP"/>
    <s v="0000034167"/>
    <d v="2027-03-31T00:00:00"/>
    <s v="50461"/>
    <n v="0.3"/>
    <n v="1680"/>
    <n v="1.2"/>
    <x v="14"/>
    <x v="4"/>
  </r>
  <r>
    <s v="M00106"/>
    <s v="SC6100014"/>
    <s v="LIVERIL (H/30 VIEN)"/>
    <s v="Q27-03-7-2"/>
    <s v="000212222"/>
    <n v="20"/>
    <n v="0"/>
    <s v="HOLD"/>
    <s v="8719/2019/ĐKSP"/>
    <s v="0000034167"/>
    <d v="2026-06-30T00:00:00"/>
    <s v="LV2310P"/>
    <n v="6.8000000000000005E-2"/>
    <n v="2240"/>
    <n v="1.36"/>
    <x v="100"/>
    <x v="4"/>
  </r>
  <r>
    <s v="M00106"/>
    <s v="SC6100015"/>
    <s v="PREGNACARE PLUS OMEGA 3 (H/56 VIEN)"/>
    <s v="Q27-03-7-2"/>
    <s v="000212195"/>
    <n v="64"/>
    <n v="0"/>
    <s v="HOLD"/>
    <s v="9184/2019/ĐKSP"/>
    <s v="0000034167"/>
    <d v="2026-05-31T00:00:00"/>
    <s v="PP2345"/>
    <n v="9.2999999999999999E-2"/>
    <n v="1536"/>
    <n v="5.952"/>
    <x v="194"/>
    <x v="4"/>
  </r>
  <r>
    <s v="M00106"/>
    <s v="SC6100015"/>
    <s v="PREGNACARE PLUS OMEGA 3 (H/56 VIEN)"/>
    <s v="Q27-01-4-2"/>
    <s v="000212193"/>
    <n v="4"/>
    <n v="0"/>
    <s v="HOLD"/>
    <s v="9184/2019/ĐKSP"/>
    <s v="0000034167"/>
    <d v="2026-03-31T00:00:00"/>
    <s v="PP2347"/>
    <n v="9.2999999999999999E-2"/>
    <n v="1536"/>
    <n v="0.372"/>
    <x v="44"/>
    <x v="0"/>
  </r>
  <r>
    <s v="M00106"/>
    <s v="SC6100015"/>
    <s v="PREGNACARE PLUS OMEGA 3 (H/56 VIEN)"/>
    <s v="Q27-03-7-2"/>
    <s v="000212194"/>
    <n v="6"/>
    <n v="0"/>
    <s v="HOLD"/>
    <s v="9184/2019/ĐKSP"/>
    <s v="0000034167"/>
    <d v="2027-02-28T00:00:00"/>
    <s v="PP2424"/>
    <n v="9.2999999999999999E-2"/>
    <n v="1536"/>
    <n v="0.55800000000000005"/>
    <x v="37"/>
    <x v="4"/>
  </r>
  <r>
    <s v="M00106"/>
    <s v="SC6100003"/>
    <s v="FEROGLOBIN B12 CAPSULES (H/30 VIEN)"/>
    <s v="Q27-03-7-2"/>
    <s v="000212243"/>
    <n v="4"/>
    <n v="0"/>
    <s v="HOLD"/>
    <s v="9183/2019/ĐKSP"/>
    <s v="0000034167"/>
    <d v="2027-11-30T00:00:00"/>
    <s v="FW2413TA"/>
    <n v="0.04"/>
    <n v="2688"/>
    <n v="0.16"/>
    <x v="42"/>
    <x v="4"/>
  </r>
  <r>
    <s v="M00106"/>
    <s v="SC6100003"/>
    <s v="FEROGLOBIN B12 CAPSULES (H/30 VIEN)"/>
    <s v="Q27-03-7-2"/>
    <s v="000212246"/>
    <n v="4"/>
    <n v="0"/>
    <s v="HOLD"/>
    <s v="9183/2019/ĐKSP"/>
    <s v="0000034167"/>
    <d v="2027-10-31T00:00:00"/>
    <s v="FW2402DBA"/>
    <n v="0.04"/>
    <n v="2688"/>
    <n v="0.16"/>
    <x v="42"/>
    <x v="4"/>
  </r>
  <r>
    <s v="M00106"/>
    <s v="SC6100019"/>
    <s v="WELLBABY MULTI-VITAMIN LIQUID (CHAI 150ML)"/>
    <s v="Q27-03-7-2"/>
    <s v="000212217"/>
    <n v="5"/>
    <n v="0"/>
    <s v="HOLD"/>
    <s v="10643/2019/ĐKSP"/>
    <s v="0000034167"/>
    <d v="2026-09-30T00:00:00"/>
    <s v="41630"/>
    <n v="0.22600000000000001"/>
    <n v="1680"/>
    <n v="1.1300000000000001"/>
    <x v="41"/>
    <x v="4"/>
  </r>
  <r>
    <s v="M00106"/>
    <s v="SC6100018"/>
    <s v="PREGNACARE BREAST-FEEDING (HOP/56 VIEN NEN, 28 VIEN NANG)"/>
    <s v="Q27-03-7-2"/>
    <s v="000212259"/>
    <n v="10"/>
    <n v="0"/>
    <s v="HOLD"/>
    <s v="10645/2019/ĐKSP"/>
    <s v="0000034167"/>
    <d v="2027-02-28T00:00:00"/>
    <s v="PB2418"/>
    <n v="0.158"/>
    <n v="1152"/>
    <n v="1.58"/>
    <x v="112"/>
    <x v="4"/>
  </r>
  <r>
    <s v="M00106"/>
    <s v="SC6100003"/>
    <s v="FEROGLOBIN B12 CAPSULES (H/30 VIEN)"/>
    <s v="Q27-03-7-2"/>
    <s v="000212248"/>
    <n v="15"/>
    <n v="0"/>
    <s v="HOLD"/>
    <s v="9183/2019/ĐKSP"/>
    <s v="0000034167"/>
    <d v="2027-02-28T00:00:00"/>
    <s v="FW2401TA"/>
    <n v="0.04"/>
    <n v="2688"/>
    <n v="0.6"/>
    <x v="117"/>
    <x v="4"/>
  </r>
  <r>
    <s v="M00106"/>
    <s v="SC6100003"/>
    <s v="FEROGLOBIN B12 CAPSULES (H/30 VIEN)"/>
    <s v="Q27-03-7-2"/>
    <s v="000212245"/>
    <n v="4"/>
    <n v="0"/>
    <s v="HOLD"/>
    <s v="9183/2019/ĐKSP"/>
    <s v="0000034167"/>
    <d v="2027-12-31T00:00:00"/>
    <s v="FW2502TA"/>
    <n v="0.04"/>
    <n v="2688"/>
    <n v="0.16"/>
    <x v="42"/>
    <x v="4"/>
  </r>
  <r>
    <s v="M00106"/>
    <s v="SC6100013"/>
    <s v="PREGNACARE ORIGINAL (H/30 VIEN)"/>
    <s v="Q27-03-7-2"/>
    <s v="000212227"/>
    <n v="53"/>
    <n v="0"/>
    <s v="HOLD"/>
    <s v="4140/2020/ĐKSP"/>
    <s v="0000034167"/>
    <d v="2026-06-30T00:00:00"/>
    <s v="831952A"/>
    <n v="4.9000000000000002E-2"/>
    <n v="2880"/>
    <n v="2.597"/>
    <x v="425"/>
    <x v="4"/>
  </r>
  <r>
    <s v="M00106"/>
    <s v="SC6100001"/>
    <s v="OSTEOCARE LIQUID 200ML"/>
    <s v="Q27-03-7-2"/>
    <s v="000212203"/>
    <n v="12"/>
    <n v="0"/>
    <s v="HOLD"/>
    <s v="9186/2019/ĐKSP"/>
    <s v="0000034167"/>
    <d v="2026-08-31T00:00:00"/>
    <s v="41605"/>
    <n v="0.3"/>
    <n v="1680"/>
    <n v="3.5999999999999996"/>
    <x v="88"/>
    <x v="4"/>
  </r>
  <r>
    <s v="M00106"/>
    <s v="SC6100002"/>
    <s v="FEROGLOBIN B12 LIQUID 200ML"/>
    <s v="Q27-01-4-2"/>
    <s v="000212233"/>
    <n v="5"/>
    <n v="0"/>
    <s v="HOLD"/>
    <s v="8974/2019/ĐKSP"/>
    <s v="0000034167"/>
    <d v="2025-12-31T00:00:00"/>
    <s v="40120"/>
    <n v="0.3"/>
    <n v="1680"/>
    <n v="1.5"/>
    <x v="41"/>
    <x v="0"/>
  </r>
  <r>
    <s v="M00106"/>
    <s v="SC6100019"/>
    <s v="WELLBABY MULTI-VITAMIN LIQUID (CHAI 150ML)"/>
    <s v="Q27-03-7-2"/>
    <s v="000212218"/>
    <n v="5"/>
    <n v="0"/>
    <s v="HOLD"/>
    <s v="10643/2019/ĐKSP"/>
    <s v="0000034167"/>
    <d v="2026-08-30T00:00:00"/>
    <s v="41555"/>
    <n v="0.22600000000000001"/>
    <n v="1680"/>
    <n v="1.1300000000000001"/>
    <x v="41"/>
    <x v="4"/>
  </r>
  <r>
    <s v="M00106"/>
    <s v="SC6100019"/>
    <s v="WELLBABY MULTI-VITAMIN LIQUID (CHAI 150ML)"/>
    <s v="Q27-03-7-2"/>
    <s v="000212211"/>
    <n v="27"/>
    <n v="0"/>
    <s v="HOLD"/>
    <s v="10643/2019/ĐKSP"/>
    <s v="0000034167"/>
    <d v="2026-06-30T00:00:00"/>
    <s v="41079"/>
    <n v="0.22600000000000001"/>
    <n v="1680"/>
    <n v="6.1020000000000003"/>
    <x v="371"/>
    <x v="4"/>
  </r>
  <r>
    <s v="M00106"/>
    <s v="SC6100003"/>
    <s v="FEROGLOBIN B12 CAPSULES (H/30 VIEN)"/>
    <s v="Q27-03-7-2"/>
    <s v="000212256"/>
    <n v="12"/>
    <n v="0"/>
    <s v="HOLD"/>
    <s v="9183/2019/ĐKSP"/>
    <s v="0000034167"/>
    <d v="2026-04-30T00:00:00"/>
    <s v="FW2304AA"/>
    <n v="0.04"/>
    <n v="2688"/>
    <n v="0.48"/>
    <x v="64"/>
    <x v="4"/>
  </r>
  <r>
    <s v="M00106"/>
    <s v="SC6100018"/>
    <s v="PREGNACARE BREAST-FEEDING (HOP/56 VIEN NEN, 28 VIEN NANG)"/>
    <s v="Q27-03-7-2"/>
    <s v="000212258"/>
    <n v="3"/>
    <n v="0"/>
    <s v="HOLD"/>
    <s v="10645/2019/ĐKSP"/>
    <s v="0000034167"/>
    <d v="2027-11-30T00:00:00"/>
    <s v="PB2505"/>
    <n v="0.158"/>
    <n v="1152"/>
    <n v="0.47399999999999998"/>
    <x v="44"/>
    <x v="4"/>
  </r>
  <r>
    <s v="M00106"/>
    <s v="SC6100018"/>
    <s v="PREGNACARE BREAST-FEEDING (HOP/56 VIEN NEN, 28 VIEN NANG)"/>
    <s v="Q27-03-7-2"/>
    <s v="000212263"/>
    <n v="10"/>
    <n v="0"/>
    <s v="HOLD"/>
    <s v="10645/2019/ĐKSP"/>
    <s v="0000034167"/>
    <d v="2026-10-31T00:00:00"/>
    <s v="PB2406"/>
    <n v="0.158"/>
    <n v="1152"/>
    <n v="1.58"/>
    <x v="112"/>
    <x v="4"/>
  </r>
  <r>
    <s v="M00106"/>
    <s v="SC6100002"/>
    <s v="FEROGLOBIN B12 LIQUID 200ML"/>
    <s v="Q27-03-7-2"/>
    <s v="000212238"/>
    <n v="1"/>
    <n v="0"/>
    <s v="HOLD"/>
    <s v="8974/2019/ĐKSP"/>
    <s v="0000034167"/>
    <d v="2027-04-30T00:00:00"/>
    <s v="50590"/>
    <n v="0.3"/>
    <n v="1680"/>
    <n v="0.3"/>
    <x v="153"/>
    <x v="4"/>
  </r>
  <r>
    <s v="M00106"/>
    <s v="SC6100018"/>
    <s v="PREGNACARE BREAST-FEEDING (HOP/56 VIEN NEN, 28 VIEN NANG)"/>
    <s v="Q27-03-7-2"/>
    <s v="000212260"/>
    <n v="7"/>
    <n v="0"/>
    <s v="HOLD"/>
    <s v="10645/2019/ĐKSP"/>
    <s v="0000034167"/>
    <d v="2026-09-30T00:00:00"/>
    <s v="PB2344"/>
    <n v="0.158"/>
    <n v="1152"/>
    <n v="1.1060000000000001"/>
    <x v="261"/>
    <x v="4"/>
  </r>
  <r>
    <s v="M00106"/>
    <s v="SC6100001"/>
    <s v="OSTEOCARE LIQUID 200ML"/>
    <s v="Q27-03-7-2"/>
    <s v="000212206"/>
    <n v="8"/>
    <n v="0"/>
    <s v="HOLD"/>
    <s v="9186/2019/ĐKSP"/>
    <s v="0000034167"/>
    <d v="2026-07-31T00:00:00"/>
    <s v="41302"/>
    <n v="0.3"/>
    <n v="1680"/>
    <n v="2.4"/>
    <x v="94"/>
    <x v="4"/>
  </r>
  <r>
    <s v="M00106"/>
    <s v="SC6100002"/>
    <s v="FEROGLOBIN B12 LIQUID 200ML"/>
    <s v="Q27-03-7-2"/>
    <s v="000212232"/>
    <n v="6"/>
    <n v="0"/>
    <s v="HOLD"/>
    <s v="8974/2019/ĐKSP"/>
    <s v="0000034167"/>
    <d v="2026-11-30T00:00:00"/>
    <s v="41951"/>
    <n v="0.3"/>
    <n v="1680"/>
    <n v="1.7999999999999998"/>
    <x v="11"/>
    <x v="4"/>
  </r>
  <r>
    <s v="M00106"/>
    <s v="SC6100004"/>
    <s v="OSTEOCARE (H/30 VIEN)"/>
    <s v="Q27-01-2-1"/>
    <s v="000212199"/>
    <n v="3"/>
    <n v="0"/>
    <s v="HOLD"/>
    <s v="8615/2019/ĐKSP"/>
    <s v="0000034167"/>
    <d v="2026-01-31T00:00:00"/>
    <s v="OT2203P"/>
    <n v="7.4999999999999997E-2"/>
    <n v="2688"/>
    <n v="0.22499999999999998"/>
    <x v="45"/>
    <x v="0"/>
  </r>
  <r>
    <s v="M00106"/>
    <s v="SC6100002"/>
    <s v="FEROGLOBIN B12 LIQUID 200ML"/>
    <s v="Q27-03-7-2"/>
    <s v="000212231"/>
    <n v="4"/>
    <n v="0"/>
    <s v="HOLD"/>
    <s v="8974/2019/ĐKSP"/>
    <s v="0000034167"/>
    <d v="2026-04-30T00:00:00"/>
    <s v="40683"/>
    <n v="0.3"/>
    <n v="1680"/>
    <n v="1.2"/>
    <x v="14"/>
    <x v="4"/>
  </r>
  <r>
    <s v="M00106"/>
    <s v="SC6100002"/>
    <s v="FEROGLOBIN B12 LIQUID 200ML"/>
    <s v="Q27-01-4-2"/>
    <s v="000212230"/>
    <n v="3"/>
    <n v="0"/>
    <s v="HOLD"/>
    <s v="8974/2019/ĐKSP"/>
    <s v="0000034167"/>
    <d v="2026-03-31T00:00:00"/>
    <s v="40622"/>
    <n v="0.3"/>
    <n v="1680"/>
    <n v="0.89999999999999991"/>
    <x v="55"/>
    <x v="0"/>
  </r>
  <r>
    <s v="M00106"/>
    <s v="SC6100004"/>
    <s v="OSTEOCARE (H/30 VIEN)"/>
    <s v="Q27-03-7-2"/>
    <s v="000212201"/>
    <n v="4"/>
    <n v="0"/>
    <s v="HOLD"/>
    <s v="8615/2019/ĐKSP"/>
    <s v="0000034167"/>
    <d v="2028-10-31T00:00:00"/>
    <s v="OT2409P"/>
    <n v="7.4999999999999997E-2"/>
    <n v="2688"/>
    <n v="0.3"/>
    <x v="42"/>
    <x v="4"/>
  </r>
  <r>
    <s v="M00106"/>
    <s v="SC6100004"/>
    <s v="OSTEOCARE (H/30 VIEN)"/>
    <s v="Q27-03-7-2"/>
    <s v="000212198"/>
    <n v="1"/>
    <n v="0"/>
    <s v="HOLD"/>
    <s v="8615/2019/ĐKSP"/>
    <s v="0000034167"/>
    <d v="2028-06-30T00:00:00"/>
    <s v="OT2404P"/>
    <n v="7.4999999999999997E-2"/>
    <n v="2688"/>
    <n v="7.4999999999999997E-2"/>
    <x v="51"/>
    <x v="4"/>
  </r>
  <r>
    <s v="M00106"/>
    <s v="SC6100002"/>
    <s v="FEROGLOBIN B12 LIQUID 200ML"/>
    <s v="Q27-01-4-2"/>
    <s v="000212239"/>
    <n v="4"/>
    <n v="0"/>
    <s v="HOLD"/>
    <s v="8974/2019/ĐKSP"/>
    <s v="0000034167"/>
    <d v="2026-02-28T00:00:00"/>
    <s v="40426A"/>
    <n v="0.3"/>
    <n v="1680"/>
    <n v="1.2"/>
    <x v="14"/>
    <x v="0"/>
  </r>
  <r>
    <s v="M00106"/>
    <s v="SC6100013"/>
    <s v="PREGNACARE ORIGINAL (H/30 VIEN)"/>
    <s v="Q27-03-7-2"/>
    <s v="000212226"/>
    <n v="62"/>
    <n v="0"/>
    <s v="HOLD"/>
    <s v="4140/2020/ĐKSP"/>
    <s v="0000034167"/>
    <d v="2026-04-30T00:00:00"/>
    <s v="PRW2323PA"/>
    <n v="4.9000000000000002E-2"/>
    <n v="2880"/>
    <n v="3.0380000000000003"/>
    <x v="426"/>
    <x v="4"/>
  </r>
  <r>
    <s v="M00106"/>
    <s v="SC6100003"/>
    <s v="FEROGLOBIN B12 CAPSULES (H/30 VIEN)"/>
    <s v="Q27-03-7-2"/>
    <s v="000212253"/>
    <n v="7"/>
    <n v="0"/>
    <s v="HOLD"/>
    <s v="9183/2019/ĐKSP"/>
    <s v="0000034167"/>
    <d v="2027-07-31T00:00:00"/>
    <s v="FW2422PA"/>
    <n v="0.04"/>
    <n v="2688"/>
    <n v="0.28000000000000003"/>
    <x v="44"/>
    <x v="4"/>
  </r>
  <r>
    <s v="M00106"/>
    <s v="SC6100001"/>
    <s v="OSTEOCARE LIQUID 200ML"/>
    <s v="Q27-03-7-2"/>
    <s v="000212208"/>
    <n v="1"/>
    <n v="0"/>
    <s v="HOLD"/>
    <s v="9186/2019/ĐKSP"/>
    <s v="0000034167"/>
    <d v="2027-02-28T00:00:00"/>
    <s v="50306"/>
    <n v="0.3"/>
    <n v="1680"/>
    <n v="0.3"/>
    <x v="153"/>
    <x v="4"/>
  </r>
  <r>
    <s v="M00106"/>
    <s v="SC6100015"/>
    <s v="PREGNACARE PLUS OMEGA 3 (H/56 VIEN)"/>
    <s v="Q27-03-7-2"/>
    <s v="000212197"/>
    <n v="10"/>
    <n v="0"/>
    <s v="HOLD"/>
    <s v="9184/2019/ĐKSP"/>
    <s v="0000034167"/>
    <d v="2026-05-31T00:00:00"/>
    <s v="PP2341"/>
    <n v="9.2999999999999999E-2"/>
    <n v="1536"/>
    <n v="0.92999999999999994"/>
    <x v="427"/>
    <x v="4"/>
  </r>
  <r>
    <s v="M00106"/>
    <s v="SC6100017"/>
    <s v="WELLKID MULTI-VITAMIN LIQUID (CHAI/150ML)"/>
    <s v="Q27-03-7-2"/>
    <s v="000212266"/>
    <n v="3"/>
    <n v="0"/>
    <s v="HOLD"/>
    <s v="10642/2019/ĐKSP"/>
    <s v="0000034167"/>
    <d v="2026-11-30T00:00:00"/>
    <s v="41876"/>
    <n v="0.312"/>
    <n v="1680"/>
    <n v="0.93599999999999994"/>
    <x v="55"/>
    <x v="4"/>
  </r>
  <r>
    <s v="M00106"/>
    <s v="SC6100019"/>
    <s v="WELLBABY MULTI-VITAMIN LIQUID (CHAI 150ML)"/>
    <s v="Q27-03-7-2"/>
    <s v="000212213"/>
    <n v="5"/>
    <n v="0"/>
    <s v="HOLD"/>
    <s v="10643/2019/ĐKSP"/>
    <s v="0000034167"/>
    <d v="2026-06-30T00:00:00"/>
    <s v="41096"/>
    <n v="0.22600000000000001"/>
    <n v="1680"/>
    <n v="1.1300000000000001"/>
    <x v="41"/>
    <x v="4"/>
  </r>
  <r>
    <s v="M00106"/>
    <s v="SC6100017"/>
    <s v="WELLKID MULTI-VITAMIN LIQUID (CHAI/150ML)"/>
    <s v="Q27-01-4-2"/>
    <s v="000212267"/>
    <n v="8"/>
    <n v="0"/>
    <s v="HOLD"/>
    <s v="10642/2019/ĐKSP"/>
    <s v="0000034167"/>
    <d v="2026-03-31T00:00:00"/>
    <s v="40696"/>
    <n v="0.312"/>
    <n v="1680"/>
    <n v="2.496"/>
    <x v="94"/>
    <x v="0"/>
  </r>
  <r>
    <s v="M00106"/>
    <s v="SC6100014"/>
    <s v="LIVERIL (H/30 VIEN)"/>
    <s v="Q27-03-7-2"/>
    <s v="000212220"/>
    <n v="65"/>
    <n v="0"/>
    <s v="HOLD"/>
    <s v="8719/2019/ĐKSP"/>
    <s v="0000034167"/>
    <d v="2026-05-31T00:00:00"/>
    <s v="LV2308P"/>
    <n v="6.8000000000000005E-2"/>
    <n v="2240"/>
    <n v="4.42"/>
    <x v="337"/>
    <x v="4"/>
  </r>
  <r>
    <s v="M00106"/>
    <s v="SC6100019"/>
    <s v="WELLBABY MULTI-VITAMIN LIQUID (CHAI 150ML)"/>
    <s v="Q27-03-7-2"/>
    <s v="000212216"/>
    <n v="1"/>
    <n v="0"/>
    <s v="HOLD"/>
    <s v="10643/2019/ĐKSP"/>
    <s v="0000034167"/>
    <d v="2026-08-31T00:00:00"/>
    <s v="41588"/>
    <n v="0.22600000000000001"/>
    <n v="1680"/>
    <n v="0.22600000000000001"/>
    <x v="153"/>
    <x v="4"/>
  </r>
  <r>
    <s v="M00106"/>
    <s v="SC6100002"/>
    <s v="FEROGLOBIN B12 LIQUID 200ML"/>
    <s v="Q27-03-7-2"/>
    <s v="000212234"/>
    <n v="9"/>
    <n v="0"/>
    <s v="HOLD"/>
    <s v="8974/2019/ĐKSP"/>
    <s v="0000034167"/>
    <d v="2026-11-30T00:00:00"/>
    <s v="41952"/>
    <n v="0.3"/>
    <n v="1680"/>
    <n v="2.6999999999999997"/>
    <x v="173"/>
    <x v="4"/>
  </r>
  <r>
    <s v="M00106"/>
    <s v="SC6100011"/>
    <s v="PERFECTIL (H/30 VIEN)"/>
    <s v="Q27-03-7-2"/>
    <s v="000212240"/>
    <n v="19"/>
    <n v="0"/>
    <s v="HOLD"/>
    <s v="9185/2019/ĐKSP"/>
    <s v="0000034167"/>
    <d v="2026-07-31T00:00:00"/>
    <s v="PFT2320P"/>
    <n v="5.8000000000000003E-2"/>
    <n v="2880"/>
    <n v="1.1020000000000001"/>
    <x v="264"/>
    <x v="4"/>
  </r>
  <r>
    <s v="M00106"/>
    <s v="SC6100011"/>
    <s v="PERFECTIL (H/30 VIEN)"/>
    <s v="Q27-03-7-2"/>
    <s v="000212241"/>
    <n v="3"/>
    <n v="0"/>
    <s v="HOLD"/>
    <s v="9185/2019/ĐKSP"/>
    <s v="0000034167"/>
    <d v="2026-07-31T00:00:00"/>
    <s v="PFT2319P"/>
    <n v="5.8000000000000003E-2"/>
    <n v="2880"/>
    <n v="0.17400000000000002"/>
    <x v="91"/>
    <x v="4"/>
  </r>
  <r>
    <s v="M00106"/>
    <s v="SC6100014"/>
    <s v="LIVERIL (H/30 VIEN)"/>
    <s v="Q27-03-7-2"/>
    <s v="000212221"/>
    <n v="10"/>
    <n v="0"/>
    <s v="HOLD"/>
    <s v="8719/2019/ĐKSP"/>
    <s v="0000034167"/>
    <d v="2026-04-30T00:00:00"/>
    <s v="LV2306P"/>
    <n v="6.8000000000000005E-2"/>
    <n v="2240"/>
    <n v="0.68"/>
    <x v="64"/>
    <x v="4"/>
  </r>
  <r>
    <s v="M00106"/>
    <s v="SC6100019"/>
    <s v="WELLBABY MULTI-VITAMIN LIQUID (CHAI 150ML)"/>
    <s v="Q27-03-7-2"/>
    <s v="000212210"/>
    <n v="4"/>
    <n v="0"/>
    <s v="HOLD"/>
    <s v="10643/2019/ĐKSP"/>
    <s v="0000034167"/>
    <d v="2026-04-30T00:00:00"/>
    <s v="40662"/>
    <n v="0.22600000000000001"/>
    <n v="1680"/>
    <n v="0.90400000000000003"/>
    <x v="14"/>
    <x v="4"/>
  </r>
  <r>
    <s v="M00106"/>
    <s v="SC6100001"/>
    <s v="OSTEOCARE LIQUID 200ML"/>
    <s v="Q27-01-2-1"/>
    <s v="000212204"/>
    <n v="5"/>
    <n v="0"/>
    <s v="HOLD"/>
    <s v="9186/2019/ĐKSP"/>
    <s v="0000034167"/>
    <d v="2026-02-28T00:00:00"/>
    <s v="40314"/>
    <n v="0.3"/>
    <n v="1680"/>
    <n v="1.5"/>
    <x v="41"/>
    <x v="0"/>
  </r>
  <r>
    <s v="M00106"/>
    <s v="SC6100019"/>
    <s v="WELLBABY MULTI-VITAMIN LIQUID (CHAI 150ML)"/>
    <s v="Q27-01-4-2"/>
    <s v="000212215"/>
    <n v="3"/>
    <n v="0"/>
    <s v="HOLD"/>
    <s v="10643/2019/ĐKSP"/>
    <s v="0000034167"/>
    <d v="2026-03-31T00:00:00"/>
    <s v="40505"/>
    <n v="0.22600000000000001"/>
    <n v="1680"/>
    <n v="0.67800000000000005"/>
    <x v="55"/>
    <x v="0"/>
  </r>
  <r>
    <s v="HOANGDUC"/>
    <s v="HY1300045"/>
    <s v="STERIMAR BLOCKED NOSE BABY 50 ML"/>
    <s v="Q27-01-1-1"/>
    <s v="000212506"/>
    <n v="1"/>
    <n v="0"/>
    <s v="HOLD"/>
    <s v="200001777/PCBA-HN"/>
    <s v="51-431743"/>
    <d v="2026-10-31T00:00:00"/>
    <s v="FE3274B"/>
    <n v="0.1"/>
    <n v="3600"/>
    <n v="0.1"/>
    <x v="417"/>
    <x v="0"/>
  </r>
  <r>
    <s v="M00106"/>
    <s v="SC6100004"/>
    <s v="OSTEOCARE (H/30 VIEN)"/>
    <s v="Q27-03-1-1"/>
    <s v="LPN010881"/>
    <n v="2"/>
    <n v="0"/>
    <s v="HOLD"/>
    <s v="8615/2019/ĐKSP"/>
    <s v="0000034449"/>
    <d v="2029-10-31T00:00:00"/>
    <s v="OT2516P"/>
    <n v="7.4999999999999997E-2"/>
    <n v="2688"/>
    <n v="0.15"/>
    <x v="52"/>
    <x v="4"/>
  </r>
  <r>
    <s v="M00106"/>
    <s v="SC6100004"/>
    <s v="OSTEOCARE (H/30 VIEN)"/>
    <s v="Q27-03-7-1"/>
    <s v="LPN011045"/>
    <n v="2"/>
    <n v="0"/>
    <s v="HOLD"/>
    <s v="8615/2019/ĐKSP"/>
    <s v="0000034449"/>
    <d v="2029-10-31T00:00:00"/>
    <s v="OT2516P"/>
    <n v="7.4999999999999997E-2"/>
    <n v="2688"/>
    <n v="0.15"/>
    <x v="52"/>
    <x v="4"/>
  </r>
  <r>
    <s v="M00106"/>
    <s v="SC6100004"/>
    <s v="OSTEOCARE (H/30 VIEN)"/>
    <s v="Q27-03-1-1"/>
    <s v="LPN010876"/>
    <n v="9"/>
    <n v="0"/>
    <s v="HOLD"/>
    <s v="8615/2019/ĐKSP"/>
    <s v="0000034449"/>
    <d v="2029-10-31T00:00:00"/>
    <s v="OT2515P"/>
    <n v="7.4999999999999997E-2"/>
    <n v="2688"/>
    <n v="0.67499999999999993"/>
    <x v="40"/>
    <x v="4"/>
  </r>
  <r>
    <s v="M00106"/>
    <s v="SC6100004"/>
    <s v="OSTEOCARE (H/30 VIEN)"/>
    <s v="Q27-03-1-1"/>
    <s v="LPN010877"/>
    <n v="4"/>
    <n v="0"/>
    <s v="HOLD"/>
    <s v="8615/2019/ĐKSP"/>
    <s v="0000034449"/>
    <d v="2029-10-31T00:00:00"/>
    <s v="OT2515P"/>
    <n v="7.4999999999999997E-2"/>
    <n v="2688"/>
    <n v="0.3"/>
    <x v="42"/>
    <x v="4"/>
  </r>
  <r>
    <s v="M00106"/>
    <s v="SC6100004"/>
    <s v="OSTEOCARE (H/30 VIEN)"/>
    <s v="Q27-03-1-2"/>
    <s v="LPN011037"/>
    <n v="2"/>
    <n v="0"/>
    <s v="HOLD"/>
    <s v="8615/2019/ĐKSP"/>
    <s v="0000034449"/>
    <d v="2029-10-31T00:00:00"/>
    <s v="OT2515P"/>
    <n v="7.4999999999999997E-2"/>
    <n v="2688"/>
    <n v="0.15"/>
    <x v="52"/>
    <x v="4"/>
  </r>
  <r>
    <s v="M00106"/>
    <s v="SC6100004"/>
    <s v="OSTEOCARE (H/30 VIEN)"/>
    <s v="Q27-03-7-1"/>
    <s v="LPN011043"/>
    <n v="6"/>
    <n v="0"/>
    <s v="HOLD"/>
    <s v="8615/2019/ĐKSP"/>
    <s v="0000034449"/>
    <d v="2029-10-31T00:00:00"/>
    <s v="OT2515P"/>
    <n v="7.4999999999999997E-2"/>
    <n v="2688"/>
    <n v="0.44999999999999996"/>
    <x v="53"/>
    <x v="4"/>
  </r>
  <r>
    <s v="M00106"/>
    <s v="SC6100004"/>
    <s v="OSTEOCARE (H/30 VIEN)"/>
    <s v="Q27-03-1-1"/>
    <s v="LPN010864"/>
    <n v="8"/>
    <n v="0"/>
    <s v="HOLD"/>
    <s v="8615/2019/ĐKSP"/>
    <s v="0000034449"/>
    <d v="2029-10-31T00:00:00"/>
    <s v="OT2514P"/>
    <n v="7.4999999999999997E-2"/>
    <n v="2688"/>
    <n v="0.6"/>
    <x v="41"/>
    <x v="4"/>
  </r>
  <r>
    <s v="HOANGDUC"/>
    <s v="MG1100042"/>
    <s v="PANFOR SR-1000 (HOP/5 VI X 20 VIEN)"/>
    <s v="Q26-01-1-1"/>
    <s v="000212500"/>
    <n v="3"/>
    <n v="0"/>
    <s v="HOLD"/>
    <s v="890110015824"/>
    <s v="0000034434"/>
    <d v="2028-11-08T00:00:00"/>
    <s v="A08892518"/>
    <n v="0.18"/>
    <n v="1440"/>
    <n v="0.54"/>
    <x v="9"/>
    <x v="2"/>
  </r>
  <r>
    <s v="HOANGDUC"/>
    <s v="TT1300007"/>
    <s v="NHAN PHU - FENOSUP LIDOSE 160 MG"/>
    <s v="QM4-01-1-1"/>
    <s v="000212684"/>
    <n v="1796"/>
    <n v="0"/>
    <s v="HOLD"/>
    <s v="NOVISA"/>
    <s v=" "/>
    <d v="2028-01-29T00:00:00"/>
    <s v="25H26"/>
    <n v="0"/>
    <n v="0"/>
    <n v="0"/>
    <x v="16"/>
    <x v="3"/>
  </r>
  <r>
    <s v="HOANGDUC"/>
    <s v="TT1300007"/>
    <s v="NHAN PHU - FENOSUP LIDOSE 160 MG"/>
    <s v="QM4-01-1-1"/>
    <s v="000212685"/>
    <n v="706"/>
    <n v="0"/>
    <s v="HOLD"/>
    <s v="NOVISA"/>
    <s v=" "/>
    <d v="2028-01-29T00:00:00"/>
    <s v="25H27"/>
    <n v="0"/>
    <n v="0"/>
    <n v="0"/>
    <x v="16"/>
    <x v="3"/>
  </r>
  <r>
    <s v="HOANGDUC"/>
    <s v="TT1300612"/>
    <s v="TOA TORPACE 5 - TORRENT"/>
    <s v="QM4-01-1-1"/>
    <s v="000212761"/>
    <n v="384"/>
    <n v="0"/>
    <s v="HOLD"/>
    <s v="NOVISA"/>
    <s v=" "/>
    <d v="2028-01-29T00:00:00"/>
    <s v="_"/>
    <n v="0"/>
    <n v="0"/>
    <n v="0"/>
    <x v="16"/>
    <x v="3"/>
  </r>
  <r>
    <s v="HOANGDUC"/>
    <s v="DE6100005"/>
    <s v="THUC PHAM DINH DUONG Y HOC FORTIMEL COMPACT PROTEIN 2.4 kcal"/>
    <s v="Q26-01-8-2"/>
    <s v="000213039"/>
    <n v="6"/>
    <n v="0"/>
    <s v="HOLD"/>
    <s v="1080/2024/ĐKSP"/>
    <s v="51-432377"/>
    <d v="2026-02-12T00:00:00"/>
    <s v="111480512"/>
    <n v="0.159"/>
    <n v="2496"/>
    <n v="0.95399999999999996"/>
    <x v="428"/>
    <x v="2"/>
  </r>
  <r>
    <s v="HOANGDUC"/>
    <s v="RD1100017"/>
    <s v="STAMLO-T 80/5MG (HOP/28 VIEN)"/>
    <s v="Q27-01-1-2"/>
    <s v="000212933"/>
    <n v="1"/>
    <n v="0"/>
    <s v="HOLD"/>
    <s v="890110125523"/>
    <s v="51-432653"/>
    <d v="2027-09-30T00:00:00"/>
    <s v="V2502056"/>
    <n v="4.8000000000000001E-2"/>
    <n v="2592"/>
    <n v="4.8000000000000001E-2"/>
    <x v="181"/>
    <x v="0"/>
  </r>
  <r>
    <s v="HOANGDUC"/>
    <s v="RD1100004"/>
    <s v="STAMLO 5 (H/2VI X 10VIEN)"/>
    <s v="Q26-03-5-1"/>
    <s v="000213038"/>
    <n v="1"/>
    <n v="0"/>
    <s v="HOLD"/>
    <s v="890110994224"/>
    <s v="51-432770"/>
    <d v="2027-09-30T00:00:00"/>
    <s v="B2503423"/>
    <n v="1.9E-2"/>
    <n v="5184"/>
    <n v="1.9E-2"/>
    <x v="379"/>
    <x v="1"/>
  </r>
  <r>
    <s v="HOANGDUC"/>
    <s v="HY1100008"/>
    <s v="PIASCLEDINE TAB 15.S"/>
    <s v="Q26-03-5-1"/>
    <s v="LPN010947"/>
    <n v="5"/>
    <n v="0"/>
    <s v="HOLD"/>
    <s v="300210726524"/>
    <s v="0000034526"/>
    <d v="2028-08-31T00:00:00"/>
    <s v="AA589"/>
    <n v="1.6E-2"/>
    <n v="6480"/>
    <n v="0.08"/>
    <x v="211"/>
    <x v="1"/>
  </r>
  <r>
    <s v="HOANGDUC"/>
    <s v="DE6100005"/>
    <s v="THUC PHAM DINH DUONG Y HOC FORTIMEL COMPACT PROTEIN 2.4 kcal"/>
    <s v="Q26-01-8-2"/>
    <s v="000213039"/>
    <n v="208"/>
    <n v="0"/>
    <s v="HOLD"/>
    <s v="1080/2024/ĐKSP"/>
    <s v="54-19147"/>
    <d v="2026-02-12T00:00:00"/>
    <s v="111480512"/>
    <n v="0.159"/>
    <n v="2496"/>
    <n v="33.072000000000003"/>
    <x v="429"/>
    <x v="2"/>
  </r>
  <r>
    <s v="HOANGDUC"/>
    <s v="WO1200002"/>
    <s v="MILGAMMA N INJ 2ML 5.S"/>
    <s v="Q26-01-3-2"/>
    <s v="000213028"/>
    <n v="8400"/>
    <n v="0"/>
    <s v="HOLD"/>
    <s v="400100083323"/>
    <s v="54-19141"/>
    <d v="2028-04-30T00:00:00"/>
    <s v="50526K"/>
    <n v="3.2000000000000001E-2"/>
    <n v="8400"/>
    <n v="268.8"/>
    <x v="104"/>
    <x v="2"/>
  </r>
  <r>
    <s v="HOANGDUC"/>
    <s v="WO1200002"/>
    <s v="MILGAMMA N INJ 2ML 5.S"/>
    <s v="Q26-01-4-1"/>
    <s v="000213027"/>
    <n v="8400"/>
    <n v="0"/>
    <s v="HOLD"/>
    <s v="400100083323"/>
    <s v="54-19141"/>
    <d v="2028-04-30T00:00:00"/>
    <s v="50526K"/>
    <n v="3.2000000000000001E-2"/>
    <n v="8400"/>
    <n v="268.8"/>
    <x v="104"/>
    <x v="2"/>
  </r>
  <r>
    <s v="HOANGDUC"/>
    <s v="WO1200002"/>
    <s v="MILGAMMA N INJ 2ML 5.S"/>
    <s v="Q26-01-4-2"/>
    <s v="000213026"/>
    <n v="8400"/>
    <n v="0"/>
    <s v="HOLD"/>
    <s v="400100083323"/>
    <s v="54-19141"/>
    <d v="2028-04-30T00:00:00"/>
    <s v="50526K"/>
    <n v="3.2000000000000001E-2"/>
    <n v="8400"/>
    <n v="268.8"/>
    <x v="104"/>
    <x v="2"/>
  </r>
  <r>
    <s v="HOANGDUC"/>
    <s v="WO1200002"/>
    <s v="MILGAMMA N INJ 2ML 5.S"/>
    <s v="Q26-01-5-1"/>
    <s v="000213025"/>
    <n v="8400"/>
    <n v="0"/>
    <s v="HOLD"/>
    <s v="400100083323"/>
    <s v="54-19141"/>
    <d v="2028-04-30T00:00:00"/>
    <s v="50526K"/>
    <n v="3.2000000000000001E-2"/>
    <n v="8400"/>
    <n v="268.8"/>
    <x v="104"/>
    <x v="2"/>
  </r>
  <r>
    <s v="HOANGDUC"/>
    <s v="WO1200002"/>
    <s v="MILGAMMA N INJ 2ML 5.S"/>
    <s v="Q26-01-5-2"/>
    <s v="000213029"/>
    <n v="8400"/>
    <n v="0"/>
    <s v="HOLD"/>
    <s v="400100083323"/>
    <s v="54-19141"/>
    <d v="2028-04-30T00:00:00"/>
    <s v="50526K"/>
    <n v="3.2000000000000001E-2"/>
    <n v="8400"/>
    <n v="268.8"/>
    <x v="104"/>
    <x v="2"/>
  </r>
  <r>
    <s v="HOANGDUC"/>
    <s v="WO1200002"/>
    <s v="MILGAMMA N INJ 2ML 5.S"/>
    <s v="Q26-01-8-1"/>
    <s v="000213031"/>
    <n v="5420"/>
    <n v="0"/>
    <s v="HOLD"/>
    <s v="400100083323"/>
    <s v="54-19141"/>
    <d v="2028-04-30T00:00:00"/>
    <s v="50526K"/>
    <n v="3.2000000000000001E-2"/>
    <n v="8400"/>
    <n v="173.44"/>
    <x v="430"/>
    <x v="2"/>
  </r>
  <r>
    <s v="HOANGDUC"/>
    <s v="WO1200002"/>
    <s v="MILGAMMA N INJ 2ML 5.S"/>
    <s v="Q27-01-3-2"/>
    <s v="000213030"/>
    <n v="8400"/>
    <n v="0"/>
    <s v="HOLD"/>
    <s v="400100083323"/>
    <s v="54-19141"/>
    <d v="2028-04-30T00:00:00"/>
    <s v="50526K"/>
    <n v="3.2000000000000001E-2"/>
    <n v="8400"/>
    <n v="268.8"/>
    <x v="104"/>
    <x v="0"/>
  </r>
  <r>
    <s v="HOANGDUC"/>
    <s v="RH1300181"/>
    <s v="THUOC NHO MAT (V.ROHTO VITAMIN) 13 ML"/>
    <s v="Q26-02-1-1"/>
    <s v="000213100"/>
    <n v="1"/>
    <n v="0"/>
    <s v="HOLD"/>
    <s v="893100475324"/>
    <s v="51-433048"/>
    <d v="2028-09-29T00:00:00"/>
    <s v="IB06"/>
    <n v="2.9000000000000001E-2"/>
    <n v="8000"/>
    <n v="2.9000000000000001E-2"/>
    <x v="431"/>
    <x v="5"/>
  </r>
  <r>
    <s v="HOANGDUC"/>
    <s v="RH1300347"/>
    <s v="THUOC NHO MAT (V.ROHTO COOL) 12 ML (MAU MOI 2024)"/>
    <s v="Q26-02-1-1"/>
    <s v="000213159"/>
    <n v="3"/>
    <n v="0"/>
    <s v="HOLD"/>
    <s v="VD-28602-17"/>
    <s v="51-433144"/>
    <d v="2028-08-12T00:00:00"/>
    <s v="HB03"/>
    <n v="2.9000000000000001E-2"/>
    <n v="8000"/>
    <n v="8.7000000000000008E-2"/>
    <x v="432"/>
    <x v="5"/>
  </r>
  <r>
    <s v="HOANGDUC"/>
    <s v="RH1300356"/>
    <s v="THUOC NHO MAT CHO TRE EM (V.ROHTO FOR KIDS) 13 ML (RX)"/>
    <s v="Q26-02-1-1"/>
    <s v="000213158"/>
    <n v="6"/>
    <n v="0"/>
    <s v="HOLD"/>
    <s v="893110353023"/>
    <s v="51-433144"/>
    <d v="2028-02-24T00:00:00"/>
    <s v="BB01"/>
    <n v="0.03"/>
    <n v="8000"/>
    <n v="0.18"/>
    <x v="433"/>
    <x v="5"/>
  </r>
  <r>
    <s v="HOANGDUC"/>
    <s v="RH1300357"/>
    <s v="THUOC NHO MAT (NEW V-ROHTO) 13ML (RX)"/>
    <s v="Q26-02-1-1"/>
    <s v="000213156"/>
    <n v="5"/>
    <n v="0"/>
    <s v="HOLD"/>
    <s v="893110352923"/>
    <s v="51-425648"/>
    <d v="2028-08-06T00:00:00"/>
    <s v="HB02"/>
    <n v="2.9000000000000001E-2"/>
    <n v="8000"/>
    <n v="0.14500000000000002"/>
    <x v="434"/>
    <x v="5"/>
  </r>
  <r>
    <s v="HOANGDUC"/>
    <s v="DE6100005"/>
    <s v="THUC PHAM DINH DUONG Y HOC FORTIMEL COMPACT PROTEIN 2.4 kcal"/>
    <s v="Q26-01-8-2"/>
    <s v="000213039"/>
    <n v="144"/>
    <n v="0"/>
    <s v="HOLD"/>
    <s v="1080/2024/ĐKSP"/>
    <s v="54-19176"/>
    <d v="2026-02-12T00:00:00"/>
    <s v="111480512"/>
    <n v="0.159"/>
    <n v="2496"/>
    <n v="22.896000000000001"/>
    <x v="435"/>
    <x v="2"/>
  </r>
  <r>
    <s v="M00184"/>
    <s v="AZ1112005"/>
    <s v="TAGRISSO PA TAB 80MG BL 3X10 EA VN"/>
    <s v="Q26-01-1-1"/>
    <s v="000213260"/>
    <n v="1"/>
    <n v="0"/>
    <s v="HOLD"/>
    <s v="VN3-36-18"/>
    <s v="0000034549"/>
    <d v="2028-02-10T00:00:00"/>
    <s v="FMFY"/>
    <n v="0.05"/>
    <n v="1500"/>
    <n v="0.05"/>
    <x v="374"/>
    <x v="2"/>
  </r>
  <r>
    <s v="M00184"/>
    <s v="AZ1113001"/>
    <s v="TAGRISSO PA TAB 80MG BL 1X10 EA VN"/>
    <s v="Q26-01-1-1"/>
    <s v="000213262"/>
    <n v="3"/>
    <n v="0"/>
    <s v="HOLD"/>
    <s v="VN3-36-18"/>
    <s v="0000034551"/>
    <d v="2027-06-03T00:00:00"/>
    <s v="FLVS"/>
    <n v="0.03"/>
    <n v="2200"/>
    <n v="0.09"/>
    <x v="367"/>
    <x v="2"/>
  </r>
  <r>
    <s v="HOANGDUC"/>
    <s v="BS1300010"/>
    <s v="PAPILOCARE (7 CANNULAS X 5ML)"/>
    <s v="Q27-01-1-2"/>
    <s v="LPN010908"/>
    <n v="21"/>
    <n v="0"/>
    <s v="HOLD"/>
    <s v="250001610/PCBB-HCM"/>
    <s v="0000034561"/>
    <d v="2029-05-31T00:00:00"/>
    <s v="X0431"/>
    <n v="7.8E-2"/>
    <n v="1344"/>
    <n v="1.6379999999999999"/>
    <x v="207"/>
    <x v="0"/>
  </r>
  <r>
    <s v="HOANGDUC"/>
    <s v="BS1300010"/>
    <s v="PAPILOCARE (7 CANNULAS X 5ML)"/>
    <s v="Q27-01-1-2"/>
    <s v="LPN010909"/>
    <n v="1"/>
    <n v="0"/>
    <s v="HOLD"/>
    <s v="250001610/PCBB-HCM"/>
    <s v="0000034561"/>
    <d v="2029-05-31T00:00:00"/>
    <s v="X0431"/>
    <n v="7.8E-2"/>
    <n v="1344"/>
    <n v="7.8E-2"/>
    <x v="52"/>
    <x v="0"/>
  </r>
  <r>
    <s v="HOANGDUC"/>
    <s v="MG1100044"/>
    <s v="PANFOR SR-750 (HOP/10 VI X 10 VIEN)"/>
    <s v="Q26-01-1-1"/>
    <s v="000213464"/>
    <n v="6"/>
    <n v="0"/>
    <s v="HOLD"/>
    <s v="VN-20188-16"/>
    <s v="0000034543"/>
    <d v="2027-11-07T00:00:00"/>
    <s v="A08902515"/>
    <n v="0.154"/>
    <n v="1536"/>
    <n v="0.92399999999999993"/>
    <x v="37"/>
    <x v="2"/>
  </r>
  <r>
    <s v="HOANGDUC"/>
    <s v="WO1100004"/>
    <s v="SILYGAMMA 150MG 100.S"/>
    <s v="Q26-03-5-1"/>
    <s v="000213570"/>
    <n v="0.25"/>
    <n v="0"/>
    <s v="HOLD"/>
    <s v="VN-16542-13"/>
    <s v="50-17068"/>
    <d v="2028-07-31T00:00:00"/>
    <s v="468659A"/>
    <n v="0.09"/>
    <n v="2160"/>
    <n v="2.2499999999999999E-2"/>
    <x v="436"/>
    <x v="1"/>
  </r>
  <r>
    <s v="HOANGDUC"/>
    <s v="HY1300049"/>
    <s v="STERIMAR BLOCKED NOSE 50 ML"/>
    <s v="Q27-03-1-1"/>
    <s v="LPN011217"/>
    <n v="30"/>
    <n v="0"/>
    <s v="HOLD"/>
    <s v="200001776/PCBA-HN"/>
    <s v="50-17087"/>
    <d v="2026-10-31T00:00:00"/>
    <s v="FE3304C"/>
    <n v="0.1"/>
    <n v="4800"/>
    <n v="3"/>
    <x v="316"/>
    <x v="4"/>
  </r>
  <r>
    <s v="HOANGDUC"/>
    <s v="HY1100001"/>
    <s v="DORITHRICIN TAB 20.S"/>
    <s v="Q26-01-1-2"/>
    <s v="LPN011034"/>
    <n v="6"/>
    <n v="0"/>
    <s v="HOLD"/>
    <s v="400100014224"/>
    <s v="50-17087"/>
    <d v="2026-07-22T00:00:00"/>
    <s v="2457202"/>
    <n v="0.04"/>
    <n v="9000"/>
    <n v="0.24"/>
    <x v="374"/>
    <x v="2"/>
  </r>
  <r>
    <s v="M00106"/>
    <s v="SC6100019"/>
    <s v="WELLBABY MULTI-VITAMIN LIQUID (CHAI 150ML)"/>
    <s v="Q27-01-2-1"/>
    <s v="000213741"/>
    <n v="10"/>
    <n v="0"/>
    <s v="HOLD"/>
    <s v="10643/2019/ĐKSP"/>
    <s v="0000034625"/>
    <d v="2026-07-31T00:00:00"/>
    <s v="41401"/>
    <n v="0.22600000000000001"/>
    <n v="1680"/>
    <n v="2.2600000000000002"/>
    <x v="49"/>
    <x v="0"/>
  </r>
  <r>
    <s v="M00106"/>
    <s v="SC6100019"/>
    <s v="WELLBABY MULTI-VITAMIN LIQUID (CHAI 150ML)"/>
    <s v="Q27-01-2-1"/>
    <s v="000213742"/>
    <n v="4"/>
    <n v="0"/>
    <s v="HOLD"/>
    <s v="10643/2019/ĐKSP"/>
    <s v="0000034625"/>
    <d v="2026-09-30T00:00:00"/>
    <s v="41630"/>
    <n v="0.22600000000000001"/>
    <n v="1680"/>
    <n v="0.90400000000000003"/>
    <x v="14"/>
    <x v="0"/>
  </r>
  <r>
    <s v="M00106"/>
    <s v="SC6100019"/>
    <s v="WELLBABY MULTI-VITAMIN LIQUID (CHAI 150ML)"/>
    <s v="Q27-01-2-1"/>
    <s v="000213743"/>
    <n v="14"/>
    <n v="0"/>
    <s v="HOLD"/>
    <s v="10643/2019/ĐKSP"/>
    <s v="0000034625"/>
    <d v="2026-06-30T00:00:00"/>
    <s v="41096"/>
    <n v="0.22600000000000001"/>
    <n v="1680"/>
    <n v="3.1640000000000001"/>
    <x v="317"/>
    <x v="0"/>
  </r>
  <r>
    <s v="M00106"/>
    <s v="SC6100019"/>
    <s v="WELLBABY MULTI-VITAMIN LIQUID (CHAI 150ML)"/>
    <s v="Q27-01-2-1"/>
    <s v="000213746"/>
    <n v="12"/>
    <n v="0"/>
    <s v="HOLD"/>
    <s v="10643/2019/ĐKSP"/>
    <s v="0000034625"/>
    <d v="2026-08-31T00:00:00"/>
    <s v="41588"/>
    <n v="0.22600000000000001"/>
    <n v="1680"/>
    <n v="2.7120000000000002"/>
    <x v="88"/>
    <x v="0"/>
  </r>
  <r>
    <s v="M00106"/>
    <s v="SC6100019"/>
    <s v="WELLBABY MULTI-VITAMIN LIQUID (CHAI 150ML)"/>
    <s v="Q27-01-2-1"/>
    <s v="000213744"/>
    <n v="41"/>
    <n v="0"/>
    <s v="HOLD"/>
    <s v="10643/2019/ĐKSP"/>
    <s v="0000034625"/>
    <d v="2026-07-31T00:00:00"/>
    <s v="41402"/>
    <n v="0.22600000000000001"/>
    <n v="1680"/>
    <n v="9.266"/>
    <x v="180"/>
    <x v="0"/>
  </r>
  <r>
    <s v="M00106"/>
    <s v="SC6100019"/>
    <s v="WELLBABY MULTI-VITAMIN LIQUID (CHAI 150ML)"/>
    <s v="Q27-01-2-1"/>
    <s v="000213745"/>
    <n v="26"/>
    <n v="0"/>
    <s v="HOLD"/>
    <s v="10643/2019/ĐKSP"/>
    <s v="0000034625"/>
    <d v="2026-08-30T00:00:00"/>
    <s v="41555"/>
    <n v="0.22600000000000001"/>
    <n v="1680"/>
    <n v="5.8760000000000003"/>
    <x v="437"/>
    <x v="0"/>
  </r>
  <r>
    <s v="M00106"/>
    <s v="SC6100014"/>
    <s v="LIVERIL (H/30 VIEN)"/>
    <s v="Q27-01-2-1"/>
    <s v="000213723"/>
    <n v="7"/>
    <n v="0"/>
    <s v="HOLD"/>
    <s v="8719/2019/ĐKSP"/>
    <s v="0000034625"/>
    <d v="2026-08-31T00:00:00"/>
    <s v="LV2312P"/>
    <n v="6.8000000000000005E-2"/>
    <n v="2240"/>
    <n v="0.47600000000000003"/>
    <x v="61"/>
    <x v="0"/>
  </r>
  <r>
    <s v="M00106"/>
    <s v="SC6100014"/>
    <s v="LIVERIL (H/30 VIEN)"/>
    <s v="Q27-01-2-1"/>
    <s v="000213721"/>
    <n v="3"/>
    <n v="0"/>
    <s v="HOLD"/>
    <s v="8719/2019/ĐKSP"/>
    <s v="0000034625"/>
    <d v="2026-05-31T00:00:00"/>
    <s v="LV2308P"/>
    <n v="6.8000000000000005E-2"/>
    <n v="2240"/>
    <n v="0.20400000000000001"/>
    <x v="56"/>
    <x v="0"/>
  </r>
  <r>
    <s v="M00106"/>
    <s v="SC6100014"/>
    <s v="LIVERIL (H/30 VIEN)"/>
    <s v="Q27-01-2-1"/>
    <s v="000213725"/>
    <n v="1"/>
    <n v="0"/>
    <s v="HOLD"/>
    <s v="8719/2019/ĐKSP"/>
    <s v="0000034625"/>
    <d v="2027-10-31T00:00:00"/>
    <s v="LV2413P"/>
    <n v="6.8000000000000005E-2"/>
    <n v="2240"/>
    <n v="6.8000000000000005E-2"/>
    <x v="58"/>
    <x v="0"/>
  </r>
  <r>
    <s v="M00106"/>
    <s v="SC6100014"/>
    <s v="LIVERIL (H/30 VIEN)"/>
    <s v="Q27-01-2-1"/>
    <s v="000213722"/>
    <n v="4"/>
    <n v="0"/>
    <s v="HOLD"/>
    <s v="8719/2019/ĐKSP"/>
    <s v="0000034625"/>
    <d v="2026-07-31T00:00:00"/>
    <s v="LV2311P"/>
    <n v="6.8000000000000005E-2"/>
    <n v="2240"/>
    <n v="0.27200000000000002"/>
    <x v="55"/>
    <x v="0"/>
  </r>
  <r>
    <s v="M00106"/>
    <s v="SC6100014"/>
    <s v="LIVERIL (H/30 VIEN)"/>
    <s v="Q27-01-2-1"/>
    <s v="000213724"/>
    <n v="1"/>
    <n v="0"/>
    <s v="HOLD"/>
    <s v="8719/2019/ĐKSP"/>
    <s v="0000034625"/>
    <d v="2027-12-31T00:00:00"/>
    <s v="LV2501P"/>
    <n v="6.8000000000000005E-2"/>
    <n v="2240"/>
    <n v="6.8000000000000005E-2"/>
    <x v="58"/>
    <x v="0"/>
  </r>
  <r>
    <s v="M00106"/>
    <s v="SC6100015"/>
    <s v="PREGNACARE PLUS OMEGA 3 (H/56 VIEN)"/>
    <s v="Q27-01-2-1"/>
    <s v="000213740"/>
    <n v="2"/>
    <n v="0"/>
    <s v="HOLD"/>
    <s v="9184/2019/ĐKSP"/>
    <s v="0000034625"/>
    <d v="2027-02-28T00:00:00"/>
    <s v="PP2424"/>
    <n v="9.2999999999999999E-2"/>
    <n v="1536"/>
    <n v="0.186"/>
    <x v="18"/>
    <x v="0"/>
  </r>
  <r>
    <s v="M00106"/>
    <s v="SC6100015"/>
    <s v="PREGNACARE PLUS OMEGA 3 (H/56 VIEN)"/>
    <s v="Q27-01-2-1"/>
    <s v="000213719"/>
    <n v="23"/>
    <n v="0"/>
    <s v="HOLD"/>
    <s v="9184/2019/ĐKSP"/>
    <s v="0000034625"/>
    <d v="2026-05-31T00:00:00"/>
    <s v="PP2359"/>
    <n v="9.2999999999999999E-2"/>
    <n v="1536"/>
    <n v="2.1389999999999998"/>
    <x v="438"/>
    <x v="0"/>
  </r>
  <r>
    <s v="M00106"/>
    <s v="SC6100015"/>
    <s v="PREGNACARE PLUS OMEGA 3 (H/56 VIEN)"/>
    <s v="Q27-01-2-1"/>
    <s v="000213720"/>
    <n v="2"/>
    <n v="0"/>
    <s v="HOLD"/>
    <s v="9184/2019/ĐKSP"/>
    <s v="0000034625"/>
    <d v="2027-09-30T00:00:00"/>
    <s v="PP2509"/>
    <n v="9.2999999999999999E-2"/>
    <n v="1536"/>
    <n v="0.186"/>
    <x v="18"/>
    <x v="0"/>
  </r>
  <r>
    <s v="M00106"/>
    <s v="SC6100015"/>
    <s v="PREGNACARE PLUS OMEGA 3 (H/56 VIEN)"/>
    <s v="Q27-01-2-1"/>
    <s v="000213718"/>
    <n v="13"/>
    <n v="0"/>
    <s v="HOLD"/>
    <s v="9184/2019/ĐKSP"/>
    <s v="0000034625"/>
    <d v="2026-05-31T00:00:00"/>
    <s v="PP2345"/>
    <n v="9.2999999999999999E-2"/>
    <n v="1536"/>
    <n v="1.2090000000000001"/>
    <x v="439"/>
    <x v="0"/>
  </r>
  <r>
    <s v="M00106"/>
    <s v="SC6100015"/>
    <s v="PREGNACARE PLUS OMEGA 3 (H/56 VIEN)"/>
    <s v="Q27-01-2-1"/>
    <s v="000213717"/>
    <n v="1"/>
    <n v="0"/>
    <s v="HOLD"/>
    <s v="9184/2019/ĐKSP"/>
    <s v="0000034625"/>
    <d v="2026-05-31T00:00:00"/>
    <s v="PP2341"/>
    <n v="9.2999999999999999E-2"/>
    <n v="1536"/>
    <n v="9.2999999999999999E-2"/>
    <x v="35"/>
    <x v="0"/>
  </r>
  <r>
    <s v="M00106"/>
    <s v="SC6100001"/>
    <s v="OSTEOCARE LIQUID 200ML"/>
    <s v="Q27-01-2-1"/>
    <s v="000213709"/>
    <n v="31"/>
    <n v="0"/>
    <s v="HOLD"/>
    <s v="9186/2019/ĐKSP"/>
    <s v="0000034625"/>
    <d v="2026-07-31T00:00:00"/>
    <s v="41390"/>
    <n v="0.3"/>
    <n v="1680"/>
    <n v="9.2999999999999989"/>
    <x v="102"/>
    <x v="0"/>
  </r>
  <r>
    <s v="M00106"/>
    <s v="SC6100001"/>
    <s v="OSTEOCARE LIQUID 200ML"/>
    <s v="Q27-01-2-1"/>
    <s v="000213712"/>
    <n v="2"/>
    <n v="0"/>
    <s v="HOLD"/>
    <s v="9186/2019/ĐKSP"/>
    <s v="0000034625"/>
    <d v="2027-03-31T00:00:00"/>
    <s v="50461"/>
    <n v="0.3"/>
    <n v="1680"/>
    <n v="0.6"/>
    <x v="12"/>
    <x v="0"/>
  </r>
  <r>
    <s v="M00106"/>
    <s v="SC6100001"/>
    <s v="OSTEOCARE LIQUID 200ML"/>
    <s v="Q27-01-2-1"/>
    <s v="000213714"/>
    <n v="1"/>
    <n v="0"/>
    <s v="HOLD"/>
    <s v="9186/2019/ĐKSP"/>
    <s v="0000034625"/>
    <d v="2027-02-28T00:00:00"/>
    <s v="50306"/>
    <n v="0.3"/>
    <n v="1680"/>
    <n v="0.3"/>
    <x v="153"/>
    <x v="0"/>
  </r>
  <r>
    <s v="M00106"/>
    <s v="SC6100001"/>
    <s v="OSTEOCARE LIQUID 200ML"/>
    <s v="Q27-01-2-1"/>
    <s v="000213715"/>
    <n v="1"/>
    <n v="0"/>
    <s v="HOLD"/>
    <s v="9186/2019/ĐKSP"/>
    <s v="0000034625"/>
    <d v="2027-04-30T00:00:00"/>
    <s v="50690"/>
    <n v="0.3"/>
    <n v="1680"/>
    <n v="0.3"/>
    <x v="153"/>
    <x v="0"/>
  </r>
  <r>
    <s v="M00106"/>
    <s v="SC6100001"/>
    <s v="OSTEOCARE LIQUID 200ML"/>
    <s v="Q27-01-2-1"/>
    <s v="000213716"/>
    <n v="1"/>
    <n v="0"/>
    <s v="HOLD"/>
    <s v="9186/2019/ĐKSP"/>
    <s v="0000034625"/>
    <d v="2027-04-30T00:00:00"/>
    <s v="50691"/>
    <n v="0.3"/>
    <n v="1680"/>
    <n v="0.3"/>
    <x v="153"/>
    <x v="0"/>
  </r>
  <r>
    <s v="M00106"/>
    <s v="SC6100001"/>
    <s v="OSTEOCARE LIQUID 200ML"/>
    <s v="Q27-01-2-1"/>
    <s v="000213713"/>
    <n v="2"/>
    <n v="0"/>
    <s v="HOLD"/>
    <s v="9186/2019/ĐKSP"/>
    <s v="0000034625"/>
    <d v="2027-03-31T00:00:00"/>
    <s v="50494"/>
    <n v="0.3"/>
    <n v="1680"/>
    <n v="0.6"/>
    <x v="12"/>
    <x v="0"/>
  </r>
  <r>
    <s v="M00106"/>
    <s v="SC6100001"/>
    <s v="OSTEOCARE LIQUID 200ML"/>
    <s v="Q27-01-2-1"/>
    <s v="000213710"/>
    <n v="11"/>
    <n v="0"/>
    <s v="HOLD"/>
    <s v="9186/2019/ĐKSP"/>
    <s v="0000034625"/>
    <d v="2026-08-31T00:00:00"/>
    <s v="41605"/>
    <n v="0.3"/>
    <n v="1680"/>
    <n v="3.3"/>
    <x v="155"/>
    <x v="0"/>
  </r>
  <r>
    <s v="M00106"/>
    <s v="SC6100001"/>
    <s v="OSTEOCARE LIQUID 200ML"/>
    <s v="Q27-01-2-1"/>
    <s v="000213708"/>
    <n v="16"/>
    <n v="0"/>
    <s v="HOLD"/>
    <s v="9186/2019/ĐKSP"/>
    <s v="0000034625"/>
    <d v="2026-07-31T00:00:00"/>
    <s v="41302"/>
    <n v="0.3"/>
    <n v="1680"/>
    <n v="4.8"/>
    <x v="93"/>
    <x v="0"/>
  </r>
  <r>
    <s v="M00106"/>
    <s v="SC6100001"/>
    <s v="OSTEOCARE LIQUID 200ML"/>
    <s v="Q27-01-2-1"/>
    <s v="000213711"/>
    <n v="5"/>
    <n v="0"/>
    <s v="HOLD"/>
    <s v="9186/2019/ĐKSP"/>
    <s v="0000034625"/>
    <d v="2026-12-31T00:00:00"/>
    <s v="50111"/>
    <n v="0.3"/>
    <n v="1680"/>
    <n v="1.5"/>
    <x v="41"/>
    <x v="0"/>
  </r>
  <r>
    <s v="M00106"/>
    <s v="SC6100023"/>
    <s v="VISIONACE ORIGINAL (HOP/30VIEN)"/>
    <s v="Q27-01-2-1"/>
    <s v="000213705"/>
    <n v="473"/>
    <n v="0"/>
    <s v="HOLD"/>
    <s v="1737/2024/ĐKSP"/>
    <s v="0000034625"/>
    <d v="2026-07-31T00:00:00"/>
    <s v="126094A"/>
    <n v="5.0999999999999997E-2"/>
    <n v="2880"/>
    <n v="24.122999999999998"/>
    <x v="440"/>
    <x v="0"/>
  </r>
  <r>
    <s v="M00106"/>
    <s v="SC6100003"/>
    <s v="FEROGLOBIN B12 CAPSULES (H/30 VIEN)"/>
    <s v="Q27-01-2-1"/>
    <s v="000213737"/>
    <n v="2"/>
    <n v="0"/>
    <s v="HOLD"/>
    <s v="9183/2019/ĐKSP"/>
    <s v="0000034625"/>
    <d v="2027-12-31T00:00:00"/>
    <s v="FW2502TA"/>
    <n v="0.04"/>
    <n v="2688"/>
    <n v="0.08"/>
    <x v="52"/>
    <x v="0"/>
  </r>
  <r>
    <s v="M00106"/>
    <s v="SC6100003"/>
    <s v="FEROGLOBIN B12 CAPSULES (H/30 VIEN)"/>
    <s v="Q27-01-2-1"/>
    <s v="000213738"/>
    <n v="1"/>
    <n v="0"/>
    <s v="HOLD"/>
    <s v="9183/2019/ĐKSP"/>
    <s v="0000034625"/>
    <d v="2027-12-31T00:00:00"/>
    <s v="FW2503KA"/>
    <n v="0.04"/>
    <n v="2688"/>
    <n v="0.04"/>
    <x v="51"/>
    <x v="0"/>
  </r>
  <r>
    <s v="M00106"/>
    <s v="SC6100003"/>
    <s v="FEROGLOBIN B12 CAPSULES (H/30 VIEN)"/>
    <s v="Q27-01-2-1"/>
    <s v="000213739"/>
    <n v="1"/>
    <n v="0"/>
    <s v="HOLD"/>
    <s v="9183/2019/ĐKSP"/>
    <s v="0000034625"/>
    <d v="2027-10-31T00:00:00"/>
    <s v="FW2402DBA"/>
    <n v="0.04"/>
    <n v="2688"/>
    <n v="0.04"/>
    <x v="51"/>
    <x v="0"/>
  </r>
  <r>
    <s v="M00106"/>
    <s v="SC6100013"/>
    <s v="PREGNACARE ORIGINAL (H/30 VIEN)"/>
    <s v="Q27-01-2-1"/>
    <s v="000213732"/>
    <n v="3"/>
    <n v="0"/>
    <s v="HOLD"/>
    <s v="4140/2020/ĐKSP"/>
    <s v="0000034625"/>
    <d v="2026-06-30T00:00:00"/>
    <s v="831952A"/>
    <n v="4.9000000000000002E-2"/>
    <n v="2880"/>
    <n v="0.14700000000000002"/>
    <x v="91"/>
    <x v="0"/>
  </r>
  <r>
    <s v="M00106"/>
    <s v="SC6100013"/>
    <s v="PREGNACARE ORIGINAL (H/30 VIEN)"/>
    <s v="Q27-01-2-1"/>
    <s v="000213733"/>
    <n v="1"/>
    <n v="0"/>
    <s v="HOLD"/>
    <s v="4140/2020/ĐKSP"/>
    <s v="0000034625"/>
    <d v="2027-10-31T00:00:00"/>
    <s v="PRW2427A"/>
    <n v="4.9000000000000002E-2"/>
    <n v="2880"/>
    <n v="4.9000000000000002E-2"/>
    <x v="3"/>
    <x v="0"/>
  </r>
  <r>
    <s v="M00106"/>
    <s v="SC6100002"/>
    <s v="FEROGLOBIN B12 LIQUID 200ML"/>
    <s v="Q27-01-2-1"/>
    <s v="000213729"/>
    <n v="3"/>
    <n v="0"/>
    <s v="HOLD"/>
    <s v="8974/2019/ĐKSP"/>
    <s v="0000034625"/>
    <d v="2026-11-30T00:00:00"/>
    <s v="41952"/>
    <n v="0.3"/>
    <n v="1680"/>
    <n v="0.89999999999999991"/>
    <x v="55"/>
    <x v="0"/>
  </r>
  <r>
    <s v="M00106"/>
    <s v="SC6100002"/>
    <s v="FEROGLOBIN B12 LIQUID 200ML"/>
    <s v="Q27-01-2-1"/>
    <s v="000213730"/>
    <n v="2"/>
    <n v="0"/>
    <s v="HOLD"/>
    <s v="8974/2019/ĐKSP"/>
    <s v="0000034625"/>
    <d v="2026-08-31T00:00:00"/>
    <s v="41547"/>
    <n v="0.3"/>
    <n v="1680"/>
    <n v="0.6"/>
    <x v="12"/>
    <x v="0"/>
  </r>
  <r>
    <s v="M00106"/>
    <s v="SC6100002"/>
    <s v="FEROGLOBIN B12 LIQUID 200ML"/>
    <s v="Q27-01-2-1"/>
    <s v="000213731"/>
    <n v="3"/>
    <n v="0"/>
    <s v="HOLD"/>
    <s v="8974/2019/ĐKSP"/>
    <s v="0000034625"/>
    <d v="2026-08-31T00:00:00"/>
    <s v="41547"/>
    <n v="0.3"/>
    <n v="1680"/>
    <n v="0.89999999999999991"/>
    <x v="55"/>
    <x v="0"/>
  </r>
  <r>
    <s v="M00106"/>
    <s v="SC6100002"/>
    <s v="FEROGLOBIN B12 LIQUID 200ML"/>
    <s v="Q27-01-2-1"/>
    <s v="000213726"/>
    <n v="1"/>
    <n v="0"/>
    <s v="HOLD"/>
    <s v="8974/2019/ĐKSP"/>
    <s v="0000034625"/>
    <d v="2026-08-31T00:00:00"/>
    <s v="41404"/>
    <n v="0.3"/>
    <n v="1680"/>
    <n v="0.3"/>
    <x v="153"/>
    <x v="0"/>
  </r>
  <r>
    <s v="M00106"/>
    <s v="SC6100002"/>
    <s v="FEROGLOBIN B12 LIQUID 200ML"/>
    <s v="Q27-01-2-1"/>
    <s v="000213727"/>
    <n v="4"/>
    <n v="0"/>
    <s v="HOLD"/>
    <s v="8974/2019/ĐKSP"/>
    <s v="0000034625"/>
    <d v="2027-07-31T00:00:00"/>
    <s v="51043"/>
    <n v="0.3"/>
    <n v="1680"/>
    <n v="1.2"/>
    <x v="14"/>
    <x v="0"/>
  </r>
  <r>
    <s v="M00106"/>
    <s v="SC6100011"/>
    <s v="PERFECTIL (H/30 VIEN)"/>
    <s v="Q27-01-2-1"/>
    <s v="000213706"/>
    <n v="80"/>
    <n v="0"/>
    <s v="HOLD"/>
    <s v="9185/2019/ĐKSP"/>
    <s v="0000034625"/>
    <d v="2026-07-31T00:00:00"/>
    <s v="PFT2319P"/>
    <n v="5.8000000000000003E-2"/>
    <n v="2880"/>
    <n v="4.6400000000000006"/>
    <x v="67"/>
    <x v="0"/>
  </r>
  <r>
    <s v="M00106"/>
    <s v="SC6100017"/>
    <s v="WELLKID MULTI-VITAMIN LIQUID (CHAI/150ML)"/>
    <s v="Q27-01-2-1"/>
    <s v="000213734"/>
    <n v="9"/>
    <n v="0"/>
    <s v="HOLD"/>
    <s v="10642/2019/ĐKSP"/>
    <s v="0000034625"/>
    <d v="2026-07-31T00:00:00"/>
    <s v="41353"/>
    <n v="0.312"/>
    <n v="1680"/>
    <n v="2.8079999999999998"/>
    <x v="173"/>
    <x v="0"/>
  </r>
  <r>
    <s v="M00106"/>
    <s v="SC6100011"/>
    <s v="PERFECTIL (H/30 VIEN)"/>
    <s v="Q27-01-2-1"/>
    <s v="000213707"/>
    <n v="20"/>
    <n v="0"/>
    <s v="HOLD"/>
    <s v="9185/2019/ĐKSP"/>
    <s v="0000034625"/>
    <d v="2026-07-31T00:00:00"/>
    <s v="PFT2320P"/>
    <n v="5.8000000000000003E-2"/>
    <n v="2880"/>
    <n v="1.1600000000000001"/>
    <x v="107"/>
    <x v="0"/>
  </r>
  <r>
    <s v="M00106"/>
    <s v="SC6100004"/>
    <s v="OSTEOCARE (H/30 VIEN)"/>
    <s v="Q27-01-2-1"/>
    <s v="000213735"/>
    <n v="1"/>
    <n v="0"/>
    <s v="HOLD"/>
    <s v="8615/2019/ĐKSP"/>
    <s v="0000034625"/>
    <d v="2026-04-30T00:00:00"/>
    <s v="OT2213P"/>
    <n v="7.4999999999999997E-2"/>
    <n v="2688"/>
    <n v="7.4999999999999997E-2"/>
    <x v="51"/>
    <x v="0"/>
  </r>
  <r>
    <s v="M00106"/>
    <s v="SC6100004"/>
    <s v="OSTEOCARE (H/30 VIEN)"/>
    <s v="Q27-01-2-1"/>
    <s v="000213736"/>
    <n v="2"/>
    <n v="0"/>
    <s v="HOLD"/>
    <s v="8615/2019/ĐKSP"/>
    <s v="0000034625"/>
    <d v="2028-10-31T00:00:00"/>
    <s v="OT2409P"/>
    <n v="7.4999999999999997E-2"/>
    <n v="2688"/>
    <n v="0.15"/>
    <x v="52"/>
    <x v="0"/>
  </r>
  <r>
    <s v="M00106"/>
    <s v="SC6100002"/>
    <s v="FEROGLOBIN B12 LIQUID 200ML"/>
    <s v="Q27-01-2-1"/>
    <s v="000213728"/>
    <n v="2"/>
    <n v="0"/>
    <s v="HOLD"/>
    <s v="8974/2019/ĐKSP"/>
    <s v="0000034625"/>
    <d v="2027-04-30T00:00:00"/>
    <s v="50590"/>
    <n v="0.3"/>
    <n v="1680"/>
    <n v="0.6"/>
    <x v="12"/>
    <x v="0"/>
  </r>
  <r>
    <s v="HOANGDUC"/>
    <s v="RD1100030"/>
    <s v="OMEZ 20MG (HOP/20 VIEN)"/>
    <s v="Q26-03-5-1"/>
    <s v="LPN010993"/>
    <n v="18"/>
    <n v="0"/>
    <s v="HOLD"/>
    <s v="VN-21275-18"/>
    <s v="0000034636"/>
    <d v="2027-06-30T00:00:00"/>
    <s v="B2503440"/>
    <n v="2.5000000000000001E-2"/>
    <n v="2880"/>
    <n v="0.45"/>
    <x v="316"/>
    <x v="1"/>
  </r>
  <r>
    <s v="HOANGDUC"/>
    <s v="RD1100030"/>
    <s v="OMEZ 20MG (HOP/20 VIEN)"/>
    <s v="Q27-01-1-2"/>
    <s v="LPN010975"/>
    <n v="1"/>
    <n v="0"/>
    <s v="HOLD"/>
    <s v="VN-21275-18"/>
    <s v="0000034636"/>
    <d v="2027-06-30T00:00:00"/>
    <s v="B2503440"/>
    <n v="2.5000000000000001E-2"/>
    <n v="2880"/>
    <n v="2.5000000000000001E-2"/>
    <x v="3"/>
    <x v="0"/>
  </r>
  <r>
    <s v="HOANGDUC"/>
    <s v="HT1100025"/>
    <s v="LENALIDOMIDE CAPSULES 25MG (HOP/ 30 VIEN)"/>
    <s v="Q26-01-1-1"/>
    <s v="000213924"/>
    <n v="5"/>
    <n v="0"/>
    <s v="HOLD"/>
    <s v="890114440823"/>
    <s v="54-19304"/>
    <d v="2026-02-26T00:00:00"/>
    <s v="LEN24031C"/>
    <n v="5.1999999999999998E-2"/>
    <n v="1440"/>
    <n v="0.26"/>
    <x v="251"/>
    <x v="2"/>
  </r>
  <r>
    <s v="HOANGDUC"/>
    <s v="BS1300011"/>
    <s v="OESTROGEL 0.06% PUMP - PACK 80G 1.S"/>
    <s v="Q27-01-1-1"/>
    <s v="000213912"/>
    <n v="9"/>
    <n v="0"/>
    <s v="HOLD"/>
    <s v="VN-20130-16"/>
    <s v="54-19304"/>
    <d v="2026-04-30T00:00:00"/>
    <s v="74587"/>
    <n v="0.16300000000000001"/>
    <n v="1920"/>
    <n v="1.4670000000000001"/>
    <x v="441"/>
    <x v="0"/>
  </r>
  <r>
    <s v="HOANGDUC"/>
    <s v="RD1100004"/>
    <s v="STAMLO 5 (H/2VI X 10VIEN)"/>
    <s v="Q26-01-1-1"/>
    <s v="LPN011047"/>
    <n v="3"/>
    <n v="0"/>
    <s v="HOLD"/>
    <s v="890110994224"/>
    <s v="0000034654"/>
    <d v="2027-12-31T00:00:00"/>
    <s v="B2600151"/>
    <n v="1.9E-2"/>
    <n v="5184"/>
    <n v="5.6999999999999995E-2"/>
    <x v="213"/>
    <x v="2"/>
  </r>
  <r>
    <s v="HOANGDUC"/>
    <s v="HY1100002"/>
    <s v="FENOSUP LIDOSE 160 MG(H/30VIEN)"/>
    <s v="Q26-01-1-1"/>
    <s v="LPN011001"/>
    <n v="1"/>
    <n v="0"/>
    <s v="HOLD"/>
    <s v="540110076523"/>
    <s v="0000034680"/>
    <d v="2028-08-27T00:00:00"/>
    <s v="25H27"/>
    <n v="3.4000000000000002E-2"/>
    <n v="4620"/>
    <n v="3.4000000000000002E-2"/>
    <x v="370"/>
    <x v="2"/>
  </r>
  <r>
    <s v="HOANGDUC"/>
    <s v="LU1100002"/>
    <s v="SEROQUEL XR TAB 200MG 30.S (HOP/30VIEN)"/>
    <s v="Q26-03-5-1"/>
    <s v="LPN010980"/>
    <n v="1"/>
    <n v="0"/>
    <s v="HOLD"/>
    <s v="VN-22283-19"/>
    <s v="0000034681"/>
    <d v="2028-07-23T00:00:00"/>
    <s v="SY012"/>
    <n v="5.0999999999999997E-2"/>
    <n v="4200"/>
    <n v="5.0999999999999997E-2"/>
    <x v="352"/>
    <x v="1"/>
  </r>
  <r>
    <s v="HOANGDUC"/>
    <s v="LU1100003"/>
    <s v="SEROQUEL XR TAB 50MG 30.S (HOP/30VIEN)"/>
    <s v="Q26-03-5-1"/>
    <s v="LPN011016"/>
    <n v="3"/>
    <n v="0"/>
    <s v="HOLD"/>
    <s v="VN-22285-19"/>
    <s v="0000034681"/>
    <d v="2028-06-23T00:00:00"/>
    <s v="SX725"/>
    <n v="4.7899999999999998E-2"/>
    <n v="4200"/>
    <n v="0.14369999999999999"/>
    <x v="306"/>
    <x v="1"/>
  </r>
  <r>
    <s v="HOANGDUC"/>
    <s v="MY1100011"/>
    <s v="SMECTA ORANGE 3G 30SACH VN (0061A020_NEW)"/>
    <s v="Q26-03-5-1"/>
    <s v="LPN011377"/>
    <n v="1"/>
    <n v="0"/>
    <s v="HOLD"/>
    <s v="VN-19485-15"/>
    <s v="51-435394"/>
    <d v="2028-10-31T00:00:00"/>
    <s v="D76893"/>
    <n v="0.154"/>
    <n v="1680"/>
    <n v="0.154"/>
    <x v="153"/>
    <x v="1"/>
  </r>
  <r>
    <s v="HOANGDUC"/>
    <s v="MG1100044"/>
    <s v="PANFOR SR-750 (HOP/10 VI X 10 VIEN)"/>
    <s v="Q26-01-1-1"/>
    <s v="000214291"/>
    <n v="4"/>
    <n v="0"/>
    <s v="HOLD"/>
    <s v="VN-20188-16"/>
    <s v="0000034690"/>
    <d v="2027-11-07T00:00:00"/>
    <s v="A08902515"/>
    <n v="0.154"/>
    <n v="1536"/>
    <n v="0.61599999999999999"/>
    <x v="44"/>
    <x v="2"/>
  </r>
  <r>
    <s v="HOANGDUC"/>
    <s v="RD1100004"/>
    <s v="STAMLO 5 (H/2VI X 10VIEN)"/>
    <s v="Q26-03-5-1"/>
    <s v="000214293"/>
    <n v="2"/>
    <n v="0"/>
    <s v="HOLD"/>
    <s v="890110994224"/>
    <s v="51-435619"/>
    <d v="2027-09-30T00:00:00"/>
    <s v="B2503423"/>
    <n v="1.9E-2"/>
    <n v="5184"/>
    <n v="3.7999999999999999E-2"/>
    <x v="181"/>
    <x v="1"/>
  </r>
  <r>
    <s v="HOANGDUC"/>
    <s v="MG1100048"/>
    <s v="PERGLIM M-2 (HOP/5 VI X 20 VIEN)"/>
    <s v="Q26-03-4-1"/>
    <s v="000214472"/>
    <n v="1"/>
    <n v="0"/>
    <s v="HOLD"/>
    <s v="890110035223"/>
    <s v="0000034693"/>
    <d v="2027-11-07T00:00:00"/>
    <s v="A08922528"/>
    <n v="0.14399999999999999"/>
    <n v="1728"/>
    <n v="0.14399999999999999"/>
    <x v="213"/>
    <x v="1"/>
  </r>
  <r>
    <s v="HOANGDUC"/>
    <s v="MG1100043"/>
    <s v="PANFOR SR-500 (HOP/5 VI X 20 VIEN)"/>
    <s v="Q26-03-4-1"/>
    <s v="000214473"/>
    <n v="1"/>
    <n v="0"/>
    <s v="HOLD"/>
    <s v="890110015924"/>
    <s v="0000034693"/>
    <d v="2028-02-10T00:00:00"/>
    <s v="A08882501"/>
    <n v="0.12"/>
    <n v="1920"/>
    <n v="0.12"/>
    <x v="90"/>
    <x v="1"/>
  </r>
  <r>
    <s v="HOANGDUC"/>
    <s v="HY6100007"/>
    <s v="OCUVITE LUTEIN TAB 60.S"/>
    <s v="Q26-01-1-1"/>
    <s v="000214604"/>
    <n v="47"/>
    <n v="0"/>
    <s v="HOLD"/>
    <s v="4701/2020/ĐKSP"/>
    <s v="54-19435"/>
    <d v="2026-02-28T00:00:00"/>
    <s v="40005"/>
    <n v="5.3999999999999999E-2"/>
    <n v="1620"/>
    <n v="2.5379999999999998"/>
    <x v="442"/>
    <x v="2"/>
  </r>
  <r>
    <s v="HOANGDUC"/>
    <s v="SD1100005"/>
    <s v="OSPAMOX 500MG TAB 10.S (NQ)"/>
    <s v="Q26-03-5-1"/>
    <s v="000214605"/>
    <n v="1"/>
    <n v="0"/>
    <s v="HOLD"/>
    <s v="893110720324"/>
    <s v="54-19436"/>
    <d v="2029-07-04T00:00:00"/>
    <s v="040D024"/>
    <n v="8.9999999999999993E-3"/>
    <n v="20000"/>
    <n v="8.9999999999999993E-3"/>
    <x v="303"/>
    <x v="1"/>
  </r>
  <r>
    <s v="HOANGDUC"/>
    <s v="SA1207001"/>
    <s v="NO-SPA 40MG/2ML INJ AM25 VN"/>
    <s v="Q26-01-1-1"/>
    <s v="000214606"/>
    <n v="1"/>
    <n v="0"/>
    <s v="HOLD"/>
    <s v="VN-23047-22"/>
    <s v="54-19436"/>
    <d v="2028-06-04T00:00:00"/>
    <s v="IC439A"/>
    <n v="0.126"/>
    <n v="1920"/>
    <n v="0.126"/>
    <x v="90"/>
    <x v="2"/>
  </r>
  <r>
    <s v="M00184"/>
    <s v="AZ1112005"/>
    <s v="TAGRISSO PA TAB 80MG BL 3X10 EA VN"/>
    <s v="Q26-01-1-1"/>
    <s v="000214602"/>
    <n v="1"/>
    <n v="0"/>
    <s v="HOLD"/>
    <s v="VN3-36-18"/>
    <s v="0000034723"/>
    <d v="2028-02-11T00:00:00"/>
    <s v="FMFW"/>
    <n v="0.05"/>
    <n v="1500"/>
    <n v="0.05"/>
    <x v="374"/>
    <x v="2"/>
  </r>
  <r>
    <s v="HOANGDUC"/>
    <s v="MY1100014"/>
    <s v="TANAKAN 40MG 30TABS VN (0302A021_NEW)"/>
    <s v="Q26-03-5-1"/>
    <s v="000215211"/>
    <n v="1"/>
    <n v="0"/>
    <s v="HOLD"/>
    <s v="VN-16289-13"/>
    <s v="0000034785"/>
    <d v="2027-08-31T00:00:00"/>
    <s v="D76173"/>
    <n v="2.1999999999999999E-2"/>
    <n v="7150"/>
    <n v="2.1999999999999999E-2"/>
    <x v="274"/>
    <x v="1"/>
  </r>
  <r>
    <s v="HOANGDUC"/>
    <s v="MY1100012"/>
    <s v="FORTRANS 4SACH VN (0247A008_NEW)"/>
    <s v="Q26-03-5-2"/>
    <s v="000215213"/>
    <n v="33"/>
    <n v="0"/>
    <s v="HOLD"/>
    <s v="VN-19677-16"/>
    <s v="0000034785"/>
    <d v="2028-11-08T00:00:00"/>
    <s v="D77245"/>
    <n v="0.33600000000000002"/>
    <n v="720"/>
    <n v="11.088000000000001"/>
    <x v="443"/>
    <x v="1"/>
  </r>
  <r>
    <s v="HOANGDUC"/>
    <s v="MY1100011"/>
    <s v="SMECTA ORANGE 3G 30SACH VN (0061A020_NEW)"/>
    <s v="Q26-03-5-2"/>
    <s v="000215215"/>
    <n v="18"/>
    <n v="0"/>
    <s v="HOLD"/>
    <s v="VN-19485-15"/>
    <s v="0000034771"/>
    <d v="2028-11-06T00:00:00"/>
    <s v="D77180"/>
    <n v="0.154"/>
    <n v="1680"/>
    <n v="2.7719999999999998"/>
    <x v="110"/>
    <x v="1"/>
  </r>
  <r>
    <s v="HOANGDUC"/>
    <s v="MY1100011"/>
    <s v="SMECTA ORANGE 3G 30SACH VN (0061A020_NEW)"/>
    <s v="Q26-03-5-2"/>
    <s v="LPN011012"/>
    <n v="9"/>
    <n v="0"/>
    <s v="HOLD"/>
    <s v="VN-19485-15"/>
    <s v="0000034771"/>
    <d v="2028-11-06T00:00:00"/>
    <s v="D77180"/>
    <n v="0.154"/>
    <n v="1680"/>
    <n v="1.3859999999999999"/>
    <x v="173"/>
    <x v="1"/>
  </r>
  <r>
    <s v="HOANGDUC"/>
    <s v="HT1100053"/>
    <s v="TELDY (HOP/1 LO HDPE 30 VIEN)"/>
    <s v="Q26-03-4-1"/>
    <s v="LPN011042"/>
    <n v="1"/>
    <n v="0"/>
    <s v="HOLD"/>
    <s v="890110445523"/>
    <s v="0000034807"/>
    <d v="2027-12-09T00:00:00"/>
    <s v="E255947"/>
    <n v="8.5999999999999993E-2"/>
    <n v="2772"/>
    <n v="8.5999999999999993E-2"/>
    <x v="444"/>
    <x v="1"/>
  </r>
  <r>
    <s v="HOANGDUC"/>
    <s v="HT1100053"/>
    <s v="TELDY (HOP/1 LO HDPE 30 VIEN)"/>
    <s v="Q26-03-5-1"/>
    <s v="LPN011032"/>
    <n v="1"/>
    <n v="0"/>
    <s v="HOLD"/>
    <s v="890110445523"/>
    <s v="0000034807"/>
    <d v="2027-12-09T00:00:00"/>
    <s v="E255947"/>
    <n v="8.5999999999999993E-2"/>
    <n v="2772"/>
    <n v="8.5999999999999993E-2"/>
    <x v="444"/>
    <x v="1"/>
  </r>
  <r>
    <s v="HOANGDUC"/>
    <s v="HT1100053"/>
    <s v="TELDY (HOP/1 LO HDPE 30 VIEN)"/>
    <s v="Q26-03-5-1"/>
    <s v="LPN011050"/>
    <n v="1"/>
    <n v="0"/>
    <s v="HOLD"/>
    <s v="890110445523"/>
    <s v="0000034807"/>
    <d v="2027-12-09T00:00:00"/>
    <s v="E255947"/>
    <n v="8.5999999999999993E-2"/>
    <n v="2772"/>
    <n v="8.5999999999999993E-2"/>
    <x v="444"/>
    <x v="1"/>
  </r>
  <r>
    <s v="HOANGDUC"/>
    <s v="MY1100012"/>
    <s v="FORTRANS 4SACH VN (0247A008_NEW)"/>
    <s v="Q26-03-5-2"/>
    <s v="000215315"/>
    <n v="1"/>
    <n v="0"/>
    <s v="HOLD"/>
    <s v="VN-19677-16"/>
    <s v="0000034774"/>
    <d v="2028-11-07T00:00:00"/>
    <s v="D77171"/>
    <n v="0.33600000000000002"/>
    <n v="720"/>
    <n v="0.33600000000000002"/>
    <x v="114"/>
    <x v="1"/>
  </r>
  <r>
    <s v="HOANGDUC"/>
    <s v="MY1100014"/>
    <s v="TANAKAN 40MG 30TABS VN (0302A021_NEW)"/>
    <s v="Q26-03-5-2"/>
    <s v="000215317"/>
    <n v="4"/>
    <n v="0"/>
    <s v="HOLD"/>
    <s v="VN-16289-13"/>
    <s v="0000034787"/>
    <d v="2027-09-03T00:00:00"/>
    <s v="D76177"/>
    <n v="2.1999999999999999E-2"/>
    <n v="7150"/>
    <n v="8.7999999999999995E-2"/>
    <x v="259"/>
    <x v="1"/>
  </r>
  <r>
    <s v="HOANGDUC"/>
    <s v="MY1100011"/>
    <s v="SMECTA ORANGE 3G 30SACH VN (0061A020_NEW)"/>
    <s v="Q26-03-5-2"/>
    <s v="000215319"/>
    <n v="4"/>
    <n v="0"/>
    <s v="HOLD"/>
    <s v="VN-19485-15"/>
    <s v="0000034768"/>
    <d v="2028-11-13T00:00:00"/>
    <s v="D77492"/>
    <n v="0.154"/>
    <n v="1680"/>
    <n v="0.61599999999999999"/>
    <x v="14"/>
    <x v="1"/>
  </r>
  <r>
    <s v="HOANGDUC"/>
    <s v="MY1100011"/>
    <s v="SMECTA ORANGE 3G 30SACH VN (0061A020_NEW)"/>
    <s v="Q26-03-5-2"/>
    <s v="000215320"/>
    <n v="2"/>
    <n v="0"/>
    <s v="HOLD"/>
    <s v="VN-19485-15"/>
    <s v="0000034768"/>
    <d v="2028-11-12T00:00:00"/>
    <s v="D77354"/>
    <n v="0.154"/>
    <n v="1680"/>
    <n v="0.308"/>
    <x v="12"/>
    <x v="1"/>
  </r>
  <r>
    <s v="HOANGDUC"/>
    <s v="MY1100001"/>
    <s v="TANAKAN 40MG 30TABS VN"/>
    <s v="Q26-03-5-1"/>
    <s v="000215325"/>
    <n v="1"/>
    <n v="0"/>
    <s v="HOLD"/>
    <s v="VN-16289-13"/>
    <s v="50-17268"/>
    <d v="2026-12-27T00:00:00"/>
    <s v="D52360"/>
    <n v="2.1000000000000001E-2"/>
    <n v="7150"/>
    <n v="2.1000000000000001E-2"/>
    <x v="274"/>
    <x v="1"/>
  </r>
  <r>
    <s v="HOANGDUC"/>
    <s v="MG1100043"/>
    <s v="PANFOR SR-500 (HOP/5 VI X 20 VIEN)"/>
    <s v="Q26-03-5-1"/>
    <s v="000215534"/>
    <n v="6"/>
    <n v="0"/>
    <s v="HOLD"/>
    <s v="890110015924"/>
    <s v="0000034822"/>
    <d v="2028-02-10T00:00:00"/>
    <s v="A08882501"/>
    <n v="0.12"/>
    <n v="1920"/>
    <n v="0.72"/>
    <x v="61"/>
    <x v="1"/>
  </r>
  <r>
    <s v="HOANGDUC"/>
    <s v="SA1207001"/>
    <s v="NO-SPA 40MG/2ML INJ AM25 VN"/>
    <s v="Q26-03-4-1"/>
    <s v="000215573"/>
    <n v="1"/>
    <n v="0"/>
    <s v="HOLD"/>
    <s v="VN-23047-22"/>
    <s v="51-437628"/>
    <d v="2028-06-05T00:00:00"/>
    <s v="IC438A"/>
    <n v="0.126"/>
    <n v="1920"/>
    <n v="0.126"/>
    <x v="90"/>
    <x v="1"/>
  </r>
  <r>
    <s v="HOANGDUC"/>
    <s v="MG1100052"/>
    <s v="GLY4PAR 30 (HOP/3 VI X 10 VIEN)"/>
    <s v="Q27-01-1-2"/>
    <s v="000215569"/>
    <n v="245"/>
    <n v="0"/>
    <s v="HOLD"/>
    <s v="VN-21429-18"/>
    <s v="54-19558"/>
    <d v="2026-04-21T00:00:00"/>
    <s v="A08942409"/>
    <n v="1.7999999999999999E-2"/>
    <n v="12000"/>
    <n v="4.4099999999999993"/>
    <x v="445"/>
    <x v="0"/>
  </r>
  <r>
    <s v="HOANGDUC"/>
    <s v="MY1100008"/>
    <s v="FORLAX 10G 20SACH VN"/>
    <s v="Q26-03-4-1"/>
    <s v="000215574"/>
    <n v="1"/>
    <n v="0"/>
    <s v="HOLD"/>
    <s v="VN-16801-13"/>
    <s v="51-437634"/>
    <d v="2028-03-05T00:00:00"/>
    <s v="D52436"/>
    <n v="0.25700000000000001"/>
    <n v="1080"/>
    <n v="0.25700000000000001"/>
    <x v="205"/>
    <x v="1"/>
  </r>
  <r>
    <s v="HOANGDUC"/>
    <s v="MG1100052"/>
    <s v="GLY4PAR 30 (HOP/3 VI X 10 VIEN)"/>
    <s v="Q27-01-7-2"/>
    <s v="000215878"/>
    <n v="10344"/>
    <n v="0"/>
    <s v="HOLD"/>
    <s v="VN-21429-18"/>
    <s v="54-19631"/>
    <d v="2026-04-21T00:00:00"/>
    <s v="A08942409"/>
    <n v="1.7999999999999999E-2"/>
    <n v="12000"/>
    <n v="186.19199999999998"/>
    <x v="446"/>
    <x v="0"/>
  </r>
  <r>
    <s v="HOANGDUC"/>
    <s v="MG1100052"/>
    <s v="GLY4PAR 30 (HOP/3 VI X 10 VIEN)"/>
    <s v="Q27-01-9-2"/>
    <s v="000215877"/>
    <n v="12000"/>
    <n v="0"/>
    <s v="HOLD"/>
    <s v="VN-21429-18"/>
    <s v="54-19631"/>
    <d v="2026-04-21T00:00:00"/>
    <s v="A08942409"/>
    <n v="1.7999999999999999E-2"/>
    <n v="12000"/>
    <n v="215.99999999999997"/>
    <x v="104"/>
    <x v="0"/>
  </r>
  <r>
    <s v="HOANGDUC"/>
    <s v="HY1100001"/>
    <s v="DORITHRICIN TAB 20.S"/>
    <s v="Q26-01-1-1"/>
    <s v="000215937"/>
    <n v="2"/>
    <n v="0"/>
    <s v="HOLD"/>
    <s v="400100014224"/>
    <s v="51-438632"/>
    <d v="2026-07-22T00:00:00"/>
    <s v="2457202"/>
    <n v="0.04"/>
    <n v="9000"/>
    <n v="0.08"/>
    <x v="447"/>
    <x v="2"/>
  </r>
  <r>
    <s v="HOANGDUC"/>
    <s v="BE-90001894"/>
    <s v="90001894 CONTOUR TS BLOOD GLUCOSE TEST STRIPS 50.S(QUE THU D"/>
    <s v="Q27-03-1-2"/>
    <s v="LPN011101"/>
    <n v="2"/>
    <n v="0"/>
    <s v="HOLD"/>
    <s v="2504506ĐKLH/HTTB-ĐKKD"/>
    <s v="0000034937"/>
    <d v="2027-08-31T00:00:00"/>
    <s v="DP5HM3F01B"/>
    <n v="0.05"/>
    <n v="7056"/>
    <n v="0.1"/>
    <x v="448"/>
    <x v="4"/>
  </r>
  <r>
    <s v="HOANGDUC"/>
    <s v="AV1300026"/>
    <s v="ALLSILVER 15G (HOP/ 1 TUYP)"/>
    <s v="Q26-03-5-1"/>
    <s v="000216194"/>
    <n v="2"/>
    <n v="0"/>
    <s v="HOLD"/>
    <s v="VN-23146-22"/>
    <s v="0000034942"/>
    <d v="2028-01-04T00:00:00"/>
    <s v="A605"/>
    <n v="2.5999999999999999E-2"/>
    <n v="7200"/>
    <n v="5.1999999999999998E-2"/>
    <x v="417"/>
    <x v="1"/>
  </r>
  <r>
    <s v="HOANGDUC"/>
    <s v="OS6100005"/>
    <s v="THUC PHAM DINH DUONG Y HOC NEO-MUNE HUONG VANI"/>
    <s v="Q27-03-7-1"/>
    <s v="LPN011131"/>
    <n v="1"/>
    <n v="0"/>
    <s v="HOLD"/>
    <s v="22/2022/ĐKSP"/>
    <s v="0000034970"/>
    <d v="2028-12-02T00:00:00"/>
    <s v="5L711"/>
    <n v="0.51680000000000004"/>
    <n v="432"/>
    <n v="0.51680000000000004"/>
    <x v="358"/>
    <x v="4"/>
  </r>
  <r>
    <s v="HOANGDUC"/>
    <s v="DV1100211"/>
    <s v="EUROLUX-1 (HOP/60VIEN) - EU"/>
    <s v="Q26-01-1-2"/>
    <s v="000215935"/>
    <n v="248"/>
    <n v="0"/>
    <s v="HOLD"/>
    <s v="VD-28906-18"/>
    <s v="51-437532"/>
    <d v="2026-02-04T00:00:00"/>
    <s v="230049"/>
    <n v="3.3000000000000002E-2"/>
    <n v="2970"/>
    <n v="8.1840000000000011"/>
    <x v="449"/>
    <x v="2"/>
  </r>
  <r>
    <s v="HOANGDUC"/>
    <s v="MG1100044"/>
    <s v="PANFOR SR-750 (HOP/10 VI X 10 VIEN)"/>
    <s v="Q26-01-1-1"/>
    <s v="000216422"/>
    <n v="5"/>
    <n v="0"/>
    <s v="HOLD"/>
    <s v="VN-20188-16"/>
    <s v="0000034988"/>
    <d v="2027-11-07T00:00:00"/>
    <s v="A08902516"/>
    <n v="0.154"/>
    <n v="1536"/>
    <n v="0.77"/>
    <x v="21"/>
    <x v="2"/>
  </r>
  <r>
    <s v="HOANGDUC"/>
    <s v="MG1100043"/>
    <s v="PANFOR SR-500 (HOP/5 VI X 20 VIEN)"/>
    <s v="Q26-01-1-1"/>
    <s v="000216391"/>
    <n v="4"/>
    <n v="0"/>
    <s v="HOLD"/>
    <s v="890110015924"/>
    <s v="0000034988"/>
    <d v="2028-02-10T00:00:00"/>
    <s v="A08882501"/>
    <n v="0.12"/>
    <n v="1920"/>
    <n v="0.48"/>
    <x v="9"/>
    <x v="2"/>
  </r>
  <r>
    <s v="HOANGDUC"/>
    <s v="HT1100031"/>
    <s v="TADAFIL 20 (HOP/100 VIEN)"/>
    <s v="Q26-01-1-2"/>
    <s v="000216543"/>
    <n v="20"/>
    <n v="0"/>
    <s v="HOLD"/>
    <s v="890110433723"/>
    <s v="54-19807"/>
    <d v="2026-04-24T00:00:00"/>
    <s v="E241749B"/>
    <n v="8.2000000000000003E-2"/>
    <n v="1296"/>
    <n v="1.6400000000000001"/>
    <x v="450"/>
    <x v="2"/>
  </r>
  <r>
    <s v="HOANGDUC"/>
    <s v="HT1100033"/>
    <s v="DOLUTEGRAVIR, LAMIVUDINE AND TENOFOVIR DISOPROXIL FUMARATE T"/>
    <s v="Q26-01-1-1"/>
    <s v="000216507"/>
    <n v="2"/>
    <n v="0"/>
    <s v="HOLD"/>
    <s v="890110445523"/>
    <s v="54-19805"/>
    <d v="2027-02-13T00:00:00"/>
    <s v="E250693A"/>
    <n v="9.4E-2"/>
    <n v="2475"/>
    <n v="0.188"/>
    <x v="123"/>
    <x v="2"/>
  </r>
  <r>
    <s v="HOANGDUC"/>
    <s v="AZ1100009"/>
    <s v="TAGRISSO TAB 80MG BL 3X10 EA VN"/>
    <s v="Q26-03-5-1"/>
    <s v="000216505"/>
    <n v="1"/>
    <n v="0"/>
    <s v="HOLD"/>
    <s v="VN3-36-18"/>
    <s v="54-19805"/>
    <d v="2028-01-22T00:00:00"/>
    <s v="FMDS"/>
    <n v="0.05"/>
    <n v="2000"/>
    <n v="0.05"/>
    <x v="172"/>
    <x v="1"/>
  </r>
  <r>
    <s v="HOANGDUC"/>
    <s v="HT1100033"/>
    <s v="DOLUTEGRAVIR, LAMIVUDINE AND TENOFOVIR DISOPROXIL FUMARATE T"/>
    <s v="Q26-01-1-1"/>
    <s v="000216506"/>
    <n v="4"/>
    <n v="0"/>
    <s v="HOLD"/>
    <s v="890110445523"/>
    <s v="54-19805"/>
    <d v="2027-02-03T00:00:00"/>
    <s v="E250327"/>
    <n v="9.4E-2"/>
    <n v="2475"/>
    <n v="0.376"/>
    <x v="159"/>
    <x v="2"/>
  </r>
  <r>
    <s v="HOANGDUC"/>
    <s v="HT1100030"/>
    <s v="TADAFIL 10 (HOP/100 VIEN)"/>
    <s v="Q26-01-1-2"/>
    <s v="000216542"/>
    <n v="251"/>
    <n v="0"/>
    <s v="HOLD"/>
    <s v="890110433623"/>
    <s v="54-19807"/>
    <d v="2026-04-23T00:00:00"/>
    <s v="E242007"/>
    <n v="5.1999999999999998E-2"/>
    <n v="2688"/>
    <n v="13.052"/>
    <x v="451"/>
    <x v="2"/>
  </r>
  <r>
    <s v="HOANGDUC"/>
    <s v="HT1100028"/>
    <s v="ETORICOXIB TABLETS 120MG (HOP/30 VIEN)"/>
    <s v="Q26-01-1-2"/>
    <s v="000216541"/>
    <n v="150"/>
    <n v="0"/>
    <s v="HOLD"/>
    <s v="890110433323"/>
    <s v="54-19807"/>
    <d v="2026-03-13T00:00:00"/>
    <s v="E240774B"/>
    <n v="0"/>
    <n v="2646"/>
    <n v="0"/>
    <x v="452"/>
    <x v="2"/>
  </r>
  <r>
    <s v="HOANGDUC"/>
    <s v="HY6100001"/>
    <s v="OCEAN HEALTH BICOLD TM IMMUNE SUPPORT FOR KID 120ML"/>
    <s v="Q27-01-6-2"/>
    <s v="LPN011306"/>
    <n v="5"/>
    <n v="0"/>
    <s v="HOLD"/>
    <s v="6638/2022/ĐKSP"/>
    <s v="54-19807"/>
    <d v="2026-03-31T00:00:00"/>
    <s v="FY517"/>
    <n v="0.16800000000000001"/>
    <n v="2304"/>
    <n v="0.84000000000000008"/>
    <x v="453"/>
    <x v="0"/>
  </r>
  <r>
    <s v="M00106"/>
    <s v="SC6100015"/>
    <s v="PREGNACARE PLUS OMEGA 3 (H/56 VIEN)"/>
    <s v="Q27-03-7-1"/>
    <s v="000216637"/>
    <n v="5"/>
    <n v="0"/>
    <s v="HOLD"/>
    <s v="9184/2019/ĐKSP"/>
    <s v="0000035017"/>
    <d v="2026-05-31T00:00:00"/>
    <s v="PP2341"/>
    <n v="9.2999999999999999E-2"/>
    <n v="1536"/>
    <n v="0.46499999999999997"/>
    <x v="21"/>
    <x v="4"/>
  </r>
  <r>
    <s v="M00106"/>
    <s v="SC6100015"/>
    <s v="PREGNACARE PLUS OMEGA 3 (H/56 VIEN)"/>
    <s v="Q27-01-1-1"/>
    <s v="000216636"/>
    <n v="1"/>
    <n v="0"/>
    <s v="HOLD"/>
    <s v="9184/2019/ĐKSP"/>
    <s v="0000035017"/>
    <d v="2026-01-31T00:00:00"/>
    <s v="PP2324"/>
    <n v="9.2999999999999999E-2"/>
    <n v="1536"/>
    <n v="9.2999999999999999E-2"/>
    <x v="35"/>
    <x v="0"/>
  </r>
  <r>
    <s v="M00106"/>
    <s v="SC6100018"/>
    <s v="PREGNACARE BREAST-FEEDING (HOP/56 VIEN NEN, 28 VIEN NANG)"/>
    <s v="Q27-03-7-1"/>
    <s v="000216639"/>
    <n v="2"/>
    <n v="0"/>
    <s v="HOLD"/>
    <s v="10645/2019/ĐKSP"/>
    <s v="0000035017"/>
    <d v="2026-10-31T00:00:00"/>
    <s v="PB2406"/>
    <n v="0.158"/>
    <n v="1152"/>
    <n v="0.316"/>
    <x v="70"/>
    <x v="4"/>
  </r>
  <r>
    <s v="M00106"/>
    <s v="SC6100017"/>
    <s v="WELLKID MULTI-VITAMIN LIQUID (CHAI/150ML)"/>
    <s v="Q27-03-7-1"/>
    <s v="000216638"/>
    <n v="5"/>
    <n v="0"/>
    <s v="HOLD"/>
    <s v="10642/2019/ĐKSP"/>
    <s v="0000035017"/>
    <d v="2026-11-30T00:00:00"/>
    <s v="41876"/>
    <n v="0.312"/>
    <n v="1680"/>
    <n v="1.56"/>
    <x v="41"/>
    <x v="4"/>
  </r>
  <r>
    <s v="M00106"/>
    <s v="SC6100013"/>
    <s v="PREGNACARE ORIGINAL (H/30 VIEN)"/>
    <s v="Q27-03-7-1"/>
    <s v="000216631"/>
    <n v="91"/>
    <n v="0"/>
    <s v="HOLD"/>
    <s v="4140/2020/ĐKSP"/>
    <s v="0000035017"/>
    <d v="2026-06-30T00:00:00"/>
    <s v="PRW2332PA"/>
    <n v="4.9000000000000002E-2"/>
    <n v="2880"/>
    <n v="4.4590000000000005"/>
    <x v="454"/>
    <x v="4"/>
  </r>
  <r>
    <s v="M00106"/>
    <s v="SC6100004"/>
    <s v="OSTEOCARE (H/30 VIEN)"/>
    <s v="Q27-01-1-1"/>
    <s v="000216630"/>
    <n v="8"/>
    <n v="0"/>
    <s v="HOLD"/>
    <s v="8615/2019/ĐKSP"/>
    <s v="0000035017"/>
    <d v="2026-01-31T00:00:00"/>
    <s v="OT2205P"/>
    <n v="7.4999999999999997E-2"/>
    <n v="2688"/>
    <n v="0.6"/>
    <x v="41"/>
    <x v="0"/>
  </r>
  <r>
    <s v="M00106"/>
    <s v="SC6100002"/>
    <s v="FEROGLOBIN B12 LIQUID 200ML"/>
    <s v="Q27-01-1-1"/>
    <s v="000216622"/>
    <n v="16"/>
    <n v="0"/>
    <s v="HOLD"/>
    <s v="8974/2019/ĐKSP"/>
    <s v="0000035017"/>
    <d v="2025-12-31T00:00:00"/>
    <s v="40120"/>
    <n v="0.3"/>
    <n v="1680"/>
    <n v="4.8"/>
    <x v="93"/>
    <x v="0"/>
  </r>
  <r>
    <s v="M00106"/>
    <s v="SC6100002"/>
    <s v="FEROGLOBIN B12 LIQUID 200ML"/>
    <s v="Q27-01-1-1"/>
    <s v="000216623"/>
    <n v="8"/>
    <n v="0"/>
    <s v="HOLD"/>
    <s v="8974/2019/ĐKSP"/>
    <s v="0000035017"/>
    <d v="2026-02-28T00:00:00"/>
    <s v="40426"/>
    <n v="0.3"/>
    <n v="1680"/>
    <n v="2.4"/>
    <x v="94"/>
    <x v="0"/>
  </r>
  <r>
    <s v="M00106"/>
    <s v="SC6100002"/>
    <s v="FEROGLOBIN B12 LIQUID 200ML"/>
    <s v="Q27-03-7-1"/>
    <s v="000216625"/>
    <n v="31"/>
    <n v="0"/>
    <s v="HOLD"/>
    <s v="8974/2019/ĐKSP"/>
    <s v="0000035017"/>
    <d v="2026-04-30T00:00:00"/>
    <s v="40683"/>
    <n v="0.3"/>
    <n v="1680"/>
    <n v="9.2999999999999989"/>
    <x v="102"/>
    <x v="4"/>
  </r>
  <r>
    <s v="M00106"/>
    <s v="SC6100002"/>
    <s v="FEROGLOBIN B12 LIQUID 200ML"/>
    <s v="Q27-03-7-1"/>
    <s v="000216626"/>
    <n v="23"/>
    <n v="0"/>
    <s v="HOLD"/>
    <s v="8974/2019/ĐKSP"/>
    <s v="0000035017"/>
    <d v="2026-04-30T00:00:00"/>
    <s v="40815"/>
    <n v="0.3"/>
    <n v="1680"/>
    <n v="6.8999999999999995"/>
    <x v="455"/>
    <x v="4"/>
  </r>
  <r>
    <s v="M00106"/>
    <s v="SC6100002"/>
    <s v="FEROGLOBIN B12 LIQUID 200ML"/>
    <s v="Q27-01-2-1"/>
    <s v="000216624"/>
    <n v="4"/>
    <n v="0"/>
    <s v="HOLD"/>
    <s v="8974/2019/ĐKSP"/>
    <s v="0000035017"/>
    <d v="2026-03-31T00:00:00"/>
    <s v="40488"/>
    <n v="0.3"/>
    <n v="1680"/>
    <n v="1.2"/>
    <x v="14"/>
    <x v="0"/>
  </r>
  <r>
    <s v="M00106"/>
    <s v="SC6100004"/>
    <s v="OSTEOCARE (H/30 VIEN)"/>
    <s v="Q27-01-1-1"/>
    <s v="000216628"/>
    <n v="2"/>
    <n v="0"/>
    <s v="HOLD"/>
    <s v="8615/2019/ĐKSP"/>
    <s v="0000035017"/>
    <d v="2026-01-31T00:00:00"/>
    <s v="OT2202P"/>
    <n v="7.4999999999999997E-2"/>
    <n v="2688"/>
    <n v="0.15"/>
    <x v="52"/>
    <x v="0"/>
  </r>
  <r>
    <s v="M00106"/>
    <s v="SC6100004"/>
    <s v="OSTEOCARE (H/30 VIEN)"/>
    <s v="Q27-01-1-1"/>
    <s v="000216629"/>
    <n v="4"/>
    <n v="0"/>
    <s v="HOLD"/>
    <s v="8615/2019/ĐKSP"/>
    <s v="0000035017"/>
    <d v="2026-01-31T00:00:00"/>
    <s v="OT2204P"/>
    <n v="7.4999999999999997E-2"/>
    <n v="2688"/>
    <n v="0.3"/>
    <x v="42"/>
    <x v="0"/>
  </r>
  <r>
    <s v="M00106"/>
    <s v="SC6100003"/>
    <s v="FEROGLOBIN B12 CAPSULES (H/30 VIEN)"/>
    <s v="Q27-03-7-1"/>
    <s v="000216627"/>
    <n v="2"/>
    <n v="0"/>
    <s v="HOLD"/>
    <s v="9183/2019/ĐKSP"/>
    <s v="0000035017"/>
    <d v="2026-08-31T00:00:00"/>
    <s v="FW2713SA"/>
    <n v="0.04"/>
    <n v="2688"/>
    <n v="0.08"/>
    <x v="52"/>
    <x v="4"/>
  </r>
  <r>
    <s v="M00106"/>
    <s v="SC6100001"/>
    <s v="OSTEOCARE LIQUID 200ML"/>
    <s v="Q27-01-1-1"/>
    <s v="000216621"/>
    <n v="7"/>
    <n v="0"/>
    <s v="HOLD"/>
    <s v="9186/2019/ĐKSP"/>
    <s v="0000035017"/>
    <d v="2025-12-31T00:00:00"/>
    <s v="40153"/>
    <n v="0.3"/>
    <n v="1680"/>
    <n v="2.1"/>
    <x v="13"/>
    <x v="0"/>
  </r>
  <r>
    <s v="M00106"/>
    <s v="SC6100025"/>
    <s v="PREGNACARE MAX (H/56 VIEN NEN, 28 VIEN NANG)"/>
    <s v="Q27-03-7-1"/>
    <s v="000216646"/>
    <n v="13"/>
    <n v="0"/>
    <s v="HOLD"/>
    <s v="1475/2024/ĐKSP"/>
    <s v="0000035017"/>
    <d v="2026-11-30T00:00:00"/>
    <s v="PM2409"/>
    <n v="0.156"/>
    <n v="1152"/>
    <n v="2.028"/>
    <x v="347"/>
    <x v="4"/>
  </r>
  <r>
    <s v="M00106"/>
    <s v="SC6100023"/>
    <s v="VISIONACE ORIGINAL (HOP/30VIEN)"/>
    <s v="Q27-03-7-1"/>
    <s v="000216644"/>
    <n v="39"/>
    <n v="0"/>
    <s v="HOLD"/>
    <s v="1737/2024/ĐKSP"/>
    <s v="0000035017"/>
    <d v="2026-07-31T00:00:00"/>
    <s v="126094A"/>
    <n v="5.0999999999999997E-2"/>
    <n v="2880"/>
    <n v="1.9889999999999999"/>
    <x v="456"/>
    <x v="4"/>
  </r>
  <r>
    <s v="M00106"/>
    <s v="SC6100024"/>
    <s v="OSTEOCARE CHEWABLE (HOP/30 VIEN)"/>
    <s v="Q27-01-1-1"/>
    <s v="000216645"/>
    <n v="4"/>
    <n v="0"/>
    <s v="HOLD"/>
    <s v="9529/2023/ĐKSP"/>
    <s v="0000035017"/>
    <d v="2026-02-28T00:00:00"/>
    <s v="F169385"/>
    <n v="9.6000000000000002E-2"/>
    <n v="1920"/>
    <n v="0.38400000000000001"/>
    <x v="9"/>
    <x v="0"/>
  </r>
  <r>
    <s v="M00106"/>
    <s v="SC6100019"/>
    <s v="WELLBABY MULTI-VITAMIN LIQUID (CHAI 150ML)"/>
    <s v="Q27-01-1-1"/>
    <s v="000216640"/>
    <n v="10"/>
    <n v="0"/>
    <s v="HOLD"/>
    <s v="10643/2019/ĐKSP"/>
    <s v="0000035017"/>
    <d v="2025-12-31T00:00:00"/>
    <s v="40028"/>
    <n v="0.22600000000000001"/>
    <n v="1680"/>
    <n v="2.2600000000000002"/>
    <x v="49"/>
    <x v="0"/>
  </r>
  <r>
    <s v="M00106"/>
    <s v="SC6100019"/>
    <s v="WELLBABY MULTI-VITAMIN LIQUID (CHAI 150ML)"/>
    <s v="Q27-03-7-1"/>
    <s v="000216643"/>
    <n v="5"/>
    <n v="0"/>
    <s v="HOLD"/>
    <s v="10643/2019/ĐKSP"/>
    <s v="0000035017"/>
    <d v="2026-12-31T00:00:00"/>
    <s v="50026"/>
    <n v="0.22600000000000001"/>
    <n v="1680"/>
    <n v="1.1300000000000001"/>
    <x v="41"/>
    <x v="4"/>
  </r>
  <r>
    <s v="M00106"/>
    <s v="SC6100019"/>
    <s v="WELLBABY MULTI-VITAMIN LIQUID (CHAI 150ML)"/>
    <s v="Q27-03-7-1"/>
    <s v="000216642"/>
    <n v="11"/>
    <n v="0"/>
    <s v="HOLD"/>
    <s v="10643/2019/ĐKSP"/>
    <s v="0000035017"/>
    <d v="2026-04-30T00:00:00"/>
    <s v="40812"/>
    <n v="0.22600000000000001"/>
    <n v="1680"/>
    <n v="2.4860000000000002"/>
    <x v="155"/>
    <x v="4"/>
  </r>
  <r>
    <s v="M00106"/>
    <s v="SC6100019"/>
    <s v="WELLBABY MULTI-VITAMIN LIQUID (CHAI 150ML)"/>
    <s v="Q27-03-7-1"/>
    <s v="000216641"/>
    <n v="4"/>
    <n v="0"/>
    <s v="HOLD"/>
    <s v="10643/2019/ĐKSP"/>
    <s v="0000035017"/>
    <d v="2026-04-30T00:00:00"/>
    <s v="40662"/>
    <n v="0.22600000000000001"/>
    <n v="1680"/>
    <n v="0.90400000000000003"/>
    <x v="14"/>
    <x v="4"/>
  </r>
  <r>
    <s v="HOANGDUC"/>
    <s v="HT1100008"/>
    <s v="TELSAR 40 (HOP/ 30 VIEN)"/>
    <s v="Q26-03-5-1"/>
    <s v="LPN011073"/>
    <n v="56"/>
    <n v="0"/>
    <s v="HOLD"/>
    <s v="890110788424"/>
    <s v="0000035043"/>
    <d v="2028-12-06T00:00:00"/>
    <s v="FD257775A"/>
    <n v="3.2000000000000001E-2"/>
    <n v="2160"/>
    <n v="1.792"/>
    <x v="457"/>
    <x v="1"/>
  </r>
  <r>
    <s v="HOANGDUC"/>
    <s v="HT1100008"/>
    <s v="TELSAR 40 (HOP/ 30 VIEN)"/>
    <s v="Q26-03-5-1"/>
    <s v="LPN011077"/>
    <n v="3"/>
    <n v="0"/>
    <s v="HOLD"/>
    <s v="890110788424"/>
    <s v="0000035043"/>
    <d v="2028-12-06T00:00:00"/>
    <s v="FD257775A"/>
    <n v="3.2000000000000001E-2"/>
    <n v="2160"/>
    <n v="9.6000000000000002E-2"/>
    <x v="114"/>
    <x v="1"/>
  </r>
  <r>
    <s v="M00106"/>
    <s v="SC6100002"/>
    <s v="FEROGLOBIN B12 LIQUID 200ML"/>
    <s v="Q27-03-1-1"/>
    <s v="LPN011109"/>
    <n v="4"/>
    <n v="0"/>
    <s v="HOLD"/>
    <s v="8974/2019/ĐKSP"/>
    <s v="0000035053"/>
    <d v="2027-12-31T00:00:00"/>
    <s v="60074"/>
    <n v="0.3"/>
    <n v="1680"/>
    <n v="1.2"/>
    <x v="14"/>
    <x v="4"/>
  </r>
  <r>
    <s v="M00106"/>
    <s v="SC6100002"/>
    <s v="FEROGLOBIN B12 LIQUID 200ML"/>
    <s v="Q27-03-7-1"/>
    <s v="LPN011156"/>
    <n v="3"/>
    <n v="0"/>
    <s v="HOLD"/>
    <s v="8974/2019/ĐKSP"/>
    <s v="0000035053"/>
    <d v="2027-12-31T00:00:00"/>
    <s v="60074"/>
    <n v="0.3"/>
    <n v="1680"/>
    <n v="0.89999999999999991"/>
    <x v="55"/>
    <x v="4"/>
  </r>
  <r>
    <s v="M00106"/>
    <s v="SC6100025"/>
    <s v="PREGNACARE MAX (H/56 VIEN NEN, 28 VIEN NANG)"/>
    <s v="Q27-03-1-2"/>
    <s v="LPN011081"/>
    <n v="3"/>
    <n v="0"/>
    <s v="HOLD"/>
    <s v="1475/2024/ĐKSP"/>
    <s v="0000035053"/>
    <d v="2028-07-31T00:00:00"/>
    <s v="PM2603"/>
    <n v="0.156"/>
    <n v="1152"/>
    <n v="0.46799999999999997"/>
    <x v="44"/>
    <x v="4"/>
  </r>
  <r>
    <s v="M00106"/>
    <s v="SC6100025"/>
    <s v="PREGNACARE MAX (H/56 VIEN NEN, 28 VIEN NANG)"/>
    <s v="Q27-03-1-2"/>
    <s v="LPN011085"/>
    <n v="4"/>
    <n v="0"/>
    <s v="HOLD"/>
    <s v="1475/2024/ĐKSP"/>
    <s v="0000035053"/>
    <d v="2028-07-31T00:00:00"/>
    <s v="PM2603"/>
    <n v="0.156"/>
    <n v="1152"/>
    <n v="0.624"/>
    <x v="251"/>
    <x v="4"/>
  </r>
  <r>
    <s v="M00106"/>
    <s v="SC6100025"/>
    <s v="PREGNACARE MAX (H/56 VIEN NEN, 28 VIEN NANG)"/>
    <s v="Q27-03-5-1"/>
    <s v="LPN011137"/>
    <n v="12"/>
    <n v="0"/>
    <s v="HOLD"/>
    <s v="1475/2024/ĐKSP"/>
    <s v="0000035053"/>
    <d v="2028-07-31T00:00:00"/>
    <s v="PM2603"/>
    <n v="0.156"/>
    <n v="1152"/>
    <n v="1.8719999999999999"/>
    <x v="27"/>
    <x v="4"/>
  </r>
  <r>
    <s v="M00106"/>
    <s v="SC6100025"/>
    <s v="PREGNACARE MAX (H/56 VIEN NEN, 28 VIEN NANG)"/>
    <s v="Q27-03-7-1"/>
    <s v="LPN011116"/>
    <n v="10"/>
    <n v="0"/>
    <s v="HOLD"/>
    <s v="1475/2024/ĐKSP"/>
    <s v="0000035053"/>
    <d v="2028-07-31T00:00:00"/>
    <s v="PM2603"/>
    <n v="0.156"/>
    <n v="1152"/>
    <n v="1.56"/>
    <x v="112"/>
    <x v="4"/>
  </r>
  <r>
    <s v="M00106"/>
    <s v="SC6100025"/>
    <s v="PREGNACARE MAX (H/56 VIEN NEN, 28 VIEN NANG)"/>
    <s v="Q27-03-7-1"/>
    <s v="LPN011135"/>
    <n v="1"/>
    <n v="0"/>
    <s v="HOLD"/>
    <s v="1475/2024/ĐKSP"/>
    <s v="0000035053"/>
    <d v="2028-07-31T00:00:00"/>
    <s v="PM2603"/>
    <n v="0.156"/>
    <n v="1152"/>
    <n v="0.156"/>
    <x v="71"/>
    <x v="4"/>
  </r>
  <r>
    <s v="M00106"/>
    <s v="SC6100025"/>
    <s v="PREGNACARE MAX (H/56 VIEN NEN, 28 VIEN NANG)"/>
    <s v="Q27-03-7-1"/>
    <s v="LPN011136"/>
    <n v="3"/>
    <n v="0"/>
    <s v="HOLD"/>
    <s v="1475/2024/ĐKSP"/>
    <s v="0000035053"/>
    <d v="2028-07-31T00:00:00"/>
    <s v="PM2603"/>
    <n v="0.156"/>
    <n v="1152"/>
    <n v="0.46799999999999997"/>
    <x v="44"/>
    <x v="4"/>
  </r>
  <r>
    <s v="M00106"/>
    <s v="SC6100025"/>
    <s v="PREGNACARE MAX (H/56 VIEN NEN, 28 VIEN NANG)"/>
    <s v="Q27-03-7-1"/>
    <s v="LPN011180"/>
    <n v="2"/>
    <n v="0"/>
    <s v="HOLD"/>
    <s v="1475/2024/ĐKSP"/>
    <s v="0000035053"/>
    <d v="2028-07-31T00:00:00"/>
    <s v="PM2603"/>
    <n v="0.156"/>
    <n v="1152"/>
    <n v="0.312"/>
    <x v="70"/>
    <x v="4"/>
  </r>
  <r>
    <s v="M00106"/>
    <s v="SC6100019"/>
    <s v="WELLBABY MULTI-VITAMIN LIQUID (CHAI 150ML)"/>
    <s v="Q27-03-1-2"/>
    <s v="LPN011093"/>
    <n v="39"/>
    <n v="0"/>
    <s v="HOLD"/>
    <s v="10643/2019/ĐKSP"/>
    <s v="0000035073"/>
    <d v="2027-11-30T00:00:00"/>
    <s v="51564"/>
    <n v="0.22600000000000001"/>
    <n v="1680"/>
    <n v="8.8140000000000001"/>
    <x v="201"/>
    <x v="4"/>
  </r>
  <r>
    <s v="M00106"/>
    <s v="SC6100019"/>
    <s v="WELLBABY MULTI-VITAMIN LIQUID (CHAI 150ML)"/>
    <s v="Q27-03-7-1"/>
    <s v="LPN011170"/>
    <n v="7"/>
    <n v="0"/>
    <s v="HOLD"/>
    <s v="10643/2019/ĐKSP"/>
    <s v="0000035073"/>
    <d v="2027-11-30T00:00:00"/>
    <s v="51564"/>
    <n v="0.22600000000000001"/>
    <n v="1680"/>
    <n v="1.5820000000000001"/>
    <x v="13"/>
    <x v="4"/>
  </r>
  <r>
    <s v="M00106"/>
    <s v="SC6100018"/>
    <s v="PREGNACARE BREAST-FEEDING (HOP/56 VIEN NEN, 28 VIEN NANG)"/>
    <s v="Q27-03-1-2"/>
    <s v="LPN011097"/>
    <n v="13"/>
    <n v="0"/>
    <s v="HOLD"/>
    <s v="10645/2019/ĐKSP"/>
    <s v="0000035073"/>
    <d v="2028-07-31T00:00:00"/>
    <s v="PB2601CP"/>
    <n v="0.158"/>
    <n v="1152"/>
    <n v="2.0539999999999998"/>
    <x v="347"/>
    <x v="4"/>
  </r>
  <r>
    <s v="M00106"/>
    <s v="SC6100018"/>
    <s v="PREGNACARE BREAST-FEEDING (HOP/56 VIEN NEN, 28 VIEN NANG)"/>
    <s v="Q27-03-1-2"/>
    <s v="LPN011104"/>
    <n v="20"/>
    <n v="0"/>
    <s v="HOLD"/>
    <s v="10645/2019/ĐKSP"/>
    <s v="0000035073"/>
    <d v="2028-07-31T00:00:00"/>
    <s v="PB2601CP"/>
    <n v="0.158"/>
    <n v="1152"/>
    <n v="3.16"/>
    <x v="105"/>
    <x v="4"/>
  </r>
  <r>
    <s v="M00106"/>
    <s v="SC6100018"/>
    <s v="PREGNACARE BREAST-FEEDING (HOP/56 VIEN NEN, 28 VIEN NANG)"/>
    <s v="Q27-03-7-1"/>
    <s v="LPN011108"/>
    <n v="18"/>
    <n v="0"/>
    <s v="HOLD"/>
    <s v="10645/2019/ĐKSP"/>
    <s v="0000035073"/>
    <d v="2028-07-31T00:00:00"/>
    <s v="PB2601CP"/>
    <n v="0.158"/>
    <n v="1152"/>
    <n v="2.8439999999999999"/>
    <x v="207"/>
    <x v="4"/>
  </r>
  <r>
    <s v="M00106"/>
    <s v="SC6100018"/>
    <s v="PREGNACARE BREAST-FEEDING (HOP/56 VIEN NEN, 28 VIEN NANG)"/>
    <s v="Q27-03-7-1"/>
    <s v="LPN011118"/>
    <n v="23"/>
    <n v="0"/>
    <s v="HOLD"/>
    <s v="10645/2019/ĐKSP"/>
    <s v="0000035073"/>
    <d v="2028-07-31T00:00:00"/>
    <s v="PB2601CP"/>
    <n v="0.158"/>
    <n v="1152"/>
    <n v="3.6339999999999999"/>
    <x v="76"/>
    <x v="4"/>
  </r>
  <r>
    <s v="M00106"/>
    <s v="SC6100018"/>
    <s v="PREGNACARE BREAST-FEEDING (HOP/56 VIEN NEN, 28 VIEN NANG)"/>
    <s v="Q27-03-8-1"/>
    <s v="LPN011089"/>
    <n v="27"/>
    <n v="0"/>
    <s v="HOLD"/>
    <s v="10645/2019/ĐKSP"/>
    <s v="0000035073"/>
    <d v="2028-07-31T00:00:00"/>
    <s v="PB2601CP"/>
    <n v="0.158"/>
    <n v="1152"/>
    <n v="4.266"/>
    <x v="458"/>
    <x v="4"/>
  </r>
  <r>
    <s v="M00106"/>
    <s v="SC6100025"/>
    <s v="PREGNACARE MAX (H/56 VIEN NEN, 28 VIEN NANG)"/>
    <s v="Q27-03-5-1"/>
    <s v="LPN011196"/>
    <n v="14"/>
    <n v="0"/>
    <s v="HOLD"/>
    <s v="1475/2024/ĐKSP"/>
    <s v="0000035073"/>
    <d v="2028-07-31T00:00:00"/>
    <s v="PM2605CP"/>
    <n v="0.156"/>
    <n v="1152"/>
    <n v="2.1840000000000002"/>
    <x v="423"/>
    <x v="4"/>
  </r>
  <r>
    <s v="M00106"/>
    <s v="SC6100025"/>
    <s v="PREGNACARE MAX (H/56 VIEN NEN, 28 VIEN NANG)"/>
    <s v="Q27-03-7-1"/>
    <s v="LPN011132"/>
    <n v="11"/>
    <n v="0"/>
    <s v="HOLD"/>
    <s v="1475/2024/ĐKSP"/>
    <s v="0000035073"/>
    <d v="2028-07-31T00:00:00"/>
    <s v="PM2605CP"/>
    <n v="0.156"/>
    <n v="1152"/>
    <n v="1.716"/>
    <x v="75"/>
    <x v="4"/>
  </r>
  <r>
    <s v="M00106"/>
    <s v="SC6100025"/>
    <s v="PREGNACARE MAX (H/56 VIEN NEN, 28 VIEN NANG)"/>
    <s v="Q27-03-7-1"/>
    <s v="LPN011203"/>
    <n v="3"/>
    <n v="0"/>
    <s v="HOLD"/>
    <s v="1475/2024/ĐKSP"/>
    <s v="0000035073"/>
    <d v="2028-07-31T00:00:00"/>
    <s v="PM2605CP"/>
    <n v="0.156"/>
    <n v="1152"/>
    <n v="0.46799999999999997"/>
    <x v="44"/>
    <x v="4"/>
  </r>
  <r>
    <s v="M00106"/>
    <s v="SC6100025"/>
    <s v="PREGNACARE MAX (H/56 VIEN NEN, 28 VIEN NANG)"/>
    <s v="Q27-03-7-1"/>
    <s v="LPN011221"/>
    <n v="6"/>
    <n v="0"/>
    <s v="HOLD"/>
    <s v="1475/2024/ĐKSP"/>
    <s v="0000035073"/>
    <d v="2028-07-31T00:00:00"/>
    <s v="PM2605CP"/>
    <n v="0.156"/>
    <n v="1152"/>
    <n v="0.93599999999999994"/>
    <x v="36"/>
    <x v="4"/>
  </r>
  <r>
    <s v="M00106"/>
    <s v="SC6100004"/>
    <s v="OSTEOCARE (H/30 VIEN)"/>
    <s v="Q27-03-1-2"/>
    <s v="LPN011322"/>
    <n v="3"/>
    <n v="0"/>
    <s v="HOLD"/>
    <s v="8615/2019/ĐKSP"/>
    <s v="0000035073"/>
    <d v="2029-09-30T00:00:00"/>
    <s v="OT2509P"/>
    <n v="7.4999999999999997E-2"/>
    <n v="2688"/>
    <n v="0.22499999999999998"/>
    <x v="45"/>
    <x v="4"/>
  </r>
  <r>
    <s v="M00106"/>
    <s v="SC6100004"/>
    <s v="OSTEOCARE (H/30 VIEN)"/>
    <s v="Q27-03-7-1"/>
    <s v="LPN011193"/>
    <n v="8"/>
    <n v="0"/>
    <s v="HOLD"/>
    <s v="8615/2019/ĐKSP"/>
    <s v="0000035073"/>
    <d v="2029-09-30T00:00:00"/>
    <s v="OT2509P"/>
    <n v="7.4999999999999997E-2"/>
    <n v="2688"/>
    <n v="0.6"/>
    <x v="41"/>
    <x v="4"/>
  </r>
  <r>
    <s v="M00106"/>
    <s v="SC6100004"/>
    <s v="OSTEOCARE (H/30 VIEN)"/>
    <s v="Q27-03-7-1"/>
    <s v="LPN011210"/>
    <n v="50"/>
    <n v="0"/>
    <s v="HOLD"/>
    <s v="8615/2019/ĐKSP"/>
    <s v="0000035073"/>
    <d v="2029-09-30T00:00:00"/>
    <s v="OT2509P"/>
    <n v="7.4999999999999997E-2"/>
    <n v="2688"/>
    <n v="3.75"/>
    <x v="459"/>
    <x v="4"/>
  </r>
  <r>
    <s v="M00106"/>
    <s v="SC6100004"/>
    <s v="OSTEOCARE (H/30 VIEN)"/>
    <s v="Q27-03-7-1"/>
    <s v="LPN011222"/>
    <n v="5"/>
    <n v="0"/>
    <s v="HOLD"/>
    <s v="8615/2019/ĐKSP"/>
    <s v="0000035073"/>
    <d v="2029-09-30T00:00:00"/>
    <s v="OT2509P"/>
    <n v="7.4999999999999997E-2"/>
    <n v="2688"/>
    <n v="0.375"/>
    <x v="46"/>
    <x v="4"/>
  </r>
  <r>
    <s v="M00106"/>
    <s v="SC6100001"/>
    <s v="OSTEOCARE LIQUID 200ML"/>
    <s v="Q27-03-1-2"/>
    <s v="LPN011102"/>
    <n v="9"/>
    <n v="0"/>
    <s v="HOLD"/>
    <s v="9186/2019/ĐKSP"/>
    <s v="0000035073"/>
    <d v="2027-12-31T00:00:00"/>
    <s v="60138"/>
    <n v="0.3"/>
    <n v="1680"/>
    <n v="2.6999999999999997"/>
    <x v="173"/>
    <x v="4"/>
  </r>
  <r>
    <s v="M00106"/>
    <s v="SC6100001"/>
    <s v="OSTEOCARE LIQUID 200ML"/>
    <s v="Q27-03-7-1"/>
    <s v="LPN011151"/>
    <n v="21"/>
    <n v="0"/>
    <s v="HOLD"/>
    <s v="9186/2019/ĐKSP"/>
    <s v="0000035073"/>
    <d v="2027-12-31T00:00:00"/>
    <s v="60138"/>
    <n v="0.3"/>
    <n v="1680"/>
    <n v="6.3"/>
    <x v="95"/>
    <x v="4"/>
  </r>
  <r>
    <s v="M00106"/>
    <s v="SC6100001"/>
    <s v="OSTEOCARE LIQUID 200ML"/>
    <s v="Q27-03-7-1"/>
    <s v="LPN011152"/>
    <n v="3"/>
    <n v="0"/>
    <s v="HOLD"/>
    <s v="9186/2019/ĐKSP"/>
    <s v="0000035073"/>
    <d v="2027-12-31T00:00:00"/>
    <s v="60138"/>
    <n v="0.3"/>
    <n v="1680"/>
    <n v="0.89999999999999991"/>
    <x v="55"/>
    <x v="4"/>
  </r>
  <r>
    <s v="M00106"/>
    <s v="SC6100003"/>
    <s v="FEROGLOBIN B12 CAPSULES (H/30 VIEN)"/>
    <s v="Q27-03-1-2"/>
    <s v="LPN011100"/>
    <n v="10"/>
    <n v="0"/>
    <s v="HOLD"/>
    <s v="9183/2019/ĐKSP"/>
    <s v="0000035073"/>
    <d v="2028-10-31T00:00:00"/>
    <s v="FW2504KA"/>
    <n v="0.04"/>
    <n v="2688"/>
    <n v="0.4"/>
    <x v="50"/>
    <x v="4"/>
  </r>
  <r>
    <s v="M00106"/>
    <s v="SC6100004"/>
    <s v="OSTEOCARE (H/30 VIEN)"/>
    <s v="Q27-03-1-2"/>
    <s v="LPN011338"/>
    <n v="2"/>
    <n v="0"/>
    <s v="HOLD"/>
    <s v="8615/2019/ĐKSP"/>
    <s v="0000035073"/>
    <d v="2029-09-30T00:00:00"/>
    <s v="OT2510P"/>
    <n v="7.4999999999999997E-2"/>
    <n v="2688"/>
    <n v="0.15"/>
    <x v="52"/>
    <x v="4"/>
  </r>
  <r>
    <s v="M00106"/>
    <s v="SC6100004"/>
    <s v="OSTEOCARE (H/30 VIEN)"/>
    <s v="Q27-03-8-1"/>
    <s v="LPN011327"/>
    <n v="11"/>
    <n v="0"/>
    <s v="HOLD"/>
    <s v="8615/2019/ĐKSP"/>
    <s v="0000035073"/>
    <d v="2029-09-30T00:00:00"/>
    <s v="OT2510P"/>
    <n v="7.4999999999999997E-2"/>
    <n v="2688"/>
    <n v="0.82499999999999996"/>
    <x v="47"/>
    <x v="4"/>
  </r>
  <r>
    <s v="M00106"/>
    <s v="SC6100017"/>
    <s v="WELLKID MULTI-VITAMIN LIQUID (CHAI/150ML)"/>
    <s v="Q27-03-1-1"/>
    <s v="LPN011091"/>
    <n v="19"/>
    <n v="0"/>
    <s v="HOLD"/>
    <s v="10642/2019/ĐKSP"/>
    <s v="0000035073"/>
    <d v="2027-12-31T00:00:00"/>
    <s v="60025"/>
    <n v="0.312"/>
    <n v="1680"/>
    <n v="5.9279999999999999"/>
    <x v="152"/>
    <x v="4"/>
  </r>
  <r>
    <s v="M00106"/>
    <s v="SC6100017"/>
    <s v="WELLKID MULTI-VITAMIN LIQUID (CHAI/150ML)"/>
    <s v="Q27-03-1-2"/>
    <s v="LPN011094"/>
    <n v="3"/>
    <n v="0"/>
    <s v="HOLD"/>
    <s v="10642/2019/ĐKSP"/>
    <s v="0000035073"/>
    <d v="2027-12-31T00:00:00"/>
    <s v="60025"/>
    <n v="0.312"/>
    <n v="1680"/>
    <n v="0.93599999999999994"/>
    <x v="55"/>
    <x v="4"/>
  </r>
  <r>
    <s v="HOANGDUC"/>
    <s v="RD1100016"/>
    <s v="STAMLO-T (HOP/ 28 VIEN)"/>
    <s v="Q27-01-1-2"/>
    <s v="LPN011113"/>
    <n v="4"/>
    <n v="0"/>
    <s v="HOLD"/>
    <s v="890110125423"/>
    <s v="0000035085"/>
    <d v="2028-01-31T00:00:00"/>
    <s v="V2600313"/>
    <n v="4.1000000000000002E-2"/>
    <n v="2592"/>
    <n v="0.16400000000000001"/>
    <x v="364"/>
    <x v="0"/>
  </r>
  <r>
    <s v="HOANGDUC"/>
    <s v="MG1100044"/>
    <s v="PANFOR SR-750 (HOP/10 VI X 10 VIEN)"/>
    <s v="Q26-01-1-1"/>
    <s v="000217253"/>
    <n v="3"/>
    <n v="0"/>
    <s v="HOLD"/>
    <s v="VN-20188-16"/>
    <s v="0000035082"/>
    <d v="2027-11-07T00:00:00"/>
    <s v="A08902516"/>
    <n v="0.154"/>
    <n v="1536"/>
    <n v="0.46199999999999997"/>
    <x v="19"/>
    <x v="2"/>
  </r>
  <r>
    <s v="HOANGDUC"/>
    <s v="ST9-ASD-032"/>
    <s v="AMPLATZER SEPTAL OCCLUDER 32MM"/>
    <s v="Q27-03-1-2"/>
    <s v="M0003856"/>
    <n v="1"/>
    <n v="0"/>
    <s v="HOLD"/>
    <s v="NOVISA"/>
    <s v="57-34730"/>
    <d v="2027-03-31T00:00:00"/>
    <s v="8448698"/>
    <n v="0.106"/>
    <n v="0"/>
    <n v="0.106"/>
    <x v="16"/>
    <x v="4"/>
  </r>
  <r>
    <s v="HOANGDUC"/>
    <s v="ST9-ASD-030"/>
    <s v="AMPLATZER SEPTAL OCCLUDER 30MM"/>
    <s v="Q27-03-1-2"/>
    <s v="M0003856"/>
    <n v="1"/>
    <n v="0"/>
    <s v="HOLD"/>
    <s v="NOVISA"/>
    <s v="57-34730"/>
    <d v="2026-04-30T00:00:00"/>
    <s v="7983754"/>
    <n v="0.106"/>
    <n v="0"/>
    <n v="0.106"/>
    <x v="16"/>
    <x v="4"/>
  </r>
  <r>
    <s v="HOANGDUC"/>
    <s v="ST9-PDA-004"/>
    <s v="AMPLATZER PDA OCCLUDER 6/4MM"/>
    <s v="Q27-03-1-2"/>
    <s v="M0003858"/>
    <n v="1"/>
    <n v="0"/>
    <s v="HOLD"/>
    <s v="NOVISA"/>
    <s v="57-34731"/>
    <d v="2029-07-31T00:00:00"/>
    <s v="10484198"/>
    <n v="0.104"/>
    <n v="80"/>
    <n v="0.104"/>
    <x v="95"/>
    <x v="4"/>
  </r>
  <r>
    <s v="HOANGDUC"/>
    <s v="ST9-PDA2-05-04"/>
    <s v="AMPLATZER PDA2 OCCLUDER 5/4MM"/>
    <s v="Q27-03-1-2"/>
    <s v="M0003858"/>
    <n v="1"/>
    <n v="0"/>
    <s v="HOLD"/>
    <s v="NOVISA"/>
    <s v="57-34731"/>
    <d v="2029-10-31T00:00:00"/>
    <s v="10608355"/>
    <n v="0.104"/>
    <n v="80"/>
    <n v="0.104"/>
    <x v="95"/>
    <x v="4"/>
  </r>
  <r>
    <s v="HOANGDUC"/>
    <s v="RD1200010"/>
    <s v="CASPOFUNGIN ACETATE 50MG (H/1 LO)"/>
    <s v="QC1-01-4-1"/>
    <s v="LPN011284"/>
    <n v="1"/>
    <n v="0"/>
    <s v="HOLD"/>
    <s v="VN-21276-18"/>
    <s v="50-17493"/>
    <d v="2026-06-30T00:00:00"/>
    <s v="A1480029"/>
    <n v="0.03"/>
    <n v="1440"/>
    <n v="0.03"/>
    <x v="2"/>
    <x v="6"/>
  </r>
  <r>
    <s v="HOANGDUC"/>
    <s v="BS1300001"/>
    <s v="PROGESTOGEL 1% 80G"/>
    <s v="Q27-03-7-1"/>
    <s v="LPN011167"/>
    <n v="1"/>
    <n v="0"/>
    <s v="HOLD"/>
    <s v="VN-15147-12"/>
    <s v="0000035121"/>
    <d v="2028-11-30T00:00:00"/>
    <s v="A02514"/>
    <n v="0.109"/>
    <n v="2700"/>
    <n v="0.109"/>
    <x v="8"/>
    <x v="4"/>
  </r>
  <r>
    <s v="M00106"/>
    <s v="SC6100015"/>
    <s v="PREGNACARE PLUS OMEGA 3 (H/56 VIEN)"/>
    <s v="Q27-03-5-1"/>
    <s v="LPN011179"/>
    <n v="51"/>
    <n v="0"/>
    <s v="HOLD"/>
    <s v="9184/2019/ĐKSP"/>
    <s v="0000035116"/>
    <d v="2028-07-31T00:00:00"/>
    <s v="PP2601CP"/>
    <n v="9.2999999999999999E-2"/>
    <n v="1536"/>
    <n v="4.7430000000000003"/>
    <x v="30"/>
    <x v="4"/>
  </r>
  <r>
    <s v="M00106"/>
    <s v="SC6100015"/>
    <s v="PREGNACARE PLUS OMEGA 3 (H/56 VIEN)"/>
    <s v="Q27-03-5-1"/>
    <s v="LPN011190"/>
    <n v="44"/>
    <n v="0"/>
    <s v="HOLD"/>
    <s v="9184/2019/ĐKSP"/>
    <s v="0000035116"/>
    <d v="2028-07-31T00:00:00"/>
    <s v="PP2601CP"/>
    <n v="9.2999999999999999E-2"/>
    <n v="1536"/>
    <n v="4.0919999999999996"/>
    <x v="34"/>
    <x v="4"/>
  </r>
  <r>
    <s v="M00106"/>
    <s v="SC6100015"/>
    <s v="PREGNACARE PLUS OMEGA 3 (H/56 VIEN)"/>
    <s v="Q27-03-7-1"/>
    <s v="LPN011129"/>
    <n v="16"/>
    <n v="0"/>
    <s v="HOLD"/>
    <s v="9184/2019/ĐKSP"/>
    <s v="0000035116"/>
    <d v="2028-07-31T00:00:00"/>
    <s v="PP2601CP"/>
    <n v="9.2999999999999999E-2"/>
    <n v="1536"/>
    <n v="1.488"/>
    <x v="27"/>
    <x v="4"/>
  </r>
  <r>
    <s v="M00106"/>
    <s v="SC6100015"/>
    <s v="PREGNACARE PLUS OMEGA 3 (H/56 VIEN)"/>
    <s v="Q27-03-7-1"/>
    <s v="LPN011140"/>
    <n v="5"/>
    <n v="0"/>
    <s v="HOLD"/>
    <s v="9184/2019/ĐKSP"/>
    <s v="0000035116"/>
    <d v="2028-07-31T00:00:00"/>
    <s v="PP2601CP"/>
    <n v="9.2999999999999999E-2"/>
    <n v="1536"/>
    <n v="0.46499999999999997"/>
    <x v="21"/>
    <x v="4"/>
  </r>
  <r>
    <s v="M00106"/>
    <s v="SC6100015"/>
    <s v="PREGNACARE PLUS OMEGA 3 (H/56 VIEN)"/>
    <s v="Q27-03-7-1"/>
    <s v="LPN011141"/>
    <n v="8"/>
    <n v="0"/>
    <s v="HOLD"/>
    <s v="9184/2019/ĐKSP"/>
    <s v="0000035116"/>
    <d v="2028-07-31T00:00:00"/>
    <s v="PP2601CP"/>
    <n v="9.2999999999999999E-2"/>
    <n v="1536"/>
    <n v="0.74399999999999999"/>
    <x v="36"/>
    <x v="4"/>
  </r>
  <r>
    <s v="M00106"/>
    <s v="SC6100015"/>
    <s v="PREGNACARE PLUS OMEGA 3 (H/56 VIEN)"/>
    <s v="Q27-03-7-1"/>
    <s v="LPN011158"/>
    <n v="3"/>
    <n v="0"/>
    <s v="HOLD"/>
    <s v="9184/2019/ĐKSP"/>
    <s v="0000035116"/>
    <d v="2028-07-31T00:00:00"/>
    <s v="PP2601CP"/>
    <n v="9.2999999999999999E-2"/>
    <n v="1536"/>
    <n v="0.27900000000000003"/>
    <x v="19"/>
    <x v="4"/>
  </r>
  <r>
    <s v="M00106"/>
    <s v="SC6100015"/>
    <s v="PREGNACARE PLUS OMEGA 3 (H/56 VIEN)"/>
    <s v="Q27-03-7-1"/>
    <s v="LPN011171"/>
    <n v="1"/>
    <n v="0"/>
    <s v="HOLD"/>
    <s v="9184/2019/ĐKSP"/>
    <s v="0000035116"/>
    <d v="2028-07-31T00:00:00"/>
    <s v="PP2601CP"/>
    <n v="9.2999999999999999E-2"/>
    <n v="1536"/>
    <n v="9.2999999999999999E-2"/>
    <x v="35"/>
    <x v="4"/>
  </r>
  <r>
    <s v="M00106"/>
    <s v="SC6100015"/>
    <s v="PREGNACARE PLUS OMEGA 3 (H/56 VIEN)"/>
    <s v="Q27-03-7-1"/>
    <s v="LPN011178"/>
    <n v="9"/>
    <n v="0"/>
    <s v="HOLD"/>
    <s v="9184/2019/ĐKSP"/>
    <s v="0000035116"/>
    <d v="2028-07-31T00:00:00"/>
    <s v="PP2601CP"/>
    <n v="9.2999999999999999E-2"/>
    <n v="1536"/>
    <n v="0.83699999999999997"/>
    <x v="24"/>
    <x v="4"/>
  </r>
  <r>
    <s v="M00106"/>
    <s v="SC6100015"/>
    <s v="PREGNACARE PLUS OMEGA 3 (H/56 VIEN)"/>
    <s v="Q27-03-7-1"/>
    <s v="LPN011189"/>
    <n v="11"/>
    <n v="0"/>
    <s v="HOLD"/>
    <s v="9184/2019/ĐKSP"/>
    <s v="0000035116"/>
    <d v="2028-07-31T00:00:00"/>
    <s v="PP2601CP"/>
    <n v="9.2999999999999999E-2"/>
    <n v="1536"/>
    <n v="1.0229999999999999"/>
    <x v="284"/>
    <x v="4"/>
  </r>
  <r>
    <s v="M00106"/>
    <s v="SC6100003"/>
    <s v="FEROGLOBIN B12 CAPSULES (H/30 VIEN)"/>
    <s v="Q27-03-1-1"/>
    <s v="LPN011105"/>
    <n v="37"/>
    <n v="0"/>
    <s v="HOLD"/>
    <s v="9183/2019/ĐKSP"/>
    <s v="0000035137"/>
    <d v="2028-08-31T00:00:00"/>
    <s v="FW2516PA"/>
    <n v="0.04"/>
    <n v="2688"/>
    <n v="1.48"/>
    <x v="460"/>
    <x v="4"/>
  </r>
  <r>
    <s v="M00106"/>
    <s v="SC6100003"/>
    <s v="FEROGLOBIN B12 CAPSULES (H/30 VIEN)"/>
    <s v="Q27-03-7-1"/>
    <s v="LPN011145"/>
    <n v="35"/>
    <n v="0"/>
    <s v="HOLD"/>
    <s v="9183/2019/ĐKSP"/>
    <s v="0000035137"/>
    <d v="2028-08-31T00:00:00"/>
    <s v="FW2516PA"/>
    <n v="0.04"/>
    <n v="2688"/>
    <n v="1.4000000000000001"/>
    <x v="32"/>
    <x v="4"/>
  </r>
  <r>
    <s v="M00106"/>
    <s v="SC6100003"/>
    <s v="FEROGLOBIN B12 CAPSULES (H/30 VIEN)"/>
    <s v="Q27-03-7-1"/>
    <s v="LPN011153"/>
    <n v="1"/>
    <n v="0"/>
    <s v="HOLD"/>
    <s v="9183/2019/ĐKSP"/>
    <s v="0000035137"/>
    <d v="2028-08-31T00:00:00"/>
    <s v="FW2516PA"/>
    <n v="0.04"/>
    <n v="2688"/>
    <n v="0.04"/>
    <x v="51"/>
    <x v="4"/>
  </r>
  <r>
    <s v="M00106"/>
    <s v="SC6100003"/>
    <s v="FEROGLOBIN B12 CAPSULES (H/30 VIEN)"/>
    <s v="Q27-03-7-1"/>
    <s v="LPN011154"/>
    <n v="3"/>
    <n v="0"/>
    <s v="HOLD"/>
    <s v="9183/2019/ĐKSP"/>
    <s v="0000035137"/>
    <d v="2028-08-31T00:00:00"/>
    <s v="FW2516PA"/>
    <n v="0.04"/>
    <n v="2688"/>
    <n v="0.12"/>
    <x v="45"/>
    <x v="4"/>
  </r>
  <r>
    <s v="M00106"/>
    <s v="SC6100025"/>
    <s v="PREGNACARE MAX (H/56 VIEN NEN, 28 VIEN NANG)"/>
    <s v="Q27-03-2-2"/>
    <s v="LPN011374"/>
    <n v="5"/>
    <n v="0"/>
    <s v="HOLD"/>
    <s v="1475/2024/ĐKSP"/>
    <s v="0000035136"/>
    <d v="2028-07-31T00:00:00"/>
    <s v="PM2605CP"/>
    <n v="0.156"/>
    <n v="1152"/>
    <n v="0.78"/>
    <x v="262"/>
    <x v="4"/>
  </r>
  <r>
    <s v="M00106"/>
    <s v="SC6100025"/>
    <s v="PREGNACARE MAX (H/56 VIEN NEN, 28 VIEN NANG)"/>
    <s v="Q27-03-2-2"/>
    <s v="LPN011375"/>
    <n v="29"/>
    <n v="0"/>
    <s v="HOLD"/>
    <s v="1475/2024/ĐKSP"/>
    <s v="0000035136"/>
    <d v="2028-07-31T00:00:00"/>
    <s v="PM2605CP"/>
    <n v="0.156"/>
    <n v="1152"/>
    <n v="4.524"/>
    <x v="111"/>
    <x v="4"/>
  </r>
  <r>
    <s v="M00106"/>
    <s v="SC6100025"/>
    <s v="PREGNACARE MAX (H/56 VIEN NEN, 28 VIEN NANG)"/>
    <s v="Q27-03-8-2"/>
    <s v="LPN011340"/>
    <n v="12"/>
    <n v="0"/>
    <s v="HOLD"/>
    <s v="1475/2024/ĐKSP"/>
    <s v="0000035136"/>
    <d v="2028-07-31T00:00:00"/>
    <s v="PM2605CP"/>
    <n v="0.156"/>
    <n v="1152"/>
    <n v="1.8719999999999999"/>
    <x v="27"/>
    <x v="4"/>
  </r>
  <r>
    <s v="M00106"/>
    <s v="SC6100018"/>
    <s v="PREGNACARE BREAST-FEEDING (HOP/56 VIEN NEN, 28 VIEN NANG)"/>
    <s v="Q27-03-5-1"/>
    <s v="LPN011318"/>
    <n v="42"/>
    <n v="0"/>
    <s v="HOLD"/>
    <s v="10645/2019/ĐKSP"/>
    <s v="0000035136"/>
    <d v="2028-05-31T00:00:00"/>
    <s v="PB2605CP"/>
    <n v="0.158"/>
    <n v="1152"/>
    <n v="6.6360000000000001"/>
    <x v="461"/>
    <x v="4"/>
  </r>
  <r>
    <s v="M00106"/>
    <s v="SC6100018"/>
    <s v="PREGNACARE BREAST-FEEDING (HOP/56 VIEN NEN, 28 VIEN NANG)"/>
    <s v="Q27-03-7-1"/>
    <s v="LPN011150"/>
    <n v="11"/>
    <n v="0"/>
    <s v="HOLD"/>
    <s v="10645/2019/ĐKSP"/>
    <s v="0000035136"/>
    <d v="2028-05-31T00:00:00"/>
    <s v="PB2605CP"/>
    <n v="0.158"/>
    <n v="1152"/>
    <n v="1.738"/>
    <x v="75"/>
    <x v="4"/>
  </r>
  <r>
    <s v="M00106"/>
    <s v="SC6100018"/>
    <s v="PREGNACARE BREAST-FEEDING (HOP/56 VIEN NEN, 28 VIEN NANG)"/>
    <s v="Q27-03-7-1"/>
    <s v="LPN011166"/>
    <n v="4"/>
    <n v="0"/>
    <s v="HOLD"/>
    <s v="10645/2019/ĐKSP"/>
    <s v="0000035136"/>
    <d v="2028-05-31T00:00:00"/>
    <s v="PB2605CP"/>
    <n v="0.158"/>
    <n v="1152"/>
    <n v="0.63200000000000001"/>
    <x v="251"/>
    <x v="4"/>
  </r>
  <r>
    <s v="M00106"/>
    <s v="SC6100018"/>
    <s v="PREGNACARE BREAST-FEEDING (HOP/56 VIEN NEN, 28 VIEN NANG)"/>
    <s v="Q27-03-7-1"/>
    <s v="LPN011172"/>
    <n v="20"/>
    <n v="0"/>
    <s v="HOLD"/>
    <s v="10645/2019/ĐKSP"/>
    <s v="0000035136"/>
    <d v="2028-05-31T00:00:00"/>
    <s v="PB2605CP"/>
    <n v="0.158"/>
    <n v="1152"/>
    <n v="3.16"/>
    <x v="105"/>
    <x v="4"/>
  </r>
  <r>
    <s v="M00106"/>
    <s v="SC6100018"/>
    <s v="PREGNACARE BREAST-FEEDING (HOP/56 VIEN NEN, 28 VIEN NANG)"/>
    <s v="Q27-03-8-1"/>
    <s v="LPN011328"/>
    <n v="48"/>
    <n v="0"/>
    <s v="HOLD"/>
    <s v="10645/2019/ĐKSP"/>
    <s v="0000035136"/>
    <d v="2028-05-31T00:00:00"/>
    <s v="PB2605CP"/>
    <n v="0.158"/>
    <n v="1152"/>
    <n v="7.5839999999999996"/>
    <x v="194"/>
    <x v="4"/>
  </r>
  <r>
    <s v="HD"/>
    <s v="HT1100004"/>
    <s v="PANTIN 40 (HOP/ 30 VIEN)"/>
    <s v="Q26-03-4-1"/>
    <s v="LPN010431"/>
    <n v="5"/>
    <n v="0"/>
    <s v="HOLD"/>
    <s v="890110030325"/>
    <s v="0000031988"/>
    <d v="2027-06-05T00:00:00"/>
    <s v="FD253704A"/>
    <n v="0.02"/>
    <n v="4928"/>
    <n v="0.1"/>
    <x v="418"/>
    <x v="1"/>
  </r>
  <r>
    <s v="HOANGDUC"/>
    <s v="RH1300357"/>
    <s v="THUOC NHO MAT (NEW V-ROHTO) 13ML (RX)"/>
    <s v="Q27-01-1-1"/>
    <s v="000217583"/>
    <n v="2"/>
    <n v="0"/>
    <s v="HOLD"/>
    <s v="893110352923"/>
    <s v="54-19967"/>
    <d v="2029-01-18T00:00:00"/>
    <s v="AC04"/>
    <n v="2.9000000000000001E-2"/>
    <n v="8000"/>
    <n v="5.8000000000000003E-2"/>
    <x v="462"/>
    <x v="0"/>
  </r>
  <r>
    <s v="HOANGDUC"/>
    <s v="RD4200001"/>
    <s v="REDDITUX 500MG (H/1LO X 50ML)"/>
    <s v="QC1-01-4-2"/>
    <s v="LPN011134"/>
    <n v="1"/>
    <n v="0"/>
    <s v="HOLD"/>
    <s v="QLSP-862-15"/>
    <s v="0000035155"/>
    <d v="2028-12-31T00:00:00"/>
    <s v="N260069A"/>
    <n v="9.6000000000000002E-2"/>
    <n v="504"/>
    <n v="9.6000000000000002E-2"/>
    <x v="132"/>
    <x v="6"/>
  </r>
  <r>
    <s v="HOANGDUC"/>
    <s v="MG1100042"/>
    <s v="PANFOR SR-1000 (HOP/5 VI X 20 VIEN)"/>
    <s v="Q26-03-5-1"/>
    <s v="000217845"/>
    <n v="4"/>
    <n v="0"/>
    <s v="HOLD"/>
    <s v="890110015824"/>
    <s v="0000035189"/>
    <d v="2029-02-15T00:00:00"/>
    <s v="08892601"/>
    <n v="0.18"/>
    <n v="1440"/>
    <n v="0.72"/>
    <x v="239"/>
    <x v="1"/>
  </r>
  <r>
    <s v="HOANGDUC"/>
    <s v="HY7300012"/>
    <s v="ULTRA LIGHT HYDRATOR 50G"/>
    <s v="Q27-03-1-1"/>
    <s v="LPN011111"/>
    <n v="1"/>
    <n v="0"/>
    <s v="HOLD"/>
    <s v="237897/24/CBMP-QLD"/>
    <s v="0000035178"/>
    <d v="2028-10-31T00:00:00"/>
    <s v="SB0030"/>
    <n v="7.3999999999999996E-2"/>
    <n v="4000"/>
    <n v="7.3999999999999996E-2"/>
    <x v="462"/>
    <x v="4"/>
  </r>
  <r>
    <s v="HOANGDUC"/>
    <s v="HT1200010"/>
    <s v="PROPONEX 200 (HOP/10 LO)"/>
    <s v="Q26-03-5-1"/>
    <s v="LPN011117"/>
    <n v="1"/>
    <n v="0"/>
    <s v="HOLD"/>
    <s v="890114432525"/>
    <s v="0000035211"/>
    <d v="2028-01-20T00:00:00"/>
    <s v="AS1260023E"/>
    <n v="0.42199999999999999"/>
    <n v="960"/>
    <n v="0.42199999999999999"/>
    <x v="91"/>
    <x v="1"/>
  </r>
  <r>
    <s v="HOANGDUC"/>
    <s v="MG1100044"/>
    <s v="PANFOR SR-750 (HOP/10 VI X 10 VIEN)"/>
    <s v="Q26-03-5-1"/>
    <s v="000217901"/>
    <n v="4"/>
    <n v="0"/>
    <s v="HOLD"/>
    <s v="VN-20188-16"/>
    <s v="0000035181"/>
    <d v="2027-11-07T00:00:00"/>
    <s v="A08902516"/>
    <n v="0.154"/>
    <n v="1536"/>
    <n v="0.61599999999999999"/>
    <x v="44"/>
    <x v="1"/>
  </r>
  <r>
    <s v="HOANGDUC"/>
    <s v="MG1100043"/>
    <s v="PANFOR SR-500 (HOP/5 VI X 20 VIEN)"/>
    <s v="Q26-01-1-1"/>
    <s v="000218204"/>
    <n v="4"/>
    <n v="0"/>
    <s v="HOLD"/>
    <s v="890110015924"/>
    <s v="0000035216"/>
    <d v="2028-02-10T00:00:00"/>
    <s v="A08882501"/>
    <n v="0.12"/>
    <n v="1920"/>
    <n v="0.48"/>
    <x v="9"/>
    <x v="2"/>
  </r>
  <r>
    <s v="HOANGDUC"/>
    <s v="WO1100009"/>
    <s v="THIOGAMMA TURBO-SET (HOP/1 LO)"/>
    <s v="Q26-01-1-2"/>
    <s v="LPN011142"/>
    <n v="50"/>
    <n v="0"/>
    <s v="HOLD"/>
    <s v="VN-23140-22"/>
    <s v="51-442995"/>
    <d v="2026-07-31T00:00:00"/>
    <s v="40708C"/>
    <n v="0.126"/>
    <n v="3360"/>
    <n v="6.3"/>
    <x v="223"/>
    <x v="2"/>
  </r>
  <r>
    <s v="HOANGDUC"/>
    <s v="WO1100009"/>
    <s v="THIOGAMMA TURBO-SET (HOP/1 LO)"/>
    <s v="Q26-03-7-2"/>
    <s v="000218394"/>
    <n v="350"/>
    <n v="0"/>
    <s v="HOLD"/>
    <s v="VN-23140-22"/>
    <s v="51-442995"/>
    <d v="2026-07-31T00:00:00"/>
    <s v="40708C"/>
    <n v="0.126"/>
    <n v="3360"/>
    <n v="44.1"/>
    <x v="463"/>
    <x v="1"/>
  </r>
  <r>
    <s v="HOANGDUC"/>
    <s v="RD1100017"/>
    <s v="STAMLO-T 80/5MG (HOP/28 VIEN)"/>
    <s v="Q26-03-5-1"/>
    <s v="LPN011157"/>
    <n v="1"/>
    <n v="0"/>
    <s v="HOLD"/>
    <s v="890110125523"/>
    <s v="0000035313"/>
    <d v="2028-01-31T00:00:00"/>
    <s v="V2600393"/>
    <n v="4.8000000000000001E-2"/>
    <n v="2592"/>
    <n v="4.8000000000000001E-2"/>
    <x v="181"/>
    <x v="1"/>
  </r>
  <r>
    <s v="HOANGDUC"/>
    <s v="RD1100017"/>
    <s v="STAMLO-T 80/5MG (HOP/28 VIEN)"/>
    <s v="Q26-03-5-1"/>
    <s v="LPN011155"/>
    <n v="1"/>
    <n v="0"/>
    <s v="HOLD"/>
    <s v="890110125523"/>
    <s v="0000035310"/>
    <d v="2028-01-31T00:00:00"/>
    <s v="V2600393"/>
    <n v="4.8000000000000001E-2"/>
    <n v="2592"/>
    <n v="4.8000000000000001E-2"/>
    <x v="181"/>
    <x v="1"/>
  </r>
  <r>
    <s v="HOANGDUC"/>
    <s v="HT1200002"/>
    <s v="COLISTIMETHATE FOR INJECTION USP 150MG/VIAL (HOP/ 1 LO)"/>
    <s v="Q26-03-6-1"/>
    <s v="LPN011165"/>
    <n v="1"/>
    <n v="0"/>
    <s v="HOLD"/>
    <s v="890114188623"/>
    <s v="0000035317"/>
    <d v="2028-01-25T00:00:00"/>
    <s v="AS1260022C"/>
    <n v="0.02"/>
    <n v="4860"/>
    <n v="0.02"/>
    <x v="464"/>
    <x v="1"/>
  </r>
  <r>
    <s v="M00184"/>
    <s v="BA1313003"/>
    <s v="VO HOP THU HOI IMFINZI PA INJ 500MG VI 1X10ML VN"/>
    <s v="Q27-01-1-2"/>
    <s v="000218901"/>
    <n v="1043"/>
    <n v="0"/>
    <s v="HOLD"/>
    <s v="NOVISA"/>
    <s v="0000035206"/>
    <d v="2099-12-31T00:00:00"/>
    <s v="_"/>
    <n v="3.4000000000000002E-2"/>
    <n v="0"/>
    <n v="35.462000000000003"/>
    <x v="16"/>
    <x v="0"/>
  </r>
  <r>
    <s v="M00184"/>
    <s v="BA1313003"/>
    <s v="VO HOP THU HOI IMFINZI PA INJ 500MG VI 1X10ML VN"/>
    <s v="Q27-01-1-2"/>
    <s v="000218903"/>
    <n v="1079"/>
    <n v="0"/>
    <s v="HOLD"/>
    <s v="NOVISA"/>
    <s v="0000035205"/>
    <d v="2099-12-31T00:00:00"/>
    <s v="_"/>
    <n v="3.4000000000000002E-2"/>
    <n v="0"/>
    <n v="36.686"/>
    <x v="16"/>
    <x v="0"/>
  </r>
  <r>
    <s v="M00106"/>
    <s v="SC6100003"/>
    <s v="FEROGLOBIN B12 CAPSULES (H/30 VIEN)"/>
    <s v="Q27-03-7-1"/>
    <s v="LPN011163"/>
    <n v="2"/>
    <n v="0"/>
    <s v="HOLD"/>
    <s v="9183/2019/ĐKSP"/>
    <s v="0000035326"/>
    <d v="2028-10-31T00:00:00"/>
    <s v="FW2504KA"/>
    <n v="0.04"/>
    <n v="2688"/>
    <n v="0.08"/>
    <x v="52"/>
    <x v="4"/>
  </r>
  <r>
    <s v="M00106"/>
    <s v="SC6100003"/>
    <s v="FEROGLOBIN B12 CAPSULES (H/30 VIEN)"/>
    <s v="Q27-03-7-1"/>
    <s v="LPN011174"/>
    <n v="5"/>
    <n v="0"/>
    <s v="HOLD"/>
    <s v="9183/2019/ĐKSP"/>
    <s v="0000035326"/>
    <d v="2028-10-31T00:00:00"/>
    <s v="FW2504KA"/>
    <n v="0.04"/>
    <n v="2688"/>
    <n v="0.2"/>
    <x v="46"/>
    <x v="4"/>
  </r>
  <r>
    <s v="M00106"/>
    <s v="SC6100003"/>
    <s v="FEROGLOBIN B12 CAPSULES (H/30 VIEN)"/>
    <s v="Q27-03-7-1"/>
    <s v="LPN011176"/>
    <n v="3"/>
    <n v="0"/>
    <s v="HOLD"/>
    <s v="9183/2019/ĐKSP"/>
    <s v="0000035326"/>
    <d v="2028-10-31T00:00:00"/>
    <s v="FW2504KA"/>
    <n v="0.04"/>
    <n v="2688"/>
    <n v="0.12"/>
    <x v="45"/>
    <x v="4"/>
  </r>
  <r>
    <s v="M00106"/>
    <s v="SC6100003"/>
    <s v="FEROGLOBIN B12 CAPSULES (H/30 VIEN)"/>
    <s v="Q27-03-7-1"/>
    <s v="LPN011192"/>
    <n v="18"/>
    <n v="0"/>
    <s v="HOLD"/>
    <s v="9183/2019/ĐKSP"/>
    <s v="0000035326"/>
    <d v="2028-10-31T00:00:00"/>
    <s v="FW2504KA"/>
    <n v="0.04"/>
    <n v="2688"/>
    <n v="0.72"/>
    <x v="221"/>
    <x v="4"/>
  </r>
  <r>
    <s v="M00106"/>
    <s v="SC6100003"/>
    <s v="FEROGLOBIN B12 CAPSULES (H/30 VIEN)"/>
    <s v="Q27-03-7-1"/>
    <s v="LPN011225"/>
    <n v="1"/>
    <n v="0"/>
    <s v="HOLD"/>
    <s v="9183/2019/ĐKSP"/>
    <s v="0000035326"/>
    <d v="2028-10-31T00:00:00"/>
    <s v="FW2504KA"/>
    <n v="0.04"/>
    <n v="2688"/>
    <n v="0.04"/>
    <x v="51"/>
    <x v="4"/>
  </r>
  <r>
    <s v="M00106"/>
    <s v="SC6100001"/>
    <s v="OSTEOCARE LIQUID 200ML"/>
    <s v="Q27-03-7-1"/>
    <s v="LPN011164"/>
    <n v="3"/>
    <n v="0"/>
    <s v="HOLD"/>
    <s v="9186/2019/ĐKSP"/>
    <s v="0000035326"/>
    <d v="2027-12-31T00:00:00"/>
    <s v="60139"/>
    <n v="0.3"/>
    <n v="1680"/>
    <n v="0.89999999999999991"/>
    <x v="55"/>
    <x v="4"/>
  </r>
  <r>
    <s v="M00106"/>
    <s v="SC6100001"/>
    <s v="OSTEOCARE LIQUID 200ML"/>
    <s v="Q27-03-7-1"/>
    <s v="LPN011169"/>
    <n v="18"/>
    <n v="0"/>
    <s v="HOLD"/>
    <s v="9186/2019/ĐKSP"/>
    <s v="0000035326"/>
    <d v="2027-12-31T00:00:00"/>
    <s v="60139"/>
    <n v="0.3"/>
    <n v="1680"/>
    <n v="5.3999999999999995"/>
    <x v="110"/>
    <x v="4"/>
  </r>
  <r>
    <s v="M00106"/>
    <s v="SC6100017"/>
    <s v="WELLKID MULTI-VITAMIN LIQUID (CHAI/150ML)"/>
    <s v="Q27-03-1-2"/>
    <s v="LPN011185"/>
    <n v="20"/>
    <n v="0"/>
    <s v="HOLD"/>
    <s v="10642/2019/ĐKSP"/>
    <s v="0000035326"/>
    <d v="2027-12-31T00:00:00"/>
    <s v="60136"/>
    <n v="0.312"/>
    <n v="1680"/>
    <n v="6.24"/>
    <x v="92"/>
    <x v="4"/>
  </r>
  <r>
    <s v="M00106"/>
    <s v="SC6100019"/>
    <s v="WELLBABY MULTI-VITAMIN LIQUID (CHAI 150ML)"/>
    <s v="Q27-03-7-1"/>
    <s v="LPN011173"/>
    <n v="20"/>
    <n v="0"/>
    <s v="HOLD"/>
    <s v="10643/2019/ĐKSP"/>
    <s v="0000035326"/>
    <d v="2027-12-31T00:00:00"/>
    <s v="60029"/>
    <n v="0.22600000000000001"/>
    <n v="1680"/>
    <n v="4.5200000000000005"/>
    <x v="92"/>
    <x v="4"/>
  </r>
  <r>
    <s v="M00106"/>
    <s v="SC6100019"/>
    <s v="WELLBABY MULTI-VITAMIN LIQUID (CHAI 150ML)"/>
    <s v="Q27-03-7-1"/>
    <s v="LPN011181"/>
    <n v="3"/>
    <n v="0"/>
    <s v="HOLD"/>
    <s v="10643/2019/ĐKSP"/>
    <s v="0000035326"/>
    <d v="2027-12-31T00:00:00"/>
    <s v="60029"/>
    <n v="0.22600000000000001"/>
    <n v="1680"/>
    <n v="0.67800000000000005"/>
    <x v="55"/>
    <x v="4"/>
  </r>
  <r>
    <s v="HOANGDUC"/>
    <s v="AZ1200001"/>
    <s v="FASLODEX 2X250MG.5ML PRE-FILLED SYRINGE"/>
    <s v="QC1-01-1-2"/>
    <s v="000218900"/>
    <n v="5"/>
    <n v="0"/>
    <s v="HOLD"/>
    <s v="VN-19561-16"/>
    <s v="54-20231"/>
    <d v="2028-10-11T00:00:00"/>
    <s v="SX310"/>
    <n v="0.129"/>
    <n v="120"/>
    <n v="0.64500000000000002"/>
    <x v="194"/>
    <x v="6"/>
  </r>
  <r>
    <s v="HOANGDUC"/>
    <s v="MG1100063"/>
    <s v="VCARD-AM 80 + 5 (HOP/4 VI X 7 VIEN)"/>
    <s v="Q26-01-1-1"/>
    <s v="000219018"/>
    <n v="8"/>
    <n v="0"/>
    <s v="HOLD"/>
    <s v="520110976124"/>
    <s v="0000035342"/>
    <d v="2028-08-31T00:00:00"/>
    <s v="257745"/>
    <n v="1.4E-2"/>
    <n v="7920"/>
    <n v="0.112"/>
    <x v="465"/>
    <x v="2"/>
  </r>
  <r>
    <s v="HOANGDUC"/>
    <s v="MG1100036"/>
    <s v="BAROLE 20 (HOP/10 VI X 10 VIEN)"/>
    <s v="Q26-01-1-1"/>
    <s v="000219017"/>
    <n v="1"/>
    <n v="0"/>
    <s v="HOLD"/>
    <s v="890110022524"/>
    <s v="0000035342"/>
    <d v="2027-11-07T00:00:00"/>
    <s v="A08872507"/>
    <n v="6.6000000000000003E-2"/>
    <n v="1344"/>
    <n v="6.6000000000000003E-2"/>
    <x v="52"/>
    <x v="2"/>
  </r>
  <r>
    <s v="HOANGDUC"/>
    <s v="HT1100044"/>
    <s v="RITOCOM (HOP/1 LO 120 VIEN)"/>
    <s v="Q26-03-6-1"/>
    <s v="LPN011175"/>
    <n v="12"/>
    <n v="0"/>
    <s v="HOLD"/>
    <s v="890110353124"/>
    <s v="0000035411"/>
    <d v="2028-01-20T00:00:00"/>
    <s v="E260142"/>
    <n v="0.23599999999999999"/>
    <n v="1344"/>
    <n v="2.8319999999999999"/>
    <x v="100"/>
    <x v="1"/>
  </r>
  <r>
    <s v="HOANGDUC"/>
    <s v="BS1400001"/>
    <s v="PAPILOCARE (21 CANNULAS X 5ML)"/>
    <s v="Q27-03-7-1"/>
    <s v="LPN011235"/>
    <n v="1"/>
    <n v="0"/>
    <s v="HOLD"/>
    <s v="250001610/PCBB-HCM"/>
    <s v="0000035415"/>
    <d v="2028-07-31T00:00:00"/>
    <s v="X0121"/>
    <n v="0.2"/>
    <n v="672"/>
    <n v="0.2"/>
    <x v="42"/>
    <x v="4"/>
  </r>
  <r>
    <s v="HOANGDUC"/>
    <s v="BS1400001"/>
    <s v="PAPILOCARE (21 CANNULAS X 5ML)"/>
    <s v="Q27-03-2-1"/>
    <s v="LPN011242"/>
    <n v="7"/>
    <n v="0"/>
    <s v="HOLD"/>
    <s v="250001610/PCBB-HCM"/>
    <s v="0000035415"/>
    <d v="2028-08-31T00:00:00"/>
    <s v="X0161"/>
    <n v="0.2"/>
    <n v="672"/>
    <n v="1.4000000000000001"/>
    <x v="27"/>
    <x v="4"/>
  </r>
  <r>
    <s v="HOANGDUC"/>
    <s v="SC6100004"/>
    <s v="OSTEOCARE (H/30 VIEN)"/>
    <s v="Q27-03-7-1"/>
    <s v="LPN011197"/>
    <n v="1"/>
    <n v="0"/>
    <s v="HOLD"/>
    <s v="8615/2019/ĐKSP"/>
    <s v="0000035421"/>
    <d v="2029-10-31T00:00:00"/>
    <s v="OT2516P"/>
    <n v="7.4999999999999997E-2"/>
    <n v="2688"/>
    <n v="7.4999999999999997E-2"/>
    <x v="51"/>
    <x v="4"/>
  </r>
  <r>
    <s v="M00106"/>
    <s v="SC6100025"/>
    <s v="PREGNACARE MAX (H/56 VIEN NEN, 28 VIEN NANG)"/>
    <s v="Q27-03-7-1"/>
    <s v="LPN011188"/>
    <n v="6"/>
    <n v="0"/>
    <s v="HOLD"/>
    <s v="1475/2024/ĐKSP"/>
    <s v="0000035420"/>
    <d v="2028-05-31T00:00:00"/>
    <s v="PM2520CP"/>
    <n v="0.156"/>
    <n v="1152"/>
    <n v="0.93599999999999994"/>
    <x v="36"/>
    <x v="4"/>
  </r>
  <r>
    <s v="M00106"/>
    <s v="SC6100025"/>
    <s v="PREGNACARE MAX (H/56 VIEN NEN, 28 VIEN NANG)"/>
    <s v="Q27-03-7-1"/>
    <s v="LPN011195"/>
    <n v="3"/>
    <n v="0"/>
    <s v="HOLD"/>
    <s v="1475/2024/ĐKSP"/>
    <s v="0000035420"/>
    <d v="2028-05-31T00:00:00"/>
    <s v="PM2520CP"/>
    <n v="0.156"/>
    <n v="1152"/>
    <n v="0.46799999999999997"/>
    <x v="44"/>
    <x v="4"/>
  </r>
  <r>
    <s v="M00106"/>
    <s v="SC6100003"/>
    <s v="FEROGLOBIN B12 CAPSULES (H/30 VIEN)"/>
    <s v="Q27-03-2-1"/>
    <s v="LPN011243"/>
    <n v="2"/>
    <n v="0"/>
    <s v="HOLD"/>
    <s v="9183/2019/ĐKSP"/>
    <s v="0000035420"/>
    <d v="2028-06-30T00:00:00"/>
    <s v="FW2525TA"/>
    <n v="0.04"/>
    <n v="2688"/>
    <n v="0.08"/>
    <x v="52"/>
    <x v="4"/>
  </r>
  <r>
    <s v="M00106"/>
    <s v="SC6100003"/>
    <s v="FEROGLOBIN B12 CAPSULES (H/30 VIEN)"/>
    <s v="Q27-03-2-1"/>
    <s v="LPN011247"/>
    <n v="15"/>
    <n v="0"/>
    <s v="HOLD"/>
    <s v="9183/2019/ĐKSP"/>
    <s v="0000035420"/>
    <d v="2028-06-30T00:00:00"/>
    <s v="FW2525TA"/>
    <n v="0.04"/>
    <n v="2688"/>
    <n v="0.6"/>
    <x v="117"/>
    <x v="4"/>
  </r>
  <r>
    <s v="M00106"/>
    <s v="SC6100003"/>
    <s v="FEROGLOBIN B12 CAPSULES (H/30 VIEN)"/>
    <s v="Q27-03-7-1"/>
    <s v="LPN011236"/>
    <n v="3"/>
    <n v="0"/>
    <s v="HOLD"/>
    <s v="9183/2019/ĐKSP"/>
    <s v="0000035420"/>
    <d v="2028-06-30T00:00:00"/>
    <s v="FW2525TA"/>
    <n v="0.04"/>
    <n v="2688"/>
    <n v="0.12"/>
    <x v="45"/>
    <x v="4"/>
  </r>
  <r>
    <s v="M00106"/>
    <s v="SC6100018"/>
    <s v="PREGNACARE BREAST-FEEDING (HOP/56 VIEN NEN, 28 VIEN NANG)"/>
    <s v="Q27-03-8-2"/>
    <s v="LPN011337"/>
    <n v="62"/>
    <n v="0"/>
    <s v="HOLD"/>
    <s v="10645/2019/ĐKSP"/>
    <s v="0000035420"/>
    <d v="2028-07-31T00:00:00"/>
    <s v="PB2533CP"/>
    <n v="0.158"/>
    <n v="1152"/>
    <n v="9.7959999999999994"/>
    <x v="466"/>
    <x v="4"/>
  </r>
  <r>
    <s v="M00106"/>
    <s v="SC6100018"/>
    <s v="PREGNACARE BREAST-FEEDING (HOP/56 VIEN NEN, 28 VIEN NANG)"/>
    <s v="Q27-03-8-2"/>
    <s v="LPN011343"/>
    <n v="6"/>
    <n v="0"/>
    <s v="HOLD"/>
    <s v="10645/2019/ĐKSP"/>
    <s v="0000035420"/>
    <d v="2028-07-31T00:00:00"/>
    <s v="PB2533CP"/>
    <n v="0.158"/>
    <n v="1152"/>
    <n v="0.94799999999999995"/>
    <x v="36"/>
    <x v="4"/>
  </r>
  <r>
    <s v="HOANGDUC"/>
    <s v="MG1100044"/>
    <s v="PANFOR SR-750 (HOP/10 VI X 10 VIEN)"/>
    <s v="Q26-03-6-1"/>
    <s v="000219565"/>
    <n v="2"/>
    <n v="0"/>
    <s v="HOLD"/>
    <s v="VN-20188-16"/>
    <s v="0000035407"/>
    <d v="2027-11-07T00:00:00"/>
    <s v="A08902517"/>
    <n v="0.154"/>
    <n v="1536"/>
    <n v="0.308"/>
    <x v="18"/>
    <x v="1"/>
  </r>
  <r>
    <s v="M00184"/>
    <s v="AZ1112003"/>
    <s v="LYNPARZA PA TAB 150MG BL 7X8 EA VN"/>
    <s v="Q27-01-1-2"/>
    <s v="000219768"/>
    <n v="1"/>
    <n v="0"/>
    <s v="HOLD"/>
    <s v="001110403323"/>
    <s v="0000035426"/>
    <d v="2028-02-14T00:00:00"/>
    <s v="SS656"/>
    <n v="8.3000000000000004E-2"/>
    <n v="1200"/>
    <n v="8.3000000000000004E-2"/>
    <x v="84"/>
    <x v="0"/>
  </r>
  <r>
    <s v="M00184"/>
    <s v="AZ1112005"/>
    <s v="TAGRISSO PA TAB 80MG BL 3X10 EA VN"/>
    <s v="Q27-01-1-2"/>
    <s v="000219770"/>
    <n v="1"/>
    <n v="0"/>
    <s v="HOLD"/>
    <s v="VN3-36-18"/>
    <s v="0000035426"/>
    <d v="2028-02-11T00:00:00"/>
    <s v="FMFW"/>
    <n v="0.05"/>
    <n v="1500"/>
    <n v="0.05"/>
    <x v="374"/>
    <x v="0"/>
  </r>
  <r>
    <s v="M00184"/>
    <s v="AZ1113001"/>
    <s v="TAGRISSO PA TAB 80MG BL 1X10 EA VN"/>
    <s v="Q27-01-1-2"/>
    <s v="000219767"/>
    <n v="3"/>
    <n v="0"/>
    <s v="HOLD"/>
    <s v="VN3-36-18"/>
    <s v="0000035426"/>
    <d v="2027-06-03T00:00:00"/>
    <s v="FLVS"/>
    <n v="0.03"/>
    <n v="2200"/>
    <n v="0.09"/>
    <x v="367"/>
    <x v="0"/>
  </r>
  <r>
    <s v="M00184"/>
    <s v="AZ1112001"/>
    <s v="CALQUENCE PA CAP 100MG BL 10X6 EA VN"/>
    <s v="Q27-01-1-2"/>
    <s v="000219769"/>
    <n v="1"/>
    <n v="0"/>
    <s v="HOLD"/>
    <s v="730110017023"/>
    <s v="0000035426"/>
    <d v="2027-06-07T00:00:00"/>
    <s v="ABHH"/>
    <n v="7.8E-2"/>
    <n v="800"/>
    <n v="7.8E-2"/>
    <x v="368"/>
    <x v="0"/>
  </r>
  <r>
    <s v="HOANGDUC"/>
    <s v="MG1100048"/>
    <s v="PERGLIM M-2 (HOP/5 VI X 20 VIEN)"/>
    <s v="Q27-01-1-2"/>
    <s v="000219808"/>
    <n v="3"/>
    <n v="0"/>
    <s v="HOLD"/>
    <s v="890110035223"/>
    <s v="0000035454"/>
    <d v="2027-11-07T00:00:00"/>
    <s v="A08922532"/>
    <n v="0.14399999999999999"/>
    <n v="1728"/>
    <n v="0.43199999999999994"/>
    <x v="70"/>
    <x v="0"/>
  </r>
  <r>
    <s v="M00184"/>
    <s v="AZ1112005"/>
    <s v="TAGRISSO PA TAB 80MG BL 3X10 EA VN"/>
    <s v="Q26-01-1-1"/>
    <s v="000219884"/>
    <n v="1"/>
    <n v="0"/>
    <s v="HOLD"/>
    <s v="VN3-36-18"/>
    <s v="0000035481"/>
    <d v="2028-06-18T00:00:00"/>
    <s v="FMKB"/>
    <n v="0.05"/>
    <n v="1500"/>
    <n v="0.05"/>
    <x v="374"/>
    <x v="2"/>
  </r>
  <r>
    <s v="M00106"/>
    <s v="SC6100003"/>
    <s v="FEROGLOBIN B12 CAPSULES (H/30 VIEN)"/>
    <s v="Q27-03-2-1"/>
    <s v="LPN011269"/>
    <n v="12"/>
    <n v="0"/>
    <s v="HOLD"/>
    <s v="9183/2019/ĐKSP"/>
    <s v="0000035483"/>
    <d v="2028-08-31T00:00:00"/>
    <s v="FW2516PA"/>
    <n v="0.04"/>
    <n v="2688"/>
    <n v="0.48"/>
    <x v="64"/>
    <x v="4"/>
  </r>
  <r>
    <s v="M00106"/>
    <s v="SC6100003"/>
    <s v="FEROGLOBIN B12 CAPSULES (H/30 VIEN)"/>
    <s v="Q27-03-2-1"/>
    <s v="LPN011277"/>
    <n v="40"/>
    <n v="0"/>
    <s v="HOLD"/>
    <s v="9183/2019/ĐKSP"/>
    <s v="0000035483"/>
    <d v="2028-08-31T00:00:00"/>
    <s v="FW2516PA"/>
    <n v="0.04"/>
    <n v="2688"/>
    <n v="1.6"/>
    <x v="223"/>
    <x v="4"/>
  </r>
  <r>
    <s v="M00106"/>
    <s v="SC6100003"/>
    <s v="FEROGLOBIN B12 CAPSULES (H/30 VIEN)"/>
    <s v="Q27-03-2-1"/>
    <s v="LPN011302"/>
    <n v="20"/>
    <n v="0"/>
    <s v="HOLD"/>
    <s v="9183/2019/ĐKSP"/>
    <s v="0000035483"/>
    <d v="2028-08-31T00:00:00"/>
    <s v="FW2516PA"/>
    <n v="0.04"/>
    <n v="2688"/>
    <n v="0.8"/>
    <x v="220"/>
    <x v="4"/>
  </r>
  <r>
    <s v="M00106"/>
    <s v="SC6100003"/>
    <s v="FEROGLOBIN B12 CAPSULES (H/30 VIEN)"/>
    <s v="Q27-03-3-2"/>
    <s v="LPN011330"/>
    <n v="54"/>
    <n v="0"/>
    <s v="HOLD"/>
    <s v="9183/2019/ĐKSP"/>
    <s v="0000035483"/>
    <d v="2028-08-31T00:00:00"/>
    <s v="FW2516PA"/>
    <n v="0.04"/>
    <n v="2688"/>
    <n v="2.16"/>
    <x v="335"/>
    <x v="4"/>
  </r>
  <r>
    <s v="M00106"/>
    <s v="SC6100003"/>
    <s v="FEROGLOBIN B12 CAPSULES (H/30 VIEN)"/>
    <s v="Q27-03-8-1"/>
    <s v="LPN011329"/>
    <n v="2"/>
    <n v="0"/>
    <s v="HOLD"/>
    <s v="9183/2019/ĐKSP"/>
    <s v="0000035483"/>
    <d v="2028-08-31T00:00:00"/>
    <s v="FW2516PA"/>
    <n v="0.04"/>
    <n v="2688"/>
    <n v="0.08"/>
    <x v="52"/>
    <x v="4"/>
  </r>
  <r>
    <s v="M00106"/>
    <s v="SC6100003"/>
    <s v="FEROGLOBIN B12 CAPSULES (H/30 VIEN)"/>
    <s v="Q27-03-8-2"/>
    <s v="LPN011342"/>
    <n v="6"/>
    <n v="0"/>
    <s v="HOLD"/>
    <s v="9183/2019/ĐKSP"/>
    <s v="0000035483"/>
    <d v="2028-08-31T00:00:00"/>
    <s v="FW2516PA"/>
    <n v="0.04"/>
    <n v="2688"/>
    <n v="0.24"/>
    <x v="53"/>
    <x v="4"/>
  </r>
  <r>
    <s v="M00106"/>
    <s v="SC6100003"/>
    <s v="FEROGLOBIN B12 CAPSULES (H/30 VIEN)"/>
    <s v="Q27-03-2-1"/>
    <s v="LPN011246"/>
    <n v="1"/>
    <n v="0"/>
    <s v="HOLD"/>
    <s v="9183/2019/ĐKSP"/>
    <s v="0000035483"/>
    <d v="2028-06-30T00:00:00"/>
    <s v="FW2525TA"/>
    <n v="0.04"/>
    <n v="2688"/>
    <n v="0.04"/>
    <x v="51"/>
    <x v="4"/>
  </r>
  <r>
    <s v="M00106"/>
    <s v="SC6100003"/>
    <s v="FEROGLOBIN B12 CAPSULES (H/30 VIEN)"/>
    <s v="Q27-03-2-1"/>
    <s v="LPN011260"/>
    <n v="3"/>
    <n v="0"/>
    <s v="HOLD"/>
    <s v="9183/2019/ĐKSP"/>
    <s v="0000035483"/>
    <d v="2028-06-30T00:00:00"/>
    <s v="FW2525TA"/>
    <n v="0.04"/>
    <n v="2688"/>
    <n v="0.12"/>
    <x v="45"/>
    <x v="4"/>
  </r>
  <r>
    <s v="HOANGDUC"/>
    <s v="AV1100021"/>
    <s v="ALFUTOR ER TABLETS 10MG (HOP/30VIEN)"/>
    <s v="Q26-03-6-1"/>
    <s v="LPN011211"/>
    <n v="2"/>
    <n v="0"/>
    <s v="HOLD"/>
    <s v="890110437723"/>
    <s v="0000035488"/>
    <d v="2028-02-18T00:00:00"/>
    <s v="BGP9N002"/>
    <n v="2.8000000000000001E-2"/>
    <n v="3780"/>
    <n v="5.6000000000000001E-2"/>
    <x v="4"/>
    <x v="1"/>
  </r>
  <r>
    <s v="HOANGDUC"/>
    <s v="AV1100021"/>
    <s v="ALFUTOR ER TABLETS 10MG (HOP/30VIEN)"/>
    <s v="Q26-03-6-1"/>
    <s v="LPN011202"/>
    <n v="4"/>
    <n v="0"/>
    <s v="HOLD"/>
    <s v="890110437723"/>
    <s v="0000035488"/>
    <d v="2028-02-18T00:00:00"/>
    <s v="BGP9N001"/>
    <n v="2.8000000000000001E-2"/>
    <n v="3780"/>
    <n v="0.112"/>
    <x v="5"/>
    <x v="1"/>
  </r>
  <r>
    <s v="HOANGDUC"/>
    <s v="AV1100021"/>
    <s v="ALFUTOR ER TABLETS 10MG (HOP/30VIEN)"/>
    <s v="Q26-03-6-1"/>
    <s v="LPN011208"/>
    <n v="4"/>
    <n v="0"/>
    <s v="HOLD"/>
    <s v="890110437723"/>
    <s v="0000035488"/>
    <d v="2028-02-18T00:00:00"/>
    <s v="BGP9N001"/>
    <n v="2.8000000000000001E-2"/>
    <n v="3780"/>
    <n v="0.112"/>
    <x v="5"/>
    <x v="1"/>
  </r>
  <r>
    <s v="HOANGDUC"/>
    <s v="MG1100048"/>
    <s v="PERGLIM M-2 (HOP/5 VI X 20 VIEN)"/>
    <s v="Q26-01-1-1"/>
    <s v="000220434"/>
    <n v="1"/>
    <n v="0"/>
    <s v="HOLD"/>
    <s v="890110035223"/>
    <s v="0000035486"/>
    <d v="2027-11-07T00:00:00"/>
    <s v="A08922532"/>
    <n v="0.14399999999999999"/>
    <n v="1728"/>
    <n v="0.14399999999999999"/>
    <x v="213"/>
    <x v="2"/>
  </r>
  <r>
    <s v="HD"/>
    <s v="HT1100053"/>
    <s v="TELDY (HOP/1 LO HDPE 30 VIEN)"/>
    <s v="Q26-03-5-1"/>
    <s v="LPN011317"/>
    <n v="2"/>
    <n v="0"/>
    <s v="HOLD"/>
    <s v="890110445523"/>
    <s v="0000035487"/>
    <d v="2027-12-11T00:00:00"/>
    <s v="E255962"/>
    <n v="8.5999999999999993E-2"/>
    <n v="2772"/>
    <n v="0.17199999999999999"/>
    <x v="467"/>
    <x v="1"/>
  </r>
  <r>
    <s v="HD"/>
    <s v="HT1100053"/>
    <s v="TELDY (HOP/1 LO HDPE 30 VIEN)"/>
    <s v="Q26-03-6-1"/>
    <s v="LPN011308"/>
    <n v="1"/>
    <n v="0"/>
    <s v="HOLD"/>
    <s v="890110445523"/>
    <s v="0000035487"/>
    <d v="2027-12-11T00:00:00"/>
    <s v="E255962"/>
    <n v="8.5999999999999993E-2"/>
    <n v="2772"/>
    <n v="8.5999999999999993E-2"/>
    <x v="444"/>
    <x v="1"/>
  </r>
  <r>
    <s v="HD"/>
    <s v="HT1100053"/>
    <s v="TELDY (HOP/1 LO HDPE 30 VIEN)"/>
    <s v="Q26-03-6-1"/>
    <s v="LPN011230"/>
    <n v="2"/>
    <n v="0"/>
    <s v="HOLD"/>
    <s v="890110445523"/>
    <s v="0000035487"/>
    <d v="2027-12-11T00:00:00"/>
    <s v="E255545"/>
    <n v="8.5999999999999993E-2"/>
    <n v="2772"/>
    <n v="0.17199999999999999"/>
    <x v="467"/>
    <x v="1"/>
  </r>
  <r>
    <s v="HOANGDUC"/>
    <s v="GZ1301002"/>
    <s v="SALBOGET PRESSURISED INHALATION 100MCG"/>
    <s v="Q26-03-6-1"/>
    <s v="000220468"/>
    <n v="1"/>
    <n v="0"/>
    <s v="HOLD"/>
    <s v="896115206723"/>
    <s v="0000035519"/>
    <d v="2027-12-07T00:00:00"/>
    <s v="623M04"/>
    <n v="4.3999999999999997E-2"/>
    <n v="3600"/>
    <n v="4.3999999999999997E-2"/>
    <x v="417"/>
    <x v="1"/>
  </r>
  <r>
    <s v="M00106"/>
    <s v="SC6100002"/>
    <s v="FEROGLOBIN B12 LIQUID 200ML"/>
    <s v="Q27-03-2-1"/>
    <s v="LPN011309"/>
    <n v="9"/>
    <n v="0"/>
    <s v="HOLD"/>
    <s v="8974/2019/ĐKSP"/>
    <s v="0000035526"/>
    <d v="2027-12-31T00:00:00"/>
    <s v="60074"/>
    <n v="0.3"/>
    <n v="1680"/>
    <n v="2.6999999999999997"/>
    <x v="173"/>
    <x v="4"/>
  </r>
  <r>
    <s v="M00106"/>
    <s v="SC6100003"/>
    <s v="FEROGLOBIN B12 CAPSULES (H/30 VIEN)"/>
    <s v="Q27-03-1-1"/>
    <s v="LPN011358"/>
    <n v="7"/>
    <n v="0"/>
    <s v="HOLD"/>
    <s v="9183/2019/ĐKSP"/>
    <s v="0000035526"/>
    <d v="2028-10-31T00:00:00"/>
    <s v="FW2504KA"/>
    <n v="0.04"/>
    <n v="2688"/>
    <n v="0.28000000000000003"/>
    <x v="44"/>
    <x v="4"/>
  </r>
  <r>
    <s v="M00106"/>
    <s v="SC6100003"/>
    <s v="FEROGLOBIN B12 CAPSULES (H/30 VIEN)"/>
    <s v="Q27-03-2-2"/>
    <s v="LPN011371"/>
    <n v="11"/>
    <n v="0"/>
    <s v="HOLD"/>
    <s v="9183/2019/ĐKSP"/>
    <s v="0000035526"/>
    <d v="2028-10-31T00:00:00"/>
    <s v="FW2504KA"/>
    <n v="0.04"/>
    <n v="2688"/>
    <n v="0.44"/>
    <x v="47"/>
    <x v="4"/>
  </r>
  <r>
    <s v="M00106"/>
    <s v="SC6100003"/>
    <s v="FEROGLOBIN B12 CAPSULES (H/30 VIEN)"/>
    <s v="Q27-03-2-2"/>
    <s v="LPN011372"/>
    <n v="55"/>
    <n v="0"/>
    <s v="HOLD"/>
    <s v="9183/2019/ĐKSP"/>
    <s v="0000035526"/>
    <d v="2028-10-31T00:00:00"/>
    <s v="FW2504KA"/>
    <n v="0.04"/>
    <n v="2688"/>
    <n v="2.2000000000000002"/>
    <x v="468"/>
    <x v="4"/>
  </r>
  <r>
    <s v="M00106"/>
    <s v="SC6100003"/>
    <s v="FEROGLOBIN B12 CAPSULES (H/30 VIEN)"/>
    <s v="Q27-03-2-2"/>
    <s v="LPN011373"/>
    <n v="25"/>
    <n v="0"/>
    <s v="HOLD"/>
    <s v="9183/2019/ĐKSP"/>
    <s v="0000035526"/>
    <d v="2028-10-31T00:00:00"/>
    <s v="FW2504KA"/>
    <n v="0.04"/>
    <n v="2688"/>
    <n v="1"/>
    <x v="86"/>
    <x v="4"/>
  </r>
  <r>
    <s v="M00106"/>
    <s v="SC6100003"/>
    <s v="FEROGLOBIN B12 CAPSULES (H/30 VIEN)"/>
    <s v="Q27-03-8-2"/>
    <s v="LPN011339"/>
    <n v="3"/>
    <n v="0"/>
    <s v="HOLD"/>
    <s v="9183/2019/ĐKSP"/>
    <s v="0000035526"/>
    <d v="2028-10-31T00:00:00"/>
    <s v="FW2504KA"/>
    <n v="0.04"/>
    <n v="2688"/>
    <n v="0.12"/>
    <x v="45"/>
    <x v="4"/>
  </r>
  <r>
    <s v="M00106"/>
    <s v="SC6100019"/>
    <s v="WELLBABY MULTI-VITAMIN LIQUID (CHAI 150ML)"/>
    <s v="Q27-03-2-1"/>
    <s v="LPN011261"/>
    <n v="1"/>
    <n v="0"/>
    <s v="HOLD"/>
    <s v="10643/2019/ĐKSP"/>
    <s v="0000035526"/>
    <d v="2027-11-30T00:00:00"/>
    <s v="51584"/>
    <n v="0.22600000000000001"/>
    <n v="1680"/>
    <n v="0.22600000000000001"/>
    <x v="153"/>
    <x v="4"/>
  </r>
  <r>
    <s v="M00106"/>
    <s v="SC6100019"/>
    <s v="WELLBABY MULTI-VITAMIN LIQUID (CHAI 150ML)"/>
    <s v="Q27-03-2-1"/>
    <s v="LPN011268"/>
    <n v="24"/>
    <n v="0"/>
    <s v="HOLD"/>
    <s v="10643/2019/ĐKSP"/>
    <s v="0000035526"/>
    <d v="2027-11-30T00:00:00"/>
    <s v="51584"/>
    <n v="0.22600000000000001"/>
    <n v="1680"/>
    <n v="5.4240000000000004"/>
    <x v="96"/>
    <x v="4"/>
  </r>
  <r>
    <s v="M00106"/>
    <s v="SC6100019"/>
    <s v="WELLBABY MULTI-VITAMIN LIQUID (CHAI 150ML)"/>
    <s v="Q27-03-2-1"/>
    <s v="LPN011266"/>
    <n v="17"/>
    <n v="0"/>
    <s v="HOLD"/>
    <s v="10643/2019/ĐKSP"/>
    <s v="0000035526"/>
    <d v="2027-09-30T00:00:00"/>
    <s v="51431"/>
    <n v="0.22600000000000001"/>
    <n v="1680"/>
    <n v="3.8420000000000001"/>
    <x v="38"/>
    <x v="4"/>
  </r>
  <r>
    <s v="M00106"/>
    <s v="SC6100019"/>
    <s v="WELLBABY MULTI-VITAMIN LIQUID (CHAI 150ML)"/>
    <s v="Q27-03-2-1"/>
    <s v="LPN011267"/>
    <n v="1"/>
    <n v="0"/>
    <s v="HOLD"/>
    <s v="10643/2019/ĐKSP"/>
    <s v="0000035526"/>
    <d v="2027-09-30T00:00:00"/>
    <s v="51431"/>
    <n v="0.22600000000000001"/>
    <n v="1680"/>
    <n v="0.22600000000000001"/>
    <x v="153"/>
    <x v="4"/>
  </r>
  <r>
    <s v="M00106"/>
    <s v="SC6100001"/>
    <s v="OSTEOCARE LIQUID 200ML"/>
    <s v="Q27-03-2-1"/>
    <s v="LPN011257"/>
    <n v="7"/>
    <n v="0"/>
    <s v="HOLD"/>
    <s v="9186/2019/ĐKSP"/>
    <s v="0000035526"/>
    <d v="2027-12-31T00:00:00"/>
    <s v="60139"/>
    <n v="0.3"/>
    <n v="1680"/>
    <n v="2.1"/>
    <x v="13"/>
    <x v="4"/>
  </r>
  <r>
    <s v="M00106"/>
    <s v="SC6100017"/>
    <s v="WELLKID MULTI-VITAMIN LIQUID (CHAI/150ML)"/>
    <s v="Q27-03-2-1"/>
    <s v="LPN011275"/>
    <n v="31"/>
    <n v="0"/>
    <s v="HOLD"/>
    <s v="10642/2019/ĐKSP"/>
    <s v="0000035526"/>
    <d v="2027-12-31T00:00:00"/>
    <s v="60136"/>
    <n v="0.312"/>
    <n v="1680"/>
    <n v="9.6720000000000006"/>
    <x v="102"/>
    <x v="4"/>
  </r>
  <r>
    <s v="HD"/>
    <s v="MG1100048"/>
    <s v="PERGLIM M-2 (HOP/5 VI X 20 VIEN)"/>
    <s v="Q26-01-1-1"/>
    <s v="000221464"/>
    <n v="6"/>
    <n v="0"/>
    <s v="HOLD"/>
    <s v="890110035223"/>
    <s v="0000035535"/>
    <d v="2027-11-07T00:00:00"/>
    <s v="A08922532"/>
    <n v="0.14399999999999999"/>
    <n v="1728"/>
    <n v="0.86399999999999988"/>
    <x v="251"/>
    <x v="2"/>
  </r>
  <r>
    <s v="HD"/>
    <s v="MG1100044"/>
    <s v="PANFOR SR-750 (HOP/10 VI X 10 VIEN)"/>
    <s v="Q26-01-1-1"/>
    <s v="000221465"/>
    <n v="2"/>
    <n v="0"/>
    <s v="HOLD"/>
    <s v="VN-20188-16"/>
    <s v="0000035535"/>
    <d v="2027-11-07T00:00:00"/>
    <s v="A08902517"/>
    <n v="0.154"/>
    <n v="1536"/>
    <n v="0.308"/>
    <x v="18"/>
    <x v="2"/>
  </r>
  <r>
    <s v="HOANGDUC"/>
    <s v="HY1100015"/>
    <s v="PIASCLEDINE TAB 30.S"/>
    <s v="Q26-03-6-1"/>
    <s v="LPN011237"/>
    <n v="3"/>
    <n v="0"/>
    <s v="HOLD"/>
    <s v="300210726524"/>
    <s v="0000035578"/>
    <d v="2028-10-31T00:00:00"/>
    <s v="AA642"/>
    <n v="2.5000000000000001E-2"/>
    <n v="6480"/>
    <n v="7.5000000000000011E-2"/>
    <x v="193"/>
    <x v="1"/>
  </r>
  <r>
    <s v="HOANGDUC"/>
    <s v="SC6100017"/>
    <s v="WELLKID MULTI-VITAMIN LIQUID (CHAI/150ML)"/>
    <s v="Q27-03-2-1"/>
    <s v="LPN011273"/>
    <n v="1"/>
    <n v="0"/>
    <s v="HOLD"/>
    <s v="10642/2019/ĐKSP"/>
    <s v="0000035587"/>
    <d v="2027-12-31T00:00:00"/>
    <s v="60136"/>
    <n v="0.312"/>
    <n v="1680"/>
    <n v="0.312"/>
    <x v="153"/>
    <x v="4"/>
  </r>
  <r>
    <s v="HOANGDUC"/>
    <s v="HY1300045"/>
    <s v="STERIMAR BLOCKED NOSE BABY 50 ML"/>
    <s v="Q27-03-7-1"/>
    <s v="000221651"/>
    <n v="3"/>
    <n v="0"/>
    <s v="HOLD"/>
    <s v="200001777/PCBA-HN"/>
    <s v="57-35553"/>
    <d v="2026-10-31T00:00:00"/>
    <s v="FE3274B"/>
    <n v="0.1"/>
    <n v="3600"/>
    <n v="0.30000000000000004"/>
    <x v="84"/>
    <x v="4"/>
  </r>
  <r>
    <s v="HD"/>
    <s v="MG1100048"/>
    <s v="PERGLIM M-2 (HOP/5 VI X 20 VIEN)"/>
    <s v="Q27-01-1-2"/>
    <s v="000221794"/>
    <n v="8"/>
    <n v="0"/>
    <s v="HOLD"/>
    <s v="890110035223"/>
    <s v="0000035556"/>
    <d v="2027-11-07T00:00:00"/>
    <s v="A08922533"/>
    <n v="0.14399999999999999"/>
    <n v="1728"/>
    <n v="1.1519999999999999"/>
    <x v="277"/>
    <x v="0"/>
  </r>
  <r>
    <s v="M00106"/>
    <s v="SC6100014"/>
    <s v="LIVERIL (H/30 VIEN)"/>
    <s v="Q27-03-7-1"/>
    <s v="000216633"/>
    <n v="2"/>
    <n v="0"/>
    <s v="HOLD"/>
    <s v="8719/2019/ĐKSP"/>
    <s v="0000035635"/>
    <d v="2026-05-31T00:00:00"/>
    <s v="LV2308P"/>
    <n v="6.8000000000000005E-2"/>
    <n v="2240"/>
    <n v="0.13600000000000001"/>
    <x v="57"/>
    <x v="4"/>
  </r>
  <r>
    <s v="M00106"/>
    <s v="SC6100014"/>
    <s v="LIVERIL (H/30 VIEN)"/>
    <s v="Q27-03-7-1"/>
    <s v="000216632"/>
    <n v="20"/>
    <n v="0"/>
    <s v="HOLD"/>
    <s v="8719/2019/ĐKSP"/>
    <s v="0000035635"/>
    <d v="2026-04-30T00:00:00"/>
    <s v="LV2307P"/>
    <n v="6.8000000000000005E-2"/>
    <n v="2240"/>
    <n v="1.36"/>
    <x v="100"/>
    <x v="4"/>
  </r>
  <r>
    <s v="M00106"/>
    <s v="SC6100014"/>
    <s v="LIVERIL (H/30 VIEN)"/>
    <s v="Q27-03-7-1"/>
    <s v="000216634"/>
    <n v="5"/>
    <n v="0"/>
    <s v="HOLD"/>
    <s v="8719/2019/ĐKSP"/>
    <s v="0000035635"/>
    <d v="2026-05-31T00:00:00"/>
    <s v="LV2309P"/>
    <n v="6.8000000000000005E-2"/>
    <n v="2240"/>
    <n v="0.34"/>
    <x v="53"/>
    <x v="4"/>
  </r>
  <r>
    <s v="M00106"/>
    <s v="SC6100014"/>
    <s v="LIVERIL (H/30 VIEN)"/>
    <s v="Q27-03-7-1"/>
    <s v="000216635"/>
    <n v="1"/>
    <n v="0"/>
    <s v="HOLD"/>
    <s v="8719/2019/ĐKSP"/>
    <s v="0000035635"/>
    <d v="2026-08-31T00:00:00"/>
    <s v="LV2312P"/>
    <n v="6.8000000000000005E-2"/>
    <n v="2240"/>
    <n v="6.8000000000000005E-2"/>
    <x v="58"/>
    <x v="4"/>
  </r>
  <r>
    <s v="M00106"/>
    <s v="SC6100019"/>
    <s v="WELLBABY MULTI-VITAMIN LIQUID (CHAI 150ML)"/>
    <s v="Q27-01-8-2"/>
    <s v="000221812"/>
    <n v="1"/>
    <n v="0"/>
    <s v="HOLD"/>
    <s v="10643/2019/ĐKSP"/>
    <s v="0000035633"/>
    <d v="2027-05-31T00:00:00"/>
    <s v="50726"/>
    <n v="0.22600000000000001"/>
    <n v="1680"/>
    <n v="0.22600000000000001"/>
    <x v="153"/>
    <x v="0"/>
  </r>
  <r>
    <s v="M00106"/>
    <s v="SC6100019"/>
    <s v="WELLBABY MULTI-VITAMIN LIQUID (CHAI 150ML)"/>
    <s v="Q27-01-8-2"/>
    <s v="000221814"/>
    <n v="1"/>
    <n v="0"/>
    <s v="HOLD"/>
    <s v="10643/2019/ĐKSP"/>
    <s v="0000035633"/>
    <d v="2026-06-30T00:00:00"/>
    <s v="41079"/>
    <n v="0.22600000000000001"/>
    <n v="1680"/>
    <n v="0.22600000000000001"/>
    <x v="153"/>
    <x v="0"/>
  </r>
  <r>
    <s v="M00106"/>
    <s v="SC6100019"/>
    <s v="WELLBABY MULTI-VITAMIN LIQUID (CHAI 150ML)"/>
    <s v="Q27-01-8-2"/>
    <s v="000221815"/>
    <n v="1"/>
    <n v="0"/>
    <s v="HOLD"/>
    <s v="10643/2019/ĐKSP"/>
    <s v="0000035633"/>
    <d v="2027-04-30T00:00:00"/>
    <s v="50693"/>
    <n v="0.22600000000000001"/>
    <n v="1680"/>
    <n v="0.22600000000000001"/>
    <x v="153"/>
    <x v="0"/>
  </r>
  <r>
    <s v="M00106"/>
    <s v="SC6100019"/>
    <s v="WELLBABY MULTI-VITAMIN LIQUID (CHAI 150ML)"/>
    <s v="Q27-01-8-2"/>
    <s v="000221816"/>
    <n v="9"/>
    <n v="0"/>
    <s v="HOLD"/>
    <s v="10643/2019/ĐKSP"/>
    <s v="0000035633"/>
    <d v="2026-12-31T00:00:00"/>
    <s v="50026"/>
    <n v="0.22600000000000001"/>
    <n v="1680"/>
    <n v="2.0340000000000003"/>
    <x v="173"/>
    <x v="0"/>
  </r>
  <r>
    <s v="M00106"/>
    <s v="SC6100019"/>
    <s v="WELLBABY MULTI-VITAMIN LIQUID (CHAI 150ML)"/>
    <s v="Q27-01-8-2"/>
    <s v="000221811"/>
    <n v="10"/>
    <n v="0"/>
    <s v="HOLD"/>
    <s v="10643/2019/ĐKSP"/>
    <s v="0000035633"/>
    <d v="2026-07-31T00:00:00"/>
    <s v="41402"/>
    <n v="0.22600000000000001"/>
    <n v="1680"/>
    <n v="2.2600000000000002"/>
    <x v="49"/>
    <x v="0"/>
  </r>
  <r>
    <s v="M00106"/>
    <s v="SC6100019"/>
    <s v="WELLBABY MULTI-VITAMIN LIQUID (CHAI 150ML)"/>
    <s v="Q27-01-8-2"/>
    <s v="000221810"/>
    <n v="2"/>
    <n v="0"/>
    <s v="HOLD"/>
    <s v="10643/2019/ĐKSP"/>
    <s v="0000035633"/>
    <d v="2026-09-30T00:00:00"/>
    <s v="41630"/>
    <n v="0.22600000000000001"/>
    <n v="1680"/>
    <n v="0.45200000000000001"/>
    <x v="12"/>
    <x v="0"/>
  </r>
  <r>
    <s v="M00106"/>
    <s v="SC6100019"/>
    <s v="WELLBABY MULTI-VITAMIN LIQUID (CHAI 150ML)"/>
    <s v="Q27-01-8-2"/>
    <s v="000221809"/>
    <n v="12"/>
    <n v="0"/>
    <s v="HOLD"/>
    <s v="10643/2019/ĐKSP"/>
    <s v="0000035633"/>
    <d v="2026-08-30T00:00:00"/>
    <s v="41555"/>
    <n v="0.22600000000000001"/>
    <n v="1680"/>
    <n v="2.7120000000000002"/>
    <x v="88"/>
    <x v="0"/>
  </r>
  <r>
    <s v="M00106"/>
    <s v="SC6100019"/>
    <s v="WELLBABY MULTI-VITAMIN LIQUID (CHAI 150ML)"/>
    <s v="Q27-01-8-2"/>
    <s v="000221808"/>
    <n v="8"/>
    <n v="0"/>
    <s v="HOLD"/>
    <s v="10643/2019/ĐKSP"/>
    <s v="0000035633"/>
    <d v="2026-08-31T00:00:00"/>
    <s v="41588"/>
    <n v="0.22600000000000001"/>
    <n v="1680"/>
    <n v="1.8080000000000001"/>
    <x v="94"/>
    <x v="0"/>
  </r>
  <r>
    <s v="M00106"/>
    <s v="SC6100019"/>
    <s v="WELLBABY MULTI-VITAMIN LIQUID (CHAI 150ML)"/>
    <s v="Q27-01-8-2"/>
    <s v="000221813"/>
    <n v="1"/>
    <n v="0"/>
    <s v="HOLD"/>
    <s v="10643/2019/ĐKSP"/>
    <s v="0000035633"/>
    <d v="2026-11-30T00:00:00"/>
    <s v="41736"/>
    <n v="0.22600000000000001"/>
    <n v="1680"/>
    <n v="0.22600000000000001"/>
    <x v="153"/>
    <x v="0"/>
  </r>
  <r>
    <s v="M00106"/>
    <s v="SC6100003"/>
    <s v="FEROGLOBIN B12 CAPSULES (H/30 VIEN)"/>
    <s v="Q27-01-8-2"/>
    <s v="000221838"/>
    <n v="1"/>
    <n v="0"/>
    <s v="HOLD"/>
    <s v="9183/2019/ĐKSP"/>
    <s v="0000035633"/>
    <d v="2027-03-31T00:00:00"/>
    <s v="FW2404TA"/>
    <n v="0.04"/>
    <n v="2688"/>
    <n v="0.04"/>
    <x v="51"/>
    <x v="0"/>
  </r>
  <r>
    <s v="M00106"/>
    <s v="SC6100003"/>
    <s v="FEROGLOBIN B12 CAPSULES (H/30 VIEN)"/>
    <s v="Q27-01-8-2"/>
    <s v="000221837"/>
    <n v="2"/>
    <n v="0"/>
    <s v="HOLD"/>
    <s v="9183/2019/ĐKSP"/>
    <s v="0000035633"/>
    <d v="2027-12-31T00:00:00"/>
    <s v="FW2502TA"/>
    <n v="0.04"/>
    <n v="2688"/>
    <n v="0.08"/>
    <x v="52"/>
    <x v="0"/>
  </r>
  <r>
    <s v="M00106"/>
    <s v="SC6100002"/>
    <s v="FEROGLOBIN B12 LIQUID 200ML"/>
    <s v="Q27-01-8-2"/>
    <s v="000221832"/>
    <n v="1"/>
    <n v="0"/>
    <s v="HOLD"/>
    <s v="8974/2019/ĐKSP"/>
    <s v="0000035633"/>
    <d v="2026-11-30T00:00:00"/>
    <s v="41952"/>
    <n v="0.3"/>
    <n v="1680"/>
    <n v="0.3"/>
    <x v="153"/>
    <x v="0"/>
  </r>
  <r>
    <s v="M00106"/>
    <s v="SC6100002"/>
    <s v="FEROGLOBIN B12 LIQUID 200ML"/>
    <s v="Q27-01-8-2"/>
    <s v="000221831"/>
    <n v="1"/>
    <n v="0"/>
    <s v="HOLD"/>
    <s v="8974/2019/ĐKSP"/>
    <s v="0000035633"/>
    <d v="2026-08-31T00:00:00"/>
    <s v="41404"/>
    <n v="0.3"/>
    <n v="1680"/>
    <n v="0.3"/>
    <x v="153"/>
    <x v="0"/>
  </r>
  <r>
    <s v="M00106"/>
    <s v="SC6100002"/>
    <s v="FEROGLOBIN B12 LIQUID 200ML"/>
    <s v="Q27-01-8-2"/>
    <s v="000221830"/>
    <n v="4"/>
    <n v="0"/>
    <s v="HOLD"/>
    <s v="8974/2019/ĐKSP"/>
    <s v="0000035633"/>
    <d v="2026-08-31T00:00:00"/>
    <s v="41547"/>
    <n v="0.3"/>
    <n v="1680"/>
    <n v="1.2"/>
    <x v="14"/>
    <x v="0"/>
  </r>
  <r>
    <s v="M00106"/>
    <s v="SC6100011"/>
    <s v="PERFECTIL (H/30 VIEN)"/>
    <s v="Q27-01-8-2"/>
    <s v="000221818"/>
    <n v="3"/>
    <n v="0"/>
    <s v="HOLD"/>
    <s v="9185/2019/ĐKSP"/>
    <s v="0000035633"/>
    <d v="2026-12-31T00:00:00"/>
    <s v="PFT2402P"/>
    <n v="5.8000000000000003E-2"/>
    <n v="2880"/>
    <n v="0.17400000000000002"/>
    <x v="91"/>
    <x v="0"/>
  </r>
  <r>
    <s v="M00106"/>
    <s v="SC6100011"/>
    <s v="PERFECTIL (H/30 VIEN)"/>
    <s v="Q27-01-8-2"/>
    <s v="000221817"/>
    <n v="39"/>
    <n v="0"/>
    <s v="HOLD"/>
    <s v="9185/2019/ĐKSP"/>
    <s v="0000035633"/>
    <d v="2026-07-31T00:00:00"/>
    <s v="PFT2320P"/>
    <n v="5.8000000000000003E-2"/>
    <n v="2880"/>
    <n v="2.262"/>
    <x v="456"/>
    <x v="0"/>
  </r>
  <r>
    <s v="M00106"/>
    <s v="SC6100001"/>
    <s v="OSTEOCARE LIQUID 200ML"/>
    <s v="Q27-01-8-2"/>
    <s v="000221820"/>
    <n v="8"/>
    <n v="0"/>
    <s v="HOLD"/>
    <s v="9186/2019/ĐKSP"/>
    <s v="0000035633"/>
    <d v="2026-07-31T00:00:00"/>
    <s v="41390"/>
    <n v="0.3"/>
    <n v="1680"/>
    <n v="2.4"/>
    <x v="94"/>
    <x v="0"/>
  </r>
  <r>
    <s v="M00106"/>
    <s v="SC6100001"/>
    <s v="OSTEOCARE LIQUID 200ML"/>
    <s v="Q27-01-8-2"/>
    <s v="000221819"/>
    <n v="8"/>
    <n v="0"/>
    <s v="HOLD"/>
    <s v="9186/2019/ĐKSP"/>
    <s v="0000035633"/>
    <d v="2026-08-31T00:00:00"/>
    <s v="41605"/>
    <n v="0.3"/>
    <n v="1680"/>
    <n v="2.4"/>
    <x v="94"/>
    <x v="0"/>
  </r>
  <r>
    <s v="M00106"/>
    <s v="SC6100001"/>
    <s v="OSTEOCARE LIQUID 200ML"/>
    <s v="Q27-01-8-2"/>
    <s v="000221821"/>
    <n v="6"/>
    <n v="0"/>
    <s v="HOLD"/>
    <s v="9186/2019/ĐKSP"/>
    <s v="0000035633"/>
    <d v="2026-07-31T00:00:00"/>
    <s v="41302"/>
    <n v="0.3"/>
    <n v="1680"/>
    <n v="1.7999999999999998"/>
    <x v="11"/>
    <x v="0"/>
  </r>
  <r>
    <s v="M00106"/>
    <s v="SC6100001"/>
    <s v="OSTEOCARE LIQUID 200ML"/>
    <s v="Q27-01-8-2"/>
    <s v="000221822"/>
    <n v="1"/>
    <n v="0"/>
    <s v="HOLD"/>
    <s v="9186/2019/ĐKSP"/>
    <s v="0000035633"/>
    <d v="2027-04-30T00:00:00"/>
    <s v="50690"/>
    <n v="0.3"/>
    <n v="1680"/>
    <n v="0.3"/>
    <x v="153"/>
    <x v="0"/>
  </r>
  <r>
    <s v="M00106"/>
    <s v="SC6100004"/>
    <s v="OSTEOCARE (H/30 VIEN)"/>
    <s v="Q27-01-8-2"/>
    <s v="000221836"/>
    <n v="1"/>
    <n v="0"/>
    <s v="HOLD"/>
    <s v="8615/2019/ĐKSP"/>
    <s v="0000035633"/>
    <d v="2029-05-31T00:00:00"/>
    <s v="OT2502P"/>
    <n v="7.4999999999999997E-2"/>
    <n v="2688"/>
    <n v="7.4999999999999997E-2"/>
    <x v="51"/>
    <x v="0"/>
  </r>
  <r>
    <s v="M00106"/>
    <s v="SC6100017"/>
    <s v="WELLKID MULTI-VITAMIN LIQUID (CHAI/150ML)"/>
    <s v="Q27-01-8-2"/>
    <s v="000221835"/>
    <n v="1"/>
    <n v="0"/>
    <s v="HOLD"/>
    <s v="10642/2019/ĐKSP"/>
    <s v="0000035633"/>
    <d v="2027-06-30T00:00:00"/>
    <s v="51033"/>
    <n v="0.312"/>
    <n v="1680"/>
    <n v="0.312"/>
    <x v="153"/>
    <x v="0"/>
  </r>
  <r>
    <s v="M00106"/>
    <s v="SC6100023"/>
    <s v="VISIONACE ORIGINAL (HOP/30VIEN)"/>
    <s v="Q27-01-8-2"/>
    <s v="000221807"/>
    <n v="129"/>
    <n v="0"/>
    <s v="HOLD"/>
    <s v="1737/2024/ĐKSP"/>
    <s v="0000035633"/>
    <d v="2026-07-31T00:00:00"/>
    <s v="126094A"/>
    <n v="5.0999999999999997E-2"/>
    <n v="2880"/>
    <n v="6.5789999999999997"/>
    <x v="469"/>
    <x v="0"/>
  </r>
  <r>
    <s v="M00106"/>
    <s v="SC6100013"/>
    <s v="PREGNACARE ORIGINAL (H/30 VIEN)"/>
    <s v="Q27-01-8-2"/>
    <s v="000221833"/>
    <n v="3"/>
    <n v="0"/>
    <s v="HOLD"/>
    <s v="4140/2020/ĐKSP"/>
    <s v="0000035633"/>
    <d v="2026-06-30T00:00:00"/>
    <s v="831952A"/>
    <n v="4.9000000000000002E-2"/>
    <n v="2880"/>
    <n v="0.14700000000000002"/>
    <x v="91"/>
    <x v="0"/>
  </r>
  <r>
    <s v="M00106"/>
    <s v="SC6100013"/>
    <s v="PREGNACARE ORIGINAL (H/30 VIEN)"/>
    <s v="Q27-01-8-2"/>
    <s v="000221834"/>
    <n v="1"/>
    <n v="0"/>
    <s v="HOLD"/>
    <s v="4140/2020/ĐKSP"/>
    <s v="0000035633"/>
    <d v="2026-04-30T00:00:00"/>
    <s v="PRW2323PA"/>
    <n v="4.9000000000000002E-2"/>
    <n v="2880"/>
    <n v="4.9000000000000002E-2"/>
    <x v="3"/>
    <x v="0"/>
  </r>
  <r>
    <s v="M00106"/>
    <s v="SC6100015"/>
    <s v="PREGNACARE PLUS OMEGA 3 (H/56 VIEN)"/>
    <s v="Q27-01-8-2"/>
    <s v="000221827"/>
    <n v="1"/>
    <n v="0"/>
    <s v="HOLD"/>
    <s v="9184/2019/ĐKSP"/>
    <s v="0000035633"/>
    <d v="2027-02-28T00:00:00"/>
    <s v="PP2424"/>
    <n v="9.2999999999999999E-2"/>
    <n v="1536"/>
    <n v="9.2999999999999999E-2"/>
    <x v="35"/>
    <x v="0"/>
  </r>
  <r>
    <s v="M00106"/>
    <s v="SC6100015"/>
    <s v="PREGNACARE PLUS OMEGA 3 (H/56 VIEN)"/>
    <s v="Q27-01-8-2"/>
    <s v="000221825"/>
    <n v="33"/>
    <n v="0"/>
    <s v="HOLD"/>
    <s v="9184/2019/ĐKSP"/>
    <s v="0000035633"/>
    <d v="2026-05-31T00:00:00"/>
    <s v="PP2359"/>
    <n v="9.2999999999999999E-2"/>
    <n v="1536"/>
    <n v="3.069"/>
    <x v="470"/>
    <x v="0"/>
  </r>
  <r>
    <s v="M00106"/>
    <s v="SC6100015"/>
    <s v="PREGNACARE PLUS OMEGA 3 (H/56 VIEN)"/>
    <s v="Q27-01-8-2"/>
    <s v="000221823"/>
    <n v="15"/>
    <n v="0"/>
    <s v="HOLD"/>
    <s v="9184/2019/ĐKSP"/>
    <s v="0000035633"/>
    <d v="2026-05-31T00:00:00"/>
    <s v="PP2341"/>
    <n v="9.2999999999999999E-2"/>
    <n v="1536"/>
    <n v="1.395"/>
    <x v="471"/>
    <x v="0"/>
  </r>
  <r>
    <s v="M00106"/>
    <s v="SC6100015"/>
    <s v="PREGNACARE PLUS OMEGA 3 (H/56 VIEN)"/>
    <s v="Q27-01-8-2"/>
    <s v="000221826"/>
    <n v="1"/>
    <n v="0"/>
    <s v="HOLD"/>
    <s v="9184/2019/ĐKSP"/>
    <s v="0000035633"/>
    <d v="2026-03-31T00:00:00"/>
    <s v="PP2347"/>
    <n v="9.2999999999999999E-2"/>
    <n v="1536"/>
    <n v="9.2999999999999999E-2"/>
    <x v="35"/>
    <x v="0"/>
  </r>
  <r>
    <s v="M00106"/>
    <s v="SC6100015"/>
    <s v="PREGNACARE PLUS OMEGA 3 (H/56 VIEN)"/>
    <s v="Q27-01-8-2"/>
    <s v="000221824"/>
    <n v="6"/>
    <n v="0"/>
    <s v="HOLD"/>
    <s v="9184/2019/ĐKSP"/>
    <s v="0000035633"/>
    <d v="2026-05-31T00:00:00"/>
    <s v="PP2345"/>
    <n v="9.2999999999999999E-2"/>
    <n v="1536"/>
    <n v="0.55800000000000005"/>
    <x v="37"/>
    <x v="0"/>
  </r>
  <r>
    <s v="M00106"/>
    <s v="SC6100014"/>
    <s v="LIVERIL (H/30 VIEN)"/>
    <s v="Q27-01-8-2"/>
    <s v="000221829"/>
    <n v="1"/>
    <n v="0"/>
    <s v="HOLD"/>
    <s v="8719/2019/ĐKSP"/>
    <s v="0000035633"/>
    <d v="2026-08-31T00:00:00"/>
    <s v="LV2312P"/>
    <n v="6.8000000000000005E-2"/>
    <n v="2240"/>
    <n v="6.8000000000000005E-2"/>
    <x v="58"/>
    <x v="0"/>
  </r>
  <r>
    <s v="M00106"/>
    <s v="SC6100014"/>
    <s v="LIVERIL (H/30 VIEN)"/>
    <s v="Q27-01-8-2"/>
    <s v="000221828"/>
    <n v="2"/>
    <n v="0"/>
    <s v="HOLD"/>
    <s v="8719/2019/ĐKSP"/>
    <s v="0000035633"/>
    <d v="2026-06-30T00:00:00"/>
    <s v="LV2310P"/>
    <n v="6.8000000000000005E-2"/>
    <n v="2240"/>
    <n v="0.13600000000000001"/>
    <x v="57"/>
    <x v="0"/>
  </r>
  <r>
    <s v="M00106"/>
    <s v="SC6100011"/>
    <s v="PERFECTIL (H/30 VIEN)"/>
    <s v="Q27-01-8-2"/>
    <s v="000221887"/>
    <n v="2"/>
    <n v="0"/>
    <s v="HOLD"/>
    <s v="9185/2019/ĐKSP"/>
    <s v="0000035634"/>
    <d v="2026-07-31T00:00:00"/>
    <s v="PFT2320P"/>
    <n v="5.8000000000000003E-2"/>
    <n v="2880"/>
    <n v="0.11600000000000001"/>
    <x v="2"/>
    <x v="0"/>
  </r>
  <r>
    <s v="M00106"/>
    <s v="SC6100004"/>
    <s v="OSTEOCARE (H/30 VIEN)"/>
    <s v="Q27-01-8-2"/>
    <s v="000221885"/>
    <n v="1"/>
    <n v="0"/>
    <s v="HOLD"/>
    <s v="8615/2019/ĐKSP"/>
    <s v="0000035634"/>
    <d v="2027-07-31T00:00:00"/>
    <s v="OT2310P"/>
    <n v="7.4999999999999997E-2"/>
    <n v="2688"/>
    <n v="7.4999999999999997E-2"/>
    <x v="51"/>
    <x v="0"/>
  </r>
  <r>
    <s v="M00106"/>
    <s v="SC6100004"/>
    <s v="OSTEOCARE (H/30 VIEN)"/>
    <s v="Q27-01-8-2"/>
    <s v="000221886"/>
    <n v="1"/>
    <n v="0"/>
    <s v="HOLD"/>
    <s v="8615/2019/ĐKSP"/>
    <s v="0000035634"/>
    <d v="2027-08-31T00:00:00"/>
    <s v="OT2311P"/>
    <n v="7.4999999999999997E-2"/>
    <n v="2688"/>
    <n v="7.4999999999999997E-2"/>
    <x v="51"/>
    <x v="0"/>
  </r>
  <r>
    <s v="M00106"/>
    <s v="SC6100003"/>
    <s v="FEROGLOBIN B12 CAPSULES (H/30 VIEN)"/>
    <s v="Q27-01-8-2"/>
    <s v="000221884"/>
    <n v="1"/>
    <n v="0"/>
    <s v="HOLD"/>
    <s v="9183/2019/ĐKSP"/>
    <s v="0000035634"/>
    <d v="2027-11-30T00:00:00"/>
    <s v="FW2413TA"/>
    <n v="0.04"/>
    <n v="2688"/>
    <n v="0.04"/>
    <x v="51"/>
    <x v="0"/>
  </r>
  <r>
    <s v="M00106"/>
    <s v="SC6100017"/>
    <s v="WELLKID MULTI-VITAMIN LIQUID (CHAI/150ML)"/>
    <s v="Q27-01-8-2"/>
    <s v="000221882"/>
    <n v="1"/>
    <n v="0"/>
    <s v="HOLD"/>
    <s v="10642/2019/ĐKSP"/>
    <s v="0000035634"/>
    <d v="2027-01-31T00:00:00"/>
    <s v="50219"/>
    <n v="0.312"/>
    <n v="1680"/>
    <n v="0.312"/>
    <x v="153"/>
    <x v="0"/>
  </r>
  <r>
    <s v="M00106"/>
    <s v="SC6100018"/>
    <s v="PREGNACARE BREAST-FEEDING (HOP/56 VIEN NEN, 28 VIEN NANG)"/>
    <s v="Q27-01-8-2"/>
    <s v="000221880"/>
    <n v="1"/>
    <n v="0"/>
    <s v="HOLD"/>
    <s v="10645/2019/ĐKSP"/>
    <s v="0000035634"/>
    <d v="2026-09-30T00:00:00"/>
    <s v="PB2344"/>
    <n v="0.158"/>
    <n v="1152"/>
    <n v="0.158"/>
    <x v="71"/>
    <x v="0"/>
  </r>
  <r>
    <s v="M00106"/>
    <s v="SC6100003"/>
    <s v="FEROGLOBIN B12 CAPSULES (H/30 VIEN)"/>
    <s v="Q27-01-8-2"/>
    <s v="000221883"/>
    <n v="2"/>
    <n v="0"/>
    <s v="HOLD"/>
    <s v="9183/2019/ĐKSP"/>
    <s v="0000035634"/>
    <d v="2027-12-31T00:00:00"/>
    <s v="FW2502TA"/>
    <n v="0.04"/>
    <n v="2688"/>
    <n v="0.08"/>
    <x v="52"/>
    <x v="0"/>
  </r>
  <r>
    <s v="M00106"/>
    <s v="SC6100018"/>
    <s v="PREGNACARE BREAST-FEEDING (HOP/56 VIEN NEN, 28 VIEN NANG)"/>
    <s v="Q27-01-8-2"/>
    <s v="000221877"/>
    <n v="1"/>
    <n v="0"/>
    <s v="HOLD"/>
    <s v="10645/2019/ĐKSP"/>
    <s v="0000035634"/>
    <d v="2027-11-30T00:00:00"/>
    <s v="PB2505"/>
    <n v="0.158"/>
    <n v="1152"/>
    <n v="0.158"/>
    <x v="71"/>
    <x v="0"/>
  </r>
  <r>
    <s v="M00106"/>
    <s v="SC6100002"/>
    <s v="FEROGLOBIN B12 LIQUID 200ML"/>
    <s v="Q27-01-8-2"/>
    <s v="000221869"/>
    <n v="1"/>
    <n v="0"/>
    <s v="HOLD"/>
    <s v="8974/2019/ĐKSP"/>
    <s v="0000035634"/>
    <d v="2026-09-30T00:00:00"/>
    <s v="41694"/>
    <n v="0.3"/>
    <n v="1680"/>
    <n v="0.3"/>
    <x v="153"/>
    <x v="0"/>
  </r>
  <r>
    <s v="M00106"/>
    <s v="SC6100015"/>
    <s v="PREGNACARE PLUS OMEGA 3 (H/56 VIEN)"/>
    <s v="Q27-01-8-2"/>
    <s v="000221872"/>
    <n v="4"/>
    <n v="0"/>
    <s v="HOLD"/>
    <s v="9184/2019/ĐKSP"/>
    <s v="0000035634"/>
    <d v="2026-05-31T00:00:00"/>
    <s v="PP2359"/>
    <n v="9.2999999999999999E-2"/>
    <n v="1536"/>
    <n v="0.372"/>
    <x v="44"/>
    <x v="0"/>
  </r>
  <r>
    <s v="M00106"/>
    <s v="SC6100015"/>
    <s v="PREGNACARE PLUS OMEGA 3 (H/56 VIEN)"/>
    <s v="Q27-01-8-2"/>
    <s v="000221873"/>
    <n v="3"/>
    <n v="0"/>
    <s v="HOLD"/>
    <s v="9184/2019/ĐKSP"/>
    <s v="0000035634"/>
    <d v="2026-05-31T00:00:00"/>
    <s v="PP2345"/>
    <n v="9.2999999999999999E-2"/>
    <n v="1536"/>
    <n v="0.27900000000000003"/>
    <x v="19"/>
    <x v="0"/>
  </r>
  <r>
    <s v="M00106"/>
    <s v="SC6100015"/>
    <s v="PREGNACARE PLUS OMEGA 3 (H/56 VIEN)"/>
    <s v="Q27-01-8-2"/>
    <s v="000221875"/>
    <n v="1"/>
    <n v="0"/>
    <s v="HOLD"/>
    <s v="9184/2019/ĐKSP"/>
    <s v="0000035634"/>
    <d v="2027-02-28T00:00:00"/>
    <s v="PP2424"/>
    <n v="9.2999999999999999E-2"/>
    <n v="1536"/>
    <n v="9.2999999999999999E-2"/>
    <x v="35"/>
    <x v="0"/>
  </r>
  <r>
    <s v="M00106"/>
    <s v="SC6100019"/>
    <s v="WELLBABY MULTI-VITAMIN LIQUID (CHAI 150ML)"/>
    <s v="Q27-01-8-2"/>
    <s v="000221847"/>
    <n v="37"/>
    <n v="0"/>
    <s v="HOLD"/>
    <s v="10643/2019/ĐKSP"/>
    <s v="0000035634"/>
    <d v="2026-08-31T00:00:00"/>
    <s v="41588"/>
    <n v="0.22600000000000001"/>
    <n v="1680"/>
    <n v="8.3620000000000001"/>
    <x v="101"/>
    <x v="0"/>
  </r>
  <r>
    <s v="M00106"/>
    <s v="SC6100002"/>
    <s v="FEROGLOBIN B12 LIQUID 200ML"/>
    <s v="Q27-01-8-2"/>
    <s v="000221868"/>
    <n v="2"/>
    <n v="0"/>
    <s v="HOLD"/>
    <s v="8974/2019/ĐKSP"/>
    <s v="0000035634"/>
    <d v="2026-11-30T00:00:00"/>
    <s v="41952"/>
    <n v="0.3"/>
    <n v="1680"/>
    <n v="0.6"/>
    <x v="12"/>
    <x v="0"/>
  </r>
  <r>
    <s v="M00106"/>
    <s v="SC6100019"/>
    <s v="WELLBABY MULTI-VITAMIN LIQUID (CHAI 150ML)"/>
    <s v="Q27-01-8-2"/>
    <s v="000221848"/>
    <n v="1"/>
    <n v="0"/>
    <s v="HOLD"/>
    <s v="10643/2019/ĐKSP"/>
    <s v="0000035634"/>
    <d v="2026-06-30T00:00:00"/>
    <s v="41096"/>
    <n v="0.22600000000000001"/>
    <n v="1680"/>
    <n v="0.22600000000000001"/>
    <x v="153"/>
    <x v="0"/>
  </r>
  <r>
    <s v="M00106"/>
    <s v="SC6100018"/>
    <s v="PREGNACARE BREAST-FEEDING (HOP/56 VIEN NEN, 28 VIEN NANG)"/>
    <s v="Q27-01-8-2"/>
    <s v="000221879"/>
    <n v="1"/>
    <n v="0"/>
    <s v="HOLD"/>
    <s v="10645/2019/ĐKSP"/>
    <s v="0000035634"/>
    <d v="2028-02-28T00:00:00"/>
    <s v="PB2517CP"/>
    <n v="0.158"/>
    <n v="1152"/>
    <n v="0.158"/>
    <x v="71"/>
    <x v="0"/>
  </r>
  <r>
    <s v="M00106"/>
    <s v="SC6100015"/>
    <s v="PREGNACARE PLUS OMEGA 3 (H/56 VIEN)"/>
    <s v="Q27-01-8-2"/>
    <s v="000221874"/>
    <n v="1"/>
    <n v="0"/>
    <s v="HOLD"/>
    <s v="9184/2019/ĐKSP"/>
    <s v="0000035634"/>
    <d v="2027-09-30T00:00:00"/>
    <s v="PP2509"/>
    <n v="9.2999999999999999E-2"/>
    <n v="1536"/>
    <n v="9.2999999999999999E-2"/>
    <x v="35"/>
    <x v="0"/>
  </r>
  <r>
    <s v="M00106"/>
    <s v="SC6100018"/>
    <s v="PREGNACARE BREAST-FEEDING (HOP/56 VIEN NEN, 28 VIEN NANG)"/>
    <s v="Q27-01-8-2"/>
    <s v="000221878"/>
    <n v="1"/>
    <n v="0"/>
    <s v="HOLD"/>
    <s v="10645/2019/ĐKSP"/>
    <s v="0000035634"/>
    <d v="2026-10-31T00:00:00"/>
    <s v="PB2406"/>
    <n v="0.158"/>
    <n v="1152"/>
    <n v="0.158"/>
    <x v="71"/>
    <x v="0"/>
  </r>
  <r>
    <s v="M00106"/>
    <s v="SC6100019"/>
    <s v="WELLBABY MULTI-VITAMIN LIQUID (CHAI 150ML)"/>
    <s v="Q27-01-8-2"/>
    <s v="000221854"/>
    <n v="34"/>
    <n v="0"/>
    <s v="HOLD"/>
    <s v="10643/2019/ĐKSP"/>
    <s v="0000035634"/>
    <d v="2026-09-30T00:00:00"/>
    <s v="41630"/>
    <n v="0.22600000000000001"/>
    <n v="1680"/>
    <n v="7.6840000000000002"/>
    <x v="286"/>
    <x v="0"/>
  </r>
  <r>
    <s v="M00106"/>
    <s v="SC6100002"/>
    <s v="FEROGLOBIN B12 LIQUID 200ML"/>
    <s v="Q27-01-8-2"/>
    <s v="000221866"/>
    <n v="7"/>
    <n v="0"/>
    <s v="HOLD"/>
    <s v="8974/2019/ĐKSP"/>
    <s v="0000035634"/>
    <d v="2026-08-31T00:00:00"/>
    <s v="41404"/>
    <n v="0.3"/>
    <n v="1680"/>
    <n v="2.1"/>
    <x v="13"/>
    <x v="0"/>
  </r>
  <r>
    <s v="M00106"/>
    <s v="SC6100002"/>
    <s v="FEROGLOBIN B12 LIQUID 200ML"/>
    <s v="Q27-01-8-2"/>
    <s v="000221867"/>
    <n v="12"/>
    <n v="0"/>
    <s v="HOLD"/>
    <s v="8974/2019/ĐKSP"/>
    <s v="0000035634"/>
    <d v="2026-08-31T00:00:00"/>
    <s v="41547"/>
    <n v="0.3"/>
    <n v="1680"/>
    <n v="3.5999999999999996"/>
    <x v="88"/>
    <x v="0"/>
  </r>
  <r>
    <s v="M00106"/>
    <s v="SC6100001"/>
    <s v="OSTEOCARE LIQUID 200ML"/>
    <s v="Q27-01-8-2"/>
    <s v="000221863"/>
    <n v="3"/>
    <n v="0"/>
    <s v="HOLD"/>
    <s v="9186/2019/ĐKSP"/>
    <s v="0000035634"/>
    <d v="2027-02-28T00:00:00"/>
    <s v="50306"/>
    <n v="0.3"/>
    <n v="1680"/>
    <n v="0.89999999999999991"/>
    <x v="55"/>
    <x v="0"/>
  </r>
  <r>
    <s v="M00106"/>
    <s v="SC6100001"/>
    <s v="OSTEOCARE LIQUID 200ML"/>
    <s v="Q27-01-8-2"/>
    <s v="000221862"/>
    <n v="1"/>
    <n v="0"/>
    <s v="HOLD"/>
    <s v="9186/2019/ĐKSP"/>
    <s v="0000035634"/>
    <d v="2026-12-31T00:00:00"/>
    <s v="50111"/>
    <n v="0.3"/>
    <n v="1680"/>
    <n v="0.3"/>
    <x v="153"/>
    <x v="0"/>
  </r>
  <r>
    <s v="M00106"/>
    <s v="SC6100001"/>
    <s v="OSTEOCARE LIQUID 200ML"/>
    <s v="Q27-01-8-2"/>
    <s v="000221861"/>
    <n v="1"/>
    <n v="0"/>
    <s v="HOLD"/>
    <s v="9186/2019/ĐKSP"/>
    <s v="0000035634"/>
    <d v="2027-04-30T00:00:00"/>
    <s v="50690"/>
    <n v="0.3"/>
    <n v="1680"/>
    <n v="0.3"/>
    <x v="153"/>
    <x v="0"/>
  </r>
  <r>
    <s v="M00106"/>
    <s v="SC6100014"/>
    <s v="LIVERIL (H/30 VIEN)"/>
    <s v="Q27-01-8-2"/>
    <s v="000221865"/>
    <n v="3"/>
    <n v="0"/>
    <s v="HOLD"/>
    <s v="8719/2019/ĐKSP"/>
    <s v="0000035634"/>
    <d v="2026-07-31T00:00:00"/>
    <s v="LV2311P"/>
    <n v="6.8000000000000005E-2"/>
    <n v="2240"/>
    <n v="0.20400000000000001"/>
    <x v="56"/>
    <x v="0"/>
  </r>
  <r>
    <s v="M00106"/>
    <s v="SC6100014"/>
    <s v="LIVERIL (H/30 VIEN)"/>
    <s v="Q27-01-8-2"/>
    <s v="000221864"/>
    <n v="32"/>
    <n v="0"/>
    <s v="HOLD"/>
    <s v="8719/2019/ĐKSP"/>
    <s v="0000035634"/>
    <d v="2026-08-31T00:00:00"/>
    <s v="LV2312P"/>
    <n v="6.8000000000000005E-2"/>
    <n v="2240"/>
    <n v="2.1760000000000002"/>
    <x v="96"/>
    <x v="0"/>
  </r>
  <r>
    <s v="M00106"/>
    <s v="SC6100001"/>
    <s v="OSTEOCARE LIQUID 200ML"/>
    <s v="Q27-01-8-2"/>
    <s v="000221860"/>
    <n v="1"/>
    <n v="0"/>
    <s v="HOLD"/>
    <s v="9186/2019/ĐKSP"/>
    <s v="0000035634"/>
    <d v="2027-03-31T00:00:00"/>
    <s v="50494"/>
    <n v="0.3"/>
    <n v="1680"/>
    <n v="0.3"/>
    <x v="153"/>
    <x v="0"/>
  </r>
  <r>
    <s v="M00106"/>
    <s v="SC6100019"/>
    <s v="WELLBABY MULTI-VITAMIN LIQUID (CHAI 150ML)"/>
    <s v="Q27-01-8-2"/>
    <s v="000221852"/>
    <n v="1"/>
    <n v="0"/>
    <s v="HOLD"/>
    <s v="10643/2019/ĐKSP"/>
    <s v="0000035634"/>
    <d v="2027-06-30T00:00:00"/>
    <s v="50884"/>
    <n v="0.22600000000000001"/>
    <n v="1680"/>
    <n v="0.22600000000000001"/>
    <x v="153"/>
    <x v="0"/>
  </r>
  <r>
    <s v="M00106"/>
    <s v="SC6100018"/>
    <s v="PREGNACARE BREAST-FEEDING (HOP/56 VIEN NEN, 28 VIEN NANG)"/>
    <s v="Q27-01-8-2"/>
    <s v="000221876"/>
    <n v="1"/>
    <n v="0"/>
    <s v="HOLD"/>
    <s v="10645/2019/ĐKSP"/>
    <s v="0000035634"/>
    <d v="2027-02-28T00:00:00"/>
    <s v="PB2418"/>
    <n v="0.158"/>
    <n v="1152"/>
    <n v="0.158"/>
    <x v="71"/>
    <x v="0"/>
  </r>
  <r>
    <s v="M00106"/>
    <s v="SC6100001"/>
    <s v="OSTEOCARE LIQUID 200ML"/>
    <s v="Q27-01-8-2"/>
    <s v="000221858"/>
    <n v="1"/>
    <n v="0"/>
    <s v="HOLD"/>
    <s v="9186/2019/ĐKSP"/>
    <s v="0000035634"/>
    <d v="2026-07-31T00:00:00"/>
    <s v="41302"/>
    <n v="0.3"/>
    <n v="1680"/>
    <n v="0.3"/>
    <x v="153"/>
    <x v="0"/>
  </r>
  <r>
    <s v="M00106"/>
    <s v="SC6100011"/>
    <s v="PERFECTIL (H/30 VIEN)"/>
    <s v="Q27-01-8-2"/>
    <s v="000221871"/>
    <n v="13"/>
    <n v="0"/>
    <s v="HOLD"/>
    <s v="9185/2019/ĐKSP"/>
    <s v="0000035634"/>
    <d v="2026-07-31T00:00:00"/>
    <s v="PFT2319P"/>
    <n v="5.8000000000000003E-2"/>
    <n v="2880"/>
    <n v="0.754"/>
    <x v="472"/>
    <x v="0"/>
  </r>
  <r>
    <s v="M00106"/>
    <s v="SC6100001"/>
    <s v="OSTEOCARE LIQUID 200ML"/>
    <s v="Q27-01-8-2"/>
    <s v="000221859"/>
    <n v="1"/>
    <n v="0"/>
    <s v="HOLD"/>
    <s v="9186/2019/ĐKSP"/>
    <s v="0000035634"/>
    <d v="2027-03-31T00:00:00"/>
    <s v="50461"/>
    <n v="0.3"/>
    <n v="1680"/>
    <n v="0.3"/>
    <x v="153"/>
    <x v="0"/>
  </r>
  <r>
    <s v="M00106"/>
    <s v="SC6100017"/>
    <s v="WELLKID MULTI-VITAMIN LIQUID (CHAI/150ML)"/>
    <s v="Q27-01-8-2"/>
    <s v="000221881"/>
    <n v="3"/>
    <n v="0"/>
    <s v="HOLD"/>
    <s v="10642/2019/ĐKSP"/>
    <s v="0000035634"/>
    <d v="2026-09-30T00:00:00"/>
    <s v="41589"/>
    <n v="0.312"/>
    <n v="1680"/>
    <n v="0.93599999999999994"/>
    <x v="55"/>
    <x v="0"/>
  </r>
  <r>
    <s v="M00106"/>
    <s v="SC6100001"/>
    <s v="OSTEOCARE LIQUID 200ML"/>
    <s v="Q27-01-8-2"/>
    <s v="000221857"/>
    <n v="6"/>
    <n v="0"/>
    <s v="HOLD"/>
    <s v="9186/2019/ĐKSP"/>
    <s v="0000035634"/>
    <d v="2026-07-31T00:00:00"/>
    <s v="41390"/>
    <n v="0.3"/>
    <n v="1680"/>
    <n v="1.7999999999999998"/>
    <x v="11"/>
    <x v="0"/>
  </r>
  <r>
    <s v="M00106"/>
    <s v="SC6100019"/>
    <s v="WELLBABY MULTI-VITAMIN LIQUID (CHAI 150ML)"/>
    <s v="Q27-01-8-2"/>
    <s v="000221850"/>
    <n v="3"/>
    <n v="0"/>
    <s v="HOLD"/>
    <s v="10643/2019/ĐKSP"/>
    <s v="0000035634"/>
    <d v="2026-07-31T00:00:00"/>
    <s v="41402"/>
    <n v="0.22600000000000001"/>
    <n v="1680"/>
    <n v="0.67800000000000005"/>
    <x v="55"/>
    <x v="0"/>
  </r>
  <r>
    <s v="M00106"/>
    <s v="SC6100019"/>
    <s v="WELLBABY MULTI-VITAMIN LIQUID (CHAI 150ML)"/>
    <s v="Q27-01-8-2"/>
    <s v="000221853"/>
    <n v="2"/>
    <n v="0"/>
    <s v="HOLD"/>
    <s v="10643/2019/ĐKSP"/>
    <s v="0000035634"/>
    <d v="2026-09-30T00:00:00"/>
    <s v="41631"/>
    <n v="0.22600000000000001"/>
    <n v="1680"/>
    <n v="0.45200000000000001"/>
    <x v="12"/>
    <x v="0"/>
  </r>
  <r>
    <s v="M00106"/>
    <s v="SC6100019"/>
    <s v="WELLBABY MULTI-VITAMIN LIQUID (CHAI 150ML)"/>
    <s v="Q27-01-8-2"/>
    <s v="000221851"/>
    <n v="4"/>
    <n v="0"/>
    <s v="HOLD"/>
    <s v="10643/2019/ĐKSP"/>
    <s v="0000035634"/>
    <d v="2026-12-31T00:00:00"/>
    <s v="50026"/>
    <n v="0.22600000000000001"/>
    <n v="1680"/>
    <n v="0.90400000000000003"/>
    <x v="14"/>
    <x v="0"/>
  </r>
  <r>
    <s v="M00106"/>
    <s v="SC6100023"/>
    <s v="VISIONACE ORIGINAL (HOP/30VIEN)"/>
    <s v="Q27-01-8-2"/>
    <s v="000221855"/>
    <n v="54"/>
    <n v="0"/>
    <s v="HOLD"/>
    <s v="1737/2024/ĐKSP"/>
    <s v="0000035634"/>
    <d v="2026-07-31T00:00:00"/>
    <s v="126094A"/>
    <n v="5.0999999999999997E-2"/>
    <n v="2880"/>
    <n v="2.754"/>
    <x v="473"/>
    <x v="0"/>
  </r>
  <r>
    <s v="M00106"/>
    <s v="SC6100001"/>
    <s v="OSTEOCARE LIQUID 200ML"/>
    <s v="Q27-01-8-2"/>
    <s v="000221856"/>
    <n v="44"/>
    <n v="0"/>
    <s v="HOLD"/>
    <s v="9186/2019/ĐKSP"/>
    <s v="0000035634"/>
    <d v="2026-08-31T00:00:00"/>
    <s v="41605"/>
    <n v="0.3"/>
    <n v="1680"/>
    <n v="13.2"/>
    <x v="265"/>
    <x v="0"/>
  </r>
  <r>
    <s v="M00106"/>
    <s v="SC6100019"/>
    <s v="WELLBABY MULTI-VITAMIN LIQUID (CHAI 150ML)"/>
    <s v="Q27-01-8-2"/>
    <s v="000221849"/>
    <n v="59"/>
    <n v="0"/>
    <s v="HOLD"/>
    <s v="10643/2019/ĐKSP"/>
    <s v="0000035634"/>
    <d v="2026-08-30T00:00:00"/>
    <s v="41555"/>
    <n v="0.22600000000000001"/>
    <n v="1680"/>
    <n v="13.334"/>
    <x v="474"/>
    <x v="0"/>
  </r>
  <r>
    <s v="M00106"/>
    <s v="SC6100025"/>
    <s v="PREGNACARE MAX (H/56 VIEN NEN, 28 VIEN NANG)"/>
    <s v="Q27-01-2-2"/>
    <s v="000222640"/>
    <n v="3"/>
    <n v="0"/>
    <s v="HOLD"/>
    <s v="1475/2024/ĐKSP"/>
    <s v="0000035732"/>
    <d v="2028-02-29T00:00:00"/>
    <s v="PM2519CP"/>
    <n v="0.156"/>
    <n v="1152"/>
    <n v="0.46799999999999997"/>
    <x v="44"/>
    <x v="0"/>
  </r>
  <r>
    <s v="M00106"/>
    <s v="SC6100025"/>
    <s v="PREGNACARE MAX (H/56 VIEN NEN, 28 VIEN NANG)"/>
    <s v="Q27-01-2-2"/>
    <s v="000222602"/>
    <n v="13"/>
    <n v="0"/>
    <s v="HOLD"/>
    <s v="1475/2024/ĐKSP"/>
    <s v="0000035732"/>
    <d v="2028-02-29T00:00:00"/>
    <s v="PM2517CP"/>
    <n v="0.156"/>
    <n v="1152"/>
    <n v="2.028"/>
    <x v="347"/>
    <x v="0"/>
  </r>
  <r>
    <s v="M00106"/>
    <s v="SC6100025"/>
    <s v="PREGNACARE MAX (H/56 VIEN NEN, 28 VIEN NANG)"/>
    <s v="Q27-01-2-2"/>
    <s v="000222636"/>
    <n v="3"/>
    <n v="0"/>
    <s v="HOLD"/>
    <s v="1475/2024/ĐKSP"/>
    <s v="0000035732"/>
    <d v="2028-02-29T00:00:00"/>
    <s v="PM2517CP"/>
    <n v="0.156"/>
    <n v="1152"/>
    <n v="0.46799999999999997"/>
    <x v="44"/>
    <x v="0"/>
  </r>
  <r>
    <s v="M00106"/>
    <s v="SC6100025"/>
    <s v="PREGNACARE MAX (H/56 VIEN NEN, 28 VIEN NANG)"/>
    <s v="Q27-01-2-2"/>
    <s v="000222585"/>
    <n v="19"/>
    <n v="0"/>
    <s v="HOLD"/>
    <s v="1475/2024/ĐKSP"/>
    <s v="0000035732"/>
    <d v="2027-10-31T00:00:00"/>
    <s v="PM2510CP"/>
    <n v="0.156"/>
    <n v="1152"/>
    <n v="2.964"/>
    <x v="236"/>
    <x v="0"/>
  </r>
  <r>
    <s v="M00106"/>
    <s v="SC6100025"/>
    <s v="PREGNACARE MAX (H/56 VIEN NEN, 28 VIEN NANG)"/>
    <s v="Q27-01-2-2"/>
    <s v="000222595"/>
    <n v="12"/>
    <n v="0"/>
    <s v="HOLD"/>
    <s v="1475/2024/ĐKSP"/>
    <s v="0000035732"/>
    <d v="2027-10-31T00:00:00"/>
    <s v="PM2510CP"/>
    <n v="0.156"/>
    <n v="1152"/>
    <n v="1.8719999999999999"/>
    <x v="27"/>
    <x v="0"/>
  </r>
  <r>
    <s v="M00106"/>
    <s v="SC6100025"/>
    <s v="PREGNACARE MAX (H/56 VIEN NEN, 28 VIEN NANG)"/>
    <s v="Q27-01-2-2"/>
    <s v="000222601"/>
    <n v="16"/>
    <n v="0"/>
    <s v="HOLD"/>
    <s v="1475/2024/ĐKSP"/>
    <s v="0000035732"/>
    <d v="2027-10-31T00:00:00"/>
    <s v="PM2510CP"/>
    <n v="0.156"/>
    <n v="1152"/>
    <n v="2.496"/>
    <x v="99"/>
    <x v="0"/>
  </r>
  <r>
    <s v="M00106"/>
    <s v="SC6100025"/>
    <s v="PREGNACARE MAX (H/56 VIEN NEN, 28 VIEN NANG)"/>
    <s v="Q27-01-2-2"/>
    <s v="000222584"/>
    <n v="23"/>
    <n v="0"/>
    <s v="HOLD"/>
    <s v="1475/2024/ĐKSP"/>
    <s v="0000035732"/>
    <d v="2027-08-31T00:00:00"/>
    <s v="PM2501CP"/>
    <n v="0.156"/>
    <n v="1152"/>
    <n v="3.5880000000000001"/>
    <x v="76"/>
    <x v="0"/>
  </r>
  <r>
    <s v="M00106"/>
    <s v="SC6100025"/>
    <s v="PREGNACARE MAX (H/56 VIEN NEN, 28 VIEN NANG)"/>
    <s v="Q27-01-2-2"/>
    <s v="000222594"/>
    <n v="1"/>
    <n v="0"/>
    <s v="HOLD"/>
    <s v="1475/2024/ĐKSP"/>
    <s v="0000035732"/>
    <d v="2027-08-31T00:00:00"/>
    <s v="PM2501CP"/>
    <n v="0.156"/>
    <n v="1152"/>
    <n v="0.156"/>
    <x v="71"/>
    <x v="0"/>
  </r>
  <r>
    <s v="M00106"/>
    <s v="SC6100025"/>
    <s v="PREGNACARE MAX (H/56 VIEN NEN, 28 VIEN NANG)"/>
    <s v="Q27-01-2-2"/>
    <s v="000222583"/>
    <n v="3"/>
    <n v="0"/>
    <s v="HOLD"/>
    <s v="1475/2024/ĐKSP"/>
    <s v="0000035732"/>
    <d v="2026-11-30T00:00:00"/>
    <s v="PM2410"/>
    <n v="0.156"/>
    <n v="1152"/>
    <n v="0.46799999999999997"/>
    <x v="44"/>
    <x v="0"/>
  </r>
  <r>
    <s v="M00106"/>
    <s v="SC6100023"/>
    <s v="VISIONACE ORIGINAL (HOP/30VIEN)"/>
    <s v="Q27-01-2-2"/>
    <s v="000222598"/>
    <n v="1"/>
    <n v="0"/>
    <s v="HOLD"/>
    <s v="1737/2024/ĐKSP"/>
    <s v="0000035732"/>
    <d v="2027-07-31T00:00:00"/>
    <s v="132798A"/>
    <n v="5.0999999999999997E-2"/>
    <n v="2880"/>
    <n v="5.0999999999999997E-2"/>
    <x v="3"/>
    <x v="0"/>
  </r>
  <r>
    <s v="M00106"/>
    <s v="SC6100023"/>
    <s v="VISIONACE ORIGINAL (HOP/30VIEN)"/>
    <s v="Q27-01-2-2"/>
    <s v="000222604"/>
    <n v="1"/>
    <n v="0"/>
    <s v="HOLD"/>
    <s v="1737/2024/ĐKSP"/>
    <s v="0000035732"/>
    <d v="2027-07-31T00:00:00"/>
    <s v="132798A"/>
    <n v="5.0999999999999997E-2"/>
    <n v="2880"/>
    <n v="5.0999999999999997E-2"/>
    <x v="3"/>
    <x v="0"/>
  </r>
  <r>
    <s v="M00106"/>
    <s v="SC6100023"/>
    <s v="VISIONACE ORIGINAL (HOP/30VIEN)"/>
    <s v="Q27-01-2-2"/>
    <s v="000222639"/>
    <n v="1"/>
    <n v="0"/>
    <s v="HOLD"/>
    <s v="1737/2024/ĐKSP"/>
    <s v="0000035732"/>
    <d v="2027-07-31T00:00:00"/>
    <s v="132798A"/>
    <n v="5.0999999999999997E-2"/>
    <n v="2880"/>
    <n v="5.0999999999999997E-2"/>
    <x v="3"/>
    <x v="0"/>
  </r>
  <r>
    <s v="M00106"/>
    <s v="SC6100021"/>
    <s v="WELLKID MULTI-VITAMIN SMART CHEWABLE (H/30VIEN)"/>
    <s v="Q27-01-2-2"/>
    <s v="000222608"/>
    <n v="1"/>
    <n v="0"/>
    <s v="HOLD"/>
    <s v="7661/2023/ĐKSP"/>
    <s v="0000035732"/>
    <d v="2027-01-31T00:00:00"/>
    <s v="F173187"/>
    <n v="7.1999999999999995E-2"/>
    <n v="1920"/>
    <n v="7.1999999999999995E-2"/>
    <x v="90"/>
    <x v="0"/>
  </r>
  <r>
    <s v="M00106"/>
    <s v="SC6100021"/>
    <s v="WELLKID MULTI-VITAMIN SMART CHEWABLE (H/30VIEN)"/>
    <s v="Q27-01-2-2"/>
    <s v="000222607"/>
    <n v="1"/>
    <n v="0"/>
    <s v="HOLD"/>
    <s v="7661/2023/ĐKSP"/>
    <s v="0000035732"/>
    <d v="2026-11-30T00:00:00"/>
    <s v="F173695"/>
    <n v="7.1999999999999995E-2"/>
    <n v="1920"/>
    <n v="7.1999999999999995E-2"/>
    <x v="90"/>
    <x v="0"/>
  </r>
  <r>
    <s v="M00106"/>
    <s v="SC6100019"/>
    <s v="WELLBABY MULTI-VITAMIN LIQUID (CHAI 150ML)"/>
    <s v="Q27-01-2-2"/>
    <s v="000222638"/>
    <n v="1"/>
    <n v="0"/>
    <s v="HOLD"/>
    <s v="10643/2019/ĐKSP"/>
    <s v="0000035732"/>
    <d v="2027-07-31T00:00:00"/>
    <s v="51137"/>
    <n v="0.22600000000000001"/>
    <n v="1680"/>
    <n v="0.22600000000000001"/>
    <x v="153"/>
    <x v="0"/>
  </r>
  <r>
    <s v="M00106"/>
    <s v="SC6100019"/>
    <s v="WELLBABY MULTI-VITAMIN LIQUID (CHAI 150ML)"/>
    <s v="Q27-01-2-2"/>
    <s v="000222621"/>
    <n v="1"/>
    <n v="0"/>
    <s v="HOLD"/>
    <s v="10643/2019/ĐKSP"/>
    <s v="0000035732"/>
    <d v="2027-05-31T00:00:00"/>
    <s v="50726"/>
    <n v="0.22600000000000001"/>
    <n v="1680"/>
    <n v="0.22600000000000001"/>
    <x v="153"/>
    <x v="0"/>
  </r>
  <r>
    <s v="M00106"/>
    <s v="SC6100019"/>
    <s v="WELLBABY MULTI-VITAMIN LIQUID (CHAI 150ML)"/>
    <s v="Q27-01-2-2"/>
    <s v="000222637"/>
    <n v="2"/>
    <n v="0"/>
    <s v="HOLD"/>
    <s v="10643/2019/ĐKSP"/>
    <s v="0000035732"/>
    <d v="2027-05-31T00:00:00"/>
    <s v="50726"/>
    <n v="0.22600000000000001"/>
    <n v="1680"/>
    <n v="0.45200000000000001"/>
    <x v="12"/>
    <x v="0"/>
  </r>
  <r>
    <s v="M00106"/>
    <s v="SC6100019"/>
    <s v="WELLBABY MULTI-VITAMIN LIQUID (CHAI 150ML)"/>
    <s v="Q27-01-2-2"/>
    <s v="000222622"/>
    <n v="2"/>
    <n v="0"/>
    <s v="HOLD"/>
    <s v="10643/2019/ĐKSP"/>
    <s v="0000035732"/>
    <d v="2027-03-31T00:00:00"/>
    <s v="50444"/>
    <n v="0.22600000000000001"/>
    <n v="1680"/>
    <n v="0.45200000000000001"/>
    <x v="12"/>
    <x v="0"/>
  </r>
  <r>
    <s v="M00106"/>
    <s v="SC6100019"/>
    <s v="WELLBABY MULTI-VITAMIN LIQUID (CHAI 150ML)"/>
    <s v="Q27-01-2-2"/>
    <s v="000222620"/>
    <n v="3"/>
    <n v="0"/>
    <s v="HOLD"/>
    <s v="10643/2019/ĐKSP"/>
    <s v="0000035732"/>
    <d v="2027-02-28T00:00:00"/>
    <s v="50396"/>
    <n v="0.22600000000000001"/>
    <n v="1680"/>
    <n v="0.67800000000000005"/>
    <x v="55"/>
    <x v="0"/>
  </r>
  <r>
    <s v="M00106"/>
    <s v="SC6100019"/>
    <s v="WELLBABY MULTI-VITAMIN LIQUID (CHAI 150ML)"/>
    <s v="Q27-01-2-2"/>
    <s v="000222597"/>
    <n v="4"/>
    <n v="0"/>
    <s v="HOLD"/>
    <s v="10643/2019/ĐKSP"/>
    <s v="0000035732"/>
    <d v="2026-12-31T00:00:00"/>
    <s v="50026"/>
    <n v="0.22600000000000001"/>
    <n v="1680"/>
    <n v="0.90400000000000003"/>
    <x v="14"/>
    <x v="0"/>
  </r>
  <r>
    <s v="M00106"/>
    <s v="SC6100019"/>
    <s v="WELLBABY MULTI-VITAMIN LIQUID (CHAI 150ML)"/>
    <s v="Q27-01-2-2"/>
    <s v="000222619"/>
    <n v="2"/>
    <n v="0"/>
    <s v="HOLD"/>
    <s v="10643/2019/ĐKSP"/>
    <s v="0000035732"/>
    <d v="2026-12-31T00:00:00"/>
    <s v="50026"/>
    <n v="0.22600000000000001"/>
    <n v="1680"/>
    <n v="0.45200000000000001"/>
    <x v="12"/>
    <x v="0"/>
  </r>
  <r>
    <s v="M00106"/>
    <s v="SC6100019"/>
    <s v="WELLBABY MULTI-VITAMIN LIQUID (CHAI 150ML)"/>
    <s v="Q27-01-2-2"/>
    <s v="000222587"/>
    <n v="4"/>
    <n v="0"/>
    <s v="HOLD"/>
    <s v="10643/2019/ĐKSP"/>
    <s v="0000035732"/>
    <d v="2026-09-30T00:00:00"/>
    <s v="41630"/>
    <n v="0.22600000000000001"/>
    <n v="1680"/>
    <n v="0.90400000000000003"/>
    <x v="14"/>
    <x v="0"/>
  </r>
  <r>
    <s v="M00106"/>
    <s v="SC6100018"/>
    <s v="PREGNACARE BREAST-FEEDING (HOP/56 VIEN NEN, 28 VIEN NANG)"/>
    <s v="Q27-01-2-2"/>
    <s v="000222633"/>
    <n v="7"/>
    <n v="0"/>
    <s v="HOLD"/>
    <s v="10645/2019/ĐKSP"/>
    <s v="0000035732"/>
    <d v="2028-06-30T00:00:00"/>
    <s v="PB2528CP"/>
    <n v="0.158"/>
    <n v="1152"/>
    <n v="1.1060000000000001"/>
    <x v="261"/>
    <x v="0"/>
  </r>
  <r>
    <s v="M00106"/>
    <s v="SC6100018"/>
    <s v="PREGNACARE BREAST-FEEDING (HOP/56 VIEN NEN, 28 VIEN NANG)"/>
    <s v="Q27-01-2-2"/>
    <s v="000222628"/>
    <n v="19"/>
    <n v="0"/>
    <s v="HOLD"/>
    <s v="10645/2019/ĐKSP"/>
    <s v="0000035732"/>
    <d v="2028-05-31T00:00:00"/>
    <s v="PB2529CP"/>
    <n v="0.158"/>
    <n v="1152"/>
    <n v="3.0020000000000002"/>
    <x v="236"/>
    <x v="0"/>
  </r>
  <r>
    <s v="M00106"/>
    <s v="SC6100018"/>
    <s v="PREGNACARE BREAST-FEEDING (HOP/56 VIEN NEN, 28 VIEN NANG)"/>
    <s v="Q27-01-2-2"/>
    <s v="000222632"/>
    <n v="11"/>
    <n v="0"/>
    <s v="HOLD"/>
    <s v="10645/2019/ĐKSP"/>
    <s v="0000035732"/>
    <d v="2028-05-31T00:00:00"/>
    <s v="PB2529CP"/>
    <n v="0.158"/>
    <n v="1152"/>
    <n v="1.738"/>
    <x v="75"/>
    <x v="0"/>
  </r>
  <r>
    <s v="M00106"/>
    <s v="SC6100018"/>
    <s v="PREGNACARE BREAST-FEEDING (HOP/56 VIEN NEN, 28 VIEN NANG)"/>
    <s v="Q27-01-2-2"/>
    <s v="000222579"/>
    <n v="17"/>
    <n v="0"/>
    <s v="HOLD"/>
    <s v="10645/2019/ĐKSP"/>
    <s v="0000035732"/>
    <d v="2027-12-31T00:00:00"/>
    <s v="PB2507"/>
    <n v="0.158"/>
    <n v="1152"/>
    <n v="2.6859999999999999"/>
    <x v="475"/>
    <x v="0"/>
  </r>
  <r>
    <s v="M00106"/>
    <s v="SC6100018"/>
    <s v="PREGNACARE BREAST-FEEDING (HOP/56 VIEN NEN, 28 VIEN NANG)"/>
    <s v="Q27-01-2-2"/>
    <s v="000222591"/>
    <n v="15"/>
    <n v="0"/>
    <s v="HOLD"/>
    <s v="10645/2019/ĐKSP"/>
    <s v="0000035732"/>
    <d v="2027-12-31T00:00:00"/>
    <s v="PB2507"/>
    <n v="0.158"/>
    <n v="1152"/>
    <n v="2.37"/>
    <x v="32"/>
    <x v="0"/>
  </r>
  <r>
    <s v="M00106"/>
    <s v="SC6100018"/>
    <s v="PREGNACARE BREAST-FEEDING (HOP/56 VIEN NEN, 28 VIEN NANG)"/>
    <s v="Q27-01-2-2"/>
    <s v="000222627"/>
    <n v="25"/>
    <n v="0"/>
    <s v="HOLD"/>
    <s v="10645/2019/ĐKSP"/>
    <s v="0000035732"/>
    <d v="2027-12-31T00:00:00"/>
    <s v="PB2507"/>
    <n v="0.158"/>
    <n v="1152"/>
    <n v="3.95"/>
    <x v="263"/>
    <x v="0"/>
  </r>
  <r>
    <s v="M00106"/>
    <s v="SC6100018"/>
    <s v="PREGNACARE BREAST-FEEDING (HOP/56 VIEN NEN, 28 VIEN NANG)"/>
    <s v="Q27-01-2-2"/>
    <s v="000222631"/>
    <n v="1"/>
    <n v="0"/>
    <s v="HOLD"/>
    <s v="10645/2019/ĐKSP"/>
    <s v="0000035732"/>
    <d v="2027-12-31T00:00:00"/>
    <s v="PB2507"/>
    <n v="0.158"/>
    <n v="1152"/>
    <n v="0.158"/>
    <x v="71"/>
    <x v="0"/>
  </r>
  <r>
    <s v="M00106"/>
    <s v="SC6100018"/>
    <s v="PREGNACARE BREAST-FEEDING (HOP/56 VIEN NEN, 28 VIEN NANG)"/>
    <s v="Q27-01-2-2"/>
    <s v="000222626"/>
    <n v="22"/>
    <n v="0"/>
    <s v="HOLD"/>
    <s v="10645/2019/ĐKSP"/>
    <s v="0000035732"/>
    <d v="2028-02-29T00:00:00"/>
    <s v="PB2517CP"/>
    <n v="0.158"/>
    <n v="1152"/>
    <n v="3.476"/>
    <x v="108"/>
    <x v="0"/>
  </r>
  <r>
    <s v="M00106"/>
    <s v="SC6100018"/>
    <s v="PREGNACARE BREAST-FEEDING (HOP/56 VIEN NEN, 28 VIEN NANG)"/>
    <s v="Q27-01-2-2"/>
    <s v="000222578"/>
    <n v="19"/>
    <n v="0"/>
    <s v="HOLD"/>
    <s v="10645/2019/ĐKSP"/>
    <s v="0000035732"/>
    <d v="2027-11-30T00:00:00"/>
    <s v="PB2505"/>
    <n v="0.158"/>
    <n v="1152"/>
    <n v="3.0020000000000002"/>
    <x v="236"/>
    <x v="0"/>
  </r>
  <r>
    <s v="M00106"/>
    <s v="SC6100018"/>
    <s v="PREGNACARE BREAST-FEEDING (HOP/56 VIEN NEN, 28 VIEN NANG)"/>
    <s v="Q27-01-2-2"/>
    <s v="000222577"/>
    <n v="1"/>
    <n v="0"/>
    <s v="HOLD"/>
    <s v="10645/2019/ĐKSP"/>
    <s v="0000035732"/>
    <d v="2026-11-30T00:00:00"/>
    <s v="PB2412"/>
    <n v="0.158"/>
    <n v="1152"/>
    <n v="0.158"/>
    <x v="71"/>
    <x v="0"/>
  </r>
  <r>
    <s v="M00106"/>
    <s v="SC6100017"/>
    <s v="WELLKID MULTI-VITAMIN LIQUID (CHAI/150ML)"/>
    <s v="Q27-01-2-2"/>
    <s v="000222603"/>
    <n v="3"/>
    <n v="0"/>
    <s v="HOLD"/>
    <s v="10642/2019/ĐKSP"/>
    <s v="0000035732"/>
    <d v="2027-07-31T00:00:00"/>
    <s v="51035"/>
    <n v="0.312"/>
    <n v="1680"/>
    <n v="0.93599999999999994"/>
    <x v="55"/>
    <x v="0"/>
  </r>
  <r>
    <s v="M00106"/>
    <s v="SC6100017"/>
    <s v="WELLKID MULTI-VITAMIN LIQUID (CHAI/150ML)"/>
    <s v="Q27-01-2-2"/>
    <s v="000222586"/>
    <n v="1"/>
    <n v="0"/>
    <s v="HOLD"/>
    <s v="10642/2019/ĐKSP"/>
    <s v="0000035732"/>
    <d v="2027-01-31T00:00:00"/>
    <s v="50219"/>
    <n v="0.312"/>
    <n v="1680"/>
    <n v="0.312"/>
    <x v="153"/>
    <x v="0"/>
  </r>
  <r>
    <s v="M00106"/>
    <s v="SC6100017"/>
    <s v="WELLKID MULTI-VITAMIN LIQUID (CHAI/150ML)"/>
    <s v="Q27-01-2-2"/>
    <s v="000222596"/>
    <n v="1"/>
    <n v="0"/>
    <s v="HOLD"/>
    <s v="10642/2019/ĐKSP"/>
    <s v="0000035732"/>
    <d v="2027-01-31T00:00:00"/>
    <s v="50219"/>
    <n v="0.312"/>
    <n v="1680"/>
    <n v="0.312"/>
    <x v="153"/>
    <x v="0"/>
  </r>
  <r>
    <s v="M00106"/>
    <s v="SC6100015"/>
    <s v="PREGNACARE PLUS OMEGA 3 (H/56 VIEN)"/>
    <s v="Q27-01-2-2"/>
    <s v="000222600"/>
    <n v="2"/>
    <n v="0"/>
    <s v="HOLD"/>
    <s v="9184/2019/ĐKSP"/>
    <s v="0000035732"/>
    <d v="2027-09-30T00:00:00"/>
    <s v="PP2509"/>
    <n v="9.2999999999999999E-2"/>
    <n v="1536"/>
    <n v="0.186"/>
    <x v="18"/>
    <x v="0"/>
  </r>
  <r>
    <s v="M00106"/>
    <s v="SC6100015"/>
    <s v="PREGNACARE PLUS OMEGA 3 (H/56 VIEN)"/>
    <s v="Q27-01-2-2"/>
    <s v="000222576"/>
    <n v="3"/>
    <n v="0"/>
    <s v="HOLD"/>
    <s v="9184/2019/ĐKSP"/>
    <s v="0000035732"/>
    <d v="2027-02-28T00:00:00"/>
    <s v="PP2424"/>
    <n v="9.2999999999999999E-2"/>
    <n v="1536"/>
    <n v="0.27900000000000003"/>
    <x v="19"/>
    <x v="0"/>
  </r>
  <r>
    <s v="M00106"/>
    <s v="SC6100015"/>
    <s v="PREGNACARE PLUS OMEGA 3 (H/56 VIEN)"/>
    <s v="Q27-01-2-2"/>
    <s v="000222589"/>
    <n v="2"/>
    <n v="0"/>
    <s v="HOLD"/>
    <s v="9184/2019/ĐKSP"/>
    <s v="0000035732"/>
    <d v="2027-02-28T00:00:00"/>
    <s v="PP2424"/>
    <n v="9.2999999999999999E-2"/>
    <n v="1536"/>
    <n v="0.186"/>
    <x v="18"/>
    <x v="0"/>
  </r>
  <r>
    <s v="M00106"/>
    <s v="SC6100011"/>
    <s v="PERFECTIL (H/30 VIEN)"/>
    <s v="Q27-01-2-2"/>
    <s v="000222606"/>
    <n v="1"/>
    <n v="0"/>
    <s v="HOLD"/>
    <s v="9185/2019/ĐKSP"/>
    <s v="0000035732"/>
    <d v="2028-01-31T00:00:00"/>
    <s v="PFT2502A"/>
    <n v="5.8000000000000003E-2"/>
    <n v="2880"/>
    <n v="5.8000000000000003E-2"/>
    <x v="3"/>
    <x v="0"/>
  </r>
  <r>
    <s v="M00106"/>
    <s v="SC6100009"/>
    <s v="WELLMAN (H/30 VIEN)"/>
    <s v="Q27-01-2-2"/>
    <s v="000222629"/>
    <n v="4"/>
    <n v="0"/>
    <s v="HOLD"/>
    <s v="8718/2019/ĐKSP"/>
    <s v="0000035732"/>
    <d v="2027-09-30T00:00:00"/>
    <s v="136497A"/>
    <n v="4.8000000000000001E-2"/>
    <n v="2880"/>
    <n v="0.192"/>
    <x v="114"/>
    <x v="0"/>
  </r>
  <r>
    <s v="M00106"/>
    <s v="SC6100007"/>
    <s v="JOINTACE (H/30 VIEN)"/>
    <s v="Q27-01-2-2"/>
    <s v="000222605"/>
    <n v="1"/>
    <n v="0"/>
    <s v="HOLD"/>
    <s v="10281/2019/ĐKSP"/>
    <s v="0000035732"/>
    <d v="2027-04-30T00:00:00"/>
    <s v="170023A"/>
    <n v="6.0999999999999999E-2"/>
    <n v="2688"/>
    <n v="6.0999999999999999E-2"/>
    <x v="51"/>
    <x v="0"/>
  </r>
  <r>
    <s v="M00106"/>
    <s v="SC6100004"/>
    <s v="OSTEOCARE (H/30 VIEN)"/>
    <s v="Q27-01-2-2"/>
    <s v="000222634"/>
    <n v="1"/>
    <n v="0"/>
    <s v="HOLD"/>
    <s v="8615/2019/ĐKSP"/>
    <s v="0000035732"/>
    <d v="2029-09-30T00:00:00"/>
    <s v="OT2508P"/>
    <n v="7.4999999999999997E-2"/>
    <n v="2688"/>
    <n v="7.4999999999999997E-2"/>
    <x v="51"/>
    <x v="0"/>
  </r>
  <r>
    <s v="M00106"/>
    <s v="SC6100004"/>
    <s v="OSTEOCARE (H/30 VIEN)"/>
    <s v="Q27-01-2-2"/>
    <s v="000222592"/>
    <n v="2"/>
    <n v="0"/>
    <s v="HOLD"/>
    <s v="8615/2019/ĐKSP"/>
    <s v="0000035732"/>
    <d v="2028-10-31T00:00:00"/>
    <s v="OT2410P"/>
    <n v="7.4999999999999997E-2"/>
    <n v="2688"/>
    <n v="0.15"/>
    <x v="52"/>
    <x v="0"/>
  </r>
  <r>
    <s v="M00106"/>
    <s v="SC6100004"/>
    <s v="OSTEOCARE (H/30 VIEN)"/>
    <s v="Q27-01-2-2"/>
    <s v="000222615"/>
    <n v="1"/>
    <n v="0"/>
    <s v="HOLD"/>
    <s v="8615/2019/ĐKSP"/>
    <s v="0000035732"/>
    <d v="2028-10-31T00:00:00"/>
    <s v="OT2410P"/>
    <n v="7.4999999999999997E-2"/>
    <n v="2688"/>
    <n v="7.4999999999999997E-2"/>
    <x v="51"/>
    <x v="0"/>
  </r>
  <r>
    <s v="M00106"/>
    <s v="SC6100004"/>
    <s v="OSTEOCARE (H/30 VIEN)"/>
    <s v="Q27-01-2-2"/>
    <s v="000222614"/>
    <n v="1"/>
    <n v="0"/>
    <s v="HOLD"/>
    <s v="8615/2019/ĐKSP"/>
    <s v="0000035732"/>
    <d v="2028-10-31T00:00:00"/>
    <s v="OT2409P"/>
    <n v="7.4999999999999997E-2"/>
    <n v="2688"/>
    <n v="7.4999999999999997E-2"/>
    <x v="51"/>
    <x v="0"/>
  </r>
  <r>
    <s v="M00106"/>
    <s v="SC6100003"/>
    <s v="FEROGLOBIN B12 CAPSULES (H/30 VIEN)"/>
    <s v="Q27-01-2-2"/>
    <s v="000222617"/>
    <n v="3"/>
    <n v="0"/>
    <s v="HOLD"/>
    <s v="9183/2019/ĐKSP"/>
    <s v="0000035732"/>
    <d v="2027-12-31T00:00:00"/>
    <s v="FW2503KA"/>
    <n v="0.04"/>
    <n v="2688"/>
    <n v="0.12"/>
    <x v="45"/>
    <x v="0"/>
  </r>
  <r>
    <s v="M00106"/>
    <s v="SC6100003"/>
    <s v="FEROGLOBIN B12 CAPSULES (H/30 VIEN)"/>
    <s v="Q27-01-2-2"/>
    <s v="000222635"/>
    <n v="3"/>
    <n v="0"/>
    <s v="HOLD"/>
    <s v="9183/2019/ĐKSP"/>
    <s v="0000035732"/>
    <d v="2027-12-31T00:00:00"/>
    <s v="FW2503KA"/>
    <n v="0.04"/>
    <n v="2688"/>
    <n v="0.12"/>
    <x v="45"/>
    <x v="0"/>
  </r>
  <r>
    <s v="M00106"/>
    <s v="SC6100003"/>
    <s v="FEROGLOBIN B12 CAPSULES (H/30 VIEN)"/>
    <s v="Q27-01-2-2"/>
    <s v="000222581"/>
    <n v="7"/>
    <n v="0"/>
    <s v="HOLD"/>
    <s v="9183/2019/ĐKSP"/>
    <s v="0000035732"/>
    <d v="2027-11-30T00:00:00"/>
    <s v="FW2413TA"/>
    <n v="0.04"/>
    <n v="2688"/>
    <n v="0.28000000000000003"/>
    <x v="44"/>
    <x v="0"/>
  </r>
  <r>
    <s v="M00106"/>
    <s v="SC6100003"/>
    <s v="FEROGLOBIN B12 CAPSULES (H/30 VIEN)"/>
    <s v="Q27-01-2-2"/>
    <s v="000222593"/>
    <n v="4"/>
    <n v="0"/>
    <s v="HOLD"/>
    <s v="9183/2019/ĐKSP"/>
    <s v="0000035732"/>
    <d v="2027-11-30T00:00:00"/>
    <s v="FW2413TA"/>
    <n v="0.04"/>
    <n v="2688"/>
    <n v="0.16"/>
    <x v="42"/>
    <x v="0"/>
  </r>
  <r>
    <s v="M00106"/>
    <s v="SC6100003"/>
    <s v="FEROGLOBIN B12 CAPSULES (H/30 VIEN)"/>
    <s v="Q27-01-2-2"/>
    <s v="000222618"/>
    <n v="1"/>
    <n v="0"/>
    <s v="HOLD"/>
    <s v="9183/2019/ĐKSP"/>
    <s v="0000035732"/>
    <d v="2027-11-30T00:00:00"/>
    <s v="FW2413TA"/>
    <n v="0.04"/>
    <n v="2688"/>
    <n v="0.04"/>
    <x v="51"/>
    <x v="0"/>
  </r>
  <r>
    <s v="M00106"/>
    <s v="SC6100003"/>
    <s v="FEROGLOBIN B12 CAPSULES (H/30 VIEN)"/>
    <s v="Q27-01-2-2"/>
    <s v="000222616"/>
    <n v="6"/>
    <n v="0"/>
    <s v="HOLD"/>
    <s v="9183/2019/ĐKSP"/>
    <s v="0000035732"/>
    <d v="2027-12-31T00:00:00"/>
    <s v="FW2502TA"/>
    <n v="0.04"/>
    <n v="2688"/>
    <n v="0.24"/>
    <x v="53"/>
    <x v="0"/>
  </r>
  <r>
    <s v="M00106"/>
    <s v="SC6100003"/>
    <s v="FEROGLOBIN B12 CAPSULES (H/30 VIEN)"/>
    <s v="Q27-01-2-2"/>
    <s v="000222582"/>
    <n v="3"/>
    <n v="0"/>
    <s v="HOLD"/>
    <s v="9183/2019/ĐKSP"/>
    <s v="0000035732"/>
    <d v="2027-10-31T00:00:00"/>
    <s v="FW2402DBA"/>
    <n v="0.04"/>
    <n v="2688"/>
    <n v="0.12"/>
    <x v="45"/>
    <x v="0"/>
  </r>
  <r>
    <s v="M00106"/>
    <s v="SC6100003"/>
    <s v="FEROGLOBIN B12 CAPSULES (H/30 VIEN)"/>
    <s v="Q27-01-2-2"/>
    <s v="000222580"/>
    <n v="6"/>
    <n v="0"/>
    <s v="HOLD"/>
    <s v="9183/2019/ĐKSP"/>
    <s v="0000035732"/>
    <d v="2027-07-31T00:00:00"/>
    <s v="FW2422PA"/>
    <n v="0.04"/>
    <n v="2688"/>
    <n v="0.24"/>
    <x v="53"/>
    <x v="0"/>
  </r>
  <r>
    <s v="M00106"/>
    <s v="SC6100002"/>
    <s v="FEROGLOBIN B12 LIQUID 200ML"/>
    <s v="Q27-01-2-2"/>
    <s v="000222625"/>
    <n v="4"/>
    <n v="0"/>
    <s v="HOLD"/>
    <s v="8974/2019/ĐKSP"/>
    <s v="0000035732"/>
    <d v="2027-04-30T00:00:00"/>
    <s v="50590"/>
    <n v="0.3"/>
    <n v="1680"/>
    <n v="1.2"/>
    <x v="14"/>
    <x v="0"/>
  </r>
  <r>
    <s v="M00106"/>
    <s v="SC6100002"/>
    <s v="FEROGLOBIN B12 LIQUID 200ML"/>
    <s v="Q27-01-2-2"/>
    <s v="000222599"/>
    <n v="1"/>
    <n v="0"/>
    <s v="HOLD"/>
    <s v="8974/2019/ĐKSP"/>
    <s v="0000035732"/>
    <d v="2027-03-31T00:00:00"/>
    <s v="50445"/>
    <n v="0.3"/>
    <n v="1680"/>
    <n v="0.3"/>
    <x v="153"/>
    <x v="0"/>
  </r>
  <r>
    <s v="M00106"/>
    <s v="SC6100002"/>
    <s v="FEROGLOBIN B12 LIQUID 200ML"/>
    <s v="Q27-01-2-2"/>
    <s v="000222624"/>
    <n v="1"/>
    <n v="0"/>
    <s v="HOLD"/>
    <s v="8974/2019/ĐKSP"/>
    <s v="0000035732"/>
    <d v="2027-03-31T00:00:00"/>
    <s v="50445"/>
    <n v="0.3"/>
    <n v="1680"/>
    <n v="0.3"/>
    <x v="153"/>
    <x v="0"/>
  </r>
  <r>
    <s v="M00106"/>
    <s v="SC6100002"/>
    <s v="FEROGLOBIN B12 LIQUID 200ML"/>
    <s v="Q27-01-2-2"/>
    <s v="000222623"/>
    <n v="4"/>
    <n v="0"/>
    <s v="HOLD"/>
    <s v="8974/2019/ĐKSP"/>
    <s v="0000035732"/>
    <d v="2027-07-31T00:00:00"/>
    <s v="51043"/>
    <n v="0.3"/>
    <n v="1680"/>
    <n v="1.2"/>
    <x v="14"/>
    <x v="0"/>
  </r>
  <r>
    <s v="M00106"/>
    <s v="SC6100002"/>
    <s v="FEROGLOBIN B12 LIQUID 200ML"/>
    <s v="Q27-01-2-2"/>
    <s v="000222588"/>
    <n v="6"/>
    <n v="0"/>
    <s v="HOLD"/>
    <s v="8974/2019/ĐKSP"/>
    <s v="0000035732"/>
    <d v="2026-11-30T00:00:00"/>
    <s v="41952"/>
    <n v="0.3"/>
    <n v="1680"/>
    <n v="1.7999999999999998"/>
    <x v="11"/>
    <x v="0"/>
  </r>
  <r>
    <s v="M00106"/>
    <s v="SC6100001"/>
    <s v="OSTEOCARE LIQUID 200ML"/>
    <s v="Q27-01-2-2"/>
    <s v="000222630"/>
    <n v="1"/>
    <n v="0"/>
    <s v="HOLD"/>
    <s v="9186/2019/ĐKSP"/>
    <s v="0000035732"/>
    <d v="2027-08-31T00:00:00"/>
    <s v="51271"/>
    <n v="0.3"/>
    <n v="1680"/>
    <n v="0.3"/>
    <x v="153"/>
    <x v="0"/>
  </r>
  <r>
    <s v="M00106"/>
    <s v="SC6100001"/>
    <s v="OSTEOCARE LIQUID 200ML"/>
    <s v="Q27-01-2-2"/>
    <s v="000222590"/>
    <n v="2"/>
    <n v="0"/>
    <s v="HOLD"/>
    <s v="9186/2019/ĐKSP"/>
    <s v="0000035732"/>
    <d v="2027-02-28T00:00:00"/>
    <s v="50306"/>
    <n v="0.3"/>
    <n v="1680"/>
    <n v="0.6"/>
    <x v="12"/>
    <x v="0"/>
  </r>
  <r>
    <s v="M00106"/>
    <s v="SC6100001"/>
    <s v="OSTEOCARE LIQUID 200ML"/>
    <s v="Q27-01-2-2"/>
    <s v="000222613"/>
    <n v="1"/>
    <n v="0"/>
    <s v="HOLD"/>
    <s v="9186/2019/ĐKSP"/>
    <s v="0000035732"/>
    <d v="2027-02-28T00:00:00"/>
    <s v="50306"/>
    <n v="0.3"/>
    <n v="1680"/>
    <n v="0.3"/>
    <x v="153"/>
    <x v="0"/>
  </r>
  <r>
    <s v="M00106"/>
    <s v="SC6100001"/>
    <s v="OSTEOCARE LIQUID 200ML"/>
    <s v="Q27-01-2-2"/>
    <s v="000222612"/>
    <n v="1"/>
    <n v="0"/>
    <s v="HOLD"/>
    <s v="9186/2019/ĐKSP"/>
    <s v="0000035732"/>
    <d v="2027-03-31T00:00:00"/>
    <s v="50494"/>
    <n v="0.3"/>
    <n v="1680"/>
    <n v="0.3"/>
    <x v="153"/>
    <x v="0"/>
  </r>
  <r>
    <s v="M00106"/>
    <s v="SC6100001"/>
    <s v="OSTEOCARE LIQUID 200ML"/>
    <s v="Q27-01-2-2"/>
    <s v="000222611"/>
    <n v="5"/>
    <n v="0"/>
    <s v="HOLD"/>
    <s v="9186/2019/ĐKSP"/>
    <s v="0000035732"/>
    <d v="2027-03-31T00:00:00"/>
    <s v="50461"/>
    <n v="0.3"/>
    <n v="1680"/>
    <n v="1.5"/>
    <x v="41"/>
    <x v="0"/>
  </r>
  <r>
    <s v="M00106"/>
    <s v="SC6100001"/>
    <s v="OSTEOCARE LIQUID 200ML"/>
    <s v="Q27-01-2-2"/>
    <s v="000222609"/>
    <n v="4"/>
    <n v="0"/>
    <s v="HOLD"/>
    <s v="9186/2019/ĐKSP"/>
    <s v="0000035732"/>
    <d v="2027-04-30T00:00:00"/>
    <s v="50690"/>
    <n v="0.3"/>
    <n v="1680"/>
    <n v="1.2"/>
    <x v="14"/>
    <x v="0"/>
  </r>
  <r>
    <s v="M00106"/>
    <s v="SC6100001"/>
    <s v="OSTEOCARE LIQUID 200ML"/>
    <s v="Q27-01-2-2"/>
    <s v="000222610"/>
    <n v="2"/>
    <n v="0"/>
    <s v="HOLD"/>
    <s v="9186/2019/ĐKSP"/>
    <s v="0000035732"/>
    <d v="2027-04-30T00:00:00"/>
    <s v="50691"/>
    <n v="0.3"/>
    <n v="1680"/>
    <n v="0.6"/>
    <x v="12"/>
    <x v="0"/>
  </r>
  <r>
    <s v="HOANGDUC"/>
    <s v="MY1100011"/>
    <s v="SMECTA ORANGE 3G 30SACH VN (0061A020_NEW)"/>
    <s v="Q26-03-6-1"/>
    <s v="000222704"/>
    <n v="6"/>
    <n v="0"/>
    <s v="HOLD"/>
    <s v="VN-19485-15"/>
    <s v="0000035719"/>
    <d v="2029-01-19T00:00:00"/>
    <s v="E00745"/>
    <n v="0.154"/>
    <n v="1680"/>
    <n v="0.92399999999999993"/>
    <x v="11"/>
    <x v="1"/>
  </r>
  <r>
    <s v="HOANGDUC"/>
    <s v="AV1100019"/>
    <s v="FEGEM-100 (HOP/100VIEN)"/>
    <s v="Q26-03-5-1"/>
    <s v="LPN011331"/>
    <n v="8"/>
    <n v="0"/>
    <s v="HOLD"/>
    <s v="890100046225"/>
    <s v="0000035751"/>
    <d v="2028-03-10T00:00:00"/>
    <s v="BNZ1N001"/>
    <n v="0.114"/>
    <n v="1728"/>
    <n v="0.91200000000000003"/>
    <x v="277"/>
    <x v="1"/>
  </r>
  <r>
    <s v="HD"/>
    <s v="MG1100048"/>
    <s v="PERGLIM M-2 (HOP/5 VI X 20 VIEN)"/>
    <s v="Q26-03-6-1"/>
    <s v="000222731"/>
    <n v="3"/>
    <n v="0"/>
    <s v="HOLD"/>
    <s v="890110035223"/>
    <s v="0000035756"/>
    <d v="2027-11-07T00:00:00"/>
    <s v="A08922533"/>
    <n v="0.14399999999999999"/>
    <n v="1728"/>
    <n v="0.43199999999999994"/>
    <x v="70"/>
    <x v="1"/>
  </r>
  <r>
    <s v="HOANGDUC"/>
    <s v="ST9-ASD-032"/>
    <s v="AMPLATZER SEPTAL OCCLUDER 32MM"/>
    <s v="Q27-03-1-2"/>
    <s v="M0004009"/>
    <n v="1"/>
    <n v="0"/>
    <s v="HOLD"/>
    <s v="NOVISA"/>
    <s v="54-20897"/>
    <d v="2029-01-31T00:00:00"/>
    <s v="10211846"/>
    <n v="0.106"/>
    <n v="0"/>
    <n v="0.106"/>
    <x v="16"/>
    <x v="4"/>
  </r>
  <r>
    <s v="HOANGDUC"/>
    <s v="RD1100013"/>
    <s v="RIVAXORED 20MG (HOP/1VI X 14VIEN)"/>
    <s v="Q26-03-5-1"/>
    <s v="LPN011323"/>
    <n v="6"/>
    <n v="0"/>
    <s v="HOLD"/>
    <s v="VN-22643-20"/>
    <s v="0000035819"/>
    <d v="2029-01-31T00:00:00"/>
    <s v="B2600555"/>
    <n v="1.2E-2"/>
    <n v="5760"/>
    <n v="7.2000000000000008E-2"/>
    <x v="91"/>
    <x v="1"/>
  </r>
  <r>
    <s v="HOANGDUC"/>
    <s v="SA1200007"/>
    <s v="CORDARONE 150MG/3ML INJ B/6 AMPS VN"/>
    <s v="Q27-01-1-2"/>
    <s v="000223362"/>
    <n v="4.83"/>
    <n v="0"/>
    <s v="HOLD"/>
    <s v="VN-20734-17"/>
    <s v="50-17985"/>
    <d v="2026-03-01T00:00:00"/>
    <s v="FA1446"/>
    <n v="6.8000000000000005E-2"/>
    <n v="480"/>
    <n v="0.32844000000000001"/>
    <x v="476"/>
    <x v="0"/>
  </r>
  <r>
    <s v="HOANGDUC"/>
    <s v="SA1200007"/>
    <s v="CORDARONE 150MG/3ML INJ B/6 AMPS VN"/>
    <s v="Q27-01-1-2"/>
    <s v="000223363"/>
    <n v="40"/>
    <n v="0"/>
    <s v="HOLD"/>
    <s v="VN-20734-17"/>
    <s v="50-17986"/>
    <d v="2026-03-01T00:00:00"/>
    <s v="FA1446"/>
    <n v="6.8000000000000005E-2"/>
    <n v="480"/>
    <n v="2.72"/>
    <x v="429"/>
    <x v="0"/>
  </r>
  <r>
    <s v="HOANGDUC"/>
    <s v="HY7300012"/>
    <s v="ULTRA LIGHT HYDRATOR 50G"/>
    <s v="Q27-03-3-2"/>
    <s v="LPN011334"/>
    <n v="1"/>
    <n v="0"/>
    <s v="HOLD"/>
    <s v="237897/24/CBMP-QLD"/>
    <s v="0000035856"/>
    <d v="2028-10-31T00:00:00"/>
    <s v="SB0030"/>
    <n v="7.3999999999999996E-2"/>
    <n v="4000"/>
    <n v="7.3999999999999996E-2"/>
    <x v="462"/>
    <x v="4"/>
  </r>
  <r>
    <s v="M00106"/>
    <s v="SC6100001"/>
    <s v="OSTEOCARE LIQUID 200ML"/>
    <s v="Q27-03-8-2"/>
    <s v="000223615"/>
    <n v="28"/>
    <n v="0"/>
    <s v="HOLD"/>
    <s v="9186/2019/ĐKSP"/>
    <s v="0000035903"/>
    <d v="2027-03-31T00:00:00"/>
    <s v="50461"/>
    <n v="0.3"/>
    <n v="1680"/>
    <n v="8.4"/>
    <x v="366"/>
    <x v="4"/>
  </r>
  <r>
    <s v="HOANGDUC"/>
    <s v="HT1100016"/>
    <s v="LOSAGEN 50 (HOP/ 30 VIEN)"/>
    <s v="Q26-03-5-1"/>
    <s v="LPN011345"/>
    <n v="1"/>
    <n v="0"/>
    <s v="HOLD"/>
    <s v="890110997024"/>
    <s v="0000035929"/>
    <d v="2028-01-06T00:00:00"/>
    <s v="FD260111C"/>
    <n v="1.9E-2"/>
    <n v="4320"/>
    <n v="1.9E-2"/>
    <x v="179"/>
    <x v="1"/>
  </r>
  <r>
    <s v="HOANGDUC"/>
    <s v="AZ1200002"/>
    <s v="ZOLADEX INJ 3.6MG SS 1X1 EA VN"/>
    <s v="Q26-03-5-1"/>
    <s v="000224089"/>
    <n v="1"/>
    <n v="0"/>
    <s v="HOLD"/>
    <s v="500114177523"/>
    <s v="0000035940"/>
    <d v="2027-05-10T00:00:00"/>
    <s v="SX228"/>
    <n v="4.1000000000000002E-2"/>
    <n v="1280"/>
    <n v="4.1000000000000002E-2"/>
    <x v="115"/>
    <x v="1"/>
  </r>
  <r>
    <s v="HOANGDUC"/>
    <s v="AZ1100024"/>
    <s v="KOMBOGLYZE XR TAB 5.500MG BL 4X7 EA VN"/>
    <s v="Q26-03-6-1"/>
    <s v="000224093"/>
    <n v="24"/>
    <n v="0"/>
    <s v="HOLD"/>
    <s v="VN-18679-15"/>
    <s v="50-18092"/>
    <d v="2028-04-07T00:00:00"/>
    <s v="YK0075"/>
    <n v="8.7999999999999995E-2"/>
    <n v="1152"/>
    <n v="2.1120000000000001"/>
    <x v="74"/>
    <x v="1"/>
  </r>
  <r>
    <s v="HOANGDUC"/>
    <s v="AZ1100024"/>
    <s v="KOMBOGLYZE XR TAB 5.500MG BL 4X7 EA VN"/>
    <s v="Q26-03-6-1"/>
    <s v="000224092"/>
    <n v="11"/>
    <n v="0"/>
    <s v="HOLD"/>
    <s v="VN-18679-15"/>
    <s v="50-18092"/>
    <d v="2028-04-07T00:00:00"/>
    <s v="YC0196"/>
    <n v="8.7999999999999995E-2"/>
    <n v="1152"/>
    <n v="0.96799999999999997"/>
    <x v="75"/>
    <x v="1"/>
  </r>
  <r>
    <s v="HD"/>
    <s v="HT1100016"/>
    <s v="LOSAGEN 50 (HOP/ 30 VIEN)"/>
    <s v="Q26-03-6-1"/>
    <s v="LPN011356"/>
    <n v="7"/>
    <n v="0"/>
    <s v="HOLD"/>
    <s v="890110997024"/>
    <s v="0000035929"/>
    <d v="2028-01-06T00:00:00"/>
    <s v="FD260111C"/>
    <n v="1.9E-2"/>
    <n v="4320"/>
    <n v="0.13300000000000001"/>
    <x v="477"/>
    <x v="1"/>
  </r>
  <r>
    <s v="HD"/>
    <s v="HT1100016"/>
    <s v="LOSAGEN 50 (HOP/ 30 VIEN)"/>
    <s v="Q26-03-6-1"/>
    <s v="LPN011362"/>
    <n v="1"/>
    <n v="0"/>
    <s v="HOLD"/>
    <s v="890110997024"/>
    <s v="0000035929"/>
    <d v="2028-01-06T00:00:00"/>
    <s v="FD260111C"/>
    <n v="1.9E-2"/>
    <n v="4320"/>
    <n v="1.9E-2"/>
    <x v="179"/>
    <x v="1"/>
  </r>
  <r>
    <s v="HOANGDUC"/>
    <s v="BK393300"/>
    <s v="PANTERA PRO 2.0/15"/>
    <s v="Q27-03-1-2"/>
    <s v="LPN011357"/>
    <n v="1"/>
    <n v="0"/>
    <s v="HOLD"/>
    <s v="NOVISA"/>
    <s v="0000035948"/>
    <d v="2029-03-08T00:00:00"/>
    <s v="02263069"/>
    <n v="0.11799999999999999"/>
    <n v="0"/>
    <n v="0.11799999999999999"/>
    <x v="16"/>
    <x v="4"/>
  </r>
  <r>
    <s v="HOANGDUC"/>
    <s v="SC6100013"/>
    <s v="PREGNACARE ORIGINAL (H/30 VIEN)"/>
    <s v="Q27-03-1-2"/>
    <s v="000224191"/>
    <n v="2"/>
    <n v="0"/>
    <s v="HOLD"/>
    <s v="4140/2020/ĐKSP"/>
    <s v="51-451337"/>
    <d v="2026-06-30T00:00:00"/>
    <s v="PRW2332PA"/>
    <n v="4.9000000000000002E-2"/>
    <n v="2880"/>
    <n v="9.8000000000000004E-2"/>
    <x v="2"/>
    <x v="4"/>
  </r>
  <r>
    <s v="HOANGDUC"/>
    <s v="SA1200012"/>
    <s v="LOVENOX 40MG/0.4ML INJ. B/ 2 SYRINGES VN"/>
    <s v="Q26-03-6-1"/>
    <s v="000224192"/>
    <n v="2"/>
    <n v="0"/>
    <s v="HOLD"/>
    <s v="300410038223"/>
    <s v="51-451366"/>
    <d v="2027-01-31T00:00:00"/>
    <s v="KS061A"/>
    <n v="0.154"/>
    <n v="4704"/>
    <n v="0.308"/>
    <x v="478"/>
    <x v="1"/>
  </r>
  <r>
    <s v="HOANGDUC"/>
    <s v="GZ1105002"/>
    <s v="ATASART 16MG TAB 28.S"/>
    <s v="Q26-03-5-1"/>
    <s v="000224494"/>
    <n v="2"/>
    <n v="0"/>
    <s v="HOLD"/>
    <s v="896110028625"/>
    <s v="0000035972"/>
    <d v="2028-11-07T00:00:00"/>
    <s v="308T02"/>
    <n v="0.02"/>
    <n v="3520"/>
    <n v="0.04"/>
    <x v="192"/>
    <x v="1"/>
  </r>
  <r>
    <s v="HOANGDUC"/>
    <s v="BK419151"/>
    <s v="ORSIRO MISSION 2.75/40"/>
    <s v="Q27-03-1-2"/>
    <s v="M0004191"/>
    <n v="1"/>
    <n v="0"/>
    <s v="HOLD"/>
    <s v="NOVISA"/>
    <s v="57-36188"/>
    <d v="2028-10-21T00:00:00"/>
    <s v="09253519"/>
    <n v="0.11799999999999999"/>
    <n v="0"/>
    <n v="0.11799999999999999"/>
    <x v="16"/>
    <x v="4"/>
  </r>
  <r>
    <s v="HOANGDUC"/>
    <s v="BK419114"/>
    <s v="ORSIRO MISSION 2.5/15"/>
    <s v="Q27-03-1-2"/>
    <s v="M0004191"/>
    <n v="1"/>
    <n v="0"/>
    <s v="HOLD"/>
    <s v="NOVISA"/>
    <s v="57-36188"/>
    <d v="2027-04-02T00:00:00"/>
    <s v="03251092"/>
    <n v="0.11799999999999999"/>
    <n v="0"/>
    <n v="0.11799999999999999"/>
    <x v="16"/>
    <x v="4"/>
  </r>
  <r>
    <s v="HOANGDUC"/>
    <s v="BK419115"/>
    <s v="ORSIRO MISSION 2.75/15"/>
    <s v="Q27-03-1-2"/>
    <s v="M0004191"/>
    <n v="1"/>
    <n v="0"/>
    <s v="HOLD"/>
    <s v="NOVISA"/>
    <s v="57-36188"/>
    <d v="2027-03-31T00:00:00"/>
    <s v="03250264"/>
    <n v="0.11799999999999999"/>
    <n v="0"/>
    <n v="0.11799999999999999"/>
    <x v="16"/>
    <x v="4"/>
  </r>
  <r>
    <s v="HD"/>
    <s v="MG1100042"/>
    <s v="PANFOR SR-1000 (HOP/5 VI X 20 VIEN)"/>
    <s v="Q27-01-1-2"/>
    <s v="000224720"/>
    <n v="5"/>
    <n v="0"/>
    <s v="HOLD"/>
    <s v="890110015824"/>
    <s v="0000035998"/>
    <d v="2029-03-17T00:00:00"/>
    <s v="08892605"/>
    <n v="0.18"/>
    <n v="1440"/>
    <n v="0.89999999999999991"/>
    <x v="2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1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dataField="1" showAll="0">
      <items count="480">
        <item x="232"/>
        <item x="303"/>
        <item x="219"/>
        <item x="436"/>
        <item x="431"/>
        <item x="377"/>
        <item x="113"/>
        <item x="274"/>
        <item x="404"/>
        <item x="410"/>
        <item x="344"/>
        <item x="149"/>
        <item x="379"/>
        <item x="351"/>
        <item x="464"/>
        <item x="260"/>
        <item x="77"/>
        <item x="318"/>
        <item x="370"/>
        <item x="447"/>
        <item x="179"/>
        <item x="352"/>
        <item x="321"/>
        <item x="462"/>
        <item x="390"/>
        <item x="267"/>
        <item x="6"/>
        <item x="417"/>
        <item x="278"/>
        <item x="448"/>
        <item x="80"/>
        <item x="393"/>
        <item x="158"/>
        <item x="3"/>
        <item x="444"/>
        <item x="8"/>
        <item x="51"/>
        <item x="432"/>
        <item x="156"/>
        <item x="181"/>
        <item x="182"/>
        <item x="215"/>
        <item x="293"/>
        <item x="130"/>
        <item x="133"/>
        <item x="228"/>
        <item x="478"/>
        <item x="354"/>
        <item x="204"/>
        <item x="58"/>
        <item x="193"/>
        <item x="307"/>
        <item x="362"/>
        <item x="148"/>
        <item x="172"/>
        <item x="407"/>
        <item x="90"/>
        <item x="4"/>
        <item x="98"/>
        <item x="259"/>
        <item x="192"/>
        <item x="213"/>
        <item x="153"/>
        <item x="361"/>
        <item x="434"/>
        <item x="240"/>
        <item x="320"/>
        <item x="35"/>
        <item x="374"/>
        <item x="2"/>
        <item x="413"/>
        <item x="306"/>
        <item x="467"/>
        <item x="323"/>
        <item x="52"/>
        <item x="433"/>
        <item x="238"/>
        <item x="211"/>
        <item x="230"/>
        <item x="115"/>
        <item x="123"/>
        <item x="84"/>
        <item x="241"/>
        <item x="71"/>
        <item x="57"/>
        <item x="205"/>
        <item x="174"/>
        <item x="465"/>
        <item x="418"/>
        <item x="91"/>
        <item x="5"/>
        <item x="136"/>
        <item x="134"/>
        <item x="45"/>
        <item x="210"/>
        <item x="12"/>
        <item x="168"/>
        <item x="368"/>
        <item x="275"/>
        <item x="304"/>
        <item x="177"/>
        <item x="18"/>
        <item x="415"/>
        <item x="56"/>
        <item x="367"/>
        <item x="114"/>
        <item x="305"/>
        <item x="154"/>
        <item x="42"/>
        <item x="364"/>
        <item x="10"/>
        <item x="214"/>
        <item x="376"/>
        <item x="159"/>
        <item x="477"/>
        <item x="143"/>
        <item x="83"/>
        <item x="70"/>
        <item x="203"/>
        <item x="55"/>
        <item x="178"/>
        <item x="46"/>
        <item x="345"/>
        <item x="19"/>
        <item x="132"/>
        <item x="165"/>
        <item x="227"/>
        <item x="9"/>
        <item x="453"/>
        <item x="53"/>
        <item x="216"/>
        <item x="358"/>
        <item x="380"/>
        <item x="14"/>
        <item x="428"/>
        <item x="127"/>
        <item x="66"/>
        <item x="420"/>
        <item x="226"/>
        <item x="44"/>
        <item x="79"/>
        <item x="59"/>
        <item x="412"/>
        <item x="135"/>
        <item x="239"/>
        <item x="171"/>
        <item x="378"/>
        <item x="7"/>
        <item x="271"/>
        <item x="41"/>
        <item x="279"/>
        <item x="61"/>
        <item x="128"/>
        <item x="146"/>
        <item x="21"/>
        <item x="242"/>
        <item x="40"/>
        <item x="251"/>
        <item x="381"/>
        <item x="11"/>
        <item x="161"/>
        <item x="50"/>
        <item x="39"/>
        <item x="163"/>
        <item x="37"/>
        <item x="122"/>
        <item x="292"/>
        <item x="60"/>
        <item x="166"/>
        <item x="47"/>
        <item x="13"/>
        <item x="262"/>
        <item x="167"/>
        <item x="64"/>
        <item x="472"/>
        <item x="360"/>
        <item x="20"/>
        <item x="277"/>
        <item x="441"/>
        <item x="94"/>
        <item x="48"/>
        <item x="131"/>
        <item x="403"/>
        <item x="353"/>
        <item x="409"/>
        <item x="326"/>
        <item x="121"/>
        <item x="36"/>
        <item x="173"/>
        <item x="408"/>
        <item x="276"/>
        <item x="327"/>
        <item x="117"/>
        <item x="185"/>
        <item x="24"/>
        <item x="49"/>
        <item x="164"/>
        <item x="261"/>
        <item x="421"/>
        <item x="316"/>
        <item x="288"/>
        <item x="369"/>
        <item x="142"/>
        <item x="427"/>
        <item x="155"/>
        <item x="264"/>
        <item x="391"/>
        <item x="221"/>
        <item x="331"/>
        <item x="224"/>
        <item x="107"/>
        <item x="273"/>
        <item x="43"/>
        <item x="88"/>
        <item x="284"/>
        <item x="220"/>
        <item x="87"/>
        <item x="372"/>
        <item x="255"/>
        <item x="169"/>
        <item x="109"/>
        <item x="25"/>
        <item x="359"/>
        <item x="97"/>
        <item x="317"/>
        <item x="383"/>
        <item x="439"/>
        <item x="65"/>
        <item x="112"/>
        <item x="387"/>
        <item x="189"/>
        <item x="100"/>
        <item x="15"/>
        <item x="324"/>
        <item x="401"/>
        <item x="26"/>
        <item x="268"/>
        <item x="86"/>
        <item x="315"/>
        <item x="93"/>
        <item x="75"/>
        <item x="422"/>
        <item x="373"/>
        <item x="150"/>
        <item x="471"/>
        <item x="198"/>
        <item x="382"/>
        <item x="476"/>
        <item x="330"/>
        <item x="197"/>
        <item x="38"/>
        <item x="27"/>
        <item x="151"/>
        <item x="110"/>
        <item x="287"/>
        <item x="225"/>
        <item x="419"/>
        <item x="23"/>
        <item x="325"/>
        <item x="375"/>
        <item x="289"/>
        <item x="347"/>
        <item x="152"/>
        <item x="85"/>
        <item x="402"/>
        <item x="92"/>
        <item x="423"/>
        <item x="63"/>
        <item x="314"/>
        <item x="95"/>
        <item x="386"/>
        <item x="184"/>
        <item x="32"/>
        <item x="157"/>
        <item x="17"/>
        <item x="456"/>
        <item x="455"/>
        <item x="460"/>
        <item x="99"/>
        <item x="116"/>
        <item x="183"/>
        <item x="96"/>
        <item x="160"/>
        <item x="475"/>
        <item x="223"/>
        <item x="438"/>
        <item x="357"/>
        <item x="411"/>
        <item x="140"/>
        <item x="385"/>
        <item x="450"/>
        <item x="437"/>
        <item x="207"/>
        <item x="334"/>
        <item x="371"/>
        <item x="162"/>
        <item x="336"/>
        <item x="212"/>
        <item x="236"/>
        <item x="312"/>
        <item x="366"/>
        <item x="22"/>
        <item x="397"/>
        <item x="105"/>
        <item x="349"/>
        <item x="405"/>
        <item x="137"/>
        <item x="68"/>
        <item x="425"/>
        <item x="102"/>
        <item x="459"/>
        <item x="473"/>
        <item x="400"/>
        <item x="296"/>
        <item x="108"/>
        <item x="76"/>
        <item x="335"/>
        <item x="286"/>
        <item x="445"/>
        <item x="468"/>
        <item x="329"/>
        <item x="74"/>
        <item x="233"/>
        <item x="470"/>
        <item x="426"/>
        <item x="332"/>
        <item x="263"/>
        <item x="234"/>
        <item x="101"/>
        <item x="257"/>
        <item x="124"/>
        <item x="222"/>
        <item x="294"/>
        <item x="201"/>
        <item x="458"/>
        <item x="313"/>
        <item x="328"/>
        <item x="118"/>
        <item x="180"/>
        <item x="266"/>
        <item x="175"/>
        <item x="231"/>
        <item x="111"/>
        <item x="295"/>
        <item x="406"/>
        <item x="457"/>
        <item x="138"/>
        <item x="265"/>
        <item x="272"/>
        <item x="252"/>
        <item x="31"/>
        <item x="67"/>
        <item x="343"/>
        <item x="319"/>
        <item x="299"/>
        <item x="290"/>
        <item x="34"/>
        <item x="442"/>
        <item x="337"/>
        <item x="302"/>
        <item x="285"/>
        <item x="301"/>
        <item x="254"/>
        <item x="195"/>
        <item x="208"/>
        <item x="454"/>
        <item x="311"/>
        <item x="414"/>
        <item x="340"/>
        <item x="281"/>
        <item x="30"/>
        <item x="196"/>
        <item x="399"/>
        <item x="202"/>
        <item x="338"/>
        <item x="119"/>
        <item x="139"/>
        <item x="89"/>
        <item x="348"/>
        <item x="474"/>
        <item x="229"/>
        <item x="256"/>
        <item x="245"/>
        <item x="461"/>
        <item x="247"/>
        <item x="206"/>
        <item x="120"/>
        <item x="82"/>
        <item x="209"/>
        <item x="363"/>
        <item x="73"/>
        <item x="194"/>
        <item x="29"/>
        <item x="72"/>
        <item x="253"/>
        <item x="356"/>
        <item x="469"/>
        <item x="443"/>
        <item x="280"/>
        <item x="398"/>
        <item x="309"/>
        <item x="291"/>
        <item x="300"/>
        <item x="69"/>
        <item x="106"/>
        <item x="466"/>
        <item x="298"/>
        <item x="283"/>
        <item x="258"/>
        <item x="145"/>
        <item x="452"/>
        <item x="270"/>
        <item x="435"/>
        <item x="217"/>
        <item x="244"/>
        <item x="250"/>
        <item x="188"/>
        <item x="28"/>
        <item x="365"/>
        <item x="81"/>
        <item x="237"/>
        <item x="341"/>
        <item x="308"/>
        <item x="322"/>
        <item x="144"/>
        <item x="429"/>
        <item x="449"/>
        <item x="248"/>
        <item x="282"/>
        <item x="186"/>
        <item x="388"/>
        <item x="246"/>
        <item x="346"/>
        <item x="451"/>
        <item x="394"/>
        <item x="463"/>
        <item x="126"/>
        <item x="297"/>
        <item x="33"/>
        <item x="269"/>
        <item x="310"/>
        <item x="235"/>
        <item x="392"/>
        <item x="218"/>
        <item x="78"/>
        <item x="342"/>
        <item x="339"/>
        <item x="147"/>
        <item x="350"/>
        <item x="187"/>
        <item x="191"/>
        <item x="440"/>
        <item x="424"/>
        <item x="243"/>
        <item x="389"/>
        <item x="249"/>
        <item x="396"/>
        <item x="416"/>
        <item x="54"/>
        <item x="125"/>
        <item x="355"/>
        <item x="395"/>
        <item x="384"/>
        <item x="62"/>
        <item x="170"/>
        <item x="430"/>
        <item x="141"/>
        <item x="190"/>
        <item x="199"/>
        <item x="200"/>
        <item x="103"/>
        <item x="0"/>
        <item x="446"/>
        <item x="1"/>
        <item x="333"/>
        <item x="176"/>
        <item x="104"/>
        <item x="129"/>
        <item x="16"/>
        <item t="default"/>
      </items>
    </pivotField>
    <pivotField axis="axisRow" showAll="0">
      <items count="8">
        <item x="2"/>
        <item x="5"/>
        <item x="1"/>
        <item x="0"/>
        <item x="4"/>
        <item x="6"/>
        <item x="3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14" baseField="0" baseItem="0"/>
    <dataField name="Sum of Pallet" fld="15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1975" totalsRowShown="0">
  <autoFilter ref="A1:Q1975"/>
  <tableColumns count="17">
    <tableColumn id="1" name="Owner"/>
    <tableColumn id="2" name="Item"/>
    <tableColumn id="3" name="Description"/>
    <tableColumn id="4" name="Location"/>
    <tableColumn id="5" name="LPN"/>
    <tableColumn id="6" name="On Hand" dataDxfId="2"/>
    <tableColumn id="7" name="Available" dataDxfId="1"/>
    <tableColumn id="8" name="Status"/>
    <tableColumn id="9" name="Lottable 02"/>
    <tableColumn id="10" name="Lottable 03"/>
    <tableColumn id="11" name="Expiration Date" dataDxfId="0"/>
    <tableColumn id="12" name="Lottable 06"/>
    <tableColumn id="13" name="Gr. Weight"/>
    <tableColumn id="14" name="Pallet Qty"/>
    <tableColumn id="15" name="Weight">
      <calculatedColumnFormula>F2*M2</calculatedColumnFormula>
    </tableColumn>
    <tableColumn id="16" name="Pallet"/>
    <tableColumn id="17" name="Zone">
      <calculatedColumnFormula>LEFT(D2,6)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75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5" x14ac:dyDescent="0.25"/>
  <cols>
    <col min="1" max="1" width="16.5703125" customWidth="1"/>
    <col min="2" max="2" width="16.7109375" customWidth="1"/>
    <col min="3" max="3" width="33.7109375" customWidth="1"/>
    <col min="4" max="4" width="12.85546875" customWidth="1"/>
    <col min="5" max="5" width="11.7109375" bestFit="1" customWidth="1"/>
    <col min="6" max="6" width="11" customWidth="1"/>
    <col min="7" max="7" width="11.7109375" customWidth="1"/>
    <col min="8" max="8" width="8.7109375" customWidth="1"/>
    <col min="9" max="9" width="23.85546875" bestFit="1" customWidth="1"/>
    <col min="10" max="10" width="13.140625" customWidth="1"/>
    <col min="11" max="11" width="17.140625" customWidth="1"/>
    <col min="12" max="12" width="13.140625" customWidth="1"/>
    <col min="13" max="13" width="12.85546875" customWidth="1"/>
    <col min="14" max="14" width="12" customWidth="1"/>
    <col min="15" max="15" width="9.7109375" customWidth="1"/>
    <col min="16" max="16" width="10.42578125" customWidth="1"/>
  </cols>
  <sheetData>
    <row r="1" spans="1:17" s="7" customFormat="1" ht="25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3971</v>
      </c>
      <c r="N1" s="5" t="s">
        <v>3970</v>
      </c>
      <c r="O1" s="6" t="s">
        <v>3969</v>
      </c>
      <c r="P1" s="6" t="s">
        <v>3972</v>
      </c>
      <c r="Q1" s="7" t="s">
        <v>3973</v>
      </c>
    </row>
    <row r="2" spans="1:17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4976</v>
      </c>
      <c r="G2" s="1">
        <v>0</v>
      </c>
      <c r="H2" t="s">
        <v>17</v>
      </c>
      <c r="I2" t="s">
        <v>18</v>
      </c>
      <c r="J2" t="s">
        <v>19</v>
      </c>
      <c r="K2" s="3">
        <v>46054</v>
      </c>
      <c r="L2" t="s">
        <v>20</v>
      </c>
      <c r="M2">
        <v>0.03</v>
      </c>
      <c r="N2">
        <v>6000</v>
      </c>
      <c r="O2">
        <f>F2*M2</f>
        <v>149.28</v>
      </c>
      <c r="P2">
        <f>F2/N2</f>
        <v>0.82933333333333337</v>
      </c>
      <c r="Q2" t="str">
        <f>LEFT(D2,6)</f>
        <v>Q27-01</v>
      </c>
    </row>
    <row r="3" spans="1:17" x14ac:dyDescent="0.25">
      <c r="A3" t="s">
        <v>12</v>
      </c>
      <c r="B3" t="s">
        <v>13</v>
      </c>
      <c r="C3" t="s">
        <v>14</v>
      </c>
      <c r="D3" t="s">
        <v>21</v>
      </c>
      <c r="E3" t="s">
        <v>22</v>
      </c>
      <c r="F3" s="2">
        <v>5267</v>
      </c>
      <c r="G3" s="1">
        <v>0</v>
      </c>
      <c r="H3" t="s">
        <v>17</v>
      </c>
      <c r="I3" t="s">
        <v>18</v>
      </c>
      <c r="J3" t="s">
        <v>19</v>
      </c>
      <c r="K3" s="3">
        <v>46054</v>
      </c>
      <c r="L3" t="s">
        <v>23</v>
      </c>
      <c r="M3">
        <v>0.03</v>
      </c>
      <c r="N3">
        <v>6000</v>
      </c>
      <c r="O3">
        <f t="shared" ref="O3:O66" si="0">F3*M3</f>
        <v>158.01</v>
      </c>
      <c r="P3">
        <f t="shared" ref="P3:P66" si="1">F3/N3</f>
        <v>0.87783333333333335</v>
      </c>
      <c r="Q3" t="str">
        <f t="shared" ref="Q3:Q66" si="2">LEFT(D3,6)</f>
        <v>Q27-01</v>
      </c>
    </row>
    <row r="4" spans="1:17" x14ac:dyDescent="0.25">
      <c r="A4" t="s">
        <v>12</v>
      </c>
      <c r="B4" t="s">
        <v>24</v>
      </c>
      <c r="C4" t="s">
        <v>25</v>
      </c>
      <c r="D4" t="s">
        <v>26</v>
      </c>
      <c r="E4" t="s">
        <v>27</v>
      </c>
      <c r="F4" s="1">
        <v>2</v>
      </c>
      <c r="G4" s="1">
        <v>0</v>
      </c>
      <c r="H4" t="s">
        <v>17</v>
      </c>
      <c r="I4" t="s">
        <v>28</v>
      </c>
      <c r="J4" t="s">
        <v>29</v>
      </c>
      <c r="K4" s="3">
        <v>46883</v>
      </c>
      <c r="L4" t="s">
        <v>30</v>
      </c>
      <c r="M4">
        <v>2.9000000000000001E-2</v>
      </c>
      <c r="N4">
        <v>2880</v>
      </c>
      <c r="O4">
        <f t="shared" si="0"/>
        <v>5.8000000000000003E-2</v>
      </c>
      <c r="P4">
        <f t="shared" si="1"/>
        <v>6.9444444444444447E-4</v>
      </c>
      <c r="Q4" t="str">
        <f t="shared" si="2"/>
        <v>Q26-03</v>
      </c>
    </row>
    <row r="5" spans="1:17" x14ac:dyDescent="0.25">
      <c r="A5" t="s">
        <v>12</v>
      </c>
      <c r="B5" t="s">
        <v>24</v>
      </c>
      <c r="C5" t="s">
        <v>25</v>
      </c>
      <c r="D5" t="s">
        <v>26</v>
      </c>
      <c r="E5" t="s">
        <v>31</v>
      </c>
      <c r="F5" s="1">
        <v>1</v>
      </c>
      <c r="G5" s="1">
        <v>0</v>
      </c>
      <c r="H5" t="s">
        <v>17</v>
      </c>
      <c r="I5" t="s">
        <v>28</v>
      </c>
      <c r="J5" t="s">
        <v>32</v>
      </c>
      <c r="K5" s="3">
        <v>46883</v>
      </c>
      <c r="L5" t="s">
        <v>30</v>
      </c>
      <c r="M5">
        <v>2.9000000000000001E-2</v>
      </c>
      <c r="N5">
        <v>2880</v>
      </c>
      <c r="O5">
        <f t="shared" si="0"/>
        <v>2.9000000000000001E-2</v>
      </c>
      <c r="P5">
        <f t="shared" si="1"/>
        <v>3.4722222222222224E-4</v>
      </c>
      <c r="Q5" t="str">
        <f t="shared" si="2"/>
        <v>Q26-03</v>
      </c>
    </row>
    <row r="6" spans="1:17" x14ac:dyDescent="0.25">
      <c r="A6" t="s">
        <v>12</v>
      </c>
      <c r="B6" t="s">
        <v>24</v>
      </c>
      <c r="C6" t="s">
        <v>25</v>
      </c>
      <c r="D6" t="s">
        <v>26</v>
      </c>
      <c r="E6" t="s">
        <v>33</v>
      </c>
      <c r="F6" s="1">
        <v>2</v>
      </c>
      <c r="G6" s="1">
        <v>0</v>
      </c>
      <c r="H6" t="s">
        <v>17</v>
      </c>
      <c r="I6" t="s">
        <v>28</v>
      </c>
      <c r="J6" t="s">
        <v>34</v>
      </c>
      <c r="K6" s="3">
        <v>46918</v>
      </c>
      <c r="L6" t="s">
        <v>35</v>
      </c>
      <c r="M6">
        <v>2.9000000000000001E-2</v>
      </c>
      <c r="N6">
        <v>2880</v>
      </c>
      <c r="O6">
        <f t="shared" si="0"/>
        <v>5.8000000000000003E-2</v>
      </c>
      <c r="P6">
        <f t="shared" si="1"/>
        <v>6.9444444444444447E-4</v>
      </c>
      <c r="Q6" t="str">
        <f t="shared" si="2"/>
        <v>Q26-03</v>
      </c>
    </row>
    <row r="7" spans="1:17" x14ac:dyDescent="0.25">
      <c r="A7" t="s">
        <v>12</v>
      </c>
      <c r="B7" t="s">
        <v>36</v>
      </c>
      <c r="C7" t="s">
        <v>37</v>
      </c>
      <c r="D7" t="s">
        <v>38</v>
      </c>
      <c r="E7" t="s">
        <v>39</v>
      </c>
      <c r="F7" s="1">
        <v>2</v>
      </c>
      <c r="G7" s="1">
        <v>0</v>
      </c>
      <c r="H7" t="s">
        <v>17</v>
      </c>
      <c r="I7" t="s">
        <v>40</v>
      </c>
      <c r="J7" t="s">
        <v>41</v>
      </c>
      <c r="K7" s="3">
        <v>46085</v>
      </c>
      <c r="L7" t="s">
        <v>42</v>
      </c>
      <c r="M7">
        <v>2.8000000000000001E-2</v>
      </c>
      <c r="N7">
        <v>3780</v>
      </c>
      <c r="O7">
        <f t="shared" si="0"/>
        <v>5.6000000000000001E-2</v>
      </c>
      <c r="P7">
        <f t="shared" si="1"/>
        <v>5.2910052910052914E-4</v>
      </c>
      <c r="Q7" t="str">
        <f t="shared" si="2"/>
        <v>Q26-01</v>
      </c>
    </row>
    <row r="8" spans="1:17" x14ac:dyDescent="0.25">
      <c r="A8" t="s">
        <v>12</v>
      </c>
      <c r="B8" t="s">
        <v>36</v>
      </c>
      <c r="C8" t="s">
        <v>37</v>
      </c>
      <c r="D8" t="s">
        <v>38</v>
      </c>
      <c r="E8" t="s">
        <v>43</v>
      </c>
      <c r="F8" s="1">
        <v>4</v>
      </c>
      <c r="G8" s="1">
        <v>0</v>
      </c>
      <c r="H8" t="s">
        <v>17</v>
      </c>
      <c r="I8" t="s">
        <v>40</v>
      </c>
      <c r="J8" t="s">
        <v>41</v>
      </c>
      <c r="K8" s="3">
        <v>46085</v>
      </c>
      <c r="L8" t="s">
        <v>42</v>
      </c>
      <c r="M8">
        <v>2.8000000000000001E-2</v>
      </c>
      <c r="N8">
        <v>3780</v>
      </c>
      <c r="O8">
        <f t="shared" si="0"/>
        <v>0.112</v>
      </c>
      <c r="P8">
        <f t="shared" si="1"/>
        <v>1.0582010582010583E-3</v>
      </c>
      <c r="Q8" t="str">
        <f t="shared" si="2"/>
        <v>Q26-01</v>
      </c>
    </row>
    <row r="9" spans="1:17" x14ac:dyDescent="0.25">
      <c r="A9" t="s">
        <v>12</v>
      </c>
      <c r="B9" t="s">
        <v>36</v>
      </c>
      <c r="C9" t="s">
        <v>37</v>
      </c>
      <c r="D9" t="s">
        <v>44</v>
      </c>
      <c r="E9" t="s">
        <v>45</v>
      </c>
      <c r="F9" s="1">
        <v>1</v>
      </c>
      <c r="G9" s="1">
        <v>0</v>
      </c>
      <c r="H9" t="s">
        <v>17</v>
      </c>
      <c r="I9" t="s">
        <v>40</v>
      </c>
      <c r="J9" t="s">
        <v>41</v>
      </c>
      <c r="K9" s="3">
        <v>46085</v>
      </c>
      <c r="L9" t="s">
        <v>46</v>
      </c>
      <c r="M9">
        <v>2.8000000000000001E-2</v>
      </c>
      <c r="N9">
        <v>3780</v>
      </c>
      <c r="O9">
        <f t="shared" si="0"/>
        <v>2.8000000000000001E-2</v>
      </c>
      <c r="P9">
        <f t="shared" si="1"/>
        <v>2.6455026455026457E-4</v>
      </c>
      <c r="Q9" t="str">
        <f t="shared" si="2"/>
        <v>Q26-01</v>
      </c>
    </row>
    <row r="10" spans="1:17" x14ac:dyDescent="0.25">
      <c r="A10" t="s">
        <v>12</v>
      </c>
      <c r="B10" t="s">
        <v>36</v>
      </c>
      <c r="C10" t="s">
        <v>37</v>
      </c>
      <c r="D10" t="s">
        <v>38</v>
      </c>
      <c r="E10" t="s">
        <v>47</v>
      </c>
      <c r="F10" s="1">
        <v>2</v>
      </c>
      <c r="G10" s="1">
        <v>0</v>
      </c>
      <c r="H10" t="s">
        <v>17</v>
      </c>
      <c r="I10" t="s">
        <v>40</v>
      </c>
      <c r="J10" t="s">
        <v>41</v>
      </c>
      <c r="K10" s="3">
        <v>46085</v>
      </c>
      <c r="L10" t="s">
        <v>46</v>
      </c>
      <c r="M10">
        <v>2.8000000000000001E-2</v>
      </c>
      <c r="N10">
        <v>3780</v>
      </c>
      <c r="O10">
        <f t="shared" si="0"/>
        <v>5.6000000000000001E-2</v>
      </c>
      <c r="P10">
        <f t="shared" si="1"/>
        <v>5.2910052910052914E-4</v>
      </c>
      <c r="Q10" t="str">
        <f t="shared" si="2"/>
        <v>Q26-01</v>
      </c>
    </row>
    <row r="11" spans="1:17" x14ac:dyDescent="0.25">
      <c r="A11" t="s">
        <v>12</v>
      </c>
      <c r="B11" t="s">
        <v>36</v>
      </c>
      <c r="C11" t="s">
        <v>37</v>
      </c>
      <c r="D11" t="s">
        <v>38</v>
      </c>
      <c r="E11" t="s">
        <v>48</v>
      </c>
      <c r="F11" s="1">
        <v>11</v>
      </c>
      <c r="G11" s="1">
        <v>0</v>
      </c>
      <c r="H11" t="s">
        <v>17</v>
      </c>
      <c r="I11" t="s">
        <v>40</v>
      </c>
      <c r="J11" t="s">
        <v>41</v>
      </c>
      <c r="K11" s="3">
        <v>46085</v>
      </c>
      <c r="L11" t="s">
        <v>46</v>
      </c>
      <c r="M11">
        <v>2.8000000000000001E-2</v>
      </c>
      <c r="N11">
        <v>3780</v>
      </c>
      <c r="O11">
        <f t="shared" si="0"/>
        <v>0.308</v>
      </c>
      <c r="P11">
        <f t="shared" si="1"/>
        <v>2.91005291005291E-3</v>
      </c>
      <c r="Q11" t="str">
        <f t="shared" si="2"/>
        <v>Q26-01</v>
      </c>
    </row>
    <row r="12" spans="1:17" x14ac:dyDescent="0.25">
      <c r="A12" t="s">
        <v>12</v>
      </c>
      <c r="B12" t="s">
        <v>49</v>
      </c>
      <c r="C12" t="s">
        <v>50</v>
      </c>
      <c r="D12" t="s">
        <v>38</v>
      </c>
      <c r="E12" t="s">
        <v>51</v>
      </c>
      <c r="F12" s="1">
        <v>5</v>
      </c>
      <c r="G12" s="1">
        <v>0</v>
      </c>
      <c r="H12" t="s">
        <v>17</v>
      </c>
      <c r="I12" t="s">
        <v>52</v>
      </c>
      <c r="J12" t="s">
        <v>53</v>
      </c>
      <c r="K12" s="3">
        <v>46090</v>
      </c>
      <c r="L12" t="s">
        <v>54</v>
      </c>
      <c r="M12">
        <v>2.5999999999999999E-2</v>
      </c>
      <c r="N12">
        <v>7200</v>
      </c>
      <c r="O12">
        <f t="shared" si="0"/>
        <v>0.13</v>
      </c>
      <c r="P12">
        <f t="shared" si="1"/>
        <v>6.9444444444444447E-4</v>
      </c>
      <c r="Q12" t="str">
        <f t="shared" si="2"/>
        <v>Q26-01</v>
      </c>
    </row>
    <row r="13" spans="1:17" x14ac:dyDescent="0.25">
      <c r="A13" t="s">
        <v>12</v>
      </c>
      <c r="B13" t="s">
        <v>55</v>
      </c>
      <c r="C13" t="s">
        <v>56</v>
      </c>
      <c r="D13" t="s">
        <v>57</v>
      </c>
      <c r="E13" t="s">
        <v>58</v>
      </c>
      <c r="F13" s="1">
        <v>2</v>
      </c>
      <c r="G13" s="1">
        <v>0</v>
      </c>
      <c r="H13" t="s">
        <v>17</v>
      </c>
      <c r="I13" t="s">
        <v>59</v>
      </c>
      <c r="J13" t="s">
        <v>53</v>
      </c>
      <c r="K13" s="3">
        <v>46455</v>
      </c>
      <c r="L13" t="s">
        <v>60</v>
      </c>
      <c r="M13">
        <v>2.4E-2</v>
      </c>
      <c r="N13">
        <v>5400</v>
      </c>
      <c r="O13">
        <f t="shared" si="0"/>
        <v>4.8000000000000001E-2</v>
      </c>
      <c r="P13">
        <f t="shared" si="1"/>
        <v>3.7037037037037035E-4</v>
      </c>
      <c r="Q13" t="str">
        <f t="shared" si="2"/>
        <v>Q26-03</v>
      </c>
    </row>
    <row r="14" spans="1:17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s="1">
        <v>4</v>
      </c>
      <c r="G14" s="1">
        <v>0</v>
      </c>
      <c r="H14" t="s">
        <v>17</v>
      </c>
      <c r="I14" t="s">
        <v>66</v>
      </c>
      <c r="J14" t="s">
        <v>67</v>
      </c>
      <c r="K14" s="3">
        <v>46081</v>
      </c>
      <c r="L14" t="s">
        <v>68</v>
      </c>
      <c r="M14">
        <v>9.6000000000000002E-2</v>
      </c>
      <c r="N14">
        <v>1920</v>
      </c>
      <c r="O14">
        <f t="shared" si="0"/>
        <v>0.38400000000000001</v>
      </c>
      <c r="P14">
        <f t="shared" si="1"/>
        <v>2.0833333333333333E-3</v>
      </c>
      <c r="Q14" t="str">
        <f t="shared" si="2"/>
        <v>Q27-01</v>
      </c>
    </row>
    <row r="15" spans="1:17" x14ac:dyDescent="0.25">
      <c r="A15" t="s">
        <v>61</v>
      </c>
      <c r="B15" t="s">
        <v>62</v>
      </c>
      <c r="C15" t="s">
        <v>63</v>
      </c>
      <c r="D15" t="s">
        <v>69</v>
      </c>
      <c r="E15" t="s">
        <v>70</v>
      </c>
      <c r="F15" s="1">
        <v>3</v>
      </c>
      <c r="G15" s="1">
        <v>0</v>
      </c>
      <c r="H15" t="s">
        <v>17</v>
      </c>
      <c r="I15" t="s">
        <v>66</v>
      </c>
      <c r="J15" t="s">
        <v>67</v>
      </c>
      <c r="K15" s="3">
        <v>46081</v>
      </c>
      <c r="L15" t="s">
        <v>68</v>
      </c>
      <c r="M15">
        <v>9.6000000000000002E-2</v>
      </c>
      <c r="N15">
        <v>1920</v>
      </c>
      <c r="O15">
        <f t="shared" si="0"/>
        <v>0.28800000000000003</v>
      </c>
      <c r="P15">
        <f t="shared" si="1"/>
        <v>1.5625000000000001E-3</v>
      </c>
      <c r="Q15" t="str">
        <f t="shared" si="2"/>
        <v>Q27-01</v>
      </c>
    </row>
    <row r="16" spans="1:17" x14ac:dyDescent="0.25">
      <c r="A16" t="s">
        <v>61</v>
      </c>
      <c r="B16" t="s">
        <v>71</v>
      </c>
      <c r="C16" t="s">
        <v>72</v>
      </c>
      <c r="D16" t="s">
        <v>73</v>
      </c>
      <c r="E16" t="s">
        <v>74</v>
      </c>
      <c r="F16" s="1">
        <v>6</v>
      </c>
      <c r="G16" s="1">
        <v>0</v>
      </c>
      <c r="H16" t="s">
        <v>17</v>
      </c>
      <c r="I16" t="s">
        <v>75</v>
      </c>
      <c r="J16" t="s">
        <v>67</v>
      </c>
      <c r="K16" s="3">
        <v>46081</v>
      </c>
      <c r="L16" t="s">
        <v>76</v>
      </c>
      <c r="M16">
        <v>0.3</v>
      </c>
      <c r="N16">
        <v>1680</v>
      </c>
      <c r="O16">
        <f t="shared" si="0"/>
        <v>1.7999999999999998</v>
      </c>
      <c r="P16">
        <f t="shared" si="1"/>
        <v>3.5714285714285713E-3</v>
      </c>
      <c r="Q16" t="str">
        <f t="shared" si="2"/>
        <v>Q26-01</v>
      </c>
    </row>
    <row r="17" spans="1:17" x14ac:dyDescent="0.25">
      <c r="A17" t="s">
        <v>61</v>
      </c>
      <c r="B17" t="s">
        <v>71</v>
      </c>
      <c r="C17" t="s">
        <v>72</v>
      </c>
      <c r="D17" t="s">
        <v>77</v>
      </c>
      <c r="E17" t="s">
        <v>78</v>
      </c>
      <c r="F17" s="1">
        <v>2</v>
      </c>
      <c r="G17" s="1">
        <v>0</v>
      </c>
      <c r="H17" t="s">
        <v>17</v>
      </c>
      <c r="I17" t="s">
        <v>75</v>
      </c>
      <c r="J17" t="s">
        <v>67</v>
      </c>
      <c r="K17" s="3">
        <v>46081</v>
      </c>
      <c r="L17" t="s">
        <v>76</v>
      </c>
      <c r="M17">
        <v>0.3</v>
      </c>
      <c r="N17">
        <v>1680</v>
      </c>
      <c r="O17">
        <f t="shared" si="0"/>
        <v>0.6</v>
      </c>
      <c r="P17">
        <f t="shared" si="1"/>
        <v>1.1904761904761906E-3</v>
      </c>
      <c r="Q17" t="str">
        <f t="shared" si="2"/>
        <v>Q27-01</v>
      </c>
    </row>
    <row r="18" spans="1:17" x14ac:dyDescent="0.25">
      <c r="A18" t="s">
        <v>61</v>
      </c>
      <c r="B18" t="s">
        <v>71</v>
      </c>
      <c r="C18" t="s">
        <v>72</v>
      </c>
      <c r="D18" t="s">
        <v>64</v>
      </c>
      <c r="E18" t="s">
        <v>79</v>
      </c>
      <c r="F18" s="1">
        <v>7</v>
      </c>
      <c r="G18" s="1">
        <v>0</v>
      </c>
      <c r="H18" t="s">
        <v>17</v>
      </c>
      <c r="I18" t="s">
        <v>75</v>
      </c>
      <c r="J18" t="s">
        <v>67</v>
      </c>
      <c r="K18" s="3">
        <v>46081</v>
      </c>
      <c r="L18" t="s">
        <v>76</v>
      </c>
      <c r="M18">
        <v>0.3</v>
      </c>
      <c r="N18">
        <v>1680</v>
      </c>
      <c r="O18">
        <f t="shared" si="0"/>
        <v>2.1</v>
      </c>
      <c r="P18">
        <f t="shared" si="1"/>
        <v>4.1666666666666666E-3</v>
      </c>
      <c r="Q18" t="str">
        <f t="shared" si="2"/>
        <v>Q27-01</v>
      </c>
    </row>
    <row r="19" spans="1:17" x14ac:dyDescent="0.25">
      <c r="A19" t="s">
        <v>61</v>
      </c>
      <c r="B19" t="s">
        <v>71</v>
      </c>
      <c r="C19" t="s">
        <v>72</v>
      </c>
      <c r="D19" t="s">
        <v>69</v>
      </c>
      <c r="E19" t="s">
        <v>80</v>
      </c>
      <c r="F19" s="1">
        <v>4</v>
      </c>
      <c r="G19" s="1">
        <v>0</v>
      </c>
      <c r="H19" t="s">
        <v>17</v>
      </c>
      <c r="I19" t="s">
        <v>75</v>
      </c>
      <c r="J19" t="s">
        <v>67</v>
      </c>
      <c r="K19" s="3">
        <v>46081</v>
      </c>
      <c r="L19" t="s">
        <v>76</v>
      </c>
      <c r="M19">
        <v>0.3</v>
      </c>
      <c r="N19">
        <v>1680</v>
      </c>
      <c r="O19">
        <f t="shared" si="0"/>
        <v>1.2</v>
      </c>
      <c r="P19">
        <f t="shared" si="1"/>
        <v>2.3809523809523812E-3</v>
      </c>
      <c r="Q19" t="str">
        <f t="shared" si="2"/>
        <v>Q27-01</v>
      </c>
    </row>
    <row r="20" spans="1:17" x14ac:dyDescent="0.25">
      <c r="A20" t="s">
        <v>12</v>
      </c>
      <c r="B20" t="s">
        <v>81</v>
      </c>
      <c r="C20" t="s">
        <v>82</v>
      </c>
      <c r="D20" t="s">
        <v>77</v>
      </c>
      <c r="E20" t="s">
        <v>83</v>
      </c>
      <c r="F20" s="1">
        <v>43</v>
      </c>
      <c r="G20" s="1">
        <v>0</v>
      </c>
      <c r="H20" t="s">
        <v>17</v>
      </c>
      <c r="I20" t="s">
        <v>84</v>
      </c>
      <c r="J20" t="s">
        <v>85</v>
      </c>
      <c r="K20" s="3">
        <v>45937</v>
      </c>
      <c r="L20" t="s">
        <v>86</v>
      </c>
      <c r="M20">
        <v>3.4000000000000002E-2</v>
      </c>
      <c r="N20">
        <v>4800</v>
      </c>
      <c r="O20">
        <f t="shared" si="0"/>
        <v>1.4620000000000002</v>
      </c>
      <c r="P20">
        <f t="shared" si="1"/>
        <v>8.9583333333333338E-3</v>
      </c>
      <c r="Q20" t="str">
        <f t="shared" si="2"/>
        <v>Q27-01</v>
      </c>
    </row>
    <row r="21" spans="1:17" x14ac:dyDescent="0.25">
      <c r="A21" t="s">
        <v>12</v>
      </c>
      <c r="B21" t="s">
        <v>87</v>
      </c>
      <c r="C21" t="s">
        <v>88</v>
      </c>
      <c r="D21" t="s">
        <v>77</v>
      </c>
      <c r="E21" t="s">
        <v>89</v>
      </c>
      <c r="F21" s="1">
        <v>2</v>
      </c>
      <c r="G21" s="1">
        <v>0</v>
      </c>
      <c r="H21" t="s">
        <v>17</v>
      </c>
      <c r="I21" t="s">
        <v>84</v>
      </c>
      <c r="J21" t="s">
        <v>90</v>
      </c>
      <c r="K21" s="3">
        <v>46035</v>
      </c>
      <c r="L21" t="s">
        <v>91</v>
      </c>
      <c r="M21">
        <v>0.63800000000000001</v>
      </c>
      <c r="N21">
        <v>0</v>
      </c>
      <c r="O21">
        <f t="shared" si="0"/>
        <v>1.276</v>
      </c>
      <c r="Q21" t="str">
        <f t="shared" si="2"/>
        <v>Q27-01</v>
      </c>
    </row>
    <row r="22" spans="1:17" x14ac:dyDescent="0.25">
      <c r="A22" t="s">
        <v>12</v>
      </c>
      <c r="B22" t="s">
        <v>87</v>
      </c>
      <c r="C22" t="s">
        <v>88</v>
      </c>
      <c r="D22" t="s">
        <v>77</v>
      </c>
      <c r="E22" t="s">
        <v>92</v>
      </c>
      <c r="F22" s="1">
        <v>1</v>
      </c>
      <c r="G22" s="1">
        <v>0</v>
      </c>
      <c r="H22" t="s">
        <v>17</v>
      </c>
      <c r="I22" t="s">
        <v>84</v>
      </c>
      <c r="J22" t="s">
        <v>90</v>
      </c>
      <c r="K22" s="3">
        <v>46035</v>
      </c>
      <c r="L22" t="s">
        <v>91</v>
      </c>
      <c r="M22">
        <v>0.63800000000000001</v>
      </c>
      <c r="N22">
        <v>0</v>
      </c>
      <c r="O22">
        <f t="shared" si="0"/>
        <v>0.63800000000000001</v>
      </c>
      <c r="Q22" t="str">
        <f t="shared" si="2"/>
        <v>Q27-01</v>
      </c>
    </row>
    <row r="23" spans="1:17" x14ac:dyDescent="0.25">
      <c r="A23" t="s">
        <v>12</v>
      </c>
      <c r="B23" t="s">
        <v>81</v>
      </c>
      <c r="C23" t="s">
        <v>82</v>
      </c>
      <c r="D23" t="s">
        <v>77</v>
      </c>
      <c r="E23" t="s">
        <v>83</v>
      </c>
      <c r="F23" s="1">
        <v>64</v>
      </c>
      <c r="G23" s="1">
        <v>0</v>
      </c>
      <c r="H23" t="s">
        <v>17</v>
      </c>
      <c r="I23" t="s">
        <v>84</v>
      </c>
      <c r="J23" t="s">
        <v>90</v>
      </c>
      <c r="K23" s="3">
        <v>45937</v>
      </c>
      <c r="L23" t="s">
        <v>86</v>
      </c>
      <c r="M23">
        <v>3.4000000000000002E-2</v>
      </c>
      <c r="N23">
        <v>4800</v>
      </c>
      <c r="O23">
        <f t="shared" si="0"/>
        <v>2.1760000000000002</v>
      </c>
      <c r="P23">
        <f t="shared" si="1"/>
        <v>1.3333333333333334E-2</v>
      </c>
      <c r="Q23" t="str">
        <f t="shared" si="2"/>
        <v>Q27-01</v>
      </c>
    </row>
    <row r="24" spans="1:17" x14ac:dyDescent="0.25">
      <c r="A24" t="s">
        <v>12</v>
      </c>
      <c r="B24" t="s">
        <v>93</v>
      </c>
      <c r="C24" t="s">
        <v>94</v>
      </c>
      <c r="D24" t="s">
        <v>77</v>
      </c>
      <c r="E24" t="s">
        <v>95</v>
      </c>
      <c r="F24" s="1">
        <v>4</v>
      </c>
      <c r="G24" s="1">
        <v>0</v>
      </c>
      <c r="H24" t="s">
        <v>17</v>
      </c>
      <c r="I24" t="s">
        <v>84</v>
      </c>
      <c r="J24" t="s">
        <v>90</v>
      </c>
      <c r="K24" s="3">
        <v>46028</v>
      </c>
      <c r="L24" t="s">
        <v>96</v>
      </c>
      <c r="M24">
        <v>0.17199999999999999</v>
      </c>
      <c r="N24">
        <v>0</v>
      </c>
      <c r="O24">
        <f t="shared" si="0"/>
        <v>0.68799999999999994</v>
      </c>
      <c r="Q24" t="str">
        <f t="shared" si="2"/>
        <v>Q27-01</v>
      </c>
    </row>
    <row r="25" spans="1:17" x14ac:dyDescent="0.25">
      <c r="A25" t="s">
        <v>12</v>
      </c>
      <c r="B25" t="s">
        <v>97</v>
      </c>
      <c r="C25" t="s">
        <v>98</v>
      </c>
      <c r="D25" t="s">
        <v>77</v>
      </c>
      <c r="E25" t="s">
        <v>99</v>
      </c>
      <c r="F25" s="1">
        <v>5</v>
      </c>
      <c r="G25" s="1">
        <v>0</v>
      </c>
      <c r="H25" t="s">
        <v>17</v>
      </c>
      <c r="I25" t="s">
        <v>84</v>
      </c>
      <c r="J25" t="s">
        <v>90</v>
      </c>
      <c r="K25" s="3">
        <v>46055</v>
      </c>
      <c r="L25" t="s">
        <v>100</v>
      </c>
      <c r="M25">
        <v>0.1</v>
      </c>
      <c r="N25">
        <v>0</v>
      </c>
      <c r="O25">
        <f t="shared" si="0"/>
        <v>0.5</v>
      </c>
      <c r="Q25" t="str">
        <f t="shared" si="2"/>
        <v>Q27-01</v>
      </c>
    </row>
    <row r="26" spans="1:17" x14ac:dyDescent="0.25">
      <c r="A26" t="s">
        <v>12</v>
      </c>
      <c r="B26" t="s">
        <v>87</v>
      </c>
      <c r="C26" t="s">
        <v>88</v>
      </c>
      <c r="D26" t="s">
        <v>77</v>
      </c>
      <c r="E26" t="s">
        <v>101</v>
      </c>
      <c r="F26" s="1">
        <v>4</v>
      </c>
      <c r="G26" s="1">
        <v>0</v>
      </c>
      <c r="H26" t="s">
        <v>17</v>
      </c>
      <c r="I26" t="s">
        <v>84</v>
      </c>
      <c r="J26" t="s">
        <v>90</v>
      </c>
      <c r="K26" s="3">
        <v>46048</v>
      </c>
      <c r="L26" t="s">
        <v>102</v>
      </c>
      <c r="M26">
        <v>0.63800000000000001</v>
      </c>
      <c r="N26">
        <v>0</v>
      </c>
      <c r="O26">
        <f t="shared" si="0"/>
        <v>2.552</v>
      </c>
      <c r="Q26" t="str">
        <f t="shared" si="2"/>
        <v>Q27-01</v>
      </c>
    </row>
    <row r="27" spans="1:17" x14ac:dyDescent="0.25">
      <c r="A27" t="s">
        <v>12</v>
      </c>
      <c r="B27" t="s">
        <v>87</v>
      </c>
      <c r="C27" t="s">
        <v>88</v>
      </c>
      <c r="D27" t="s">
        <v>77</v>
      </c>
      <c r="E27" t="s">
        <v>103</v>
      </c>
      <c r="F27" s="1">
        <v>1</v>
      </c>
      <c r="G27" s="1">
        <v>0</v>
      </c>
      <c r="H27" t="s">
        <v>17</v>
      </c>
      <c r="I27" t="s">
        <v>84</v>
      </c>
      <c r="J27" t="s">
        <v>90</v>
      </c>
      <c r="K27" s="3">
        <v>46048</v>
      </c>
      <c r="L27" t="s">
        <v>102</v>
      </c>
      <c r="M27">
        <v>0.63800000000000001</v>
      </c>
      <c r="N27">
        <v>0</v>
      </c>
      <c r="O27">
        <f t="shared" si="0"/>
        <v>0.63800000000000001</v>
      </c>
      <c r="Q27" t="str">
        <f t="shared" si="2"/>
        <v>Q27-01</v>
      </c>
    </row>
    <row r="28" spans="1:17" x14ac:dyDescent="0.25">
      <c r="A28" t="s">
        <v>12</v>
      </c>
      <c r="B28" t="s">
        <v>93</v>
      </c>
      <c r="C28" t="s">
        <v>94</v>
      </c>
      <c r="D28" t="s">
        <v>77</v>
      </c>
      <c r="E28" t="s">
        <v>104</v>
      </c>
      <c r="F28" s="1">
        <v>1</v>
      </c>
      <c r="G28" s="1">
        <v>0</v>
      </c>
      <c r="H28" t="s">
        <v>17</v>
      </c>
      <c r="I28" t="s">
        <v>84</v>
      </c>
      <c r="J28" t="s">
        <v>90</v>
      </c>
      <c r="K28" s="3">
        <v>46074</v>
      </c>
      <c r="L28" t="s">
        <v>105</v>
      </c>
      <c r="M28">
        <v>0.17199999999999999</v>
      </c>
      <c r="N28">
        <v>0</v>
      </c>
      <c r="O28">
        <f t="shared" si="0"/>
        <v>0.17199999999999999</v>
      </c>
      <c r="Q28" t="str">
        <f t="shared" si="2"/>
        <v>Q27-01</v>
      </c>
    </row>
    <row r="29" spans="1:17" x14ac:dyDescent="0.25">
      <c r="A29" t="s">
        <v>12</v>
      </c>
      <c r="B29" t="s">
        <v>106</v>
      </c>
      <c r="C29" t="s">
        <v>107</v>
      </c>
      <c r="D29" t="s">
        <v>77</v>
      </c>
      <c r="E29" t="s">
        <v>108</v>
      </c>
      <c r="F29" s="1">
        <v>5</v>
      </c>
      <c r="G29" s="1">
        <v>0</v>
      </c>
      <c r="H29" t="s">
        <v>17</v>
      </c>
      <c r="I29" t="s">
        <v>84</v>
      </c>
      <c r="J29" t="s">
        <v>90</v>
      </c>
      <c r="K29" s="3">
        <v>46005</v>
      </c>
      <c r="L29" t="s">
        <v>109</v>
      </c>
      <c r="M29">
        <v>0.10199999999999999</v>
      </c>
      <c r="N29">
        <v>0</v>
      </c>
      <c r="O29">
        <f t="shared" si="0"/>
        <v>0.51</v>
      </c>
      <c r="Q29" t="str">
        <f t="shared" si="2"/>
        <v>Q27-01</v>
      </c>
    </row>
    <row r="30" spans="1:17" x14ac:dyDescent="0.25">
      <c r="A30" t="s">
        <v>12</v>
      </c>
      <c r="B30" t="s">
        <v>110</v>
      </c>
      <c r="C30" t="s">
        <v>111</v>
      </c>
      <c r="D30" t="s">
        <v>112</v>
      </c>
      <c r="E30" t="s">
        <v>113</v>
      </c>
      <c r="F30" s="1">
        <v>21</v>
      </c>
      <c r="G30" s="1">
        <v>0</v>
      </c>
      <c r="H30" t="s">
        <v>17</v>
      </c>
      <c r="I30" t="s">
        <v>84</v>
      </c>
      <c r="J30" t="s">
        <v>90</v>
      </c>
      <c r="K30" s="3">
        <v>46107</v>
      </c>
      <c r="L30" t="s">
        <v>114</v>
      </c>
      <c r="M30">
        <v>0</v>
      </c>
      <c r="N30">
        <v>0</v>
      </c>
      <c r="O30">
        <f t="shared" si="0"/>
        <v>0</v>
      </c>
      <c r="Q30" t="str">
        <f t="shared" si="2"/>
        <v>Q27-01</v>
      </c>
    </row>
    <row r="31" spans="1:17" x14ac:dyDescent="0.25">
      <c r="A31" t="s">
        <v>12</v>
      </c>
      <c r="B31" t="s">
        <v>93</v>
      </c>
      <c r="C31" t="s">
        <v>94</v>
      </c>
      <c r="D31" t="s">
        <v>77</v>
      </c>
      <c r="E31" t="s">
        <v>115</v>
      </c>
      <c r="F31" s="1">
        <v>1</v>
      </c>
      <c r="G31" s="1">
        <v>0</v>
      </c>
      <c r="H31" t="s">
        <v>17</v>
      </c>
      <c r="I31" t="s">
        <v>84</v>
      </c>
      <c r="J31" t="s">
        <v>90</v>
      </c>
      <c r="K31" s="3">
        <v>45996</v>
      </c>
      <c r="L31" t="s">
        <v>116</v>
      </c>
      <c r="M31">
        <v>0.17199999999999999</v>
      </c>
      <c r="N31">
        <v>0</v>
      </c>
      <c r="O31">
        <f t="shared" si="0"/>
        <v>0.17199999999999999</v>
      </c>
      <c r="Q31" t="str">
        <f t="shared" si="2"/>
        <v>Q27-01</v>
      </c>
    </row>
    <row r="32" spans="1:17" x14ac:dyDescent="0.25">
      <c r="A32" t="s">
        <v>12</v>
      </c>
      <c r="B32" t="s">
        <v>93</v>
      </c>
      <c r="C32" t="s">
        <v>94</v>
      </c>
      <c r="D32" t="s">
        <v>77</v>
      </c>
      <c r="E32" t="s">
        <v>117</v>
      </c>
      <c r="F32" s="1">
        <v>4</v>
      </c>
      <c r="G32" s="1">
        <v>0</v>
      </c>
      <c r="H32" t="s">
        <v>17</v>
      </c>
      <c r="I32" t="s">
        <v>84</v>
      </c>
      <c r="J32" t="s">
        <v>90</v>
      </c>
      <c r="K32" s="3">
        <v>46066</v>
      </c>
      <c r="L32" t="s">
        <v>118</v>
      </c>
      <c r="M32">
        <v>0.17199999999999999</v>
      </c>
      <c r="N32">
        <v>0</v>
      </c>
      <c r="O32">
        <f t="shared" si="0"/>
        <v>0.68799999999999994</v>
      </c>
      <c r="Q32" t="str">
        <f t="shared" si="2"/>
        <v>Q27-01</v>
      </c>
    </row>
    <row r="33" spans="1:17" x14ac:dyDescent="0.25">
      <c r="A33" t="s">
        <v>12</v>
      </c>
      <c r="B33" t="s">
        <v>119</v>
      </c>
      <c r="C33" t="s">
        <v>120</v>
      </c>
      <c r="D33" t="s">
        <v>121</v>
      </c>
      <c r="E33" t="s">
        <v>122</v>
      </c>
      <c r="F33" s="1">
        <v>307</v>
      </c>
      <c r="G33" s="1">
        <v>0</v>
      </c>
      <c r="H33" t="s">
        <v>17</v>
      </c>
      <c r="I33" t="s">
        <v>84</v>
      </c>
      <c r="J33" t="s">
        <v>90</v>
      </c>
      <c r="K33" s="3">
        <v>45991</v>
      </c>
      <c r="L33" t="s">
        <v>123</v>
      </c>
      <c r="M33">
        <v>0</v>
      </c>
      <c r="N33">
        <v>0</v>
      </c>
      <c r="O33">
        <f t="shared" si="0"/>
        <v>0</v>
      </c>
      <c r="Q33" t="str">
        <f t="shared" si="2"/>
        <v>Q27-01</v>
      </c>
    </row>
    <row r="34" spans="1:17" x14ac:dyDescent="0.25">
      <c r="A34" t="s">
        <v>12</v>
      </c>
      <c r="B34" t="s">
        <v>124</v>
      </c>
      <c r="C34" t="s">
        <v>125</v>
      </c>
      <c r="D34" t="s">
        <v>121</v>
      </c>
      <c r="E34" t="s">
        <v>126</v>
      </c>
      <c r="F34" s="2">
        <v>1290</v>
      </c>
      <c r="G34" s="1">
        <v>0</v>
      </c>
      <c r="H34" t="s">
        <v>17</v>
      </c>
      <c r="I34" t="s">
        <v>84</v>
      </c>
      <c r="J34" t="s">
        <v>90</v>
      </c>
      <c r="K34" s="3">
        <v>45991</v>
      </c>
      <c r="L34" t="s">
        <v>123</v>
      </c>
      <c r="M34">
        <v>0</v>
      </c>
      <c r="N34">
        <v>0</v>
      </c>
      <c r="O34">
        <f t="shared" si="0"/>
        <v>0</v>
      </c>
      <c r="Q34" t="str">
        <f t="shared" si="2"/>
        <v>Q27-01</v>
      </c>
    </row>
    <row r="35" spans="1:17" x14ac:dyDescent="0.25">
      <c r="A35" t="s">
        <v>12</v>
      </c>
      <c r="B35" t="s">
        <v>127</v>
      </c>
      <c r="C35" t="s">
        <v>128</v>
      </c>
      <c r="D35" t="s">
        <v>121</v>
      </c>
      <c r="E35" t="s">
        <v>129</v>
      </c>
      <c r="F35" s="1">
        <v>75</v>
      </c>
      <c r="G35" s="1">
        <v>0</v>
      </c>
      <c r="H35" t="s">
        <v>17</v>
      </c>
      <c r="I35" t="s">
        <v>84</v>
      </c>
      <c r="J35" t="s">
        <v>90</v>
      </c>
      <c r="K35" s="3">
        <v>46005</v>
      </c>
      <c r="L35" t="s">
        <v>123</v>
      </c>
      <c r="M35">
        <v>0</v>
      </c>
      <c r="N35">
        <v>0</v>
      </c>
      <c r="O35">
        <f t="shared" si="0"/>
        <v>0</v>
      </c>
      <c r="Q35" t="str">
        <f t="shared" si="2"/>
        <v>Q27-01</v>
      </c>
    </row>
    <row r="36" spans="1:17" x14ac:dyDescent="0.25">
      <c r="A36" t="s">
        <v>12</v>
      </c>
      <c r="B36" t="s">
        <v>130</v>
      </c>
      <c r="C36" t="s">
        <v>131</v>
      </c>
      <c r="D36" t="s">
        <v>121</v>
      </c>
      <c r="E36" t="s">
        <v>132</v>
      </c>
      <c r="F36" s="2">
        <v>1346</v>
      </c>
      <c r="G36" s="1">
        <v>0</v>
      </c>
      <c r="H36" t="s">
        <v>17</v>
      </c>
      <c r="I36" t="s">
        <v>84</v>
      </c>
      <c r="J36" t="s">
        <v>90</v>
      </c>
      <c r="K36" s="3">
        <v>46005</v>
      </c>
      <c r="L36" t="s">
        <v>123</v>
      </c>
      <c r="M36">
        <v>0</v>
      </c>
      <c r="N36">
        <v>0</v>
      </c>
      <c r="O36">
        <f t="shared" si="0"/>
        <v>0</v>
      </c>
      <c r="Q36" t="str">
        <f t="shared" si="2"/>
        <v>Q27-01</v>
      </c>
    </row>
    <row r="37" spans="1:17" x14ac:dyDescent="0.25">
      <c r="A37" t="s">
        <v>12</v>
      </c>
      <c r="B37" t="s">
        <v>133</v>
      </c>
      <c r="C37" t="s">
        <v>134</v>
      </c>
      <c r="D37" t="s">
        <v>121</v>
      </c>
      <c r="E37" t="s">
        <v>135</v>
      </c>
      <c r="F37" s="2">
        <v>1726</v>
      </c>
      <c r="G37" s="1">
        <v>0</v>
      </c>
      <c r="H37" t="s">
        <v>17</v>
      </c>
      <c r="I37" t="s">
        <v>84</v>
      </c>
      <c r="J37" t="s">
        <v>90</v>
      </c>
      <c r="K37" s="3">
        <v>46010</v>
      </c>
      <c r="L37" t="s">
        <v>123</v>
      </c>
      <c r="M37">
        <v>0</v>
      </c>
      <c r="N37">
        <v>0</v>
      </c>
      <c r="O37">
        <f t="shared" si="0"/>
        <v>0</v>
      </c>
      <c r="Q37" t="str">
        <f t="shared" si="2"/>
        <v>Q27-01</v>
      </c>
    </row>
    <row r="38" spans="1:17" x14ac:dyDescent="0.25">
      <c r="A38" t="s">
        <v>12</v>
      </c>
      <c r="B38" t="s">
        <v>136</v>
      </c>
      <c r="C38" t="s">
        <v>137</v>
      </c>
      <c r="D38" t="s">
        <v>121</v>
      </c>
      <c r="E38" t="s">
        <v>138</v>
      </c>
      <c r="F38" s="2">
        <v>1196</v>
      </c>
      <c r="G38" s="1">
        <v>0</v>
      </c>
      <c r="H38" t="s">
        <v>17</v>
      </c>
      <c r="I38" t="s">
        <v>84</v>
      </c>
      <c r="J38" t="s">
        <v>90</v>
      </c>
      <c r="K38" s="3">
        <v>46005</v>
      </c>
      <c r="L38" t="s">
        <v>123</v>
      </c>
      <c r="M38">
        <v>0</v>
      </c>
      <c r="N38">
        <v>0</v>
      </c>
      <c r="O38">
        <f t="shared" si="0"/>
        <v>0</v>
      </c>
      <c r="Q38" t="str">
        <f t="shared" si="2"/>
        <v>Q27-01</v>
      </c>
    </row>
    <row r="39" spans="1:17" x14ac:dyDescent="0.25">
      <c r="A39" t="s">
        <v>12</v>
      </c>
      <c r="B39" t="s">
        <v>139</v>
      </c>
      <c r="C39" t="s">
        <v>140</v>
      </c>
      <c r="D39" t="s">
        <v>121</v>
      </c>
      <c r="E39" t="s">
        <v>141</v>
      </c>
      <c r="F39" s="2">
        <v>1096</v>
      </c>
      <c r="G39" s="1">
        <v>0</v>
      </c>
      <c r="H39" t="s">
        <v>17</v>
      </c>
      <c r="I39" t="s">
        <v>84</v>
      </c>
      <c r="J39" t="s">
        <v>90</v>
      </c>
      <c r="K39" s="3">
        <v>46005</v>
      </c>
      <c r="L39" t="s">
        <v>123</v>
      </c>
      <c r="M39">
        <v>0</v>
      </c>
      <c r="N39">
        <v>0</v>
      </c>
      <c r="O39">
        <f t="shared" si="0"/>
        <v>0</v>
      </c>
      <c r="Q39" t="str">
        <f t="shared" si="2"/>
        <v>Q27-01</v>
      </c>
    </row>
    <row r="40" spans="1:17" x14ac:dyDescent="0.25">
      <c r="A40" t="s">
        <v>61</v>
      </c>
      <c r="B40" t="s">
        <v>142</v>
      </c>
      <c r="C40" t="s">
        <v>143</v>
      </c>
      <c r="D40" t="s">
        <v>144</v>
      </c>
      <c r="E40" t="s">
        <v>145</v>
      </c>
      <c r="F40" s="2">
        <v>2818</v>
      </c>
      <c r="G40" s="1">
        <v>0</v>
      </c>
      <c r="H40" t="s">
        <v>17</v>
      </c>
      <c r="I40" t="s">
        <v>84</v>
      </c>
      <c r="J40" t="s">
        <v>90</v>
      </c>
      <c r="K40" s="3">
        <v>46037</v>
      </c>
      <c r="L40" t="s">
        <v>123</v>
      </c>
      <c r="M40">
        <v>0</v>
      </c>
      <c r="N40">
        <v>0</v>
      </c>
      <c r="O40">
        <f t="shared" si="0"/>
        <v>0</v>
      </c>
      <c r="Q40" t="str">
        <f t="shared" si="2"/>
        <v>QM4-01</v>
      </c>
    </row>
    <row r="41" spans="1:17" x14ac:dyDescent="0.25">
      <c r="A41" t="s">
        <v>12</v>
      </c>
      <c r="B41" t="s">
        <v>139</v>
      </c>
      <c r="C41" t="s">
        <v>140</v>
      </c>
      <c r="D41" t="s">
        <v>144</v>
      </c>
      <c r="E41" t="s">
        <v>146</v>
      </c>
      <c r="F41" s="1">
        <v>598</v>
      </c>
      <c r="G41" s="1">
        <v>0</v>
      </c>
      <c r="H41" t="s">
        <v>17</v>
      </c>
      <c r="I41" t="s">
        <v>84</v>
      </c>
      <c r="J41" t="s">
        <v>90</v>
      </c>
      <c r="K41" s="3">
        <v>46079</v>
      </c>
      <c r="L41" t="s">
        <v>123</v>
      </c>
      <c r="M41">
        <v>0</v>
      </c>
      <c r="N41">
        <v>0</v>
      </c>
      <c r="O41">
        <f t="shared" si="0"/>
        <v>0</v>
      </c>
      <c r="Q41" t="str">
        <f t="shared" si="2"/>
        <v>QM4-01</v>
      </c>
    </row>
    <row r="42" spans="1:17" x14ac:dyDescent="0.25">
      <c r="A42" t="s">
        <v>12</v>
      </c>
      <c r="B42" t="s">
        <v>127</v>
      </c>
      <c r="C42" t="s">
        <v>128</v>
      </c>
      <c r="D42" t="s">
        <v>144</v>
      </c>
      <c r="E42" t="s">
        <v>147</v>
      </c>
      <c r="F42" s="1">
        <v>400</v>
      </c>
      <c r="G42" s="1">
        <v>0</v>
      </c>
      <c r="H42" t="s">
        <v>17</v>
      </c>
      <c r="I42" t="s">
        <v>84</v>
      </c>
      <c r="J42" t="s">
        <v>90</v>
      </c>
      <c r="K42" s="3">
        <v>46079</v>
      </c>
      <c r="L42" t="s">
        <v>123</v>
      </c>
      <c r="M42">
        <v>0</v>
      </c>
      <c r="N42">
        <v>0</v>
      </c>
      <c r="O42">
        <f t="shared" si="0"/>
        <v>0</v>
      </c>
      <c r="Q42" t="str">
        <f t="shared" si="2"/>
        <v>QM4-01</v>
      </c>
    </row>
    <row r="43" spans="1:17" x14ac:dyDescent="0.25">
      <c r="A43" t="s">
        <v>12</v>
      </c>
      <c r="B43" t="s">
        <v>148</v>
      </c>
      <c r="C43" t="s">
        <v>149</v>
      </c>
      <c r="D43" t="s">
        <v>144</v>
      </c>
      <c r="E43" t="s">
        <v>150</v>
      </c>
      <c r="F43" s="1">
        <v>800</v>
      </c>
      <c r="G43" s="1">
        <v>0</v>
      </c>
      <c r="H43" t="s">
        <v>17</v>
      </c>
      <c r="I43" t="s">
        <v>84</v>
      </c>
      <c r="J43" t="s">
        <v>90</v>
      </c>
      <c r="K43" s="3">
        <v>46085</v>
      </c>
      <c r="L43" t="s">
        <v>123</v>
      </c>
      <c r="M43">
        <v>0</v>
      </c>
      <c r="N43">
        <v>0</v>
      </c>
      <c r="O43">
        <f t="shared" si="0"/>
        <v>0</v>
      </c>
      <c r="Q43" t="str">
        <f t="shared" si="2"/>
        <v>QM4-01</v>
      </c>
    </row>
    <row r="44" spans="1:17" x14ac:dyDescent="0.25">
      <c r="A44" t="s">
        <v>12</v>
      </c>
      <c r="B44" t="s">
        <v>151</v>
      </c>
      <c r="C44" t="s">
        <v>152</v>
      </c>
      <c r="D44" t="s">
        <v>144</v>
      </c>
      <c r="E44" t="s">
        <v>153</v>
      </c>
      <c r="F44" s="2">
        <v>2500</v>
      </c>
      <c r="G44" s="1">
        <v>0</v>
      </c>
      <c r="H44" t="s">
        <v>17</v>
      </c>
      <c r="I44" t="s">
        <v>84</v>
      </c>
      <c r="J44" t="s">
        <v>90</v>
      </c>
      <c r="K44" s="3">
        <v>46085</v>
      </c>
      <c r="L44" t="s">
        <v>123</v>
      </c>
      <c r="M44">
        <v>0</v>
      </c>
      <c r="N44">
        <v>0</v>
      </c>
      <c r="O44">
        <f t="shared" si="0"/>
        <v>0</v>
      </c>
      <c r="Q44" t="str">
        <f t="shared" si="2"/>
        <v>QM4-01</v>
      </c>
    </row>
    <row r="45" spans="1:17" x14ac:dyDescent="0.25">
      <c r="A45" t="s">
        <v>12</v>
      </c>
      <c r="B45" t="s">
        <v>154</v>
      </c>
      <c r="C45" t="s">
        <v>155</v>
      </c>
      <c r="D45" t="s">
        <v>144</v>
      </c>
      <c r="E45" t="s">
        <v>156</v>
      </c>
      <c r="F45" s="2">
        <v>3126</v>
      </c>
      <c r="G45" s="1">
        <v>0</v>
      </c>
      <c r="H45" t="s">
        <v>17</v>
      </c>
      <c r="I45" t="s">
        <v>84</v>
      </c>
      <c r="J45" t="s">
        <v>90</v>
      </c>
      <c r="K45" s="3">
        <v>46085</v>
      </c>
      <c r="L45" t="s">
        <v>123</v>
      </c>
      <c r="M45">
        <v>0</v>
      </c>
      <c r="N45">
        <v>0</v>
      </c>
      <c r="O45">
        <f t="shared" si="0"/>
        <v>0</v>
      </c>
      <c r="Q45" t="str">
        <f t="shared" si="2"/>
        <v>QM4-01</v>
      </c>
    </row>
    <row r="46" spans="1:17" x14ac:dyDescent="0.25">
      <c r="A46" t="s">
        <v>12</v>
      </c>
      <c r="B46" t="s">
        <v>157</v>
      </c>
      <c r="C46" t="s">
        <v>158</v>
      </c>
      <c r="D46" t="s">
        <v>144</v>
      </c>
      <c r="E46" t="s">
        <v>159</v>
      </c>
      <c r="F46" s="2">
        <v>2484</v>
      </c>
      <c r="G46" s="1">
        <v>0</v>
      </c>
      <c r="H46" t="s">
        <v>17</v>
      </c>
      <c r="I46" t="s">
        <v>84</v>
      </c>
      <c r="J46" t="s">
        <v>90</v>
      </c>
      <c r="K46" s="3">
        <v>46145</v>
      </c>
      <c r="L46" t="s">
        <v>123</v>
      </c>
      <c r="M46">
        <v>0</v>
      </c>
      <c r="N46">
        <v>0</v>
      </c>
      <c r="O46">
        <f t="shared" si="0"/>
        <v>0</v>
      </c>
      <c r="Q46" t="str">
        <f t="shared" si="2"/>
        <v>QM4-01</v>
      </c>
    </row>
    <row r="47" spans="1:17" x14ac:dyDescent="0.25">
      <c r="A47" t="s">
        <v>12</v>
      </c>
      <c r="B47" t="s">
        <v>160</v>
      </c>
      <c r="C47" t="s">
        <v>161</v>
      </c>
      <c r="D47" t="s">
        <v>121</v>
      </c>
      <c r="E47" t="s">
        <v>162</v>
      </c>
      <c r="F47" s="2">
        <v>4743</v>
      </c>
      <c r="G47" s="1">
        <v>0</v>
      </c>
      <c r="H47" t="s">
        <v>17</v>
      </c>
      <c r="I47" t="s">
        <v>84</v>
      </c>
      <c r="J47" t="s">
        <v>90</v>
      </c>
      <c r="K47" s="3">
        <v>46155</v>
      </c>
      <c r="L47" t="s">
        <v>123</v>
      </c>
      <c r="M47">
        <v>0</v>
      </c>
      <c r="N47">
        <v>0</v>
      </c>
      <c r="O47">
        <f t="shared" si="0"/>
        <v>0</v>
      </c>
      <c r="Q47" t="str">
        <f t="shared" si="2"/>
        <v>Q27-01</v>
      </c>
    </row>
    <row r="48" spans="1:17" x14ac:dyDescent="0.25">
      <c r="A48" t="s">
        <v>12</v>
      </c>
      <c r="B48" t="s">
        <v>163</v>
      </c>
      <c r="C48" t="s">
        <v>164</v>
      </c>
      <c r="D48" t="s">
        <v>144</v>
      </c>
      <c r="E48" t="s">
        <v>165</v>
      </c>
      <c r="F48" s="2">
        <v>2068</v>
      </c>
      <c r="G48" s="1">
        <v>0</v>
      </c>
      <c r="H48" t="s">
        <v>17</v>
      </c>
      <c r="I48" t="s">
        <v>84</v>
      </c>
      <c r="J48" t="s">
        <v>90</v>
      </c>
      <c r="K48" s="3">
        <v>46152</v>
      </c>
      <c r="L48" t="s">
        <v>123</v>
      </c>
      <c r="M48">
        <v>0</v>
      </c>
      <c r="N48">
        <v>0</v>
      </c>
      <c r="O48">
        <f t="shared" si="0"/>
        <v>0</v>
      </c>
      <c r="Q48" t="str">
        <f t="shared" si="2"/>
        <v>QM4-01</v>
      </c>
    </row>
    <row r="49" spans="1:17" x14ac:dyDescent="0.25">
      <c r="A49" t="s">
        <v>61</v>
      </c>
      <c r="B49" t="s">
        <v>166</v>
      </c>
      <c r="C49" t="s">
        <v>167</v>
      </c>
      <c r="D49" t="s">
        <v>168</v>
      </c>
      <c r="E49" t="s">
        <v>169</v>
      </c>
      <c r="F49" s="1">
        <v>2</v>
      </c>
      <c r="G49" s="1">
        <v>0</v>
      </c>
      <c r="H49" t="s">
        <v>17</v>
      </c>
      <c r="I49" t="s">
        <v>170</v>
      </c>
      <c r="J49" t="s">
        <v>171</v>
      </c>
      <c r="K49" s="3">
        <v>46112</v>
      </c>
      <c r="L49" t="s">
        <v>172</v>
      </c>
      <c r="M49">
        <v>9.2999999999999999E-2</v>
      </c>
      <c r="N49">
        <v>1536</v>
      </c>
      <c r="O49">
        <f t="shared" si="0"/>
        <v>0.186</v>
      </c>
      <c r="P49">
        <f t="shared" si="1"/>
        <v>1.3020833333333333E-3</v>
      </c>
      <c r="Q49" t="str">
        <f t="shared" si="2"/>
        <v>Q26-01</v>
      </c>
    </row>
    <row r="50" spans="1:17" x14ac:dyDescent="0.25">
      <c r="A50" t="s">
        <v>61</v>
      </c>
      <c r="B50" t="s">
        <v>166</v>
      </c>
      <c r="C50" t="s">
        <v>167</v>
      </c>
      <c r="D50" t="s">
        <v>168</v>
      </c>
      <c r="E50" t="s">
        <v>173</v>
      </c>
      <c r="F50" s="1">
        <v>2</v>
      </c>
      <c r="G50" s="1">
        <v>0</v>
      </c>
      <c r="H50" t="s">
        <v>17</v>
      </c>
      <c r="I50" t="s">
        <v>170</v>
      </c>
      <c r="J50" t="s">
        <v>171</v>
      </c>
      <c r="K50" s="3">
        <v>46112</v>
      </c>
      <c r="L50" t="s">
        <v>172</v>
      </c>
      <c r="M50">
        <v>9.2999999999999999E-2</v>
      </c>
      <c r="N50">
        <v>1536</v>
      </c>
      <c r="O50">
        <f t="shared" si="0"/>
        <v>0.186</v>
      </c>
      <c r="P50">
        <f t="shared" si="1"/>
        <v>1.3020833333333333E-3</v>
      </c>
      <c r="Q50" t="str">
        <f t="shared" si="2"/>
        <v>Q26-01</v>
      </c>
    </row>
    <row r="51" spans="1:17" x14ac:dyDescent="0.25">
      <c r="A51" t="s">
        <v>61</v>
      </c>
      <c r="B51" t="s">
        <v>166</v>
      </c>
      <c r="C51" t="s">
        <v>167</v>
      </c>
      <c r="D51" t="s">
        <v>64</v>
      </c>
      <c r="E51" t="s">
        <v>174</v>
      </c>
      <c r="F51" s="1">
        <v>3</v>
      </c>
      <c r="G51" s="1">
        <v>0</v>
      </c>
      <c r="H51" t="s">
        <v>17</v>
      </c>
      <c r="I51" t="s">
        <v>170</v>
      </c>
      <c r="J51" t="s">
        <v>171</v>
      </c>
      <c r="K51" s="3">
        <v>46112</v>
      </c>
      <c r="L51" t="s">
        <v>172</v>
      </c>
      <c r="M51">
        <v>9.2999999999999999E-2</v>
      </c>
      <c r="N51">
        <v>1536</v>
      </c>
      <c r="O51">
        <f t="shared" si="0"/>
        <v>0.27900000000000003</v>
      </c>
      <c r="P51">
        <f t="shared" si="1"/>
        <v>1.953125E-3</v>
      </c>
      <c r="Q51" t="str">
        <f t="shared" si="2"/>
        <v>Q27-01</v>
      </c>
    </row>
    <row r="52" spans="1:17" x14ac:dyDescent="0.25">
      <c r="A52" t="s">
        <v>61</v>
      </c>
      <c r="B52" t="s">
        <v>166</v>
      </c>
      <c r="C52" t="s">
        <v>167</v>
      </c>
      <c r="D52" t="s">
        <v>69</v>
      </c>
      <c r="E52" t="s">
        <v>175</v>
      </c>
      <c r="F52" s="1">
        <v>7</v>
      </c>
      <c r="G52" s="1">
        <v>0</v>
      </c>
      <c r="H52" t="s">
        <v>17</v>
      </c>
      <c r="I52" t="s">
        <v>170</v>
      </c>
      <c r="J52" t="s">
        <v>171</v>
      </c>
      <c r="K52" s="3">
        <v>46112</v>
      </c>
      <c r="L52" t="s">
        <v>172</v>
      </c>
      <c r="M52">
        <v>9.2999999999999999E-2</v>
      </c>
      <c r="N52">
        <v>1536</v>
      </c>
      <c r="O52">
        <f t="shared" si="0"/>
        <v>0.65100000000000002</v>
      </c>
      <c r="P52">
        <f t="shared" si="1"/>
        <v>4.557291666666667E-3</v>
      </c>
      <c r="Q52" t="str">
        <f t="shared" si="2"/>
        <v>Q27-01</v>
      </c>
    </row>
    <row r="53" spans="1:17" x14ac:dyDescent="0.25">
      <c r="A53" t="s">
        <v>61</v>
      </c>
      <c r="B53" t="s">
        <v>166</v>
      </c>
      <c r="C53" t="s">
        <v>167</v>
      </c>
      <c r="D53" t="s">
        <v>69</v>
      </c>
      <c r="E53" t="s">
        <v>176</v>
      </c>
      <c r="F53" s="1">
        <v>5</v>
      </c>
      <c r="G53" s="1">
        <v>0</v>
      </c>
      <c r="H53" t="s">
        <v>17</v>
      </c>
      <c r="I53" t="s">
        <v>170</v>
      </c>
      <c r="J53" t="s">
        <v>171</v>
      </c>
      <c r="K53" s="3">
        <v>46112</v>
      </c>
      <c r="L53" t="s">
        <v>172</v>
      </c>
      <c r="M53">
        <v>9.2999999999999999E-2</v>
      </c>
      <c r="N53">
        <v>1536</v>
      </c>
      <c r="O53">
        <f t="shared" si="0"/>
        <v>0.46499999999999997</v>
      </c>
      <c r="P53">
        <f t="shared" si="1"/>
        <v>3.2552083333333335E-3</v>
      </c>
      <c r="Q53" t="str">
        <f t="shared" si="2"/>
        <v>Q27-01</v>
      </c>
    </row>
    <row r="54" spans="1:17" x14ac:dyDescent="0.25">
      <c r="A54" t="s">
        <v>61</v>
      </c>
      <c r="B54" t="s">
        <v>166</v>
      </c>
      <c r="C54" t="s">
        <v>167</v>
      </c>
      <c r="D54" t="s">
        <v>73</v>
      </c>
      <c r="E54" t="s">
        <v>177</v>
      </c>
      <c r="F54" s="1">
        <v>3</v>
      </c>
      <c r="G54" s="1">
        <v>0</v>
      </c>
      <c r="H54" t="s">
        <v>17</v>
      </c>
      <c r="I54" t="s">
        <v>170</v>
      </c>
      <c r="J54" t="s">
        <v>178</v>
      </c>
      <c r="K54" s="3">
        <v>46173</v>
      </c>
      <c r="L54" t="s">
        <v>179</v>
      </c>
      <c r="M54">
        <v>9.2999999999999999E-2</v>
      </c>
      <c r="N54">
        <v>1536</v>
      </c>
      <c r="O54">
        <f t="shared" si="0"/>
        <v>0.27900000000000003</v>
      </c>
      <c r="P54">
        <f t="shared" si="1"/>
        <v>1.953125E-3</v>
      </c>
      <c r="Q54" t="str">
        <f t="shared" si="2"/>
        <v>Q26-01</v>
      </c>
    </row>
    <row r="55" spans="1:17" x14ac:dyDescent="0.25">
      <c r="A55" t="s">
        <v>61</v>
      </c>
      <c r="B55" t="s">
        <v>166</v>
      </c>
      <c r="C55" t="s">
        <v>167</v>
      </c>
      <c r="D55" t="s">
        <v>180</v>
      </c>
      <c r="E55" t="s">
        <v>181</v>
      </c>
      <c r="F55" s="1">
        <v>26</v>
      </c>
      <c r="G55" s="1">
        <v>0</v>
      </c>
      <c r="H55" t="s">
        <v>17</v>
      </c>
      <c r="I55" t="s">
        <v>170</v>
      </c>
      <c r="J55" t="s">
        <v>178</v>
      </c>
      <c r="K55" s="3">
        <v>46173</v>
      </c>
      <c r="L55" t="s">
        <v>179</v>
      </c>
      <c r="M55">
        <v>9.2999999999999999E-2</v>
      </c>
      <c r="N55">
        <v>1536</v>
      </c>
      <c r="O55">
        <f t="shared" si="0"/>
        <v>2.4180000000000001</v>
      </c>
      <c r="P55">
        <f t="shared" si="1"/>
        <v>1.6927083333333332E-2</v>
      </c>
      <c r="Q55" t="str">
        <f t="shared" si="2"/>
        <v>Q27-03</v>
      </c>
    </row>
    <row r="56" spans="1:17" x14ac:dyDescent="0.25">
      <c r="A56" t="s">
        <v>61</v>
      </c>
      <c r="B56" t="s">
        <v>166</v>
      </c>
      <c r="C56" t="s">
        <v>167</v>
      </c>
      <c r="D56" t="s">
        <v>180</v>
      </c>
      <c r="E56" t="s">
        <v>182</v>
      </c>
      <c r="F56" s="1">
        <v>17</v>
      </c>
      <c r="G56" s="1">
        <v>0</v>
      </c>
      <c r="H56" t="s">
        <v>17</v>
      </c>
      <c r="I56" t="s">
        <v>170</v>
      </c>
      <c r="J56" t="s">
        <v>178</v>
      </c>
      <c r="K56" s="3">
        <v>46173</v>
      </c>
      <c r="L56" t="s">
        <v>179</v>
      </c>
      <c r="M56">
        <v>9.2999999999999999E-2</v>
      </c>
      <c r="N56">
        <v>1536</v>
      </c>
      <c r="O56">
        <f t="shared" si="0"/>
        <v>1.581</v>
      </c>
      <c r="P56">
        <f t="shared" si="1"/>
        <v>1.1067708333333334E-2</v>
      </c>
      <c r="Q56" t="str">
        <f t="shared" si="2"/>
        <v>Q27-03</v>
      </c>
    </row>
    <row r="57" spans="1:17" x14ac:dyDescent="0.25">
      <c r="A57" t="s">
        <v>61</v>
      </c>
      <c r="B57" t="s">
        <v>166</v>
      </c>
      <c r="C57" t="s">
        <v>167</v>
      </c>
      <c r="D57" t="s">
        <v>180</v>
      </c>
      <c r="E57" t="s">
        <v>183</v>
      </c>
      <c r="F57" s="1">
        <v>9</v>
      </c>
      <c r="G57" s="1">
        <v>0</v>
      </c>
      <c r="H57" t="s">
        <v>17</v>
      </c>
      <c r="I57" t="s">
        <v>170</v>
      </c>
      <c r="J57" t="s">
        <v>178</v>
      </c>
      <c r="K57" s="3">
        <v>46173</v>
      </c>
      <c r="L57" t="s">
        <v>179</v>
      </c>
      <c r="M57">
        <v>9.2999999999999999E-2</v>
      </c>
      <c r="N57">
        <v>1536</v>
      </c>
      <c r="O57">
        <f t="shared" si="0"/>
        <v>0.83699999999999997</v>
      </c>
      <c r="P57">
        <f t="shared" si="1"/>
        <v>5.859375E-3</v>
      </c>
      <c r="Q57" t="str">
        <f t="shared" si="2"/>
        <v>Q27-03</v>
      </c>
    </row>
    <row r="58" spans="1:17" x14ac:dyDescent="0.25">
      <c r="A58" t="s">
        <v>61</v>
      </c>
      <c r="B58" t="s">
        <v>166</v>
      </c>
      <c r="C58" t="s">
        <v>167</v>
      </c>
      <c r="D58" t="s">
        <v>180</v>
      </c>
      <c r="E58" t="s">
        <v>184</v>
      </c>
      <c r="F58" s="1">
        <v>12</v>
      </c>
      <c r="G58" s="1">
        <v>0</v>
      </c>
      <c r="H58" t="s">
        <v>17</v>
      </c>
      <c r="I58" t="s">
        <v>170</v>
      </c>
      <c r="J58" t="s">
        <v>178</v>
      </c>
      <c r="K58" s="3">
        <v>46173</v>
      </c>
      <c r="L58" t="s">
        <v>179</v>
      </c>
      <c r="M58">
        <v>9.2999999999999999E-2</v>
      </c>
      <c r="N58">
        <v>1536</v>
      </c>
      <c r="O58">
        <f t="shared" si="0"/>
        <v>1.1160000000000001</v>
      </c>
      <c r="P58">
        <f t="shared" si="1"/>
        <v>7.8125E-3</v>
      </c>
      <c r="Q58" t="str">
        <f t="shared" si="2"/>
        <v>Q27-03</v>
      </c>
    </row>
    <row r="59" spans="1:17" x14ac:dyDescent="0.25">
      <c r="A59" t="s">
        <v>61</v>
      </c>
      <c r="B59" t="s">
        <v>166</v>
      </c>
      <c r="C59" t="s">
        <v>167</v>
      </c>
      <c r="D59" t="s">
        <v>185</v>
      </c>
      <c r="E59" t="s">
        <v>186</v>
      </c>
      <c r="F59" s="1">
        <v>7</v>
      </c>
      <c r="G59" s="1">
        <v>0</v>
      </c>
      <c r="H59" t="s">
        <v>17</v>
      </c>
      <c r="I59" t="s">
        <v>170</v>
      </c>
      <c r="J59" t="s">
        <v>178</v>
      </c>
      <c r="K59" s="3">
        <v>46173</v>
      </c>
      <c r="L59" t="s">
        <v>179</v>
      </c>
      <c r="M59">
        <v>9.2999999999999999E-2</v>
      </c>
      <c r="N59">
        <v>1536</v>
      </c>
      <c r="O59">
        <f t="shared" si="0"/>
        <v>0.65100000000000002</v>
      </c>
      <c r="P59">
        <f t="shared" si="1"/>
        <v>4.557291666666667E-3</v>
      </c>
      <c r="Q59" t="str">
        <f t="shared" si="2"/>
        <v>Q27-03</v>
      </c>
    </row>
    <row r="60" spans="1:17" x14ac:dyDescent="0.25">
      <c r="A60" t="s">
        <v>61</v>
      </c>
      <c r="B60" t="s">
        <v>166</v>
      </c>
      <c r="C60" t="s">
        <v>167</v>
      </c>
      <c r="D60" t="s">
        <v>73</v>
      </c>
      <c r="E60" t="s">
        <v>187</v>
      </c>
      <c r="F60" s="1">
        <v>2</v>
      </c>
      <c r="G60" s="1">
        <v>0</v>
      </c>
      <c r="H60" t="s">
        <v>17</v>
      </c>
      <c r="I60" t="s">
        <v>170</v>
      </c>
      <c r="J60" t="s">
        <v>188</v>
      </c>
      <c r="K60" s="3">
        <v>46173</v>
      </c>
      <c r="L60" t="s">
        <v>189</v>
      </c>
      <c r="M60">
        <v>9.2999999999999999E-2</v>
      </c>
      <c r="N60">
        <v>1536</v>
      </c>
      <c r="O60">
        <f t="shared" si="0"/>
        <v>0.186</v>
      </c>
      <c r="P60">
        <f t="shared" si="1"/>
        <v>1.3020833333333333E-3</v>
      </c>
      <c r="Q60" t="str">
        <f t="shared" si="2"/>
        <v>Q26-01</v>
      </c>
    </row>
    <row r="61" spans="1:17" x14ac:dyDescent="0.25">
      <c r="A61" t="s">
        <v>61</v>
      </c>
      <c r="B61" t="s">
        <v>166</v>
      </c>
      <c r="C61" t="s">
        <v>167</v>
      </c>
      <c r="D61" t="s">
        <v>180</v>
      </c>
      <c r="E61" t="s">
        <v>190</v>
      </c>
      <c r="F61" s="1">
        <v>14</v>
      </c>
      <c r="G61" s="1">
        <v>0</v>
      </c>
      <c r="H61" t="s">
        <v>17</v>
      </c>
      <c r="I61" t="s">
        <v>170</v>
      </c>
      <c r="J61" t="s">
        <v>188</v>
      </c>
      <c r="K61" s="3">
        <v>46173</v>
      </c>
      <c r="L61" t="s">
        <v>189</v>
      </c>
      <c r="M61">
        <v>9.2999999999999999E-2</v>
      </c>
      <c r="N61">
        <v>1536</v>
      </c>
      <c r="O61">
        <f t="shared" si="0"/>
        <v>1.302</v>
      </c>
      <c r="P61">
        <f t="shared" si="1"/>
        <v>9.1145833333333339E-3</v>
      </c>
      <c r="Q61" t="str">
        <f t="shared" si="2"/>
        <v>Q27-03</v>
      </c>
    </row>
    <row r="62" spans="1:17" x14ac:dyDescent="0.25">
      <c r="A62" t="s">
        <v>61</v>
      </c>
      <c r="B62" t="s">
        <v>166</v>
      </c>
      <c r="C62" t="s">
        <v>167</v>
      </c>
      <c r="D62" t="s">
        <v>191</v>
      </c>
      <c r="E62" t="s">
        <v>192</v>
      </c>
      <c r="F62" s="1">
        <v>16</v>
      </c>
      <c r="G62" s="1">
        <v>0</v>
      </c>
      <c r="H62" t="s">
        <v>17</v>
      </c>
      <c r="I62" t="s">
        <v>170</v>
      </c>
      <c r="J62" t="s">
        <v>188</v>
      </c>
      <c r="K62" s="3">
        <v>46173</v>
      </c>
      <c r="L62" t="s">
        <v>189</v>
      </c>
      <c r="M62">
        <v>9.2999999999999999E-2</v>
      </c>
      <c r="N62">
        <v>1536</v>
      </c>
      <c r="O62">
        <f t="shared" si="0"/>
        <v>1.488</v>
      </c>
      <c r="P62">
        <f t="shared" si="1"/>
        <v>1.0416666666666666E-2</v>
      </c>
      <c r="Q62" t="str">
        <f t="shared" si="2"/>
        <v>Q27-03</v>
      </c>
    </row>
    <row r="63" spans="1:17" x14ac:dyDescent="0.25">
      <c r="A63" t="s">
        <v>61</v>
      </c>
      <c r="B63" t="s">
        <v>166</v>
      </c>
      <c r="C63" t="s">
        <v>167</v>
      </c>
      <c r="D63" t="s">
        <v>191</v>
      </c>
      <c r="E63" t="s">
        <v>193</v>
      </c>
      <c r="F63" s="1">
        <v>94</v>
      </c>
      <c r="G63" s="1">
        <v>0</v>
      </c>
      <c r="H63" t="s">
        <v>17</v>
      </c>
      <c r="I63" t="s">
        <v>170</v>
      </c>
      <c r="J63" t="s">
        <v>188</v>
      </c>
      <c r="K63" s="3">
        <v>46173</v>
      </c>
      <c r="L63" t="s">
        <v>189</v>
      </c>
      <c r="M63">
        <v>9.2999999999999999E-2</v>
      </c>
      <c r="N63">
        <v>1536</v>
      </c>
      <c r="O63">
        <f t="shared" si="0"/>
        <v>8.7419999999999991</v>
      </c>
      <c r="P63">
        <f t="shared" si="1"/>
        <v>6.1197916666666664E-2</v>
      </c>
      <c r="Q63" t="str">
        <f t="shared" si="2"/>
        <v>Q27-03</v>
      </c>
    </row>
    <row r="64" spans="1:17" x14ac:dyDescent="0.25">
      <c r="A64" t="s">
        <v>61</v>
      </c>
      <c r="B64" t="s">
        <v>166</v>
      </c>
      <c r="C64" t="s">
        <v>167</v>
      </c>
      <c r="D64" t="s">
        <v>191</v>
      </c>
      <c r="E64" t="s">
        <v>194</v>
      </c>
      <c r="F64" s="1">
        <v>5</v>
      </c>
      <c r="G64" s="1">
        <v>0</v>
      </c>
      <c r="H64" t="s">
        <v>17</v>
      </c>
      <c r="I64" t="s">
        <v>170</v>
      </c>
      <c r="J64" t="s">
        <v>188</v>
      </c>
      <c r="K64" s="3">
        <v>46173</v>
      </c>
      <c r="L64" t="s">
        <v>189</v>
      </c>
      <c r="M64">
        <v>9.2999999999999999E-2</v>
      </c>
      <c r="N64">
        <v>1536</v>
      </c>
      <c r="O64">
        <f t="shared" si="0"/>
        <v>0.46499999999999997</v>
      </c>
      <c r="P64">
        <f t="shared" si="1"/>
        <v>3.2552083333333335E-3</v>
      </c>
      <c r="Q64" t="str">
        <f t="shared" si="2"/>
        <v>Q27-03</v>
      </c>
    </row>
    <row r="65" spans="1:17" x14ac:dyDescent="0.25">
      <c r="A65" t="s">
        <v>61</v>
      </c>
      <c r="B65" t="s">
        <v>166</v>
      </c>
      <c r="C65" t="s">
        <v>167</v>
      </c>
      <c r="D65" t="s">
        <v>195</v>
      </c>
      <c r="E65" t="s">
        <v>196</v>
      </c>
      <c r="F65" s="1">
        <v>65</v>
      </c>
      <c r="G65" s="1">
        <v>0</v>
      </c>
      <c r="H65" t="s">
        <v>17</v>
      </c>
      <c r="I65" t="s">
        <v>170</v>
      </c>
      <c r="J65" t="s">
        <v>188</v>
      </c>
      <c r="K65" s="3">
        <v>46173</v>
      </c>
      <c r="L65" t="s">
        <v>189</v>
      </c>
      <c r="M65">
        <v>9.2999999999999999E-2</v>
      </c>
      <c r="N65">
        <v>1536</v>
      </c>
      <c r="O65">
        <f t="shared" si="0"/>
        <v>6.0449999999999999</v>
      </c>
      <c r="P65">
        <f t="shared" si="1"/>
        <v>4.2317708333333336E-2</v>
      </c>
      <c r="Q65" t="str">
        <f t="shared" si="2"/>
        <v>Q27-03</v>
      </c>
    </row>
    <row r="66" spans="1:17" x14ac:dyDescent="0.25">
      <c r="A66" t="s">
        <v>61</v>
      </c>
      <c r="B66" t="s">
        <v>166</v>
      </c>
      <c r="C66" t="s">
        <v>167</v>
      </c>
      <c r="D66" t="s">
        <v>195</v>
      </c>
      <c r="E66" t="s">
        <v>197</v>
      </c>
      <c r="F66" s="1">
        <v>51</v>
      </c>
      <c r="G66" s="1">
        <v>0</v>
      </c>
      <c r="H66" t="s">
        <v>17</v>
      </c>
      <c r="I66" t="s">
        <v>170</v>
      </c>
      <c r="J66" t="s">
        <v>188</v>
      </c>
      <c r="K66" s="3">
        <v>46173</v>
      </c>
      <c r="L66" t="s">
        <v>189</v>
      </c>
      <c r="M66">
        <v>9.2999999999999999E-2</v>
      </c>
      <c r="N66">
        <v>1536</v>
      </c>
      <c r="O66">
        <f t="shared" si="0"/>
        <v>4.7430000000000003</v>
      </c>
      <c r="P66">
        <f t="shared" si="1"/>
        <v>3.3203125E-2</v>
      </c>
      <c r="Q66" t="str">
        <f t="shared" si="2"/>
        <v>Q27-03</v>
      </c>
    </row>
    <row r="67" spans="1:17" x14ac:dyDescent="0.25">
      <c r="A67" t="s">
        <v>61</v>
      </c>
      <c r="B67" t="s">
        <v>166</v>
      </c>
      <c r="C67" t="s">
        <v>167</v>
      </c>
      <c r="D67" t="s">
        <v>198</v>
      </c>
      <c r="E67" t="s">
        <v>199</v>
      </c>
      <c r="F67" s="1">
        <v>42</v>
      </c>
      <c r="G67" s="1">
        <v>0</v>
      </c>
      <c r="H67" t="s">
        <v>17</v>
      </c>
      <c r="I67" t="s">
        <v>170</v>
      </c>
      <c r="J67" t="s">
        <v>188</v>
      </c>
      <c r="K67" s="3">
        <v>46173</v>
      </c>
      <c r="L67" t="s">
        <v>189</v>
      </c>
      <c r="M67">
        <v>9.2999999999999999E-2</v>
      </c>
      <c r="N67">
        <v>1536</v>
      </c>
      <c r="O67">
        <f t="shared" ref="O67:O130" si="3">F67*M67</f>
        <v>3.9060000000000001</v>
      </c>
      <c r="P67">
        <f t="shared" ref="P67:P130" si="4">F67/N67</f>
        <v>2.734375E-2</v>
      </c>
      <c r="Q67" t="str">
        <f t="shared" ref="Q67:Q130" si="5">LEFT(D67,6)</f>
        <v>Q27-03</v>
      </c>
    </row>
    <row r="68" spans="1:17" x14ac:dyDescent="0.25">
      <c r="A68" t="s">
        <v>61</v>
      </c>
      <c r="B68" t="s">
        <v>166</v>
      </c>
      <c r="C68" t="s">
        <v>167</v>
      </c>
      <c r="D68" t="s">
        <v>191</v>
      </c>
      <c r="E68" t="s">
        <v>194</v>
      </c>
      <c r="F68" s="1">
        <v>20</v>
      </c>
      <c r="G68" s="1">
        <v>0</v>
      </c>
      <c r="H68" t="s">
        <v>17</v>
      </c>
      <c r="I68" t="s">
        <v>170</v>
      </c>
      <c r="J68" t="s">
        <v>200</v>
      </c>
      <c r="K68" s="3">
        <v>46173</v>
      </c>
      <c r="L68" t="s">
        <v>189</v>
      </c>
      <c r="M68">
        <v>9.2999999999999999E-2</v>
      </c>
      <c r="N68">
        <v>1536</v>
      </c>
      <c r="O68">
        <f t="shared" si="3"/>
        <v>1.8599999999999999</v>
      </c>
      <c r="P68">
        <f t="shared" si="4"/>
        <v>1.3020833333333334E-2</v>
      </c>
      <c r="Q68" t="str">
        <f t="shared" si="5"/>
        <v>Q27-03</v>
      </c>
    </row>
    <row r="69" spans="1:17" x14ac:dyDescent="0.25">
      <c r="A69" t="s">
        <v>61</v>
      </c>
      <c r="B69" t="s">
        <v>166</v>
      </c>
      <c r="C69" t="s">
        <v>167</v>
      </c>
      <c r="D69" t="s">
        <v>198</v>
      </c>
      <c r="E69" t="s">
        <v>201</v>
      </c>
      <c r="F69" s="1">
        <v>164</v>
      </c>
      <c r="G69" s="1">
        <v>0</v>
      </c>
      <c r="H69" t="s">
        <v>17</v>
      </c>
      <c r="I69" t="s">
        <v>170</v>
      </c>
      <c r="J69" t="s">
        <v>200</v>
      </c>
      <c r="K69" s="3">
        <v>46173</v>
      </c>
      <c r="L69" t="s">
        <v>189</v>
      </c>
      <c r="M69">
        <v>9.2999999999999999E-2</v>
      </c>
      <c r="N69">
        <v>1536</v>
      </c>
      <c r="O69">
        <f t="shared" si="3"/>
        <v>15.252000000000001</v>
      </c>
      <c r="P69">
        <f t="shared" si="4"/>
        <v>0.10677083333333333</v>
      </c>
      <c r="Q69" t="str">
        <f t="shared" si="5"/>
        <v>Q27-03</v>
      </c>
    </row>
    <row r="70" spans="1:17" x14ac:dyDescent="0.25">
      <c r="A70" t="s">
        <v>61</v>
      </c>
      <c r="B70" t="s">
        <v>166</v>
      </c>
      <c r="C70" t="s">
        <v>167</v>
      </c>
      <c r="D70" t="s">
        <v>180</v>
      </c>
      <c r="E70" t="s">
        <v>202</v>
      </c>
      <c r="F70" s="1">
        <v>44</v>
      </c>
      <c r="G70" s="1">
        <v>0</v>
      </c>
      <c r="H70" t="s">
        <v>17</v>
      </c>
      <c r="I70" t="s">
        <v>170</v>
      </c>
      <c r="J70" t="s">
        <v>203</v>
      </c>
      <c r="K70" s="3">
        <v>46173</v>
      </c>
      <c r="L70" t="s">
        <v>179</v>
      </c>
      <c r="M70">
        <v>9.2999999999999999E-2</v>
      </c>
      <c r="N70">
        <v>1536</v>
      </c>
      <c r="O70">
        <f t="shared" si="3"/>
        <v>4.0919999999999996</v>
      </c>
      <c r="P70">
        <f t="shared" si="4"/>
        <v>2.8645833333333332E-2</v>
      </c>
      <c r="Q70" t="str">
        <f t="shared" si="5"/>
        <v>Q27-03</v>
      </c>
    </row>
    <row r="71" spans="1:17" x14ac:dyDescent="0.25">
      <c r="A71" t="s">
        <v>61</v>
      </c>
      <c r="B71" t="s">
        <v>166</v>
      </c>
      <c r="C71" t="s">
        <v>167</v>
      </c>
      <c r="D71" t="s">
        <v>168</v>
      </c>
      <c r="E71" t="s">
        <v>204</v>
      </c>
      <c r="F71" s="1">
        <v>1</v>
      </c>
      <c r="G71" s="1">
        <v>0</v>
      </c>
      <c r="H71" t="s">
        <v>17</v>
      </c>
      <c r="I71" t="s">
        <v>170</v>
      </c>
      <c r="J71" t="s">
        <v>205</v>
      </c>
      <c r="K71" s="3">
        <v>46053</v>
      </c>
      <c r="L71" t="s">
        <v>206</v>
      </c>
      <c r="M71">
        <v>9.2999999999999999E-2</v>
      </c>
      <c r="N71">
        <v>1536</v>
      </c>
      <c r="O71">
        <f t="shared" si="3"/>
        <v>9.2999999999999999E-2</v>
      </c>
      <c r="P71">
        <f t="shared" si="4"/>
        <v>6.5104166666666663E-4</v>
      </c>
      <c r="Q71" t="str">
        <f t="shared" si="5"/>
        <v>Q26-01</v>
      </c>
    </row>
    <row r="72" spans="1:17" x14ac:dyDescent="0.25">
      <c r="A72" t="s">
        <v>61</v>
      </c>
      <c r="B72" t="s">
        <v>166</v>
      </c>
      <c r="C72" t="s">
        <v>167</v>
      </c>
      <c r="D72" t="s">
        <v>73</v>
      </c>
      <c r="E72" t="s">
        <v>207</v>
      </c>
      <c r="F72" s="1">
        <v>3</v>
      </c>
      <c r="G72" s="1">
        <v>0</v>
      </c>
      <c r="H72" t="s">
        <v>17</v>
      </c>
      <c r="I72" t="s">
        <v>170</v>
      </c>
      <c r="J72" t="s">
        <v>205</v>
      </c>
      <c r="K72" s="3">
        <v>46053</v>
      </c>
      <c r="L72" t="s">
        <v>206</v>
      </c>
      <c r="M72">
        <v>9.2999999999999999E-2</v>
      </c>
      <c r="N72">
        <v>1536</v>
      </c>
      <c r="O72">
        <f t="shared" si="3"/>
        <v>0.27900000000000003</v>
      </c>
      <c r="P72">
        <f t="shared" si="4"/>
        <v>1.953125E-3</v>
      </c>
      <c r="Q72" t="str">
        <f t="shared" si="5"/>
        <v>Q26-01</v>
      </c>
    </row>
    <row r="73" spans="1:17" x14ac:dyDescent="0.25">
      <c r="A73" t="s">
        <v>61</v>
      </c>
      <c r="B73" t="s">
        <v>166</v>
      </c>
      <c r="C73" t="s">
        <v>167</v>
      </c>
      <c r="D73" t="s">
        <v>64</v>
      </c>
      <c r="E73" t="s">
        <v>208</v>
      </c>
      <c r="F73" s="1">
        <v>1</v>
      </c>
      <c r="G73" s="1">
        <v>0</v>
      </c>
      <c r="H73" t="s">
        <v>17</v>
      </c>
      <c r="I73" t="s">
        <v>170</v>
      </c>
      <c r="J73" t="s">
        <v>205</v>
      </c>
      <c r="K73" s="3">
        <v>46053</v>
      </c>
      <c r="L73" t="s">
        <v>206</v>
      </c>
      <c r="M73">
        <v>9.2999999999999999E-2</v>
      </c>
      <c r="N73">
        <v>1536</v>
      </c>
      <c r="O73">
        <f t="shared" si="3"/>
        <v>9.2999999999999999E-2</v>
      </c>
      <c r="P73">
        <f t="shared" si="4"/>
        <v>6.5104166666666663E-4</v>
      </c>
      <c r="Q73" t="str">
        <f t="shared" si="5"/>
        <v>Q27-01</v>
      </c>
    </row>
    <row r="74" spans="1:17" x14ac:dyDescent="0.25">
      <c r="A74" t="s">
        <v>61</v>
      </c>
      <c r="B74" t="s">
        <v>166</v>
      </c>
      <c r="C74" t="s">
        <v>167</v>
      </c>
      <c r="D74" t="s">
        <v>69</v>
      </c>
      <c r="E74" t="s">
        <v>209</v>
      </c>
      <c r="F74" s="1">
        <v>8</v>
      </c>
      <c r="G74" s="1">
        <v>0</v>
      </c>
      <c r="H74" t="s">
        <v>17</v>
      </c>
      <c r="I74" t="s">
        <v>170</v>
      </c>
      <c r="J74" t="s">
        <v>205</v>
      </c>
      <c r="K74" s="3">
        <v>46053</v>
      </c>
      <c r="L74" t="s">
        <v>206</v>
      </c>
      <c r="M74">
        <v>9.2999999999999999E-2</v>
      </c>
      <c r="N74">
        <v>1536</v>
      </c>
      <c r="O74">
        <f t="shared" si="3"/>
        <v>0.74399999999999999</v>
      </c>
      <c r="P74">
        <f t="shared" si="4"/>
        <v>5.208333333333333E-3</v>
      </c>
      <c r="Q74" t="str">
        <f t="shared" si="5"/>
        <v>Q27-01</v>
      </c>
    </row>
    <row r="75" spans="1:17" x14ac:dyDescent="0.25">
      <c r="A75" t="s">
        <v>61</v>
      </c>
      <c r="B75" t="s">
        <v>166</v>
      </c>
      <c r="C75" t="s">
        <v>167</v>
      </c>
      <c r="D75" t="s">
        <v>69</v>
      </c>
      <c r="E75" t="s">
        <v>210</v>
      </c>
      <c r="F75" s="1">
        <v>9</v>
      </c>
      <c r="G75" s="1">
        <v>0</v>
      </c>
      <c r="H75" t="s">
        <v>17</v>
      </c>
      <c r="I75" t="s">
        <v>170</v>
      </c>
      <c r="J75" t="s">
        <v>205</v>
      </c>
      <c r="K75" s="3">
        <v>46053</v>
      </c>
      <c r="L75" t="s">
        <v>206</v>
      </c>
      <c r="M75">
        <v>9.2999999999999999E-2</v>
      </c>
      <c r="N75">
        <v>1536</v>
      </c>
      <c r="O75">
        <f t="shared" si="3"/>
        <v>0.83699999999999997</v>
      </c>
      <c r="P75">
        <f t="shared" si="4"/>
        <v>5.859375E-3</v>
      </c>
      <c r="Q75" t="str">
        <f t="shared" si="5"/>
        <v>Q27-01</v>
      </c>
    </row>
    <row r="76" spans="1:17" x14ac:dyDescent="0.25">
      <c r="A76" t="s">
        <v>61</v>
      </c>
      <c r="B76" t="s">
        <v>166</v>
      </c>
      <c r="C76" t="s">
        <v>167</v>
      </c>
      <c r="D76" t="s">
        <v>69</v>
      </c>
      <c r="E76" t="s">
        <v>211</v>
      </c>
      <c r="F76" s="1">
        <v>5</v>
      </c>
      <c r="G76" s="1">
        <v>0</v>
      </c>
      <c r="H76" t="s">
        <v>17</v>
      </c>
      <c r="I76" t="s">
        <v>170</v>
      </c>
      <c r="J76" t="s">
        <v>205</v>
      </c>
      <c r="K76" s="3">
        <v>46053</v>
      </c>
      <c r="L76" t="s">
        <v>206</v>
      </c>
      <c r="M76">
        <v>9.2999999999999999E-2</v>
      </c>
      <c r="N76">
        <v>1536</v>
      </c>
      <c r="O76">
        <f t="shared" si="3"/>
        <v>0.46499999999999997</v>
      </c>
      <c r="P76">
        <f t="shared" si="4"/>
        <v>3.2552083333333335E-3</v>
      </c>
      <c r="Q76" t="str">
        <f t="shared" si="5"/>
        <v>Q27-01</v>
      </c>
    </row>
    <row r="77" spans="1:17" x14ac:dyDescent="0.25">
      <c r="A77" t="s">
        <v>61</v>
      </c>
      <c r="B77" t="s">
        <v>166</v>
      </c>
      <c r="C77" t="s">
        <v>167</v>
      </c>
      <c r="D77" t="s">
        <v>180</v>
      </c>
      <c r="E77" t="s">
        <v>212</v>
      </c>
      <c r="F77" s="1">
        <v>6</v>
      </c>
      <c r="G77" s="1">
        <v>0</v>
      </c>
      <c r="H77" t="s">
        <v>17</v>
      </c>
      <c r="I77" t="s">
        <v>170</v>
      </c>
      <c r="J77" t="s">
        <v>213</v>
      </c>
      <c r="K77" s="3">
        <v>46173</v>
      </c>
      <c r="L77" t="s">
        <v>214</v>
      </c>
      <c r="M77">
        <v>9.2999999999999999E-2</v>
      </c>
      <c r="N77">
        <v>1536</v>
      </c>
      <c r="O77">
        <f t="shared" si="3"/>
        <v>0.55800000000000005</v>
      </c>
      <c r="P77">
        <f t="shared" si="4"/>
        <v>3.90625E-3</v>
      </c>
      <c r="Q77" t="str">
        <f t="shared" si="5"/>
        <v>Q27-03</v>
      </c>
    </row>
    <row r="78" spans="1:17" x14ac:dyDescent="0.25">
      <c r="A78" t="s">
        <v>61</v>
      </c>
      <c r="B78" t="s">
        <v>166</v>
      </c>
      <c r="C78" t="s">
        <v>167</v>
      </c>
      <c r="D78" t="s">
        <v>195</v>
      </c>
      <c r="E78" t="s">
        <v>215</v>
      </c>
      <c r="F78" s="1">
        <v>2</v>
      </c>
      <c r="G78" s="1">
        <v>0</v>
      </c>
      <c r="H78" t="s">
        <v>17</v>
      </c>
      <c r="I78" t="s">
        <v>170</v>
      </c>
      <c r="J78" t="s">
        <v>213</v>
      </c>
      <c r="K78" s="3">
        <v>46173</v>
      </c>
      <c r="L78" t="s">
        <v>214</v>
      </c>
      <c r="M78">
        <v>9.2999999999999999E-2</v>
      </c>
      <c r="N78">
        <v>1536</v>
      </c>
      <c r="O78">
        <f t="shared" si="3"/>
        <v>0.186</v>
      </c>
      <c r="P78">
        <f t="shared" si="4"/>
        <v>1.3020833333333333E-3</v>
      </c>
      <c r="Q78" t="str">
        <f t="shared" si="5"/>
        <v>Q27-03</v>
      </c>
    </row>
    <row r="79" spans="1:17" x14ac:dyDescent="0.25">
      <c r="A79" t="s">
        <v>61</v>
      </c>
      <c r="B79" t="s">
        <v>166</v>
      </c>
      <c r="C79" t="s">
        <v>167</v>
      </c>
      <c r="D79" t="s">
        <v>195</v>
      </c>
      <c r="E79" t="s">
        <v>216</v>
      </c>
      <c r="F79" s="1">
        <v>1</v>
      </c>
      <c r="G79" s="1">
        <v>0</v>
      </c>
      <c r="H79" t="s">
        <v>17</v>
      </c>
      <c r="I79" t="s">
        <v>170</v>
      </c>
      <c r="J79" t="s">
        <v>213</v>
      </c>
      <c r="K79" s="3">
        <v>46173</v>
      </c>
      <c r="L79" t="s">
        <v>214</v>
      </c>
      <c r="M79">
        <v>9.2999999999999999E-2</v>
      </c>
      <c r="N79">
        <v>1536</v>
      </c>
      <c r="O79">
        <f t="shared" si="3"/>
        <v>9.2999999999999999E-2</v>
      </c>
      <c r="P79">
        <f t="shared" si="4"/>
        <v>6.5104166666666663E-4</v>
      </c>
      <c r="Q79" t="str">
        <f t="shared" si="5"/>
        <v>Q27-03</v>
      </c>
    </row>
    <row r="80" spans="1:17" x14ac:dyDescent="0.25">
      <c r="A80" t="s">
        <v>61</v>
      </c>
      <c r="B80" t="s">
        <v>166</v>
      </c>
      <c r="C80" t="s">
        <v>167</v>
      </c>
      <c r="D80" t="s">
        <v>180</v>
      </c>
      <c r="E80" t="s">
        <v>217</v>
      </c>
      <c r="F80" s="1">
        <v>14</v>
      </c>
      <c r="G80" s="1">
        <v>0</v>
      </c>
      <c r="H80" t="s">
        <v>17</v>
      </c>
      <c r="I80" t="s">
        <v>170</v>
      </c>
      <c r="J80" t="s">
        <v>213</v>
      </c>
      <c r="K80" s="3">
        <v>46173</v>
      </c>
      <c r="L80" t="s">
        <v>189</v>
      </c>
      <c r="M80">
        <v>9.2999999999999999E-2</v>
      </c>
      <c r="N80">
        <v>1536</v>
      </c>
      <c r="O80">
        <f t="shared" si="3"/>
        <v>1.302</v>
      </c>
      <c r="P80">
        <f t="shared" si="4"/>
        <v>9.1145833333333339E-3</v>
      </c>
      <c r="Q80" t="str">
        <f t="shared" si="5"/>
        <v>Q27-03</v>
      </c>
    </row>
    <row r="81" spans="1:17" x14ac:dyDescent="0.25">
      <c r="A81" t="s">
        <v>61</v>
      </c>
      <c r="B81" t="s">
        <v>166</v>
      </c>
      <c r="C81" t="s">
        <v>167</v>
      </c>
      <c r="D81" t="s">
        <v>180</v>
      </c>
      <c r="E81" t="s">
        <v>218</v>
      </c>
      <c r="F81" s="1">
        <v>3</v>
      </c>
      <c r="G81" s="1">
        <v>0</v>
      </c>
      <c r="H81" t="s">
        <v>17</v>
      </c>
      <c r="I81" t="s">
        <v>170</v>
      </c>
      <c r="J81" t="s">
        <v>213</v>
      </c>
      <c r="K81" s="3">
        <v>46173</v>
      </c>
      <c r="L81" t="s">
        <v>189</v>
      </c>
      <c r="M81">
        <v>9.2999999999999999E-2</v>
      </c>
      <c r="N81">
        <v>1536</v>
      </c>
      <c r="O81">
        <f t="shared" si="3"/>
        <v>0.27900000000000003</v>
      </c>
      <c r="P81">
        <f t="shared" si="4"/>
        <v>1.953125E-3</v>
      </c>
      <c r="Q81" t="str">
        <f t="shared" si="5"/>
        <v>Q27-03</v>
      </c>
    </row>
    <row r="82" spans="1:17" x14ac:dyDescent="0.25">
      <c r="A82" t="s">
        <v>61</v>
      </c>
      <c r="B82" t="s">
        <v>219</v>
      </c>
      <c r="C82" t="s">
        <v>220</v>
      </c>
      <c r="D82" t="s">
        <v>69</v>
      </c>
      <c r="E82" t="s">
        <v>221</v>
      </c>
      <c r="F82" s="1">
        <v>17</v>
      </c>
      <c r="G82" s="1">
        <v>0</v>
      </c>
      <c r="H82" t="s">
        <v>17</v>
      </c>
      <c r="I82" t="s">
        <v>222</v>
      </c>
      <c r="J82" t="s">
        <v>223</v>
      </c>
      <c r="K82" s="3">
        <v>46081</v>
      </c>
      <c r="L82" t="s">
        <v>224</v>
      </c>
      <c r="M82">
        <v>0.3</v>
      </c>
      <c r="N82">
        <v>1680</v>
      </c>
      <c r="O82">
        <f t="shared" si="3"/>
        <v>5.0999999999999996</v>
      </c>
      <c r="P82">
        <f t="shared" si="4"/>
        <v>1.011904761904762E-2</v>
      </c>
      <c r="Q82" t="str">
        <f t="shared" si="5"/>
        <v>Q27-01</v>
      </c>
    </row>
    <row r="83" spans="1:17" x14ac:dyDescent="0.25">
      <c r="A83" t="s">
        <v>61</v>
      </c>
      <c r="B83" t="s">
        <v>225</v>
      </c>
      <c r="C83" t="s">
        <v>226</v>
      </c>
      <c r="D83" t="s">
        <v>180</v>
      </c>
      <c r="E83" t="s">
        <v>227</v>
      </c>
      <c r="F83" s="1">
        <v>11</v>
      </c>
      <c r="G83" s="1">
        <v>0</v>
      </c>
      <c r="H83" t="s">
        <v>17</v>
      </c>
      <c r="I83" t="s">
        <v>228</v>
      </c>
      <c r="J83" t="s">
        <v>229</v>
      </c>
      <c r="K83" s="3">
        <v>46234</v>
      </c>
      <c r="L83" t="s">
        <v>230</v>
      </c>
      <c r="M83">
        <v>5.8000000000000003E-2</v>
      </c>
      <c r="N83">
        <v>2880</v>
      </c>
      <c r="O83">
        <f t="shared" si="3"/>
        <v>0.63800000000000001</v>
      </c>
      <c r="P83">
        <f t="shared" si="4"/>
        <v>3.8194444444444443E-3</v>
      </c>
      <c r="Q83" t="str">
        <f t="shared" si="5"/>
        <v>Q27-03</v>
      </c>
    </row>
    <row r="84" spans="1:17" x14ac:dyDescent="0.25">
      <c r="A84" t="s">
        <v>61</v>
      </c>
      <c r="B84" t="s">
        <v>225</v>
      </c>
      <c r="C84" t="s">
        <v>226</v>
      </c>
      <c r="D84" t="s">
        <v>185</v>
      </c>
      <c r="E84" t="s">
        <v>231</v>
      </c>
      <c r="F84" s="1">
        <v>1</v>
      </c>
      <c r="G84" s="1">
        <v>0</v>
      </c>
      <c r="H84" t="s">
        <v>17</v>
      </c>
      <c r="I84" t="s">
        <v>228</v>
      </c>
      <c r="J84" t="s">
        <v>229</v>
      </c>
      <c r="K84" s="3">
        <v>46234</v>
      </c>
      <c r="L84" t="s">
        <v>232</v>
      </c>
      <c r="M84">
        <v>5.8000000000000003E-2</v>
      </c>
      <c r="N84">
        <v>2880</v>
      </c>
      <c r="O84">
        <f t="shared" si="3"/>
        <v>5.8000000000000003E-2</v>
      </c>
      <c r="P84">
        <f t="shared" si="4"/>
        <v>3.4722222222222224E-4</v>
      </c>
      <c r="Q84" t="str">
        <f t="shared" si="5"/>
        <v>Q27-03</v>
      </c>
    </row>
    <row r="85" spans="1:17" x14ac:dyDescent="0.25">
      <c r="A85" t="s">
        <v>61</v>
      </c>
      <c r="B85" t="s">
        <v>233</v>
      </c>
      <c r="C85" t="s">
        <v>234</v>
      </c>
      <c r="D85" t="s">
        <v>191</v>
      </c>
      <c r="E85" t="s">
        <v>235</v>
      </c>
      <c r="F85" s="1">
        <v>9</v>
      </c>
      <c r="G85" s="1">
        <v>0</v>
      </c>
      <c r="H85" t="s">
        <v>17</v>
      </c>
      <c r="I85" t="s">
        <v>236</v>
      </c>
      <c r="J85" t="s">
        <v>178</v>
      </c>
      <c r="K85" s="3">
        <v>46599</v>
      </c>
      <c r="L85" t="s">
        <v>237</v>
      </c>
      <c r="M85">
        <v>7.4999999999999997E-2</v>
      </c>
      <c r="N85">
        <v>2688</v>
      </c>
      <c r="O85">
        <f t="shared" si="3"/>
        <v>0.67499999999999993</v>
      </c>
      <c r="P85">
        <f t="shared" si="4"/>
        <v>3.3482142857142855E-3</v>
      </c>
      <c r="Q85" t="str">
        <f t="shared" si="5"/>
        <v>Q27-03</v>
      </c>
    </row>
    <row r="86" spans="1:17" x14ac:dyDescent="0.25">
      <c r="A86" t="s">
        <v>61</v>
      </c>
      <c r="B86" t="s">
        <v>233</v>
      </c>
      <c r="C86" t="s">
        <v>234</v>
      </c>
      <c r="D86" t="s">
        <v>185</v>
      </c>
      <c r="E86" t="s">
        <v>238</v>
      </c>
      <c r="F86" s="1">
        <v>8</v>
      </c>
      <c r="G86" s="1">
        <v>0</v>
      </c>
      <c r="H86" t="s">
        <v>17</v>
      </c>
      <c r="I86" t="s">
        <v>236</v>
      </c>
      <c r="J86" t="s">
        <v>203</v>
      </c>
      <c r="K86" s="3">
        <v>46630</v>
      </c>
      <c r="L86" t="s">
        <v>239</v>
      </c>
      <c r="M86">
        <v>7.4999999999999997E-2</v>
      </c>
      <c r="N86">
        <v>2688</v>
      </c>
      <c r="O86">
        <f t="shared" si="3"/>
        <v>0.6</v>
      </c>
      <c r="P86">
        <f t="shared" si="4"/>
        <v>2.976190476190476E-3</v>
      </c>
      <c r="Q86" t="str">
        <f t="shared" si="5"/>
        <v>Q27-03</v>
      </c>
    </row>
    <row r="87" spans="1:17" x14ac:dyDescent="0.25">
      <c r="A87" t="s">
        <v>61</v>
      </c>
      <c r="B87" t="s">
        <v>233</v>
      </c>
      <c r="C87" t="s">
        <v>234</v>
      </c>
      <c r="D87" t="s">
        <v>240</v>
      </c>
      <c r="E87" t="s">
        <v>241</v>
      </c>
      <c r="F87" s="1">
        <v>4</v>
      </c>
      <c r="G87" s="1">
        <v>0</v>
      </c>
      <c r="H87" t="s">
        <v>17</v>
      </c>
      <c r="I87" t="s">
        <v>236</v>
      </c>
      <c r="J87" t="s">
        <v>203</v>
      </c>
      <c r="K87" s="3">
        <v>46630</v>
      </c>
      <c r="L87" t="s">
        <v>239</v>
      </c>
      <c r="M87">
        <v>7.4999999999999997E-2</v>
      </c>
      <c r="N87">
        <v>2688</v>
      </c>
      <c r="O87">
        <f t="shared" si="3"/>
        <v>0.3</v>
      </c>
      <c r="P87">
        <f t="shared" si="4"/>
        <v>1.488095238095238E-3</v>
      </c>
      <c r="Q87" t="str">
        <f t="shared" si="5"/>
        <v>Q27-03</v>
      </c>
    </row>
    <row r="88" spans="1:17" x14ac:dyDescent="0.25">
      <c r="A88" t="s">
        <v>61</v>
      </c>
      <c r="B88" t="s">
        <v>233</v>
      </c>
      <c r="C88" t="s">
        <v>234</v>
      </c>
      <c r="D88" t="s">
        <v>191</v>
      </c>
      <c r="E88" t="s">
        <v>242</v>
      </c>
      <c r="F88" s="1">
        <v>19</v>
      </c>
      <c r="G88" s="1">
        <v>0</v>
      </c>
      <c r="H88" t="s">
        <v>17</v>
      </c>
      <c r="I88" t="s">
        <v>236</v>
      </c>
      <c r="J88" t="s">
        <v>178</v>
      </c>
      <c r="K88" s="3">
        <v>46630</v>
      </c>
      <c r="L88" t="s">
        <v>243</v>
      </c>
      <c r="M88">
        <v>7.4999999999999997E-2</v>
      </c>
      <c r="N88">
        <v>2688</v>
      </c>
      <c r="O88">
        <f t="shared" si="3"/>
        <v>1.425</v>
      </c>
      <c r="P88">
        <f t="shared" si="4"/>
        <v>7.068452380952381E-3</v>
      </c>
      <c r="Q88" t="str">
        <f t="shared" si="5"/>
        <v>Q27-03</v>
      </c>
    </row>
    <row r="89" spans="1:17" x14ac:dyDescent="0.25">
      <c r="A89" t="s">
        <v>61</v>
      </c>
      <c r="B89" t="s">
        <v>233</v>
      </c>
      <c r="C89" t="s">
        <v>234</v>
      </c>
      <c r="D89" t="s">
        <v>244</v>
      </c>
      <c r="E89" t="s">
        <v>245</v>
      </c>
      <c r="F89" s="1">
        <v>7</v>
      </c>
      <c r="G89" s="1">
        <v>0</v>
      </c>
      <c r="H89" t="s">
        <v>17</v>
      </c>
      <c r="I89" t="s">
        <v>236</v>
      </c>
      <c r="J89" t="s">
        <v>171</v>
      </c>
      <c r="K89" s="3">
        <v>46599</v>
      </c>
      <c r="L89" t="s">
        <v>246</v>
      </c>
      <c r="M89">
        <v>7.4999999999999997E-2</v>
      </c>
      <c r="N89">
        <v>2688</v>
      </c>
      <c r="O89">
        <f t="shared" si="3"/>
        <v>0.52500000000000002</v>
      </c>
      <c r="P89">
        <f t="shared" si="4"/>
        <v>2.6041666666666665E-3</v>
      </c>
      <c r="Q89" t="str">
        <f t="shared" si="5"/>
        <v>Q27-03</v>
      </c>
    </row>
    <row r="90" spans="1:17" x14ac:dyDescent="0.25">
      <c r="A90" t="s">
        <v>61</v>
      </c>
      <c r="B90" t="s">
        <v>233</v>
      </c>
      <c r="C90" t="s">
        <v>234</v>
      </c>
      <c r="D90" t="s">
        <v>180</v>
      </c>
      <c r="E90" t="s">
        <v>247</v>
      </c>
      <c r="F90" s="1">
        <v>3</v>
      </c>
      <c r="G90" s="1">
        <v>0</v>
      </c>
      <c r="H90" t="s">
        <v>17</v>
      </c>
      <c r="I90" t="s">
        <v>236</v>
      </c>
      <c r="J90" t="s">
        <v>171</v>
      </c>
      <c r="K90" s="3">
        <v>46599</v>
      </c>
      <c r="L90" t="s">
        <v>246</v>
      </c>
      <c r="M90">
        <v>7.4999999999999997E-2</v>
      </c>
      <c r="N90">
        <v>2688</v>
      </c>
      <c r="O90">
        <f t="shared" si="3"/>
        <v>0.22499999999999998</v>
      </c>
      <c r="P90">
        <f t="shared" si="4"/>
        <v>1.1160714285714285E-3</v>
      </c>
      <c r="Q90" t="str">
        <f t="shared" si="5"/>
        <v>Q27-03</v>
      </c>
    </row>
    <row r="91" spans="1:17" x14ac:dyDescent="0.25">
      <c r="A91" t="s">
        <v>61</v>
      </c>
      <c r="B91" t="s">
        <v>233</v>
      </c>
      <c r="C91" t="s">
        <v>234</v>
      </c>
      <c r="D91" t="s">
        <v>185</v>
      </c>
      <c r="E91" t="s">
        <v>248</v>
      </c>
      <c r="F91" s="1">
        <v>5</v>
      </c>
      <c r="G91" s="1">
        <v>0</v>
      </c>
      <c r="H91" t="s">
        <v>17</v>
      </c>
      <c r="I91" t="s">
        <v>236</v>
      </c>
      <c r="J91" t="s">
        <v>171</v>
      </c>
      <c r="K91" s="3">
        <v>46599</v>
      </c>
      <c r="L91" t="s">
        <v>246</v>
      </c>
      <c r="M91">
        <v>7.4999999999999997E-2</v>
      </c>
      <c r="N91">
        <v>2688</v>
      </c>
      <c r="O91">
        <f t="shared" si="3"/>
        <v>0.375</v>
      </c>
      <c r="P91">
        <f t="shared" si="4"/>
        <v>1.8601190476190475E-3</v>
      </c>
      <c r="Q91" t="str">
        <f t="shared" si="5"/>
        <v>Q27-03</v>
      </c>
    </row>
    <row r="92" spans="1:17" x14ac:dyDescent="0.25">
      <c r="A92" t="s">
        <v>61</v>
      </c>
      <c r="B92" t="s">
        <v>233</v>
      </c>
      <c r="C92" t="s">
        <v>234</v>
      </c>
      <c r="D92" t="s">
        <v>185</v>
      </c>
      <c r="E92" t="s">
        <v>249</v>
      </c>
      <c r="F92" s="1">
        <v>11</v>
      </c>
      <c r="G92" s="1">
        <v>0</v>
      </c>
      <c r="H92" t="s">
        <v>17</v>
      </c>
      <c r="I92" t="s">
        <v>236</v>
      </c>
      <c r="J92" t="s">
        <v>90</v>
      </c>
      <c r="K92" s="3">
        <v>46142</v>
      </c>
      <c r="L92" t="s">
        <v>250</v>
      </c>
      <c r="M92">
        <v>7.4999999999999997E-2</v>
      </c>
      <c r="N92">
        <v>2688</v>
      </c>
      <c r="O92">
        <f t="shared" si="3"/>
        <v>0.82499999999999996</v>
      </c>
      <c r="P92">
        <f t="shared" si="4"/>
        <v>4.092261904761905E-3</v>
      </c>
      <c r="Q92" t="str">
        <f t="shared" si="5"/>
        <v>Q27-03</v>
      </c>
    </row>
    <row r="93" spans="1:17" x14ac:dyDescent="0.25">
      <c r="A93" t="s">
        <v>61</v>
      </c>
      <c r="B93" t="s">
        <v>233</v>
      </c>
      <c r="C93" t="s">
        <v>234</v>
      </c>
      <c r="D93" t="s">
        <v>185</v>
      </c>
      <c r="E93" t="s">
        <v>251</v>
      </c>
      <c r="F93" s="1">
        <v>13</v>
      </c>
      <c r="G93" s="1">
        <v>0</v>
      </c>
      <c r="H93" t="s">
        <v>17</v>
      </c>
      <c r="I93" t="s">
        <v>236</v>
      </c>
      <c r="J93" t="s">
        <v>203</v>
      </c>
      <c r="K93" s="3">
        <v>46630</v>
      </c>
      <c r="L93" t="s">
        <v>243</v>
      </c>
      <c r="M93">
        <v>7.4999999999999997E-2</v>
      </c>
      <c r="N93">
        <v>2688</v>
      </c>
      <c r="O93">
        <f t="shared" si="3"/>
        <v>0.97499999999999998</v>
      </c>
      <c r="P93">
        <f t="shared" si="4"/>
        <v>4.836309523809524E-3</v>
      </c>
      <c r="Q93" t="str">
        <f t="shared" si="5"/>
        <v>Q27-03</v>
      </c>
    </row>
    <row r="94" spans="1:17" x14ac:dyDescent="0.25">
      <c r="A94" t="s">
        <v>61</v>
      </c>
      <c r="B94" t="s">
        <v>233</v>
      </c>
      <c r="C94" t="s">
        <v>234</v>
      </c>
      <c r="D94" t="s">
        <v>168</v>
      </c>
      <c r="E94" t="s">
        <v>252</v>
      </c>
      <c r="F94" s="1">
        <v>4</v>
      </c>
      <c r="G94" s="1">
        <v>0</v>
      </c>
      <c r="H94" t="s">
        <v>17</v>
      </c>
      <c r="I94" t="s">
        <v>236</v>
      </c>
      <c r="J94" t="s">
        <v>90</v>
      </c>
      <c r="K94" s="3">
        <v>46053</v>
      </c>
      <c r="L94" t="s">
        <v>253</v>
      </c>
      <c r="M94">
        <v>7.4999999999999997E-2</v>
      </c>
      <c r="N94">
        <v>2688</v>
      </c>
      <c r="O94">
        <f t="shared" si="3"/>
        <v>0.3</v>
      </c>
      <c r="P94">
        <f t="shared" si="4"/>
        <v>1.488095238095238E-3</v>
      </c>
      <c r="Q94" t="str">
        <f t="shared" si="5"/>
        <v>Q26-01</v>
      </c>
    </row>
    <row r="95" spans="1:17" x14ac:dyDescent="0.25">
      <c r="A95" t="s">
        <v>61</v>
      </c>
      <c r="B95" t="s">
        <v>233</v>
      </c>
      <c r="C95" t="s">
        <v>234</v>
      </c>
      <c r="D95" t="s">
        <v>168</v>
      </c>
      <c r="E95" t="s">
        <v>254</v>
      </c>
      <c r="F95" s="1">
        <v>8</v>
      </c>
      <c r="G95" s="1">
        <v>0</v>
      </c>
      <c r="H95" t="s">
        <v>17</v>
      </c>
      <c r="I95" t="s">
        <v>236</v>
      </c>
      <c r="J95" t="s">
        <v>90</v>
      </c>
      <c r="K95" s="3">
        <v>46053</v>
      </c>
      <c r="L95" t="s">
        <v>255</v>
      </c>
      <c r="M95">
        <v>7.4999999999999997E-2</v>
      </c>
      <c r="N95">
        <v>2688</v>
      </c>
      <c r="O95">
        <f t="shared" si="3"/>
        <v>0.6</v>
      </c>
      <c r="P95">
        <f t="shared" si="4"/>
        <v>2.976190476190476E-3</v>
      </c>
      <c r="Q95" t="str">
        <f t="shared" si="5"/>
        <v>Q26-01</v>
      </c>
    </row>
    <row r="96" spans="1:17" x14ac:dyDescent="0.25">
      <c r="A96" t="s">
        <v>61</v>
      </c>
      <c r="B96" t="s">
        <v>233</v>
      </c>
      <c r="C96" t="s">
        <v>234</v>
      </c>
      <c r="D96" t="s">
        <v>168</v>
      </c>
      <c r="E96" t="s">
        <v>256</v>
      </c>
      <c r="F96" s="1">
        <v>16</v>
      </c>
      <c r="G96" s="1">
        <v>0</v>
      </c>
      <c r="H96" t="s">
        <v>17</v>
      </c>
      <c r="I96" t="s">
        <v>236</v>
      </c>
      <c r="J96" t="s">
        <v>90</v>
      </c>
      <c r="K96" s="3">
        <v>46053</v>
      </c>
      <c r="L96" t="s">
        <v>255</v>
      </c>
      <c r="M96">
        <v>7.4999999999999997E-2</v>
      </c>
      <c r="N96">
        <v>2688</v>
      </c>
      <c r="O96">
        <f t="shared" si="3"/>
        <v>1.2</v>
      </c>
      <c r="P96">
        <f t="shared" si="4"/>
        <v>5.9523809523809521E-3</v>
      </c>
      <c r="Q96" t="str">
        <f t="shared" si="5"/>
        <v>Q26-01</v>
      </c>
    </row>
    <row r="97" spans="1:17" x14ac:dyDescent="0.25">
      <c r="A97" t="s">
        <v>61</v>
      </c>
      <c r="B97" t="s">
        <v>233</v>
      </c>
      <c r="C97" t="s">
        <v>234</v>
      </c>
      <c r="D97" t="s">
        <v>185</v>
      </c>
      <c r="E97" t="s">
        <v>257</v>
      </c>
      <c r="F97" s="1">
        <v>10</v>
      </c>
      <c r="G97" s="1">
        <v>0</v>
      </c>
      <c r="H97" t="s">
        <v>17</v>
      </c>
      <c r="I97" t="s">
        <v>236</v>
      </c>
      <c r="J97" t="s">
        <v>171</v>
      </c>
      <c r="K97" s="3">
        <v>46630</v>
      </c>
      <c r="L97" t="s">
        <v>239</v>
      </c>
      <c r="M97">
        <v>7.4999999999999997E-2</v>
      </c>
      <c r="N97">
        <v>2688</v>
      </c>
      <c r="O97">
        <f t="shared" si="3"/>
        <v>0.75</v>
      </c>
      <c r="P97">
        <f t="shared" si="4"/>
        <v>3.720238095238095E-3</v>
      </c>
      <c r="Q97" t="str">
        <f t="shared" si="5"/>
        <v>Q27-03</v>
      </c>
    </row>
    <row r="98" spans="1:17" x14ac:dyDescent="0.25">
      <c r="A98" t="s">
        <v>61</v>
      </c>
      <c r="B98" t="s">
        <v>233</v>
      </c>
      <c r="C98" t="s">
        <v>234</v>
      </c>
      <c r="D98" t="s">
        <v>191</v>
      </c>
      <c r="E98" t="s">
        <v>258</v>
      </c>
      <c r="F98" s="1">
        <v>10</v>
      </c>
      <c r="G98" s="1">
        <v>0</v>
      </c>
      <c r="H98" t="s">
        <v>17</v>
      </c>
      <c r="I98" t="s">
        <v>236</v>
      </c>
      <c r="J98" t="s">
        <v>171</v>
      </c>
      <c r="K98" s="3">
        <v>46630</v>
      </c>
      <c r="L98" t="s">
        <v>239</v>
      </c>
      <c r="M98">
        <v>7.4999999999999997E-2</v>
      </c>
      <c r="N98">
        <v>2688</v>
      </c>
      <c r="O98">
        <f t="shared" si="3"/>
        <v>0.75</v>
      </c>
      <c r="P98">
        <f t="shared" si="4"/>
        <v>3.720238095238095E-3</v>
      </c>
      <c r="Q98" t="str">
        <f t="shared" si="5"/>
        <v>Q27-03</v>
      </c>
    </row>
    <row r="99" spans="1:17" x14ac:dyDescent="0.25">
      <c r="A99" t="s">
        <v>61</v>
      </c>
      <c r="B99" t="s">
        <v>233</v>
      </c>
      <c r="C99" t="s">
        <v>234</v>
      </c>
      <c r="D99" t="s">
        <v>180</v>
      </c>
      <c r="E99" t="s">
        <v>259</v>
      </c>
      <c r="F99" s="1">
        <v>4</v>
      </c>
      <c r="G99" s="1">
        <v>0</v>
      </c>
      <c r="H99" t="s">
        <v>17</v>
      </c>
      <c r="I99" t="s">
        <v>236</v>
      </c>
      <c r="J99" t="s">
        <v>171</v>
      </c>
      <c r="K99" s="3">
        <v>46599</v>
      </c>
      <c r="L99" t="s">
        <v>237</v>
      </c>
      <c r="M99">
        <v>7.4999999999999997E-2</v>
      </c>
      <c r="N99">
        <v>2688</v>
      </c>
      <c r="O99">
        <f t="shared" si="3"/>
        <v>0.3</v>
      </c>
      <c r="P99">
        <f t="shared" si="4"/>
        <v>1.488095238095238E-3</v>
      </c>
      <c r="Q99" t="str">
        <f t="shared" si="5"/>
        <v>Q27-03</v>
      </c>
    </row>
    <row r="100" spans="1:17" x14ac:dyDescent="0.25">
      <c r="A100" t="s">
        <v>61</v>
      </c>
      <c r="B100" t="s">
        <v>233</v>
      </c>
      <c r="C100" t="s">
        <v>234</v>
      </c>
      <c r="D100" t="s">
        <v>185</v>
      </c>
      <c r="E100" t="s">
        <v>260</v>
      </c>
      <c r="F100" s="1">
        <v>7</v>
      </c>
      <c r="G100" s="1">
        <v>0</v>
      </c>
      <c r="H100" t="s">
        <v>17</v>
      </c>
      <c r="I100" t="s">
        <v>236</v>
      </c>
      <c r="J100" t="s">
        <v>171</v>
      </c>
      <c r="K100" s="3">
        <v>46599</v>
      </c>
      <c r="L100" t="s">
        <v>237</v>
      </c>
      <c r="M100">
        <v>7.4999999999999997E-2</v>
      </c>
      <c r="N100">
        <v>2688</v>
      </c>
      <c r="O100">
        <f t="shared" si="3"/>
        <v>0.52500000000000002</v>
      </c>
      <c r="P100">
        <f t="shared" si="4"/>
        <v>2.6041666666666665E-3</v>
      </c>
      <c r="Q100" t="str">
        <f t="shared" si="5"/>
        <v>Q27-03</v>
      </c>
    </row>
    <row r="101" spans="1:17" x14ac:dyDescent="0.25">
      <c r="A101" t="s">
        <v>61</v>
      </c>
      <c r="B101" t="s">
        <v>233</v>
      </c>
      <c r="C101" t="s">
        <v>234</v>
      </c>
      <c r="D101" t="s">
        <v>185</v>
      </c>
      <c r="E101" t="s">
        <v>261</v>
      </c>
      <c r="F101" s="1">
        <v>5</v>
      </c>
      <c r="G101" s="1">
        <v>0</v>
      </c>
      <c r="H101" t="s">
        <v>17</v>
      </c>
      <c r="I101" t="s">
        <v>236</v>
      </c>
      <c r="J101" t="s">
        <v>171</v>
      </c>
      <c r="K101" s="3">
        <v>46599</v>
      </c>
      <c r="L101" t="s">
        <v>237</v>
      </c>
      <c r="M101">
        <v>7.4999999999999997E-2</v>
      </c>
      <c r="N101">
        <v>2688</v>
      </c>
      <c r="O101">
        <f t="shared" si="3"/>
        <v>0.375</v>
      </c>
      <c r="P101">
        <f t="shared" si="4"/>
        <v>1.8601190476190475E-3</v>
      </c>
      <c r="Q101" t="str">
        <f t="shared" si="5"/>
        <v>Q27-03</v>
      </c>
    </row>
    <row r="102" spans="1:17" x14ac:dyDescent="0.25">
      <c r="A102" t="s">
        <v>61</v>
      </c>
      <c r="B102" t="s">
        <v>233</v>
      </c>
      <c r="C102" t="s">
        <v>234</v>
      </c>
      <c r="D102" t="s">
        <v>191</v>
      </c>
      <c r="E102" t="s">
        <v>262</v>
      </c>
      <c r="F102" s="1">
        <v>1</v>
      </c>
      <c r="G102" s="1">
        <v>0</v>
      </c>
      <c r="H102" t="s">
        <v>17</v>
      </c>
      <c r="I102" t="s">
        <v>236</v>
      </c>
      <c r="J102" t="s">
        <v>171</v>
      </c>
      <c r="K102" s="3">
        <v>46599</v>
      </c>
      <c r="L102" t="s">
        <v>237</v>
      </c>
      <c r="M102">
        <v>7.4999999999999997E-2</v>
      </c>
      <c r="N102">
        <v>2688</v>
      </c>
      <c r="O102">
        <f t="shared" si="3"/>
        <v>7.4999999999999997E-2</v>
      </c>
      <c r="P102">
        <f t="shared" si="4"/>
        <v>3.720238095238095E-4</v>
      </c>
      <c r="Q102" t="str">
        <f t="shared" si="5"/>
        <v>Q27-03</v>
      </c>
    </row>
    <row r="103" spans="1:17" x14ac:dyDescent="0.25">
      <c r="A103" t="s">
        <v>61</v>
      </c>
      <c r="B103" t="s">
        <v>233</v>
      </c>
      <c r="C103" t="s">
        <v>234</v>
      </c>
      <c r="D103" t="s">
        <v>168</v>
      </c>
      <c r="E103" t="s">
        <v>263</v>
      </c>
      <c r="F103" s="1">
        <v>2</v>
      </c>
      <c r="G103" s="1">
        <v>0</v>
      </c>
      <c r="H103" t="s">
        <v>17</v>
      </c>
      <c r="I103" t="s">
        <v>236</v>
      </c>
      <c r="J103" t="s">
        <v>90</v>
      </c>
      <c r="K103" s="3">
        <v>46053</v>
      </c>
      <c r="L103" t="s">
        <v>264</v>
      </c>
      <c r="M103">
        <v>7.4999999999999997E-2</v>
      </c>
      <c r="N103">
        <v>2688</v>
      </c>
      <c r="O103">
        <f t="shared" si="3"/>
        <v>0.15</v>
      </c>
      <c r="P103">
        <f t="shared" si="4"/>
        <v>7.4404761904761901E-4</v>
      </c>
      <c r="Q103" t="str">
        <f t="shared" si="5"/>
        <v>Q26-01</v>
      </c>
    </row>
    <row r="104" spans="1:17" x14ac:dyDescent="0.25">
      <c r="A104" t="s">
        <v>61</v>
      </c>
      <c r="B104" t="s">
        <v>233</v>
      </c>
      <c r="C104" t="s">
        <v>234</v>
      </c>
      <c r="D104" t="s">
        <v>191</v>
      </c>
      <c r="E104" t="s">
        <v>265</v>
      </c>
      <c r="F104" s="1">
        <v>8</v>
      </c>
      <c r="G104" s="1">
        <v>0</v>
      </c>
      <c r="H104" t="s">
        <v>17</v>
      </c>
      <c r="I104" t="s">
        <v>236</v>
      </c>
      <c r="J104" t="s">
        <v>171</v>
      </c>
      <c r="K104" s="3">
        <v>46630</v>
      </c>
      <c r="L104" t="s">
        <v>243</v>
      </c>
      <c r="M104">
        <v>7.4999999999999997E-2</v>
      </c>
      <c r="N104">
        <v>2688</v>
      </c>
      <c r="O104">
        <f t="shared" si="3"/>
        <v>0.6</v>
      </c>
      <c r="P104">
        <f t="shared" si="4"/>
        <v>2.976190476190476E-3</v>
      </c>
      <c r="Q104" t="str">
        <f t="shared" si="5"/>
        <v>Q27-03</v>
      </c>
    </row>
    <row r="105" spans="1:17" x14ac:dyDescent="0.25">
      <c r="A105" t="s">
        <v>61</v>
      </c>
      <c r="B105" t="s">
        <v>233</v>
      </c>
      <c r="C105" t="s">
        <v>234</v>
      </c>
      <c r="D105" t="s">
        <v>191</v>
      </c>
      <c r="E105" t="s">
        <v>266</v>
      </c>
      <c r="F105" s="1">
        <v>5</v>
      </c>
      <c r="G105" s="1">
        <v>0</v>
      </c>
      <c r="H105" t="s">
        <v>17</v>
      </c>
      <c r="I105" t="s">
        <v>236</v>
      </c>
      <c r="J105" t="s">
        <v>171</v>
      </c>
      <c r="K105" s="3">
        <v>46630</v>
      </c>
      <c r="L105" t="s">
        <v>243</v>
      </c>
      <c r="M105">
        <v>7.4999999999999997E-2</v>
      </c>
      <c r="N105">
        <v>2688</v>
      </c>
      <c r="O105">
        <f t="shared" si="3"/>
        <v>0.375</v>
      </c>
      <c r="P105">
        <f t="shared" si="4"/>
        <v>1.8601190476190475E-3</v>
      </c>
      <c r="Q105" t="str">
        <f t="shared" si="5"/>
        <v>Q27-03</v>
      </c>
    </row>
    <row r="106" spans="1:17" x14ac:dyDescent="0.25">
      <c r="A106" t="s">
        <v>61</v>
      </c>
      <c r="B106" t="s">
        <v>233</v>
      </c>
      <c r="C106" t="s">
        <v>234</v>
      </c>
      <c r="D106" t="s">
        <v>168</v>
      </c>
      <c r="E106" t="s">
        <v>267</v>
      </c>
      <c r="F106" s="1">
        <v>1</v>
      </c>
      <c r="G106" s="1">
        <v>0</v>
      </c>
      <c r="H106" t="s">
        <v>17</v>
      </c>
      <c r="I106" t="s">
        <v>236</v>
      </c>
      <c r="J106" t="s">
        <v>90</v>
      </c>
      <c r="K106" s="3">
        <v>46053</v>
      </c>
      <c r="L106" t="s">
        <v>268</v>
      </c>
      <c r="M106">
        <v>7.4999999999999997E-2</v>
      </c>
      <c r="N106">
        <v>2688</v>
      </c>
      <c r="O106">
        <f t="shared" si="3"/>
        <v>7.4999999999999997E-2</v>
      </c>
      <c r="P106">
        <f t="shared" si="4"/>
        <v>3.720238095238095E-4</v>
      </c>
      <c r="Q106" t="str">
        <f t="shared" si="5"/>
        <v>Q26-01</v>
      </c>
    </row>
    <row r="107" spans="1:17" x14ac:dyDescent="0.25">
      <c r="A107" t="s">
        <v>61</v>
      </c>
      <c r="B107" t="s">
        <v>233</v>
      </c>
      <c r="C107" t="s">
        <v>234</v>
      </c>
      <c r="D107" t="s">
        <v>168</v>
      </c>
      <c r="E107" t="s">
        <v>269</v>
      </c>
      <c r="F107" s="1">
        <v>1</v>
      </c>
      <c r="G107" s="1">
        <v>0</v>
      </c>
      <c r="H107" t="s">
        <v>17</v>
      </c>
      <c r="I107" t="s">
        <v>236</v>
      </c>
      <c r="J107" t="s">
        <v>90</v>
      </c>
      <c r="K107" s="3">
        <v>46053</v>
      </c>
      <c r="L107" t="s">
        <v>268</v>
      </c>
      <c r="M107">
        <v>7.4999999999999997E-2</v>
      </c>
      <c r="N107">
        <v>2688</v>
      </c>
      <c r="O107">
        <f t="shared" si="3"/>
        <v>7.4999999999999997E-2</v>
      </c>
      <c r="P107">
        <f t="shared" si="4"/>
        <v>3.720238095238095E-4</v>
      </c>
      <c r="Q107" t="str">
        <f t="shared" si="5"/>
        <v>Q26-01</v>
      </c>
    </row>
    <row r="108" spans="1:17" x14ac:dyDescent="0.25">
      <c r="A108" t="s">
        <v>61</v>
      </c>
      <c r="B108" t="s">
        <v>233</v>
      </c>
      <c r="C108" t="s">
        <v>234</v>
      </c>
      <c r="D108" t="s">
        <v>168</v>
      </c>
      <c r="E108" t="s">
        <v>270</v>
      </c>
      <c r="F108" s="1">
        <v>6</v>
      </c>
      <c r="G108" s="1">
        <v>0</v>
      </c>
      <c r="H108" t="s">
        <v>17</v>
      </c>
      <c r="I108" t="s">
        <v>236</v>
      </c>
      <c r="J108" t="s">
        <v>90</v>
      </c>
      <c r="K108" s="3">
        <v>46053</v>
      </c>
      <c r="L108" t="s">
        <v>271</v>
      </c>
      <c r="M108">
        <v>7.4999999999999997E-2</v>
      </c>
      <c r="N108">
        <v>2688</v>
      </c>
      <c r="O108">
        <f t="shared" si="3"/>
        <v>0.44999999999999996</v>
      </c>
      <c r="P108">
        <f t="shared" si="4"/>
        <v>2.232142857142857E-3</v>
      </c>
      <c r="Q108" t="str">
        <f t="shared" si="5"/>
        <v>Q26-01</v>
      </c>
    </row>
    <row r="109" spans="1:17" x14ac:dyDescent="0.25">
      <c r="A109" t="s">
        <v>61</v>
      </c>
      <c r="B109" t="s">
        <v>233</v>
      </c>
      <c r="C109" t="s">
        <v>234</v>
      </c>
      <c r="D109" t="s">
        <v>168</v>
      </c>
      <c r="E109" t="s">
        <v>272</v>
      </c>
      <c r="F109" s="1">
        <v>5</v>
      </c>
      <c r="G109" s="1">
        <v>0</v>
      </c>
      <c r="H109" t="s">
        <v>17</v>
      </c>
      <c r="I109" t="s">
        <v>236</v>
      </c>
      <c r="J109" t="s">
        <v>90</v>
      </c>
      <c r="K109" s="3">
        <v>46053</v>
      </c>
      <c r="L109" t="s">
        <v>273</v>
      </c>
      <c r="M109">
        <v>7.4999999999999997E-2</v>
      </c>
      <c r="N109">
        <v>2688</v>
      </c>
      <c r="O109">
        <f t="shared" si="3"/>
        <v>0.375</v>
      </c>
      <c r="P109">
        <f t="shared" si="4"/>
        <v>1.8601190476190475E-3</v>
      </c>
      <c r="Q109" t="str">
        <f t="shared" si="5"/>
        <v>Q26-01</v>
      </c>
    </row>
    <row r="110" spans="1:17" x14ac:dyDescent="0.25">
      <c r="A110" t="s">
        <v>61</v>
      </c>
      <c r="B110" t="s">
        <v>233</v>
      </c>
      <c r="C110" t="s">
        <v>234</v>
      </c>
      <c r="D110" t="s">
        <v>185</v>
      </c>
      <c r="E110" t="s">
        <v>274</v>
      </c>
      <c r="F110" s="1">
        <v>4</v>
      </c>
      <c r="G110" s="1">
        <v>0</v>
      </c>
      <c r="H110" t="s">
        <v>17</v>
      </c>
      <c r="I110" t="s">
        <v>236</v>
      </c>
      <c r="J110" t="s">
        <v>178</v>
      </c>
      <c r="K110" s="3">
        <v>46630</v>
      </c>
      <c r="L110" t="s">
        <v>239</v>
      </c>
      <c r="M110">
        <v>7.4999999999999997E-2</v>
      </c>
      <c r="N110">
        <v>2688</v>
      </c>
      <c r="O110">
        <f t="shared" si="3"/>
        <v>0.3</v>
      </c>
      <c r="P110">
        <f t="shared" si="4"/>
        <v>1.488095238095238E-3</v>
      </c>
      <c r="Q110" t="str">
        <f t="shared" si="5"/>
        <v>Q27-03</v>
      </c>
    </row>
    <row r="111" spans="1:17" x14ac:dyDescent="0.25">
      <c r="A111" t="s">
        <v>61</v>
      </c>
      <c r="B111" t="s">
        <v>275</v>
      </c>
      <c r="C111" t="s">
        <v>276</v>
      </c>
      <c r="D111" t="s">
        <v>112</v>
      </c>
      <c r="E111" t="s">
        <v>277</v>
      </c>
      <c r="F111" s="1">
        <v>941</v>
      </c>
      <c r="G111" s="1">
        <v>0</v>
      </c>
      <c r="H111" t="s">
        <v>17</v>
      </c>
      <c r="I111" t="s">
        <v>278</v>
      </c>
      <c r="J111" t="s">
        <v>279</v>
      </c>
      <c r="K111" s="3">
        <v>46081</v>
      </c>
      <c r="L111" t="s">
        <v>280</v>
      </c>
      <c r="M111">
        <v>4.8000000000000001E-2</v>
      </c>
      <c r="N111">
        <v>2880</v>
      </c>
      <c r="O111">
        <f t="shared" si="3"/>
        <v>45.167999999999999</v>
      </c>
      <c r="P111">
        <f t="shared" si="4"/>
        <v>0.32673611111111112</v>
      </c>
      <c r="Q111" t="str">
        <f t="shared" si="5"/>
        <v>Q27-01</v>
      </c>
    </row>
    <row r="112" spans="1:17" x14ac:dyDescent="0.25">
      <c r="A112" t="s">
        <v>61</v>
      </c>
      <c r="B112" t="s">
        <v>281</v>
      </c>
      <c r="C112" t="s">
        <v>282</v>
      </c>
      <c r="D112" t="s">
        <v>180</v>
      </c>
      <c r="E112" t="s">
        <v>283</v>
      </c>
      <c r="F112" s="1">
        <v>4</v>
      </c>
      <c r="G112" s="1">
        <v>0</v>
      </c>
      <c r="H112" t="s">
        <v>17</v>
      </c>
      <c r="I112" t="s">
        <v>284</v>
      </c>
      <c r="J112" t="s">
        <v>171</v>
      </c>
      <c r="K112" s="3">
        <v>46234</v>
      </c>
      <c r="L112" t="s">
        <v>285</v>
      </c>
      <c r="M112">
        <v>6.8000000000000005E-2</v>
      </c>
      <c r="N112">
        <v>2240</v>
      </c>
      <c r="O112">
        <f t="shared" si="3"/>
        <v>0.27200000000000002</v>
      </c>
      <c r="P112">
        <f t="shared" si="4"/>
        <v>1.7857142857142857E-3</v>
      </c>
      <c r="Q112" t="str">
        <f t="shared" si="5"/>
        <v>Q27-03</v>
      </c>
    </row>
    <row r="113" spans="1:17" x14ac:dyDescent="0.25">
      <c r="A113" t="s">
        <v>61</v>
      </c>
      <c r="B113" t="s">
        <v>281</v>
      </c>
      <c r="C113" t="s">
        <v>282</v>
      </c>
      <c r="D113" t="s">
        <v>180</v>
      </c>
      <c r="E113" t="s">
        <v>286</v>
      </c>
      <c r="F113" s="1">
        <v>5</v>
      </c>
      <c r="G113" s="1">
        <v>0</v>
      </c>
      <c r="H113" t="s">
        <v>17</v>
      </c>
      <c r="I113" t="s">
        <v>284</v>
      </c>
      <c r="J113" t="s">
        <v>171</v>
      </c>
      <c r="K113" s="3">
        <v>46234</v>
      </c>
      <c r="L113" t="s">
        <v>285</v>
      </c>
      <c r="M113">
        <v>6.8000000000000005E-2</v>
      </c>
      <c r="N113">
        <v>2240</v>
      </c>
      <c r="O113">
        <f t="shared" si="3"/>
        <v>0.34</v>
      </c>
      <c r="P113">
        <f t="shared" si="4"/>
        <v>2.232142857142857E-3</v>
      </c>
      <c r="Q113" t="str">
        <f t="shared" si="5"/>
        <v>Q27-03</v>
      </c>
    </row>
    <row r="114" spans="1:17" x14ac:dyDescent="0.25">
      <c r="A114" t="s">
        <v>61</v>
      </c>
      <c r="B114" t="s">
        <v>281</v>
      </c>
      <c r="C114" t="s">
        <v>282</v>
      </c>
      <c r="D114" t="s">
        <v>185</v>
      </c>
      <c r="E114" t="s">
        <v>287</v>
      </c>
      <c r="F114" s="1">
        <v>5</v>
      </c>
      <c r="G114" s="1">
        <v>0</v>
      </c>
      <c r="H114" t="s">
        <v>17</v>
      </c>
      <c r="I114" t="s">
        <v>284</v>
      </c>
      <c r="J114" t="s">
        <v>171</v>
      </c>
      <c r="K114" s="3">
        <v>46234</v>
      </c>
      <c r="L114" t="s">
        <v>285</v>
      </c>
      <c r="M114">
        <v>6.8000000000000005E-2</v>
      </c>
      <c r="N114">
        <v>2240</v>
      </c>
      <c r="O114">
        <f t="shared" si="3"/>
        <v>0.34</v>
      </c>
      <c r="P114">
        <f t="shared" si="4"/>
        <v>2.232142857142857E-3</v>
      </c>
      <c r="Q114" t="str">
        <f t="shared" si="5"/>
        <v>Q27-03</v>
      </c>
    </row>
    <row r="115" spans="1:17" x14ac:dyDescent="0.25">
      <c r="A115" t="s">
        <v>61</v>
      </c>
      <c r="B115" t="s">
        <v>281</v>
      </c>
      <c r="C115" t="s">
        <v>282</v>
      </c>
      <c r="D115" t="s">
        <v>185</v>
      </c>
      <c r="E115" t="s">
        <v>288</v>
      </c>
      <c r="F115" s="1">
        <v>8</v>
      </c>
      <c r="G115" s="1">
        <v>0</v>
      </c>
      <c r="H115" t="s">
        <v>17</v>
      </c>
      <c r="I115" t="s">
        <v>284</v>
      </c>
      <c r="J115" t="s">
        <v>188</v>
      </c>
      <c r="K115" s="3">
        <v>46203</v>
      </c>
      <c r="L115" t="s">
        <v>289</v>
      </c>
      <c r="M115">
        <v>6.8000000000000005E-2</v>
      </c>
      <c r="N115">
        <v>2240</v>
      </c>
      <c r="O115">
        <f t="shared" si="3"/>
        <v>0.54400000000000004</v>
      </c>
      <c r="P115">
        <f t="shared" si="4"/>
        <v>3.5714285714285713E-3</v>
      </c>
      <c r="Q115" t="str">
        <f t="shared" si="5"/>
        <v>Q27-03</v>
      </c>
    </row>
    <row r="116" spans="1:17" x14ac:dyDescent="0.25">
      <c r="A116" t="s">
        <v>61</v>
      </c>
      <c r="B116" t="s">
        <v>281</v>
      </c>
      <c r="C116" t="s">
        <v>282</v>
      </c>
      <c r="D116" t="s">
        <v>195</v>
      </c>
      <c r="E116" t="s">
        <v>290</v>
      </c>
      <c r="F116" s="1">
        <v>3</v>
      </c>
      <c r="G116" s="1">
        <v>0</v>
      </c>
      <c r="H116" t="s">
        <v>17</v>
      </c>
      <c r="I116" t="s">
        <v>284</v>
      </c>
      <c r="J116" t="s">
        <v>188</v>
      </c>
      <c r="K116" s="3">
        <v>46203</v>
      </c>
      <c r="L116" t="s">
        <v>289</v>
      </c>
      <c r="M116">
        <v>6.8000000000000005E-2</v>
      </c>
      <c r="N116">
        <v>2240</v>
      </c>
      <c r="O116">
        <f t="shared" si="3"/>
        <v>0.20400000000000001</v>
      </c>
      <c r="P116">
        <f t="shared" si="4"/>
        <v>1.3392857142857143E-3</v>
      </c>
      <c r="Q116" t="str">
        <f t="shared" si="5"/>
        <v>Q27-03</v>
      </c>
    </row>
    <row r="117" spans="1:17" x14ac:dyDescent="0.25">
      <c r="A117" t="s">
        <v>61</v>
      </c>
      <c r="B117" t="s">
        <v>281</v>
      </c>
      <c r="C117" t="s">
        <v>282</v>
      </c>
      <c r="D117" t="s">
        <v>195</v>
      </c>
      <c r="E117" t="s">
        <v>291</v>
      </c>
      <c r="F117" s="1">
        <v>2</v>
      </c>
      <c r="G117" s="1">
        <v>0</v>
      </c>
      <c r="H117" t="s">
        <v>17</v>
      </c>
      <c r="I117" t="s">
        <v>284</v>
      </c>
      <c r="J117" t="s">
        <v>292</v>
      </c>
      <c r="K117" s="3">
        <v>46173</v>
      </c>
      <c r="L117" t="s">
        <v>293</v>
      </c>
      <c r="M117">
        <v>6.8000000000000005E-2</v>
      </c>
      <c r="N117">
        <v>2240</v>
      </c>
      <c r="O117">
        <f t="shared" si="3"/>
        <v>0.13600000000000001</v>
      </c>
      <c r="P117">
        <f t="shared" si="4"/>
        <v>8.9285714285714283E-4</v>
      </c>
      <c r="Q117" t="str">
        <f t="shared" si="5"/>
        <v>Q27-03</v>
      </c>
    </row>
    <row r="118" spans="1:17" x14ac:dyDescent="0.25">
      <c r="A118" t="s">
        <v>61</v>
      </c>
      <c r="B118" t="s">
        <v>281</v>
      </c>
      <c r="C118" t="s">
        <v>282</v>
      </c>
      <c r="D118" t="s">
        <v>73</v>
      </c>
      <c r="E118" t="s">
        <v>294</v>
      </c>
      <c r="F118" s="1">
        <v>1</v>
      </c>
      <c r="G118" s="1">
        <v>0</v>
      </c>
      <c r="H118" t="s">
        <v>17</v>
      </c>
      <c r="I118" t="s">
        <v>284</v>
      </c>
      <c r="J118" t="s">
        <v>292</v>
      </c>
      <c r="K118" s="3">
        <v>46142</v>
      </c>
      <c r="L118" t="s">
        <v>295</v>
      </c>
      <c r="M118">
        <v>6.8000000000000005E-2</v>
      </c>
      <c r="N118">
        <v>2240</v>
      </c>
      <c r="O118">
        <f t="shared" si="3"/>
        <v>6.8000000000000005E-2</v>
      </c>
      <c r="P118">
        <f t="shared" si="4"/>
        <v>4.4642857142857141E-4</v>
      </c>
      <c r="Q118" t="str">
        <f t="shared" si="5"/>
        <v>Q26-01</v>
      </c>
    </row>
    <row r="119" spans="1:17" x14ac:dyDescent="0.25">
      <c r="A119" t="s">
        <v>61</v>
      </c>
      <c r="B119" t="s">
        <v>281</v>
      </c>
      <c r="C119" t="s">
        <v>282</v>
      </c>
      <c r="D119" t="s">
        <v>195</v>
      </c>
      <c r="E119" t="s">
        <v>296</v>
      </c>
      <c r="F119" s="1">
        <v>2</v>
      </c>
      <c r="G119" s="1">
        <v>0</v>
      </c>
      <c r="H119" t="s">
        <v>17</v>
      </c>
      <c r="I119" t="s">
        <v>284</v>
      </c>
      <c r="J119" t="s">
        <v>292</v>
      </c>
      <c r="K119" s="3">
        <v>46142</v>
      </c>
      <c r="L119" t="s">
        <v>295</v>
      </c>
      <c r="M119">
        <v>6.8000000000000005E-2</v>
      </c>
      <c r="N119">
        <v>2240</v>
      </c>
      <c r="O119">
        <f t="shared" si="3"/>
        <v>0.13600000000000001</v>
      </c>
      <c r="P119">
        <f t="shared" si="4"/>
        <v>8.9285714285714283E-4</v>
      </c>
      <c r="Q119" t="str">
        <f t="shared" si="5"/>
        <v>Q27-03</v>
      </c>
    </row>
    <row r="120" spans="1:17" x14ac:dyDescent="0.25">
      <c r="A120" t="s">
        <v>61</v>
      </c>
      <c r="B120" t="s">
        <v>281</v>
      </c>
      <c r="C120" t="s">
        <v>282</v>
      </c>
      <c r="D120" t="s">
        <v>180</v>
      </c>
      <c r="E120" t="s">
        <v>297</v>
      </c>
      <c r="F120" s="1">
        <v>6</v>
      </c>
      <c r="G120" s="1">
        <v>0</v>
      </c>
      <c r="H120" t="s">
        <v>17</v>
      </c>
      <c r="I120" t="s">
        <v>284</v>
      </c>
      <c r="J120" t="s">
        <v>292</v>
      </c>
      <c r="K120" s="3">
        <v>46173</v>
      </c>
      <c r="L120" t="s">
        <v>298</v>
      </c>
      <c r="M120">
        <v>6.8000000000000005E-2</v>
      </c>
      <c r="N120">
        <v>2240</v>
      </c>
      <c r="O120">
        <f t="shared" si="3"/>
        <v>0.40800000000000003</v>
      </c>
      <c r="P120">
        <f t="shared" si="4"/>
        <v>2.6785714285714286E-3</v>
      </c>
      <c r="Q120" t="str">
        <f t="shared" si="5"/>
        <v>Q27-03</v>
      </c>
    </row>
    <row r="121" spans="1:17" x14ac:dyDescent="0.25">
      <c r="A121" t="s">
        <v>61</v>
      </c>
      <c r="B121" t="s">
        <v>281</v>
      </c>
      <c r="C121" t="s">
        <v>282</v>
      </c>
      <c r="D121" t="s">
        <v>180</v>
      </c>
      <c r="E121" t="s">
        <v>299</v>
      </c>
      <c r="F121" s="1">
        <v>9</v>
      </c>
      <c r="G121" s="1">
        <v>0</v>
      </c>
      <c r="H121" t="s">
        <v>17</v>
      </c>
      <c r="I121" t="s">
        <v>284</v>
      </c>
      <c r="J121" t="s">
        <v>292</v>
      </c>
      <c r="K121" s="3">
        <v>46173</v>
      </c>
      <c r="L121" t="s">
        <v>298</v>
      </c>
      <c r="M121">
        <v>6.8000000000000005E-2</v>
      </c>
      <c r="N121">
        <v>2240</v>
      </c>
      <c r="O121">
        <f t="shared" si="3"/>
        <v>0.6120000000000001</v>
      </c>
      <c r="P121">
        <f t="shared" si="4"/>
        <v>4.0178571428571425E-3</v>
      </c>
      <c r="Q121" t="str">
        <f t="shared" si="5"/>
        <v>Q27-03</v>
      </c>
    </row>
    <row r="122" spans="1:17" x14ac:dyDescent="0.25">
      <c r="A122" t="s">
        <v>61</v>
      </c>
      <c r="B122" t="s">
        <v>281</v>
      </c>
      <c r="C122" t="s">
        <v>282</v>
      </c>
      <c r="D122" t="s">
        <v>185</v>
      </c>
      <c r="E122" t="s">
        <v>300</v>
      </c>
      <c r="F122" s="1">
        <v>2</v>
      </c>
      <c r="G122" s="1">
        <v>0</v>
      </c>
      <c r="H122" t="s">
        <v>17</v>
      </c>
      <c r="I122" t="s">
        <v>284</v>
      </c>
      <c r="J122" t="s">
        <v>292</v>
      </c>
      <c r="K122" s="3">
        <v>46173</v>
      </c>
      <c r="L122" t="s">
        <v>298</v>
      </c>
      <c r="M122">
        <v>6.8000000000000005E-2</v>
      </c>
      <c r="N122">
        <v>2240</v>
      </c>
      <c r="O122">
        <f t="shared" si="3"/>
        <v>0.13600000000000001</v>
      </c>
      <c r="P122">
        <f t="shared" si="4"/>
        <v>8.9285714285714283E-4</v>
      </c>
      <c r="Q122" t="str">
        <f t="shared" si="5"/>
        <v>Q27-03</v>
      </c>
    </row>
    <row r="123" spans="1:17" x14ac:dyDescent="0.25">
      <c r="A123" t="s">
        <v>61</v>
      </c>
      <c r="B123" t="s">
        <v>281</v>
      </c>
      <c r="C123" t="s">
        <v>282</v>
      </c>
      <c r="D123" t="s">
        <v>195</v>
      </c>
      <c r="E123" t="s">
        <v>301</v>
      </c>
      <c r="F123" s="1">
        <v>1</v>
      </c>
      <c r="G123" s="1">
        <v>0</v>
      </c>
      <c r="H123" t="s">
        <v>17</v>
      </c>
      <c r="I123" t="s">
        <v>284</v>
      </c>
      <c r="J123" t="s">
        <v>292</v>
      </c>
      <c r="K123" s="3">
        <v>46173</v>
      </c>
      <c r="L123" t="s">
        <v>298</v>
      </c>
      <c r="M123">
        <v>6.8000000000000005E-2</v>
      </c>
      <c r="N123">
        <v>2240</v>
      </c>
      <c r="O123">
        <f t="shared" si="3"/>
        <v>6.8000000000000005E-2</v>
      </c>
      <c r="P123">
        <f t="shared" si="4"/>
        <v>4.4642857142857141E-4</v>
      </c>
      <c r="Q123" t="str">
        <f t="shared" si="5"/>
        <v>Q27-03</v>
      </c>
    </row>
    <row r="124" spans="1:17" x14ac:dyDescent="0.25">
      <c r="A124" t="s">
        <v>61</v>
      </c>
      <c r="B124" t="s">
        <v>281</v>
      </c>
      <c r="C124" t="s">
        <v>282</v>
      </c>
      <c r="D124" t="s">
        <v>195</v>
      </c>
      <c r="E124" t="s">
        <v>302</v>
      </c>
      <c r="F124" s="1">
        <v>1</v>
      </c>
      <c r="G124" s="1">
        <v>0</v>
      </c>
      <c r="H124" t="s">
        <v>17</v>
      </c>
      <c r="I124" t="s">
        <v>284</v>
      </c>
      <c r="J124" t="s">
        <v>292</v>
      </c>
      <c r="K124" s="3">
        <v>46173</v>
      </c>
      <c r="L124" t="s">
        <v>298</v>
      </c>
      <c r="M124">
        <v>6.8000000000000005E-2</v>
      </c>
      <c r="N124">
        <v>2240</v>
      </c>
      <c r="O124">
        <f t="shared" si="3"/>
        <v>6.8000000000000005E-2</v>
      </c>
      <c r="P124">
        <f t="shared" si="4"/>
        <v>4.4642857142857141E-4</v>
      </c>
      <c r="Q124" t="str">
        <f t="shared" si="5"/>
        <v>Q27-03</v>
      </c>
    </row>
    <row r="125" spans="1:17" x14ac:dyDescent="0.25">
      <c r="A125" t="s">
        <v>61</v>
      </c>
      <c r="B125" t="s">
        <v>281</v>
      </c>
      <c r="C125" t="s">
        <v>282</v>
      </c>
      <c r="D125" t="s">
        <v>185</v>
      </c>
      <c r="E125" t="s">
        <v>303</v>
      </c>
      <c r="F125" s="1">
        <v>7</v>
      </c>
      <c r="G125" s="1">
        <v>0</v>
      </c>
      <c r="H125" t="s">
        <v>17</v>
      </c>
      <c r="I125" t="s">
        <v>284</v>
      </c>
      <c r="J125" t="s">
        <v>178</v>
      </c>
      <c r="K125" s="3">
        <v>46265</v>
      </c>
      <c r="L125" t="s">
        <v>304</v>
      </c>
      <c r="M125">
        <v>6.8000000000000005E-2</v>
      </c>
      <c r="N125">
        <v>2240</v>
      </c>
      <c r="O125">
        <f t="shared" si="3"/>
        <v>0.47600000000000003</v>
      </c>
      <c r="P125">
        <f t="shared" si="4"/>
        <v>3.1250000000000002E-3</v>
      </c>
      <c r="Q125" t="str">
        <f t="shared" si="5"/>
        <v>Q27-03</v>
      </c>
    </row>
    <row r="126" spans="1:17" x14ac:dyDescent="0.25">
      <c r="A126" t="s">
        <v>61</v>
      </c>
      <c r="B126" t="s">
        <v>281</v>
      </c>
      <c r="C126" t="s">
        <v>282</v>
      </c>
      <c r="D126" t="s">
        <v>185</v>
      </c>
      <c r="E126" t="s">
        <v>305</v>
      </c>
      <c r="F126" s="1">
        <v>2</v>
      </c>
      <c r="G126" s="1">
        <v>0</v>
      </c>
      <c r="H126" t="s">
        <v>17</v>
      </c>
      <c r="I126" t="s">
        <v>284</v>
      </c>
      <c r="J126" t="s">
        <v>178</v>
      </c>
      <c r="K126" s="3">
        <v>46265</v>
      </c>
      <c r="L126" t="s">
        <v>304</v>
      </c>
      <c r="M126">
        <v>6.8000000000000005E-2</v>
      </c>
      <c r="N126">
        <v>2240</v>
      </c>
      <c r="O126">
        <f t="shared" si="3"/>
        <v>0.13600000000000001</v>
      </c>
      <c r="P126">
        <f t="shared" si="4"/>
        <v>8.9285714285714283E-4</v>
      </c>
      <c r="Q126" t="str">
        <f t="shared" si="5"/>
        <v>Q27-03</v>
      </c>
    </row>
    <row r="127" spans="1:17" x14ac:dyDescent="0.25">
      <c r="A127" t="s">
        <v>61</v>
      </c>
      <c r="B127" t="s">
        <v>281</v>
      </c>
      <c r="C127" t="s">
        <v>282</v>
      </c>
      <c r="D127" t="s">
        <v>168</v>
      </c>
      <c r="E127" t="s">
        <v>306</v>
      </c>
      <c r="F127" s="1">
        <v>1</v>
      </c>
      <c r="G127" s="1">
        <v>0</v>
      </c>
      <c r="H127" t="s">
        <v>17</v>
      </c>
      <c r="I127" t="s">
        <v>284</v>
      </c>
      <c r="J127" t="s">
        <v>307</v>
      </c>
      <c r="K127" s="3">
        <v>46081</v>
      </c>
      <c r="L127" t="s">
        <v>308</v>
      </c>
      <c r="M127">
        <v>6.8000000000000005E-2</v>
      </c>
      <c r="N127">
        <v>2240</v>
      </c>
      <c r="O127">
        <f t="shared" si="3"/>
        <v>6.8000000000000005E-2</v>
      </c>
      <c r="P127">
        <f t="shared" si="4"/>
        <v>4.4642857142857141E-4</v>
      </c>
      <c r="Q127" t="str">
        <f t="shared" si="5"/>
        <v>Q26-01</v>
      </c>
    </row>
    <row r="128" spans="1:17" x14ac:dyDescent="0.25">
      <c r="A128" t="s">
        <v>61</v>
      </c>
      <c r="B128" t="s">
        <v>309</v>
      </c>
      <c r="C128" t="s">
        <v>310</v>
      </c>
      <c r="D128" t="s">
        <v>64</v>
      </c>
      <c r="E128" t="s">
        <v>311</v>
      </c>
      <c r="F128" s="1">
        <v>4</v>
      </c>
      <c r="G128" s="1">
        <v>0</v>
      </c>
      <c r="H128" t="s">
        <v>17</v>
      </c>
      <c r="I128" t="s">
        <v>312</v>
      </c>
      <c r="J128" t="s">
        <v>313</v>
      </c>
      <c r="K128" s="3">
        <v>46053</v>
      </c>
      <c r="L128" t="s">
        <v>314</v>
      </c>
      <c r="M128">
        <v>7.1999999999999995E-2</v>
      </c>
      <c r="N128">
        <v>1920</v>
      </c>
      <c r="O128">
        <f t="shared" si="3"/>
        <v>0.28799999999999998</v>
      </c>
      <c r="P128">
        <f t="shared" si="4"/>
        <v>2.0833333333333333E-3</v>
      </c>
      <c r="Q128" t="str">
        <f t="shared" si="5"/>
        <v>Q27-01</v>
      </c>
    </row>
    <row r="129" spans="1:17" x14ac:dyDescent="0.25">
      <c r="A129" t="s">
        <v>61</v>
      </c>
      <c r="B129" t="s">
        <v>309</v>
      </c>
      <c r="C129" t="s">
        <v>310</v>
      </c>
      <c r="D129" t="s">
        <v>315</v>
      </c>
      <c r="E129" t="s">
        <v>316</v>
      </c>
      <c r="F129" s="1">
        <v>852</v>
      </c>
      <c r="G129" s="1">
        <v>0</v>
      </c>
      <c r="H129" t="s">
        <v>17</v>
      </c>
      <c r="I129" t="s">
        <v>312</v>
      </c>
      <c r="J129" t="s">
        <v>313</v>
      </c>
      <c r="K129" s="3">
        <v>46053</v>
      </c>
      <c r="L129" t="s">
        <v>314</v>
      </c>
      <c r="M129">
        <v>7.1999999999999995E-2</v>
      </c>
      <c r="N129">
        <v>1920</v>
      </c>
      <c r="O129">
        <f t="shared" si="3"/>
        <v>61.343999999999994</v>
      </c>
      <c r="P129">
        <f t="shared" si="4"/>
        <v>0.44374999999999998</v>
      </c>
      <c r="Q129" t="str">
        <f t="shared" si="5"/>
        <v>Q27-01</v>
      </c>
    </row>
    <row r="130" spans="1:17" x14ac:dyDescent="0.25">
      <c r="A130" t="s">
        <v>61</v>
      </c>
      <c r="B130" t="s">
        <v>317</v>
      </c>
      <c r="C130" t="s">
        <v>318</v>
      </c>
      <c r="D130" t="s">
        <v>180</v>
      </c>
      <c r="E130" t="s">
        <v>319</v>
      </c>
      <c r="F130" s="1">
        <v>1</v>
      </c>
      <c r="G130" s="1">
        <v>0</v>
      </c>
      <c r="H130" t="s">
        <v>17</v>
      </c>
      <c r="I130" t="s">
        <v>320</v>
      </c>
      <c r="J130" t="s">
        <v>178</v>
      </c>
      <c r="K130" s="3">
        <v>46173</v>
      </c>
      <c r="L130" t="s">
        <v>321</v>
      </c>
      <c r="M130">
        <v>0.04</v>
      </c>
      <c r="N130">
        <v>2688</v>
      </c>
      <c r="O130">
        <f t="shared" si="3"/>
        <v>0.04</v>
      </c>
      <c r="P130">
        <f t="shared" si="4"/>
        <v>3.720238095238095E-4</v>
      </c>
      <c r="Q130" t="str">
        <f t="shared" si="5"/>
        <v>Q27-03</v>
      </c>
    </row>
    <row r="131" spans="1:17" x14ac:dyDescent="0.25">
      <c r="A131" t="s">
        <v>61</v>
      </c>
      <c r="B131" t="s">
        <v>317</v>
      </c>
      <c r="C131" t="s">
        <v>318</v>
      </c>
      <c r="D131" t="s">
        <v>180</v>
      </c>
      <c r="E131" t="s">
        <v>322</v>
      </c>
      <c r="F131" s="1">
        <v>33</v>
      </c>
      <c r="G131" s="1">
        <v>0</v>
      </c>
      <c r="H131" t="s">
        <v>17</v>
      </c>
      <c r="I131" t="s">
        <v>320</v>
      </c>
      <c r="J131" t="s">
        <v>178</v>
      </c>
      <c r="K131" s="3">
        <v>46173</v>
      </c>
      <c r="L131" t="s">
        <v>321</v>
      </c>
      <c r="M131">
        <v>0.04</v>
      </c>
      <c r="N131">
        <v>2688</v>
      </c>
      <c r="O131">
        <f t="shared" ref="O131:O194" si="6">F131*M131</f>
        <v>1.32</v>
      </c>
      <c r="P131">
        <f t="shared" ref="P131:P194" si="7">F131/N131</f>
        <v>1.2276785714285714E-2</v>
      </c>
      <c r="Q131" t="str">
        <f t="shared" ref="Q131:Q194" si="8">LEFT(D131,6)</f>
        <v>Q27-03</v>
      </c>
    </row>
    <row r="132" spans="1:17" x14ac:dyDescent="0.25">
      <c r="A132" t="s">
        <v>61</v>
      </c>
      <c r="B132" t="s">
        <v>317</v>
      </c>
      <c r="C132" t="s">
        <v>318</v>
      </c>
      <c r="D132" t="s">
        <v>198</v>
      </c>
      <c r="E132" t="s">
        <v>323</v>
      </c>
      <c r="F132" s="1">
        <v>4</v>
      </c>
      <c r="G132" s="1">
        <v>0</v>
      </c>
      <c r="H132" t="s">
        <v>17</v>
      </c>
      <c r="I132" t="s">
        <v>320</v>
      </c>
      <c r="J132" t="s">
        <v>178</v>
      </c>
      <c r="K132" s="3">
        <v>46173</v>
      </c>
      <c r="L132" t="s">
        <v>321</v>
      </c>
      <c r="M132">
        <v>0.04</v>
      </c>
      <c r="N132">
        <v>2688</v>
      </c>
      <c r="O132">
        <f t="shared" si="6"/>
        <v>0.16</v>
      </c>
      <c r="P132">
        <f t="shared" si="7"/>
        <v>1.488095238095238E-3</v>
      </c>
      <c r="Q132" t="str">
        <f t="shared" si="8"/>
        <v>Q27-03</v>
      </c>
    </row>
    <row r="133" spans="1:17" x14ac:dyDescent="0.25">
      <c r="A133" t="s">
        <v>61</v>
      </c>
      <c r="B133" t="s">
        <v>317</v>
      </c>
      <c r="C133" t="s">
        <v>318</v>
      </c>
      <c r="D133" t="s">
        <v>198</v>
      </c>
      <c r="E133" t="s">
        <v>324</v>
      </c>
      <c r="F133" s="1">
        <v>2</v>
      </c>
      <c r="G133" s="1">
        <v>0</v>
      </c>
      <c r="H133" t="s">
        <v>17</v>
      </c>
      <c r="I133" t="s">
        <v>320</v>
      </c>
      <c r="J133" t="s">
        <v>178</v>
      </c>
      <c r="K133" s="3">
        <v>46173</v>
      </c>
      <c r="L133" t="s">
        <v>321</v>
      </c>
      <c r="M133">
        <v>0.04</v>
      </c>
      <c r="N133">
        <v>2688</v>
      </c>
      <c r="O133">
        <f t="shared" si="6"/>
        <v>0.08</v>
      </c>
      <c r="P133">
        <f t="shared" si="7"/>
        <v>7.4404761904761901E-4</v>
      </c>
      <c r="Q133" t="str">
        <f t="shared" si="8"/>
        <v>Q27-03</v>
      </c>
    </row>
    <row r="134" spans="1:17" x14ac:dyDescent="0.25">
      <c r="A134" t="s">
        <v>61</v>
      </c>
      <c r="B134" t="s">
        <v>317</v>
      </c>
      <c r="C134" t="s">
        <v>318</v>
      </c>
      <c r="D134" t="s">
        <v>198</v>
      </c>
      <c r="E134" t="s">
        <v>325</v>
      </c>
      <c r="F134" s="1">
        <v>1</v>
      </c>
      <c r="G134" s="1">
        <v>0</v>
      </c>
      <c r="H134" t="s">
        <v>17</v>
      </c>
      <c r="I134" t="s">
        <v>320</v>
      </c>
      <c r="J134" t="s">
        <v>178</v>
      </c>
      <c r="K134" s="3">
        <v>46173</v>
      </c>
      <c r="L134" t="s">
        <v>321</v>
      </c>
      <c r="M134">
        <v>0.04</v>
      </c>
      <c r="N134">
        <v>2688</v>
      </c>
      <c r="O134">
        <f t="shared" si="6"/>
        <v>0.04</v>
      </c>
      <c r="P134">
        <f t="shared" si="7"/>
        <v>3.720238095238095E-4</v>
      </c>
      <c r="Q134" t="str">
        <f t="shared" si="8"/>
        <v>Q27-03</v>
      </c>
    </row>
    <row r="135" spans="1:17" x14ac:dyDescent="0.25">
      <c r="A135" t="s">
        <v>61</v>
      </c>
      <c r="B135" t="s">
        <v>317</v>
      </c>
      <c r="C135" t="s">
        <v>318</v>
      </c>
      <c r="D135" t="s">
        <v>198</v>
      </c>
      <c r="E135" t="s">
        <v>326</v>
      </c>
      <c r="F135" s="1">
        <v>2</v>
      </c>
      <c r="G135" s="1">
        <v>0</v>
      </c>
      <c r="H135" t="s">
        <v>17</v>
      </c>
      <c r="I135" t="s">
        <v>320</v>
      </c>
      <c r="J135" t="s">
        <v>178</v>
      </c>
      <c r="K135" s="3">
        <v>46173</v>
      </c>
      <c r="L135" t="s">
        <v>321</v>
      </c>
      <c r="M135">
        <v>0.04</v>
      </c>
      <c r="N135">
        <v>2688</v>
      </c>
      <c r="O135">
        <f t="shared" si="6"/>
        <v>0.08</v>
      </c>
      <c r="P135">
        <f t="shared" si="7"/>
        <v>7.4404761904761901E-4</v>
      </c>
      <c r="Q135" t="str">
        <f t="shared" si="8"/>
        <v>Q27-03</v>
      </c>
    </row>
    <row r="136" spans="1:17" x14ac:dyDescent="0.25">
      <c r="A136" t="s">
        <v>61</v>
      </c>
      <c r="B136" t="s">
        <v>317</v>
      </c>
      <c r="C136" t="s">
        <v>318</v>
      </c>
      <c r="D136" t="s">
        <v>180</v>
      </c>
      <c r="E136" t="s">
        <v>327</v>
      </c>
      <c r="F136" s="1">
        <v>8</v>
      </c>
      <c r="G136" s="1">
        <v>0</v>
      </c>
      <c r="H136" t="s">
        <v>17</v>
      </c>
      <c r="I136" t="s">
        <v>320</v>
      </c>
      <c r="J136" t="s">
        <v>171</v>
      </c>
      <c r="K136" s="3">
        <v>46142</v>
      </c>
      <c r="L136" t="s">
        <v>328</v>
      </c>
      <c r="M136">
        <v>0.04</v>
      </c>
      <c r="N136">
        <v>2688</v>
      </c>
      <c r="O136">
        <f t="shared" si="6"/>
        <v>0.32</v>
      </c>
      <c r="P136">
        <f t="shared" si="7"/>
        <v>2.976190476190476E-3</v>
      </c>
      <c r="Q136" t="str">
        <f t="shared" si="8"/>
        <v>Q27-03</v>
      </c>
    </row>
    <row r="137" spans="1:17" x14ac:dyDescent="0.25">
      <c r="A137" t="s">
        <v>61</v>
      </c>
      <c r="B137" t="s">
        <v>317</v>
      </c>
      <c r="C137" t="s">
        <v>318</v>
      </c>
      <c r="D137" t="s">
        <v>180</v>
      </c>
      <c r="E137" t="s">
        <v>329</v>
      </c>
      <c r="F137" s="1">
        <v>10</v>
      </c>
      <c r="G137" s="1">
        <v>0</v>
      </c>
      <c r="H137" t="s">
        <v>17</v>
      </c>
      <c r="I137" t="s">
        <v>320</v>
      </c>
      <c r="J137" t="s">
        <v>171</v>
      </c>
      <c r="K137" s="3">
        <v>46142</v>
      </c>
      <c r="L137" t="s">
        <v>328</v>
      </c>
      <c r="M137">
        <v>0.04</v>
      </c>
      <c r="N137">
        <v>2688</v>
      </c>
      <c r="O137">
        <f t="shared" si="6"/>
        <v>0.4</v>
      </c>
      <c r="P137">
        <f t="shared" si="7"/>
        <v>3.720238095238095E-3</v>
      </c>
      <c r="Q137" t="str">
        <f t="shared" si="8"/>
        <v>Q27-03</v>
      </c>
    </row>
    <row r="138" spans="1:17" x14ac:dyDescent="0.25">
      <c r="A138" t="s">
        <v>61</v>
      </c>
      <c r="B138" t="s">
        <v>317</v>
      </c>
      <c r="C138" t="s">
        <v>318</v>
      </c>
      <c r="D138" t="s">
        <v>180</v>
      </c>
      <c r="E138" t="s">
        <v>330</v>
      </c>
      <c r="F138" s="1">
        <v>7</v>
      </c>
      <c r="G138" s="1">
        <v>0</v>
      </c>
      <c r="H138" t="s">
        <v>17</v>
      </c>
      <c r="I138" t="s">
        <v>320</v>
      </c>
      <c r="J138" t="s">
        <v>171</v>
      </c>
      <c r="K138" s="3">
        <v>46142</v>
      </c>
      <c r="L138" t="s">
        <v>328</v>
      </c>
      <c r="M138">
        <v>0.04</v>
      </c>
      <c r="N138">
        <v>2688</v>
      </c>
      <c r="O138">
        <f t="shared" si="6"/>
        <v>0.28000000000000003</v>
      </c>
      <c r="P138">
        <f t="shared" si="7"/>
        <v>2.6041666666666665E-3</v>
      </c>
      <c r="Q138" t="str">
        <f t="shared" si="8"/>
        <v>Q27-03</v>
      </c>
    </row>
    <row r="139" spans="1:17" x14ac:dyDescent="0.25">
      <c r="A139" t="s">
        <v>61</v>
      </c>
      <c r="B139" t="s">
        <v>317</v>
      </c>
      <c r="C139" t="s">
        <v>318</v>
      </c>
      <c r="D139" t="s">
        <v>180</v>
      </c>
      <c r="E139" t="s">
        <v>331</v>
      </c>
      <c r="F139" s="1">
        <v>6</v>
      </c>
      <c r="G139" s="1">
        <v>0</v>
      </c>
      <c r="H139" t="s">
        <v>17</v>
      </c>
      <c r="I139" t="s">
        <v>320</v>
      </c>
      <c r="J139" t="s">
        <v>171</v>
      </c>
      <c r="K139" s="3">
        <v>46142</v>
      </c>
      <c r="L139" t="s">
        <v>328</v>
      </c>
      <c r="M139">
        <v>0.04</v>
      </c>
      <c r="N139">
        <v>2688</v>
      </c>
      <c r="O139">
        <f t="shared" si="6"/>
        <v>0.24</v>
      </c>
      <c r="P139">
        <f t="shared" si="7"/>
        <v>2.232142857142857E-3</v>
      </c>
      <c r="Q139" t="str">
        <f t="shared" si="8"/>
        <v>Q27-03</v>
      </c>
    </row>
    <row r="140" spans="1:17" x14ac:dyDescent="0.25">
      <c r="A140" t="s">
        <v>61</v>
      </c>
      <c r="B140" t="s">
        <v>317</v>
      </c>
      <c r="C140" t="s">
        <v>318</v>
      </c>
      <c r="D140" t="s">
        <v>180</v>
      </c>
      <c r="E140" t="s">
        <v>332</v>
      </c>
      <c r="F140" s="1">
        <v>8</v>
      </c>
      <c r="G140" s="1">
        <v>0</v>
      </c>
      <c r="H140" t="s">
        <v>17</v>
      </c>
      <c r="I140" t="s">
        <v>320</v>
      </c>
      <c r="J140" t="s">
        <v>171</v>
      </c>
      <c r="K140" s="3">
        <v>46142</v>
      </c>
      <c r="L140" t="s">
        <v>328</v>
      </c>
      <c r="M140">
        <v>0.04</v>
      </c>
      <c r="N140">
        <v>2688</v>
      </c>
      <c r="O140">
        <f t="shared" si="6"/>
        <v>0.32</v>
      </c>
      <c r="P140">
        <f t="shared" si="7"/>
        <v>2.976190476190476E-3</v>
      </c>
      <c r="Q140" t="str">
        <f t="shared" si="8"/>
        <v>Q27-03</v>
      </c>
    </row>
    <row r="141" spans="1:17" x14ac:dyDescent="0.25">
      <c r="A141" t="s">
        <v>61</v>
      </c>
      <c r="B141" t="s">
        <v>317</v>
      </c>
      <c r="C141" t="s">
        <v>318</v>
      </c>
      <c r="D141" t="s">
        <v>180</v>
      </c>
      <c r="E141" t="s">
        <v>333</v>
      </c>
      <c r="F141" s="1">
        <v>1</v>
      </c>
      <c r="G141" s="1">
        <v>0</v>
      </c>
      <c r="H141" t="s">
        <v>17</v>
      </c>
      <c r="I141" t="s">
        <v>320</v>
      </c>
      <c r="J141" t="s">
        <v>171</v>
      </c>
      <c r="K141" s="3">
        <v>46142</v>
      </c>
      <c r="L141" t="s">
        <v>328</v>
      </c>
      <c r="M141">
        <v>0.04</v>
      </c>
      <c r="N141">
        <v>2688</v>
      </c>
      <c r="O141">
        <f t="shared" si="6"/>
        <v>0.04</v>
      </c>
      <c r="P141">
        <f t="shared" si="7"/>
        <v>3.720238095238095E-4</v>
      </c>
      <c r="Q141" t="str">
        <f t="shared" si="8"/>
        <v>Q27-03</v>
      </c>
    </row>
    <row r="142" spans="1:17" x14ac:dyDescent="0.25">
      <c r="A142" t="s">
        <v>61</v>
      </c>
      <c r="B142" t="s">
        <v>317</v>
      </c>
      <c r="C142" t="s">
        <v>318</v>
      </c>
      <c r="D142" t="s">
        <v>195</v>
      </c>
      <c r="E142" t="s">
        <v>334</v>
      </c>
      <c r="F142" s="1">
        <v>2</v>
      </c>
      <c r="G142" s="1">
        <v>0</v>
      </c>
      <c r="H142" t="s">
        <v>17</v>
      </c>
      <c r="I142" t="s">
        <v>320</v>
      </c>
      <c r="J142" t="s">
        <v>171</v>
      </c>
      <c r="K142" s="3">
        <v>46142</v>
      </c>
      <c r="L142" t="s">
        <v>328</v>
      </c>
      <c r="M142">
        <v>0.04</v>
      </c>
      <c r="N142">
        <v>2688</v>
      </c>
      <c r="O142">
        <f t="shared" si="6"/>
        <v>0.08</v>
      </c>
      <c r="P142">
        <f t="shared" si="7"/>
        <v>7.4404761904761901E-4</v>
      </c>
      <c r="Q142" t="str">
        <f t="shared" si="8"/>
        <v>Q27-03</v>
      </c>
    </row>
    <row r="143" spans="1:17" x14ac:dyDescent="0.25">
      <c r="A143" t="s">
        <v>61</v>
      </c>
      <c r="B143" t="s">
        <v>317</v>
      </c>
      <c r="C143" t="s">
        <v>318</v>
      </c>
      <c r="D143" t="s">
        <v>195</v>
      </c>
      <c r="E143" t="s">
        <v>335</v>
      </c>
      <c r="F143" s="1">
        <v>4</v>
      </c>
      <c r="G143" s="1">
        <v>0</v>
      </c>
      <c r="H143" t="s">
        <v>17</v>
      </c>
      <c r="I143" t="s">
        <v>320</v>
      </c>
      <c r="J143" t="s">
        <v>171</v>
      </c>
      <c r="K143" s="3">
        <v>46142</v>
      </c>
      <c r="L143" t="s">
        <v>328</v>
      </c>
      <c r="M143">
        <v>0.04</v>
      </c>
      <c r="N143">
        <v>2688</v>
      </c>
      <c r="O143">
        <f t="shared" si="6"/>
        <v>0.16</v>
      </c>
      <c r="P143">
        <f t="shared" si="7"/>
        <v>1.488095238095238E-3</v>
      </c>
      <c r="Q143" t="str">
        <f t="shared" si="8"/>
        <v>Q27-03</v>
      </c>
    </row>
    <row r="144" spans="1:17" x14ac:dyDescent="0.25">
      <c r="A144" t="s">
        <v>61</v>
      </c>
      <c r="B144" t="s">
        <v>317</v>
      </c>
      <c r="C144" t="s">
        <v>318</v>
      </c>
      <c r="D144" t="s">
        <v>336</v>
      </c>
      <c r="E144" t="s">
        <v>337</v>
      </c>
      <c r="F144" s="1">
        <v>13</v>
      </c>
      <c r="G144" s="1">
        <v>0</v>
      </c>
      <c r="H144" t="s">
        <v>17</v>
      </c>
      <c r="I144" t="s">
        <v>320</v>
      </c>
      <c r="J144" t="s">
        <v>223</v>
      </c>
      <c r="K144" s="3">
        <v>46265</v>
      </c>
      <c r="L144" t="s">
        <v>338</v>
      </c>
      <c r="M144">
        <v>0.04</v>
      </c>
      <c r="N144">
        <v>2688</v>
      </c>
      <c r="O144">
        <f t="shared" si="6"/>
        <v>0.52</v>
      </c>
      <c r="P144">
        <f t="shared" si="7"/>
        <v>4.836309523809524E-3</v>
      </c>
      <c r="Q144" t="str">
        <f t="shared" si="8"/>
        <v>Q27-03</v>
      </c>
    </row>
    <row r="145" spans="1:17" x14ac:dyDescent="0.25">
      <c r="A145" t="s">
        <v>61</v>
      </c>
      <c r="B145" t="s">
        <v>317</v>
      </c>
      <c r="C145" t="s">
        <v>318</v>
      </c>
      <c r="D145" t="s">
        <v>191</v>
      </c>
      <c r="E145" t="s">
        <v>339</v>
      </c>
      <c r="F145" s="1">
        <v>6</v>
      </c>
      <c r="G145" s="1">
        <v>0</v>
      </c>
      <c r="H145" t="s">
        <v>17</v>
      </c>
      <c r="I145" t="s">
        <v>320</v>
      </c>
      <c r="J145" t="s">
        <v>223</v>
      </c>
      <c r="K145" s="3">
        <v>46265</v>
      </c>
      <c r="L145" t="s">
        <v>338</v>
      </c>
      <c r="M145">
        <v>0.04</v>
      </c>
      <c r="N145">
        <v>2688</v>
      </c>
      <c r="O145">
        <f t="shared" si="6"/>
        <v>0.24</v>
      </c>
      <c r="P145">
        <f t="shared" si="7"/>
        <v>2.232142857142857E-3</v>
      </c>
      <c r="Q145" t="str">
        <f t="shared" si="8"/>
        <v>Q27-03</v>
      </c>
    </row>
    <row r="146" spans="1:17" x14ac:dyDescent="0.25">
      <c r="A146" t="s">
        <v>61</v>
      </c>
      <c r="B146" t="s">
        <v>317</v>
      </c>
      <c r="C146" t="s">
        <v>318</v>
      </c>
      <c r="D146" t="s">
        <v>191</v>
      </c>
      <c r="E146" t="s">
        <v>340</v>
      </c>
      <c r="F146" s="1">
        <v>12</v>
      </c>
      <c r="G146" s="1">
        <v>0</v>
      </c>
      <c r="H146" t="s">
        <v>17</v>
      </c>
      <c r="I146" t="s">
        <v>320</v>
      </c>
      <c r="J146" t="s">
        <v>223</v>
      </c>
      <c r="K146" s="3">
        <v>46265</v>
      </c>
      <c r="L146" t="s">
        <v>338</v>
      </c>
      <c r="M146">
        <v>0.04</v>
      </c>
      <c r="N146">
        <v>2688</v>
      </c>
      <c r="O146">
        <f t="shared" si="6"/>
        <v>0.48</v>
      </c>
      <c r="P146">
        <f t="shared" si="7"/>
        <v>4.464285714285714E-3</v>
      </c>
      <c r="Q146" t="str">
        <f t="shared" si="8"/>
        <v>Q27-03</v>
      </c>
    </row>
    <row r="147" spans="1:17" x14ac:dyDescent="0.25">
      <c r="A147" t="s">
        <v>61</v>
      </c>
      <c r="B147" t="s">
        <v>317</v>
      </c>
      <c r="C147" t="s">
        <v>318</v>
      </c>
      <c r="D147" t="s">
        <v>195</v>
      </c>
      <c r="E147" t="s">
        <v>341</v>
      </c>
      <c r="F147" s="1">
        <v>23</v>
      </c>
      <c r="G147" s="1">
        <v>0</v>
      </c>
      <c r="H147" t="s">
        <v>17</v>
      </c>
      <c r="I147" t="s">
        <v>320</v>
      </c>
      <c r="J147" t="s">
        <v>223</v>
      </c>
      <c r="K147" s="3">
        <v>46265</v>
      </c>
      <c r="L147" t="s">
        <v>338</v>
      </c>
      <c r="M147">
        <v>0.04</v>
      </c>
      <c r="N147">
        <v>2688</v>
      </c>
      <c r="O147">
        <f t="shared" si="6"/>
        <v>0.92</v>
      </c>
      <c r="P147">
        <f t="shared" si="7"/>
        <v>8.5565476190476199E-3</v>
      </c>
      <c r="Q147" t="str">
        <f t="shared" si="8"/>
        <v>Q27-03</v>
      </c>
    </row>
    <row r="148" spans="1:17" x14ac:dyDescent="0.25">
      <c r="A148" t="s">
        <v>61</v>
      </c>
      <c r="B148" t="s">
        <v>317</v>
      </c>
      <c r="C148" t="s">
        <v>318</v>
      </c>
      <c r="D148" t="s">
        <v>73</v>
      </c>
      <c r="E148" t="s">
        <v>342</v>
      </c>
      <c r="F148" s="1">
        <v>1</v>
      </c>
      <c r="G148" s="1">
        <v>0</v>
      </c>
      <c r="H148" t="s">
        <v>17</v>
      </c>
      <c r="I148" t="s">
        <v>320</v>
      </c>
      <c r="J148" t="s">
        <v>213</v>
      </c>
      <c r="K148" s="3">
        <v>46142</v>
      </c>
      <c r="L148" t="s">
        <v>343</v>
      </c>
      <c r="M148">
        <v>0.04</v>
      </c>
      <c r="N148">
        <v>2688</v>
      </c>
      <c r="O148">
        <f t="shared" si="6"/>
        <v>0.04</v>
      </c>
      <c r="P148">
        <f t="shared" si="7"/>
        <v>3.720238095238095E-4</v>
      </c>
      <c r="Q148" t="str">
        <f t="shared" si="8"/>
        <v>Q26-01</v>
      </c>
    </row>
    <row r="149" spans="1:17" x14ac:dyDescent="0.25">
      <c r="A149" t="s">
        <v>61</v>
      </c>
      <c r="B149" t="s">
        <v>317</v>
      </c>
      <c r="C149" t="s">
        <v>318</v>
      </c>
      <c r="D149" t="s">
        <v>180</v>
      </c>
      <c r="E149" t="s">
        <v>344</v>
      </c>
      <c r="F149" s="1">
        <v>9</v>
      </c>
      <c r="G149" s="1">
        <v>0</v>
      </c>
      <c r="H149" t="s">
        <v>17</v>
      </c>
      <c r="I149" t="s">
        <v>320</v>
      </c>
      <c r="J149" t="s">
        <v>213</v>
      </c>
      <c r="K149" s="3">
        <v>46142</v>
      </c>
      <c r="L149" t="s">
        <v>343</v>
      </c>
      <c r="M149">
        <v>0.04</v>
      </c>
      <c r="N149">
        <v>2688</v>
      </c>
      <c r="O149">
        <f t="shared" si="6"/>
        <v>0.36</v>
      </c>
      <c r="P149">
        <f t="shared" si="7"/>
        <v>3.3482142857142855E-3</v>
      </c>
      <c r="Q149" t="str">
        <f t="shared" si="8"/>
        <v>Q27-03</v>
      </c>
    </row>
    <row r="150" spans="1:17" x14ac:dyDescent="0.25">
      <c r="A150" t="s">
        <v>61</v>
      </c>
      <c r="B150" t="s">
        <v>317</v>
      </c>
      <c r="C150" t="s">
        <v>318</v>
      </c>
      <c r="D150" t="s">
        <v>180</v>
      </c>
      <c r="E150" t="s">
        <v>345</v>
      </c>
      <c r="F150" s="1">
        <v>7</v>
      </c>
      <c r="G150" s="1">
        <v>0</v>
      </c>
      <c r="H150" t="s">
        <v>17</v>
      </c>
      <c r="I150" t="s">
        <v>320</v>
      </c>
      <c r="J150" t="s">
        <v>213</v>
      </c>
      <c r="K150" s="3">
        <v>46142</v>
      </c>
      <c r="L150" t="s">
        <v>343</v>
      </c>
      <c r="M150">
        <v>0.04</v>
      </c>
      <c r="N150">
        <v>2688</v>
      </c>
      <c r="O150">
        <f t="shared" si="6"/>
        <v>0.28000000000000003</v>
      </c>
      <c r="P150">
        <f t="shared" si="7"/>
        <v>2.6041666666666665E-3</v>
      </c>
      <c r="Q150" t="str">
        <f t="shared" si="8"/>
        <v>Q27-03</v>
      </c>
    </row>
    <row r="151" spans="1:17" x14ac:dyDescent="0.25">
      <c r="A151" t="s">
        <v>61</v>
      </c>
      <c r="B151" t="s">
        <v>317</v>
      </c>
      <c r="C151" t="s">
        <v>318</v>
      </c>
      <c r="D151" t="s">
        <v>180</v>
      </c>
      <c r="E151" t="s">
        <v>346</v>
      </c>
      <c r="F151" s="1">
        <v>5</v>
      </c>
      <c r="G151" s="1">
        <v>0</v>
      </c>
      <c r="H151" t="s">
        <v>17</v>
      </c>
      <c r="I151" t="s">
        <v>320</v>
      </c>
      <c r="J151" t="s">
        <v>213</v>
      </c>
      <c r="K151" s="3">
        <v>46142</v>
      </c>
      <c r="L151" t="s">
        <v>343</v>
      </c>
      <c r="M151">
        <v>0.04</v>
      </c>
      <c r="N151">
        <v>2688</v>
      </c>
      <c r="O151">
        <f t="shared" si="6"/>
        <v>0.2</v>
      </c>
      <c r="P151">
        <f t="shared" si="7"/>
        <v>1.8601190476190475E-3</v>
      </c>
      <c r="Q151" t="str">
        <f t="shared" si="8"/>
        <v>Q27-03</v>
      </c>
    </row>
    <row r="152" spans="1:17" x14ac:dyDescent="0.25">
      <c r="A152" t="s">
        <v>61</v>
      </c>
      <c r="B152" t="s">
        <v>317</v>
      </c>
      <c r="C152" t="s">
        <v>318</v>
      </c>
      <c r="D152" t="s">
        <v>180</v>
      </c>
      <c r="E152" t="s">
        <v>347</v>
      </c>
      <c r="F152" s="1">
        <v>14</v>
      </c>
      <c r="G152" s="1">
        <v>0</v>
      </c>
      <c r="H152" t="s">
        <v>17</v>
      </c>
      <c r="I152" t="s">
        <v>320</v>
      </c>
      <c r="J152" t="s">
        <v>213</v>
      </c>
      <c r="K152" s="3">
        <v>46142</v>
      </c>
      <c r="L152" t="s">
        <v>343</v>
      </c>
      <c r="M152">
        <v>0.04</v>
      </c>
      <c r="N152">
        <v>2688</v>
      </c>
      <c r="O152">
        <f t="shared" si="6"/>
        <v>0.56000000000000005</v>
      </c>
      <c r="P152">
        <f t="shared" si="7"/>
        <v>5.208333333333333E-3</v>
      </c>
      <c r="Q152" t="str">
        <f t="shared" si="8"/>
        <v>Q27-03</v>
      </c>
    </row>
    <row r="153" spans="1:17" x14ac:dyDescent="0.25">
      <c r="A153" t="s">
        <v>61</v>
      </c>
      <c r="B153" t="s">
        <v>317</v>
      </c>
      <c r="C153" t="s">
        <v>318</v>
      </c>
      <c r="D153" t="s">
        <v>180</v>
      </c>
      <c r="E153" t="s">
        <v>348</v>
      </c>
      <c r="F153" s="1">
        <v>5</v>
      </c>
      <c r="G153" s="1">
        <v>0</v>
      </c>
      <c r="H153" t="s">
        <v>17</v>
      </c>
      <c r="I153" t="s">
        <v>320</v>
      </c>
      <c r="J153" t="s">
        <v>213</v>
      </c>
      <c r="K153" s="3">
        <v>46142</v>
      </c>
      <c r="L153" t="s">
        <v>343</v>
      </c>
      <c r="M153">
        <v>0.04</v>
      </c>
      <c r="N153">
        <v>2688</v>
      </c>
      <c r="O153">
        <f t="shared" si="6"/>
        <v>0.2</v>
      </c>
      <c r="P153">
        <f t="shared" si="7"/>
        <v>1.8601190476190475E-3</v>
      </c>
      <c r="Q153" t="str">
        <f t="shared" si="8"/>
        <v>Q27-03</v>
      </c>
    </row>
    <row r="154" spans="1:17" x14ac:dyDescent="0.25">
      <c r="A154" t="s">
        <v>61</v>
      </c>
      <c r="B154" t="s">
        <v>317</v>
      </c>
      <c r="C154" t="s">
        <v>318</v>
      </c>
      <c r="D154" t="s">
        <v>195</v>
      </c>
      <c r="E154" t="s">
        <v>349</v>
      </c>
      <c r="F154" s="1">
        <v>2</v>
      </c>
      <c r="G154" s="1">
        <v>0</v>
      </c>
      <c r="H154" t="s">
        <v>17</v>
      </c>
      <c r="I154" t="s">
        <v>320</v>
      </c>
      <c r="J154" t="s">
        <v>213</v>
      </c>
      <c r="K154" s="3">
        <v>46142</v>
      </c>
      <c r="L154" t="s">
        <v>343</v>
      </c>
      <c r="M154">
        <v>0.04</v>
      </c>
      <c r="N154">
        <v>2688</v>
      </c>
      <c r="O154">
        <f t="shared" si="6"/>
        <v>0.08</v>
      </c>
      <c r="P154">
        <f t="shared" si="7"/>
        <v>7.4404761904761901E-4</v>
      </c>
      <c r="Q154" t="str">
        <f t="shared" si="8"/>
        <v>Q27-03</v>
      </c>
    </row>
    <row r="155" spans="1:17" x14ac:dyDescent="0.25">
      <c r="A155" t="s">
        <v>61</v>
      </c>
      <c r="B155" t="s">
        <v>317</v>
      </c>
      <c r="C155" t="s">
        <v>318</v>
      </c>
      <c r="D155" t="s">
        <v>195</v>
      </c>
      <c r="E155" t="s">
        <v>350</v>
      </c>
      <c r="F155" s="1">
        <v>1</v>
      </c>
      <c r="G155" s="1">
        <v>0</v>
      </c>
      <c r="H155" t="s">
        <v>17</v>
      </c>
      <c r="I155" t="s">
        <v>320</v>
      </c>
      <c r="J155" t="s">
        <v>213</v>
      </c>
      <c r="K155" s="3">
        <v>46142</v>
      </c>
      <c r="L155" t="s">
        <v>343</v>
      </c>
      <c r="M155">
        <v>0.04</v>
      </c>
      <c r="N155">
        <v>2688</v>
      </c>
      <c r="O155">
        <f t="shared" si="6"/>
        <v>0.04</v>
      </c>
      <c r="P155">
        <f t="shared" si="7"/>
        <v>3.720238095238095E-4</v>
      </c>
      <c r="Q155" t="str">
        <f t="shared" si="8"/>
        <v>Q27-03</v>
      </c>
    </row>
    <row r="156" spans="1:17" x14ac:dyDescent="0.25">
      <c r="A156" t="s">
        <v>61</v>
      </c>
      <c r="B156" t="s">
        <v>317</v>
      </c>
      <c r="C156" t="s">
        <v>318</v>
      </c>
      <c r="D156" t="s">
        <v>195</v>
      </c>
      <c r="E156" t="s">
        <v>351</v>
      </c>
      <c r="F156" s="1">
        <v>1</v>
      </c>
      <c r="G156" s="1">
        <v>0</v>
      </c>
      <c r="H156" t="s">
        <v>17</v>
      </c>
      <c r="I156" t="s">
        <v>320</v>
      </c>
      <c r="J156" t="s">
        <v>213</v>
      </c>
      <c r="K156" s="3">
        <v>46142</v>
      </c>
      <c r="L156" t="s">
        <v>343</v>
      </c>
      <c r="M156">
        <v>0.04</v>
      </c>
      <c r="N156">
        <v>2688</v>
      </c>
      <c r="O156">
        <f t="shared" si="6"/>
        <v>0.04</v>
      </c>
      <c r="P156">
        <f t="shared" si="7"/>
        <v>3.720238095238095E-4</v>
      </c>
      <c r="Q156" t="str">
        <f t="shared" si="8"/>
        <v>Q27-03</v>
      </c>
    </row>
    <row r="157" spans="1:17" x14ac:dyDescent="0.25">
      <c r="A157" t="s">
        <v>61</v>
      </c>
      <c r="B157" t="s">
        <v>352</v>
      </c>
      <c r="C157" t="s">
        <v>353</v>
      </c>
      <c r="D157" t="s">
        <v>198</v>
      </c>
      <c r="E157" t="s">
        <v>354</v>
      </c>
      <c r="F157" s="1">
        <v>1</v>
      </c>
      <c r="G157" s="1">
        <v>0</v>
      </c>
      <c r="H157" t="s">
        <v>17</v>
      </c>
      <c r="I157" t="s">
        <v>355</v>
      </c>
      <c r="J157" t="s">
        <v>356</v>
      </c>
      <c r="K157" s="3">
        <v>46234</v>
      </c>
      <c r="L157" t="s">
        <v>357</v>
      </c>
      <c r="M157">
        <v>5.0999999999999997E-2</v>
      </c>
      <c r="N157">
        <v>2880</v>
      </c>
      <c r="O157">
        <f t="shared" si="6"/>
        <v>5.0999999999999997E-2</v>
      </c>
      <c r="P157">
        <f t="shared" si="7"/>
        <v>3.4722222222222224E-4</v>
      </c>
      <c r="Q157" t="str">
        <f t="shared" si="8"/>
        <v>Q27-03</v>
      </c>
    </row>
    <row r="158" spans="1:17" x14ac:dyDescent="0.25">
      <c r="A158" t="s">
        <v>61</v>
      </c>
      <c r="B158" t="s">
        <v>352</v>
      </c>
      <c r="C158" t="s">
        <v>353</v>
      </c>
      <c r="D158" t="s">
        <v>198</v>
      </c>
      <c r="E158" t="s">
        <v>358</v>
      </c>
      <c r="F158" s="1">
        <v>1</v>
      </c>
      <c r="G158" s="1">
        <v>0</v>
      </c>
      <c r="H158" t="s">
        <v>17</v>
      </c>
      <c r="I158" t="s">
        <v>355</v>
      </c>
      <c r="J158" t="s">
        <v>356</v>
      </c>
      <c r="K158" s="3">
        <v>46234</v>
      </c>
      <c r="L158" t="s">
        <v>357</v>
      </c>
      <c r="M158">
        <v>5.0999999999999997E-2</v>
      </c>
      <c r="N158">
        <v>2880</v>
      </c>
      <c r="O158">
        <f t="shared" si="6"/>
        <v>5.0999999999999997E-2</v>
      </c>
      <c r="P158">
        <f t="shared" si="7"/>
        <v>3.4722222222222224E-4</v>
      </c>
      <c r="Q158" t="str">
        <f t="shared" si="8"/>
        <v>Q27-03</v>
      </c>
    </row>
    <row r="159" spans="1:17" x14ac:dyDescent="0.25">
      <c r="A159" t="s">
        <v>61</v>
      </c>
      <c r="B159" t="s">
        <v>359</v>
      </c>
      <c r="C159" t="s">
        <v>360</v>
      </c>
      <c r="D159" t="s">
        <v>64</v>
      </c>
      <c r="E159" t="s">
        <v>361</v>
      </c>
      <c r="F159" s="1">
        <v>7</v>
      </c>
      <c r="G159" s="1">
        <v>0</v>
      </c>
      <c r="H159" t="s">
        <v>17</v>
      </c>
      <c r="I159" t="s">
        <v>362</v>
      </c>
      <c r="J159" t="s">
        <v>307</v>
      </c>
      <c r="K159" s="3">
        <v>46053</v>
      </c>
      <c r="L159" t="s">
        <v>363</v>
      </c>
      <c r="M159">
        <v>5.3999999999999999E-2</v>
      </c>
      <c r="N159">
        <v>2880</v>
      </c>
      <c r="O159">
        <f t="shared" si="6"/>
        <v>0.378</v>
      </c>
      <c r="P159">
        <f t="shared" si="7"/>
        <v>2.4305555555555556E-3</v>
      </c>
      <c r="Q159" t="str">
        <f t="shared" si="8"/>
        <v>Q27-01</v>
      </c>
    </row>
    <row r="160" spans="1:17" x14ac:dyDescent="0.25">
      <c r="A160" t="s">
        <v>61</v>
      </c>
      <c r="B160" t="s">
        <v>364</v>
      </c>
      <c r="C160" t="s">
        <v>365</v>
      </c>
      <c r="D160" t="s">
        <v>195</v>
      </c>
      <c r="E160" t="s">
        <v>366</v>
      </c>
      <c r="F160" s="1">
        <v>32</v>
      </c>
      <c r="G160" s="1">
        <v>0</v>
      </c>
      <c r="H160" t="s">
        <v>17</v>
      </c>
      <c r="I160" t="s">
        <v>367</v>
      </c>
      <c r="J160" t="s">
        <v>313</v>
      </c>
      <c r="K160" s="3">
        <v>46326</v>
      </c>
      <c r="L160" t="s">
        <v>368</v>
      </c>
      <c r="M160">
        <v>0.158</v>
      </c>
      <c r="N160">
        <v>1152</v>
      </c>
      <c r="O160">
        <f t="shared" si="6"/>
        <v>5.056</v>
      </c>
      <c r="P160">
        <f t="shared" si="7"/>
        <v>2.7777777777777776E-2</v>
      </c>
      <c r="Q160" t="str">
        <f t="shared" si="8"/>
        <v>Q27-03</v>
      </c>
    </row>
    <row r="161" spans="1:17" x14ac:dyDescent="0.25">
      <c r="A161" t="s">
        <v>61</v>
      </c>
      <c r="B161" t="s">
        <v>364</v>
      </c>
      <c r="C161" t="s">
        <v>365</v>
      </c>
      <c r="D161" t="s">
        <v>73</v>
      </c>
      <c r="E161" t="s">
        <v>369</v>
      </c>
      <c r="F161" s="1">
        <v>21</v>
      </c>
      <c r="G161" s="1">
        <v>0</v>
      </c>
      <c r="H161" t="s">
        <v>17</v>
      </c>
      <c r="I161" t="s">
        <v>367</v>
      </c>
      <c r="J161" t="s">
        <v>370</v>
      </c>
      <c r="K161" s="3">
        <v>46326</v>
      </c>
      <c r="L161" t="s">
        <v>368</v>
      </c>
      <c r="M161">
        <v>0.158</v>
      </c>
      <c r="N161">
        <v>1152</v>
      </c>
      <c r="O161">
        <f t="shared" si="6"/>
        <v>3.3180000000000001</v>
      </c>
      <c r="P161">
        <f t="shared" si="7"/>
        <v>1.8229166666666668E-2</v>
      </c>
      <c r="Q161" t="str">
        <f t="shared" si="8"/>
        <v>Q26-01</v>
      </c>
    </row>
    <row r="162" spans="1:17" x14ac:dyDescent="0.25">
      <c r="A162" t="s">
        <v>61</v>
      </c>
      <c r="B162" t="s">
        <v>364</v>
      </c>
      <c r="C162" t="s">
        <v>365</v>
      </c>
      <c r="D162" t="s">
        <v>198</v>
      </c>
      <c r="E162" t="s">
        <v>371</v>
      </c>
      <c r="F162" s="1">
        <v>60</v>
      </c>
      <c r="G162" s="1">
        <v>0</v>
      </c>
      <c r="H162" t="s">
        <v>17</v>
      </c>
      <c r="I162" t="s">
        <v>367</v>
      </c>
      <c r="J162" t="s">
        <v>370</v>
      </c>
      <c r="K162" s="3">
        <v>46326</v>
      </c>
      <c r="L162" t="s">
        <v>368</v>
      </c>
      <c r="M162">
        <v>0.158</v>
      </c>
      <c r="N162">
        <v>1152</v>
      </c>
      <c r="O162">
        <f t="shared" si="6"/>
        <v>9.48</v>
      </c>
      <c r="P162">
        <f t="shared" si="7"/>
        <v>5.2083333333333336E-2</v>
      </c>
      <c r="Q162" t="str">
        <f t="shared" si="8"/>
        <v>Q27-03</v>
      </c>
    </row>
    <row r="163" spans="1:17" x14ac:dyDescent="0.25">
      <c r="A163" t="s">
        <v>61</v>
      </c>
      <c r="B163" t="s">
        <v>364</v>
      </c>
      <c r="C163" t="s">
        <v>365</v>
      </c>
      <c r="D163" t="s">
        <v>73</v>
      </c>
      <c r="E163" t="s">
        <v>372</v>
      </c>
      <c r="F163" s="1">
        <v>2</v>
      </c>
      <c r="G163" s="1">
        <v>0</v>
      </c>
      <c r="H163" t="s">
        <v>17</v>
      </c>
      <c r="I163" t="s">
        <v>367</v>
      </c>
      <c r="J163" t="s">
        <v>203</v>
      </c>
      <c r="K163" s="3">
        <v>46295</v>
      </c>
      <c r="L163" t="s">
        <v>373</v>
      </c>
      <c r="M163">
        <v>0.158</v>
      </c>
      <c r="N163">
        <v>1152</v>
      </c>
      <c r="O163">
        <f t="shared" si="6"/>
        <v>0.316</v>
      </c>
      <c r="P163">
        <f t="shared" si="7"/>
        <v>1.736111111111111E-3</v>
      </c>
      <c r="Q163" t="str">
        <f t="shared" si="8"/>
        <v>Q26-01</v>
      </c>
    </row>
    <row r="164" spans="1:17" x14ac:dyDescent="0.25">
      <c r="A164" t="s">
        <v>61</v>
      </c>
      <c r="B164" t="s">
        <v>364</v>
      </c>
      <c r="C164" t="s">
        <v>365</v>
      </c>
      <c r="D164" t="s">
        <v>73</v>
      </c>
      <c r="E164" t="s">
        <v>374</v>
      </c>
      <c r="F164" s="1">
        <v>1</v>
      </c>
      <c r="G164" s="1">
        <v>0</v>
      </c>
      <c r="H164" t="s">
        <v>17</v>
      </c>
      <c r="I164" t="s">
        <v>367</v>
      </c>
      <c r="J164" t="s">
        <v>203</v>
      </c>
      <c r="K164" s="3">
        <v>46295</v>
      </c>
      <c r="L164" t="s">
        <v>373</v>
      </c>
      <c r="M164">
        <v>0.158</v>
      </c>
      <c r="N164">
        <v>1152</v>
      </c>
      <c r="O164">
        <f t="shared" si="6"/>
        <v>0.158</v>
      </c>
      <c r="P164">
        <f t="shared" si="7"/>
        <v>8.6805555555555551E-4</v>
      </c>
      <c r="Q164" t="str">
        <f t="shared" si="8"/>
        <v>Q26-01</v>
      </c>
    </row>
    <row r="165" spans="1:17" x14ac:dyDescent="0.25">
      <c r="A165" t="s">
        <v>61</v>
      </c>
      <c r="B165" t="s">
        <v>364</v>
      </c>
      <c r="C165" t="s">
        <v>365</v>
      </c>
      <c r="D165" t="s">
        <v>198</v>
      </c>
      <c r="E165" t="s">
        <v>375</v>
      </c>
      <c r="F165" s="1">
        <v>50</v>
      </c>
      <c r="G165" s="1">
        <v>0</v>
      </c>
      <c r="H165" t="s">
        <v>17</v>
      </c>
      <c r="I165" t="s">
        <v>367</v>
      </c>
      <c r="J165" t="s">
        <v>203</v>
      </c>
      <c r="K165" s="3">
        <v>46295</v>
      </c>
      <c r="L165" t="s">
        <v>373</v>
      </c>
      <c r="M165">
        <v>0.158</v>
      </c>
      <c r="N165">
        <v>1152</v>
      </c>
      <c r="O165">
        <f t="shared" si="6"/>
        <v>7.9</v>
      </c>
      <c r="P165">
        <f t="shared" si="7"/>
        <v>4.3402777777777776E-2</v>
      </c>
      <c r="Q165" t="str">
        <f t="shared" si="8"/>
        <v>Q27-03</v>
      </c>
    </row>
    <row r="166" spans="1:17" x14ac:dyDescent="0.25">
      <c r="A166" t="s">
        <v>61</v>
      </c>
      <c r="B166" t="s">
        <v>364</v>
      </c>
      <c r="C166" t="s">
        <v>365</v>
      </c>
      <c r="D166" t="s">
        <v>198</v>
      </c>
      <c r="E166" t="s">
        <v>376</v>
      </c>
      <c r="F166" s="1">
        <v>47</v>
      </c>
      <c r="G166" s="1">
        <v>0</v>
      </c>
      <c r="H166" t="s">
        <v>17</v>
      </c>
      <c r="I166" t="s">
        <v>367</v>
      </c>
      <c r="J166" t="s">
        <v>203</v>
      </c>
      <c r="K166" s="3">
        <v>46295</v>
      </c>
      <c r="L166" t="s">
        <v>373</v>
      </c>
      <c r="M166">
        <v>0.158</v>
      </c>
      <c r="N166">
        <v>1152</v>
      </c>
      <c r="O166">
        <f t="shared" si="6"/>
        <v>7.4260000000000002</v>
      </c>
      <c r="P166">
        <f t="shared" si="7"/>
        <v>4.0798611111111112E-2</v>
      </c>
      <c r="Q166" t="str">
        <f t="shared" si="8"/>
        <v>Q27-03</v>
      </c>
    </row>
    <row r="167" spans="1:17" x14ac:dyDescent="0.25">
      <c r="A167" t="s">
        <v>61</v>
      </c>
      <c r="B167" t="s">
        <v>364</v>
      </c>
      <c r="C167" t="s">
        <v>365</v>
      </c>
      <c r="D167" t="s">
        <v>198</v>
      </c>
      <c r="E167" t="s">
        <v>377</v>
      </c>
      <c r="F167" s="1">
        <v>24</v>
      </c>
      <c r="G167" s="1">
        <v>0</v>
      </c>
      <c r="H167" t="s">
        <v>17</v>
      </c>
      <c r="I167" t="s">
        <v>367</v>
      </c>
      <c r="J167" t="s">
        <v>203</v>
      </c>
      <c r="K167" s="3">
        <v>46295</v>
      </c>
      <c r="L167" t="s">
        <v>373</v>
      </c>
      <c r="M167">
        <v>0.158</v>
      </c>
      <c r="N167">
        <v>1152</v>
      </c>
      <c r="O167">
        <f t="shared" si="6"/>
        <v>3.7919999999999998</v>
      </c>
      <c r="P167">
        <f t="shared" si="7"/>
        <v>2.0833333333333332E-2</v>
      </c>
      <c r="Q167" t="str">
        <f t="shared" si="8"/>
        <v>Q27-03</v>
      </c>
    </row>
    <row r="168" spans="1:17" x14ac:dyDescent="0.25">
      <c r="A168" t="s">
        <v>61</v>
      </c>
      <c r="B168" t="s">
        <v>364</v>
      </c>
      <c r="C168" t="s">
        <v>365</v>
      </c>
      <c r="D168" t="s">
        <v>180</v>
      </c>
      <c r="E168" t="s">
        <v>378</v>
      </c>
      <c r="F168" s="1">
        <v>3</v>
      </c>
      <c r="G168" s="1">
        <v>0</v>
      </c>
      <c r="H168" t="s">
        <v>17</v>
      </c>
      <c r="I168" t="s">
        <v>367</v>
      </c>
      <c r="J168" t="s">
        <v>379</v>
      </c>
      <c r="K168" s="3">
        <v>46295</v>
      </c>
      <c r="L168" t="s">
        <v>373</v>
      </c>
      <c r="M168">
        <v>0.158</v>
      </c>
      <c r="N168">
        <v>1152</v>
      </c>
      <c r="O168">
        <f t="shared" si="6"/>
        <v>0.47399999999999998</v>
      </c>
      <c r="P168">
        <f t="shared" si="7"/>
        <v>2.6041666666666665E-3</v>
      </c>
      <c r="Q168" t="str">
        <f t="shared" si="8"/>
        <v>Q27-03</v>
      </c>
    </row>
    <row r="169" spans="1:17" x14ac:dyDescent="0.25">
      <c r="A169" t="s">
        <v>61</v>
      </c>
      <c r="B169" t="s">
        <v>364</v>
      </c>
      <c r="C169" t="s">
        <v>365</v>
      </c>
      <c r="D169" t="s">
        <v>180</v>
      </c>
      <c r="E169" t="s">
        <v>380</v>
      </c>
      <c r="F169" s="1">
        <v>11</v>
      </c>
      <c r="G169" s="1">
        <v>0</v>
      </c>
      <c r="H169" t="s">
        <v>17</v>
      </c>
      <c r="I169" t="s">
        <v>367</v>
      </c>
      <c r="J169" t="s">
        <v>379</v>
      </c>
      <c r="K169" s="3">
        <v>46295</v>
      </c>
      <c r="L169" t="s">
        <v>373</v>
      </c>
      <c r="M169">
        <v>0.158</v>
      </c>
      <c r="N169">
        <v>1152</v>
      </c>
      <c r="O169">
        <f t="shared" si="6"/>
        <v>1.738</v>
      </c>
      <c r="P169">
        <f t="shared" si="7"/>
        <v>9.5486111111111119E-3</v>
      </c>
      <c r="Q169" t="str">
        <f t="shared" si="8"/>
        <v>Q27-03</v>
      </c>
    </row>
    <row r="170" spans="1:17" x14ac:dyDescent="0.25">
      <c r="A170" t="s">
        <v>61</v>
      </c>
      <c r="B170" t="s">
        <v>364</v>
      </c>
      <c r="C170" t="s">
        <v>365</v>
      </c>
      <c r="D170" t="s">
        <v>180</v>
      </c>
      <c r="E170" t="s">
        <v>381</v>
      </c>
      <c r="F170" s="1">
        <v>23</v>
      </c>
      <c r="G170" s="1">
        <v>0</v>
      </c>
      <c r="H170" t="s">
        <v>17</v>
      </c>
      <c r="I170" t="s">
        <v>367</v>
      </c>
      <c r="J170" t="s">
        <v>379</v>
      </c>
      <c r="K170" s="3">
        <v>46295</v>
      </c>
      <c r="L170" t="s">
        <v>373</v>
      </c>
      <c r="M170">
        <v>0.158</v>
      </c>
      <c r="N170">
        <v>1152</v>
      </c>
      <c r="O170">
        <f t="shared" si="6"/>
        <v>3.6339999999999999</v>
      </c>
      <c r="P170">
        <f t="shared" si="7"/>
        <v>1.9965277777777776E-2</v>
      </c>
      <c r="Q170" t="str">
        <f t="shared" si="8"/>
        <v>Q27-03</v>
      </c>
    </row>
    <row r="171" spans="1:17" x14ac:dyDescent="0.25">
      <c r="A171" t="s">
        <v>61</v>
      </c>
      <c r="B171" t="s">
        <v>364</v>
      </c>
      <c r="C171" t="s">
        <v>365</v>
      </c>
      <c r="D171" t="s">
        <v>382</v>
      </c>
      <c r="E171" t="s">
        <v>383</v>
      </c>
      <c r="F171" s="1">
        <v>1</v>
      </c>
      <c r="G171" s="1">
        <v>0</v>
      </c>
      <c r="H171" t="s">
        <v>17</v>
      </c>
      <c r="I171" t="s">
        <v>367</v>
      </c>
      <c r="J171" t="s">
        <v>384</v>
      </c>
      <c r="K171" s="3">
        <v>46295</v>
      </c>
      <c r="L171" t="s">
        <v>373</v>
      </c>
      <c r="M171">
        <v>0.158</v>
      </c>
      <c r="N171">
        <v>1152</v>
      </c>
      <c r="O171">
        <f t="shared" si="6"/>
        <v>0.158</v>
      </c>
      <c r="P171">
        <f t="shared" si="7"/>
        <v>8.6805555555555551E-4</v>
      </c>
      <c r="Q171" t="str">
        <f t="shared" si="8"/>
        <v>Q27-03</v>
      </c>
    </row>
    <row r="172" spans="1:17" x14ac:dyDescent="0.25">
      <c r="A172" t="s">
        <v>385</v>
      </c>
      <c r="B172" t="s">
        <v>386</v>
      </c>
      <c r="C172" t="s">
        <v>387</v>
      </c>
      <c r="D172" t="s">
        <v>388</v>
      </c>
      <c r="E172" t="s">
        <v>389</v>
      </c>
      <c r="F172" s="1">
        <v>1</v>
      </c>
      <c r="G172" s="1">
        <v>0</v>
      </c>
      <c r="H172" t="s">
        <v>17</v>
      </c>
      <c r="I172" t="s">
        <v>390</v>
      </c>
      <c r="J172" t="s">
        <v>391</v>
      </c>
      <c r="K172" s="3">
        <v>46043</v>
      </c>
      <c r="L172" t="s">
        <v>392</v>
      </c>
      <c r="M172">
        <v>2.5999999999999999E-2</v>
      </c>
      <c r="N172">
        <v>4752</v>
      </c>
      <c r="O172">
        <f t="shared" si="6"/>
        <v>2.5999999999999999E-2</v>
      </c>
      <c r="P172">
        <f t="shared" si="7"/>
        <v>2.1043771043771043E-4</v>
      </c>
      <c r="Q172" t="str">
        <f t="shared" si="8"/>
        <v>Q26-03</v>
      </c>
    </row>
    <row r="173" spans="1:17" x14ac:dyDescent="0.25">
      <c r="A173" t="s">
        <v>385</v>
      </c>
      <c r="B173" t="s">
        <v>393</v>
      </c>
      <c r="C173" t="s">
        <v>394</v>
      </c>
      <c r="D173" t="s">
        <v>144</v>
      </c>
      <c r="E173" t="s">
        <v>395</v>
      </c>
      <c r="F173" s="1">
        <v>157</v>
      </c>
      <c r="G173" s="1">
        <v>0</v>
      </c>
      <c r="H173" t="s">
        <v>17</v>
      </c>
      <c r="I173" t="s">
        <v>84</v>
      </c>
      <c r="J173" t="s">
        <v>90</v>
      </c>
      <c r="K173" s="3">
        <v>46171</v>
      </c>
      <c r="L173" t="s">
        <v>396</v>
      </c>
      <c r="M173">
        <v>0</v>
      </c>
      <c r="N173">
        <v>0</v>
      </c>
      <c r="O173">
        <f t="shared" si="6"/>
        <v>0</v>
      </c>
      <c r="Q173" t="str">
        <f t="shared" si="8"/>
        <v>QM4-01</v>
      </c>
    </row>
    <row r="174" spans="1:17" x14ac:dyDescent="0.25">
      <c r="A174" t="s">
        <v>385</v>
      </c>
      <c r="B174" t="s">
        <v>397</v>
      </c>
      <c r="C174" t="s">
        <v>398</v>
      </c>
      <c r="D174" t="s">
        <v>144</v>
      </c>
      <c r="E174" t="s">
        <v>399</v>
      </c>
      <c r="F174" s="2">
        <v>1084</v>
      </c>
      <c r="G174" s="1">
        <v>0</v>
      </c>
      <c r="H174" t="s">
        <v>17</v>
      </c>
      <c r="I174" t="s">
        <v>84</v>
      </c>
      <c r="J174" t="s">
        <v>90</v>
      </c>
      <c r="K174" s="3">
        <v>46171</v>
      </c>
      <c r="L174" t="s">
        <v>400</v>
      </c>
      <c r="M174">
        <v>0</v>
      </c>
      <c r="N174">
        <v>0</v>
      </c>
      <c r="O174">
        <f t="shared" si="6"/>
        <v>0</v>
      </c>
      <c r="Q174" t="str">
        <f t="shared" si="8"/>
        <v>QM4-01</v>
      </c>
    </row>
    <row r="175" spans="1:17" x14ac:dyDescent="0.25">
      <c r="A175" t="s">
        <v>385</v>
      </c>
      <c r="B175" t="s">
        <v>401</v>
      </c>
      <c r="C175" t="s">
        <v>402</v>
      </c>
      <c r="D175" t="s">
        <v>38</v>
      </c>
      <c r="E175" t="s">
        <v>403</v>
      </c>
      <c r="F175" s="1">
        <v>334</v>
      </c>
      <c r="G175" s="1">
        <v>0</v>
      </c>
      <c r="H175" t="s">
        <v>17</v>
      </c>
      <c r="I175" t="s">
        <v>404</v>
      </c>
      <c r="J175" t="s">
        <v>405</v>
      </c>
      <c r="K175" s="3">
        <v>46094</v>
      </c>
      <c r="L175" t="s">
        <v>406</v>
      </c>
      <c r="M175">
        <v>0</v>
      </c>
      <c r="N175">
        <v>2646</v>
      </c>
      <c r="O175">
        <f t="shared" si="6"/>
        <v>0</v>
      </c>
      <c r="P175">
        <f t="shared" si="7"/>
        <v>0.12622826908541193</v>
      </c>
      <c r="Q175" t="str">
        <f t="shared" si="8"/>
        <v>Q26-01</v>
      </c>
    </row>
    <row r="176" spans="1:17" x14ac:dyDescent="0.25">
      <c r="A176" t="s">
        <v>385</v>
      </c>
      <c r="B176" t="s">
        <v>401</v>
      </c>
      <c r="C176" t="s">
        <v>402</v>
      </c>
      <c r="D176" t="s">
        <v>407</v>
      </c>
      <c r="E176" t="s">
        <v>408</v>
      </c>
      <c r="F176" s="1">
        <v>7</v>
      </c>
      <c r="G176" s="1">
        <v>0</v>
      </c>
      <c r="H176" t="s">
        <v>17</v>
      </c>
      <c r="I176" t="s">
        <v>404</v>
      </c>
      <c r="J176" t="s">
        <v>405</v>
      </c>
      <c r="K176" s="3">
        <v>46094</v>
      </c>
      <c r="L176" t="s">
        <v>406</v>
      </c>
      <c r="M176">
        <v>0</v>
      </c>
      <c r="N176">
        <v>2646</v>
      </c>
      <c r="O176">
        <f t="shared" si="6"/>
        <v>0</v>
      </c>
      <c r="P176">
        <f t="shared" si="7"/>
        <v>2.6455026455026454E-3</v>
      </c>
      <c r="Q176" t="str">
        <f t="shared" si="8"/>
        <v>Q27-01</v>
      </c>
    </row>
    <row r="177" spans="1:17" x14ac:dyDescent="0.25">
      <c r="A177" t="s">
        <v>12</v>
      </c>
      <c r="B177" t="s">
        <v>409</v>
      </c>
      <c r="C177" t="s">
        <v>410</v>
      </c>
      <c r="D177" t="s">
        <v>407</v>
      </c>
      <c r="E177" t="s">
        <v>411</v>
      </c>
      <c r="F177" s="1">
        <v>2</v>
      </c>
      <c r="G177" s="1">
        <v>0</v>
      </c>
      <c r="H177" t="s">
        <v>17</v>
      </c>
      <c r="I177" t="s">
        <v>412</v>
      </c>
      <c r="J177" t="s">
        <v>413</v>
      </c>
      <c r="K177" s="3">
        <v>46446</v>
      </c>
      <c r="L177" t="s">
        <v>414</v>
      </c>
      <c r="M177">
        <v>2.5999999999999999E-2</v>
      </c>
      <c r="N177">
        <v>6720</v>
      </c>
      <c r="O177">
        <f t="shared" si="6"/>
        <v>5.1999999999999998E-2</v>
      </c>
      <c r="P177">
        <f t="shared" si="7"/>
        <v>2.9761904761904765E-4</v>
      </c>
      <c r="Q177" t="str">
        <f t="shared" si="8"/>
        <v>Q27-01</v>
      </c>
    </row>
    <row r="178" spans="1:17" x14ac:dyDescent="0.25">
      <c r="A178" t="s">
        <v>61</v>
      </c>
      <c r="B178" t="s">
        <v>364</v>
      </c>
      <c r="C178" t="s">
        <v>365</v>
      </c>
      <c r="D178" t="s">
        <v>180</v>
      </c>
      <c r="E178" t="s">
        <v>415</v>
      </c>
      <c r="F178" s="1">
        <v>79</v>
      </c>
      <c r="G178" s="1">
        <v>0</v>
      </c>
      <c r="H178" t="s">
        <v>17</v>
      </c>
      <c r="I178" t="s">
        <v>367</v>
      </c>
      <c r="J178" t="s">
        <v>416</v>
      </c>
      <c r="K178" s="3">
        <v>46326</v>
      </c>
      <c r="L178" t="s">
        <v>417</v>
      </c>
      <c r="M178">
        <v>0.158</v>
      </c>
      <c r="N178">
        <v>1152</v>
      </c>
      <c r="O178">
        <f t="shared" si="6"/>
        <v>12.481999999999999</v>
      </c>
      <c r="P178">
        <f t="shared" si="7"/>
        <v>6.8576388888888895E-2</v>
      </c>
      <c r="Q178" t="str">
        <f t="shared" si="8"/>
        <v>Q27-03</v>
      </c>
    </row>
    <row r="179" spans="1:17" x14ac:dyDescent="0.25">
      <c r="A179" t="s">
        <v>61</v>
      </c>
      <c r="B179" t="s">
        <v>364</v>
      </c>
      <c r="C179" t="s">
        <v>365</v>
      </c>
      <c r="D179" t="s">
        <v>185</v>
      </c>
      <c r="E179" t="s">
        <v>418</v>
      </c>
      <c r="F179" s="1">
        <v>45</v>
      </c>
      <c r="G179" s="1">
        <v>0</v>
      </c>
      <c r="H179" t="s">
        <v>17</v>
      </c>
      <c r="I179" t="s">
        <v>367</v>
      </c>
      <c r="J179" t="s">
        <v>416</v>
      </c>
      <c r="K179" s="3">
        <v>46356</v>
      </c>
      <c r="L179" t="s">
        <v>419</v>
      </c>
      <c r="M179">
        <v>0.158</v>
      </c>
      <c r="N179">
        <v>1152</v>
      </c>
      <c r="O179">
        <f t="shared" si="6"/>
        <v>7.11</v>
      </c>
      <c r="P179">
        <f t="shared" si="7"/>
        <v>3.90625E-2</v>
      </c>
      <c r="Q179" t="str">
        <f t="shared" si="8"/>
        <v>Q27-03</v>
      </c>
    </row>
    <row r="180" spans="1:17" x14ac:dyDescent="0.25">
      <c r="A180" t="s">
        <v>61</v>
      </c>
      <c r="B180" t="s">
        <v>420</v>
      </c>
      <c r="C180" t="s">
        <v>421</v>
      </c>
      <c r="D180" t="s">
        <v>240</v>
      </c>
      <c r="E180" t="s">
        <v>422</v>
      </c>
      <c r="F180" s="1">
        <v>12</v>
      </c>
      <c r="G180" s="1">
        <v>0</v>
      </c>
      <c r="H180" t="s">
        <v>17</v>
      </c>
      <c r="I180" t="s">
        <v>423</v>
      </c>
      <c r="J180" t="s">
        <v>416</v>
      </c>
      <c r="K180" s="3">
        <v>46356</v>
      </c>
      <c r="L180" t="s">
        <v>424</v>
      </c>
      <c r="M180">
        <v>0.156</v>
      </c>
      <c r="N180">
        <v>1152</v>
      </c>
      <c r="O180">
        <f t="shared" si="6"/>
        <v>1.8719999999999999</v>
      </c>
      <c r="P180">
        <f t="shared" si="7"/>
        <v>1.0416666666666666E-2</v>
      </c>
      <c r="Q180" t="str">
        <f t="shared" si="8"/>
        <v>Q27-03</v>
      </c>
    </row>
    <row r="181" spans="1:17" x14ac:dyDescent="0.25">
      <c r="A181" t="s">
        <v>61</v>
      </c>
      <c r="B181" t="s">
        <v>420</v>
      </c>
      <c r="C181" t="s">
        <v>421</v>
      </c>
      <c r="D181" t="s">
        <v>191</v>
      </c>
      <c r="E181" t="s">
        <v>425</v>
      </c>
      <c r="F181" s="1">
        <v>1</v>
      </c>
      <c r="G181" s="1">
        <v>0</v>
      </c>
      <c r="H181" t="s">
        <v>17</v>
      </c>
      <c r="I181" t="s">
        <v>423</v>
      </c>
      <c r="J181" t="s">
        <v>416</v>
      </c>
      <c r="K181" s="3">
        <v>46356</v>
      </c>
      <c r="L181" t="s">
        <v>424</v>
      </c>
      <c r="M181">
        <v>0.156</v>
      </c>
      <c r="N181">
        <v>1152</v>
      </c>
      <c r="O181">
        <f t="shared" si="6"/>
        <v>0.156</v>
      </c>
      <c r="P181">
        <f t="shared" si="7"/>
        <v>8.6805555555555551E-4</v>
      </c>
      <c r="Q181" t="str">
        <f t="shared" si="8"/>
        <v>Q27-03</v>
      </c>
    </row>
    <row r="182" spans="1:17" x14ac:dyDescent="0.25">
      <c r="A182" t="s">
        <v>61</v>
      </c>
      <c r="B182" t="s">
        <v>420</v>
      </c>
      <c r="C182" t="s">
        <v>421</v>
      </c>
      <c r="D182" t="s">
        <v>198</v>
      </c>
      <c r="E182" t="s">
        <v>426</v>
      </c>
      <c r="F182" s="1">
        <v>9</v>
      </c>
      <c r="G182" s="1">
        <v>0</v>
      </c>
      <c r="H182" t="s">
        <v>17</v>
      </c>
      <c r="I182" t="s">
        <v>423</v>
      </c>
      <c r="J182" t="s">
        <v>416</v>
      </c>
      <c r="K182" s="3">
        <v>46356</v>
      </c>
      <c r="L182" t="s">
        <v>424</v>
      </c>
      <c r="M182">
        <v>0.156</v>
      </c>
      <c r="N182">
        <v>1152</v>
      </c>
      <c r="O182">
        <f t="shared" si="6"/>
        <v>1.4039999999999999</v>
      </c>
      <c r="P182">
        <f t="shared" si="7"/>
        <v>7.8125E-3</v>
      </c>
      <c r="Q182" t="str">
        <f t="shared" si="8"/>
        <v>Q27-03</v>
      </c>
    </row>
    <row r="183" spans="1:17" x14ac:dyDescent="0.25">
      <c r="A183" t="s">
        <v>12</v>
      </c>
      <c r="B183" t="s">
        <v>427</v>
      </c>
      <c r="C183" t="s">
        <v>428</v>
      </c>
      <c r="D183" t="s">
        <v>112</v>
      </c>
      <c r="E183" t="s">
        <v>429</v>
      </c>
      <c r="F183" s="1">
        <v>4</v>
      </c>
      <c r="G183" s="1">
        <v>0</v>
      </c>
      <c r="H183" t="s">
        <v>17</v>
      </c>
      <c r="I183" t="s">
        <v>84</v>
      </c>
      <c r="J183" t="s">
        <v>430</v>
      </c>
      <c r="K183" s="3">
        <v>46100</v>
      </c>
      <c r="L183" t="s">
        <v>431</v>
      </c>
      <c r="M183">
        <v>0.128</v>
      </c>
      <c r="N183">
        <v>2400</v>
      </c>
      <c r="O183">
        <f t="shared" si="6"/>
        <v>0.51200000000000001</v>
      </c>
      <c r="P183">
        <f t="shared" si="7"/>
        <v>1.6666666666666668E-3</v>
      </c>
      <c r="Q183" t="str">
        <f t="shared" si="8"/>
        <v>Q27-01</v>
      </c>
    </row>
    <row r="184" spans="1:17" x14ac:dyDescent="0.25">
      <c r="A184" t="s">
        <v>61</v>
      </c>
      <c r="B184" t="s">
        <v>317</v>
      </c>
      <c r="C184" t="s">
        <v>318</v>
      </c>
      <c r="D184" t="s">
        <v>180</v>
      </c>
      <c r="E184" t="s">
        <v>432</v>
      </c>
      <c r="F184" s="1">
        <v>14</v>
      </c>
      <c r="G184" s="1">
        <v>0</v>
      </c>
      <c r="H184" t="s">
        <v>17</v>
      </c>
      <c r="I184" t="s">
        <v>320</v>
      </c>
      <c r="J184" t="s">
        <v>433</v>
      </c>
      <c r="K184" s="3">
        <v>46477</v>
      </c>
      <c r="L184" t="s">
        <v>434</v>
      </c>
      <c r="M184">
        <v>0.04</v>
      </c>
      <c r="N184">
        <v>2688</v>
      </c>
      <c r="O184">
        <f t="shared" si="6"/>
        <v>0.56000000000000005</v>
      </c>
      <c r="P184">
        <f t="shared" si="7"/>
        <v>5.208333333333333E-3</v>
      </c>
      <c r="Q184" t="str">
        <f t="shared" si="8"/>
        <v>Q27-03</v>
      </c>
    </row>
    <row r="185" spans="1:17" x14ac:dyDescent="0.25">
      <c r="A185" t="s">
        <v>61</v>
      </c>
      <c r="B185" t="s">
        <v>317</v>
      </c>
      <c r="C185" t="s">
        <v>318</v>
      </c>
      <c r="D185" t="s">
        <v>180</v>
      </c>
      <c r="E185" t="s">
        <v>435</v>
      </c>
      <c r="F185" s="1">
        <v>11</v>
      </c>
      <c r="G185" s="1">
        <v>0</v>
      </c>
      <c r="H185" t="s">
        <v>17</v>
      </c>
      <c r="I185" t="s">
        <v>320</v>
      </c>
      <c r="J185" t="s">
        <v>433</v>
      </c>
      <c r="K185" s="3">
        <v>46477</v>
      </c>
      <c r="L185" t="s">
        <v>434</v>
      </c>
      <c r="M185">
        <v>0.04</v>
      </c>
      <c r="N185">
        <v>2688</v>
      </c>
      <c r="O185">
        <f t="shared" si="6"/>
        <v>0.44</v>
      </c>
      <c r="P185">
        <f t="shared" si="7"/>
        <v>4.092261904761905E-3</v>
      </c>
      <c r="Q185" t="str">
        <f t="shared" si="8"/>
        <v>Q27-03</v>
      </c>
    </row>
    <row r="186" spans="1:17" x14ac:dyDescent="0.25">
      <c r="A186" t="s">
        <v>61</v>
      </c>
      <c r="B186" t="s">
        <v>317</v>
      </c>
      <c r="C186" t="s">
        <v>318</v>
      </c>
      <c r="D186" t="s">
        <v>185</v>
      </c>
      <c r="E186" t="s">
        <v>436</v>
      </c>
      <c r="F186" s="1">
        <v>3</v>
      </c>
      <c r="G186" s="1">
        <v>0</v>
      </c>
      <c r="H186" t="s">
        <v>17</v>
      </c>
      <c r="I186" t="s">
        <v>320</v>
      </c>
      <c r="J186" t="s">
        <v>433</v>
      </c>
      <c r="K186" s="3">
        <v>46477</v>
      </c>
      <c r="L186" t="s">
        <v>434</v>
      </c>
      <c r="M186">
        <v>0.04</v>
      </c>
      <c r="N186">
        <v>2688</v>
      </c>
      <c r="O186">
        <f t="shared" si="6"/>
        <v>0.12</v>
      </c>
      <c r="P186">
        <f t="shared" si="7"/>
        <v>1.1160714285714285E-3</v>
      </c>
      <c r="Q186" t="str">
        <f t="shared" si="8"/>
        <v>Q27-03</v>
      </c>
    </row>
    <row r="187" spans="1:17" x14ac:dyDescent="0.25">
      <c r="A187" t="s">
        <v>61</v>
      </c>
      <c r="B187" t="s">
        <v>317</v>
      </c>
      <c r="C187" t="s">
        <v>318</v>
      </c>
      <c r="D187" t="s">
        <v>185</v>
      </c>
      <c r="E187" t="s">
        <v>437</v>
      </c>
      <c r="F187" s="1">
        <v>5</v>
      </c>
      <c r="G187" s="1">
        <v>0</v>
      </c>
      <c r="H187" t="s">
        <v>17</v>
      </c>
      <c r="I187" t="s">
        <v>320</v>
      </c>
      <c r="J187" t="s">
        <v>433</v>
      </c>
      <c r="K187" s="3">
        <v>46477</v>
      </c>
      <c r="L187" t="s">
        <v>434</v>
      </c>
      <c r="M187">
        <v>0.04</v>
      </c>
      <c r="N187">
        <v>2688</v>
      </c>
      <c r="O187">
        <f t="shared" si="6"/>
        <v>0.2</v>
      </c>
      <c r="P187">
        <f t="shared" si="7"/>
        <v>1.8601190476190475E-3</v>
      </c>
      <c r="Q187" t="str">
        <f t="shared" si="8"/>
        <v>Q27-03</v>
      </c>
    </row>
    <row r="188" spans="1:17" x14ac:dyDescent="0.25">
      <c r="A188" t="s">
        <v>61</v>
      </c>
      <c r="B188" t="s">
        <v>317</v>
      </c>
      <c r="C188" t="s">
        <v>318</v>
      </c>
      <c r="D188" t="s">
        <v>185</v>
      </c>
      <c r="E188" t="s">
        <v>438</v>
      </c>
      <c r="F188" s="1">
        <v>13</v>
      </c>
      <c r="G188" s="1">
        <v>0</v>
      </c>
      <c r="H188" t="s">
        <v>17</v>
      </c>
      <c r="I188" t="s">
        <v>320</v>
      </c>
      <c r="J188" t="s">
        <v>433</v>
      </c>
      <c r="K188" s="3">
        <v>46477</v>
      </c>
      <c r="L188" t="s">
        <v>434</v>
      </c>
      <c r="M188">
        <v>0.04</v>
      </c>
      <c r="N188">
        <v>2688</v>
      </c>
      <c r="O188">
        <f t="shared" si="6"/>
        <v>0.52</v>
      </c>
      <c r="P188">
        <f t="shared" si="7"/>
        <v>4.836309523809524E-3</v>
      </c>
      <c r="Q188" t="str">
        <f t="shared" si="8"/>
        <v>Q27-03</v>
      </c>
    </row>
    <row r="189" spans="1:17" x14ac:dyDescent="0.25">
      <c r="A189" t="s">
        <v>12</v>
      </c>
      <c r="B189" t="s">
        <v>439</v>
      </c>
      <c r="C189" t="s">
        <v>440</v>
      </c>
      <c r="D189" t="s">
        <v>441</v>
      </c>
      <c r="E189" t="s">
        <v>442</v>
      </c>
      <c r="F189" s="1">
        <v>1</v>
      </c>
      <c r="G189" s="1">
        <v>0</v>
      </c>
      <c r="H189" t="s">
        <v>17</v>
      </c>
      <c r="I189" t="s">
        <v>443</v>
      </c>
      <c r="J189" t="s">
        <v>444</v>
      </c>
      <c r="K189" s="3">
        <v>46348</v>
      </c>
      <c r="L189" t="s">
        <v>445</v>
      </c>
      <c r="M189">
        <v>8.3000000000000004E-2</v>
      </c>
      <c r="N189">
        <v>1200</v>
      </c>
      <c r="O189">
        <f t="shared" si="6"/>
        <v>8.3000000000000004E-2</v>
      </c>
      <c r="P189">
        <f t="shared" si="7"/>
        <v>8.3333333333333339E-4</v>
      </c>
      <c r="Q189" t="str">
        <f t="shared" si="8"/>
        <v>Q26-03</v>
      </c>
    </row>
    <row r="190" spans="1:17" x14ac:dyDescent="0.25">
      <c r="A190" t="s">
        <v>61</v>
      </c>
      <c r="B190" t="s">
        <v>317</v>
      </c>
      <c r="C190" t="s">
        <v>318</v>
      </c>
      <c r="D190" t="s">
        <v>180</v>
      </c>
      <c r="E190" t="s">
        <v>446</v>
      </c>
      <c r="F190" s="1">
        <v>31</v>
      </c>
      <c r="G190" s="1">
        <v>0</v>
      </c>
      <c r="H190" t="s">
        <v>17</v>
      </c>
      <c r="I190" t="s">
        <v>320</v>
      </c>
      <c r="J190" t="s">
        <v>447</v>
      </c>
      <c r="K190" s="3">
        <v>46477</v>
      </c>
      <c r="L190" t="s">
        <v>434</v>
      </c>
      <c r="M190">
        <v>0.04</v>
      </c>
      <c r="N190">
        <v>2688</v>
      </c>
      <c r="O190">
        <f t="shared" si="6"/>
        <v>1.24</v>
      </c>
      <c r="P190">
        <f t="shared" si="7"/>
        <v>1.1532738095238096E-2</v>
      </c>
      <c r="Q190" t="str">
        <f t="shared" si="8"/>
        <v>Q27-03</v>
      </c>
    </row>
    <row r="191" spans="1:17" x14ac:dyDescent="0.25">
      <c r="A191" t="s">
        <v>61</v>
      </c>
      <c r="B191" t="s">
        <v>317</v>
      </c>
      <c r="C191" t="s">
        <v>318</v>
      </c>
      <c r="D191" t="s">
        <v>185</v>
      </c>
      <c r="E191" t="s">
        <v>448</v>
      </c>
      <c r="F191" s="1">
        <v>25</v>
      </c>
      <c r="G191" s="1">
        <v>0</v>
      </c>
      <c r="H191" t="s">
        <v>17</v>
      </c>
      <c r="I191" t="s">
        <v>320</v>
      </c>
      <c r="J191" t="s">
        <v>447</v>
      </c>
      <c r="K191" s="3">
        <v>46477</v>
      </c>
      <c r="L191" t="s">
        <v>434</v>
      </c>
      <c r="M191">
        <v>0.04</v>
      </c>
      <c r="N191">
        <v>2688</v>
      </c>
      <c r="O191">
        <f t="shared" si="6"/>
        <v>1</v>
      </c>
      <c r="P191">
        <f t="shared" si="7"/>
        <v>9.300595238095238E-3</v>
      </c>
      <c r="Q191" t="str">
        <f t="shared" si="8"/>
        <v>Q27-03</v>
      </c>
    </row>
    <row r="192" spans="1:17" x14ac:dyDescent="0.25">
      <c r="A192" t="s">
        <v>385</v>
      </c>
      <c r="B192" t="s">
        <v>449</v>
      </c>
      <c r="C192" t="s">
        <v>450</v>
      </c>
      <c r="D192" t="s">
        <v>451</v>
      </c>
      <c r="E192" t="s">
        <v>452</v>
      </c>
      <c r="F192" s="1">
        <v>10.8</v>
      </c>
      <c r="G192" s="1">
        <v>0</v>
      </c>
      <c r="H192" t="s">
        <v>17</v>
      </c>
      <c r="I192" t="s">
        <v>453</v>
      </c>
      <c r="J192" t="s">
        <v>454</v>
      </c>
      <c r="K192" s="3">
        <v>46508</v>
      </c>
      <c r="L192" t="s">
        <v>455</v>
      </c>
      <c r="M192">
        <v>5.8000000000000003E-2</v>
      </c>
      <c r="N192">
        <v>1440</v>
      </c>
      <c r="O192">
        <f t="shared" si="6"/>
        <v>0.62640000000000007</v>
      </c>
      <c r="P192">
        <f t="shared" si="7"/>
        <v>7.5000000000000006E-3</v>
      </c>
      <c r="Q192" t="str">
        <f t="shared" si="8"/>
        <v>Q26-03</v>
      </c>
    </row>
    <row r="193" spans="1:17" x14ac:dyDescent="0.25">
      <c r="A193" t="s">
        <v>61</v>
      </c>
      <c r="B193" t="s">
        <v>456</v>
      </c>
      <c r="C193" t="s">
        <v>457</v>
      </c>
      <c r="D193" t="s">
        <v>69</v>
      </c>
      <c r="E193" t="s">
        <v>458</v>
      </c>
      <c r="F193" s="1">
        <v>12</v>
      </c>
      <c r="G193" s="1">
        <v>0</v>
      </c>
      <c r="H193" t="s">
        <v>17</v>
      </c>
      <c r="I193" t="s">
        <v>459</v>
      </c>
      <c r="J193" t="s">
        <v>460</v>
      </c>
      <c r="K193" s="3">
        <v>46112</v>
      </c>
      <c r="L193" t="s">
        <v>461</v>
      </c>
      <c r="M193">
        <v>0.22600000000000001</v>
      </c>
      <c r="N193">
        <v>1680</v>
      </c>
      <c r="O193">
        <f t="shared" si="6"/>
        <v>2.7120000000000002</v>
      </c>
      <c r="P193">
        <f t="shared" si="7"/>
        <v>7.1428571428571426E-3</v>
      </c>
      <c r="Q193" t="str">
        <f t="shared" si="8"/>
        <v>Q27-01</v>
      </c>
    </row>
    <row r="194" spans="1:17" x14ac:dyDescent="0.25">
      <c r="A194" t="s">
        <v>61</v>
      </c>
      <c r="B194" t="s">
        <v>364</v>
      </c>
      <c r="C194" t="s">
        <v>365</v>
      </c>
      <c r="D194" t="s">
        <v>180</v>
      </c>
      <c r="E194" t="s">
        <v>462</v>
      </c>
      <c r="F194" s="1">
        <v>40</v>
      </c>
      <c r="G194" s="1">
        <v>0</v>
      </c>
      <c r="H194" t="s">
        <v>17</v>
      </c>
      <c r="I194" t="s">
        <v>367</v>
      </c>
      <c r="J194" t="s">
        <v>460</v>
      </c>
      <c r="K194" s="3">
        <v>46356</v>
      </c>
      <c r="L194" t="s">
        <v>419</v>
      </c>
      <c r="M194">
        <v>0.158</v>
      </c>
      <c r="N194">
        <v>1152</v>
      </c>
      <c r="O194">
        <f t="shared" si="6"/>
        <v>6.32</v>
      </c>
      <c r="P194">
        <f t="shared" si="7"/>
        <v>3.4722222222222224E-2</v>
      </c>
      <c r="Q194" t="str">
        <f t="shared" si="8"/>
        <v>Q27-03</v>
      </c>
    </row>
    <row r="195" spans="1:17" x14ac:dyDescent="0.25">
      <c r="A195" t="s">
        <v>12</v>
      </c>
      <c r="B195" t="s">
        <v>463</v>
      </c>
      <c r="C195" t="s">
        <v>464</v>
      </c>
      <c r="D195" t="s">
        <v>26</v>
      </c>
      <c r="E195" t="s">
        <v>465</v>
      </c>
      <c r="F195" s="1">
        <v>1</v>
      </c>
      <c r="G195" s="1">
        <v>0</v>
      </c>
      <c r="H195" t="s">
        <v>17</v>
      </c>
      <c r="I195" t="s">
        <v>466</v>
      </c>
      <c r="J195" t="s">
        <v>467</v>
      </c>
      <c r="K195" s="3">
        <v>46616</v>
      </c>
      <c r="L195" t="s">
        <v>468</v>
      </c>
      <c r="M195">
        <v>2.3E-2</v>
      </c>
      <c r="N195">
        <v>1920</v>
      </c>
      <c r="O195">
        <f t="shared" ref="O195:O258" si="9">F195*M195</f>
        <v>2.3E-2</v>
      </c>
      <c r="P195">
        <f t="shared" ref="P195:P258" si="10">F195/N195</f>
        <v>5.2083333333333333E-4</v>
      </c>
      <c r="Q195" t="str">
        <f t="shared" ref="Q195:Q258" si="11">LEFT(D195,6)</f>
        <v>Q26-03</v>
      </c>
    </row>
    <row r="196" spans="1:17" x14ac:dyDescent="0.25">
      <c r="A196" t="s">
        <v>12</v>
      </c>
      <c r="B196" t="s">
        <v>24</v>
      </c>
      <c r="C196" t="s">
        <v>25</v>
      </c>
      <c r="D196" t="s">
        <v>26</v>
      </c>
      <c r="E196" t="s">
        <v>469</v>
      </c>
      <c r="F196" s="1">
        <v>3</v>
      </c>
      <c r="G196" s="1">
        <v>0</v>
      </c>
      <c r="H196" t="s">
        <v>17</v>
      </c>
      <c r="I196" t="s">
        <v>28</v>
      </c>
      <c r="J196" t="s">
        <v>470</v>
      </c>
      <c r="K196" s="3">
        <v>47036</v>
      </c>
      <c r="L196" t="s">
        <v>471</v>
      </c>
      <c r="M196">
        <v>2.9000000000000001E-2</v>
      </c>
      <c r="N196">
        <v>2880</v>
      </c>
      <c r="O196">
        <f t="shared" si="9"/>
        <v>8.7000000000000008E-2</v>
      </c>
      <c r="P196">
        <f t="shared" si="10"/>
        <v>1.0416666666666667E-3</v>
      </c>
      <c r="Q196" t="str">
        <f t="shared" si="11"/>
        <v>Q26-03</v>
      </c>
    </row>
    <row r="197" spans="1:17" x14ac:dyDescent="0.25">
      <c r="A197" t="s">
        <v>12</v>
      </c>
      <c r="B197" t="s">
        <v>472</v>
      </c>
      <c r="C197" t="s">
        <v>473</v>
      </c>
      <c r="D197" t="s">
        <v>121</v>
      </c>
      <c r="E197" t="s">
        <v>474</v>
      </c>
      <c r="F197" s="2">
        <v>6232</v>
      </c>
      <c r="G197" s="1">
        <v>0</v>
      </c>
      <c r="H197" t="s">
        <v>17</v>
      </c>
      <c r="I197" t="s">
        <v>475</v>
      </c>
      <c r="J197" t="s">
        <v>90</v>
      </c>
      <c r="K197" s="3">
        <v>46207</v>
      </c>
      <c r="L197" t="s">
        <v>123</v>
      </c>
      <c r="M197">
        <v>0</v>
      </c>
      <c r="N197">
        <v>0</v>
      </c>
      <c r="O197">
        <f t="shared" si="9"/>
        <v>0</v>
      </c>
      <c r="Q197" t="str">
        <f t="shared" si="11"/>
        <v>Q27-01</v>
      </c>
    </row>
    <row r="198" spans="1:17" x14ac:dyDescent="0.25">
      <c r="A198" t="s">
        <v>61</v>
      </c>
      <c r="B198" t="s">
        <v>317</v>
      </c>
      <c r="C198" t="s">
        <v>318</v>
      </c>
      <c r="D198" t="s">
        <v>382</v>
      </c>
      <c r="E198" t="s">
        <v>476</v>
      </c>
      <c r="F198" s="1">
        <v>12</v>
      </c>
      <c r="G198" s="1">
        <v>0</v>
      </c>
      <c r="H198" t="s">
        <v>17</v>
      </c>
      <c r="I198" t="s">
        <v>320</v>
      </c>
      <c r="J198" t="s">
        <v>477</v>
      </c>
      <c r="K198" s="3">
        <v>46418</v>
      </c>
      <c r="L198" t="s">
        <v>478</v>
      </c>
      <c r="M198">
        <v>0.04</v>
      </c>
      <c r="N198">
        <v>2688</v>
      </c>
      <c r="O198">
        <f t="shared" si="9"/>
        <v>0.48</v>
      </c>
      <c r="P198">
        <f t="shared" si="10"/>
        <v>4.464285714285714E-3</v>
      </c>
      <c r="Q198" t="str">
        <f t="shared" si="11"/>
        <v>Q27-03</v>
      </c>
    </row>
    <row r="199" spans="1:17" x14ac:dyDescent="0.25">
      <c r="A199" t="s">
        <v>61</v>
      </c>
      <c r="B199" t="s">
        <v>317</v>
      </c>
      <c r="C199" t="s">
        <v>318</v>
      </c>
      <c r="D199" t="s">
        <v>336</v>
      </c>
      <c r="E199" t="s">
        <v>479</v>
      </c>
      <c r="F199" s="1">
        <v>25</v>
      </c>
      <c r="G199" s="1">
        <v>0</v>
      </c>
      <c r="H199" t="s">
        <v>17</v>
      </c>
      <c r="I199" t="s">
        <v>320</v>
      </c>
      <c r="J199" t="s">
        <v>477</v>
      </c>
      <c r="K199" s="3">
        <v>46418</v>
      </c>
      <c r="L199" t="s">
        <v>478</v>
      </c>
      <c r="M199">
        <v>0.04</v>
      </c>
      <c r="N199">
        <v>2688</v>
      </c>
      <c r="O199">
        <f t="shared" si="9"/>
        <v>1</v>
      </c>
      <c r="P199">
        <f t="shared" si="10"/>
        <v>9.300595238095238E-3</v>
      </c>
      <c r="Q199" t="str">
        <f t="shared" si="11"/>
        <v>Q27-03</v>
      </c>
    </row>
    <row r="200" spans="1:17" x14ac:dyDescent="0.25">
      <c r="A200" t="s">
        <v>61</v>
      </c>
      <c r="B200" t="s">
        <v>317</v>
      </c>
      <c r="C200" t="s">
        <v>318</v>
      </c>
      <c r="D200" t="s">
        <v>336</v>
      </c>
      <c r="E200" t="s">
        <v>480</v>
      </c>
      <c r="F200" s="1">
        <v>32</v>
      </c>
      <c r="G200" s="1">
        <v>0</v>
      </c>
      <c r="H200" t="s">
        <v>17</v>
      </c>
      <c r="I200" t="s">
        <v>320</v>
      </c>
      <c r="J200" t="s">
        <v>477</v>
      </c>
      <c r="K200" s="3">
        <v>46418</v>
      </c>
      <c r="L200" t="s">
        <v>478</v>
      </c>
      <c r="M200">
        <v>0.04</v>
      </c>
      <c r="N200">
        <v>2688</v>
      </c>
      <c r="O200">
        <f t="shared" si="9"/>
        <v>1.28</v>
      </c>
      <c r="P200">
        <f t="shared" si="10"/>
        <v>1.1904761904761904E-2</v>
      </c>
      <c r="Q200" t="str">
        <f t="shared" si="11"/>
        <v>Q27-03</v>
      </c>
    </row>
    <row r="201" spans="1:17" x14ac:dyDescent="0.25">
      <c r="A201" t="s">
        <v>61</v>
      </c>
      <c r="B201" t="s">
        <v>317</v>
      </c>
      <c r="C201" t="s">
        <v>318</v>
      </c>
      <c r="D201" t="s">
        <v>336</v>
      </c>
      <c r="E201" t="s">
        <v>481</v>
      </c>
      <c r="F201" s="1">
        <v>28</v>
      </c>
      <c r="G201" s="1">
        <v>0</v>
      </c>
      <c r="H201" t="s">
        <v>17</v>
      </c>
      <c r="I201" t="s">
        <v>320</v>
      </c>
      <c r="J201" t="s">
        <v>477</v>
      </c>
      <c r="K201" s="3">
        <v>46418</v>
      </c>
      <c r="L201" t="s">
        <v>478</v>
      </c>
      <c r="M201">
        <v>0.04</v>
      </c>
      <c r="N201">
        <v>2688</v>
      </c>
      <c r="O201">
        <f t="shared" si="9"/>
        <v>1.1200000000000001</v>
      </c>
      <c r="P201">
        <f t="shared" si="10"/>
        <v>1.0416666666666666E-2</v>
      </c>
      <c r="Q201" t="str">
        <f t="shared" si="11"/>
        <v>Q27-03</v>
      </c>
    </row>
    <row r="202" spans="1:17" x14ac:dyDescent="0.25">
      <c r="A202" t="s">
        <v>61</v>
      </c>
      <c r="B202" t="s">
        <v>317</v>
      </c>
      <c r="C202" t="s">
        <v>318</v>
      </c>
      <c r="D202" t="s">
        <v>336</v>
      </c>
      <c r="E202" t="s">
        <v>482</v>
      </c>
      <c r="F202" s="1">
        <v>23</v>
      </c>
      <c r="G202" s="1">
        <v>0</v>
      </c>
      <c r="H202" t="s">
        <v>17</v>
      </c>
      <c r="I202" t="s">
        <v>320</v>
      </c>
      <c r="J202" t="s">
        <v>477</v>
      </c>
      <c r="K202" s="3">
        <v>46418</v>
      </c>
      <c r="L202" t="s">
        <v>478</v>
      </c>
      <c r="M202">
        <v>0.04</v>
      </c>
      <c r="N202">
        <v>2688</v>
      </c>
      <c r="O202">
        <f t="shared" si="9"/>
        <v>0.92</v>
      </c>
      <c r="P202">
        <f t="shared" si="10"/>
        <v>8.5565476190476199E-3</v>
      </c>
      <c r="Q202" t="str">
        <f t="shared" si="11"/>
        <v>Q27-03</v>
      </c>
    </row>
    <row r="203" spans="1:17" x14ac:dyDescent="0.25">
      <c r="A203" t="s">
        <v>61</v>
      </c>
      <c r="B203" t="s">
        <v>317</v>
      </c>
      <c r="C203" t="s">
        <v>318</v>
      </c>
      <c r="D203" t="s">
        <v>185</v>
      </c>
      <c r="E203" t="s">
        <v>483</v>
      </c>
      <c r="F203" s="1">
        <v>1</v>
      </c>
      <c r="G203" s="1">
        <v>0</v>
      </c>
      <c r="H203" t="s">
        <v>17</v>
      </c>
      <c r="I203" t="s">
        <v>320</v>
      </c>
      <c r="J203" t="s">
        <v>477</v>
      </c>
      <c r="K203" s="3">
        <v>46418</v>
      </c>
      <c r="L203" t="s">
        <v>478</v>
      </c>
      <c r="M203">
        <v>0.04</v>
      </c>
      <c r="N203">
        <v>2688</v>
      </c>
      <c r="O203">
        <f t="shared" si="9"/>
        <v>0.04</v>
      </c>
      <c r="P203">
        <f t="shared" si="10"/>
        <v>3.720238095238095E-4</v>
      </c>
      <c r="Q203" t="str">
        <f t="shared" si="11"/>
        <v>Q27-03</v>
      </c>
    </row>
    <row r="204" spans="1:17" x14ac:dyDescent="0.25">
      <c r="A204" t="s">
        <v>61</v>
      </c>
      <c r="B204" t="s">
        <v>317</v>
      </c>
      <c r="C204" t="s">
        <v>318</v>
      </c>
      <c r="D204" t="s">
        <v>185</v>
      </c>
      <c r="E204" t="s">
        <v>484</v>
      </c>
      <c r="F204" s="1">
        <v>3</v>
      </c>
      <c r="G204" s="1">
        <v>0</v>
      </c>
      <c r="H204" t="s">
        <v>17</v>
      </c>
      <c r="I204" t="s">
        <v>320</v>
      </c>
      <c r="J204" t="s">
        <v>477</v>
      </c>
      <c r="K204" s="3">
        <v>46418</v>
      </c>
      <c r="L204" t="s">
        <v>478</v>
      </c>
      <c r="M204">
        <v>0.04</v>
      </c>
      <c r="N204">
        <v>2688</v>
      </c>
      <c r="O204">
        <f t="shared" si="9"/>
        <v>0.12</v>
      </c>
      <c r="P204">
        <f t="shared" si="10"/>
        <v>1.1160714285714285E-3</v>
      </c>
      <c r="Q204" t="str">
        <f t="shared" si="11"/>
        <v>Q27-03</v>
      </c>
    </row>
    <row r="205" spans="1:17" x14ac:dyDescent="0.25">
      <c r="A205" t="s">
        <v>61</v>
      </c>
      <c r="B205" t="s">
        <v>317</v>
      </c>
      <c r="C205" t="s">
        <v>318</v>
      </c>
      <c r="D205" t="s">
        <v>185</v>
      </c>
      <c r="E205" t="s">
        <v>485</v>
      </c>
      <c r="F205" s="1">
        <v>2</v>
      </c>
      <c r="G205" s="1">
        <v>0</v>
      </c>
      <c r="H205" t="s">
        <v>17</v>
      </c>
      <c r="I205" t="s">
        <v>320</v>
      </c>
      <c r="J205" t="s">
        <v>477</v>
      </c>
      <c r="K205" s="3">
        <v>46418</v>
      </c>
      <c r="L205" t="s">
        <v>478</v>
      </c>
      <c r="M205">
        <v>0.04</v>
      </c>
      <c r="N205">
        <v>2688</v>
      </c>
      <c r="O205">
        <f t="shared" si="9"/>
        <v>0.08</v>
      </c>
      <c r="P205">
        <f t="shared" si="10"/>
        <v>7.4404761904761901E-4</v>
      </c>
      <c r="Q205" t="str">
        <f t="shared" si="11"/>
        <v>Q27-03</v>
      </c>
    </row>
    <row r="206" spans="1:17" x14ac:dyDescent="0.25">
      <c r="A206" t="s">
        <v>61</v>
      </c>
      <c r="B206" t="s">
        <v>317</v>
      </c>
      <c r="C206" t="s">
        <v>318</v>
      </c>
      <c r="D206" t="s">
        <v>185</v>
      </c>
      <c r="E206" t="s">
        <v>486</v>
      </c>
      <c r="F206" s="1">
        <v>6</v>
      </c>
      <c r="G206" s="1">
        <v>0</v>
      </c>
      <c r="H206" t="s">
        <v>17</v>
      </c>
      <c r="I206" t="s">
        <v>320</v>
      </c>
      <c r="J206" t="s">
        <v>477</v>
      </c>
      <c r="K206" s="3">
        <v>46418</v>
      </c>
      <c r="L206" t="s">
        <v>478</v>
      </c>
      <c r="M206">
        <v>0.04</v>
      </c>
      <c r="N206">
        <v>2688</v>
      </c>
      <c r="O206">
        <f t="shared" si="9"/>
        <v>0.24</v>
      </c>
      <c r="P206">
        <f t="shared" si="10"/>
        <v>2.232142857142857E-3</v>
      </c>
      <c r="Q206" t="str">
        <f t="shared" si="11"/>
        <v>Q27-03</v>
      </c>
    </row>
    <row r="207" spans="1:17" x14ac:dyDescent="0.25">
      <c r="A207" t="s">
        <v>61</v>
      </c>
      <c r="B207" t="s">
        <v>317</v>
      </c>
      <c r="C207" t="s">
        <v>318</v>
      </c>
      <c r="D207" t="s">
        <v>185</v>
      </c>
      <c r="E207" t="s">
        <v>487</v>
      </c>
      <c r="F207" s="1">
        <v>7</v>
      </c>
      <c r="G207" s="1">
        <v>0</v>
      </c>
      <c r="H207" t="s">
        <v>17</v>
      </c>
      <c r="I207" t="s">
        <v>320</v>
      </c>
      <c r="J207" t="s">
        <v>477</v>
      </c>
      <c r="K207" s="3">
        <v>46418</v>
      </c>
      <c r="L207" t="s">
        <v>478</v>
      </c>
      <c r="M207">
        <v>0.04</v>
      </c>
      <c r="N207">
        <v>2688</v>
      </c>
      <c r="O207">
        <f t="shared" si="9"/>
        <v>0.28000000000000003</v>
      </c>
      <c r="P207">
        <f t="shared" si="10"/>
        <v>2.6041666666666665E-3</v>
      </c>
      <c r="Q207" t="str">
        <f t="shared" si="11"/>
        <v>Q27-03</v>
      </c>
    </row>
    <row r="208" spans="1:17" x14ac:dyDescent="0.25">
      <c r="A208" t="s">
        <v>61</v>
      </c>
      <c r="B208" t="s">
        <v>317</v>
      </c>
      <c r="C208" t="s">
        <v>318</v>
      </c>
      <c r="D208" t="s">
        <v>185</v>
      </c>
      <c r="E208" t="s">
        <v>488</v>
      </c>
      <c r="F208" s="1">
        <v>16</v>
      </c>
      <c r="G208" s="1">
        <v>0</v>
      </c>
      <c r="H208" t="s">
        <v>17</v>
      </c>
      <c r="I208" t="s">
        <v>320</v>
      </c>
      <c r="J208" t="s">
        <v>477</v>
      </c>
      <c r="K208" s="3">
        <v>46418</v>
      </c>
      <c r="L208" t="s">
        <v>478</v>
      </c>
      <c r="M208">
        <v>0.04</v>
      </c>
      <c r="N208">
        <v>2688</v>
      </c>
      <c r="O208">
        <f t="shared" si="9"/>
        <v>0.64</v>
      </c>
      <c r="P208">
        <f t="shared" si="10"/>
        <v>5.9523809523809521E-3</v>
      </c>
      <c r="Q208" t="str">
        <f t="shared" si="11"/>
        <v>Q27-03</v>
      </c>
    </row>
    <row r="209" spans="1:17" x14ac:dyDescent="0.25">
      <c r="A209" t="s">
        <v>61</v>
      </c>
      <c r="B209" t="s">
        <v>317</v>
      </c>
      <c r="C209" t="s">
        <v>318</v>
      </c>
      <c r="D209" t="s">
        <v>185</v>
      </c>
      <c r="E209" t="s">
        <v>489</v>
      </c>
      <c r="F209" s="1">
        <v>9</v>
      </c>
      <c r="G209" s="1">
        <v>0</v>
      </c>
      <c r="H209" t="s">
        <v>17</v>
      </c>
      <c r="I209" t="s">
        <v>320</v>
      </c>
      <c r="J209" t="s">
        <v>477</v>
      </c>
      <c r="K209" s="3">
        <v>46418</v>
      </c>
      <c r="L209" t="s">
        <v>478</v>
      </c>
      <c r="M209">
        <v>0.04</v>
      </c>
      <c r="N209">
        <v>2688</v>
      </c>
      <c r="O209">
        <f t="shared" si="9"/>
        <v>0.36</v>
      </c>
      <c r="P209">
        <f t="shared" si="10"/>
        <v>3.3482142857142855E-3</v>
      </c>
      <c r="Q209" t="str">
        <f t="shared" si="11"/>
        <v>Q27-03</v>
      </c>
    </row>
    <row r="210" spans="1:17" x14ac:dyDescent="0.25">
      <c r="A210" t="s">
        <v>61</v>
      </c>
      <c r="B210" t="s">
        <v>317</v>
      </c>
      <c r="C210" t="s">
        <v>318</v>
      </c>
      <c r="D210" t="s">
        <v>185</v>
      </c>
      <c r="E210" t="s">
        <v>490</v>
      </c>
      <c r="F210" s="1">
        <v>7</v>
      </c>
      <c r="G210" s="1">
        <v>0</v>
      </c>
      <c r="H210" t="s">
        <v>17</v>
      </c>
      <c r="I210" t="s">
        <v>320</v>
      </c>
      <c r="J210" t="s">
        <v>491</v>
      </c>
      <c r="K210" s="3">
        <v>46265</v>
      </c>
      <c r="L210" t="s">
        <v>338</v>
      </c>
      <c r="M210">
        <v>0.04</v>
      </c>
      <c r="N210">
        <v>2688</v>
      </c>
      <c r="O210">
        <f t="shared" si="9"/>
        <v>0.28000000000000003</v>
      </c>
      <c r="P210">
        <f t="shared" si="10"/>
        <v>2.6041666666666665E-3</v>
      </c>
      <c r="Q210" t="str">
        <f t="shared" si="11"/>
        <v>Q27-03</v>
      </c>
    </row>
    <row r="211" spans="1:17" x14ac:dyDescent="0.25">
      <c r="A211" t="s">
        <v>61</v>
      </c>
      <c r="B211" t="s">
        <v>317</v>
      </c>
      <c r="C211" t="s">
        <v>318</v>
      </c>
      <c r="D211" t="s">
        <v>185</v>
      </c>
      <c r="E211" t="s">
        <v>492</v>
      </c>
      <c r="F211" s="1">
        <v>7</v>
      </c>
      <c r="G211" s="1">
        <v>0</v>
      </c>
      <c r="H211" t="s">
        <v>17</v>
      </c>
      <c r="I211" t="s">
        <v>320</v>
      </c>
      <c r="J211" t="s">
        <v>491</v>
      </c>
      <c r="K211" s="3">
        <v>46265</v>
      </c>
      <c r="L211" t="s">
        <v>338</v>
      </c>
      <c r="M211">
        <v>0.04</v>
      </c>
      <c r="N211">
        <v>2688</v>
      </c>
      <c r="O211">
        <f t="shared" si="9"/>
        <v>0.28000000000000003</v>
      </c>
      <c r="P211">
        <f t="shared" si="10"/>
        <v>2.6041666666666665E-3</v>
      </c>
      <c r="Q211" t="str">
        <f t="shared" si="11"/>
        <v>Q27-03</v>
      </c>
    </row>
    <row r="212" spans="1:17" x14ac:dyDescent="0.25">
      <c r="A212" t="s">
        <v>61</v>
      </c>
      <c r="B212" t="s">
        <v>317</v>
      </c>
      <c r="C212" t="s">
        <v>318</v>
      </c>
      <c r="D212" t="s">
        <v>185</v>
      </c>
      <c r="E212" t="s">
        <v>493</v>
      </c>
      <c r="F212" s="1">
        <v>25</v>
      </c>
      <c r="G212" s="1">
        <v>0</v>
      </c>
      <c r="H212" t="s">
        <v>17</v>
      </c>
      <c r="I212" t="s">
        <v>320</v>
      </c>
      <c r="J212" t="s">
        <v>491</v>
      </c>
      <c r="K212" s="3">
        <v>46265</v>
      </c>
      <c r="L212" t="s">
        <v>338</v>
      </c>
      <c r="M212">
        <v>0.04</v>
      </c>
      <c r="N212">
        <v>2688</v>
      </c>
      <c r="O212">
        <f t="shared" si="9"/>
        <v>1</v>
      </c>
      <c r="P212">
        <f t="shared" si="10"/>
        <v>9.300595238095238E-3</v>
      </c>
      <c r="Q212" t="str">
        <f t="shared" si="11"/>
        <v>Q27-03</v>
      </c>
    </row>
    <row r="213" spans="1:17" x14ac:dyDescent="0.25">
      <c r="A213" t="s">
        <v>61</v>
      </c>
      <c r="B213" t="s">
        <v>317</v>
      </c>
      <c r="C213" t="s">
        <v>318</v>
      </c>
      <c r="D213" t="s">
        <v>185</v>
      </c>
      <c r="E213" t="s">
        <v>494</v>
      </c>
      <c r="F213" s="1">
        <v>7</v>
      </c>
      <c r="G213" s="1">
        <v>0</v>
      </c>
      <c r="H213" t="s">
        <v>17</v>
      </c>
      <c r="I213" t="s">
        <v>320</v>
      </c>
      <c r="J213" t="s">
        <v>491</v>
      </c>
      <c r="K213" s="3">
        <v>46265</v>
      </c>
      <c r="L213" t="s">
        <v>338</v>
      </c>
      <c r="M213">
        <v>0.04</v>
      </c>
      <c r="N213">
        <v>2688</v>
      </c>
      <c r="O213">
        <f t="shared" si="9"/>
        <v>0.28000000000000003</v>
      </c>
      <c r="P213">
        <f t="shared" si="10"/>
        <v>2.6041666666666665E-3</v>
      </c>
      <c r="Q213" t="str">
        <f t="shared" si="11"/>
        <v>Q27-03</v>
      </c>
    </row>
    <row r="214" spans="1:17" x14ac:dyDescent="0.25">
      <c r="A214" t="s">
        <v>61</v>
      </c>
      <c r="B214" t="s">
        <v>317</v>
      </c>
      <c r="C214" t="s">
        <v>318</v>
      </c>
      <c r="D214" t="s">
        <v>185</v>
      </c>
      <c r="E214" t="s">
        <v>495</v>
      </c>
      <c r="F214" s="1">
        <v>16</v>
      </c>
      <c r="G214" s="1">
        <v>0</v>
      </c>
      <c r="H214" t="s">
        <v>17</v>
      </c>
      <c r="I214" t="s">
        <v>320</v>
      </c>
      <c r="J214" t="s">
        <v>491</v>
      </c>
      <c r="K214" s="3">
        <v>46265</v>
      </c>
      <c r="L214" t="s">
        <v>338</v>
      </c>
      <c r="M214">
        <v>0.04</v>
      </c>
      <c r="N214">
        <v>2688</v>
      </c>
      <c r="O214">
        <f t="shared" si="9"/>
        <v>0.64</v>
      </c>
      <c r="P214">
        <f t="shared" si="10"/>
        <v>5.9523809523809521E-3</v>
      </c>
      <c r="Q214" t="str">
        <f t="shared" si="11"/>
        <v>Q27-03</v>
      </c>
    </row>
    <row r="215" spans="1:17" x14ac:dyDescent="0.25">
      <c r="A215" t="s">
        <v>61</v>
      </c>
      <c r="B215" t="s">
        <v>225</v>
      </c>
      <c r="C215" t="s">
        <v>226</v>
      </c>
      <c r="D215" t="s">
        <v>191</v>
      </c>
      <c r="E215" t="s">
        <v>496</v>
      </c>
      <c r="F215" s="1">
        <v>2</v>
      </c>
      <c r="G215" s="1">
        <v>0</v>
      </c>
      <c r="H215" t="s">
        <v>17</v>
      </c>
      <c r="I215" t="s">
        <v>228</v>
      </c>
      <c r="J215" t="s">
        <v>491</v>
      </c>
      <c r="K215" s="3">
        <v>46387</v>
      </c>
      <c r="L215" t="s">
        <v>497</v>
      </c>
      <c r="M215">
        <v>5.8000000000000003E-2</v>
      </c>
      <c r="N215">
        <v>2880</v>
      </c>
      <c r="O215">
        <f t="shared" si="9"/>
        <v>0.11600000000000001</v>
      </c>
      <c r="P215">
        <f t="shared" si="10"/>
        <v>6.9444444444444447E-4</v>
      </c>
      <c r="Q215" t="str">
        <f t="shared" si="11"/>
        <v>Q27-03</v>
      </c>
    </row>
    <row r="216" spans="1:17" x14ac:dyDescent="0.25">
      <c r="A216" t="s">
        <v>61</v>
      </c>
      <c r="B216" t="s">
        <v>219</v>
      </c>
      <c r="C216" t="s">
        <v>220</v>
      </c>
      <c r="D216" t="s">
        <v>64</v>
      </c>
      <c r="E216" t="s">
        <v>498</v>
      </c>
      <c r="F216" s="1">
        <v>16</v>
      </c>
      <c r="G216" s="1">
        <v>0</v>
      </c>
      <c r="H216" t="s">
        <v>17</v>
      </c>
      <c r="I216" t="s">
        <v>222</v>
      </c>
      <c r="J216" t="s">
        <v>491</v>
      </c>
      <c r="K216" s="3">
        <v>46081</v>
      </c>
      <c r="L216" t="s">
        <v>224</v>
      </c>
      <c r="M216">
        <v>0.3</v>
      </c>
      <c r="N216">
        <v>1680</v>
      </c>
      <c r="O216">
        <f t="shared" si="9"/>
        <v>4.8</v>
      </c>
      <c r="P216">
        <f t="shared" si="10"/>
        <v>9.5238095238095247E-3</v>
      </c>
      <c r="Q216" t="str">
        <f t="shared" si="11"/>
        <v>Q27-01</v>
      </c>
    </row>
    <row r="217" spans="1:17" x14ac:dyDescent="0.25">
      <c r="A217" t="s">
        <v>61</v>
      </c>
      <c r="B217" t="s">
        <v>219</v>
      </c>
      <c r="C217" t="s">
        <v>220</v>
      </c>
      <c r="D217" t="s">
        <v>64</v>
      </c>
      <c r="E217" t="s">
        <v>499</v>
      </c>
      <c r="F217" s="1">
        <v>16</v>
      </c>
      <c r="G217" s="1">
        <v>0</v>
      </c>
      <c r="H217" t="s">
        <v>17</v>
      </c>
      <c r="I217" t="s">
        <v>222</v>
      </c>
      <c r="J217" t="s">
        <v>491</v>
      </c>
      <c r="K217" s="3">
        <v>46081</v>
      </c>
      <c r="L217" t="s">
        <v>224</v>
      </c>
      <c r="M217">
        <v>0.3</v>
      </c>
      <c r="N217">
        <v>1680</v>
      </c>
      <c r="O217">
        <f t="shared" si="9"/>
        <v>4.8</v>
      </c>
      <c r="P217">
        <f t="shared" si="10"/>
        <v>9.5238095238095247E-3</v>
      </c>
      <c r="Q217" t="str">
        <f t="shared" si="11"/>
        <v>Q27-01</v>
      </c>
    </row>
    <row r="218" spans="1:17" x14ac:dyDescent="0.25">
      <c r="A218" t="s">
        <v>61</v>
      </c>
      <c r="B218" t="s">
        <v>219</v>
      </c>
      <c r="C218" t="s">
        <v>220</v>
      </c>
      <c r="D218" t="s">
        <v>69</v>
      </c>
      <c r="E218" t="s">
        <v>500</v>
      </c>
      <c r="F218" s="1">
        <v>7</v>
      </c>
      <c r="G218" s="1">
        <v>0</v>
      </c>
      <c r="H218" t="s">
        <v>17</v>
      </c>
      <c r="I218" t="s">
        <v>222</v>
      </c>
      <c r="J218" t="s">
        <v>491</v>
      </c>
      <c r="K218" s="3">
        <v>46081</v>
      </c>
      <c r="L218" t="s">
        <v>224</v>
      </c>
      <c r="M218">
        <v>0.3</v>
      </c>
      <c r="N218">
        <v>1680</v>
      </c>
      <c r="O218">
        <f t="shared" si="9"/>
        <v>2.1</v>
      </c>
      <c r="P218">
        <f t="shared" si="10"/>
        <v>4.1666666666666666E-3</v>
      </c>
      <c r="Q218" t="str">
        <f t="shared" si="11"/>
        <v>Q27-01</v>
      </c>
    </row>
    <row r="219" spans="1:17" x14ac:dyDescent="0.25">
      <c r="A219" t="s">
        <v>61</v>
      </c>
      <c r="B219" t="s">
        <v>219</v>
      </c>
      <c r="C219" t="s">
        <v>220</v>
      </c>
      <c r="D219" t="s">
        <v>69</v>
      </c>
      <c r="E219" t="s">
        <v>501</v>
      </c>
      <c r="F219" s="1">
        <v>8</v>
      </c>
      <c r="G219" s="1">
        <v>0</v>
      </c>
      <c r="H219" t="s">
        <v>17</v>
      </c>
      <c r="I219" t="s">
        <v>222</v>
      </c>
      <c r="J219" t="s">
        <v>491</v>
      </c>
      <c r="K219" s="3">
        <v>46081</v>
      </c>
      <c r="L219" t="s">
        <v>224</v>
      </c>
      <c r="M219">
        <v>0.3</v>
      </c>
      <c r="N219">
        <v>1680</v>
      </c>
      <c r="O219">
        <f t="shared" si="9"/>
        <v>2.4</v>
      </c>
      <c r="P219">
        <f t="shared" si="10"/>
        <v>4.7619047619047623E-3</v>
      </c>
      <c r="Q219" t="str">
        <f t="shared" si="11"/>
        <v>Q27-01</v>
      </c>
    </row>
    <row r="220" spans="1:17" x14ac:dyDescent="0.25">
      <c r="A220" t="s">
        <v>61</v>
      </c>
      <c r="B220" t="s">
        <v>219</v>
      </c>
      <c r="C220" t="s">
        <v>220</v>
      </c>
      <c r="D220" t="s">
        <v>69</v>
      </c>
      <c r="E220" t="s">
        <v>502</v>
      </c>
      <c r="F220" s="1">
        <v>21</v>
      </c>
      <c r="G220" s="1">
        <v>0</v>
      </c>
      <c r="H220" t="s">
        <v>17</v>
      </c>
      <c r="I220" t="s">
        <v>222</v>
      </c>
      <c r="J220" t="s">
        <v>491</v>
      </c>
      <c r="K220" s="3">
        <v>46081</v>
      </c>
      <c r="L220" t="s">
        <v>224</v>
      </c>
      <c r="M220">
        <v>0.3</v>
      </c>
      <c r="N220">
        <v>1680</v>
      </c>
      <c r="O220">
        <f t="shared" si="9"/>
        <v>6.3</v>
      </c>
      <c r="P220">
        <f t="shared" si="10"/>
        <v>1.2500000000000001E-2</v>
      </c>
      <c r="Q220" t="str">
        <f t="shared" si="11"/>
        <v>Q27-01</v>
      </c>
    </row>
    <row r="221" spans="1:17" x14ac:dyDescent="0.25">
      <c r="A221" t="s">
        <v>61</v>
      </c>
      <c r="B221" t="s">
        <v>219</v>
      </c>
      <c r="C221" t="s">
        <v>220</v>
      </c>
      <c r="D221" t="s">
        <v>69</v>
      </c>
      <c r="E221" t="s">
        <v>503</v>
      </c>
      <c r="F221" s="1">
        <v>24</v>
      </c>
      <c r="G221" s="1">
        <v>0</v>
      </c>
      <c r="H221" t="s">
        <v>17</v>
      </c>
      <c r="I221" t="s">
        <v>222</v>
      </c>
      <c r="J221" t="s">
        <v>491</v>
      </c>
      <c r="K221" s="3">
        <v>46081</v>
      </c>
      <c r="L221" t="s">
        <v>224</v>
      </c>
      <c r="M221">
        <v>0.3</v>
      </c>
      <c r="N221">
        <v>1680</v>
      </c>
      <c r="O221">
        <f t="shared" si="9"/>
        <v>7.1999999999999993</v>
      </c>
      <c r="P221">
        <f t="shared" si="10"/>
        <v>1.4285714285714285E-2</v>
      </c>
      <c r="Q221" t="str">
        <f t="shared" si="11"/>
        <v>Q27-01</v>
      </c>
    </row>
    <row r="222" spans="1:17" x14ac:dyDescent="0.25">
      <c r="A222" t="s">
        <v>61</v>
      </c>
      <c r="B222" t="s">
        <v>219</v>
      </c>
      <c r="C222" t="s">
        <v>220</v>
      </c>
      <c r="D222" t="s">
        <v>69</v>
      </c>
      <c r="E222" t="s">
        <v>504</v>
      </c>
      <c r="F222" s="1">
        <v>4</v>
      </c>
      <c r="G222" s="1">
        <v>0</v>
      </c>
      <c r="H222" t="s">
        <v>17</v>
      </c>
      <c r="I222" t="s">
        <v>222</v>
      </c>
      <c r="J222" t="s">
        <v>491</v>
      </c>
      <c r="K222" s="3">
        <v>46081</v>
      </c>
      <c r="L222" t="s">
        <v>224</v>
      </c>
      <c r="M222">
        <v>0.3</v>
      </c>
      <c r="N222">
        <v>1680</v>
      </c>
      <c r="O222">
        <f t="shared" si="9"/>
        <v>1.2</v>
      </c>
      <c r="P222">
        <f t="shared" si="10"/>
        <v>2.3809523809523812E-3</v>
      </c>
      <c r="Q222" t="str">
        <f t="shared" si="11"/>
        <v>Q27-01</v>
      </c>
    </row>
    <row r="223" spans="1:17" x14ac:dyDescent="0.25">
      <c r="A223" t="s">
        <v>61</v>
      </c>
      <c r="B223" t="s">
        <v>219</v>
      </c>
      <c r="C223" t="s">
        <v>220</v>
      </c>
      <c r="D223" t="s">
        <v>69</v>
      </c>
      <c r="E223" t="s">
        <v>505</v>
      </c>
      <c r="F223" s="1">
        <v>4</v>
      </c>
      <c r="G223" s="1">
        <v>0</v>
      </c>
      <c r="H223" t="s">
        <v>17</v>
      </c>
      <c r="I223" t="s">
        <v>222</v>
      </c>
      <c r="J223" t="s">
        <v>491</v>
      </c>
      <c r="K223" s="3">
        <v>46081</v>
      </c>
      <c r="L223" t="s">
        <v>224</v>
      </c>
      <c r="M223">
        <v>0.3</v>
      </c>
      <c r="N223">
        <v>1680</v>
      </c>
      <c r="O223">
        <f t="shared" si="9"/>
        <v>1.2</v>
      </c>
      <c r="P223">
        <f t="shared" si="10"/>
        <v>2.3809523809523812E-3</v>
      </c>
      <c r="Q223" t="str">
        <f t="shared" si="11"/>
        <v>Q27-01</v>
      </c>
    </row>
    <row r="224" spans="1:17" x14ac:dyDescent="0.25">
      <c r="A224" t="s">
        <v>61</v>
      </c>
      <c r="B224" t="s">
        <v>456</v>
      </c>
      <c r="C224" t="s">
        <v>457</v>
      </c>
      <c r="D224" t="s">
        <v>69</v>
      </c>
      <c r="E224" t="s">
        <v>506</v>
      </c>
      <c r="F224" s="1">
        <v>3</v>
      </c>
      <c r="G224" s="1">
        <v>0</v>
      </c>
      <c r="H224" t="s">
        <v>17</v>
      </c>
      <c r="I224" t="s">
        <v>459</v>
      </c>
      <c r="J224" t="s">
        <v>491</v>
      </c>
      <c r="K224" s="3">
        <v>46081</v>
      </c>
      <c r="L224" t="s">
        <v>507</v>
      </c>
      <c r="M224">
        <v>0.22600000000000001</v>
      </c>
      <c r="N224">
        <v>1680</v>
      </c>
      <c r="O224">
        <f t="shared" si="9"/>
        <v>0.67800000000000005</v>
      </c>
      <c r="P224">
        <f t="shared" si="10"/>
        <v>1.7857142857142857E-3</v>
      </c>
      <c r="Q224" t="str">
        <f t="shared" si="11"/>
        <v>Q27-01</v>
      </c>
    </row>
    <row r="225" spans="1:17" x14ac:dyDescent="0.25">
      <c r="A225" t="s">
        <v>61</v>
      </c>
      <c r="B225" t="s">
        <v>456</v>
      </c>
      <c r="C225" t="s">
        <v>457</v>
      </c>
      <c r="D225" t="s">
        <v>185</v>
      </c>
      <c r="E225" t="s">
        <v>508</v>
      </c>
      <c r="F225" s="1">
        <v>12</v>
      </c>
      <c r="G225" s="1">
        <v>0</v>
      </c>
      <c r="H225" t="s">
        <v>17</v>
      </c>
      <c r="I225" t="s">
        <v>459</v>
      </c>
      <c r="J225" t="s">
        <v>509</v>
      </c>
      <c r="K225" s="3">
        <v>46142</v>
      </c>
      <c r="L225" t="s">
        <v>510</v>
      </c>
      <c r="M225">
        <v>0.22600000000000001</v>
      </c>
      <c r="N225">
        <v>1680</v>
      </c>
      <c r="O225">
        <f t="shared" si="9"/>
        <v>2.7120000000000002</v>
      </c>
      <c r="P225">
        <f t="shared" si="10"/>
        <v>7.1428571428571426E-3</v>
      </c>
      <c r="Q225" t="str">
        <f t="shared" si="11"/>
        <v>Q27-03</v>
      </c>
    </row>
    <row r="226" spans="1:17" x14ac:dyDescent="0.25">
      <c r="A226" t="s">
        <v>61</v>
      </c>
      <c r="B226" t="s">
        <v>317</v>
      </c>
      <c r="C226" t="s">
        <v>318</v>
      </c>
      <c r="D226" t="s">
        <v>336</v>
      </c>
      <c r="E226" t="s">
        <v>511</v>
      </c>
      <c r="F226" s="1">
        <v>9</v>
      </c>
      <c r="G226" s="1">
        <v>0</v>
      </c>
      <c r="H226" t="s">
        <v>17</v>
      </c>
      <c r="I226" t="s">
        <v>320</v>
      </c>
      <c r="J226" t="s">
        <v>509</v>
      </c>
      <c r="K226" s="3">
        <v>46418</v>
      </c>
      <c r="L226" t="s">
        <v>478</v>
      </c>
      <c r="M226">
        <v>0.04</v>
      </c>
      <c r="N226">
        <v>2688</v>
      </c>
      <c r="O226">
        <f t="shared" si="9"/>
        <v>0.36</v>
      </c>
      <c r="P226">
        <f t="shared" si="10"/>
        <v>3.3482142857142855E-3</v>
      </c>
      <c r="Q226" t="str">
        <f t="shared" si="11"/>
        <v>Q27-03</v>
      </c>
    </row>
    <row r="227" spans="1:17" x14ac:dyDescent="0.25">
      <c r="A227" t="s">
        <v>61</v>
      </c>
      <c r="B227" t="s">
        <v>317</v>
      </c>
      <c r="C227" t="s">
        <v>318</v>
      </c>
      <c r="D227" t="s">
        <v>336</v>
      </c>
      <c r="E227" t="s">
        <v>512</v>
      </c>
      <c r="F227" s="1">
        <v>7</v>
      </c>
      <c r="G227" s="1">
        <v>0</v>
      </c>
      <c r="H227" t="s">
        <v>17</v>
      </c>
      <c r="I227" t="s">
        <v>320</v>
      </c>
      <c r="J227" t="s">
        <v>509</v>
      </c>
      <c r="K227" s="3">
        <v>46418</v>
      </c>
      <c r="L227" t="s">
        <v>478</v>
      </c>
      <c r="M227">
        <v>0.04</v>
      </c>
      <c r="N227">
        <v>2688</v>
      </c>
      <c r="O227">
        <f t="shared" si="9"/>
        <v>0.28000000000000003</v>
      </c>
      <c r="P227">
        <f t="shared" si="10"/>
        <v>2.6041666666666665E-3</v>
      </c>
      <c r="Q227" t="str">
        <f t="shared" si="11"/>
        <v>Q27-03</v>
      </c>
    </row>
    <row r="228" spans="1:17" x14ac:dyDescent="0.25">
      <c r="A228" t="s">
        <v>61</v>
      </c>
      <c r="B228" t="s">
        <v>317</v>
      </c>
      <c r="C228" t="s">
        <v>318</v>
      </c>
      <c r="D228" t="s">
        <v>185</v>
      </c>
      <c r="E228" t="s">
        <v>513</v>
      </c>
      <c r="F228" s="1">
        <v>7</v>
      </c>
      <c r="G228" s="1">
        <v>0</v>
      </c>
      <c r="H228" t="s">
        <v>17</v>
      </c>
      <c r="I228" t="s">
        <v>320</v>
      </c>
      <c r="J228" t="s">
        <v>509</v>
      </c>
      <c r="K228" s="3">
        <v>46418</v>
      </c>
      <c r="L228" t="s">
        <v>478</v>
      </c>
      <c r="M228">
        <v>0.04</v>
      </c>
      <c r="N228">
        <v>2688</v>
      </c>
      <c r="O228">
        <f t="shared" si="9"/>
        <v>0.28000000000000003</v>
      </c>
      <c r="P228">
        <f t="shared" si="10"/>
        <v>2.6041666666666665E-3</v>
      </c>
      <c r="Q228" t="str">
        <f t="shared" si="11"/>
        <v>Q27-03</v>
      </c>
    </row>
    <row r="229" spans="1:17" x14ac:dyDescent="0.25">
      <c r="A229" t="s">
        <v>61</v>
      </c>
      <c r="B229" t="s">
        <v>317</v>
      </c>
      <c r="C229" t="s">
        <v>318</v>
      </c>
      <c r="D229" t="s">
        <v>185</v>
      </c>
      <c r="E229" t="s">
        <v>514</v>
      </c>
      <c r="F229" s="1">
        <v>19</v>
      </c>
      <c r="G229" s="1">
        <v>0</v>
      </c>
      <c r="H229" t="s">
        <v>17</v>
      </c>
      <c r="I229" t="s">
        <v>320</v>
      </c>
      <c r="J229" t="s">
        <v>509</v>
      </c>
      <c r="K229" s="3">
        <v>46418</v>
      </c>
      <c r="L229" t="s">
        <v>478</v>
      </c>
      <c r="M229">
        <v>0.04</v>
      </c>
      <c r="N229">
        <v>2688</v>
      </c>
      <c r="O229">
        <f t="shared" si="9"/>
        <v>0.76</v>
      </c>
      <c r="P229">
        <f t="shared" si="10"/>
        <v>7.068452380952381E-3</v>
      </c>
      <c r="Q229" t="str">
        <f t="shared" si="11"/>
        <v>Q27-03</v>
      </c>
    </row>
    <row r="230" spans="1:17" x14ac:dyDescent="0.25">
      <c r="A230" t="s">
        <v>61</v>
      </c>
      <c r="B230" t="s">
        <v>317</v>
      </c>
      <c r="C230" t="s">
        <v>318</v>
      </c>
      <c r="D230" t="s">
        <v>185</v>
      </c>
      <c r="E230" t="s">
        <v>515</v>
      </c>
      <c r="F230" s="1">
        <v>4</v>
      </c>
      <c r="G230" s="1">
        <v>0</v>
      </c>
      <c r="H230" t="s">
        <v>17</v>
      </c>
      <c r="I230" t="s">
        <v>320</v>
      </c>
      <c r="J230" t="s">
        <v>509</v>
      </c>
      <c r="K230" s="3">
        <v>46418</v>
      </c>
      <c r="L230" t="s">
        <v>478</v>
      </c>
      <c r="M230">
        <v>0.04</v>
      </c>
      <c r="N230">
        <v>2688</v>
      </c>
      <c r="O230">
        <f t="shared" si="9"/>
        <v>0.16</v>
      </c>
      <c r="P230">
        <f t="shared" si="10"/>
        <v>1.488095238095238E-3</v>
      </c>
      <c r="Q230" t="str">
        <f t="shared" si="11"/>
        <v>Q27-03</v>
      </c>
    </row>
    <row r="231" spans="1:17" x14ac:dyDescent="0.25">
      <c r="A231" t="s">
        <v>61</v>
      </c>
      <c r="B231" t="s">
        <v>317</v>
      </c>
      <c r="C231" t="s">
        <v>318</v>
      </c>
      <c r="D231" t="s">
        <v>185</v>
      </c>
      <c r="E231" t="s">
        <v>516</v>
      </c>
      <c r="F231" s="1">
        <v>4</v>
      </c>
      <c r="G231" s="1">
        <v>0</v>
      </c>
      <c r="H231" t="s">
        <v>17</v>
      </c>
      <c r="I231" t="s">
        <v>320</v>
      </c>
      <c r="J231" t="s">
        <v>509</v>
      </c>
      <c r="K231" s="3">
        <v>46418</v>
      </c>
      <c r="L231" t="s">
        <v>478</v>
      </c>
      <c r="M231">
        <v>0.04</v>
      </c>
      <c r="N231">
        <v>2688</v>
      </c>
      <c r="O231">
        <f t="shared" si="9"/>
        <v>0.16</v>
      </c>
      <c r="P231">
        <f t="shared" si="10"/>
        <v>1.488095238095238E-3</v>
      </c>
      <c r="Q231" t="str">
        <f t="shared" si="11"/>
        <v>Q27-03</v>
      </c>
    </row>
    <row r="232" spans="1:17" x14ac:dyDescent="0.25">
      <c r="A232" t="s">
        <v>61</v>
      </c>
      <c r="B232" t="s">
        <v>317</v>
      </c>
      <c r="C232" t="s">
        <v>318</v>
      </c>
      <c r="D232" t="s">
        <v>185</v>
      </c>
      <c r="E232" t="s">
        <v>517</v>
      </c>
      <c r="F232" s="1">
        <v>9</v>
      </c>
      <c r="G232" s="1">
        <v>0</v>
      </c>
      <c r="H232" t="s">
        <v>17</v>
      </c>
      <c r="I232" t="s">
        <v>320</v>
      </c>
      <c r="J232" t="s">
        <v>509</v>
      </c>
      <c r="K232" s="3">
        <v>46418</v>
      </c>
      <c r="L232" t="s">
        <v>478</v>
      </c>
      <c r="M232">
        <v>0.04</v>
      </c>
      <c r="N232">
        <v>2688</v>
      </c>
      <c r="O232">
        <f t="shared" si="9"/>
        <v>0.36</v>
      </c>
      <c r="P232">
        <f t="shared" si="10"/>
        <v>3.3482142857142855E-3</v>
      </c>
      <c r="Q232" t="str">
        <f t="shared" si="11"/>
        <v>Q27-03</v>
      </c>
    </row>
    <row r="233" spans="1:17" x14ac:dyDescent="0.25">
      <c r="A233" t="s">
        <v>61</v>
      </c>
      <c r="B233" t="s">
        <v>317</v>
      </c>
      <c r="C233" t="s">
        <v>318</v>
      </c>
      <c r="D233" t="s">
        <v>185</v>
      </c>
      <c r="E233" t="s">
        <v>518</v>
      </c>
      <c r="F233" s="1">
        <v>4</v>
      </c>
      <c r="G233" s="1">
        <v>0</v>
      </c>
      <c r="H233" t="s">
        <v>17</v>
      </c>
      <c r="I233" t="s">
        <v>320</v>
      </c>
      <c r="J233" t="s">
        <v>509</v>
      </c>
      <c r="K233" s="3">
        <v>46418</v>
      </c>
      <c r="L233" t="s">
        <v>478</v>
      </c>
      <c r="M233">
        <v>0.04</v>
      </c>
      <c r="N233">
        <v>2688</v>
      </c>
      <c r="O233">
        <f t="shared" si="9"/>
        <v>0.16</v>
      </c>
      <c r="P233">
        <f t="shared" si="10"/>
        <v>1.488095238095238E-3</v>
      </c>
      <c r="Q233" t="str">
        <f t="shared" si="11"/>
        <v>Q27-03</v>
      </c>
    </row>
    <row r="234" spans="1:17" x14ac:dyDescent="0.25">
      <c r="A234" t="s">
        <v>61</v>
      </c>
      <c r="B234" t="s">
        <v>317</v>
      </c>
      <c r="C234" t="s">
        <v>318</v>
      </c>
      <c r="D234" t="s">
        <v>185</v>
      </c>
      <c r="E234" t="s">
        <v>519</v>
      </c>
      <c r="F234" s="1">
        <v>22</v>
      </c>
      <c r="G234" s="1">
        <v>0</v>
      </c>
      <c r="H234" t="s">
        <v>17</v>
      </c>
      <c r="I234" t="s">
        <v>320</v>
      </c>
      <c r="J234" t="s">
        <v>509</v>
      </c>
      <c r="K234" s="3">
        <v>46418</v>
      </c>
      <c r="L234" t="s">
        <v>478</v>
      </c>
      <c r="M234">
        <v>0.04</v>
      </c>
      <c r="N234">
        <v>2688</v>
      </c>
      <c r="O234">
        <f t="shared" si="9"/>
        <v>0.88</v>
      </c>
      <c r="P234">
        <f t="shared" si="10"/>
        <v>8.1845238095238099E-3</v>
      </c>
      <c r="Q234" t="str">
        <f t="shared" si="11"/>
        <v>Q27-03</v>
      </c>
    </row>
    <row r="235" spans="1:17" x14ac:dyDescent="0.25">
      <c r="A235" t="s">
        <v>61</v>
      </c>
      <c r="B235" t="s">
        <v>317</v>
      </c>
      <c r="C235" t="s">
        <v>318</v>
      </c>
      <c r="D235" t="s">
        <v>185</v>
      </c>
      <c r="E235" t="s">
        <v>520</v>
      </c>
      <c r="F235" s="1">
        <v>12</v>
      </c>
      <c r="G235" s="1">
        <v>0</v>
      </c>
      <c r="H235" t="s">
        <v>17</v>
      </c>
      <c r="I235" t="s">
        <v>320</v>
      </c>
      <c r="J235" t="s">
        <v>509</v>
      </c>
      <c r="K235" s="3">
        <v>46418</v>
      </c>
      <c r="L235" t="s">
        <v>478</v>
      </c>
      <c r="M235">
        <v>0.04</v>
      </c>
      <c r="N235">
        <v>2688</v>
      </c>
      <c r="O235">
        <f t="shared" si="9"/>
        <v>0.48</v>
      </c>
      <c r="P235">
        <f t="shared" si="10"/>
        <v>4.464285714285714E-3</v>
      </c>
      <c r="Q235" t="str">
        <f t="shared" si="11"/>
        <v>Q27-03</v>
      </c>
    </row>
    <row r="236" spans="1:17" x14ac:dyDescent="0.25">
      <c r="A236" t="s">
        <v>61</v>
      </c>
      <c r="B236" t="s">
        <v>317</v>
      </c>
      <c r="C236" t="s">
        <v>318</v>
      </c>
      <c r="D236" t="s">
        <v>185</v>
      </c>
      <c r="E236" t="s">
        <v>521</v>
      </c>
      <c r="F236" s="1">
        <v>2</v>
      </c>
      <c r="G236" s="1">
        <v>0</v>
      </c>
      <c r="H236" t="s">
        <v>17</v>
      </c>
      <c r="I236" t="s">
        <v>320</v>
      </c>
      <c r="J236" t="s">
        <v>509</v>
      </c>
      <c r="K236" s="3">
        <v>46418</v>
      </c>
      <c r="L236" t="s">
        <v>478</v>
      </c>
      <c r="M236">
        <v>0.04</v>
      </c>
      <c r="N236">
        <v>2688</v>
      </c>
      <c r="O236">
        <f t="shared" si="9"/>
        <v>0.08</v>
      </c>
      <c r="P236">
        <f t="shared" si="10"/>
        <v>7.4404761904761901E-4</v>
      </c>
      <c r="Q236" t="str">
        <f t="shared" si="11"/>
        <v>Q27-03</v>
      </c>
    </row>
    <row r="237" spans="1:17" x14ac:dyDescent="0.25">
      <c r="A237" t="s">
        <v>61</v>
      </c>
      <c r="B237" t="s">
        <v>317</v>
      </c>
      <c r="C237" t="s">
        <v>318</v>
      </c>
      <c r="D237" t="s">
        <v>191</v>
      </c>
      <c r="E237" t="s">
        <v>522</v>
      </c>
      <c r="F237" s="1">
        <v>4</v>
      </c>
      <c r="G237" s="1">
        <v>0</v>
      </c>
      <c r="H237" t="s">
        <v>17</v>
      </c>
      <c r="I237" t="s">
        <v>320</v>
      </c>
      <c r="J237" t="s">
        <v>509</v>
      </c>
      <c r="K237" s="3">
        <v>46418</v>
      </c>
      <c r="L237" t="s">
        <v>478</v>
      </c>
      <c r="M237">
        <v>0.04</v>
      </c>
      <c r="N237">
        <v>2688</v>
      </c>
      <c r="O237">
        <f t="shared" si="9"/>
        <v>0.16</v>
      </c>
      <c r="P237">
        <f t="shared" si="10"/>
        <v>1.488095238095238E-3</v>
      </c>
      <c r="Q237" t="str">
        <f t="shared" si="11"/>
        <v>Q27-03</v>
      </c>
    </row>
    <row r="238" spans="1:17" x14ac:dyDescent="0.25">
      <c r="A238" t="s">
        <v>12</v>
      </c>
      <c r="B238" t="s">
        <v>523</v>
      </c>
      <c r="C238" t="s">
        <v>524</v>
      </c>
      <c r="D238" t="s">
        <v>57</v>
      </c>
      <c r="E238" t="s">
        <v>525</v>
      </c>
      <c r="F238" s="1">
        <v>4</v>
      </c>
      <c r="G238" s="1">
        <v>0</v>
      </c>
      <c r="H238" t="s">
        <v>17</v>
      </c>
      <c r="I238" t="s">
        <v>526</v>
      </c>
      <c r="J238" t="s">
        <v>527</v>
      </c>
      <c r="K238" s="3">
        <v>46561</v>
      </c>
      <c r="L238" t="s">
        <v>528</v>
      </c>
      <c r="M238">
        <v>2.5999999999999999E-2</v>
      </c>
      <c r="N238">
        <v>7200</v>
      </c>
      <c r="O238">
        <f t="shared" si="9"/>
        <v>0.104</v>
      </c>
      <c r="P238">
        <f t="shared" si="10"/>
        <v>5.5555555555555556E-4</v>
      </c>
      <c r="Q238" t="str">
        <f t="shared" si="11"/>
        <v>Q26-03</v>
      </c>
    </row>
    <row r="239" spans="1:17" x14ac:dyDescent="0.25">
      <c r="A239" t="s">
        <v>385</v>
      </c>
      <c r="B239" t="s">
        <v>529</v>
      </c>
      <c r="C239" t="s">
        <v>530</v>
      </c>
      <c r="D239" t="s">
        <v>144</v>
      </c>
      <c r="E239" t="s">
        <v>531</v>
      </c>
      <c r="F239" s="1">
        <v>550</v>
      </c>
      <c r="G239" s="1">
        <v>0</v>
      </c>
      <c r="H239" t="s">
        <v>17</v>
      </c>
      <c r="I239" t="s">
        <v>475</v>
      </c>
      <c r="J239" t="s">
        <v>90</v>
      </c>
      <c r="K239" s="3">
        <v>46214</v>
      </c>
      <c r="L239" t="s">
        <v>123</v>
      </c>
      <c r="M239">
        <v>0</v>
      </c>
      <c r="N239">
        <v>0</v>
      </c>
      <c r="O239">
        <f t="shared" si="9"/>
        <v>0</v>
      </c>
      <c r="Q239" t="str">
        <f t="shared" si="11"/>
        <v>QM4-01</v>
      </c>
    </row>
    <row r="240" spans="1:17" x14ac:dyDescent="0.25">
      <c r="A240" t="s">
        <v>61</v>
      </c>
      <c r="B240" t="s">
        <v>71</v>
      </c>
      <c r="C240" t="s">
        <v>72</v>
      </c>
      <c r="D240" t="s">
        <v>185</v>
      </c>
      <c r="E240" t="s">
        <v>532</v>
      </c>
      <c r="F240" s="1">
        <v>7</v>
      </c>
      <c r="G240" s="1">
        <v>0</v>
      </c>
      <c r="H240" t="s">
        <v>17</v>
      </c>
      <c r="I240" t="s">
        <v>75</v>
      </c>
      <c r="J240" t="s">
        <v>533</v>
      </c>
      <c r="K240" s="3">
        <v>46142</v>
      </c>
      <c r="L240" t="s">
        <v>534</v>
      </c>
      <c r="M240">
        <v>0.3</v>
      </c>
      <c r="N240">
        <v>1680</v>
      </c>
      <c r="O240">
        <f t="shared" si="9"/>
        <v>2.1</v>
      </c>
      <c r="P240">
        <f t="shared" si="10"/>
        <v>4.1666666666666666E-3</v>
      </c>
      <c r="Q240" t="str">
        <f t="shared" si="11"/>
        <v>Q27-03</v>
      </c>
    </row>
    <row r="241" spans="1:17" x14ac:dyDescent="0.25">
      <c r="A241" t="s">
        <v>61</v>
      </c>
      <c r="B241" t="s">
        <v>364</v>
      </c>
      <c r="C241" t="s">
        <v>365</v>
      </c>
      <c r="D241" t="s">
        <v>336</v>
      </c>
      <c r="E241" t="s">
        <v>535</v>
      </c>
      <c r="F241" s="1">
        <v>16</v>
      </c>
      <c r="G241" s="1">
        <v>0</v>
      </c>
      <c r="H241" t="s">
        <v>17</v>
      </c>
      <c r="I241" t="s">
        <v>367</v>
      </c>
      <c r="J241" t="s">
        <v>533</v>
      </c>
      <c r="K241" s="3">
        <v>46446</v>
      </c>
      <c r="L241" t="s">
        <v>536</v>
      </c>
      <c r="M241">
        <v>0.158</v>
      </c>
      <c r="N241">
        <v>1152</v>
      </c>
      <c r="O241">
        <f t="shared" si="9"/>
        <v>2.528</v>
      </c>
      <c r="P241">
        <f t="shared" si="10"/>
        <v>1.3888888888888888E-2</v>
      </c>
      <c r="Q241" t="str">
        <f t="shared" si="11"/>
        <v>Q27-03</v>
      </c>
    </row>
    <row r="242" spans="1:17" x14ac:dyDescent="0.25">
      <c r="A242" t="s">
        <v>61</v>
      </c>
      <c r="B242" t="s">
        <v>219</v>
      </c>
      <c r="C242" t="s">
        <v>220</v>
      </c>
      <c r="D242" t="s">
        <v>77</v>
      </c>
      <c r="E242" t="s">
        <v>537</v>
      </c>
      <c r="F242" s="1">
        <v>20</v>
      </c>
      <c r="G242" s="1">
        <v>0</v>
      </c>
      <c r="H242" t="s">
        <v>17</v>
      </c>
      <c r="I242" t="s">
        <v>222</v>
      </c>
      <c r="J242" t="s">
        <v>538</v>
      </c>
      <c r="K242" s="3">
        <v>46081</v>
      </c>
      <c r="L242" t="s">
        <v>539</v>
      </c>
      <c r="M242">
        <v>0.3</v>
      </c>
      <c r="N242">
        <v>1680</v>
      </c>
      <c r="O242">
        <f t="shared" si="9"/>
        <v>6</v>
      </c>
      <c r="P242">
        <f t="shared" si="10"/>
        <v>1.1904761904761904E-2</v>
      </c>
      <c r="Q242" t="str">
        <f t="shared" si="11"/>
        <v>Q27-01</v>
      </c>
    </row>
    <row r="243" spans="1:17" x14ac:dyDescent="0.25">
      <c r="A243" t="s">
        <v>61</v>
      </c>
      <c r="B243" t="s">
        <v>219</v>
      </c>
      <c r="C243" t="s">
        <v>220</v>
      </c>
      <c r="D243" t="s">
        <v>64</v>
      </c>
      <c r="E243" t="s">
        <v>540</v>
      </c>
      <c r="F243" s="1">
        <v>24</v>
      </c>
      <c r="G243" s="1">
        <v>0</v>
      </c>
      <c r="H243" t="s">
        <v>17</v>
      </c>
      <c r="I243" t="s">
        <v>222</v>
      </c>
      <c r="J243" t="s">
        <v>538</v>
      </c>
      <c r="K243" s="3">
        <v>46081</v>
      </c>
      <c r="L243" t="s">
        <v>539</v>
      </c>
      <c r="M243">
        <v>0.3</v>
      </c>
      <c r="N243">
        <v>1680</v>
      </c>
      <c r="O243">
        <f t="shared" si="9"/>
        <v>7.1999999999999993</v>
      </c>
      <c r="P243">
        <f t="shared" si="10"/>
        <v>1.4285714285714285E-2</v>
      </c>
      <c r="Q243" t="str">
        <f t="shared" si="11"/>
        <v>Q27-01</v>
      </c>
    </row>
    <row r="244" spans="1:17" x14ac:dyDescent="0.25">
      <c r="A244" t="s">
        <v>61</v>
      </c>
      <c r="B244" t="s">
        <v>219</v>
      </c>
      <c r="C244" t="s">
        <v>220</v>
      </c>
      <c r="D244" t="s">
        <v>64</v>
      </c>
      <c r="E244" t="s">
        <v>541</v>
      </c>
      <c r="F244" s="1">
        <v>2</v>
      </c>
      <c r="G244" s="1">
        <v>0</v>
      </c>
      <c r="H244" t="s">
        <v>17</v>
      </c>
      <c r="I244" t="s">
        <v>222</v>
      </c>
      <c r="J244" t="s">
        <v>538</v>
      </c>
      <c r="K244" s="3">
        <v>46081</v>
      </c>
      <c r="L244" t="s">
        <v>539</v>
      </c>
      <c r="M244">
        <v>0.3</v>
      </c>
      <c r="N244">
        <v>1680</v>
      </c>
      <c r="O244">
        <f t="shared" si="9"/>
        <v>0.6</v>
      </c>
      <c r="P244">
        <f t="shared" si="10"/>
        <v>1.1904761904761906E-3</v>
      </c>
      <c r="Q244" t="str">
        <f t="shared" si="11"/>
        <v>Q27-01</v>
      </c>
    </row>
    <row r="245" spans="1:17" x14ac:dyDescent="0.25">
      <c r="A245" t="s">
        <v>61</v>
      </c>
      <c r="B245" t="s">
        <v>219</v>
      </c>
      <c r="C245" t="s">
        <v>220</v>
      </c>
      <c r="D245" t="s">
        <v>69</v>
      </c>
      <c r="E245" t="s">
        <v>542</v>
      </c>
      <c r="F245" s="1">
        <v>4</v>
      </c>
      <c r="G245" s="1">
        <v>0</v>
      </c>
      <c r="H245" t="s">
        <v>17</v>
      </c>
      <c r="I245" t="s">
        <v>222</v>
      </c>
      <c r="J245" t="s">
        <v>538</v>
      </c>
      <c r="K245" s="3">
        <v>46081</v>
      </c>
      <c r="L245" t="s">
        <v>539</v>
      </c>
      <c r="M245">
        <v>0.3</v>
      </c>
      <c r="N245">
        <v>1680</v>
      </c>
      <c r="O245">
        <f t="shared" si="9"/>
        <v>1.2</v>
      </c>
      <c r="P245">
        <f t="shared" si="10"/>
        <v>2.3809523809523812E-3</v>
      </c>
      <c r="Q245" t="str">
        <f t="shared" si="11"/>
        <v>Q27-01</v>
      </c>
    </row>
    <row r="246" spans="1:17" x14ac:dyDescent="0.25">
      <c r="A246" t="s">
        <v>61</v>
      </c>
      <c r="B246" t="s">
        <v>219</v>
      </c>
      <c r="C246" t="s">
        <v>220</v>
      </c>
      <c r="D246" t="s">
        <v>69</v>
      </c>
      <c r="E246" t="s">
        <v>543</v>
      </c>
      <c r="F246" s="1">
        <v>15</v>
      </c>
      <c r="G246" s="1">
        <v>0</v>
      </c>
      <c r="H246" t="s">
        <v>17</v>
      </c>
      <c r="I246" t="s">
        <v>222</v>
      </c>
      <c r="J246" t="s">
        <v>538</v>
      </c>
      <c r="K246" s="3">
        <v>46081</v>
      </c>
      <c r="L246" t="s">
        <v>539</v>
      </c>
      <c r="M246">
        <v>0.3</v>
      </c>
      <c r="N246">
        <v>1680</v>
      </c>
      <c r="O246">
        <f t="shared" si="9"/>
        <v>4.5</v>
      </c>
      <c r="P246">
        <f t="shared" si="10"/>
        <v>8.9285714285714281E-3</v>
      </c>
      <c r="Q246" t="str">
        <f t="shared" si="11"/>
        <v>Q27-01</v>
      </c>
    </row>
    <row r="247" spans="1:17" x14ac:dyDescent="0.25">
      <c r="A247" t="s">
        <v>61</v>
      </c>
      <c r="B247" t="s">
        <v>219</v>
      </c>
      <c r="C247" t="s">
        <v>220</v>
      </c>
      <c r="D247" t="s">
        <v>69</v>
      </c>
      <c r="E247" t="s">
        <v>544</v>
      </c>
      <c r="F247" s="1">
        <v>37</v>
      </c>
      <c r="G247" s="1">
        <v>0</v>
      </c>
      <c r="H247" t="s">
        <v>17</v>
      </c>
      <c r="I247" t="s">
        <v>222</v>
      </c>
      <c r="J247" t="s">
        <v>538</v>
      </c>
      <c r="K247" s="3">
        <v>46081</v>
      </c>
      <c r="L247" t="s">
        <v>539</v>
      </c>
      <c r="M247">
        <v>0.3</v>
      </c>
      <c r="N247">
        <v>1680</v>
      </c>
      <c r="O247">
        <f t="shared" si="9"/>
        <v>11.1</v>
      </c>
      <c r="P247">
        <f t="shared" si="10"/>
        <v>2.2023809523809525E-2</v>
      </c>
      <c r="Q247" t="str">
        <f t="shared" si="11"/>
        <v>Q27-01</v>
      </c>
    </row>
    <row r="248" spans="1:17" x14ac:dyDescent="0.25">
      <c r="A248" t="s">
        <v>61</v>
      </c>
      <c r="B248" t="s">
        <v>71</v>
      </c>
      <c r="C248" t="s">
        <v>72</v>
      </c>
      <c r="D248" t="s">
        <v>168</v>
      </c>
      <c r="E248" t="s">
        <v>545</v>
      </c>
      <c r="F248" s="1">
        <v>31</v>
      </c>
      <c r="G248" s="1">
        <v>0</v>
      </c>
      <c r="H248" t="s">
        <v>17</v>
      </c>
      <c r="I248" t="s">
        <v>75</v>
      </c>
      <c r="J248" t="s">
        <v>538</v>
      </c>
      <c r="K248" s="3">
        <v>46081</v>
      </c>
      <c r="L248" t="s">
        <v>76</v>
      </c>
      <c r="M248">
        <v>0.3</v>
      </c>
      <c r="N248">
        <v>1680</v>
      </c>
      <c r="O248">
        <f t="shared" si="9"/>
        <v>9.2999999999999989</v>
      </c>
      <c r="P248">
        <f t="shared" si="10"/>
        <v>1.8452380952380953E-2</v>
      </c>
      <c r="Q248" t="str">
        <f t="shared" si="11"/>
        <v>Q26-01</v>
      </c>
    </row>
    <row r="249" spans="1:17" x14ac:dyDescent="0.25">
      <c r="A249" t="s">
        <v>61</v>
      </c>
      <c r="B249" t="s">
        <v>71</v>
      </c>
      <c r="C249" t="s">
        <v>72</v>
      </c>
      <c r="D249" t="s">
        <v>73</v>
      </c>
      <c r="E249" t="s">
        <v>546</v>
      </c>
      <c r="F249" s="1">
        <v>4</v>
      </c>
      <c r="G249" s="1">
        <v>0</v>
      </c>
      <c r="H249" t="s">
        <v>17</v>
      </c>
      <c r="I249" t="s">
        <v>75</v>
      </c>
      <c r="J249" t="s">
        <v>538</v>
      </c>
      <c r="K249" s="3">
        <v>46081</v>
      </c>
      <c r="L249" t="s">
        <v>76</v>
      </c>
      <c r="M249">
        <v>0.3</v>
      </c>
      <c r="N249">
        <v>1680</v>
      </c>
      <c r="O249">
        <f t="shared" si="9"/>
        <v>1.2</v>
      </c>
      <c r="P249">
        <f t="shared" si="10"/>
        <v>2.3809523809523812E-3</v>
      </c>
      <c r="Q249" t="str">
        <f t="shared" si="11"/>
        <v>Q26-01</v>
      </c>
    </row>
    <row r="250" spans="1:17" x14ac:dyDescent="0.25">
      <c r="A250" t="s">
        <v>61</v>
      </c>
      <c r="B250" t="s">
        <v>71</v>
      </c>
      <c r="C250" t="s">
        <v>72</v>
      </c>
      <c r="D250" t="s">
        <v>69</v>
      </c>
      <c r="E250" t="s">
        <v>547</v>
      </c>
      <c r="F250" s="1">
        <v>4</v>
      </c>
      <c r="G250" s="1">
        <v>0</v>
      </c>
      <c r="H250" t="s">
        <v>17</v>
      </c>
      <c r="I250" t="s">
        <v>75</v>
      </c>
      <c r="J250" t="s">
        <v>538</v>
      </c>
      <c r="K250" s="3">
        <v>46081</v>
      </c>
      <c r="L250" t="s">
        <v>76</v>
      </c>
      <c r="M250">
        <v>0.3</v>
      </c>
      <c r="N250">
        <v>1680</v>
      </c>
      <c r="O250">
        <f t="shared" si="9"/>
        <v>1.2</v>
      </c>
      <c r="P250">
        <f t="shared" si="10"/>
        <v>2.3809523809523812E-3</v>
      </c>
      <c r="Q250" t="str">
        <f t="shared" si="11"/>
        <v>Q27-01</v>
      </c>
    </row>
    <row r="251" spans="1:17" x14ac:dyDescent="0.25">
      <c r="A251" t="s">
        <v>61</v>
      </c>
      <c r="B251" t="s">
        <v>71</v>
      </c>
      <c r="C251" t="s">
        <v>72</v>
      </c>
      <c r="D251" t="s">
        <v>69</v>
      </c>
      <c r="E251" t="s">
        <v>548</v>
      </c>
      <c r="F251" s="1">
        <v>5</v>
      </c>
      <c r="G251" s="1">
        <v>0</v>
      </c>
      <c r="H251" t="s">
        <v>17</v>
      </c>
      <c r="I251" t="s">
        <v>75</v>
      </c>
      <c r="J251" t="s">
        <v>538</v>
      </c>
      <c r="K251" s="3">
        <v>46081</v>
      </c>
      <c r="L251" t="s">
        <v>549</v>
      </c>
      <c r="M251">
        <v>0.3</v>
      </c>
      <c r="N251">
        <v>1680</v>
      </c>
      <c r="O251">
        <f t="shared" si="9"/>
        <v>1.5</v>
      </c>
      <c r="P251">
        <f t="shared" si="10"/>
        <v>2.976190476190476E-3</v>
      </c>
      <c r="Q251" t="str">
        <f t="shared" si="11"/>
        <v>Q27-01</v>
      </c>
    </row>
    <row r="252" spans="1:17" x14ac:dyDescent="0.25">
      <c r="A252" t="s">
        <v>61</v>
      </c>
      <c r="B252" t="s">
        <v>62</v>
      </c>
      <c r="C252" t="s">
        <v>63</v>
      </c>
      <c r="D252" t="s">
        <v>69</v>
      </c>
      <c r="E252" t="s">
        <v>550</v>
      </c>
      <c r="F252" s="1">
        <v>2</v>
      </c>
      <c r="G252" s="1">
        <v>0</v>
      </c>
      <c r="H252" t="s">
        <v>17</v>
      </c>
      <c r="I252" t="s">
        <v>66</v>
      </c>
      <c r="J252" t="s">
        <v>538</v>
      </c>
      <c r="K252" s="3">
        <v>46081</v>
      </c>
      <c r="L252" t="s">
        <v>68</v>
      </c>
      <c r="M252">
        <v>9.6000000000000002E-2</v>
      </c>
      <c r="N252">
        <v>1920</v>
      </c>
      <c r="O252">
        <f t="shared" si="9"/>
        <v>0.192</v>
      </c>
      <c r="P252">
        <f t="shared" si="10"/>
        <v>1.0416666666666667E-3</v>
      </c>
      <c r="Q252" t="str">
        <f t="shared" si="11"/>
        <v>Q27-01</v>
      </c>
    </row>
    <row r="253" spans="1:17" x14ac:dyDescent="0.25">
      <c r="A253" t="s">
        <v>61</v>
      </c>
      <c r="B253" t="s">
        <v>62</v>
      </c>
      <c r="C253" t="s">
        <v>63</v>
      </c>
      <c r="D253" t="s">
        <v>551</v>
      </c>
      <c r="E253" t="s">
        <v>552</v>
      </c>
      <c r="F253" s="2">
        <v>1549</v>
      </c>
      <c r="G253" s="1">
        <v>0</v>
      </c>
      <c r="H253" t="s">
        <v>17</v>
      </c>
      <c r="I253" t="s">
        <v>66</v>
      </c>
      <c r="J253" t="s">
        <v>538</v>
      </c>
      <c r="K253" s="3">
        <v>46081</v>
      </c>
      <c r="L253" t="s">
        <v>68</v>
      </c>
      <c r="M253">
        <v>9.6000000000000002E-2</v>
      </c>
      <c r="N253">
        <v>1920</v>
      </c>
      <c r="O253">
        <f t="shared" si="9"/>
        <v>148.70400000000001</v>
      </c>
      <c r="P253">
        <f t="shared" si="10"/>
        <v>0.80677083333333333</v>
      </c>
      <c r="Q253" t="str">
        <f t="shared" si="11"/>
        <v>Q27-01</v>
      </c>
    </row>
    <row r="254" spans="1:17" x14ac:dyDescent="0.25">
      <c r="A254" t="s">
        <v>61</v>
      </c>
      <c r="B254" t="s">
        <v>62</v>
      </c>
      <c r="C254" t="s">
        <v>63</v>
      </c>
      <c r="D254" t="s">
        <v>553</v>
      </c>
      <c r="E254" t="s">
        <v>554</v>
      </c>
      <c r="F254" s="2">
        <v>1920</v>
      </c>
      <c r="G254" s="1">
        <v>0</v>
      </c>
      <c r="H254" t="s">
        <v>17</v>
      </c>
      <c r="I254" t="s">
        <v>66</v>
      </c>
      <c r="J254" t="s">
        <v>538</v>
      </c>
      <c r="K254" s="3">
        <v>46081</v>
      </c>
      <c r="L254" t="s">
        <v>68</v>
      </c>
      <c r="M254">
        <v>9.6000000000000002E-2</v>
      </c>
      <c r="N254">
        <v>1920</v>
      </c>
      <c r="O254">
        <f t="shared" si="9"/>
        <v>184.32</v>
      </c>
      <c r="P254">
        <f t="shared" si="10"/>
        <v>1</v>
      </c>
      <c r="Q254" t="str">
        <f t="shared" si="11"/>
        <v>Q27-01</v>
      </c>
    </row>
    <row r="255" spans="1:17" x14ac:dyDescent="0.25">
      <c r="A255" t="s">
        <v>61</v>
      </c>
      <c r="B255" t="s">
        <v>364</v>
      </c>
      <c r="C255" t="s">
        <v>365</v>
      </c>
      <c r="D255" t="s">
        <v>185</v>
      </c>
      <c r="E255" t="s">
        <v>555</v>
      </c>
      <c r="F255" s="1">
        <v>20</v>
      </c>
      <c r="G255" s="1">
        <v>0</v>
      </c>
      <c r="H255" t="s">
        <v>17</v>
      </c>
      <c r="I255" t="s">
        <v>367</v>
      </c>
      <c r="J255" t="s">
        <v>538</v>
      </c>
      <c r="K255" s="3">
        <v>46326</v>
      </c>
      <c r="L255" t="s">
        <v>417</v>
      </c>
      <c r="M255">
        <v>0.158</v>
      </c>
      <c r="N255">
        <v>1152</v>
      </c>
      <c r="O255">
        <f t="shared" si="9"/>
        <v>3.16</v>
      </c>
      <c r="P255">
        <f t="shared" si="10"/>
        <v>1.7361111111111112E-2</v>
      </c>
      <c r="Q255" t="str">
        <f t="shared" si="11"/>
        <v>Q27-03</v>
      </c>
    </row>
    <row r="256" spans="1:17" x14ac:dyDescent="0.25">
      <c r="A256" t="s">
        <v>61</v>
      </c>
      <c r="B256" t="s">
        <v>364</v>
      </c>
      <c r="C256" t="s">
        <v>365</v>
      </c>
      <c r="D256" t="s">
        <v>185</v>
      </c>
      <c r="E256" t="s">
        <v>556</v>
      </c>
      <c r="F256" s="1">
        <v>61</v>
      </c>
      <c r="G256" s="1">
        <v>0</v>
      </c>
      <c r="H256" t="s">
        <v>17</v>
      </c>
      <c r="I256" t="s">
        <v>367</v>
      </c>
      <c r="J256" t="s">
        <v>538</v>
      </c>
      <c r="K256" s="3">
        <v>46326</v>
      </c>
      <c r="L256" t="s">
        <v>417</v>
      </c>
      <c r="M256">
        <v>0.158</v>
      </c>
      <c r="N256">
        <v>1152</v>
      </c>
      <c r="O256">
        <f t="shared" si="9"/>
        <v>9.6379999999999999</v>
      </c>
      <c r="P256">
        <f t="shared" si="10"/>
        <v>5.2951388888888888E-2</v>
      </c>
      <c r="Q256" t="str">
        <f t="shared" si="11"/>
        <v>Q27-03</v>
      </c>
    </row>
    <row r="257" spans="1:17" x14ac:dyDescent="0.25">
      <c r="A257" t="s">
        <v>61</v>
      </c>
      <c r="B257" t="s">
        <v>364</v>
      </c>
      <c r="C257" t="s">
        <v>365</v>
      </c>
      <c r="D257" t="s">
        <v>185</v>
      </c>
      <c r="E257" t="s">
        <v>557</v>
      </c>
      <c r="F257" s="1">
        <v>8</v>
      </c>
      <c r="G257" s="1">
        <v>0</v>
      </c>
      <c r="H257" t="s">
        <v>17</v>
      </c>
      <c r="I257" t="s">
        <v>367</v>
      </c>
      <c r="J257" t="s">
        <v>538</v>
      </c>
      <c r="K257" s="3">
        <v>46326</v>
      </c>
      <c r="L257" t="s">
        <v>417</v>
      </c>
      <c r="M257">
        <v>0.158</v>
      </c>
      <c r="N257">
        <v>1152</v>
      </c>
      <c r="O257">
        <f t="shared" si="9"/>
        <v>1.264</v>
      </c>
      <c r="P257">
        <f t="shared" si="10"/>
        <v>6.9444444444444441E-3</v>
      </c>
      <c r="Q257" t="str">
        <f t="shared" si="11"/>
        <v>Q27-03</v>
      </c>
    </row>
    <row r="258" spans="1:17" x14ac:dyDescent="0.25">
      <c r="A258" t="s">
        <v>61</v>
      </c>
      <c r="B258" t="s">
        <v>364</v>
      </c>
      <c r="C258" t="s">
        <v>365</v>
      </c>
      <c r="D258" t="s">
        <v>185</v>
      </c>
      <c r="E258" t="s">
        <v>558</v>
      </c>
      <c r="F258" s="1">
        <v>22</v>
      </c>
      <c r="G258" s="1">
        <v>0</v>
      </c>
      <c r="H258" t="s">
        <v>17</v>
      </c>
      <c r="I258" t="s">
        <v>367</v>
      </c>
      <c r="J258" t="s">
        <v>538</v>
      </c>
      <c r="K258" s="3">
        <v>46326</v>
      </c>
      <c r="L258" t="s">
        <v>417</v>
      </c>
      <c r="M258">
        <v>0.158</v>
      </c>
      <c r="N258">
        <v>1152</v>
      </c>
      <c r="O258">
        <f t="shared" si="9"/>
        <v>3.476</v>
      </c>
      <c r="P258">
        <f t="shared" si="10"/>
        <v>1.9097222222222224E-2</v>
      </c>
      <c r="Q258" t="str">
        <f t="shared" si="11"/>
        <v>Q27-03</v>
      </c>
    </row>
    <row r="259" spans="1:17" x14ac:dyDescent="0.25">
      <c r="A259" t="s">
        <v>61</v>
      </c>
      <c r="B259" t="s">
        <v>71</v>
      </c>
      <c r="C259" t="s">
        <v>72</v>
      </c>
      <c r="D259" t="s">
        <v>191</v>
      </c>
      <c r="E259" t="s">
        <v>559</v>
      </c>
      <c r="F259" s="1">
        <v>13</v>
      </c>
      <c r="G259" s="1">
        <v>0</v>
      </c>
      <c r="H259" t="s">
        <v>17</v>
      </c>
      <c r="I259" t="s">
        <v>75</v>
      </c>
      <c r="J259" t="s">
        <v>560</v>
      </c>
      <c r="K259" s="3">
        <v>46142</v>
      </c>
      <c r="L259" t="s">
        <v>561</v>
      </c>
      <c r="M259">
        <v>0.3</v>
      </c>
      <c r="N259">
        <v>1680</v>
      </c>
      <c r="O259">
        <f t="shared" ref="O259:O322" si="12">F259*M259</f>
        <v>3.9</v>
      </c>
      <c r="P259">
        <f t="shared" ref="P259:P322" si="13">F259/N259</f>
        <v>7.7380952380952384E-3</v>
      </c>
      <c r="Q259" t="str">
        <f t="shared" ref="Q259:Q322" si="14">LEFT(D259,6)</f>
        <v>Q27-03</v>
      </c>
    </row>
    <row r="260" spans="1:17" x14ac:dyDescent="0.25">
      <c r="A260" t="s">
        <v>61</v>
      </c>
      <c r="B260" t="s">
        <v>71</v>
      </c>
      <c r="C260" t="s">
        <v>72</v>
      </c>
      <c r="D260" t="s">
        <v>64</v>
      </c>
      <c r="E260" t="s">
        <v>562</v>
      </c>
      <c r="F260" s="1">
        <v>10</v>
      </c>
      <c r="G260" s="1">
        <v>0</v>
      </c>
      <c r="H260" t="s">
        <v>17</v>
      </c>
      <c r="I260" t="s">
        <v>75</v>
      </c>
      <c r="J260" t="s">
        <v>560</v>
      </c>
      <c r="K260" s="3">
        <v>46112</v>
      </c>
      <c r="L260" t="s">
        <v>563</v>
      </c>
      <c r="M260">
        <v>0.3</v>
      </c>
      <c r="N260">
        <v>1680</v>
      </c>
      <c r="O260">
        <f t="shared" si="12"/>
        <v>3</v>
      </c>
      <c r="P260">
        <f t="shared" si="13"/>
        <v>5.9523809523809521E-3</v>
      </c>
      <c r="Q260" t="str">
        <f t="shared" si="14"/>
        <v>Q27-01</v>
      </c>
    </row>
    <row r="261" spans="1:17" x14ac:dyDescent="0.25">
      <c r="A261" t="s">
        <v>61</v>
      </c>
      <c r="B261" t="s">
        <v>456</v>
      </c>
      <c r="C261" t="s">
        <v>457</v>
      </c>
      <c r="D261" t="s">
        <v>69</v>
      </c>
      <c r="E261" t="s">
        <v>564</v>
      </c>
      <c r="F261" s="1">
        <v>3</v>
      </c>
      <c r="G261" s="1">
        <v>0</v>
      </c>
      <c r="H261" t="s">
        <v>17</v>
      </c>
      <c r="I261" t="s">
        <v>459</v>
      </c>
      <c r="J261" t="s">
        <v>560</v>
      </c>
      <c r="K261" s="3">
        <v>46112</v>
      </c>
      <c r="L261" t="s">
        <v>461</v>
      </c>
      <c r="M261">
        <v>0.22600000000000001</v>
      </c>
      <c r="N261">
        <v>1680</v>
      </c>
      <c r="O261">
        <f t="shared" si="12"/>
        <v>0.67800000000000005</v>
      </c>
      <c r="P261">
        <f t="shared" si="13"/>
        <v>1.7857142857142857E-3</v>
      </c>
      <c r="Q261" t="str">
        <f t="shared" si="14"/>
        <v>Q27-01</v>
      </c>
    </row>
    <row r="262" spans="1:17" x14ac:dyDescent="0.25">
      <c r="A262" t="s">
        <v>61</v>
      </c>
      <c r="B262" t="s">
        <v>71</v>
      </c>
      <c r="C262" t="s">
        <v>72</v>
      </c>
      <c r="D262" t="s">
        <v>69</v>
      </c>
      <c r="E262" t="s">
        <v>565</v>
      </c>
      <c r="F262" s="1">
        <v>18</v>
      </c>
      <c r="G262" s="1">
        <v>0</v>
      </c>
      <c r="H262" t="s">
        <v>17</v>
      </c>
      <c r="I262" t="s">
        <v>75</v>
      </c>
      <c r="J262" t="s">
        <v>560</v>
      </c>
      <c r="K262" s="3">
        <v>46112</v>
      </c>
      <c r="L262" t="s">
        <v>566</v>
      </c>
      <c r="M262">
        <v>0.3</v>
      </c>
      <c r="N262">
        <v>1680</v>
      </c>
      <c r="O262">
        <f t="shared" si="12"/>
        <v>5.3999999999999995</v>
      </c>
      <c r="P262">
        <f t="shared" si="13"/>
        <v>1.0714285714285714E-2</v>
      </c>
      <c r="Q262" t="str">
        <f t="shared" si="14"/>
        <v>Q27-01</v>
      </c>
    </row>
    <row r="263" spans="1:17" x14ac:dyDescent="0.25">
      <c r="A263" t="s">
        <v>61</v>
      </c>
      <c r="B263" t="s">
        <v>364</v>
      </c>
      <c r="C263" t="s">
        <v>365</v>
      </c>
      <c r="D263" t="s">
        <v>73</v>
      </c>
      <c r="E263" t="s">
        <v>567</v>
      </c>
      <c r="F263" s="1">
        <v>1</v>
      </c>
      <c r="G263" s="1">
        <v>0</v>
      </c>
      <c r="H263" t="s">
        <v>17</v>
      </c>
      <c r="I263" t="s">
        <v>367</v>
      </c>
      <c r="J263" t="s">
        <v>560</v>
      </c>
      <c r="K263" s="3">
        <v>46356</v>
      </c>
      <c r="L263" t="s">
        <v>419</v>
      </c>
      <c r="M263">
        <v>0.158</v>
      </c>
      <c r="N263">
        <v>1152</v>
      </c>
      <c r="O263">
        <f t="shared" si="12"/>
        <v>0.158</v>
      </c>
      <c r="P263">
        <f t="shared" si="13"/>
        <v>8.6805555555555551E-4</v>
      </c>
      <c r="Q263" t="str">
        <f t="shared" si="14"/>
        <v>Q26-01</v>
      </c>
    </row>
    <row r="264" spans="1:17" x14ac:dyDescent="0.25">
      <c r="A264" t="s">
        <v>61</v>
      </c>
      <c r="B264" t="s">
        <v>364</v>
      </c>
      <c r="C264" t="s">
        <v>365</v>
      </c>
      <c r="D264" t="s">
        <v>73</v>
      </c>
      <c r="E264" t="s">
        <v>568</v>
      </c>
      <c r="F264" s="1">
        <v>3</v>
      </c>
      <c r="G264" s="1">
        <v>0</v>
      </c>
      <c r="H264" t="s">
        <v>17</v>
      </c>
      <c r="I264" t="s">
        <v>367</v>
      </c>
      <c r="J264" t="s">
        <v>560</v>
      </c>
      <c r="K264" s="3">
        <v>46356</v>
      </c>
      <c r="L264" t="s">
        <v>419</v>
      </c>
      <c r="M264">
        <v>0.158</v>
      </c>
      <c r="N264">
        <v>1152</v>
      </c>
      <c r="O264">
        <f t="shared" si="12"/>
        <v>0.47399999999999998</v>
      </c>
      <c r="P264">
        <f t="shared" si="13"/>
        <v>2.6041666666666665E-3</v>
      </c>
      <c r="Q264" t="str">
        <f t="shared" si="14"/>
        <v>Q26-01</v>
      </c>
    </row>
    <row r="265" spans="1:17" x14ac:dyDescent="0.25">
      <c r="A265" t="s">
        <v>61</v>
      </c>
      <c r="B265" t="s">
        <v>364</v>
      </c>
      <c r="C265" t="s">
        <v>365</v>
      </c>
      <c r="D265" t="s">
        <v>73</v>
      </c>
      <c r="E265" t="s">
        <v>569</v>
      </c>
      <c r="F265" s="1">
        <v>1</v>
      </c>
      <c r="G265" s="1">
        <v>0</v>
      </c>
      <c r="H265" t="s">
        <v>17</v>
      </c>
      <c r="I265" t="s">
        <v>367</v>
      </c>
      <c r="J265" t="s">
        <v>560</v>
      </c>
      <c r="K265" s="3">
        <v>46356</v>
      </c>
      <c r="L265" t="s">
        <v>419</v>
      </c>
      <c r="M265">
        <v>0.158</v>
      </c>
      <c r="N265">
        <v>1152</v>
      </c>
      <c r="O265">
        <f t="shared" si="12"/>
        <v>0.158</v>
      </c>
      <c r="P265">
        <f t="shared" si="13"/>
        <v>8.6805555555555551E-4</v>
      </c>
      <c r="Q265" t="str">
        <f t="shared" si="14"/>
        <v>Q26-01</v>
      </c>
    </row>
    <row r="266" spans="1:17" x14ac:dyDescent="0.25">
      <c r="A266" t="s">
        <v>61</v>
      </c>
      <c r="B266" t="s">
        <v>364</v>
      </c>
      <c r="C266" t="s">
        <v>365</v>
      </c>
      <c r="D266" t="s">
        <v>185</v>
      </c>
      <c r="E266" t="s">
        <v>570</v>
      </c>
      <c r="F266" s="1">
        <v>23</v>
      </c>
      <c r="G266" s="1">
        <v>0</v>
      </c>
      <c r="H266" t="s">
        <v>17</v>
      </c>
      <c r="I266" t="s">
        <v>367</v>
      </c>
      <c r="J266" t="s">
        <v>560</v>
      </c>
      <c r="K266" s="3">
        <v>46356</v>
      </c>
      <c r="L266" t="s">
        <v>419</v>
      </c>
      <c r="M266">
        <v>0.158</v>
      </c>
      <c r="N266">
        <v>1152</v>
      </c>
      <c r="O266">
        <f t="shared" si="12"/>
        <v>3.6339999999999999</v>
      </c>
      <c r="P266">
        <f t="shared" si="13"/>
        <v>1.9965277777777776E-2</v>
      </c>
      <c r="Q266" t="str">
        <f t="shared" si="14"/>
        <v>Q27-03</v>
      </c>
    </row>
    <row r="267" spans="1:17" x14ac:dyDescent="0.25">
      <c r="A267" t="s">
        <v>61</v>
      </c>
      <c r="B267" t="s">
        <v>364</v>
      </c>
      <c r="C267" t="s">
        <v>365</v>
      </c>
      <c r="D267" t="s">
        <v>191</v>
      </c>
      <c r="E267" t="s">
        <v>571</v>
      </c>
      <c r="F267" s="1">
        <v>47</v>
      </c>
      <c r="G267" s="1">
        <v>0</v>
      </c>
      <c r="H267" t="s">
        <v>17</v>
      </c>
      <c r="I267" t="s">
        <v>367</v>
      </c>
      <c r="J267" t="s">
        <v>560</v>
      </c>
      <c r="K267" s="3">
        <v>46356</v>
      </c>
      <c r="L267" t="s">
        <v>419</v>
      </c>
      <c r="M267">
        <v>0.158</v>
      </c>
      <c r="N267">
        <v>1152</v>
      </c>
      <c r="O267">
        <f t="shared" si="12"/>
        <v>7.4260000000000002</v>
      </c>
      <c r="P267">
        <f t="shared" si="13"/>
        <v>4.0798611111111112E-2</v>
      </c>
      <c r="Q267" t="str">
        <f t="shared" si="14"/>
        <v>Q27-03</v>
      </c>
    </row>
    <row r="268" spans="1:17" x14ac:dyDescent="0.25">
      <c r="A268" t="s">
        <v>61</v>
      </c>
      <c r="B268" t="s">
        <v>364</v>
      </c>
      <c r="C268" t="s">
        <v>365</v>
      </c>
      <c r="D268" t="s">
        <v>191</v>
      </c>
      <c r="E268" t="s">
        <v>572</v>
      </c>
      <c r="F268" s="1">
        <v>21</v>
      </c>
      <c r="G268" s="1">
        <v>0</v>
      </c>
      <c r="H268" t="s">
        <v>17</v>
      </c>
      <c r="I268" t="s">
        <v>367</v>
      </c>
      <c r="J268" t="s">
        <v>560</v>
      </c>
      <c r="K268" s="3">
        <v>46356</v>
      </c>
      <c r="L268" t="s">
        <v>419</v>
      </c>
      <c r="M268">
        <v>0.158</v>
      </c>
      <c r="N268">
        <v>1152</v>
      </c>
      <c r="O268">
        <f t="shared" si="12"/>
        <v>3.3180000000000001</v>
      </c>
      <c r="P268">
        <f t="shared" si="13"/>
        <v>1.8229166666666668E-2</v>
      </c>
      <c r="Q268" t="str">
        <f t="shared" si="14"/>
        <v>Q27-03</v>
      </c>
    </row>
    <row r="269" spans="1:17" x14ac:dyDescent="0.25">
      <c r="A269" t="s">
        <v>61</v>
      </c>
      <c r="B269" t="s">
        <v>364</v>
      </c>
      <c r="C269" t="s">
        <v>365</v>
      </c>
      <c r="D269" t="s">
        <v>191</v>
      </c>
      <c r="E269" t="s">
        <v>573</v>
      </c>
      <c r="F269" s="1">
        <v>29</v>
      </c>
      <c r="G269" s="1">
        <v>0</v>
      </c>
      <c r="H269" t="s">
        <v>17</v>
      </c>
      <c r="I269" t="s">
        <v>367</v>
      </c>
      <c r="J269" t="s">
        <v>560</v>
      </c>
      <c r="K269" s="3">
        <v>46356</v>
      </c>
      <c r="L269" t="s">
        <v>419</v>
      </c>
      <c r="M269">
        <v>0.158</v>
      </c>
      <c r="N269">
        <v>1152</v>
      </c>
      <c r="O269">
        <f t="shared" si="12"/>
        <v>4.5819999999999999</v>
      </c>
      <c r="P269">
        <f t="shared" si="13"/>
        <v>2.5173611111111112E-2</v>
      </c>
      <c r="Q269" t="str">
        <f t="shared" si="14"/>
        <v>Q27-03</v>
      </c>
    </row>
    <row r="270" spans="1:17" x14ac:dyDescent="0.25">
      <c r="A270" t="s">
        <v>61</v>
      </c>
      <c r="B270" t="s">
        <v>420</v>
      </c>
      <c r="C270" t="s">
        <v>421</v>
      </c>
      <c r="D270" t="s">
        <v>191</v>
      </c>
      <c r="E270" t="s">
        <v>574</v>
      </c>
      <c r="F270" s="1">
        <v>1</v>
      </c>
      <c r="G270" s="1">
        <v>0</v>
      </c>
      <c r="H270" t="s">
        <v>17</v>
      </c>
      <c r="I270" t="s">
        <v>423</v>
      </c>
      <c r="J270" t="s">
        <v>560</v>
      </c>
      <c r="K270" s="3">
        <v>46356</v>
      </c>
      <c r="L270" t="s">
        <v>424</v>
      </c>
      <c r="M270">
        <v>0.156</v>
      </c>
      <c r="N270">
        <v>1152</v>
      </c>
      <c r="O270">
        <f t="shared" si="12"/>
        <v>0.156</v>
      </c>
      <c r="P270">
        <f t="shared" si="13"/>
        <v>8.6805555555555551E-4</v>
      </c>
      <c r="Q270" t="str">
        <f t="shared" si="14"/>
        <v>Q27-03</v>
      </c>
    </row>
    <row r="271" spans="1:17" x14ac:dyDescent="0.25">
      <c r="A271" t="s">
        <v>61</v>
      </c>
      <c r="B271" t="s">
        <v>420</v>
      </c>
      <c r="C271" t="s">
        <v>421</v>
      </c>
      <c r="D271" t="s">
        <v>191</v>
      </c>
      <c r="E271" t="s">
        <v>575</v>
      </c>
      <c r="F271" s="1">
        <v>10</v>
      </c>
      <c r="G271" s="1">
        <v>0</v>
      </c>
      <c r="H271" t="s">
        <v>17</v>
      </c>
      <c r="I271" t="s">
        <v>423</v>
      </c>
      <c r="J271" t="s">
        <v>560</v>
      </c>
      <c r="K271" s="3">
        <v>46356</v>
      </c>
      <c r="L271" t="s">
        <v>424</v>
      </c>
      <c r="M271">
        <v>0.156</v>
      </c>
      <c r="N271">
        <v>1152</v>
      </c>
      <c r="O271">
        <f t="shared" si="12"/>
        <v>1.56</v>
      </c>
      <c r="P271">
        <f t="shared" si="13"/>
        <v>8.6805555555555559E-3</v>
      </c>
      <c r="Q271" t="str">
        <f t="shared" si="14"/>
        <v>Q27-03</v>
      </c>
    </row>
    <row r="272" spans="1:17" x14ac:dyDescent="0.25">
      <c r="A272" t="s">
        <v>61</v>
      </c>
      <c r="B272" t="s">
        <v>233</v>
      </c>
      <c r="C272" t="s">
        <v>234</v>
      </c>
      <c r="D272" t="s">
        <v>69</v>
      </c>
      <c r="E272" t="s">
        <v>576</v>
      </c>
      <c r="F272" s="1">
        <v>1</v>
      </c>
      <c r="G272" s="1">
        <v>0</v>
      </c>
      <c r="H272" t="s">
        <v>17</v>
      </c>
      <c r="I272" t="s">
        <v>222</v>
      </c>
      <c r="J272" t="s">
        <v>577</v>
      </c>
      <c r="K272" s="3">
        <v>46053</v>
      </c>
      <c r="L272" t="s">
        <v>264</v>
      </c>
      <c r="M272">
        <v>7.4999999999999997E-2</v>
      </c>
      <c r="N272">
        <v>2688</v>
      </c>
      <c r="O272">
        <f t="shared" si="12"/>
        <v>7.4999999999999997E-2</v>
      </c>
      <c r="P272">
        <f t="shared" si="13"/>
        <v>3.720238095238095E-4</v>
      </c>
      <c r="Q272" t="str">
        <f t="shared" si="14"/>
        <v>Q27-01</v>
      </c>
    </row>
    <row r="273" spans="1:17" x14ac:dyDescent="0.25">
      <c r="A273" t="s">
        <v>12</v>
      </c>
      <c r="B273" t="s">
        <v>463</v>
      </c>
      <c r="C273" t="s">
        <v>464</v>
      </c>
      <c r="D273" t="s">
        <v>26</v>
      </c>
      <c r="E273" t="s">
        <v>578</v>
      </c>
      <c r="F273" s="1">
        <v>1</v>
      </c>
      <c r="G273" s="1">
        <v>0</v>
      </c>
      <c r="H273" t="s">
        <v>17</v>
      </c>
      <c r="I273" t="s">
        <v>466</v>
      </c>
      <c r="J273" t="s">
        <v>579</v>
      </c>
      <c r="K273" s="3">
        <v>46616</v>
      </c>
      <c r="L273" t="s">
        <v>468</v>
      </c>
      <c r="M273">
        <v>2.3E-2</v>
      </c>
      <c r="N273">
        <v>1920</v>
      </c>
      <c r="O273">
        <f t="shared" si="12"/>
        <v>2.3E-2</v>
      </c>
      <c r="P273">
        <f t="shared" si="13"/>
        <v>5.2083333333333333E-4</v>
      </c>
      <c r="Q273" t="str">
        <f t="shared" si="14"/>
        <v>Q26-03</v>
      </c>
    </row>
    <row r="274" spans="1:17" x14ac:dyDescent="0.25">
      <c r="A274" t="s">
        <v>12</v>
      </c>
      <c r="B274" t="s">
        <v>523</v>
      </c>
      <c r="C274" t="s">
        <v>524</v>
      </c>
      <c r="D274" t="s">
        <v>441</v>
      </c>
      <c r="E274" t="s">
        <v>580</v>
      </c>
      <c r="F274" s="1">
        <v>1</v>
      </c>
      <c r="G274" s="1">
        <v>0</v>
      </c>
      <c r="H274" t="s">
        <v>17</v>
      </c>
      <c r="I274" t="s">
        <v>526</v>
      </c>
      <c r="J274" t="s">
        <v>581</v>
      </c>
      <c r="K274" s="3">
        <v>46561</v>
      </c>
      <c r="L274" t="s">
        <v>528</v>
      </c>
      <c r="M274">
        <v>2.5999999999999999E-2</v>
      </c>
      <c r="N274">
        <v>7200</v>
      </c>
      <c r="O274">
        <f t="shared" si="12"/>
        <v>2.5999999999999999E-2</v>
      </c>
      <c r="P274">
        <f t="shared" si="13"/>
        <v>1.3888888888888889E-4</v>
      </c>
      <c r="Q274" t="str">
        <f t="shared" si="14"/>
        <v>Q26-03</v>
      </c>
    </row>
    <row r="275" spans="1:17" x14ac:dyDescent="0.25">
      <c r="A275" t="s">
        <v>61</v>
      </c>
      <c r="B275" t="s">
        <v>456</v>
      </c>
      <c r="C275" t="s">
        <v>457</v>
      </c>
      <c r="D275" t="s">
        <v>185</v>
      </c>
      <c r="E275" t="s">
        <v>582</v>
      </c>
      <c r="F275" s="1">
        <v>7</v>
      </c>
      <c r="G275" s="1">
        <v>0</v>
      </c>
      <c r="H275" t="s">
        <v>17</v>
      </c>
      <c r="I275" t="s">
        <v>459</v>
      </c>
      <c r="J275" t="s">
        <v>583</v>
      </c>
      <c r="K275" s="3">
        <v>46203</v>
      </c>
      <c r="L275" t="s">
        <v>584</v>
      </c>
      <c r="M275">
        <v>0.22600000000000001</v>
      </c>
      <c r="N275">
        <v>1680</v>
      </c>
      <c r="O275">
        <f t="shared" si="12"/>
        <v>1.5820000000000001</v>
      </c>
      <c r="P275">
        <f t="shared" si="13"/>
        <v>4.1666666666666666E-3</v>
      </c>
      <c r="Q275" t="str">
        <f t="shared" si="14"/>
        <v>Q27-03</v>
      </c>
    </row>
    <row r="276" spans="1:17" x14ac:dyDescent="0.25">
      <c r="A276" t="s">
        <v>61</v>
      </c>
      <c r="B276" t="s">
        <v>456</v>
      </c>
      <c r="C276" t="s">
        <v>457</v>
      </c>
      <c r="D276" t="s">
        <v>185</v>
      </c>
      <c r="E276" t="s">
        <v>585</v>
      </c>
      <c r="F276" s="1">
        <v>3</v>
      </c>
      <c r="G276" s="1">
        <v>0</v>
      </c>
      <c r="H276" t="s">
        <v>17</v>
      </c>
      <c r="I276" t="s">
        <v>459</v>
      </c>
      <c r="J276" t="s">
        <v>583</v>
      </c>
      <c r="K276" s="3">
        <v>46203</v>
      </c>
      <c r="L276" t="s">
        <v>584</v>
      </c>
      <c r="M276">
        <v>0.22600000000000001</v>
      </c>
      <c r="N276">
        <v>1680</v>
      </c>
      <c r="O276">
        <f t="shared" si="12"/>
        <v>0.67800000000000005</v>
      </c>
      <c r="P276">
        <f t="shared" si="13"/>
        <v>1.7857142857142857E-3</v>
      </c>
      <c r="Q276" t="str">
        <f t="shared" si="14"/>
        <v>Q27-03</v>
      </c>
    </row>
    <row r="277" spans="1:17" x14ac:dyDescent="0.25">
      <c r="A277" t="s">
        <v>12</v>
      </c>
      <c r="B277" t="s">
        <v>24</v>
      </c>
      <c r="C277" t="s">
        <v>25</v>
      </c>
      <c r="D277" t="s">
        <v>26</v>
      </c>
      <c r="E277" t="s">
        <v>586</v>
      </c>
      <c r="F277" s="1">
        <v>4</v>
      </c>
      <c r="G277" s="1">
        <v>0</v>
      </c>
      <c r="H277" t="s">
        <v>17</v>
      </c>
      <c r="I277" t="s">
        <v>28</v>
      </c>
      <c r="J277" t="s">
        <v>587</v>
      </c>
      <c r="K277" s="3">
        <v>47086</v>
      </c>
      <c r="L277" t="s">
        <v>588</v>
      </c>
      <c r="M277">
        <v>2.9000000000000001E-2</v>
      </c>
      <c r="N277">
        <v>2880</v>
      </c>
      <c r="O277">
        <f t="shared" si="12"/>
        <v>0.11600000000000001</v>
      </c>
      <c r="P277">
        <f t="shared" si="13"/>
        <v>1.3888888888888889E-3</v>
      </c>
      <c r="Q277" t="str">
        <f t="shared" si="14"/>
        <v>Q26-03</v>
      </c>
    </row>
    <row r="278" spans="1:17" x14ac:dyDescent="0.25">
      <c r="A278" t="s">
        <v>12</v>
      </c>
      <c r="B278" t="s">
        <v>589</v>
      </c>
      <c r="C278" t="s">
        <v>590</v>
      </c>
      <c r="D278" t="s">
        <v>26</v>
      </c>
      <c r="E278" t="s">
        <v>591</v>
      </c>
      <c r="F278" s="1">
        <v>1</v>
      </c>
      <c r="G278" s="1">
        <v>0</v>
      </c>
      <c r="H278" t="s">
        <v>17</v>
      </c>
      <c r="I278" t="s">
        <v>592</v>
      </c>
      <c r="J278" t="s">
        <v>587</v>
      </c>
      <c r="K278" s="3">
        <v>45965</v>
      </c>
      <c r="L278" t="s">
        <v>593</v>
      </c>
      <c r="M278">
        <v>4.1000000000000002E-2</v>
      </c>
      <c r="N278">
        <v>1280</v>
      </c>
      <c r="O278">
        <f t="shared" si="12"/>
        <v>4.1000000000000002E-2</v>
      </c>
      <c r="P278">
        <f t="shared" si="13"/>
        <v>7.8125000000000004E-4</v>
      </c>
      <c r="Q278" t="str">
        <f t="shared" si="14"/>
        <v>Q26-03</v>
      </c>
    </row>
    <row r="279" spans="1:17" x14ac:dyDescent="0.25">
      <c r="A279" t="s">
        <v>12</v>
      </c>
      <c r="B279" t="s">
        <v>594</v>
      </c>
      <c r="C279" t="s">
        <v>595</v>
      </c>
      <c r="D279" t="s">
        <v>121</v>
      </c>
      <c r="E279" t="s">
        <v>596</v>
      </c>
      <c r="F279" s="1">
        <v>520</v>
      </c>
      <c r="G279" s="1">
        <v>0</v>
      </c>
      <c r="H279" t="s">
        <v>17</v>
      </c>
      <c r="I279" t="s">
        <v>475</v>
      </c>
      <c r="J279" t="s">
        <v>90</v>
      </c>
      <c r="K279" s="3">
        <v>46249</v>
      </c>
      <c r="L279" t="s">
        <v>123</v>
      </c>
      <c r="M279">
        <v>0</v>
      </c>
      <c r="N279">
        <v>0</v>
      </c>
      <c r="O279">
        <f t="shared" si="12"/>
        <v>0</v>
      </c>
      <c r="Q279" t="str">
        <f t="shared" si="14"/>
        <v>Q27-01</v>
      </c>
    </row>
    <row r="280" spans="1:17" x14ac:dyDescent="0.25">
      <c r="A280" t="s">
        <v>61</v>
      </c>
      <c r="B280" t="s">
        <v>317</v>
      </c>
      <c r="C280" t="s">
        <v>318</v>
      </c>
      <c r="D280" t="s">
        <v>336</v>
      </c>
      <c r="E280" t="s">
        <v>597</v>
      </c>
      <c r="F280" s="1">
        <v>38</v>
      </c>
      <c r="G280" s="1">
        <v>0</v>
      </c>
      <c r="H280" t="s">
        <v>17</v>
      </c>
      <c r="I280" t="s">
        <v>320</v>
      </c>
      <c r="J280" t="s">
        <v>598</v>
      </c>
      <c r="K280" s="3">
        <v>46418</v>
      </c>
      <c r="L280" t="s">
        <v>478</v>
      </c>
      <c r="M280">
        <v>0.04</v>
      </c>
      <c r="N280">
        <v>2688</v>
      </c>
      <c r="O280">
        <f t="shared" si="12"/>
        <v>1.52</v>
      </c>
      <c r="P280">
        <f t="shared" si="13"/>
        <v>1.4136904761904762E-2</v>
      </c>
      <c r="Q280" t="str">
        <f t="shared" si="14"/>
        <v>Q27-03</v>
      </c>
    </row>
    <row r="281" spans="1:17" x14ac:dyDescent="0.25">
      <c r="A281" t="s">
        <v>61</v>
      </c>
      <c r="B281" t="s">
        <v>317</v>
      </c>
      <c r="C281" t="s">
        <v>318</v>
      </c>
      <c r="D281" t="s">
        <v>185</v>
      </c>
      <c r="E281" t="s">
        <v>599</v>
      </c>
      <c r="F281" s="1">
        <v>2</v>
      </c>
      <c r="G281" s="1">
        <v>0</v>
      </c>
      <c r="H281" t="s">
        <v>17</v>
      </c>
      <c r="I281" t="s">
        <v>320</v>
      </c>
      <c r="J281" t="s">
        <v>598</v>
      </c>
      <c r="K281" s="3">
        <v>46418</v>
      </c>
      <c r="L281" t="s">
        <v>478</v>
      </c>
      <c r="M281">
        <v>0.04</v>
      </c>
      <c r="N281">
        <v>2688</v>
      </c>
      <c r="O281">
        <f t="shared" si="12"/>
        <v>0.08</v>
      </c>
      <c r="P281">
        <f t="shared" si="13"/>
        <v>7.4404761904761901E-4</v>
      </c>
      <c r="Q281" t="str">
        <f t="shared" si="14"/>
        <v>Q27-03</v>
      </c>
    </row>
    <row r="282" spans="1:17" x14ac:dyDescent="0.25">
      <c r="A282" t="s">
        <v>61</v>
      </c>
      <c r="B282" t="s">
        <v>317</v>
      </c>
      <c r="C282" t="s">
        <v>318</v>
      </c>
      <c r="D282" t="s">
        <v>185</v>
      </c>
      <c r="E282" t="s">
        <v>600</v>
      </c>
      <c r="F282" s="1">
        <v>1</v>
      </c>
      <c r="G282" s="1">
        <v>0</v>
      </c>
      <c r="H282" t="s">
        <v>17</v>
      </c>
      <c r="I282" t="s">
        <v>320</v>
      </c>
      <c r="J282" t="s">
        <v>598</v>
      </c>
      <c r="K282" s="3">
        <v>46418</v>
      </c>
      <c r="L282" t="s">
        <v>478</v>
      </c>
      <c r="M282">
        <v>0.04</v>
      </c>
      <c r="N282">
        <v>2688</v>
      </c>
      <c r="O282">
        <f t="shared" si="12"/>
        <v>0.04</v>
      </c>
      <c r="P282">
        <f t="shared" si="13"/>
        <v>3.720238095238095E-4</v>
      </c>
      <c r="Q282" t="str">
        <f t="shared" si="14"/>
        <v>Q27-03</v>
      </c>
    </row>
    <row r="283" spans="1:17" x14ac:dyDescent="0.25">
      <c r="A283" t="s">
        <v>61</v>
      </c>
      <c r="B283" t="s">
        <v>317</v>
      </c>
      <c r="C283" t="s">
        <v>318</v>
      </c>
      <c r="D283" t="s">
        <v>185</v>
      </c>
      <c r="E283" t="s">
        <v>601</v>
      </c>
      <c r="F283" s="1">
        <v>1</v>
      </c>
      <c r="G283" s="1">
        <v>0</v>
      </c>
      <c r="H283" t="s">
        <v>17</v>
      </c>
      <c r="I283" t="s">
        <v>320</v>
      </c>
      <c r="J283" t="s">
        <v>598</v>
      </c>
      <c r="K283" s="3">
        <v>46418</v>
      </c>
      <c r="L283" t="s">
        <v>478</v>
      </c>
      <c r="M283">
        <v>0.04</v>
      </c>
      <c r="N283">
        <v>2688</v>
      </c>
      <c r="O283">
        <f t="shared" si="12"/>
        <v>0.04</v>
      </c>
      <c r="P283">
        <f t="shared" si="13"/>
        <v>3.720238095238095E-4</v>
      </c>
      <c r="Q283" t="str">
        <f t="shared" si="14"/>
        <v>Q27-03</v>
      </c>
    </row>
    <row r="284" spans="1:17" x14ac:dyDescent="0.25">
      <c r="A284" t="s">
        <v>61</v>
      </c>
      <c r="B284" t="s">
        <v>317</v>
      </c>
      <c r="C284" t="s">
        <v>318</v>
      </c>
      <c r="D284" t="s">
        <v>191</v>
      </c>
      <c r="E284" t="s">
        <v>602</v>
      </c>
      <c r="F284" s="1">
        <v>15</v>
      </c>
      <c r="G284" s="1">
        <v>0</v>
      </c>
      <c r="H284" t="s">
        <v>17</v>
      </c>
      <c r="I284" t="s">
        <v>320</v>
      </c>
      <c r="J284" t="s">
        <v>598</v>
      </c>
      <c r="K284" s="3">
        <v>46418</v>
      </c>
      <c r="L284" t="s">
        <v>478</v>
      </c>
      <c r="M284">
        <v>0.04</v>
      </c>
      <c r="N284">
        <v>2688</v>
      </c>
      <c r="O284">
        <f t="shared" si="12"/>
        <v>0.6</v>
      </c>
      <c r="P284">
        <f t="shared" si="13"/>
        <v>5.580357142857143E-3</v>
      </c>
      <c r="Q284" t="str">
        <f t="shared" si="14"/>
        <v>Q27-03</v>
      </c>
    </row>
    <row r="285" spans="1:17" x14ac:dyDescent="0.25">
      <c r="A285" t="s">
        <v>61</v>
      </c>
      <c r="B285" t="s">
        <v>317</v>
      </c>
      <c r="C285" t="s">
        <v>318</v>
      </c>
      <c r="D285" t="s">
        <v>191</v>
      </c>
      <c r="E285" t="s">
        <v>603</v>
      </c>
      <c r="F285" s="1">
        <v>7</v>
      </c>
      <c r="G285" s="1">
        <v>0</v>
      </c>
      <c r="H285" t="s">
        <v>17</v>
      </c>
      <c r="I285" t="s">
        <v>320</v>
      </c>
      <c r="J285" t="s">
        <v>598</v>
      </c>
      <c r="K285" s="3">
        <v>46418</v>
      </c>
      <c r="L285" t="s">
        <v>478</v>
      </c>
      <c r="M285">
        <v>0.04</v>
      </c>
      <c r="N285">
        <v>2688</v>
      </c>
      <c r="O285">
        <f t="shared" si="12"/>
        <v>0.28000000000000003</v>
      </c>
      <c r="P285">
        <f t="shared" si="13"/>
        <v>2.6041666666666665E-3</v>
      </c>
      <c r="Q285" t="str">
        <f t="shared" si="14"/>
        <v>Q27-03</v>
      </c>
    </row>
    <row r="286" spans="1:17" x14ac:dyDescent="0.25">
      <c r="A286" t="s">
        <v>61</v>
      </c>
      <c r="B286" t="s">
        <v>317</v>
      </c>
      <c r="C286" t="s">
        <v>318</v>
      </c>
      <c r="D286" t="s">
        <v>191</v>
      </c>
      <c r="E286" t="s">
        <v>604</v>
      </c>
      <c r="F286" s="1">
        <v>5</v>
      </c>
      <c r="G286" s="1">
        <v>0</v>
      </c>
      <c r="H286" t="s">
        <v>17</v>
      </c>
      <c r="I286" t="s">
        <v>320</v>
      </c>
      <c r="J286" t="s">
        <v>598</v>
      </c>
      <c r="K286" s="3">
        <v>46418</v>
      </c>
      <c r="L286" t="s">
        <v>478</v>
      </c>
      <c r="M286">
        <v>0.04</v>
      </c>
      <c r="N286">
        <v>2688</v>
      </c>
      <c r="O286">
        <f t="shared" si="12"/>
        <v>0.2</v>
      </c>
      <c r="P286">
        <f t="shared" si="13"/>
        <v>1.8601190476190475E-3</v>
      </c>
      <c r="Q286" t="str">
        <f t="shared" si="14"/>
        <v>Q27-03</v>
      </c>
    </row>
    <row r="287" spans="1:17" x14ac:dyDescent="0.25">
      <c r="A287" t="s">
        <v>61</v>
      </c>
      <c r="B287" t="s">
        <v>317</v>
      </c>
      <c r="C287" t="s">
        <v>318</v>
      </c>
      <c r="D287" t="s">
        <v>191</v>
      </c>
      <c r="E287" t="s">
        <v>605</v>
      </c>
      <c r="F287" s="1">
        <v>12</v>
      </c>
      <c r="G287" s="1">
        <v>0</v>
      </c>
      <c r="H287" t="s">
        <v>17</v>
      </c>
      <c r="I287" t="s">
        <v>320</v>
      </c>
      <c r="J287" t="s">
        <v>598</v>
      </c>
      <c r="K287" s="3">
        <v>46418</v>
      </c>
      <c r="L287" t="s">
        <v>478</v>
      </c>
      <c r="M287">
        <v>0.04</v>
      </c>
      <c r="N287">
        <v>2688</v>
      </c>
      <c r="O287">
        <f t="shared" si="12"/>
        <v>0.48</v>
      </c>
      <c r="P287">
        <f t="shared" si="13"/>
        <v>4.464285714285714E-3</v>
      </c>
      <c r="Q287" t="str">
        <f t="shared" si="14"/>
        <v>Q27-03</v>
      </c>
    </row>
    <row r="288" spans="1:17" x14ac:dyDescent="0.25">
      <c r="A288" t="s">
        <v>61</v>
      </c>
      <c r="B288" t="s">
        <v>364</v>
      </c>
      <c r="C288" t="s">
        <v>365</v>
      </c>
      <c r="D288" t="s">
        <v>195</v>
      </c>
      <c r="E288" t="s">
        <v>606</v>
      </c>
      <c r="F288" s="1">
        <v>16</v>
      </c>
      <c r="G288" s="1">
        <v>0</v>
      </c>
      <c r="H288" t="s">
        <v>17</v>
      </c>
      <c r="I288" t="s">
        <v>367</v>
      </c>
      <c r="J288" t="s">
        <v>598</v>
      </c>
      <c r="K288" s="3">
        <v>46446</v>
      </c>
      <c r="L288" t="s">
        <v>536</v>
      </c>
      <c r="M288">
        <v>0.158</v>
      </c>
      <c r="N288">
        <v>1152</v>
      </c>
      <c r="O288">
        <f t="shared" si="12"/>
        <v>2.528</v>
      </c>
      <c r="P288">
        <f t="shared" si="13"/>
        <v>1.3888888888888888E-2</v>
      </c>
      <c r="Q288" t="str">
        <f t="shared" si="14"/>
        <v>Q27-03</v>
      </c>
    </row>
    <row r="289" spans="1:17" x14ac:dyDescent="0.25">
      <c r="A289" t="s">
        <v>61</v>
      </c>
      <c r="B289" t="s">
        <v>364</v>
      </c>
      <c r="C289" t="s">
        <v>365</v>
      </c>
      <c r="D289" t="s">
        <v>195</v>
      </c>
      <c r="E289" t="s">
        <v>607</v>
      </c>
      <c r="F289" s="1">
        <v>10</v>
      </c>
      <c r="G289" s="1">
        <v>0</v>
      </c>
      <c r="H289" t="s">
        <v>17</v>
      </c>
      <c r="I289" t="s">
        <v>367</v>
      </c>
      <c r="J289" t="s">
        <v>598</v>
      </c>
      <c r="K289" s="3">
        <v>46446</v>
      </c>
      <c r="L289" t="s">
        <v>536</v>
      </c>
      <c r="M289">
        <v>0.158</v>
      </c>
      <c r="N289">
        <v>1152</v>
      </c>
      <c r="O289">
        <f t="shared" si="12"/>
        <v>1.58</v>
      </c>
      <c r="P289">
        <f t="shared" si="13"/>
        <v>8.6805555555555559E-3</v>
      </c>
      <c r="Q289" t="str">
        <f t="shared" si="14"/>
        <v>Q27-03</v>
      </c>
    </row>
    <row r="290" spans="1:17" x14ac:dyDescent="0.25">
      <c r="A290" t="s">
        <v>61</v>
      </c>
      <c r="B290" t="s">
        <v>364</v>
      </c>
      <c r="C290" t="s">
        <v>365</v>
      </c>
      <c r="D290" t="s">
        <v>195</v>
      </c>
      <c r="E290" t="s">
        <v>608</v>
      </c>
      <c r="F290" s="1">
        <v>28</v>
      </c>
      <c r="G290" s="1">
        <v>0</v>
      </c>
      <c r="H290" t="s">
        <v>17</v>
      </c>
      <c r="I290" t="s">
        <v>367</v>
      </c>
      <c r="J290" t="s">
        <v>598</v>
      </c>
      <c r="K290" s="3">
        <v>46446</v>
      </c>
      <c r="L290" t="s">
        <v>536</v>
      </c>
      <c r="M290">
        <v>0.158</v>
      </c>
      <c r="N290">
        <v>1152</v>
      </c>
      <c r="O290">
        <f t="shared" si="12"/>
        <v>4.4240000000000004</v>
      </c>
      <c r="P290">
        <f t="shared" si="13"/>
        <v>2.4305555555555556E-2</v>
      </c>
      <c r="Q290" t="str">
        <f t="shared" si="14"/>
        <v>Q27-03</v>
      </c>
    </row>
    <row r="291" spans="1:17" x14ac:dyDescent="0.25">
      <c r="A291" t="s">
        <v>61</v>
      </c>
      <c r="B291" t="s">
        <v>364</v>
      </c>
      <c r="C291" t="s">
        <v>365</v>
      </c>
      <c r="D291" t="s">
        <v>195</v>
      </c>
      <c r="E291" t="s">
        <v>609</v>
      </c>
      <c r="F291" s="1">
        <v>3</v>
      </c>
      <c r="G291" s="1">
        <v>0</v>
      </c>
      <c r="H291" t="s">
        <v>17</v>
      </c>
      <c r="I291" t="s">
        <v>367</v>
      </c>
      <c r="J291" t="s">
        <v>598</v>
      </c>
      <c r="K291" s="3">
        <v>46446</v>
      </c>
      <c r="L291" t="s">
        <v>536</v>
      </c>
      <c r="M291">
        <v>0.158</v>
      </c>
      <c r="N291">
        <v>1152</v>
      </c>
      <c r="O291">
        <f t="shared" si="12"/>
        <v>0.47399999999999998</v>
      </c>
      <c r="P291">
        <f t="shared" si="13"/>
        <v>2.6041666666666665E-3</v>
      </c>
      <c r="Q291" t="str">
        <f t="shared" si="14"/>
        <v>Q27-03</v>
      </c>
    </row>
    <row r="292" spans="1:17" x14ac:dyDescent="0.25">
      <c r="A292" t="s">
        <v>61</v>
      </c>
      <c r="B292" t="s">
        <v>364</v>
      </c>
      <c r="C292" t="s">
        <v>365</v>
      </c>
      <c r="D292" t="s">
        <v>195</v>
      </c>
      <c r="E292" t="s">
        <v>610</v>
      </c>
      <c r="F292" s="1">
        <v>2</v>
      </c>
      <c r="G292" s="1">
        <v>0</v>
      </c>
      <c r="H292" t="s">
        <v>17</v>
      </c>
      <c r="I292" t="s">
        <v>367</v>
      </c>
      <c r="J292" t="s">
        <v>598</v>
      </c>
      <c r="K292" s="3">
        <v>46446</v>
      </c>
      <c r="L292" t="s">
        <v>536</v>
      </c>
      <c r="M292">
        <v>0.158</v>
      </c>
      <c r="N292">
        <v>1152</v>
      </c>
      <c r="O292">
        <f t="shared" si="12"/>
        <v>0.316</v>
      </c>
      <c r="P292">
        <f t="shared" si="13"/>
        <v>1.736111111111111E-3</v>
      </c>
      <c r="Q292" t="str">
        <f t="shared" si="14"/>
        <v>Q27-03</v>
      </c>
    </row>
    <row r="293" spans="1:17" x14ac:dyDescent="0.25">
      <c r="A293" t="s">
        <v>61</v>
      </c>
      <c r="B293" t="s">
        <v>364</v>
      </c>
      <c r="C293" t="s">
        <v>365</v>
      </c>
      <c r="D293" t="s">
        <v>195</v>
      </c>
      <c r="E293" t="s">
        <v>611</v>
      </c>
      <c r="F293" s="1">
        <v>8</v>
      </c>
      <c r="G293" s="1">
        <v>0</v>
      </c>
      <c r="H293" t="s">
        <v>17</v>
      </c>
      <c r="I293" t="s">
        <v>367</v>
      </c>
      <c r="J293" t="s">
        <v>598</v>
      </c>
      <c r="K293" s="3">
        <v>46446</v>
      </c>
      <c r="L293" t="s">
        <v>536</v>
      </c>
      <c r="M293">
        <v>0.158</v>
      </c>
      <c r="N293">
        <v>1152</v>
      </c>
      <c r="O293">
        <f t="shared" si="12"/>
        <v>1.264</v>
      </c>
      <c r="P293">
        <f t="shared" si="13"/>
        <v>6.9444444444444441E-3</v>
      </c>
      <c r="Q293" t="str">
        <f t="shared" si="14"/>
        <v>Q27-03</v>
      </c>
    </row>
    <row r="294" spans="1:17" x14ac:dyDescent="0.25">
      <c r="A294" t="s">
        <v>61</v>
      </c>
      <c r="B294" t="s">
        <v>281</v>
      </c>
      <c r="C294" t="s">
        <v>282</v>
      </c>
      <c r="D294" t="s">
        <v>185</v>
      </c>
      <c r="E294" t="s">
        <v>612</v>
      </c>
      <c r="F294" s="1">
        <v>8</v>
      </c>
      <c r="G294" s="1">
        <v>0</v>
      </c>
      <c r="H294" t="s">
        <v>17</v>
      </c>
      <c r="I294" t="s">
        <v>284</v>
      </c>
      <c r="J294" t="s">
        <v>598</v>
      </c>
      <c r="K294" s="3">
        <v>46446</v>
      </c>
      <c r="L294" t="s">
        <v>613</v>
      </c>
      <c r="M294">
        <v>6.8000000000000005E-2</v>
      </c>
      <c r="N294">
        <v>2240</v>
      </c>
      <c r="O294">
        <f t="shared" si="12"/>
        <v>0.54400000000000004</v>
      </c>
      <c r="P294">
        <f t="shared" si="13"/>
        <v>3.5714285714285713E-3</v>
      </c>
      <c r="Q294" t="str">
        <f t="shared" si="14"/>
        <v>Q27-03</v>
      </c>
    </row>
    <row r="295" spans="1:17" x14ac:dyDescent="0.25">
      <c r="A295" t="s">
        <v>61</v>
      </c>
      <c r="B295" t="s">
        <v>281</v>
      </c>
      <c r="C295" t="s">
        <v>282</v>
      </c>
      <c r="D295" t="s">
        <v>185</v>
      </c>
      <c r="E295" t="s">
        <v>614</v>
      </c>
      <c r="F295" s="1">
        <v>4</v>
      </c>
      <c r="G295" s="1">
        <v>0</v>
      </c>
      <c r="H295" t="s">
        <v>17</v>
      </c>
      <c r="I295" t="s">
        <v>284</v>
      </c>
      <c r="J295" t="s">
        <v>598</v>
      </c>
      <c r="K295" s="3">
        <v>46446</v>
      </c>
      <c r="L295" t="s">
        <v>613</v>
      </c>
      <c r="M295">
        <v>6.8000000000000005E-2</v>
      </c>
      <c r="N295">
        <v>2240</v>
      </c>
      <c r="O295">
        <f t="shared" si="12"/>
        <v>0.27200000000000002</v>
      </c>
      <c r="P295">
        <f t="shared" si="13"/>
        <v>1.7857142857142857E-3</v>
      </c>
      <c r="Q295" t="str">
        <f t="shared" si="14"/>
        <v>Q27-03</v>
      </c>
    </row>
    <row r="296" spans="1:17" x14ac:dyDescent="0.25">
      <c r="A296" t="s">
        <v>61</v>
      </c>
      <c r="B296" t="s">
        <v>456</v>
      </c>
      <c r="C296" t="s">
        <v>457</v>
      </c>
      <c r="D296" t="s">
        <v>185</v>
      </c>
      <c r="E296" t="s">
        <v>615</v>
      </c>
      <c r="F296" s="1">
        <v>10</v>
      </c>
      <c r="G296" s="1">
        <v>0</v>
      </c>
      <c r="H296" t="s">
        <v>17</v>
      </c>
      <c r="I296" t="s">
        <v>459</v>
      </c>
      <c r="J296" t="s">
        <v>598</v>
      </c>
      <c r="K296" s="3">
        <v>46142</v>
      </c>
      <c r="L296" t="s">
        <v>616</v>
      </c>
      <c r="M296">
        <v>0.22600000000000001</v>
      </c>
      <c r="N296">
        <v>1680</v>
      </c>
      <c r="O296">
        <f t="shared" si="12"/>
        <v>2.2600000000000002</v>
      </c>
      <c r="P296">
        <f t="shared" si="13"/>
        <v>5.9523809523809521E-3</v>
      </c>
      <c r="Q296" t="str">
        <f t="shared" si="14"/>
        <v>Q27-03</v>
      </c>
    </row>
    <row r="297" spans="1:17" x14ac:dyDescent="0.25">
      <c r="A297" t="s">
        <v>61</v>
      </c>
      <c r="B297" t="s">
        <v>71</v>
      </c>
      <c r="C297" t="s">
        <v>72</v>
      </c>
      <c r="D297" t="s">
        <v>336</v>
      </c>
      <c r="E297" t="s">
        <v>617</v>
      </c>
      <c r="F297" s="1">
        <v>7</v>
      </c>
      <c r="G297" s="1">
        <v>0</v>
      </c>
      <c r="H297" t="s">
        <v>17</v>
      </c>
      <c r="I297" t="s">
        <v>75</v>
      </c>
      <c r="J297" t="s">
        <v>598</v>
      </c>
      <c r="K297" s="3">
        <v>46142</v>
      </c>
      <c r="L297" t="s">
        <v>534</v>
      </c>
      <c r="M297">
        <v>0.3</v>
      </c>
      <c r="N297">
        <v>1680</v>
      </c>
      <c r="O297">
        <f t="shared" si="12"/>
        <v>2.1</v>
      </c>
      <c r="P297">
        <f t="shared" si="13"/>
        <v>4.1666666666666666E-3</v>
      </c>
      <c r="Q297" t="str">
        <f t="shared" si="14"/>
        <v>Q27-03</v>
      </c>
    </row>
    <row r="298" spans="1:17" x14ac:dyDescent="0.25">
      <c r="A298" t="s">
        <v>61</v>
      </c>
      <c r="B298" t="s">
        <v>71</v>
      </c>
      <c r="C298" t="s">
        <v>72</v>
      </c>
      <c r="D298" t="s">
        <v>185</v>
      </c>
      <c r="E298" t="s">
        <v>618</v>
      </c>
      <c r="F298" s="1">
        <v>3</v>
      </c>
      <c r="G298" s="1">
        <v>0</v>
      </c>
      <c r="H298" t="s">
        <v>17</v>
      </c>
      <c r="I298" t="s">
        <v>75</v>
      </c>
      <c r="J298" t="s">
        <v>598</v>
      </c>
      <c r="K298" s="3">
        <v>46142</v>
      </c>
      <c r="L298" t="s">
        <v>534</v>
      </c>
      <c r="M298">
        <v>0.3</v>
      </c>
      <c r="N298">
        <v>1680</v>
      </c>
      <c r="O298">
        <f t="shared" si="12"/>
        <v>0.89999999999999991</v>
      </c>
      <c r="P298">
        <f t="shared" si="13"/>
        <v>1.7857142857142857E-3</v>
      </c>
      <c r="Q298" t="str">
        <f t="shared" si="14"/>
        <v>Q27-03</v>
      </c>
    </row>
    <row r="299" spans="1:17" x14ac:dyDescent="0.25">
      <c r="A299" t="s">
        <v>61</v>
      </c>
      <c r="B299" t="s">
        <v>71</v>
      </c>
      <c r="C299" t="s">
        <v>72</v>
      </c>
      <c r="D299" t="s">
        <v>191</v>
      </c>
      <c r="E299" t="s">
        <v>619</v>
      </c>
      <c r="F299" s="1">
        <v>17</v>
      </c>
      <c r="G299" s="1">
        <v>0</v>
      </c>
      <c r="H299" t="s">
        <v>17</v>
      </c>
      <c r="I299" t="s">
        <v>75</v>
      </c>
      <c r="J299" t="s">
        <v>598</v>
      </c>
      <c r="K299" s="3">
        <v>46142</v>
      </c>
      <c r="L299" t="s">
        <v>534</v>
      </c>
      <c r="M299">
        <v>0.3</v>
      </c>
      <c r="N299">
        <v>1680</v>
      </c>
      <c r="O299">
        <f t="shared" si="12"/>
        <v>5.0999999999999996</v>
      </c>
      <c r="P299">
        <f t="shared" si="13"/>
        <v>1.011904761904762E-2</v>
      </c>
      <c r="Q299" t="str">
        <f t="shared" si="14"/>
        <v>Q27-03</v>
      </c>
    </row>
    <row r="300" spans="1:17" x14ac:dyDescent="0.25">
      <c r="A300" t="s">
        <v>61</v>
      </c>
      <c r="B300" t="s">
        <v>71</v>
      </c>
      <c r="C300" t="s">
        <v>72</v>
      </c>
      <c r="D300" t="s">
        <v>195</v>
      </c>
      <c r="E300" t="s">
        <v>620</v>
      </c>
      <c r="F300" s="1">
        <v>58</v>
      </c>
      <c r="G300" s="1">
        <v>0</v>
      </c>
      <c r="H300" t="s">
        <v>17</v>
      </c>
      <c r="I300" t="s">
        <v>75</v>
      </c>
      <c r="J300" t="s">
        <v>598</v>
      </c>
      <c r="K300" s="3">
        <v>46142</v>
      </c>
      <c r="L300" t="s">
        <v>534</v>
      </c>
      <c r="M300">
        <v>0.3</v>
      </c>
      <c r="N300">
        <v>1680</v>
      </c>
      <c r="O300">
        <f t="shared" si="12"/>
        <v>17.399999999999999</v>
      </c>
      <c r="P300">
        <f t="shared" si="13"/>
        <v>3.4523809523809526E-2</v>
      </c>
      <c r="Q300" t="str">
        <f t="shared" si="14"/>
        <v>Q27-03</v>
      </c>
    </row>
    <row r="301" spans="1:17" x14ac:dyDescent="0.25">
      <c r="A301" t="s">
        <v>61</v>
      </c>
      <c r="B301" t="s">
        <v>456</v>
      </c>
      <c r="C301" t="s">
        <v>457</v>
      </c>
      <c r="D301" t="s">
        <v>185</v>
      </c>
      <c r="E301" t="s">
        <v>621</v>
      </c>
      <c r="F301" s="1">
        <v>2</v>
      </c>
      <c r="G301" s="1">
        <v>0</v>
      </c>
      <c r="H301" t="s">
        <v>17</v>
      </c>
      <c r="I301" t="s">
        <v>459</v>
      </c>
      <c r="J301" t="s">
        <v>622</v>
      </c>
      <c r="K301" s="3">
        <v>46203</v>
      </c>
      <c r="L301" t="s">
        <v>623</v>
      </c>
      <c r="M301">
        <v>0.22600000000000001</v>
      </c>
      <c r="N301">
        <v>1680</v>
      </c>
      <c r="O301">
        <f t="shared" si="12"/>
        <v>0.45200000000000001</v>
      </c>
      <c r="P301">
        <f t="shared" si="13"/>
        <v>1.1904761904761906E-3</v>
      </c>
      <c r="Q301" t="str">
        <f t="shared" si="14"/>
        <v>Q27-03</v>
      </c>
    </row>
    <row r="302" spans="1:17" x14ac:dyDescent="0.25">
      <c r="A302" t="s">
        <v>61</v>
      </c>
      <c r="B302" t="s">
        <v>456</v>
      </c>
      <c r="C302" t="s">
        <v>457</v>
      </c>
      <c r="D302" t="s">
        <v>240</v>
      </c>
      <c r="E302" t="s">
        <v>624</v>
      </c>
      <c r="F302" s="1">
        <v>3</v>
      </c>
      <c r="G302" s="1">
        <v>0</v>
      </c>
      <c r="H302" t="s">
        <v>17</v>
      </c>
      <c r="I302" t="s">
        <v>459</v>
      </c>
      <c r="J302" t="s">
        <v>622</v>
      </c>
      <c r="K302" s="3">
        <v>46203</v>
      </c>
      <c r="L302" t="s">
        <v>623</v>
      </c>
      <c r="M302">
        <v>0.22600000000000001</v>
      </c>
      <c r="N302">
        <v>1680</v>
      </c>
      <c r="O302">
        <f t="shared" si="12"/>
        <v>0.67800000000000005</v>
      </c>
      <c r="P302">
        <f t="shared" si="13"/>
        <v>1.7857142857142857E-3</v>
      </c>
      <c r="Q302" t="str">
        <f t="shared" si="14"/>
        <v>Q27-03</v>
      </c>
    </row>
    <row r="303" spans="1:17" x14ac:dyDescent="0.25">
      <c r="A303" t="s">
        <v>61</v>
      </c>
      <c r="B303" t="s">
        <v>456</v>
      </c>
      <c r="C303" t="s">
        <v>457</v>
      </c>
      <c r="D303" t="s">
        <v>191</v>
      </c>
      <c r="E303" t="s">
        <v>625</v>
      </c>
      <c r="F303" s="1">
        <v>64</v>
      </c>
      <c r="G303" s="1">
        <v>0</v>
      </c>
      <c r="H303" t="s">
        <v>17</v>
      </c>
      <c r="I303" t="s">
        <v>459</v>
      </c>
      <c r="J303" t="s">
        <v>622</v>
      </c>
      <c r="K303" s="3">
        <v>46203</v>
      </c>
      <c r="L303" t="s">
        <v>623</v>
      </c>
      <c r="M303">
        <v>0.22600000000000001</v>
      </c>
      <c r="N303">
        <v>1680</v>
      </c>
      <c r="O303">
        <f t="shared" si="12"/>
        <v>14.464</v>
      </c>
      <c r="P303">
        <f t="shared" si="13"/>
        <v>3.8095238095238099E-2</v>
      </c>
      <c r="Q303" t="str">
        <f t="shared" si="14"/>
        <v>Q27-03</v>
      </c>
    </row>
    <row r="304" spans="1:17" x14ac:dyDescent="0.25">
      <c r="A304" t="s">
        <v>61</v>
      </c>
      <c r="B304" t="s">
        <v>456</v>
      </c>
      <c r="C304" t="s">
        <v>457</v>
      </c>
      <c r="D304" t="s">
        <v>191</v>
      </c>
      <c r="E304" t="s">
        <v>626</v>
      </c>
      <c r="F304" s="1">
        <v>13</v>
      </c>
      <c r="G304" s="1">
        <v>0</v>
      </c>
      <c r="H304" t="s">
        <v>17</v>
      </c>
      <c r="I304" t="s">
        <v>459</v>
      </c>
      <c r="J304" t="s">
        <v>622</v>
      </c>
      <c r="K304" s="3">
        <v>46203</v>
      </c>
      <c r="L304" t="s">
        <v>623</v>
      </c>
      <c r="M304">
        <v>0.22600000000000001</v>
      </c>
      <c r="N304">
        <v>1680</v>
      </c>
      <c r="O304">
        <f t="shared" si="12"/>
        <v>2.9380000000000002</v>
      </c>
      <c r="P304">
        <f t="shared" si="13"/>
        <v>7.7380952380952384E-3</v>
      </c>
      <c r="Q304" t="str">
        <f t="shared" si="14"/>
        <v>Q27-03</v>
      </c>
    </row>
    <row r="305" spans="1:17" x14ac:dyDescent="0.25">
      <c r="A305" t="s">
        <v>12</v>
      </c>
      <c r="B305" t="s">
        <v>55</v>
      </c>
      <c r="C305" t="s">
        <v>56</v>
      </c>
      <c r="D305" t="s">
        <v>57</v>
      </c>
      <c r="E305" t="s">
        <v>627</v>
      </c>
      <c r="F305" s="1">
        <v>28</v>
      </c>
      <c r="G305" s="1">
        <v>0</v>
      </c>
      <c r="H305" t="s">
        <v>17</v>
      </c>
      <c r="I305" t="s">
        <v>59</v>
      </c>
      <c r="J305" t="s">
        <v>628</v>
      </c>
      <c r="K305" s="3">
        <v>46575</v>
      </c>
      <c r="L305" t="s">
        <v>629</v>
      </c>
      <c r="M305">
        <v>2.4E-2</v>
      </c>
      <c r="N305">
        <v>5400</v>
      </c>
      <c r="O305">
        <f t="shared" si="12"/>
        <v>0.67200000000000004</v>
      </c>
      <c r="P305">
        <f t="shared" si="13"/>
        <v>5.185185185185185E-3</v>
      </c>
      <c r="Q305" t="str">
        <f t="shared" si="14"/>
        <v>Q26-03</v>
      </c>
    </row>
    <row r="306" spans="1:17" x14ac:dyDescent="0.25">
      <c r="A306" t="s">
        <v>61</v>
      </c>
      <c r="B306" t="s">
        <v>166</v>
      </c>
      <c r="C306" t="s">
        <v>167</v>
      </c>
      <c r="D306" t="s">
        <v>73</v>
      </c>
      <c r="E306" t="s">
        <v>630</v>
      </c>
      <c r="F306" s="1">
        <v>1</v>
      </c>
      <c r="G306" s="1">
        <v>0</v>
      </c>
      <c r="H306" t="s">
        <v>17</v>
      </c>
      <c r="I306" t="s">
        <v>170</v>
      </c>
      <c r="J306" t="s">
        <v>631</v>
      </c>
      <c r="K306" s="3">
        <v>46173</v>
      </c>
      <c r="L306" t="s">
        <v>214</v>
      </c>
      <c r="M306">
        <v>9.2999999999999999E-2</v>
      </c>
      <c r="N306">
        <v>1536</v>
      </c>
      <c r="O306">
        <f t="shared" si="12"/>
        <v>9.2999999999999999E-2</v>
      </c>
      <c r="P306">
        <f t="shared" si="13"/>
        <v>6.5104166666666663E-4</v>
      </c>
      <c r="Q306" t="str">
        <f t="shared" si="14"/>
        <v>Q26-01</v>
      </c>
    </row>
    <row r="307" spans="1:17" x14ac:dyDescent="0.25">
      <c r="A307" t="s">
        <v>61</v>
      </c>
      <c r="B307" t="s">
        <v>317</v>
      </c>
      <c r="C307" t="s">
        <v>318</v>
      </c>
      <c r="D307" t="s">
        <v>73</v>
      </c>
      <c r="E307" t="s">
        <v>632</v>
      </c>
      <c r="F307" s="1">
        <v>1</v>
      </c>
      <c r="G307" s="1">
        <v>0</v>
      </c>
      <c r="H307" t="s">
        <v>17</v>
      </c>
      <c r="I307" t="s">
        <v>320</v>
      </c>
      <c r="J307" t="s">
        <v>631</v>
      </c>
      <c r="K307" s="3">
        <v>46142</v>
      </c>
      <c r="L307" t="s">
        <v>328</v>
      </c>
      <c r="M307">
        <v>0.04</v>
      </c>
      <c r="N307">
        <v>2688</v>
      </c>
      <c r="O307">
        <f t="shared" si="12"/>
        <v>0.04</v>
      </c>
      <c r="P307">
        <f t="shared" si="13"/>
        <v>3.720238095238095E-4</v>
      </c>
      <c r="Q307" t="str">
        <f t="shared" si="14"/>
        <v>Q26-01</v>
      </c>
    </row>
    <row r="308" spans="1:17" x14ac:dyDescent="0.25">
      <c r="A308" t="s">
        <v>633</v>
      </c>
      <c r="B308" t="s">
        <v>634</v>
      </c>
      <c r="C308" t="s">
        <v>635</v>
      </c>
      <c r="D308" t="s">
        <v>44</v>
      </c>
      <c r="E308" t="s">
        <v>636</v>
      </c>
      <c r="F308" s="1">
        <v>3</v>
      </c>
      <c r="G308" s="1">
        <v>0</v>
      </c>
      <c r="H308" t="s">
        <v>17</v>
      </c>
      <c r="I308" t="s">
        <v>637</v>
      </c>
      <c r="J308" t="s">
        <v>90</v>
      </c>
      <c r="K308" s="3">
        <v>45504</v>
      </c>
      <c r="L308" t="s">
        <v>638</v>
      </c>
      <c r="M308">
        <v>0.214</v>
      </c>
      <c r="N308">
        <v>756</v>
      </c>
      <c r="O308">
        <f t="shared" si="12"/>
        <v>0.64200000000000002</v>
      </c>
      <c r="P308">
        <f t="shared" si="13"/>
        <v>3.968253968253968E-3</v>
      </c>
      <c r="Q308" t="str">
        <f t="shared" si="14"/>
        <v>Q26-01</v>
      </c>
    </row>
    <row r="309" spans="1:17" x14ac:dyDescent="0.25">
      <c r="A309" t="s">
        <v>633</v>
      </c>
      <c r="B309" t="s">
        <v>639</v>
      </c>
      <c r="C309" t="s">
        <v>640</v>
      </c>
      <c r="D309" t="s">
        <v>44</v>
      </c>
      <c r="E309" t="s">
        <v>641</v>
      </c>
      <c r="F309" s="1">
        <v>2</v>
      </c>
      <c r="G309" s="1">
        <v>0</v>
      </c>
      <c r="H309" t="s">
        <v>17</v>
      </c>
      <c r="I309" t="s">
        <v>642</v>
      </c>
      <c r="J309" t="s">
        <v>90</v>
      </c>
      <c r="K309" s="3">
        <v>45322</v>
      </c>
      <c r="L309" t="s">
        <v>643</v>
      </c>
      <c r="M309">
        <v>0.214</v>
      </c>
      <c r="N309">
        <v>3600</v>
      </c>
      <c r="O309">
        <f t="shared" si="12"/>
        <v>0.42799999999999999</v>
      </c>
      <c r="P309">
        <f t="shared" si="13"/>
        <v>5.5555555555555556E-4</v>
      </c>
      <c r="Q309" t="str">
        <f t="shared" si="14"/>
        <v>Q26-01</v>
      </c>
    </row>
    <row r="310" spans="1:17" x14ac:dyDescent="0.25">
      <c r="A310" t="s">
        <v>385</v>
      </c>
      <c r="B310" t="s">
        <v>644</v>
      </c>
      <c r="C310" t="s">
        <v>645</v>
      </c>
      <c r="D310" t="s">
        <v>388</v>
      </c>
      <c r="E310" t="s">
        <v>646</v>
      </c>
      <c r="F310" s="1">
        <v>2</v>
      </c>
      <c r="G310" s="1">
        <v>0</v>
      </c>
      <c r="H310" t="s">
        <v>17</v>
      </c>
      <c r="I310" t="s">
        <v>647</v>
      </c>
      <c r="J310" t="s">
        <v>90</v>
      </c>
      <c r="K310" s="3">
        <v>46259</v>
      </c>
      <c r="L310" t="s">
        <v>648</v>
      </c>
      <c r="M310">
        <v>9.4E-2</v>
      </c>
      <c r="N310">
        <v>2475</v>
      </c>
      <c r="O310">
        <f t="shared" si="12"/>
        <v>0.188</v>
      </c>
      <c r="P310">
        <f t="shared" si="13"/>
        <v>8.0808080808080808E-4</v>
      </c>
      <c r="Q310" t="str">
        <f t="shared" si="14"/>
        <v>Q26-03</v>
      </c>
    </row>
    <row r="311" spans="1:17" x14ac:dyDescent="0.25">
      <c r="A311" t="s">
        <v>61</v>
      </c>
      <c r="B311" t="s">
        <v>317</v>
      </c>
      <c r="C311" t="s">
        <v>318</v>
      </c>
      <c r="D311" t="s">
        <v>185</v>
      </c>
      <c r="E311" t="s">
        <v>649</v>
      </c>
      <c r="F311" s="1">
        <v>5</v>
      </c>
      <c r="G311" s="1">
        <v>0</v>
      </c>
      <c r="H311" t="s">
        <v>17</v>
      </c>
      <c r="I311" t="s">
        <v>320</v>
      </c>
      <c r="J311" t="s">
        <v>650</v>
      </c>
      <c r="K311" s="3">
        <v>46446</v>
      </c>
      <c r="L311" t="s">
        <v>651</v>
      </c>
      <c r="M311">
        <v>0.04</v>
      </c>
      <c r="N311">
        <v>2688</v>
      </c>
      <c r="O311">
        <f t="shared" si="12"/>
        <v>0.2</v>
      </c>
      <c r="P311">
        <f t="shared" si="13"/>
        <v>1.8601190476190475E-3</v>
      </c>
      <c r="Q311" t="str">
        <f t="shared" si="14"/>
        <v>Q27-03</v>
      </c>
    </row>
    <row r="312" spans="1:17" x14ac:dyDescent="0.25">
      <c r="A312" t="s">
        <v>61</v>
      </c>
      <c r="B312" t="s">
        <v>317</v>
      </c>
      <c r="C312" t="s">
        <v>318</v>
      </c>
      <c r="D312" t="s">
        <v>185</v>
      </c>
      <c r="E312" t="s">
        <v>652</v>
      </c>
      <c r="F312" s="1">
        <v>5</v>
      </c>
      <c r="G312" s="1">
        <v>0</v>
      </c>
      <c r="H312" t="s">
        <v>17</v>
      </c>
      <c r="I312" t="s">
        <v>320</v>
      </c>
      <c r="J312" t="s">
        <v>650</v>
      </c>
      <c r="K312" s="3">
        <v>46446</v>
      </c>
      <c r="L312" t="s">
        <v>651</v>
      </c>
      <c r="M312">
        <v>0.04</v>
      </c>
      <c r="N312">
        <v>2688</v>
      </c>
      <c r="O312">
        <f t="shared" si="12"/>
        <v>0.2</v>
      </c>
      <c r="P312">
        <f t="shared" si="13"/>
        <v>1.8601190476190475E-3</v>
      </c>
      <c r="Q312" t="str">
        <f t="shared" si="14"/>
        <v>Q27-03</v>
      </c>
    </row>
    <row r="313" spans="1:17" x14ac:dyDescent="0.25">
      <c r="A313" t="s">
        <v>61</v>
      </c>
      <c r="B313" t="s">
        <v>317</v>
      </c>
      <c r="C313" t="s">
        <v>318</v>
      </c>
      <c r="D313" t="s">
        <v>185</v>
      </c>
      <c r="E313" t="s">
        <v>653</v>
      </c>
      <c r="F313" s="1">
        <v>3</v>
      </c>
      <c r="G313" s="1">
        <v>0</v>
      </c>
      <c r="H313" t="s">
        <v>17</v>
      </c>
      <c r="I313" t="s">
        <v>320</v>
      </c>
      <c r="J313" t="s">
        <v>650</v>
      </c>
      <c r="K313" s="3">
        <v>46446</v>
      </c>
      <c r="L313" t="s">
        <v>651</v>
      </c>
      <c r="M313">
        <v>0.04</v>
      </c>
      <c r="N313">
        <v>2688</v>
      </c>
      <c r="O313">
        <f t="shared" si="12"/>
        <v>0.12</v>
      </c>
      <c r="P313">
        <f t="shared" si="13"/>
        <v>1.1160714285714285E-3</v>
      </c>
      <c r="Q313" t="str">
        <f t="shared" si="14"/>
        <v>Q27-03</v>
      </c>
    </row>
    <row r="314" spans="1:17" x14ac:dyDescent="0.25">
      <c r="A314" t="s">
        <v>61</v>
      </c>
      <c r="B314" t="s">
        <v>317</v>
      </c>
      <c r="C314" t="s">
        <v>318</v>
      </c>
      <c r="D314" t="s">
        <v>185</v>
      </c>
      <c r="E314" t="s">
        <v>654</v>
      </c>
      <c r="F314" s="1">
        <v>1</v>
      </c>
      <c r="G314" s="1">
        <v>0</v>
      </c>
      <c r="H314" t="s">
        <v>17</v>
      </c>
      <c r="I314" t="s">
        <v>320</v>
      </c>
      <c r="J314" t="s">
        <v>650</v>
      </c>
      <c r="K314" s="3">
        <v>46446</v>
      </c>
      <c r="L314" t="s">
        <v>651</v>
      </c>
      <c r="M314">
        <v>0.04</v>
      </c>
      <c r="N314">
        <v>2688</v>
      </c>
      <c r="O314">
        <f t="shared" si="12"/>
        <v>0.04</v>
      </c>
      <c r="P314">
        <f t="shared" si="13"/>
        <v>3.720238095238095E-4</v>
      </c>
      <c r="Q314" t="str">
        <f t="shared" si="14"/>
        <v>Q27-03</v>
      </c>
    </row>
    <row r="315" spans="1:17" x14ac:dyDescent="0.25">
      <c r="A315" t="s">
        <v>61</v>
      </c>
      <c r="B315" t="s">
        <v>317</v>
      </c>
      <c r="C315" t="s">
        <v>318</v>
      </c>
      <c r="D315" t="s">
        <v>185</v>
      </c>
      <c r="E315" t="s">
        <v>655</v>
      </c>
      <c r="F315" s="1">
        <v>6</v>
      </c>
      <c r="G315" s="1">
        <v>0</v>
      </c>
      <c r="H315" t="s">
        <v>17</v>
      </c>
      <c r="I315" t="s">
        <v>320</v>
      </c>
      <c r="J315" t="s">
        <v>650</v>
      </c>
      <c r="K315" s="3">
        <v>46446</v>
      </c>
      <c r="L315" t="s">
        <v>651</v>
      </c>
      <c r="M315">
        <v>0.04</v>
      </c>
      <c r="N315">
        <v>2688</v>
      </c>
      <c r="O315">
        <f t="shared" si="12"/>
        <v>0.24</v>
      </c>
      <c r="P315">
        <f t="shared" si="13"/>
        <v>2.232142857142857E-3</v>
      </c>
      <c r="Q315" t="str">
        <f t="shared" si="14"/>
        <v>Q27-03</v>
      </c>
    </row>
    <row r="316" spans="1:17" x14ac:dyDescent="0.25">
      <c r="A316" t="s">
        <v>61</v>
      </c>
      <c r="B316" t="s">
        <v>317</v>
      </c>
      <c r="C316" t="s">
        <v>318</v>
      </c>
      <c r="D316" t="s">
        <v>198</v>
      </c>
      <c r="E316" t="s">
        <v>656</v>
      </c>
      <c r="F316" s="1">
        <v>15</v>
      </c>
      <c r="G316" s="1">
        <v>0</v>
      </c>
      <c r="H316" t="s">
        <v>17</v>
      </c>
      <c r="I316" t="s">
        <v>320</v>
      </c>
      <c r="J316" t="s">
        <v>650</v>
      </c>
      <c r="K316" s="3">
        <v>46446</v>
      </c>
      <c r="L316" t="s">
        <v>651</v>
      </c>
      <c r="M316">
        <v>0.04</v>
      </c>
      <c r="N316">
        <v>2688</v>
      </c>
      <c r="O316">
        <f t="shared" si="12"/>
        <v>0.6</v>
      </c>
      <c r="P316">
        <f t="shared" si="13"/>
        <v>5.580357142857143E-3</v>
      </c>
      <c r="Q316" t="str">
        <f t="shared" si="14"/>
        <v>Q27-03</v>
      </c>
    </row>
    <row r="317" spans="1:17" x14ac:dyDescent="0.25">
      <c r="A317" t="s">
        <v>61</v>
      </c>
      <c r="B317" t="s">
        <v>359</v>
      </c>
      <c r="C317" t="s">
        <v>360</v>
      </c>
      <c r="D317" t="s">
        <v>336</v>
      </c>
      <c r="E317" t="s">
        <v>657</v>
      </c>
      <c r="F317" s="1">
        <v>1</v>
      </c>
      <c r="G317" s="1">
        <v>0</v>
      </c>
      <c r="H317" t="s">
        <v>17</v>
      </c>
      <c r="I317" t="s">
        <v>362</v>
      </c>
      <c r="J317" t="s">
        <v>650</v>
      </c>
      <c r="K317" s="3">
        <v>46477</v>
      </c>
      <c r="L317" t="s">
        <v>658</v>
      </c>
      <c r="M317">
        <v>5.3999999999999999E-2</v>
      </c>
      <c r="N317">
        <v>2880</v>
      </c>
      <c r="O317">
        <f t="shared" si="12"/>
        <v>5.3999999999999999E-2</v>
      </c>
      <c r="P317">
        <f t="shared" si="13"/>
        <v>3.4722222222222224E-4</v>
      </c>
      <c r="Q317" t="str">
        <f t="shared" si="14"/>
        <v>Q27-03</v>
      </c>
    </row>
    <row r="318" spans="1:17" x14ac:dyDescent="0.25">
      <c r="A318" t="s">
        <v>61</v>
      </c>
      <c r="B318" t="s">
        <v>420</v>
      </c>
      <c r="C318" t="s">
        <v>421</v>
      </c>
      <c r="D318" t="s">
        <v>244</v>
      </c>
      <c r="E318" t="s">
        <v>659</v>
      </c>
      <c r="F318" s="1">
        <v>8</v>
      </c>
      <c r="G318" s="1">
        <v>0</v>
      </c>
      <c r="H318" t="s">
        <v>17</v>
      </c>
      <c r="I318" t="s">
        <v>423</v>
      </c>
      <c r="J318" t="s">
        <v>650</v>
      </c>
      <c r="K318" s="3">
        <v>46356</v>
      </c>
      <c r="L318" t="s">
        <v>660</v>
      </c>
      <c r="M318">
        <v>0.156</v>
      </c>
      <c r="N318">
        <v>1152</v>
      </c>
      <c r="O318">
        <f t="shared" si="12"/>
        <v>1.248</v>
      </c>
      <c r="P318">
        <f t="shared" si="13"/>
        <v>6.9444444444444441E-3</v>
      </c>
      <c r="Q318" t="str">
        <f t="shared" si="14"/>
        <v>Q27-03</v>
      </c>
    </row>
    <row r="319" spans="1:17" x14ac:dyDescent="0.25">
      <c r="A319" t="s">
        <v>61</v>
      </c>
      <c r="B319" t="s">
        <v>420</v>
      </c>
      <c r="C319" t="s">
        <v>421</v>
      </c>
      <c r="D319" t="s">
        <v>198</v>
      </c>
      <c r="E319" t="s">
        <v>661</v>
      </c>
      <c r="F319" s="1">
        <v>26</v>
      </c>
      <c r="G319" s="1">
        <v>0</v>
      </c>
      <c r="H319" t="s">
        <v>17</v>
      </c>
      <c r="I319" t="s">
        <v>423</v>
      </c>
      <c r="J319" t="s">
        <v>650</v>
      </c>
      <c r="K319" s="3">
        <v>46356</v>
      </c>
      <c r="L319" t="s">
        <v>660</v>
      </c>
      <c r="M319">
        <v>0.156</v>
      </c>
      <c r="N319">
        <v>1152</v>
      </c>
      <c r="O319">
        <f t="shared" si="12"/>
        <v>4.056</v>
      </c>
      <c r="P319">
        <f t="shared" si="13"/>
        <v>2.2569444444444444E-2</v>
      </c>
      <c r="Q319" t="str">
        <f t="shared" si="14"/>
        <v>Q27-03</v>
      </c>
    </row>
    <row r="320" spans="1:17" x14ac:dyDescent="0.25">
      <c r="A320" t="s">
        <v>385</v>
      </c>
      <c r="B320" t="s">
        <v>644</v>
      </c>
      <c r="C320" t="s">
        <v>645</v>
      </c>
      <c r="D320" t="s">
        <v>662</v>
      </c>
      <c r="E320" t="s">
        <v>663</v>
      </c>
      <c r="F320" s="1">
        <v>832</v>
      </c>
      <c r="G320" s="1">
        <v>0</v>
      </c>
      <c r="H320" t="s">
        <v>17</v>
      </c>
      <c r="I320" t="s">
        <v>647</v>
      </c>
      <c r="J320" t="s">
        <v>664</v>
      </c>
      <c r="K320" s="3">
        <v>46263</v>
      </c>
      <c r="L320" t="s">
        <v>665</v>
      </c>
      <c r="M320">
        <v>9.4E-2</v>
      </c>
      <c r="N320">
        <v>2475</v>
      </c>
      <c r="O320">
        <f t="shared" si="12"/>
        <v>78.207999999999998</v>
      </c>
      <c r="P320">
        <f t="shared" si="13"/>
        <v>0.33616161616161616</v>
      </c>
      <c r="Q320" t="str">
        <f t="shared" si="14"/>
        <v>Q26-03</v>
      </c>
    </row>
    <row r="321" spans="1:17" x14ac:dyDescent="0.25">
      <c r="A321" t="s">
        <v>385</v>
      </c>
      <c r="B321" t="s">
        <v>644</v>
      </c>
      <c r="C321" t="s">
        <v>645</v>
      </c>
      <c r="D321" t="s">
        <v>662</v>
      </c>
      <c r="E321" t="s">
        <v>666</v>
      </c>
      <c r="F321" s="1">
        <v>259</v>
      </c>
      <c r="G321" s="1">
        <v>0</v>
      </c>
      <c r="H321" t="s">
        <v>17</v>
      </c>
      <c r="I321" t="s">
        <v>647</v>
      </c>
      <c r="J321" t="s">
        <v>664</v>
      </c>
      <c r="K321" s="3">
        <v>46263</v>
      </c>
      <c r="L321" t="s">
        <v>665</v>
      </c>
      <c r="M321">
        <v>9.4E-2</v>
      </c>
      <c r="N321">
        <v>2475</v>
      </c>
      <c r="O321">
        <f t="shared" si="12"/>
        <v>24.346</v>
      </c>
      <c r="P321">
        <f t="shared" si="13"/>
        <v>0.10464646464646464</v>
      </c>
      <c r="Q321" t="str">
        <f t="shared" si="14"/>
        <v>Q26-03</v>
      </c>
    </row>
    <row r="322" spans="1:17" x14ac:dyDescent="0.25">
      <c r="A322" t="s">
        <v>385</v>
      </c>
      <c r="B322" t="s">
        <v>644</v>
      </c>
      <c r="C322" t="s">
        <v>645</v>
      </c>
      <c r="D322" t="s">
        <v>662</v>
      </c>
      <c r="E322" t="s">
        <v>667</v>
      </c>
      <c r="F322" s="1">
        <v>6</v>
      </c>
      <c r="G322" s="1">
        <v>0</v>
      </c>
      <c r="H322" t="s">
        <v>17</v>
      </c>
      <c r="I322" t="s">
        <v>647</v>
      </c>
      <c r="J322" t="s">
        <v>664</v>
      </c>
      <c r="K322" s="3">
        <v>46263</v>
      </c>
      <c r="L322" t="s">
        <v>665</v>
      </c>
      <c r="M322">
        <v>9.4E-2</v>
      </c>
      <c r="N322">
        <v>2475</v>
      </c>
      <c r="O322">
        <f t="shared" si="12"/>
        <v>0.56400000000000006</v>
      </c>
      <c r="P322">
        <f t="shared" si="13"/>
        <v>2.4242424242424242E-3</v>
      </c>
      <c r="Q322" t="str">
        <f t="shared" si="14"/>
        <v>Q26-03</v>
      </c>
    </row>
    <row r="323" spans="1:17" x14ac:dyDescent="0.25">
      <c r="A323" t="s">
        <v>385</v>
      </c>
      <c r="B323" t="s">
        <v>644</v>
      </c>
      <c r="C323" t="s">
        <v>645</v>
      </c>
      <c r="D323" t="s">
        <v>662</v>
      </c>
      <c r="E323" t="s">
        <v>668</v>
      </c>
      <c r="F323" s="1">
        <v>8</v>
      </c>
      <c r="G323" s="1">
        <v>0</v>
      </c>
      <c r="H323" t="s">
        <v>17</v>
      </c>
      <c r="I323" t="s">
        <v>647</v>
      </c>
      <c r="J323" t="s">
        <v>664</v>
      </c>
      <c r="K323" s="3">
        <v>46263</v>
      </c>
      <c r="L323" t="s">
        <v>665</v>
      </c>
      <c r="M323">
        <v>9.4E-2</v>
      </c>
      <c r="N323">
        <v>2475</v>
      </c>
      <c r="O323">
        <f t="shared" ref="O323:O386" si="15">F323*M323</f>
        <v>0.752</v>
      </c>
      <c r="P323">
        <f t="shared" ref="P323:P386" si="16">F323/N323</f>
        <v>3.2323232323232323E-3</v>
      </c>
      <c r="Q323" t="str">
        <f t="shared" ref="Q323:Q386" si="17">LEFT(D323,6)</f>
        <v>Q26-03</v>
      </c>
    </row>
    <row r="324" spans="1:17" x14ac:dyDescent="0.25">
      <c r="A324" t="s">
        <v>385</v>
      </c>
      <c r="B324" t="s">
        <v>644</v>
      </c>
      <c r="C324" t="s">
        <v>645</v>
      </c>
      <c r="D324" t="s">
        <v>669</v>
      </c>
      <c r="E324" t="s">
        <v>670</v>
      </c>
      <c r="F324" s="2">
        <v>2688</v>
      </c>
      <c r="G324" s="1">
        <v>0</v>
      </c>
      <c r="H324" t="s">
        <v>17</v>
      </c>
      <c r="I324" t="s">
        <v>647</v>
      </c>
      <c r="J324" t="s">
        <v>664</v>
      </c>
      <c r="K324" s="3">
        <v>46263</v>
      </c>
      <c r="L324" t="s">
        <v>665</v>
      </c>
      <c r="M324">
        <v>9.4E-2</v>
      </c>
      <c r="N324">
        <v>2475</v>
      </c>
      <c r="O324">
        <f t="shared" si="15"/>
        <v>252.672</v>
      </c>
      <c r="P324">
        <f t="shared" si="16"/>
        <v>1.0860606060606062</v>
      </c>
      <c r="Q324" t="str">
        <f t="shared" si="17"/>
        <v>Q26-03</v>
      </c>
    </row>
    <row r="325" spans="1:17" x14ac:dyDescent="0.25">
      <c r="A325" t="s">
        <v>385</v>
      </c>
      <c r="B325" t="s">
        <v>644</v>
      </c>
      <c r="C325" t="s">
        <v>645</v>
      </c>
      <c r="D325" t="s">
        <v>662</v>
      </c>
      <c r="E325" t="s">
        <v>671</v>
      </c>
      <c r="F325" s="1">
        <v>1</v>
      </c>
      <c r="G325" s="1">
        <v>0</v>
      </c>
      <c r="H325" t="s">
        <v>17</v>
      </c>
      <c r="I325" t="s">
        <v>647</v>
      </c>
      <c r="J325" t="s">
        <v>664</v>
      </c>
      <c r="K325" s="3">
        <v>46263</v>
      </c>
      <c r="L325" t="s">
        <v>665</v>
      </c>
      <c r="M325">
        <v>9.4E-2</v>
      </c>
      <c r="N325">
        <v>2475</v>
      </c>
      <c r="O325">
        <f t="shared" si="15"/>
        <v>9.4E-2</v>
      </c>
      <c r="P325">
        <f t="shared" si="16"/>
        <v>4.0404040404040404E-4</v>
      </c>
      <c r="Q325" t="str">
        <f t="shared" si="17"/>
        <v>Q26-03</v>
      </c>
    </row>
    <row r="326" spans="1:17" x14ac:dyDescent="0.25">
      <c r="A326" t="s">
        <v>385</v>
      </c>
      <c r="B326" t="s">
        <v>644</v>
      </c>
      <c r="C326" t="s">
        <v>645</v>
      </c>
      <c r="D326" t="s">
        <v>662</v>
      </c>
      <c r="E326" t="s">
        <v>672</v>
      </c>
      <c r="F326" s="1">
        <v>12</v>
      </c>
      <c r="G326" s="1">
        <v>0</v>
      </c>
      <c r="H326" t="s">
        <v>17</v>
      </c>
      <c r="I326" t="s">
        <v>647</v>
      </c>
      <c r="J326" t="s">
        <v>673</v>
      </c>
      <c r="K326" s="3">
        <v>46262</v>
      </c>
      <c r="L326" t="s">
        <v>674</v>
      </c>
      <c r="M326">
        <v>9.4E-2</v>
      </c>
      <c r="N326">
        <v>2475</v>
      </c>
      <c r="O326">
        <f t="shared" si="15"/>
        <v>1.1280000000000001</v>
      </c>
      <c r="P326">
        <f t="shared" si="16"/>
        <v>4.8484848484848485E-3</v>
      </c>
      <c r="Q326" t="str">
        <f t="shared" si="17"/>
        <v>Q26-03</v>
      </c>
    </row>
    <row r="327" spans="1:17" x14ac:dyDescent="0.25">
      <c r="A327" t="s">
        <v>12</v>
      </c>
      <c r="B327" t="s">
        <v>675</v>
      </c>
      <c r="C327" t="s">
        <v>676</v>
      </c>
      <c r="D327" t="s">
        <v>441</v>
      </c>
      <c r="E327" t="s">
        <v>677</v>
      </c>
      <c r="F327" s="1">
        <v>2</v>
      </c>
      <c r="G327" s="1">
        <v>0</v>
      </c>
      <c r="H327" t="s">
        <v>17</v>
      </c>
      <c r="I327" t="s">
        <v>678</v>
      </c>
      <c r="J327" t="s">
        <v>679</v>
      </c>
      <c r="K327" s="3">
        <v>46514</v>
      </c>
      <c r="L327" t="s">
        <v>680</v>
      </c>
      <c r="M327">
        <v>0.1</v>
      </c>
      <c r="N327">
        <v>1008</v>
      </c>
      <c r="O327">
        <f t="shared" si="15"/>
        <v>0.2</v>
      </c>
      <c r="P327">
        <f t="shared" si="16"/>
        <v>1.984126984126984E-3</v>
      </c>
      <c r="Q327" t="str">
        <f t="shared" si="17"/>
        <v>Q26-03</v>
      </c>
    </row>
    <row r="328" spans="1:17" x14ac:dyDescent="0.25">
      <c r="A328" t="s">
        <v>61</v>
      </c>
      <c r="B328" t="s">
        <v>317</v>
      </c>
      <c r="C328" t="s">
        <v>318</v>
      </c>
      <c r="D328" t="s">
        <v>180</v>
      </c>
      <c r="E328" t="s">
        <v>681</v>
      </c>
      <c r="F328" s="1">
        <v>7</v>
      </c>
      <c r="G328" s="1">
        <v>0</v>
      </c>
      <c r="H328" t="s">
        <v>17</v>
      </c>
      <c r="I328" t="s">
        <v>320</v>
      </c>
      <c r="J328" t="s">
        <v>682</v>
      </c>
      <c r="K328" s="3">
        <v>46507</v>
      </c>
      <c r="L328" t="s">
        <v>683</v>
      </c>
      <c r="M328">
        <v>0.04</v>
      </c>
      <c r="N328">
        <v>2688</v>
      </c>
      <c r="O328">
        <f t="shared" si="15"/>
        <v>0.28000000000000003</v>
      </c>
      <c r="P328">
        <f t="shared" si="16"/>
        <v>2.6041666666666665E-3</v>
      </c>
      <c r="Q328" t="str">
        <f t="shared" si="17"/>
        <v>Q27-03</v>
      </c>
    </row>
    <row r="329" spans="1:17" x14ac:dyDescent="0.25">
      <c r="A329" t="s">
        <v>61</v>
      </c>
      <c r="B329" t="s">
        <v>317</v>
      </c>
      <c r="C329" t="s">
        <v>318</v>
      </c>
      <c r="D329" t="s">
        <v>336</v>
      </c>
      <c r="E329" t="s">
        <v>684</v>
      </c>
      <c r="F329" s="1">
        <v>4</v>
      </c>
      <c r="G329" s="1">
        <v>0</v>
      </c>
      <c r="H329" t="s">
        <v>17</v>
      </c>
      <c r="I329" t="s">
        <v>320</v>
      </c>
      <c r="J329" t="s">
        <v>682</v>
      </c>
      <c r="K329" s="3">
        <v>46507</v>
      </c>
      <c r="L329" t="s">
        <v>683</v>
      </c>
      <c r="M329">
        <v>0.04</v>
      </c>
      <c r="N329">
        <v>2688</v>
      </c>
      <c r="O329">
        <f t="shared" si="15"/>
        <v>0.16</v>
      </c>
      <c r="P329">
        <f t="shared" si="16"/>
        <v>1.488095238095238E-3</v>
      </c>
      <c r="Q329" t="str">
        <f t="shared" si="17"/>
        <v>Q27-03</v>
      </c>
    </row>
    <row r="330" spans="1:17" x14ac:dyDescent="0.25">
      <c r="A330" t="s">
        <v>61</v>
      </c>
      <c r="B330" t="s">
        <v>317</v>
      </c>
      <c r="C330" t="s">
        <v>318</v>
      </c>
      <c r="D330" t="s">
        <v>336</v>
      </c>
      <c r="E330" t="s">
        <v>685</v>
      </c>
      <c r="F330" s="1">
        <v>2</v>
      </c>
      <c r="G330" s="1">
        <v>0</v>
      </c>
      <c r="H330" t="s">
        <v>17</v>
      </c>
      <c r="I330" t="s">
        <v>320</v>
      </c>
      <c r="J330" t="s">
        <v>682</v>
      </c>
      <c r="K330" s="3">
        <v>46507</v>
      </c>
      <c r="L330" t="s">
        <v>683</v>
      </c>
      <c r="M330">
        <v>0.04</v>
      </c>
      <c r="N330">
        <v>2688</v>
      </c>
      <c r="O330">
        <f t="shared" si="15"/>
        <v>0.08</v>
      </c>
      <c r="P330">
        <f t="shared" si="16"/>
        <v>7.4404761904761901E-4</v>
      </c>
      <c r="Q330" t="str">
        <f t="shared" si="17"/>
        <v>Q27-03</v>
      </c>
    </row>
    <row r="331" spans="1:17" x14ac:dyDescent="0.25">
      <c r="A331" t="s">
        <v>61</v>
      </c>
      <c r="B331" t="s">
        <v>317</v>
      </c>
      <c r="C331" t="s">
        <v>318</v>
      </c>
      <c r="D331" t="s">
        <v>336</v>
      </c>
      <c r="E331" t="s">
        <v>686</v>
      </c>
      <c r="F331" s="1">
        <v>12</v>
      </c>
      <c r="G331" s="1">
        <v>0</v>
      </c>
      <c r="H331" t="s">
        <v>17</v>
      </c>
      <c r="I331" t="s">
        <v>320</v>
      </c>
      <c r="J331" t="s">
        <v>682</v>
      </c>
      <c r="K331" s="3">
        <v>46507</v>
      </c>
      <c r="L331" t="s">
        <v>683</v>
      </c>
      <c r="M331">
        <v>0.04</v>
      </c>
      <c r="N331">
        <v>2688</v>
      </c>
      <c r="O331">
        <f t="shared" si="15"/>
        <v>0.48</v>
      </c>
      <c r="P331">
        <f t="shared" si="16"/>
        <v>4.464285714285714E-3</v>
      </c>
      <c r="Q331" t="str">
        <f t="shared" si="17"/>
        <v>Q27-03</v>
      </c>
    </row>
    <row r="332" spans="1:17" x14ac:dyDescent="0.25">
      <c r="A332" t="s">
        <v>61</v>
      </c>
      <c r="B332" t="s">
        <v>317</v>
      </c>
      <c r="C332" t="s">
        <v>318</v>
      </c>
      <c r="D332" t="s">
        <v>336</v>
      </c>
      <c r="E332" t="s">
        <v>687</v>
      </c>
      <c r="F332" s="1">
        <v>4</v>
      </c>
      <c r="G332" s="1">
        <v>0</v>
      </c>
      <c r="H332" t="s">
        <v>17</v>
      </c>
      <c r="I332" t="s">
        <v>320</v>
      </c>
      <c r="J332" t="s">
        <v>682</v>
      </c>
      <c r="K332" s="3">
        <v>46507</v>
      </c>
      <c r="L332" t="s">
        <v>683</v>
      </c>
      <c r="M332">
        <v>0.04</v>
      </c>
      <c r="N332">
        <v>2688</v>
      </c>
      <c r="O332">
        <f t="shared" si="15"/>
        <v>0.16</v>
      </c>
      <c r="P332">
        <f t="shared" si="16"/>
        <v>1.488095238095238E-3</v>
      </c>
      <c r="Q332" t="str">
        <f t="shared" si="17"/>
        <v>Q27-03</v>
      </c>
    </row>
    <row r="333" spans="1:17" x14ac:dyDescent="0.25">
      <c r="A333" t="s">
        <v>61</v>
      </c>
      <c r="B333" t="s">
        <v>317</v>
      </c>
      <c r="C333" t="s">
        <v>318</v>
      </c>
      <c r="D333" t="s">
        <v>336</v>
      </c>
      <c r="E333" t="s">
        <v>688</v>
      </c>
      <c r="F333" s="1">
        <v>6</v>
      </c>
      <c r="G333" s="1">
        <v>0</v>
      </c>
      <c r="H333" t="s">
        <v>17</v>
      </c>
      <c r="I333" t="s">
        <v>320</v>
      </c>
      <c r="J333" t="s">
        <v>682</v>
      </c>
      <c r="K333" s="3">
        <v>46507</v>
      </c>
      <c r="L333" t="s">
        <v>683</v>
      </c>
      <c r="M333">
        <v>0.04</v>
      </c>
      <c r="N333">
        <v>2688</v>
      </c>
      <c r="O333">
        <f t="shared" si="15"/>
        <v>0.24</v>
      </c>
      <c r="P333">
        <f t="shared" si="16"/>
        <v>2.232142857142857E-3</v>
      </c>
      <c r="Q333" t="str">
        <f t="shared" si="17"/>
        <v>Q27-03</v>
      </c>
    </row>
    <row r="334" spans="1:17" x14ac:dyDescent="0.25">
      <c r="A334" t="s">
        <v>61</v>
      </c>
      <c r="B334" t="s">
        <v>317</v>
      </c>
      <c r="C334" t="s">
        <v>318</v>
      </c>
      <c r="D334" t="s">
        <v>336</v>
      </c>
      <c r="E334" t="s">
        <v>689</v>
      </c>
      <c r="F334" s="1">
        <v>3</v>
      </c>
      <c r="G334" s="1">
        <v>0</v>
      </c>
      <c r="H334" t="s">
        <v>17</v>
      </c>
      <c r="I334" t="s">
        <v>320</v>
      </c>
      <c r="J334" t="s">
        <v>682</v>
      </c>
      <c r="K334" s="3">
        <v>46507</v>
      </c>
      <c r="L334" t="s">
        <v>683</v>
      </c>
      <c r="M334">
        <v>0.04</v>
      </c>
      <c r="N334">
        <v>2688</v>
      </c>
      <c r="O334">
        <f t="shared" si="15"/>
        <v>0.12</v>
      </c>
      <c r="P334">
        <f t="shared" si="16"/>
        <v>1.1160714285714285E-3</v>
      </c>
      <c r="Q334" t="str">
        <f t="shared" si="17"/>
        <v>Q27-03</v>
      </c>
    </row>
    <row r="335" spans="1:17" x14ac:dyDescent="0.25">
      <c r="A335" t="s">
        <v>61</v>
      </c>
      <c r="B335" t="s">
        <v>317</v>
      </c>
      <c r="C335" t="s">
        <v>318</v>
      </c>
      <c r="D335" t="s">
        <v>185</v>
      </c>
      <c r="E335" t="s">
        <v>690</v>
      </c>
      <c r="F335" s="1">
        <v>2</v>
      </c>
      <c r="G335" s="1">
        <v>0</v>
      </c>
      <c r="H335" t="s">
        <v>17</v>
      </c>
      <c r="I335" t="s">
        <v>320</v>
      </c>
      <c r="J335" t="s">
        <v>682</v>
      </c>
      <c r="K335" s="3">
        <v>46507</v>
      </c>
      <c r="L335" t="s">
        <v>683</v>
      </c>
      <c r="M335">
        <v>0.04</v>
      </c>
      <c r="N335">
        <v>2688</v>
      </c>
      <c r="O335">
        <f t="shared" si="15"/>
        <v>0.08</v>
      </c>
      <c r="P335">
        <f t="shared" si="16"/>
        <v>7.4404761904761901E-4</v>
      </c>
      <c r="Q335" t="str">
        <f t="shared" si="17"/>
        <v>Q27-03</v>
      </c>
    </row>
    <row r="336" spans="1:17" x14ac:dyDescent="0.25">
      <c r="A336" t="s">
        <v>61</v>
      </c>
      <c r="B336" t="s">
        <v>317</v>
      </c>
      <c r="C336" t="s">
        <v>318</v>
      </c>
      <c r="D336" t="s">
        <v>185</v>
      </c>
      <c r="E336" t="s">
        <v>691</v>
      </c>
      <c r="F336" s="1">
        <v>1</v>
      </c>
      <c r="G336" s="1">
        <v>0</v>
      </c>
      <c r="H336" t="s">
        <v>17</v>
      </c>
      <c r="I336" t="s">
        <v>320</v>
      </c>
      <c r="J336" t="s">
        <v>682</v>
      </c>
      <c r="K336" s="3">
        <v>46507</v>
      </c>
      <c r="L336" t="s">
        <v>683</v>
      </c>
      <c r="M336">
        <v>0.04</v>
      </c>
      <c r="N336">
        <v>2688</v>
      </c>
      <c r="O336">
        <f t="shared" si="15"/>
        <v>0.04</v>
      </c>
      <c r="P336">
        <f t="shared" si="16"/>
        <v>3.720238095238095E-4</v>
      </c>
      <c r="Q336" t="str">
        <f t="shared" si="17"/>
        <v>Q27-03</v>
      </c>
    </row>
    <row r="337" spans="1:17" x14ac:dyDescent="0.25">
      <c r="A337" t="s">
        <v>61</v>
      </c>
      <c r="B337" t="s">
        <v>317</v>
      </c>
      <c r="C337" t="s">
        <v>318</v>
      </c>
      <c r="D337" t="s">
        <v>185</v>
      </c>
      <c r="E337" t="s">
        <v>692</v>
      </c>
      <c r="F337" s="1">
        <v>2</v>
      </c>
      <c r="G337" s="1">
        <v>0</v>
      </c>
      <c r="H337" t="s">
        <v>17</v>
      </c>
      <c r="I337" t="s">
        <v>320</v>
      </c>
      <c r="J337" t="s">
        <v>682</v>
      </c>
      <c r="K337" s="3">
        <v>46507</v>
      </c>
      <c r="L337" t="s">
        <v>683</v>
      </c>
      <c r="M337">
        <v>0.04</v>
      </c>
      <c r="N337">
        <v>2688</v>
      </c>
      <c r="O337">
        <f t="shared" si="15"/>
        <v>0.08</v>
      </c>
      <c r="P337">
        <f t="shared" si="16"/>
        <v>7.4404761904761901E-4</v>
      </c>
      <c r="Q337" t="str">
        <f t="shared" si="17"/>
        <v>Q27-03</v>
      </c>
    </row>
    <row r="338" spans="1:17" x14ac:dyDescent="0.25">
      <c r="A338" t="s">
        <v>61</v>
      </c>
      <c r="B338" t="s">
        <v>317</v>
      </c>
      <c r="C338" t="s">
        <v>318</v>
      </c>
      <c r="D338" t="s">
        <v>185</v>
      </c>
      <c r="E338" t="s">
        <v>693</v>
      </c>
      <c r="F338" s="1">
        <v>2</v>
      </c>
      <c r="G338" s="1">
        <v>0</v>
      </c>
      <c r="H338" t="s">
        <v>17</v>
      </c>
      <c r="I338" t="s">
        <v>320</v>
      </c>
      <c r="J338" t="s">
        <v>682</v>
      </c>
      <c r="K338" s="3">
        <v>46507</v>
      </c>
      <c r="L338" t="s">
        <v>683</v>
      </c>
      <c r="M338">
        <v>0.04</v>
      </c>
      <c r="N338">
        <v>2688</v>
      </c>
      <c r="O338">
        <f t="shared" si="15"/>
        <v>0.08</v>
      </c>
      <c r="P338">
        <f t="shared" si="16"/>
        <v>7.4404761904761901E-4</v>
      </c>
      <c r="Q338" t="str">
        <f t="shared" si="17"/>
        <v>Q27-03</v>
      </c>
    </row>
    <row r="339" spans="1:17" x14ac:dyDescent="0.25">
      <c r="A339" t="s">
        <v>61</v>
      </c>
      <c r="B339" t="s">
        <v>317</v>
      </c>
      <c r="C339" t="s">
        <v>318</v>
      </c>
      <c r="D339" t="s">
        <v>195</v>
      </c>
      <c r="E339" t="s">
        <v>694</v>
      </c>
      <c r="F339" s="1">
        <v>2</v>
      </c>
      <c r="G339" s="1">
        <v>0</v>
      </c>
      <c r="H339" t="s">
        <v>17</v>
      </c>
      <c r="I339" t="s">
        <v>320</v>
      </c>
      <c r="J339" t="s">
        <v>682</v>
      </c>
      <c r="K339" s="3">
        <v>46507</v>
      </c>
      <c r="L339" t="s">
        <v>683</v>
      </c>
      <c r="M339">
        <v>0.04</v>
      </c>
      <c r="N339">
        <v>2688</v>
      </c>
      <c r="O339">
        <f t="shared" si="15"/>
        <v>0.08</v>
      </c>
      <c r="P339">
        <f t="shared" si="16"/>
        <v>7.4404761904761901E-4</v>
      </c>
      <c r="Q339" t="str">
        <f t="shared" si="17"/>
        <v>Q27-03</v>
      </c>
    </row>
    <row r="340" spans="1:17" x14ac:dyDescent="0.25">
      <c r="A340" t="s">
        <v>61</v>
      </c>
      <c r="B340" t="s">
        <v>317</v>
      </c>
      <c r="C340" t="s">
        <v>318</v>
      </c>
      <c r="D340" t="s">
        <v>180</v>
      </c>
      <c r="E340" t="s">
        <v>695</v>
      </c>
      <c r="F340" s="1">
        <v>12</v>
      </c>
      <c r="G340" s="1">
        <v>0</v>
      </c>
      <c r="H340" t="s">
        <v>17</v>
      </c>
      <c r="I340" t="s">
        <v>320</v>
      </c>
      <c r="J340" t="s">
        <v>696</v>
      </c>
      <c r="K340" s="3">
        <v>46538</v>
      </c>
      <c r="L340" t="s">
        <v>697</v>
      </c>
      <c r="M340">
        <v>0.04</v>
      </c>
      <c r="N340">
        <v>2688</v>
      </c>
      <c r="O340">
        <f t="shared" si="15"/>
        <v>0.48</v>
      </c>
      <c r="P340">
        <f t="shared" si="16"/>
        <v>4.464285714285714E-3</v>
      </c>
      <c r="Q340" t="str">
        <f t="shared" si="17"/>
        <v>Q27-03</v>
      </c>
    </row>
    <row r="341" spans="1:17" x14ac:dyDescent="0.25">
      <c r="A341" t="s">
        <v>61</v>
      </c>
      <c r="B341" t="s">
        <v>317</v>
      </c>
      <c r="C341" t="s">
        <v>318</v>
      </c>
      <c r="D341" t="s">
        <v>336</v>
      </c>
      <c r="E341" t="s">
        <v>698</v>
      </c>
      <c r="F341" s="1">
        <v>3</v>
      </c>
      <c r="G341" s="1">
        <v>0</v>
      </c>
      <c r="H341" t="s">
        <v>17</v>
      </c>
      <c r="I341" t="s">
        <v>320</v>
      </c>
      <c r="J341" t="s">
        <v>696</v>
      </c>
      <c r="K341" s="3">
        <v>46538</v>
      </c>
      <c r="L341" t="s">
        <v>697</v>
      </c>
      <c r="M341">
        <v>0.04</v>
      </c>
      <c r="N341">
        <v>2688</v>
      </c>
      <c r="O341">
        <f t="shared" si="15"/>
        <v>0.12</v>
      </c>
      <c r="P341">
        <f t="shared" si="16"/>
        <v>1.1160714285714285E-3</v>
      </c>
      <c r="Q341" t="str">
        <f t="shared" si="17"/>
        <v>Q27-03</v>
      </c>
    </row>
    <row r="342" spans="1:17" x14ac:dyDescent="0.25">
      <c r="A342" t="s">
        <v>61</v>
      </c>
      <c r="B342" t="s">
        <v>317</v>
      </c>
      <c r="C342" t="s">
        <v>318</v>
      </c>
      <c r="D342" t="s">
        <v>336</v>
      </c>
      <c r="E342" t="s">
        <v>699</v>
      </c>
      <c r="F342" s="1">
        <v>5</v>
      </c>
      <c r="G342" s="1">
        <v>0</v>
      </c>
      <c r="H342" t="s">
        <v>17</v>
      </c>
      <c r="I342" t="s">
        <v>320</v>
      </c>
      <c r="J342" t="s">
        <v>696</v>
      </c>
      <c r="K342" s="3">
        <v>46538</v>
      </c>
      <c r="L342" t="s">
        <v>697</v>
      </c>
      <c r="M342">
        <v>0.04</v>
      </c>
      <c r="N342">
        <v>2688</v>
      </c>
      <c r="O342">
        <f t="shared" si="15"/>
        <v>0.2</v>
      </c>
      <c r="P342">
        <f t="shared" si="16"/>
        <v>1.8601190476190475E-3</v>
      </c>
      <c r="Q342" t="str">
        <f t="shared" si="17"/>
        <v>Q27-03</v>
      </c>
    </row>
    <row r="343" spans="1:17" x14ac:dyDescent="0.25">
      <c r="A343" t="s">
        <v>61</v>
      </c>
      <c r="B343" t="s">
        <v>317</v>
      </c>
      <c r="C343" t="s">
        <v>318</v>
      </c>
      <c r="D343" t="s">
        <v>77</v>
      </c>
      <c r="E343" t="s">
        <v>700</v>
      </c>
      <c r="F343" s="1">
        <v>3</v>
      </c>
      <c r="G343" s="1">
        <v>0</v>
      </c>
      <c r="H343" t="s">
        <v>17</v>
      </c>
      <c r="I343" t="s">
        <v>320</v>
      </c>
      <c r="J343" t="s">
        <v>701</v>
      </c>
      <c r="K343" s="3">
        <v>46265</v>
      </c>
      <c r="L343" t="s">
        <v>338</v>
      </c>
      <c r="M343">
        <v>0.04</v>
      </c>
      <c r="N343">
        <v>2688</v>
      </c>
      <c r="O343">
        <f t="shared" si="15"/>
        <v>0.12</v>
      </c>
      <c r="P343">
        <f t="shared" si="16"/>
        <v>1.1160714285714285E-3</v>
      </c>
      <c r="Q343" t="str">
        <f t="shared" si="17"/>
        <v>Q27-01</v>
      </c>
    </row>
    <row r="344" spans="1:17" x14ac:dyDescent="0.25">
      <c r="A344" t="s">
        <v>61</v>
      </c>
      <c r="B344" t="s">
        <v>317</v>
      </c>
      <c r="C344" t="s">
        <v>318</v>
      </c>
      <c r="D344" t="s">
        <v>73</v>
      </c>
      <c r="E344" t="s">
        <v>702</v>
      </c>
      <c r="F344" s="1">
        <v>2</v>
      </c>
      <c r="G344" s="1">
        <v>0</v>
      </c>
      <c r="H344" t="s">
        <v>17</v>
      </c>
      <c r="I344" t="s">
        <v>320</v>
      </c>
      <c r="J344" t="s">
        <v>701</v>
      </c>
      <c r="K344" s="3">
        <v>46477</v>
      </c>
      <c r="L344" t="s">
        <v>434</v>
      </c>
      <c r="M344">
        <v>0.04</v>
      </c>
      <c r="N344">
        <v>2688</v>
      </c>
      <c r="O344">
        <f t="shared" si="15"/>
        <v>0.08</v>
      </c>
      <c r="P344">
        <f t="shared" si="16"/>
        <v>7.4404761904761901E-4</v>
      </c>
      <c r="Q344" t="str">
        <f t="shared" si="17"/>
        <v>Q26-01</v>
      </c>
    </row>
    <row r="345" spans="1:17" x14ac:dyDescent="0.25">
      <c r="A345" t="s">
        <v>61</v>
      </c>
      <c r="B345" t="s">
        <v>166</v>
      </c>
      <c r="C345" t="s">
        <v>167</v>
      </c>
      <c r="D345" t="s">
        <v>73</v>
      </c>
      <c r="E345" t="s">
        <v>703</v>
      </c>
      <c r="F345" s="1">
        <v>1</v>
      </c>
      <c r="G345" s="1">
        <v>0</v>
      </c>
      <c r="H345" t="s">
        <v>17</v>
      </c>
      <c r="I345" t="s">
        <v>170</v>
      </c>
      <c r="J345" t="s">
        <v>704</v>
      </c>
      <c r="K345" s="3">
        <v>46112</v>
      </c>
      <c r="L345" t="s">
        <v>172</v>
      </c>
      <c r="M345">
        <v>9.2999999999999999E-2</v>
      </c>
      <c r="N345">
        <v>1536</v>
      </c>
      <c r="O345">
        <f t="shared" si="15"/>
        <v>9.2999999999999999E-2</v>
      </c>
      <c r="P345">
        <f t="shared" si="16"/>
        <v>6.5104166666666663E-4</v>
      </c>
      <c r="Q345" t="str">
        <f t="shared" si="17"/>
        <v>Q26-01</v>
      </c>
    </row>
    <row r="346" spans="1:17" x14ac:dyDescent="0.25">
      <c r="A346" t="s">
        <v>61</v>
      </c>
      <c r="B346" t="s">
        <v>166</v>
      </c>
      <c r="C346" t="s">
        <v>167</v>
      </c>
      <c r="D346" t="s">
        <v>73</v>
      </c>
      <c r="E346" t="s">
        <v>705</v>
      </c>
      <c r="F346" s="1">
        <v>1</v>
      </c>
      <c r="G346" s="1">
        <v>0</v>
      </c>
      <c r="H346" t="s">
        <v>17</v>
      </c>
      <c r="I346" t="s">
        <v>170</v>
      </c>
      <c r="J346" t="s">
        <v>701</v>
      </c>
      <c r="K346" s="3">
        <v>46173</v>
      </c>
      <c r="L346" t="s">
        <v>214</v>
      </c>
      <c r="M346">
        <v>9.2999999999999999E-2</v>
      </c>
      <c r="N346">
        <v>1536</v>
      </c>
      <c r="O346">
        <f t="shared" si="15"/>
        <v>9.2999999999999999E-2</v>
      </c>
      <c r="P346">
        <f t="shared" si="16"/>
        <v>6.5104166666666663E-4</v>
      </c>
      <c r="Q346" t="str">
        <f t="shared" si="17"/>
        <v>Q26-01</v>
      </c>
    </row>
    <row r="347" spans="1:17" x14ac:dyDescent="0.25">
      <c r="A347" t="s">
        <v>385</v>
      </c>
      <c r="B347" t="s">
        <v>706</v>
      </c>
      <c r="C347" t="s">
        <v>707</v>
      </c>
      <c r="D347" t="s">
        <v>451</v>
      </c>
      <c r="E347" t="s">
        <v>708</v>
      </c>
      <c r="F347" s="1">
        <v>2</v>
      </c>
      <c r="G347" s="1">
        <v>0</v>
      </c>
      <c r="H347" t="s">
        <v>17</v>
      </c>
      <c r="I347" t="s">
        <v>709</v>
      </c>
      <c r="J347" t="s">
        <v>710</v>
      </c>
      <c r="K347" s="3">
        <v>46218</v>
      </c>
      <c r="L347" t="s">
        <v>711</v>
      </c>
      <c r="M347">
        <v>0.02</v>
      </c>
      <c r="N347">
        <v>4928</v>
      </c>
      <c r="O347">
        <f t="shared" si="15"/>
        <v>0.04</v>
      </c>
      <c r="P347">
        <f t="shared" si="16"/>
        <v>4.0584415584415587E-4</v>
      </c>
      <c r="Q347" t="str">
        <f t="shared" si="17"/>
        <v>Q26-03</v>
      </c>
    </row>
    <row r="348" spans="1:17" x14ac:dyDescent="0.25">
      <c r="A348" t="s">
        <v>12</v>
      </c>
      <c r="B348" t="s">
        <v>49</v>
      </c>
      <c r="C348" t="s">
        <v>50</v>
      </c>
      <c r="D348" t="s">
        <v>57</v>
      </c>
      <c r="E348" t="s">
        <v>712</v>
      </c>
      <c r="F348" s="1">
        <v>8</v>
      </c>
      <c r="G348" s="1">
        <v>0</v>
      </c>
      <c r="H348" t="s">
        <v>17</v>
      </c>
      <c r="I348" t="s">
        <v>52</v>
      </c>
      <c r="J348" t="s">
        <v>713</v>
      </c>
      <c r="K348" s="3">
        <v>46259</v>
      </c>
      <c r="L348" t="s">
        <v>714</v>
      </c>
      <c r="M348">
        <v>2.5999999999999999E-2</v>
      </c>
      <c r="N348">
        <v>7200</v>
      </c>
      <c r="O348">
        <f t="shared" si="15"/>
        <v>0.20799999999999999</v>
      </c>
      <c r="P348">
        <f t="shared" si="16"/>
        <v>1.1111111111111111E-3</v>
      </c>
      <c r="Q348" t="str">
        <f t="shared" si="17"/>
        <v>Q26-03</v>
      </c>
    </row>
    <row r="349" spans="1:17" x14ac:dyDescent="0.25">
      <c r="A349" t="s">
        <v>385</v>
      </c>
      <c r="B349" t="s">
        <v>715</v>
      </c>
      <c r="C349" t="s">
        <v>716</v>
      </c>
      <c r="D349" t="s">
        <v>144</v>
      </c>
      <c r="E349" t="s">
        <v>717</v>
      </c>
      <c r="F349" s="1">
        <v>195</v>
      </c>
      <c r="G349" s="1">
        <v>0</v>
      </c>
      <c r="H349" t="s">
        <v>17</v>
      </c>
      <c r="I349" t="s">
        <v>475</v>
      </c>
      <c r="J349" t="s">
        <v>90</v>
      </c>
      <c r="K349" s="3">
        <v>46312</v>
      </c>
      <c r="L349" t="s">
        <v>718</v>
      </c>
      <c r="M349">
        <v>0</v>
      </c>
      <c r="N349">
        <v>0</v>
      </c>
      <c r="O349">
        <f t="shared" si="15"/>
        <v>0</v>
      </c>
      <c r="Q349" t="str">
        <f t="shared" si="17"/>
        <v>QM4-01</v>
      </c>
    </row>
    <row r="350" spans="1:17" x14ac:dyDescent="0.25">
      <c r="A350" t="s">
        <v>385</v>
      </c>
      <c r="B350" t="s">
        <v>719</v>
      </c>
      <c r="C350" t="s">
        <v>720</v>
      </c>
      <c r="D350" t="s">
        <v>57</v>
      </c>
      <c r="E350" t="s">
        <v>721</v>
      </c>
      <c r="F350" s="1">
        <v>5</v>
      </c>
      <c r="G350" s="1">
        <v>0</v>
      </c>
      <c r="H350" t="s">
        <v>17</v>
      </c>
      <c r="I350" t="s">
        <v>722</v>
      </c>
      <c r="J350" t="s">
        <v>723</v>
      </c>
      <c r="K350" s="3">
        <v>46252</v>
      </c>
      <c r="L350" t="s">
        <v>724</v>
      </c>
      <c r="M350">
        <v>3.7999999999999999E-2</v>
      </c>
      <c r="N350">
        <v>1848</v>
      </c>
      <c r="O350">
        <f t="shared" si="15"/>
        <v>0.19</v>
      </c>
      <c r="P350">
        <f t="shared" si="16"/>
        <v>2.7056277056277055E-3</v>
      </c>
      <c r="Q350" t="str">
        <f t="shared" si="17"/>
        <v>Q26-03</v>
      </c>
    </row>
    <row r="351" spans="1:17" x14ac:dyDescent="0.25">
      <c r="A351" t="s">
        <v>385</v>
      </c>
      <c r="B351" t="s">
        <v>719</v>
      </c>
      <c r="C351" t="s">
        <v>720</v>
      </c>
      <c r="D351" t="s">
        <v>388</v>
      </c>
      <c r="E351" t="s">
        <v>725</v>
      </c>
      <c r="F351" s="1">
        <v>2</v>
      </c>
      <c r="G351" s="1">
        <v>0</v>
      </c>
      <c r="H351" t="s">
        <v>17</v>
      </c>
      <c r="I351" t="s">
        <v>722</v>
      </c>
      <c r="J351" t="s">
        <v>723</v>
      </c>
      <c r="K351" s="3">
        <v>46252</v>
      </c>
      <c r="L351" t="s">
        <v>724</v>
      </c>
      <c r="M351">
        <v>3.7999999999999999E-2</v>
      </c>
      <c r="N351">
        <v>1848</v>
      </c>
      <c r="O351">
        <f t="shared" si="15"/>
        <v>7.5999999999999998E-2</v>
      </c>
      <c r="P351">
        <f t="shared" si="16"/>
        <v>1.0822510822510823E-3</v>
      </c>
      <c r="Q351" t="str">
        <f t="shared" si="17"/>
        <v>Q26-03</v>
      </c>
    </row>
    <row r="352" spans="1:17" x14ac:dyDescent="0.25">
      <c r="A352" t="s">
        <v>385</v>
      </c>
      <c r="B352" t="s">
        <v>719</v>
      </c>
      <c r="C352" t="s">
        <v>720</v>
      </c>
      <c r="D352" t="s">
        <v>451</v>
      </c>
      <c r="E352" t="s">
        <v>726</v>
      </c>
      <c r="F352" s="1">
        <v>33</v>
      </c>
      <c r="G352" s="1">
        <v>0</v>
      </c>
      <c r="H352" t="s">
        <v>17</v>
      </c>
      <c r="I352" t="s">
        <v>722</v>
      </c>
      <c r="J352" t="s">
        <v>723</v>
      </c>
      <c r="K352" s="3">
        <v>46252</v>
      </c>
      <c r="L352" t="s">
        <v>724</v>
      </c>
      <c r="M352">
        <v>3.7999999999999999E-2</v>
      </c>
      <c r="N352">
        <v>1848</v>
      </c>
      <c r="O352">
        <f t="shared" si="15"/>
        <v>1.254</v>
      </c>
      <c r="P352">
        <f t="shared" si="16"/>
        <v>1.7857142857142856E-2</v>
      </c>
      <c r="Q352" t="str">
        <f t="shared" si="17"/>
        <v>Q26-03</v>
      </c>
    </row>
    <row r="353" spans="1:17" x14ac:dyDescent="0.25">
      <c r="A353" t="s">
        <v>385</v>
      </c>
      <c r="B353" t="s">
        <v>719</v>
      </c>
      <c r="C353" t="s">
        <v>720</v>
      </c>
      <c r="D353" t="s">
        <v>727</v>
      </c>
      <c r="E353" t="s">
        <v>728</v>
      </c>
      <c r="F353" s="1">
        <v>48</v>
      </c>
      <c r="G353" s="1">
        <v>0</v>
      </c>
      <c r="H353" t="s">
        <v>17</v>
      </c>
      <c r="I353" t="s">
        <v>722</v>
      </c>
      <c r="J353" t="s">
        <v>723</v>
      </c>
      <c r="K353" s="3">
        <v>46252</v>
      </c>
      <c r="L353" t="s">
        <v>724</v>
      </c>
      <c r="M353">
        <v>3.7999999999999999E-2</v>
      </c>
      <c r="N353">
        <v>1848</v>
      </c>
      <c r="O353">
        <f t="shared" si="15"/>
        <v>1.8239999999999998</v>
      </c>
      <c r="P353">
        <f t="shared" si="16"/>
        <v>2.5974025974025976E-2</v>
      </c>
      <c r="Q353" t="str">
        <f t="shared" si="17"/>
        <v>Q26-03</v>
      </c>
    </row>
    <row r="354" spans="1:17" x14ac:dyDescent="0.25">
      <c r="A354" t="s">
        <v>385</v>
      </c>
      <c r="B354" t="s">
        <v>719</v>
      </c>
      <c r="C354" t="s">
        <v>720</v>
      </c>
      <c r="D354" t="s">
        <v>727</v>
      </c>
      <c r="E354" t="s">
        <v>729</v>
      </c>
      <c r="F354" s="1">
        <v>64</v>
      </c>
      <c r="G354" s="1">
        <v>0</v>
      </c>
      <c r="H354" t="s">
        <v>17</v>
      </c>
      <c r="I354" t="s">
        <v>722</v>
      </c>
      <c r="J354" t="s">
        <v>723</v>
      </c>
      <c r="K354" s="3">
        <v>46252</v>
      </c>
      <c r="L354" t="s">
        <v>724</v>
      </c>
      <c r="M354">
        <v>3.7999999999999999E-2</v>
      </c>
      <c r="N354">
        <v>1848</v>
      </c>
      <c r="O354">
        <f t="shared" si="15"/>
        <v>2.4319999999999999</v>
      </c>
      <c r="P354">
        <f t="shared" si="16"/>
        <v>3.4632034632034632E-2</v>
      </c>
      <c r="Q354" t="str">
        <f t="shared" si="17"/>
        <v>Q26-03</v>
      </c>
    </row>
    <row r="355" spans="1:17" x14ac:dyDescent="0.25">
      <c r="A355" t="s">
        <v>385</v>
      </c>
      <c r="B355" t="s">
        <v>730</v>
      </c>
      <c r="C355" t="s">
        <v>731</v>
      </c>
      <c r="D355" t="s">
        <v>727</v>
      </c>
      <c r="E355" t="s">
        <v>732</v>
      </c>
      <c r="F355" s="1">
        <v>31</v>
      </c>
      <c r="G355" s="1">
        <v>0</v>
      </c>
      <c r="H355" t="s">
        <v>17</v>
      </c>
      <c r="I355" t="s">
        <v>733</v>
      </c>
      <c r="J355" t="s">
        <v>734</v>
      </c>
      <c r="K355" s="3">
        <v>46201</v>
      </c>
      <c r="L355" t="s">
        <v>735</v>
      </c>
      <c r="M355">
        <v>3.2000000000000001E-2</v>
      </c>
      <c r="N355">
        <v>2016</v>
      </c>
      <c r="O355">
        <f t="shared" si="15"/>
        <v>0.99199999999999999</v>
      </c>
      <c r="P355">
        <f t="shared" si="16"/>
        <v>1.5376984126984126E-2</v>
      </c>
      <c r="Q355" t="str">
        <f t="shared" si="17"/>
        <v>Q26-03</v>
      </c>
    </row>
    <row r="356" spans="1:17" x14ac:dyDescent="0.25">
      <c r="A356" t="s">
        <v>385</v>
      </c>
      <c r="B356" t="s">
        <v>730</v>
      </c>
      <c r="C356" t="s">
        <v>731</v>
      </c>
      <c r="D356" t="s">
        <v>727</v>
      </c>
      <c r="E356" t="s">
        <v>736</v>
      </c>
      <c r="F356" s="1">
        <v>4</v>
      </c>
      <c r="G356" s="1">
        <v>0</v>
      </c>
      <c r="H356" t="s">
        <v>17</v>
      </c>
      <c r="I356" t="s">
        <v>733</v>
      </c>
      <c r="J356" t="s">
        <v>734</v>
      </c>
      <c r="K356" s="3">
        <v>46201</v>
      </c>
      <c r="L356" t="s">
        <v>735</v>
      </c>
      <c r="M356">
        <v>3.2000000000000001E-2</v>
      </c>
      <c r="N356">
        <v>2016</v>
      </c>
      <c r="O356">
        <f t="shared" si="15"/>
        <v>0.128</v>
      </c>
      <c r="P356">
        <f t="shared" si="16"/>
        <v>1.984126984126984E-3</v>
      </c>
      <c r="Q356" t="str">
        <f t="shared" si="17"/>
        <v>Q26-03</v>
      </c>
    </row>
    <row r="357" spans="1:17" x14ac:dyDescent="0.25">
      <c r="A357" t="s">
        <v>385</v>
      </c>
      <c r="B357" t="s">
        <v>730</v>
      </c>
      <c r="C357" t="s">
        <v>731</v>
      </c>
      <c r="D357" t="s">
        <v>737</v>
      </c>
      <c r="E357" t="s">
        <v>738</v>
      </c>
      <c r="F357" s="2">
        <v>2016</v>
      </c>
      <c r="G357" s="1">
        <v>0</v>
      </c>
      <c r="H357" t="s">
        <v>17</v>
      </c>
      <c r="I357" t="s">
        <v>733</v>
      </c>
      <c r="J357" t="s">
        <v>734</v>
      </c>
      <c r="K357" s="3">
        <v>46201</v>
      </c>
      <c r="L357" t="s">
        <v>735</v>
      </c>
      <c r="M357">
        <v>3.2000000000000001E-2</v>
      </c>
      <c r="N357">
        <v>2016</v>
      </c>
      <c r="O357">
        <f t="shared" si="15"/>
        <v>64.512</v>
      </c>
      <c r="P357">
        <f t="shared" si="16"/>
        <v>1</v>
      </c>
      <c r="Q357" t="str">
        <f t="shared" si="17"/>
        <v>Q26-03</v>
      </c>
    </row>
    <row r="358" spans="1:17" x14ac:dyDescent="0.25">
      <c r="A358" t="s">
        <v>385</v>
      </c>
      <c r="B358" t="s">
        <v>730</v>
      </c>
      <c r="C358" t="s">
        <v>731</v>
      </c>
      <c r="D358" t="s">
        <v>737</v>
      </c>
      <c r="E358" t="s">
        <v>739</v>
      </c>
      <c r="F358" s="2">
        <v>1342</v>
      </c>
      <c r="G358" s="1">
        <v>0</v>
      </c>
      <c r="H358" t="s">
        <v>17</v>
      </c>
      <c r="I358" t="s">
        <v>733</v>
      </c>
      <c r="J358" t="s">
        <v>734</v>
      </c>
      <c r="K358" s="3">
        <v>46201</v>
      </c>
      <c r="L358" t="s">
        <v>735</v>
      </c>
      <c r="M358">
        <v>3.2000000000000001E-2</v>
      </c>
      <c r="N358">
        <v>2016</v>
      </c>
      <c r="O358">
        <f t="shared" si="15"/>
        <v>42.944000000000003</v>
      </c>
      <c r="P358">
        <f t="shared" si="16"/>
        <v>0.66567460317460314</v>
      </c>
      <c r="Q358" t="str">
        <f t="shared" si="17"/>
        <v>Q26-03</v>
      </c>
    </row>
    <row r="359" spans="1:17" x14ac:dyDescent="0.25">
      <c r="A359" t="s">
        <v>385</v>
      </c>
      <c r="B359" t="s">
        <v>719</v>
      </c>
      <c r="C359" t="s">
        <v>720</v>
      </c>
      <c r="D359" t="s">
        <v>451</v>
      </c>
      <c r="E359" t="s">
        <v>740</v>
      </c>
      <c r="F359" s="1">
        <v>12</v>
      </c>
      <c r="G359" s="1">
        <v>0</v>
      </c>
      <c r="H359" t="s">
        <v>17</v>
      </c>
      <c r="I359" t="s">
        <v>722</v>
      </c>
      <c r="J359" t="s">
        <v>723</v>
      </c>
      <c r="K359" s="3">
        <v>46249</v>
      </c>
      <c r="L359" t="s">
        <v>741</v>
      </c>
      <c r="M359">
        <v>3.7999999999999999E-2</v>
      </c>
      <c r="N359">
        <v>1848</v>
      </c>
      <c r="O359">
        <f t="shared" si="15"/>
        <v>0.45599999999999996</v>
      </c>
      <c r="P359">
        <f t="shared" si="16"/>
        <v>6.4935064935064939E-3</v>
      </c>
      <c r="Q359" t="str">
        <f t="shared" si="17"/>
        <v>Q26-03</v>
      </c>
    </row>
    <row r="360" spans="1:17" x14ac:dyDescent="0.25">
      <c r="A360" t="s">
        <v>385</v>
      </c>
      <c r="B360" t="s">
        <v>719</v>
      </c>
      <c r="C360" t="s">
        <v>720</v>
      </c>
      <c r="D360" t="s">
        <v>451</v>
      </c>
      <c r="E360" t="s">
        <v>742</v>
      </c>
      <c r="F360" s="1">
        <v>3</v>
      </c>
      <c r="G360" s="1">
        <v>0</v>
      </c>
      <c r="H360" t="s">
        <v>17</v>
      </c>
      <c r="I360" t="s">
        <v>722</v>
      </c>
      <c r="J360" t="s">
        <v>723</v>
      </c>
      <c r="K360" s="3">
        <v>46249</v>
      </c>
      <c r="L360" t="s">
        <v>741</v>
      </c>
      <c r="M360">
        <v>3.7999999999999999E-2</v>
      </c>
      <c r="N360">
        <v>1848</v>
      </c>
      <c r="O360">
        <f t="shared" si="15"/>
        <v>0.11399999999999999</v>
      </c>
      <c r="P360">
        <f t="shared" si="16"/>
        <v>1.6233766233766235E-3</v>
      </c>
      <c r="Q360" t="str">
        <f t="shared" si="17"/>
        <v>Q26-03</v>
      </c>
    </row>
    <row r="361" spans="1:17" x14ac:dyDescent="0.25">
      <c r="A361" t="s">
        <v>385</v>
      </c>
      <c r="B361" t="s">
        <v>719</v>
      </c>
      <c r="C361" t="s">
        <v>720</v>
      </c>
      <c r="D361" t="s">
        <v>727</v>
      </c>
      <c r="E361" t="s">
        <v>743</v>
      </c>
      <c r="F361" s="1">
        <v>148</v>
      </c>
      <c r="G361" s="1">
        <v>0</v>
      </c>
      <c r="H361" t="s">
        <v>17</v>
      </c>
      <c r="I361" t="s">
        <v>722</v>
      </c>
      <c r="J361" t="s">
        <v>723</v>
      </c>
      <c r="K361" s="3">
        <v>46249</v>
      </c>
      <c r="L361" t="s">
        <v>741</v>
      </c>
      <c r="M361">
        <v>3.7999999999999999E-2</v>
      </c>
      <c r="N361">
        <v>1848</v>
      </c>
      <c r="O361">
        <f t="shared" si="15"/>
        <v>5.6239999999999997</v>
      </c>
      <c r="P361">
        <f t="shared" si="16"/>
        <v>8.0086580086580081E-2</v>
      </c>
      <c r="Q361" t="str">
        <f t="shared" si="17"/>
        <v>Q26-03</v>
      </c>
    </row>
    <row r="362" spans="1:17" x14ac:dyDescent="0.25">
      <c r="A362" t="s">
        <v>385</v>
      </c>
      <c r="B362" t="s">
        <v>719</v>
      </c>
      <c r="C362" t="s">
        <v>720</v>
      </c>
      <c r="D362" t="s">
        <v>727</v>
      </c>
      <c r="E362" t="s">
        <v>744</v>
      </c>
      <c r="F362" s="1">
        <v>104</v>
      </c>
      <c r="G362" s="1">
        <v>0</v>
      </c>
      <c r="H362" t="s">
        <v>17</v>
      </c>
      <c r="I362" t="s">
        <v>722</v>
      </c>
      <c r="J362" t="s">
        <v>723</v>
      </c>
      <c r="K362" s="3">
        <v>46249</v>
      </c>
      <c r="L362" t="s">
        <v>741</v>
      </c>
      <c r="M362">
        <v>3.7999999999999999E-2</v>
      </c>
      <c r="N362">
        <v>1848</v>
      </c>
      <c r="O362">
        <f t="shared" si="15"/>
        <v>3.952</v>
      </c>
      <c r="P362">
        <f t="shared" si="16"/>
        <v>5.627705627705628E-2</v>
      </c>
      <c r="Q362" t="str">
        <f t="shared" si="17"/>
        <v>Q26-03</v>
      </c>
    </row>
    <row r="363" spans="1:17" x14ac:dyDescent="0.25">
      <c r="A363" t="s">
        <v>385</v>
      </c>
      <c r="B363" t="s">
        <v>719</v>
      </c>
      <c r="C363" t="s">
        <v>720</v>
      </c>
      <c r="D363" t="s">
        <v>727</v>
      </c>
      <c r="E363" t="s">
        <v>745</v>
      </c>
      <c r="F363" s="1">
        <v>6</v>
      </c>
      <c r="G363" s="1">
        <v>0</v>
      </c>
      <c r="H363" t="s">
        <v>17</v>
      </c>
      <c r="I363" t="s">
        <v>722</v>
      </c>
      <c r="J363" t="s">
        <v>723</v>
      </c>
      <c r="K363" s="3">
        <v>46249</v>
      </c>
      <c r="L363" t="s">
        <v>741</v>
      </c>
      <c r="M363">
        <v>3.7999999999999999E-2</v>
      </c>
      <c r="N363">
        <v>1848</v>
      </c>
      <c r="O363">
        <f t="shared" si="15"/>
        <v>0.22799999999999998</v>
      </c>
      <c r="P363">
        <f t="shared" si="16"/>
        <v>3.246753246753247E-3</v>
      </c>
      <c r="Q363" t="str">
        <f t="shared" si="17"/>
        <v>Q26-03</v>
      </c>
    </row>
    <row r="364" spans="1:17" x14ac:dyDescent="0.25">
      <c r="A364" t="s">
        <v>385</v>
      </c>
      <c r="B364" t="s">
        <v>719</v>
      </c>
      <c r="C364" t="s">
        <v>720</v>
      </c>
      <c r="D364" t="s">
        <v>746</v>
      </c>
      <c r="E364" t="s">
        <v>747</v>
      </c>
      <c r="F364" s="1">
        <v>269</v>
      </c>
      <c r="G364" s="1">
        <v>0</v>
      </c>
      <c r="H364" t="s">
        <v>17</v>
      </c>
      <c r="I364" t="s">
        <v>722</v>
      </c>
      <c r="J364" t="s">
        <v>723</v>
      </c>
      <c r="K364" s="3">
        <v>46249</v>
      </c>
      <c r="L364" t="s">
        <v>741</v>
      </c>
      <c r="M364">
        <v>3.7999999999999999E-2</v>
      </c>
      <c r="N364">
        <v>1848</v>
      </c>
      <c r="O364">
        <f t="shared" si="15"/>
        <v>10.222</v>
      </c>
      <c r="P364">
        <f t="shared" si="16"/>
        <v>0.14556277056277056</v>
      </c>
      <c r="Q364" t="str">
        <f t="shared" si="17"/>
        <v>Q26-03</v>
      </c>
    </row>
    <row r="365" spans="1:17" x14ac:dyDescent="0.25">
      <c r="A365" t="s">
        <v>385</v>
      </c>
      <c r="B365" t="s">
        <v>730</v>
      </c>
      <c r="C365" t="s">
        <v>731</v>
      </c>
      <c r="D365" t="s">
        <v>451</v>
      </c>
      <c r="E365" t="s">
        <v>748</v>
      </c>
      <c r="F365" s="1">
        <v>1</v>
      </c>
      <c r="G365" s="1">
        <v>0</v>
      </c>
      <c r="H365" t="s">
        <v>17</v>
      </c>
      <c r="I365" t="s">
        <v>733</v>
      </c>
      <c r="J365" t="s">
        <v>734</v>
      </c>
      <c r="K365" s="3">
        <v>46201</v>
      </c>
      <c r="L365" t="s">
        <v>749</v>
      </c>
      <c r="M365">
        <v>3.2000000000000001E-2</v>
      </c>
      <c r="N365">
        <v>2016</v>
      </c>
      <c r="O365">
        <f t="shared" si="15"/>
        <v>3.2000000000000001E-2</v>
      </c>
      <c r="P365">
        <f t="shared" si="16"/>
        <v>4.96031746031746E-4</v>
      </c>
      <c r="Q365" t="str">
        <f t="shared" si="17"/>
        <v>Q26-03</v>
      </c>
    </row>
    <row r="366" spans="1:17" x14ac:dyDescent="0.25">
      <c r="A366" t="s">
        <v>12</v>
      </c>
      <c r="B366" t="s">
        <v>750</v>
      </c>
      <c r="C366" t="s">
        <v>751</v>
      </c>
      <c r="D366" t="s">
        <v>441</v>
      </c>
      <c r="E366" t="s">
        <v>752</v>
      </c>
      <c r="F366" s="1">
        <v>1</v>
      </c>
      <c r="G366" s="1">
        <v>0</v>
      </c>
      <c r="H366" t="s">
        <v>17</v>
      </c>
      <c r="I366" t="s">
        <v>753</v>
      </c>
      <c r="J366" t="s">
        <v>754</v>
      </c>
      <c r="K366" s="3">
        <v>46501</v>
      </c>
      <c r="L366" t="s">
        <v>755</v>
      </c>
      <c r="M366">
        <v>3.5999999999999997E-2</v>
      </c>
      <c r="N366">
        <v>5280</v>
      </c>
      <c r="O366">
        <f t="shared" si="15"/>
        <v>3.5999999999999997E-2</v>
      </c>
      <c r="P366">
        <f t="shared" si="16"/>
        <v>1.8939393939393939E-4</v>
      </c>
      <c r="Q366" t="str">
        <f t="shared" si="17"/>
        <v>Q26-03</v>
      </c>
    </row>
    <row r="367" spans="1:17" x14ac:dyDescent="0.25">
      <c r="A367" t="s">
        <v>12</v>
      </c>
      <c r="B367" t="s">
        <v>756</v>
      </c>
      <c r="C367" t="s">
        <v>757</v>
      </c>
      <c r="D367" t="s">
        <v>57</v>
      </c>
      <c r="E367" t="s">
        <v>758</v>
      </c>
      <c r="F367" s="1">
        <v>21</v>
      </c>
      <c r="G367" s="1">
        <v>0</v>
      </c>
      <c r="H367" t="s">
        <v>17</v>
      </c>
      <c r="I367" t="s">
        <v>759</v>
      </c>
      <c r="J367" t="s">
        <v>760</v>
      </c>
      <c r="K367" s="3">
        <v>46538</v>
      </c>
      <c r="L367" t="s">
        <v>761</v>
      </c>
      <c r="M367">
        <v>0.09</v>
      </c>
      <c r="N367">
        <v>2160</v>
      </c>
      <c r="O367">
        <f t="shared" si="15"/>
        <v>1.89</v>
      </c>
      <c r="P367">
        <f t="shared" si="16"/>
        <v>9.7222222222222224E-3</v>
      </c>
      <c r="Q367" t="str">
        <f t="shared" si="17"/>
        <v>Q26-03</v>
      </c>
    </row>
    <row r="368" spans="1:17" x14ac:dyDescent="0.25">
      <c r="A368" t="s">
        <v>12</v>
      </c>
      <c r="B368" t="s">
        <v>756</v>
      </c>
      <c r="C368" t="s">
        <v>757</v>
      </c>
      <c r="D368" t="s">
        <v>441</v>
      </c>
      <c r="E368" t="s">
        <v>762</v>
      </c>
      <c r="F368" s="1">
        <v>23</v>
      </c>
      <c r="G368" s="1">
        <v>0</v>
      </c>
      <c r="H368" t="s">
        <v>17</v>
      </c>
      <c r="I368" t="s">
        <v>759</v>
      </c>
      <c r="J368" t="s">
        <v>760</v>
      </c>
      <c r="K368" s="3">
        <v>46538</v>
      </c>
      <c r="L368" t="s">
        <v>761</v>
      </c>
      <c r="M368">
        <v>0.09</v>
      </c>
      <c r="N368">
        <v>2160</v>
      </c>
      <c r="O368">
        <f t="shared" si="15"/>
        <v>2.0699999999999998</v>
      </c>
      <c r="P368">
        <f t="shared" si="16"/>
        <v>1.0648148148148148E-2</v>
      </c>
      <c r="Q368" t="str">
        <f t="shared" si="17"/>
        <v>Q26-03</v>
      </c>
    </row>
    <row r="369" spans="1:17" x14ac:dyDescent="0.25">
      <c r="A369" t="s">
        <v>61</v>
      </c>
      <c r="B369" t="s">
        <v>456</v>
      </c>
      <c r="C369" t="s">
        <v>457</v>
      </c>
      <c r="D369" t="s">
        <v>336</v>
      </c>
      <c r="E369" t="s">
        <v>763</v>
      </c>
      <c r="F369" s="1">
        <v>19</v>
      </c>
      <c r="G369" s="1">
        <v>0</v>
      </c>
      <c r="H369" t="s">
        <v>17</v>
      </c>
      <c r="I369" t="s">
        <v>459</v>
      </c>
      <c r="J369" t="s">
        <v>764</v>
      </c>
      <c r="K369" s="3">
        <v>46234</v>
      </c>
      <c r="L369" t="s">
        <v>765</v>
      </c>
      <c r="M369">
        <v>0.22600000000000001</v>
      </c>
      <c r="N369">
        <v>1680</v>
      </c>
      <c r="O369">
        <f t="shared" si="15"/>
        <v>4.2940000000000005</v>
      </c>
      <c r="P369">
        <f t="shared" si="16"/>
        <v>1.1309523809523809E-2</v>
      </c>
      <c r="Q369" t="str">
        <f t="shared" si="17"/>
        <v>Q27-03</v>
      </c>
    </row>
    <row r="370" spans="1:17" x14ac:dyDescent="0.25">
      <c r="A370" t="s">
        <v>61</v>
      </c>
      <c r="B370" t="s">
        <v>456</v>
      </c>
      <c r="C370" t="s">
        <v>457</v>
      </c>
      <c r="D370" t="s">
        <v>336</v>
      </c>
      <c r="E370" t="s">
        <v>766</v>
      </c>
      <c r="F370" s="1">
        <v>1</v>
      </c>
      <c r="G370" s="1">
        <v>0</v>
      </c>
      <c r="H370" t="s">
        <v>17</v>
      </c>
      <c r="I370" t="s">
        <v>459</v>
      </c>
      <c r="J370" t="s">
        <v>764</v>
      </c>
      <c r="K370" s="3">
        <v>46234</v>
      </c>
      <c r="L370" t="s">
        <v>765</v>
      </c>
      <c r="M370">
        <v>0.22600000000000001</v>
      </c>
      <c r="N370">
        <v>1680</v>
      </c>
      <c r="O370">
        <f t="shared" si="15"/>
        <v>0.22600000000000001</v>
      </c>
      <c r="P370">
        <f t="shared" si="16"/>
        <v>5.9523809523809529E-4</v>
      </c>
      <c r="Q370" t="str">
        <f t="shared" si="17"/>
        <v>Q27-03</v>
      </c>
    </row>
    <row r="371" spans="1:17" x14ac:dyDescent="0.25">
      <c r="A371" t="s">
        <v>61</v>
      </c>
      <c r="B371" t="s">
        <v>456</v>
      </c>
      <c r="C371" t="s">
        <v>457</v>
      </c>
      <c r="D371" t="s">
        <v>336</v>
      </c>
      <c r="E371" t="s">
        <v>767</v>
      </c>
      <c r="F371" s="1">
        <v>30</v>
      </c>
      <c r="G371" s="1">
        <v>0</v>
      </c>
      <c r="H371" t="s">
        <v>17</v>
      </c>
      <c r="I371" t="s">
        <v>459</v>
      </c>
      <c r="J371" t="s">
        <v>764</v>
      </c>
      <c r="K371" s="3">
        <v>46234</v>
      </c>
      <c r="L371" t="s">
        <v>768</v>
      </c>
      <c r="M371">
        <v>0.22600000000000001</v>
      </c>
      <c r="N371">
        <v>1680</v>
      </c>
      <c r="O371">
        <f t="shared" si="15"/>
        <v>6.78</v>
      </c>
      <c r="P371">
        <f t="shared" si="16"/>
        <v>1.7857142857142856E-2</v>
      </c>
      <c r="Q371" t="str">
        <f t="shared" si="17"/>
        <v>Q27-03</v>
      </c>
    </row>
    <row r="372" spans="1:17" x14ac:dyDescent="0.25">
      <c r="A372" t="s">
        <v>61</v>
      </c>
      <c r="B372" t="s">
        <v>456</v>
      </c>
      <c r="C372" t="s">
        <v>457</v>
      </c>
      <c r="D372" t="s">
        <v>336</v>
      </c>
      <c r="E372" t="s">
        <v>769</v>
      </c>
      <c r="F372" s="1">
        <v>1</v>
      </c>
      <c r="G372" s="1">
        <v>0</v>
      </c>
      <c r="H372" t="s">
        <v>17</v>
      </c>
      <c r="I372" t="s">
        <v>459</v>
      </c>
      <c r="J372" t="s">
        <v>764</v>
      </c>
      <c r="K372" s="3">
        <v>46234</v>
      </c>
      <c r="L372" t="s">
        <v>768</v>
      </c>
      <c r="M372">
        <v>0.22600000000000001</v>
      </c>
      <c r="N372">
        <v>1680</v>
      </c>
      <c r="O372">
        <f t="shared" si="15"/>
        <v>0.22600000000000001</v>
      </c>
      <c r="P372">
        <f t="shared" si="16"/>
        <v>5.9523809523809529E-4</v>
      </c>
      <c r="Q372" t="str">
        <f t="shared" si="17"/>
        <v>Q27-03</v>
      </c>
    </row>
    <row r="373" spans="1:17" x14ac:dyDescent="0.25">
      <c r="A373" t="s">
        <v>12</v>
      </c>
      <c r="B373" t="s">
        <v>770</v>
      </c>
      <c r="C373" t="s">
        <v>771</v>
      </c>
      <c r="D373" t="s">
        <v>388</v>
      </c>
      <c r="E373" t="s">
        <v>772</v>
      </c>
      <c r="F373" s="1">
        <v>6</v>
      </c>
      <c r="G373" s="1">
        <v>0</v>
      </c>
      <c r="H373" t="s">
        <v>17</v>
      </c>
      <c r="I373" t="s">
        <v>773</v>
      </c>
      <c r="J373" t="s">
        <v>774</v>
      </c>
      <c r="K373" s="3">
        <v>46276</v>
      </c>
      <c r="L373" t="s">
        <v>775</v>
      </c>
      <c r="M373">
        <v>2.1000000000000001E-2</v>
      </c>
      <c r="N373">
        <v>4050</v>
      </c>
      <c r="O373">
        <f t="shared" si="15"/>
        <v>0.126</v>
      </c>
      <c r="P373">
        <f t="shared" si="16"/>
        <v>1.4814814814814814E-3</v>
      </c>
      <c r="Q373" t="str">
        <f t="shared" si="17"/>
        <v>Q26-03</v>
      </c>
    </row>
    <row r="374" spans="1:17" x14ac:dyDescent="0.25">
      <c r="A374" t="s">
        <v>61</v>
      </c>
      <c r="B374" t="s">
        <v>456</v>
      </c>
      <c r="C374" t="s">
        <v>457</v>
      </c>
      <c r="D374" t="s">
        <v>180</v>
      </c>
      <c r="E374" t="s">
        <v>776</v>
      </c>
      <c r="F374" s="1">
        <v>10</v>
      </c>
      <c r="G374" s="1">
        <v>0</v>
      </c>
      <c r="H374" t="s">
        <v>17</v>
      </c>
      <c r="I374" t="s">
        <v>459</v>
      </c>
      <c r="J374" t="s">
        <v>777</v>
      </c>
      <c r="K374" s="3">
        <v>46264</v>
      </c>
      <c r="L374" t="s">
        <v>778</v>
      </c>
      <c r="M374">
        <v>0.22600000000000001</v>
      </c>
      <c r="N374">
        <v>1680</v>
      </c>
      <c r="O374">
        <f t="shared" si="15"/>
        <v>2.2600000000000002</v>
      </c>
      <c r="P374">
        <f t="shared" si="16"/>
        <v>5.9523809523809521E-3</v>
      </c>
      <c r="Q374" t="str">
        <f t="shared" si="17"/>
        <v>Q27-03</v>
      </c>
    </row>
    <row r="375" spans="1:17" x14ac:dyDescent="0.25">
      <c r="A375" t="s">
        <v>61</v>
      </c>
      <c r="B375" t="s">
        <v>456</v>
      </c>
      <c r="C375" t="s">
        <v>457</v>
      </c>
      <c r="D375" t="s">
        <v>198</v>
      </c>
      <c r="E375" t="s">
        <v>779</v>
      </c>
      <c r="F375" s="1">
        <v>11</v>
      </c>
      <c r="G375" s="1">
        <v>0</v>
      </c>
      <c r="H375" t="s">
        <v>17</v>
      </c>
      <c r="I375" t="s">
        <v>459</v>
      </c>
      <c r="J375" t="s">
        <v>777</v>
      </c>
      <c r="K375" s="3">
        <v>46264</v>
      </c>
      <c r="L375" t="s">
        <v>778</v>
      </c>
      <c r="M375">
        <v>0.22600000000000001</v>
      </c>
      <c r="N375">
        <v>1680</v>
      </c>
      <c r="O375">
        <f t="shared" si="15"/>
        <v>2.4860000000000002</v>
      </c>
      <c r="P375">
        <f t="shared" si="16"/>
        <v>6.5476190476190478E-3</v>
      </c>
      <c r="Q375" t="str">
        <f t="shared" si="17"/>
        <v>Q27-03</v>
      </c>
    </row>
    <row r="376" spans="1:17" x14ac:dyDescent="0.25">
      <c r="A376" t="s">
        <v>12</v>
      </c>
      <c r="B376" t="s">
        <v>750</v>
      </c>
      <c r="C376" t="s">
        <v>751</v>
      </c>
      <c r="D376" t="s">
        <v>57</v>
      </c>
      <c r="E376" t="s">
        <v>780</v>
      </c>
      <c r="F376" s="1">
        <v>1</v>
      </c>
      <c r="G376" s="1">
        <v>0</v>
      </c>
      <c r="H376" t="s">
        <v>17</v>
      </c>
      <c r="I376" t="s">
        <v>753</v>
      </c>
      <c r="J376" t="s">
        <v>781</v>
      </c>
      <c r="K376" s="3">
        <v>46501</v>
      </c>
      <c r="L376" t="s">
        <v>755</v>
      </c>
      <c r="M376">
        <v>3.5999999999999997E-2</v>
      </c>
      <c r="N376">
        <v>5280</v>
      </c>
      <c r="O376">
        <f t="shared" si="15"/>
        <v>3.5999999999999997E-2</v>
      </c>
      <c r="P376">
        <f t="shared" si="16"/>
        <v>1.8939393939393939E-4</v>
      </c>
      <c r="Q376" t="str">
        <f t="shared" si="17"/>
        <v>Q26-03</v>
      </c>
    </row>
    <row r="377" spans="1:17" x14ac:dyDescent="0.25">
      <c r="A377" t="s">
        <v>12</v>
      </c>
      <c r="B377" t="s">
        <v>750</v>
      </c>
      <c r="C377" t="s">
        <v>751</v>
      </c>
      <c r="D377" t="s">
        <v>57</v>
      </c>
      <c r="E377" t="s">
        <v>782</v>
      </c>
      <c r="F377" s="1">
        <v>2</v>
      </c>
      <c r="G377" s="1">
        <v>0</v>
      </c>
      <c r="H377" t="s">
        <v>17</v>
      </c>
      <c r="I377" t="s">
        <v>753</v>
      </c>
      <c r="J377" t="s">
        <v>783</v>
      </c>
      <c r="K377" s="3">
        <v>46501</v>
      </c>
      <c r="L377" t="s">
        <v>755</v>
      </c>
      <c r="M377">
        <v>3.5999999999999997E-2</v>
      </c>
      <c r="N377">
        <v>5280</v>
      </c>
      <c r="O377">
        <f t="shared" si="15"/>
        <v>7.1999999999999995E-2</v>
      </c>
      <c r="P377">
        <f t="shared" si="16"/>
        <v>3.7878787878787879E-4</v>
      </c>
      <c r="Q377" t="str">
        <f t="shared" si="17"/>
        <v>Q26-03</v>
      </c>
    </row>
    <row r="378" spans="1:17" x14ac:dyDescent="0.25">
      <c r="A378" t="s">
        <v>12</v>
      </c>
      <c r="B378" t="s">
        <v>24</v>
      </c>
      <c r="C378" t="s">
        <v>25</v>
      </c>
      <c r="D378" t="s">
        <v>26</v>
      </c>
      <c r="E378" t="s">
        <v>784</v>
      </c>
      <c r="F378" s="1">
        <v>5</v>
      </c>
      <c r="G378" s="1">
        <v>0</v>
      </c>
      <c r="H378" t="s">
        <v>17</v>
      </c>
      <c r="I378" t="s">
        <v>28</v>
      </c>
      <c r="J378" t="s">
        <v>785</v>
      </c>
      <c r="K378" s="3">
        <v>47105</v>
      </c>
      <c r="L378" t="s">
        <v>786</v>
      </c>
      <c r="M378">
        <v>2.9000000000000001E-2</v>
      </c>
      <c r="N378">
        <v>2880</v>
      </c>
      <c r="O378">
        <f t="shared" si="15"/>
        <v>0.14500000000000002</v>
      </c>
      <c r="P378">
        <f t="shared" si="16"/>
        <v>1.736111111111111E-3</v>
      </c>
      <c r="Q378" t="str">
        <f t="shared" si="17"/>
        <v>Q26-03</v>
      </c>
    </row>
    <row r="379" spans="1:17" x14ac:dyDescent="0.25">
      <c r="A379" t="s">
        <v>61</v>
      </c>
      <c r="B379" t="s">
        <v>219</v>
      </c>
      <c r="C379" t="s">
        <v>220</v>
      </c>
      <c r="D379" t="s">
        <v>336</v>
      </c>
      <c r="E379" t="s">
        <v>787</v>
      </c>
      <c r="F379" s="1">
        <v>12</v>
      </c>
      <c r="G379" s="1">
        <v>0</v>
      </c>
      <c r="H379" t="s">
        <v>17</v>
      </c>
      <c r="I379" t="s">
        <v>222</v>
      </c>
      <c r="J379" t="s">
        <v>788</v>
      </c>
      <c r="K379" s="3">
        <v>46234</v>
      </c>
      <c r="L379" t="s">
        <v>789</v>
      </c>
      <c r="M379">
        <v>0.3</v>
      </c>
      <c r="N379">
        <v>1680</v>
      </c>
      <c r="O379">
        <f t="shared" si="15"/>
        <v>3.5999999999999996</v>
      </c>
      <c r="P379">
        <f t="shared" si="16"/>
        <v>7.1428571428571426E-3</v>
      </c>
      <c r="Q379" t="str">
        <f t="shared" si="17"/>
        <v>Q27-03</v>
      </c>
    </row>
    <row r="380" spans="1:17" x14ac:dyDescent="0.25">
      <c r="A380" t="s">
        <v>61</v>
      </c>
      <c r="B380" t="s">
        <v>219</v>
      </c>
      <c r="C380" t="s">
        <v>220</v>
      </c>
      <c r="D380" t="s">
        <v>336</v>
      </c>
      <c r="E380" t="s">
        <v>790</v>
      </c>
      <c r="F380" s="1">
        <v>22</v>
      </c>
      <c r="G380" s="1">
        <v>0</v>
      </c>
      <c r="H380" t="s">
        <v>17</v>
      </c>
      <c r="I380" t="s">
        <v>222</v>
      </c>
      <c r="J380" t="s">
        <v>788</v>
      </c>
      <c r="K380" s="3">
        <v>46234</v>
      </c>
      <c r="L380" t="s">
        <v>789</v>
      </c>
      <c r="M380">
        <v>0.3</v>
      </c>
      <c r="N380">
        <v>1680</v>
      </c>
      <c r="O380">
        <f t="shared" si="15"/>
        <v>6.6</v>
      </c>
      <c r="P380">
        <f t="shared" si="16"/>
        <v>1.3095238095238096E-2</v>
      </c>
      <c r="Q380" t="str">
        <f t="shared" si="17"/>
        <v>Q27-03</v>
      </c>
    </row>
    <row r="381" spans="1:17" x14ac:dyDescent="0.25">
      <c r="A381" t="s">
        <v>61</v>
      </c>
      <c r="B381" t="s">
        <v>456</v>
      </c>
      <c r="C381" t="s">
        <v>457</v>
      </c>
      <c r="D381" t="s">
        <v>180</v>
      </c>
      <c r="E381" t="s">
        <v>791</v>
      </c>
      <c r="F381" s="1">
        <v>7</v>
      </c>
      <c r="G381" s="1">
        <v>0</v>
      </c>
      <c r="H381" t="s">
        <v>17</v>
      </c>
      <c r="I381" t="s">
        <v>459</v>
      </c>
      <c r="J381" t="s">
        <v>788</v>
      </c>
      <c r="K381" s="3">
        <v>46203</v>
      </c>
      <c r="L381" t="s">
        <v>792</v>
      </c>
      <c r="M381">
        <v>0.22600000000000001</v>
      </c>
      <c r="N381">
        <v>1680</v>
      </c>
      <c r="O381">
        <f t="shared" si="15"/>
        <v>1.5820000000000001</v>
      </c>
      <c r="P381">
        <f t="shared" si="16"/>
        <v>4.1666666666666666E-3</v>
      </c>
      <c r="Q381" t="str">
        <f t="shared" si="17"/>
        <v>Q27-03</v>
      </c>
    </row>
    <row r="382" spans="1:17" x14ac:dyDescent="0.25">
      <c r="A382" t="s">
        <v>61</v>
      </c>
      <c r="B382" t="s">
        <v>456</v>
      </c>
      <c r="C382" t="s">
        <v>457</v>
      </c>
      <c r="D382" t="s">
        <v>336</v>
      </c>
      <c r="E382" t="s">
        <v>793</v>
      </c>
      <c r="F382" s="1">
        <v>1</v>
      </c>
      <c r="G382" s="1">
        <v>0</v>
      </c>
      <c r="H382" t="s">
        <v>17</v>
      </c>
      <c r="I382" t="s">
        <v>459</v>
      </c>
      <c r="J382" t="s">
        <v>788</v>
      </c>
      <c r="K382" s="3">
        <v>46203</v>
      </c>
      <c r="L382" t="s">
        <v>792</v>
      </c>
      <c r="M382">
        <v>0.22600000000000001</v>
      </c>
      <c r="N382">
        <v>1680</v>
      </c>
      <c r="O382">
        <f t="shared" si="15"/>
        <v>0.22600000000000001</v>
      </c>
      <c r="P382">
        <f t="shared" si="16"/>
        <v>5.9523809523809529E-4</v>
      </c>
      <c r="Q382" t="str">
        <f t="shared" si="17"/>
        <v>Q27-03</v>
      </c>
    </row>
    <row r="383" spans="1:17" x14ac:dyDescent="0.25">
      <c r="A383" t="s">
        <v>61</v>
      </c>
      <c r="B383" t="s">
        <v>456</v>
      </c>
      <c r="C383" t="s">
        <v>457</v>
      </c>
      <c r="D383" t="s">
        <v>336</v>
      </c>
      <c r="E383" t="s">
        <v>794</v>
      </c>
      <c r="F383" s="1">
        <v>1</v>
      </c>
      <c r="G383" s="1">
        <v>0</v>
      </c>
      <c r="H383" t="s">
        <v>17</v>
      </c>
      <c r="I383" t="s">
        <v>459</v>
      </c>
      <c r="J383" t="s">
        <v>788</v>
      </c>
      <c r="K383" s="3">
        <v>46203</v>
      </c>
      <c r="L383" t="s">
        <v>792</v>
      </c>
      <c r="M383">
        <v>0.22600000000000001</v>
      </c>
      <c r="N383">
        <v>1680</v>
      </c>
      <c r="O383">
        <f t="shared" si="15"/>
        <v>0.22600000000000001</v>
      </c>
      <c r="P383">
        <f t="shared" si="16"/>
        <v>5.9523809523809529E-4</v>
      </c>
      <c r="Q383" t="str">
        <f t="shared" si="17"/>
        <v>Q27-03</v>
      </c>
    </row>
    <row r="384" spans="1:17" x14ac:dyDescent="0.25">
      <c r="A384" t="s">
        <v>61</v>
      </c>
      <c r="B384" t="s">
        <v>456</v>
      </c>
      <c r="C384" t="s">
        <v>457</v>
      </c>
      <c r="D384" t="s">
        <v>336</v>
      </c>
      <c r="E384" t="s">
        <v>795</v>
      </c>
      <c r="F384" s="1">
        <v>15</v>
      </c>
      <c r="G384" s="1">
        <v>0</v>
      </c>
      <c r="H384" t="s">
        <v>17</v>
      </c>
      <c r="I384" t="s">
        <v>459</v>
      </c>
      <c r="J384" t="s">
        <v>788</v>
      </c>
      <c r="K384" s="3">
        <v>46203</v>
      </c>
      <c r="L384" t="s">
        <v>623</v>
      </c>
      <c r="M384">
        <v>0.22600000000000001</v>
      </c>
      <c r="N384">
        <v>1680</v>
      </c>
      <c r="O384">
        <f t="shared" si="15"/>
        <v>3.39</v>
      </c>
      <c r="P384">
        <f t="shared" si="16"/>
        <v>8.9285714285714281E-3</v>
      </c>
      <c r="Q384" t="str">
        <f t="shared" si="17"/>
        <v>Q27-03</v>
      </c>
    </row>
    <row r="385" spans="1:17" x14ac:dyDescent="0.25">
      <c r="A385" t="s">
        <v>61</v>
      </c>
      <c r="B385" t="s">
        <v>796</v>
      </c>
      <c r="C385" t="s">
        <v>797</v>
      </c>
      <c r="D385" t="s">
        <v>73</v>
      </c>
      <c r="E385" t="s">
        <v>798</v>
      </c>
      <c r="F385" s="1">
        <v>1</v>
      </c>
      <c r="G385" s="1">
        <v>0</v>
      </c>
      <c r="H385" t="s">
        <v>17</v>
      </c>
      <c r="I385" t="s">
        <v>799</v>
      </c>
      <c r="J385" t="s">
        <v>788</v>
      </c>
      <c r="K385" s="3">
        <v>46203</v>
      </c>
      <c r="L385" t="s">
        <v>800</v>
      </c>
      <c r="M385">
        <v>0.10199999999999999</v>
      </c>
      <c r="N385">
        <v>2880</v>
      </c>
      <c r="O385">
        <f t="shared" si="15"/>
        <v>0.10199999999999999</v>
      </c>
      <c r="P385">
        <f t="shared" si="16"/>
        <v>3.4722222222222224E-4</v>
      </c>
      <c r="Q385" t="str">
        <f t="shared" si="17"/>
        <v>Q26-01</v>
      </c>
    </row>
    <row r="386" spans="1:17" x14ac:dyDescent="0.25">
      <c r="A386" t="s">
        <v>12</v>
      </c>
      <c r="B386" t="s">
        <v>463</v>
      </c>
      <c r="C386" t="s">
        <v>464</v>
      </c>
      <c r="D386" t="s">
        <v>26</v>
      </c>
      <c r="E386" t="s">
        <v>801</v>
      </c>
      <c r="F386" s="1">
        <v>1</v>
      </c>
      <c r="G386" s="1">
        <v>0</v>
      </c>
      <c r="H386" t="s">
        <v>17</v>
      </c>
      <c r="I386" t="s">
        <v>466</v>
      </c>
      <c r="J386" t="s">
        <v>802</v>
      </c>
      <c r="K386" s="3">
        <v>46616</v>
      </c>
      <c r="L386" t="s">
        <v>468</v>
      </c>
      <c r="M386">
        <v>2.3E-2</v>
      </c>
      <c r="N386">
        <v>1920</v>
      </c>
      <c r="O386">
        <f t="shared" si="15"/>
        <v>2.3E-2</v>
      </c>
      <c r="P386">
        <f t="shared" si="16"/>
        <v>5.2083333333333333E-4</v>
      </c>
      <c r="Q386" t="str">
        <f t="shared" si="17"/>
        <v>Q26-03</v>
      </c>
    </row>
    <row r="387" spans="1:17" x14ac:dyDescent="0.25">
      <c r="A387" t="s">
        <v>12</v>
      </c>
      <c r="B387" t="s">
        <v>803</v>
      </c>
      <c r="C387" t="s">
        <v>804</v>
      </c>
      <c r="D387" t="s">
        <v>805</v>
      </c>
      <c r="E387" t="s">
        <v>806</v>
      </c>
      <c r="F387" s="1">
        <v>3</v>
      </c>
      <c r="G387" s="1">
        <v>0</v>
      </c>
      <c r="H387" t="s">
        <v>17</v>
      </c>
      <c r="I387" t="s">
        <v>84</v>
      </c>
      <c r="J387" t="s">
        <v>90</v>
      </c>
      <c r="K387" s="3">
        <v>46784</v>
      </c>
      <c r="L387" t="s">
        <v>807</v>
      </c>
      <c r="M387">
        <v>0.46800000000000003</v>
      </c>
      <c r="N387">
        <v>576</v>
      </c>
      <c r="O387">
        <f t="shared" ref="O387:O450" si="18">F387*M387</f>
        <v>1.4040000000000001</v>
      </c>
      <c r="P387">
        <f t="shared" ref="P387:P450" si="19">F387/N387</f>
        <v>5.208333333333333E-3</v>
      </c>
      <c r="Q387" t="str">
        <f t="shared" ref="Q387:Q450" si="20">LEFT(D387,6)</f>
        <v>Q27-03</v>
      </c>
    </row>
    <row r="388" spans="1:17" x14ac:dyDescent="0.25">
      <c r="A388" t="s">
        <v>12</v>
      </c>
      <c r="B388" t="s">
        <v>750</v>
      </c>
      <c r="C388" t="s">
        <v>751</v>
      </c>
      <c r="D388" t="s">
        <v>441</v>
      </c>
      <c r="E388" t="s">
        <v>808</v>
      </c>
      <c r="F388" s="1">
        <v>1</v>
      </c>
      <c r="G388" s="1">
        <v>0</v>
      </c>
      <c r="H388" t="s">
        <v>17</v>
      </c>
      <c r="I388" t="s">
        <v>753</v>
      </c>
      <c r="J388" t="s">
        <v>809</v>
      </c>
      <c r="K388" s="3">
        <v>46501</v>
      </c>
      <c r="L388" t="s">
        <v>755</v>
      </c>
      <c r="M388">
        <v>3.5999999999999997E-2</v>
      </c>
      <c r="N388">
        <v>5280</v>
      </c>
      <c r="O388">
        <f t="shared" si="18"/>
        <v>3.5999999999999997E-2</v>
      </c>
      <c r="P388">
        <f t="shared" si="19"/>
        <v>1.8939393939393939E-4</v>
      </c>
      <c r="Q388" t="str">
        <f t="shared" si="20"/>
        <v>Q26-03</v>
      </c>
    </row>
    <row r="389" spans="1:17" x14ac:dyDescent="0.25">
      <c r="A389" t="s">
        <v>12</v>
      </c>
      <c r="B389" t="s">
        <v>810</v>
      </c>
      <c r="C389" t="s">
        <v>811</v>
      </c>
      <c r="D389" t="s">
        <v>407</v>
      </c>
      <c r="E389" t="s">
        <v>812</v>
      </c>
      <c r="F389" s="1">
        <v>1</v>
      </c>
      <c r="G389" s="1">
        <v>0</v>
      </c>
      <c r="H389" t="s">
        <v>17</v>
      </c>
      <c r="I389" t="s">
        <v>813</v>
      </c>
      <c r="J389" t="s">
        <v>814</v>
      </c>
      <c r="K389" s="3">
        <v>46234</v>
      </c>
      <c r="L389" t="s">
        <v>815</v>
      </c>
      <c r="M389">
        <v>0</v>
      </c>
      <c r="N389">
        <v>3000</v>
      </c>
      <c r="O389">
        <f t="shared" si="18"/>
        <v>0</v>
      </c>
      <c r="P389">
        <f t="shared" si="19"/>
        <v>3.3333333333333332E-4</v>
      </c>
      <c r="Q389" t="str">
        <f t="shared" si="20"/>
        <v>Q27-01</v>
      </c>
    </row>
    <row r="390" spans="1:17" x14ac:dyDescent="0.25">
      <c r="A390" t="s">
        <v>385</v>
      </c>
      <c r="B390" t="s">
        <v>644</v>
      </c>
      <c r="C390" t="s">
        <v>645</v>
      </c>
      <c r="D390" t="s">
        <v>388</v>
      </c>
      <c r="E390" t="s">
        <v>816</v>
      </c>
      <c r="F390" s="1">
        <v>4</v>
      </c>
      <c r="G390" s="1">
        <v>0</v>
      </c>
      <c r="H390" t="s">
        <v>17</v>
      </c>
      <c r="I390" t="s">
        <v>647</v>
      </c>
      <c r="J390" t="s">
        <v>817</v>
      </c>
      <c r="K390" s="3">
        <v>46297</v>
      </c>
      <c r="L390" t="s">
        <v>818</v>
      </c>
      <c r="M390">
        <v>9.4E-2</v>
      </c>
      <c r="N390">
        <v>2475</v>
      </c>
      <c r="O390">
        <f t="shared" si="18"/>
        <v>0.376</v>
      </c>
      <c r="P390">
        <f t="shared" si="19"/>
        <v>1.6161616161616162E-3</v>
      </c>
      <c r="Q390" t="str">
        <f t="shared" si="20"/>
        <v>Q26-03</v>
      </c>
    </row>
    <row r="391" spans="1:17" x14ac:dyDescent="0.25">
      <c r="A391" t="s">
        <v>385</v>
      </c>
      <c r="B391" t="s">
        <v>644</v>
      </c>
      <c r="C391" t="s">
        <v>645</v>
      </c>
      <c r="D391" t="s">
        <v>388</v>
      </c>
      <c r="E391" t="s">
        <v>819</v>
      </c>
      <c r="F391" s="1">
        <v>36</v>
      </c>
      <c r="G391" s="1">
        <v>0</v>
      </c>
      <c r="H391" t="s">
        <v>17</v>
      </c>
      <c r="I391" t="s">
        <v>647</v>
      </c>
      <c r="J391" t="s">
        <v>817</v>
      </c>
      <c r="K391" s="3">
        <v>46297</v>
      </c>
      <c r="L391" t="s">
        <v>818</v>
      </c>
      <c r="M391">
        <v>9.4E-2</v>
      </c>
      <c r="N391">
        <v>2475</v>
      </c>
      <c r="O391">
        <f t="shared" si="18"/>
        <v>3.3839999999999999</v>
      </c>
      <c r="P391">
        <f t="shared" si="19"/>
        <v>1.4545454545454545E-2</v>
      </c>
      <c r="Q391" t="str">
        <f t="shared" si="20"/>
        <v>Q26-03</v>
      </c>
    </row>
    <row r="392" spans="1:17" x14ac:dyDescent="0.25">
      <c r="A392" t="s">
        <v>385</v>
      </c>
      <c r="B392" t="s">
        <v>644</v>
      </c>
      <c r="C392" t="s">
        <v>645</v>
      </c>
      <c r="D392" t="s">
        <v>388</v>
      </c>
      <c r="E392" t="s">
        <v>820</v>
      </c>
      <c r="F392" s="1">
        <v>9</v>
      </c>
      <c r="G392" s="1">
        <v>0</v>
      </c>
      <c r="H392" t="s">
        <v>17</v>
      </c>
      <c r="I392" t="s">
        <v>647</v>
      </c>
      <c r="J392" t="s">
        <v>821</v>
      </c>
      <c r="K392" s="3">
        <v>46298</v>
      </c>
      <c r="L392" t="s">
        <v>822</v>
      </c>
      <c r="M392">
        <v>9.4E-2</v>
      </c>
      <c r="N392">
        <v>2475</v>
      </c>
      <c r="O392">
        <f t="shared" si="18"/>
        <v>0.84599999999999997</v>
      </c>
      <c r="P392">
        <f t="shared" si="19"/>
        <v>3.6363636363636364E-3</v>
      </c>
      <c r="Q392" t="str">
        <f t="shared" si="20"/>
        <v>Q26-03</v>
      </c>
    </row>
    <row r="393" spans="1:17" x14ac:dyDescent="0.25">
      <c r="A393" t="s">
        <v>385</v>
      </c>
      <c r="B393" t="s">
        <v>644</v>
      </c>
      <c r="C393" t="s">
        <v>645</v>
      </c>
      <c r="D393" t="s">
        <v>388</v>
      </c>
      <c r="E393" t="s">
        <v>823</v>
      </c>
      <c r="F393" s="1">
        <v>40</v>
      </c>
      <c r="G393" s="1">
        <v>0</v>
      </c>
      <c r="H393" t="s">
        <v>17</v>
      </c>
      <c r="I393" t="s">
        <v>647</v>
      </c>
      <c r="J393" t="s">
        <v>821</v>
      </c>
      <c r="K393" s="3">
        <v>46298</v>
      </c>
      <c r="L393" t="s">
        <v>822</v>
      </c>
      <c r="M393">
        <v>9.4E-2</v>
      </c>
      <c r="N393">
        <v>2475</v>
      </c>
      <c r="O393">
        <f t="shared" si="18"/>
        <v>3.76</v>
      </c>
      <c r="P393">
        <f t="shared" si="19"/>
        <v>1.6161616161616162E-2</v>
      </c>
      <c r="Q393" t="str">
        <f t="shared" si="20"/>
        <v>Q26-03</v>
      </c>
    </row>
    <row r="394" spans="1:17" x14ac:dyDescent="0.25">
      <c r="A394" t="s">
        <v>385</v>
      </c>
      <c r="B394" t="s">
        <v>644</v>
      </c>
      <c r="C394" t="s">
        <v>645</v>
      </c>
      <c r="D394" t="s">
        <v>388</v>
      </c>
      <c r="E394" t="s">
        <v>824</v>
      </c>
      <c r="F394" s="1">
        <v>8</v>
      </c>
      <c r="G394" s="1">
        <v>0</v>
      </c>
      <c r="H394" t="s">
        <v>17</v>
      </c>
      <c r="I394" t="s">
        <v>647</v>
      </c>
      <c r="J394" t="s">
        <v>821</v>
      </c>
      <c r="K394" s="3">
        <v>46298</v>
      </c>
      <c r="L394" t="s">
        <v>822</v>
      </c>
      <c r="M394">
        <v>9.4E-2</v>
      </c>
      <c r="N394">
        <v>2475</v>
      </c>
      <c r="O394">
        <f t="shared" si="18"/>
        <v>0.752</v>
      </c>
      <c r="P394">
        <f t="shared" si="19"/>
        <v>3.2323232323232323E-3</v>
      </c>
      <c r="Q394" t="str">
        <f t="shared" si="20"/>
        <v>Q26-03</v>
      </c>
    </row>
    <row r="395" spans="1:17" x14ac:dyDescent="0.25">
      <c r="A395" t="s">
        <v>385</v>
      </c>
      <c r="B395" t="s">
        <v>644</v>
      </c>
      <c r="C395" t="s">
        <v>645</v>
      </c>
      <c r="D395" t="s">
        <v>388</v>
      </c>
      <c r="E395" t="s">
        <v>825</v>
      </c>
      <c r="F395" s="1">
        <v>9</v>
      </c>
      <c r="G395" s="1">
        <v>0</v>
      </c>
      <c r="H395" t="s">
        <v>17</v>
      </c>
      <c r="I395" t="s">
        <v>647</v>
      </c>
      <c r="J395" t="s">
        <v>826</v>
      </c>
      <c r="K395" s="3">
        <v>46302</v>
      </c>
      <c r="L395" t="s">
        <v>827</v>
      </c>
      <c r="M395">
        <v>9.4E-2</v>
      </c>
      <c r="N395">
        <v>2475</v>
      </c>
      <c r="O395">
        <f t="shared" si="18"/>
        <v>0.84599999999999997</v>
      </c>
      <c r="P395">
        <f t="shared" si="19"/>
        <v>3.6363636363636364E-3</v>
      </c>
      <c r="Q395" t="str">
        <f t="shared" si="20"/>
        <v>Q26-03</v>
      </c>
    </row>
    <row r="396" spans="1:17" x14ac:dyDescent="0.25">
      <c r="A396" t="s">
        <v>61</v>
      </c>
      <c r="B396" t="s">
        <v>166</v>
      </c>
      <c r="C396" t="s">
        <v>167</v>
      </c>
      <c r="D396" t="s">
        <v>73</v>
      </c>
      <c r="E396" t="s">
        <v>828</v>
      </c>
      <c r="F396" s="1">
        <v>1</v>
      </c>
      <c r="G396" s="1">
        <v>0</v>
      </c>
      <c r="H396" t="s">
        <v>17</v>
      </c>
      <c r="I396" t="s">
        <v>170</v>
      </c>
      <c r="J396" t="s">
        <v>829</v>
      </c>
      <c r="K396" s="3">
        <v>46173</v>
      </c>
      <c r="L396" t="s">
        <v>179</v>
      </c>
      <c r="M396">
        <v>9.2999999999999999E-2</v>
      </c>
      <c r="N396">
        <v>1536</v>
      </c>
      <c r="O396">
        <f t="shared" si="18"/>
        <v>9.2999999999999999E-2</v>
      </c>
      <c r="P396">
        <f t="shared" si="19"/>
        <v>6.5104166666666663E-4</v>
      </c>
      <c r="Q396" t="str">
        <f t="shared" si="20"/>
        <v>Q26-01</v>
      </c>
    </row>
    <row r="397" spans="1:17" x14ac:dyDescent="0.25">
      <c r="A397" t="s">
        <v>12</v>
      </c>
      <c r="B397" t="s">
        <v>830</v>
      </c>
      <c r="C397" t="s">
        <v>831</v>
      </c>
      <c r="D397" t="s">
        <v>77</v>
      </c>
      <c r="E397" t="s">
        <v>832</v>
      </c>
      <c r="F397" s="1">
        <v>12</v>
      </c>
      <c r="G397" s="1">
        <v>0</v>
      </c>
      <c r="H397" t="s">
        <v>17</v>
      </c>
      <c r="I397" t="s">
        <v>833</v>
      </c>
      <c r="J397" t="s">
        <v>834</v>
      </c>
      <c r="K397" s="3">
        <v>46022</v>
      </c>
      <c r="L397" t="s">
        <v>835</v>
      </c>
      <c r="M397">
        <v>0.04</v>
      </c>
      <c r="N397">
        <v>3120</v>
      </c>
      <c r="O397">
        <f t="shared" si="18"/>
        <v>0.48</v>
      </c>
      <c r="P397">
        <f t="shared" si="19"/>
        <v>3.8461538461538464E-3</v>
      </c>
      <c r="Q397" t="str">
        <f t="shared" si="20"/>
        <v>Q27-01</v>
      </c>
    </row>
    <row r="398" spans="1:17" x14ac:dyDescent="0.25">
      <c r="A398" t="s">
        <v>385</v>
      </c>
      <c r="B398" t="s">
        <v>644</v>
      </c>
      <c r="C398" t="s">
        <v>645</v>
      </c>
      <c r="D398" t="s">
        <v>388</v>
      </c>
      <c r="E398" t="s">
        <v>836</v>
      </c>
      <c r="F398" s="1">
        <v>2</v>
      </c>
      <c r="G398" s="1">
        <v>0</v>
      </c>
      <c r="H398" t="s">
        <v>17</v>
      </c>
      <c r="I398" t="s">
        <v>647</v>
      </c>
      <c r="J398" t="s">
        <v>837</v>
      </c>
      <c r="K398" s="3">
        <v>46303</v>
      </c>
      <c r="L398" t="s">
        <v>838</v>
      </c>
      <c r="M398">
        <v>9.4E-2</v>
      </c>
      <c r="N398">
        <v>2475</v>
      </c>
      <c r="O398">
        <f t="shared" si="18"/>
        <v>0.188</v>
      </c>
      <c r="P398">
        <f t="shared" si="19"/>
        <v>8.0808080808080808E-4</v>
      </c>
      <c r="Q398" t="str">
        <f t="shared" si="20"/>
        <v>Q26-03</v>
      </c>
    </row>
    <row r="399" spans="1:17" x14ac:dyDescent="0.25">
      <c r="A399" t="s">
        <v>385</v>
      </c>
      <c r="B399" t="s">
        <v>644</v>
      </c>
      <c r="C399" t="s">
        <v>645</v>
      </c>
      <c r="D399" t="s">
        <v>388</v>
      </c>
      <c r="E399" t="s">
        <v>839</v>
      </c>
      <c r="F399" s="1">
        <v>8</v>
      </c>
      <c r="G399" s="1">
        <v>0</v>
      </c>
      <c r="H399" t="s">
        <v>17</v>
      </c>
      <c r="I399" t="s">
        <v>647</v>
      </c>
      <c r="J399" t="s">
        <v>837</v>
      </c>
      <c r="K399" s="3">
        <v>46303</v>
      </c>
      <c r="L399" t="s">
        <v>838</v>
      </c>
      <c r="M399">
        <v>9.4E-2</v>
      </c>
      <c r="N399">
        <v>2475</v>
      </c>
      <c r="O399">
        <f t="shared" si="18"/>
        <v>0.752</v>
      </c>
      <c r="P399">
        <f t="shared" si="19"/>
        <v>3.2323232323232323E-3</v>
      </c>
      <c r="Q399" t="str">
        <f t="shared" si="20"/>
        <v>Q26-03</v>
      </c>
    </row>
    <row r="400" spans="1:17" x14ac:dyDescent="0.25">
      <c r="A400" t="s">
        <v>12</v>
      </c>
      <c r="B400" t="s">
        <v>750</v>
      </c>
      <c r="C400" t="s">
        <v>751</v>
      </c>
      <c r="D400" t="s">
        <v>57</v>
      </c>
      <c r="E400" t="s">
        <v>840</v>
      </c>
      <c r="F400" s="1">
        <v>2</v>
      </c>
      <c r="G400" s="1">
        <v>0</v>
      </c>
      <c r="H400" t="s">
        <v>17</v>
      </c>
      <c r="I400" t="s">
        <v>753</v>
      </c>
      <c r="J400" t="s">
        <v>841</v>
      </c>
      <c r="K400" s="3">
        <v>46501</v>
      </c>
      <c r="L400" t="s">
        <v>755</v>
      </c>
      <c r="M400">
        <v>3.5999999999999997E-2</v>
      </c>
      <c r="N400">
        <v>5280</v>
      </c>
      <c r="O400">
        <f t="shared" si="18"/>
        <v>7.1999999999999995E-2</v>
      </c>
      <c r="P400">
        <f t="shared" si="19"/>
        <v>3.7878787878787879E-4</v>
      </c>
      <c r="Q400" t="str">
        <f t="shared" si="20"/>
        <v>Q26-03</v>
      </c>
    </row>
    <row r="401" spans="1:17" x14ac:dyDescent="0.25">
      <c r="A401" t="s">
        <v>385</v>
      </c>
      <c r="B401" t="s">
        <v>644</v>
      </c>
      <c r="C401" t="s">
        <v>645</v>
      </c>
      <c r="D401" t="s">
        <v>388</v>
      </c>
      <c r="E401" t="s">
        <v>842</v>
      </c>
      <c r="F401" s="1">
        <v>12</v>
      </c>
      <c r="G401" s="1">
        <v>0</v>
      </c>
      <c r="H401" t="s">
        <v>17</v>
      </c>
      <c r="I401" t="s">
        <v>647</v>
      </c>
      <c r="J401" t="s">
        <v>843</v>
      </c>
      <c r="K401" s="3">
        <v>46316</v>
      </c>
      <c r="L401" t="s">
        <v>844</v>
      </c>
      <c r="M401">
        <v>9.4E-2</v>
      </c>
      <c r="N401">
        <v>2475</v>
      </c>
      <c r="O401">
        <f t="shared" si="18"/>
        <v>1.1280000000000001</v>
      </c>
      <c r="P401">
        <f t="shared" si="19"/>
        <v>4.8484848484848485E-3</v>
      </c>
      <c r="Q401" t="str">
        <f t="shared" si="20"/>
        <v>Q26-03</v>
      </c>
    </row>
    <row r="402" spans="1:17" x14ac:dyDescent="0.25">
      <c r="A402" t="s">
        <v>385</v>
      </c>
      <c r="B402" t="s">
        <v>644</v>
      </c>
      <c r="C402" t="s">
        <v>645</v>
      </c>
      <c r="D402" t="s">
        <v>388</v>
      </c>
      <c r="E402" t="s">
        <v>845</v>
      </c>
      <c r="F402" s="1">
        <v>2</v>
      </c>
      <c r="G402" s="1">
        <v>0</v>
      </c>
      <c r="H402" t="s">
        <v>17</v>
      </c>
      <c r="I402" t="s">
        <v>647</v>
      </c>
      <c r="J402" t="s">
        <v>843</v>
      </c>
      <c r="K402" s="3">
        <v>46316</v>
      </c>
      <c r="L402" t="s">
        <v>844</v>
      </c>
      <c r="M402">
        <v>9.4E-2</v>
      </c>
      <c r="N402">
        <v>2475</v>
      </c>
      <c r="O402">
        <f t="shared" si="18"/>
        <v>0.188</v>
      </c>
      <c r="P402">
        <f t="shared" si="19"/>
        <v>8.0808080808080808E-4</v>
      </c>
      <c r="Q402" t="str">
        <f t="shared" si="20"/>
        <v>Q26-03</v>
      </c>
    </row>
    <row r="403" spans="1:17" x14ac:dyDescent="0.25">
      <c r="A403" t="s">
        <v>385</v>
      </c>
      <c r="B403" t="s">
        <v>644</v>
      </c>
      <c r="C403" t="s">
        <v>645</v>
      </c>
      <c r="D403" t="s">
        <v>388</v>
      </c>
      <c r="E403" t="s">
        <v>846</v>
      </c>
      <c r="F403" s="1">
        <v>15</v>
      </c>
      <c r="G403" s="1">
        <v>0</v>
      </c>
      <c r="H403" t="s">
        <v>17</v>
      </c>
      <c r="I403" t="s">
        <v>647</v>
      </c>
      <c r="J403" t="s">
        <v>847</v>
      </c>
      <c r="K403" s="3">
        <v>46312</v>
      </c>
      <c r="L403" t="s">
        <v>848</v>
      </c>
      <c r="M403">
        <v>9.4E-2</v>
      </c>
      <c r="N403">
        <v>2475</v>
      </c>
      <c r="O403">
        <f t="shared" si="18"/>
        <v>1.41</v>
      </c>
      <c r="P403">
        <f t="shared" si="19"/>
        <v>6.0606060606060606E-3</v>
      </c>
      <c r="Q403" t="str">
        <f t="shared" si="20"/>
        <v>Q26-03</v>
      </c>
    </row>
    <row r="404" spans="1:17" x14ac:dyDescent="0.25">
      <c r="A404" t="s">
        <v>385</v>
      </c>
      <c r="B404" t="s">
        <v>644</v>
      </c>
      <c r="C404" t="s">
        <v>645</v>
      </c>
      <c r="D404" t="s">
        <v>388</v>
      </c>
      <c r="E404" t="s">
        <v>849</v>
      </c>
      <c r="F404" s="1">
        <v>5</v>
      </c>
      <c r="G404" s="1">
        <v>0</v>
      </c>
      <c r="H404" t="s">
        <v>17</v>
      </c>
      <c r="I404" t="s">
        <v>647</v>
      </c>
      <c r="J404" t="s">
        <v>847</v>
      </c>
      <c r="K404" s="3">
        <v>46312</v>
      </c>
      <c r="L404" t="s">
        <v>848</v>
      </c>
      <c r="M404">
        <v>9.4E-2</v>
      </c>
      <c r="N404">
        <v>2475</v>
      </c>
      <c r="O404">
        <f t="shared" si="18"/>
        <v>0.47</v>
      </c>
      <c r="P404">
        <f t="shared" si="19"/>
        <v>2.0202020202020202E-3</v>
      </c>
      <c r="Q404" t="str">
        <f t="shared" si="20"/>
        <v>Q26-03</v>
      </c>
    </row>
    <row r="405" spans="1:17" x14ac:dyDescent="0.25">
      <c r="A405" t="s">
        <v>12</v>
      </c>
      <c r="B405" t="s">
        <v>850</v>
      </c>
      <c r="C405" t="s">
        <v>851</v>
      </c>
      <c r="D405" t="s">
        <v>121</v>
      </c>
      <c r="E405" t="s">
        <v>852</v>
      </c>
      <c r="F405" s="1">
        <v>236</v>
      </c>
      <c r="G405" s="1">
        <v>0</v>
      </c>
      <c r="H405" t="s">
        <v>17</v>
      </c>
      <c r="I405" t="s">
        <v>84</v>
      </c>
      <c r="J405" t="s">
        <v>90</v>
      </c>
      <c r="K405" s="3">
        <v>46360</v>
      </c>
      <c r="L405" t="s">
        <v>123</v>
      </c>
      <c r="M405">
        <v>0</v>
      </c>
      <c r="N405">
        <v>0</v>
      </c>
      <c r="O405">
        <f t="shared" si="18"/>
        <v>0</v>
      </c>
      <c r="Q405" t="str">
        <f t="shared" si="20"/>
        <v>Q27-01</v>
      </c>
    </row>
    <row r="406" spans="1:17" x14ac:dyDescent="0.25">
      <c r="A406" t="s">
        <v>385</v>
      </c>
      <c r="B406" t="s">
        <v>644</v>
      </c>
      <c r="C406" t="s">
        <v>645</v>
      </c>
      <c r="D406" t="s">
        <v>388</v>
      </c>
      <c r="E406" t="s">
        <v>853</v>
      </c>
      <c r="F406" s="1">
        <v>10</v>
      </c>
      <c r="G406" s="1">
        <v>0</v>
      </c>
      <c r="H406" t="s">
        <v>17</v>
      </c>
      <c r="I406" t="s">
        <v>647</v>
      </c>
      <c r="J406" t="s">
        <v>854</v>
      </c>
      <c r="K406" s="3">
        <v>46297</v>
      </c>
      <c r="L406" t="s">
        <v>855</v>
      </c>
      <c r="M406">
        <v>9.4E-2</v>
      </c>
      <c r="N406">
        <v>2475</v>
      </c>
      <c r="O406">
        <f t="shared" si="18"/>
        <v>0.94</v>
      </c>
      <c r="P406">
        <f t="shared" si="19"/>
        <v>4.0404040404040404E-3</v>
      </c>
      <c r="Q406" t="str">
        <f t="shared" si="20"/>
        <v>Q26-03</v>
      </c>
    </row>
    <row r="407" spans="1:17" x14ac:dyDescent="0.25">
      <c r="A407" t="s">
        <v>385</v>
      </c>
      <c r="B407" t="s">
        <v>644</v>
      </c>
      <c r="C407" t="s">
        <v>645</v>
      </c>
      <c r="D407" t="s">
        <v>388</v>
      </c>
      <c r="E407" t="s">
        <v>856</v>
      </c>
      <c r="F407" s="1">
        <v>11</v>
      </c>
      <c r="G407" s="1">
        <v>0</v>
      </c>
      <c r="H407" t="s">
        <v>17</v>
      </c>
      <c r="I407" t="s">
        <v>647</v>
      </c>
      <c r="J407" t="s">
        <v>854</v>
      </c>
      <c r="K407" s="3">
        <v>46297</v>
      </c>
      <c r="L407" t="s">
        <v>855</v>
      </c>
      <c r="M407">
        <v>9.4E-2</v>
      </c>
      <c r="N407">
        <v>2475</v>
      </c>
      <c r="O407">
        <f t="shared" si="18"/>
        <v>1.034</v>
      </c>
      <c r="P407">
        <f t="shared" si="19"/>
        <v>4.4444444444444444E-3</v>
      </c>
      <c r="Q407" t="str">
        <f t="shared" si="20"/>
        <v>Q26-03</v>
      </c>
    </row>
    <row r="408" spans="1:17" x14ac:dyDescent="0.25">
      <c r="A408" t="s">
        <v>12</v>
      </c>
      <c r="B408" t="s">
        <v>857</v>
      </c>
      <c r="C408" t="s">
        <v>858</v>
      </c>
      <c r="D408" t="s">
        <v>121</v>
      </c>
      <c r="E408" t="s">
        <v>859</v>
      </c>
      <c r="F408" s="2">
        <v>2688</v>
      </c>
      <c r="G408" s="1">
        <v>0</v>
      </c>
      <c r="H408" t="s">
        <v>17</v>
      </c>
      <c r="I408" t="s">
        <v>475</v>
      </c>
      <c r="J408" t="s">
        <v>90</v>
      </c>
      <c r="K408" s="3">
        <v>46365</v>
      </c>
      <c r="L408" t="s">
        <v>123</v>
      </c>
      <c r="M408">
        <v>0</v>
      </c>
      <c r="N408">
        <v>0</v>
      </c>
      <c r="O408">
        <f t="shared" si="18"/>
        <v>0</v>
      </c>
      <c r="Q408" t="str">
        <f t="shared" si="20"/>
        <v>Q27-01</v>
      </c>
    </row>
    <row r="409" spans="1:17" x14ac:dyDescent="0.25">
      <c r="A409" t="s">
        <v>385</v>
      </c>
      <c r="B409" t="s">
        <v>644</v>
      </c>
      <c r="C409" t="s">
        <v>645</v>
      </c>
      <c r="D409" t="s">
        <v>441</v>
      </c>
      <c r="E409" t="s">
        <v>860</v>
      </c>
      <c r="F409" s="1">
        <v>3</v>
      </c>
      <c r="G409" s="1">
        <v>0</v>
      </c>
      <c r="H409" t="s">
        <v>17</v>
      </c>
      <c r="I409" t="s">
        <v>647</v>
      </c>
      <c r="J409" t="s">
        <v>861</v>
      </c>
      <c r="K409" s="3">
        <v>46315</v>
      </c>
      <c r="L409" t="s">
        <v>862</v>
      </c>
      <c r="M409">
        <v>9.4E-2</v>
      </c>
      <c r="N409">
        <v>2475</v>
      </c>
      <c r="O409">
        <f t="shared" si="18"/>
        <v>0.28200000000000003</v>
      </c>
      <c r="P409">
        <f t="shared" si="19"/>
        <v>1.2121212121212121E-3</v>
      </c>
      <c r="Q409" t="str">
        <f t="shared" si="20"/>
        <v>Q26-03</v>
      </c>
    </row>
    <row r="410" spans="1:17" x14ac:dyDescent="0.25">
      <c r="A410" t="s">
        <v>385</v>
      </c>
      <c r="B410" t="s">
        <v>644</v>
      </c>
      <c r="C410" t="s">
        <v>645</v>
      </c>
      <c r="D410" t="s">
        <v>441</v>
      </c>
      <c r="E410" t="s">
        <v>863</v>
      </c>
      <c r="F410" s="1">
        <v>5</v>
      </c>
      <c r="G410" s="1">
        <v>0</v>
      </c>
      <c r="H410" t="s">
        <v>17</v>
      </c>
      <c r="I410" t="s">
        <v>647</v>
      </c>
      <c r="J410" t="s">
        <v>861</v>
      </c>
      <c r="K410" s="3">
        <v>46315</v>
      </c>
      <c r="L410" t="s">
        <v>862</v>
      </c>
      <c r="M410">
        <v>9.4E-2</v>
      </c>
      <c r="N410">
        <v>2475</v>
      </c>
      <c r="O410">
        <f t="shared" si="18"/>
        <v>0.47</v>
      </c>
      <c r="P410">
        <f t="shared" si="19"/>
        <v>2.0202020202020202E-3</v>
      </c>
      <c r="Q410" t="str">
        <f t="shared" si="20"/>
        <v>Q26-03</v>
      </c>
    </row>
    <row r="411" spans="1:17" x14ac:dyDescent="0.25">
      <c r="A411" t="s">
        <v>385</v>
      </c>
      <c r="B411" t="s">
        <v>644</v>
      </c>
      <c r="C411" t="s">
        <v>645</v>
      </c>
      <c r="D411" t="s">
        <v>441</v>
      </c>
      <c r="E411" t="s">
        <v>864</v>
      </c>
      <c r="F411" s="1">
        <v>3</v>
      </c>
      <c r="G411" s="1">
        <v>0</v>
      </c>
      <c r="H411" t="s">
        <v>17</v>
      </c>
      <c r="I411" t="s">
        <v>647</v>
      </c>
      <c r="J411" t="s">
        <v>861</v>
      </c>
      <c r="K411" s="3">
        <v>46315</v>
      </c>
      <c r="L411" t="s">
        <v>862</v>
      </c>
      <c r="M411">
        <v>9.4E-2</v>
      </c>
      <c r="N411">
        <v>2475</v>
      </c>
      <c r="O411">
        <f t="shared" si="18"/>
        <v>0.28200000000000003</v>
      </c>
      <c r="P411">
        <f t="shared" si="19"/>
        <v>1.2121212121212121E-3</v>
      </c>
      <c r="Q411" t="str">
        <f t="shared" si="20"/>
        <v>Q26-03</v>
      </c>
    </row>
    <row r="412" spans="1:17" x14ac:dyDescent="0.25">
      <c r="A412" t="s">
        <v>385</v>
      </c>
      <c r="B412" t="s">
        <v>644</v>
      </c>
      <c r="C412" t="s">
        <v>645</v>
      </c>
      <c r="D412" t="s">
        <v>388</v>
      </c>
      <c r="E412" t="s">
        <v>865</v>
      </c>
      <c r="F412" s="1">
        <v>19</v>
      </c>
      <c r="G412" s="1">
        <v>0</v>
      </c>
      <c r="H412" t="s">
        <v>17</v>
      </c>
      <c r="I412" t="s">
        <v>647</v>
      </c>
      <c r="J412" t="s">
        <v>866</v>
      </c>
      <c r="K412" s="3">
        <v>46303</v>
      </c>
      <c r="L412" t="s">
        <v>867</v>
      </c>
      <c r="M412">
        <v>9.4E-2</v>
      </c>
      <c r="N412">
        <v>2475</v>
      </c>
      <c r="O412">
        <f t="shared" si="18"/>
        <v>1.786</v>
      </c>
      <c r="P412">
        <f t="shared" si="19"/>
        <v>7.6767676767676768E-3</v>
      </c>
      <c r="Q412" t="str">
        <f t="shared" si="20"/>
        <v>Q26-03</v>
      </c>
    </row>
    <row r="413" spans="1:17" x14ac:dyDescent="0.25">
      <c r="A413" t="s">
        <v>385</v>
      </c>
      <c r="B413" t="s">
        <v>644</v>
      </c>
      <c r="C413" t="s">
        <v>645</v>
      </c>
      <c r="D413" t="s">
        <v>451</v>
      </c>
      <c r="E413" t="s">
        <v>868</v>
      </c>
      <c r="F413" s="2">
        <v>1372</v>
      </c>
      <c r="G413" s="1">
        <v>0</v>
      </c>
      <c r="H413" t="s">
        <v>17</v>
      </c>
      <c r="I413" t="s">
        <v>647</v>
      </c>
      <c r="J413" t="s">
        <v>869</v>
      </c>
      <c r="K413" s="3">
        <v>46303</v>
      </c>
      <c r="L413" t="s">
        <v>867</v>
      </c>
      <c r="M413">
        <v>9.4E-2</v>
      </c>
      <c r="N413">
        <v>2475</v>
      </c>
      <c r="O413">
        <f t="shared" si="18"/>
        <v>128.96799999999999</v>
      </c>
      <c r="P413">
        <f t="shared" si="19"/>
        <v>0.55434343434343436</v>
      </c>
      <c r="Q413" t="str">
        <f t="shared" si="20"/>
        <v>Q26-03</v>
      </c>
    </row>
    <row r="414" spans="1:17" x14ac:dyDescent="0.25">
      <c r="A414" t="s">
        <v>385</v>
      </c>
      <c r="B414" t="s">
        <v>644</v>
      </c>
      <c r="C414" t="s">
        <v>645</v>
      </c>
      <c r="D414" t="s">
        <v>441</v>
      </c>
      <c r="E414" t="s">
        <v>870</v>
      </c>
      <c r="F414" s="1">
        <v>11</v>
      </c>
      <c r="G414" s="1">
        <v>0</v>
      </c>
      <c r="H414" t="s">
        <v>17</v>
      </c>
      <c r="I414" t="s">
        <v>647</v>
      </c>
      <c r="J414" t="s">
        <v>871</v>
      </c>
      <c r="K414" s="3">
        <v>46319</v>
      </c>
      <c r="L414" t="s">
        <v>872</v>
      </c>
      <c r="M414">
        <v>9.4E-2</v>
      </c>
      <c r="N414">
        <v>2475</v>
      </c>
      <c r="O414">
        <f t="shared" si="18"/>
        <v>1.034</v>
      </c>
      <c r="P414">
        <f t="shared" si="19"/>
        <v>4.4444444444444444E-3</v>
      </c>
      <c r="Q414" t="str">
        <f t="shared" si="20"/>
        <v>Q26-03</v>
      </c>
    </row>
    <row r="415" spans="1:17" x14ac:dyDescent="0.25">
      <c r="A415" t="s">
        <v>385</v>
      </c>
      <c r="B415" t="s">
        <v>644</v>
      </c>
      <c r="C415" t="s">
        <v>645</v>
      </c>
      <c r="D415" t="s">
        <v>441</v>
      </c>
      <c r="E415" t="s">
        <v>873</v>
      </c>
      <c r="F415" s="1">
        <v>3</v>
      </c>
      <c r="G415" s="1">
        <v>0</v>
      </c>
      <c r="H415" t="s">
        <v>17</v>
      </c>
      <c r="I415" t="s">
        <v>647</v>
      </c>
      <c r="J415" t="s">
        <v>871</v>
      </c>
      <c r="K415" s="3">
        <v>46319</v>
      </c>
      <c r="L415" t="s">
        <v>872</v>
      </c>
      <c r="M415">
        <v>9.4E-2</v>
      </c>
      <c r="N415">
        <v>2475</v>
      </c>
      <c r="O415">
        <f t="shared" si="18"/>
        <v>0.28200000000000003</v>
      </c>
      <c r="P415">
        <f t="shared" si="19"/>
        <v>1.2121212121212121E-3</v>
      </c>
      <c r="Q415" t="str">
        <f t="shared" si="20"/>
        <v>Q26-03</v>
      </c>
    </row>
    <row r="416" spans="1:17" x14ac:dyDescent="0.25">
      <c r="A416" t="s">
        <v>385</v>
      </c>
      <c r="B416" t="s">
        <v>644</v>
      </c>
      <c r="C416" t="s">
        <v>645</v>
      </c>
      <c r="D416" t="s">
        <v>441</v>
      </c>
      <c r="E416" t="s">
        <v>874</v>
      </c>
      <c r="F416" s="1">
        <v>7</v>
      </c>
      <c r="G416" s="1">
        <v>0</v>
      </c>
      <c r="H416" t="s">
        <v>17</v>
      </c>
      <c r="I416" t="s">
        <v>647</v>
      </c>
      <c r="J416" t="s">
        <v>875</v>
      </c>
      <c r="K416" s="3">
        <v>46310</v>
      </c>
      <c r="L416" t="s">
        <v>876</v>
      </c>
      <c r="M416">
        <v>9.4E-2</v>
      </c>
      <c r="N416">
        <v>2475</v>
      </c>
      <c r="O416">
        <f t="shared" si="18"/>
        <v>0.65800000000000003</v>
      </c>
      <c r="P416">
        <f t="shared" si="19"/>
        <v>2.8282828282828283E-3</v>
      </c>
      <c r="Q416" t="str">
        <f t="shared" si="20"/>
        <v>Q26-03</v>
      </c>
    </row>
    <row r="417" spans="1:17" x14ac:dyDescent="0.25">
      <c r="A417" t="s">
        <v>385</v>
      </c>
      <c r="B417" t="s">
        <v>715</v>
      </c>
      <c r="C417" t="s">
        <v>716</v>
      </c>
      <c r="D417" t="s">
        <v>144</v>
      </c>
      <c r="E417" t="s">
        <v>877</v>
      </c>
      <c r="F417" s="1">
        <v>122</v>
      </c>
      <c r="G417" s="1">
        <v>0</v>
      </c>
      <c r="H417" t="s">
        <v>17</v>
      </c>
      <c r="I417" t="s">
        <v>475</v>
      </c>
      <c r="J417" t="s">
        <v>90</v>
      </c>
      <c r="K417" s="3">
        <v>46372</v>
      </c>
      <c r="L417" t="s">
        <v>878</v>
      </c>
      <c r="M417">
        <v>0</v>
      </c>
      <c r="N417">
        <v>0</v>
      </c>
      <c r="O417">
        <f t="shared" si="18"/>
        <v>0</v>
      </c>
      <c r="Q417" t="str">
        <f t="shared" si="20"/>
        <v>QM4-01</v>
      </c>
    </row>
    <row r="418" spans="1:17" x14ac:dyDescent="0.25">
      <c r="A418" t="s">
        <v>385</v>
      </c>
      <c r="B418" t="s">
        <v>715</v>
      </c>
      <c r="C418" t="s">
        <v>716</v>
      </c>
      <c r="D418" t="s">
        <v>144</v>
      </c>
      <c r="E418" t="s">
        <v>879</v>
      </c>
      <c r="F418" s="1">
        <v>142</v>
      </c>
      <c r="G418" s="1">
        <v>0</v>
      </c>
      <c r="H418" t="s">
        <v>17</v>
      </c>
      <c r="I418" t="s">
        <v>475</v>
      </c>
      <c r="J418" t="s">
        <v>90</v>
      </c>
      <c r="K418" s="3">
        <v>46372</v>
      </c>
      <c r="L418" t="s">
        <v>880</v>
      </c>
      <c r="M418">
        <v>0</v>
      </c>
      <c r="N418">
        <v>0</v>
      </c>
      <c r="O418">
        <f t="shared" si="18"/>
        <v>0</v>
      </c>
      <c r="Q418" t="str">
        <f t="shared" si="20"/>
        <v>QM4-01</v>
      </c>
    </row>
    <row r="419" spans="1:17" x14ac:dyDescent="0.25">
      <c r="A419" t="s">
        <v>385</v>
      </c>
      <c r="B419" t="s">
        <v>715</v>
      </c>
      <c r="C419" t="s">
        <v>716</v>
      </c>
      <c r="D419" t="s">
        <v>144</v>
      </c>
      <c r="E419" t="s">
        <v>881</v>
      </c>
      <c r="F419" s="1">
        <v>360</v>
      </c>
      <c r="G419" s="1">
        <v>0</v>
      </c>
      <c r="H419" t="s">
        <v>17</v>
      </c>
      <c r="I419" t="s">
        <v>475</v>
      </c>
      <c r="J419" t="s">
        <v>90</v>
      </c>
      <c r="K419" s="3">
        <v>46372</v>
      </c>
      <c r="L419" t="s">
        <v>882</v>
      </c>
      <c r="M419">
        <v>0</v>
      </c>
      <c r="N419">
        <v>0</v>
      </c>
      <c r="O419">
        <f t="shared" si="18"/>
        <v>0</v>
      </c>
      <c r="Q419" t="str">
        <f t="shared" si="20"/>
        <v>QM4-01</v>
      </c>
    </row>
    <row r="420" spans="1:17" x14ac:dyDescent="0.25">
      <c r="A420" t="s">
        <v>12</v>
      </c>
      <c r="B420" t="s">
        <v>883</v>
      </c>
      <c r="C420" t="s">
        <v>884</v>
      </c>
      <c r="D420" t="s">
        <v>144</v>
      </c>
      <c r="E420" t="s">
        <v>885</v>
      </c>
      <c r="F420" s="2">
        <v>5150</v>
      </c>
      <c r="G420" s="1">
        <v>0</v>
      </c>
      <c r="H420" t="s">
        <v>17</v>
      </c>
      <c r="I420" t="s">
        <v>475</v>
      </c>
      <c r="J420" t="s">
        <v>90</v>
      </c>
      <c r="K420" s="3">
        <v>46372</v>
      </c>
      <c r="L420" t="s">
        <v>123</v>
      </c>
      <c r="M420">
        <v>0</v>
      </c>
      <c r="N420">
        <v>0</v>
      </c>
      <c r="O420">
        <f t="shared" si="18"/>
        <v>0</v>
      </c>
      <c r="Q420" t="str">
        <f t="shared" si="20"/>
        <v>QM4-01</v>
      </c>
    </row>
    <row r="421" spans="1:17" x14ac:dyDescent="0.25">
      <c r="A421" t="s">
        <v>12</v>
      </c>
      <c r="B421" t="s">
        <v>886</v>
      </c>
      <c r="C421" t="s">
        <v>887</v>
      </c>
      <c r="D421" t="s">
        <v>336</v>
      </c>
      <c r="E421" t="s">
        <v>888</v>
      </c>
      <c r="F421" s="1">
        <v>1</v>
      </c>
      <c r="G421" s="1">
        <v>0</v>
      </c>
      <c r="H421" t="s">
        <v>17</v>
      </c>
      <c r="I421" t="s">
        <v>84</v>
      </c>
      <c r="J421" t="s">
        <v>889</v>
      </c>
      <c r="K421" s="3">
        <v>46599</v>
      </c>
      <c r="L421" t="s">
        <v>890</v>
      </c>
      <c r="M421">
        <v>5.5E-2</v>
      </c>
      <c r="N421">
        <v>2000</v>
      </c>
      <c r="O421">
        <f t="shared" si="18"/>
        <v>5.5E-2</v>
      </c>
      <c r="P421">
        <f t="shared" si="19"/>
        <v>5.0000000000000001E-4</v>
      </c>
      <c r="Q421" t="str">
        <f t="shared" si="20"/>
        <v>Q27-03</v>
      </c>
    </row>
    <row r="422" spans="1:17" x14ac:dyDescent="0.25">
      <c r="A422" t="s">
        <v>61</v>
      </c>
      <c r="B422" t="s">
        <v>891</v>
      </c>
      <c r="C422" t="s">
        <v>892</v>
      </c>
      <c r="D422" t="s">
        <v>180</v>
      </c>
      <c r="E422" t="s">
        <v>893</v>
      </c>
      <c r="F422" s="1">
        <v>1</v>
      </c>
      <c r="G422" s="1">
        <v>0</v>
      </c>
      <c r="H422" t="s">
        <v>17</v>
      </c>
      <c r="I422" t="s">
        <v>894</v>
      </c>
      <c r="J422" t="s">
        <v>895</v>
      </c>
      <c r="K422" s="3">
        <v>46234</v>
      </c>
      <c r="L422" t="s">
        <v>896</v>
      </c>
      <c r="M422">
        <v>0.312</v>
      </c>
      <c r="N422">
        <v>1680</v>
      </c>
      <c r="O422">
        <f t="shared" si="18"/>
        <v>0.312</v>
      </c>
      <c r="P422">
        <f t="shared" si="19"/>
        <v>5.9523809523809529E-4</v>
      </c>
      <c r="Q422" t="str">
        <f t="shared" si="20"/>
        <v>Q27-03</v>
      </c>
    </row>
    <row r="423" spans="1:17" x14ac:dyDescent="0.25">
      <c r="A423" t="s">
        <v>61</v>
      </c>
      <c r="B423" t="s">
        <v>317</v>
      </c>
      <c r="C423" t="s">
        <v>318</v>
      </c>
      <c r="D423" t="s">
        <v>180</v>
      </c>
      <c r="E423" t="s">
        <v>897</v>
      </c>
      <c r="F423" s="1">
        <v>1</v>
      </c>
      <c r="G423" s="1">
        <v>0</v>
      </c>
      <c r="H423" t="s">
        <v>17</v>
      </c>
      <c r="I423" t="s">
        <v>320</v>
      </c>
      <c r="J423" t="s">
        <v>895</v>
      </c>
      <c r="K423" s="3">
        <v>46538</v>
      </c>
      <c r="L423" t="s">
        <v>697</v>
      </c>
      <c r="M423">
        <v>0.04</v>
      </c>
      <c r="N423">
        <v>2688</v>
      </c>
      <c r="O423">
        <f t="shared" si="18"/>
        <v>0.04</v>
      </c>
      <c r="P423">
        <f t="shared" si="19"/>
        <v>3.720238095238095E-4</v>
      </c>
      <c r="Q423" t="str">
        <f t="shared" si="20"/>
        <v>Q27-03</v>
      </c>
    </row>
    <row r="424" spans="1:17" x14ac:dyDescent="0.25">
      <c r="A424" t="s">
        <v>61</v>
      </c>
      <c r="B424" t="s">
        <v>317</v>
      </c>
      <c r="C424" t="s">
        <v>318</v>
      </c>
      <c r="D424" t="s">
        <v>180</v>
      </c>
      <c r="E424" t="s">
        <v>898</v>
      </c>
      <c r="F424" s="1">
        <v>1</v>
      </c>
      <c r="G424" s="1">
        <v>0</v>
      </c>
      <c r="H424" t="s">
        <v>17</v>
      </c>
      <c r="I424" t="s">
        <v>320</v>
      </c>
      <c r="J424" t="s">
        <v>895</v>
      </c>
      <c r="K424" s="3">
        <v>46538</v>
      </c>
      <c r="L424" t="s">
        <v>697</v>
      </c>
      <c r="M424">
        <v>0.04</v>
      </c>
      <c r="N424">
        <v>2688</v>
      </c>
      <c r="O424">
        <f t="shared" si="18"/>
        <v>0.04</v>
      </c>
      <c r="P424">
        <f t="shared" si="19"/>
        <v>3.720238095238095E-4</v>
      </c>
      <c r="Q424" t="str">
        <f t="shared" si="20"/>
        <v>Q27-03</v>
      </c>
    </row>
    <row r="425" spans="1:17" x14ac:dyDescent="0.25">
      <c r="A425" t="s">
        <v>61</v>
      </c>
      <c r="B425" t="s">
        <v>233</v>
      </c>
      <c r="C425" t="s">
        <v>234</v>
      </c>
      <c r="D425" t="s">
        <v>180</v>
      </c>
      <c r="E425" t="s">
        <v>899</v>
      </c>
      <c r="F425" s="1">
        <v>14</v>
      </c>
      <c r="G425" s="1">
        <v>0</v>
      </c>
      <c r="H425" t="s">
        <v>17</v>
      </c>
      <c r="I425" t="s">
        <v>236</v>
      </c>
      <c r="J425" t="s">
        <v>895</v>
      </c>
      <c r="K425" s="3">
        <v>46934</v>
      </c>
      <c r="L425" t="s">
        <v>900</v>
      </c>
      <c r="M425">
        <v>7.4999999999999997E-2</v>
      </c>
      <c r="N425">
        <v>2688</v>
      </c>
      <c r="O425">
        <f t="shared" si="18"/>
        <v>1.05</v>
      </c>
      <c r="P425">
        <f t="shared" si="19"/>
        <v>5.208333333333333E-3</v>
      </c>
      <c r="Q425" t="str">
        <f t="shared" si="20"/>
        <v>Q27-03</v>
      </c>
    </row>
    <row r="426" spans="1:17" x14ac:dyDescent="0.25">
      <c r="A426" t="s">
        <v>61</v>
      </c>
      <c r="B426" t="s">
        <v>219</v>
      </c>
      <c r="C426" t="s">
        <v>220</v>
      </c>
      <c r="D426" t="s">
        <v>180</v>
      </c>
      <c r="E426" t="s">
        <v>901</v>
      </c>
      <c r="F426" s="1">
        <v>9</v>
      </c>
      <c r="G426" s="1">
        <v>0</v>
      </c>
      <c r="H426" t="s">
        <v>17</v>
      </c>
      <c r="I426" t="s">
        <v>222</v>
      </c>
      <c r="J426" t="s">
        <v>895</v>
      </c>
      <c r="K426" s="3">
        <v>46234</v>
      </c>
      <c r="L426" t="s">
        <v>902</v>
      </c>
      <c r="M426">
        <v>0.3</v>
      </c>
      <c r="N426">
        <v>1680</v>
      </c>
      <c r="O426">
        <f t="shared" si="18"/>
        <v>2.6999999999999997</v>
      </c>
      <c r="P426">
        <f t="shared" si="19"/>
        <v>5.3571428571428572E-3</v>
      </c>
      <c r="Q426" t="str">
        <f t="shared" si="20"/>
        <v>Q27-03</v>
      </c>
    </row>
    <row r="427" spans="1:17" x14ac:dyDescent="0.25">
      <c r="A427" t="s">
        <v>61</v>
      </c>
      <c r="B427" t="s">
        <v>219</v>
      </c>
      <c r="C427" t="s">
        <v>220</v>
      </c>
      <c r="D427" t="s">
        <v>198</v>
      </c>
      <c r="E427" t="s">
        <v>903</v>
      </c>
      <c r="F427" s="1">
        <v>3</v>
      </c>
      <c r="G427" s="1">
        <v>0</v>
      </c>
      <c r="H427" t="s">
        <v>17</v>
      </c>
      <c r="I427" t="s">
        <v>222</v>
      </c>
      <c r="J427" t="s">
        <v>895</v>
      </c>
      <c r="K427" s="3">
        <v>46234</v>
      </c>
      <c r="L427" t="s">
        <v>902</v>
      </c>
      <c r="M427">
        <v>0.3</v>
      </c>
      <c r="N427">
        <v>1680</v>
      </c>
      <c r="O427">
        <f t="shared" si="18"/>
        <v>0.89999999999999991</v>
      </c>
      <c r="P427">
        <f t="shared" si="19"/>
        <v>1.7857142857142857E-3</v>
      </c>
      <c r="Q427" t="str">
        <f t="shared" si="20"/>
        <v>Q27-03</v>
      </c>
    </row>
    <row r="428" spans="1:17" x14ac:dyDescent="0.25">
      <c r="A428" t="s">
        <v>61</v>
      </c>
      <c r="B428" t="s">
        <v>219</v>
      </c>
      <c r="C428" t="s">
        <v>220</v>
      </c>
      <c r="D428" t="s">
        <v>198</v>
      </c>
      <c r="E428" t="s">
        <v>904</v>
      </c>
      <c r="F428" s="1">
        <v>1</v>
      </c>
      <c r="G428" s="1">
        <v>0</v>
      </c>
      <c r="H428" t="s">
        <v>17</v>
      </c>
      <c r="I428" t="s">
        <v>222</v>
      </c>
      <c r="J428" t="s">
        <v>895</v>
      </c>
      <c r="K428" s="3">
        <v>46234</v>
      </c>
      <c r="L428" t="s">
        <v>902</v>
      </c>
      <c r="M428">
        <v>0.3</v>
      </c>
      <c r="N428">
        <v>1680</v>
      </c>
      <c r="O428">
        <f t="shared" si="18"/>
        <v>0.3</v>
      </c>
      <c r="P428">
        <f t="shared" si="19"/>
        <v>5.9523809523809529E-4</v>
      </c>
      <c r="Q428" t="str">
        <f t="shared" si="20"/>
        <v>Q27-03</v>
      </c>
    </row>
    <row r="429" spans="1:17" x14ac:dyDescent="0.25">
      <c r="A429" t="s">
        <v>61</v>
      </c>
      <c r="B429" t="s">
        <v>219</v>
      </c>
      <c r="C429" t="s">
        <v>220</v>
      </c>
      <c r="D429" t="s">
        <v>198</v>
      </c>
      <c r="E429" t="s">
        <v>905</v>
      </c>
      <c r="F429" s="1">
        <v>9</v>
      </c>
      <c r="G429" s="1">
        <v>0</v>
      </c>
      <c r="H429" t="s">
        <v>17</v>
      </c>
      <c r="I429" t="s">
        <v>222</v>
      </c>
      <c r="J429" t="s">
        <v>895</v>
      </c>
      <c r="K429" s="3">
        <v>46234</v>
      </c>
      <c r="L429" t="s">
        <v>902</v>
      </c>
      <c r="M429">
        <v>0.3</v>
      </c>
      <c r="N429">
        <v>1680</v>
      </c>
      <c r="O429">
        <f t="shared" si="18"/>
        <v>2.6999999999999997</v>
      </c>
      <c r="P429">
        <f t="shared" si="19"/>
        <v>5.3571428571428572E-3</v>
      </c>
      <c r="Q429" t="str">
        <f t="shared" si="20"/>
        <v>Q27-03</v>
      </c>
    </row>
    <row r="430" spans="1:17" x14ac:dyDescent="0.25">
      <c r="A430" t="s">
        <v>61</v>
      </c>
      <c r="B430" t="s">
        <v>166</v>
      </c>
      <c r="C430" t="s">
        <v>167</v>
      </c>
      <c r="D430" t="s">
        <v>185</v>
      </c>
      <c r="E430" t="s">
        <v>906</v>
      </c>
      <c r="F430" s="1">
        <v>2</v>
      </c>
      <c r="G430" s="1">
        <v>0</v>
      </c>
      <c r="H430" t="s">
        <v>17</v>
      </c>
      <c r="I430" t="s">
        <v>170</v>
      </c>
      <c r="J430" t="s">
        <v>895</v>
      </c>
      <c r="K430" s="3">
        <v>46446</v>
      </c>
      <c r="L430" t="s">
        <v>907</v>
      </c>
      <c r="M430">
        <v>9.2999999999999999E-2</v>
      </c>
      <c r="N430">
        <v>1536</v>
      </c>
      <c r="O430">
        <f t="shared" si="18"/>
        <v>0.186</v>
      </c>
      <c r="P430">
        <f t="shared" si="19"/>
        <v>1.3020833333333333E-3</v>
      </c>
      <c r="Q430" t="str">
        <f t="shared" si="20"/>
        <v>Q27-03</v>
      </c>
    </row>
    <row r="431" spans="1:17" x14ac:dyDescent="0.25">
      <c r="A431" t="s">
        <v>61</v>
      </c>
      <c r="B431" t="s">
        <v>166</v>
      </c>
      <c r="C431" t="s">
        <v>167</v>
      </c>
      <c r="D431" t="s">
        <v>191</v>
      </c>
      <c r="E431" t="s">
        <v>908</v>
      </c>
      <c r="F431" s="1">
        <v>1</v>
      </c>
      <c r="G431" s="1">
        <v>0</v>
      </c>
      <c r="H431" t="s">
        <v>17</v>
      </c>
      <c r="I431" t="s">
        <v>170</v>
      </c>
      <c r="J431" t="s">
        <v>895</v>
      </c>
      <c r="K431" s="3">
        <v>46446</v>
      </c>
      <c r="L431" t="s">
        <v>907</v>
      </c>
      <c r="M431">
        <v>9.2999999999999999E-2</v>
      </c>
      <c r="N431">
        <v>1536</v>
      </c>
      <c r="O431">
        <f t="shared" si="18"/>
        <v>9.2999999999999999E-2</v>
      </c>
      <c r="P431">
        <f t="shared" si="19"/>
        <v>6.5104166666666663E-4</v>
      </c>
      <c r="Q431" t="str">
        <f t="shared" si="20"/>
        <v>Q27-03</v>
      </c>
    </row>
    <row r="432" spans="1:17" x14ac:dyDescent="0.25">
      <c r="A432" t="s">
        <v>61</v>
      </c>
      <c r="B432" t="s">
        <v>166</v>
      </c>
      <c r="C432" t="s">
        <v>167</v>
      </c>
      <c r="D432" t="s">
        <v>191</v>
      </c>
      <c r="E432" t="s">
        <v>909</v>
      </c>
      <c r="F432" s="1">
        <v>1</v>
      </c>
      <c r="G432" s="1">
        <v>0</v>
      </c>
      <c r="H432" t="s">
        <v>17</v>
      </c>
      <c r="I432" t="s">
        <v>170</v>
      </c>
      <c r="J432" t="s">
        <v>895</v>
      </c>
      <c r="K432" s="3">
        <v>46446</v>
      </c>
      <c r="L432" t="s">
        <v>907</v>
      </c>
      <c r="M432">
        <v>9.2999999999999999E-2</v>
      </c>
      <c r="N432">
        <v>1536</v>
      </c>
      <c r="O432">
        <f t="shared" si="18"/>
        <v>9.2999999999999999E-2</v>
      </c>
      <c r="P432">
        <f t="shared" si="19"/>
        <v>6.5104166666666663E-4</v>
      </c>
      <c r="Q432" t="str">
        <f t="shared" si="20"/>
        <v>Q27-03</v>
      </c>
    </row>
    <row r="433" spans="1:17" x14ac:dyDescent="0.25">
      <c r="A433" t="s">
        <v>61</v>
      </c>
      <c r="B433" t="s">
        <v>456</v>
      </c>
      <c r="C433" t="s">
        <v>457</v>
      </c>
      <c r="D433" t="s">
        <v>191</v>
      </c>
      <c r="E433" t="s">
        <v>910</v>
      </c>
      <c r="F433" s="1">
        <v>4</v>
      </c>
      <c r="G433" s="1">
        <v>0</v>
      </c>
      <c r="H433" t="s">
        <v>17</v>
      </c>
      <c r="I433" t="s">
        <v>459</v>
      </c>
      <c r="J433" t="s">
        <v>895</v>
      </c>
      <c r="K433" s="3">
        <v>46234</v>
      </c>
      <c r="L433" t="s">
        <v>911</v>
      </c>
      <c r="M433">
        <v>0.22600000000000001</v>
      </c>
      <c r="N433">
        <v>1680</v>
      </c>
      <c r="O433">
        <f t="shared" si="18"/>
        <v>0.90400000000000003</v>
      </c>
      <c r="P433">
        <f t="shared" si="19"/>
        <v>2.3809523809523812E-3</v>
      </c>
      <c r="Q433" t="str">
        <f t="shared" si="20"/>
        <v>Q27-03</v>
      </c>
    </row>
    <row r="434" spans="1:17" x14ac:dyDescent="0.25">
      <c r="A434" t="s">
        <v>12</v>
      </c>
      <c r="B434" t="s">
        <v>912</v>
      </c>
      <c r="C434" t="s">
        <v>913</v>
      </c>
      <c r="D434" t="s">
        <v>121</v>
      </c>
      <c r="E434" t="s">
        <v>914</v>
      </c>
      <c r="F434" s="2">
        <v>1414</v>
      </c>
      <c r="G434" s="1">
        <v>0</v>
      </c>
      <c r="H434" t="s">
        <v>17</v>
      </c>
      <c r="I434" t="s">
        <v>475</v>
      </c>
      <c r="J434" t="s">
        <v>90</v>
      </c>
      <c r="K434" s="3">
        <v>46390</v>
      </c>
      <c r="L434" t="s">
        <v>123</v>
      </c>
      <c r="M434">
        <v>0</v>
      </c>
      <c r="N434">
        <v>0</v>
      </c>
      <c r="O434">
        <f t="shared" si="18"/>
        <v>0</v>
      </c>
      <c r="Q434" t="str">
        <f t="shared" si="20"/>
        <v>Q27-01</v>
      </c>
    </row>
    <row r="435" spans="1:17" x14ac:dyDescent="0.25">
      <c r="A435" t="s">
        <v>12</v>
      </c>
      <c r="B435" t="s">
        <v>915</v>
      </c>
      <c r="C435" t="s">
        <v>916</v>
      </c>
      <c r="D435" t="s">
        <v>121</v>
      </c>
      <c r="E435" t="s">
        <v>914</v>
      </c>
      <c r="F435" s="2">
        <v>1704</v>
      </c>
      <c r="G435" s="1">
        <v>0</v>
      </c>
      <c r="H435" t="s">
        <v>17</v>
      </c>
      <c r="I435" t="s">
        <v>475</v>
      </c>
      <c r="J435" t="s">
        <v>90</v>
      </c>
      <c r="K435" s="3">
        <v>46390</v>
      </c>
      <c r="L435" t="s">
        <v>123</v>
      </c>
      <c r="M435">
        <v>0</v>
      </c>
      <c r="N435">
        <v>0</v>
      </c>
      <c r="O435">
        <f t="shared" si="18"/>
        <v>0</v>
      </c>
      <c r="Q435" t="str">
        <f t="shared" si="20"/>
        <v>Q27-01</v>
      </c>
    </row>
    <row r="436" spans="1:17" x14ac:dyDescent="0.25">
      <c r="A436" t="s">
        <v>12</v>
      </c>
      <c r="B436" t="s">
        <v>917</v>
      </c>
      <c r="C436" t="s">
        <v>918</v>
      </c>
      <c r="D436" t="s">
        <v>121</v>
      </c>
      <c r="E436" t="s">
        <v>919</v>
      </c>
      <c r="F436" s="2">
        <v>1126</v>
      </c>
      <c r="G436" s="1">
        <v>0</v>
      </c>
      <c r="H436" t="s">
        <v>17</v>
      </c>
      <c r="I436" t="s">
        <v>475</v>
      </c>
      <c r="J436" t="s">
        <v>90</v>
      </c>
      <c r="K436" s="3">
        <v>46390</v>
      </c>
      <c r="L436" t="s">
        <v>123</v>
      </c>
      <c r="M436">
        <v>0</v>
      </c>
      <c r="N436">
        <v>0</v>
      </c>
      <c r="O436">
        <f t="shared" si="18"/>
        <v>0</v>
      </c>
      <c r="Q436" t="str">
        <f t="shared" si="20"/>
        <v>Q27-01</v>
      </c>
    </row>
    <row r="437" spans="1:17" x14ac:dyDescent="0.25">
      <c r="A437" t="s">
        <v>12</v>
      </c>
      <c r="B437" t="s">
        <v>920</v>
      </c>
      <c r="C437" t="s">
        <v>921</v>
      </c>
      <c r="D437" t="s">
        <v>121</v>
      </c>
      <c r="E437" t="s">
        <v>922</v>
      </c>
      <c r="F437" s="2">
        <v>1324</v>
      </c>
      <c r="G437" s="1">
        <v>0</v>
      </c>
      <c r="H437" t="s">
        <v>17</v>
      </c>
      <c r="I437" t="s">
        <v>475</v>
      </c>
      <c r="J437" t="s">
        <v>90</v>
      </c>
      <c r="K437" s="3">
        <v>46390</v>
      </c>
      <c r="L437" t="s">
        <v>123</v>
      </c>
      <c r="M437">
        <v>0</v>
      </c>
      <c r="N437">
        <v>0</v>
      </c>
      <c r="O437">
        <f t="shared" si="18"/>
        <v>0</v>
      </c>
      <c r="Q437" t="str">
        <f t="shared" si="20"/>
        <v>Q27-01</v>
      </c>
    </row>
    <row r="438" spans="1:17" x14ac:dyDescent="0.25">
      <c r="A438" t="s">
        <v>12</v>
      </c>
      <c r="B438" t="s">
        <v>923</v>
      </c>
      <c r="C438" t="s">
        <v>924</v>
      </c>
      <c r="D438" t="s">
        <v>26</v>
      </c>
      <c r="E438" t="s">
        <v>925</v>
      </c>
      <c r="F438" s="1">
        <v>2</v>
      </c>
      <c r="G438" s="1">
        <v>0</v>
      </c>
      <c r="H438" t="s">
        <v>17</v>
      </c>
      <c r="I438" t="s">
        <v>926</v>
      </c>
      <c r="J438" t="s">
        <v>927</v>
      </c>
      <c r="K438" s="3">
        <v>47197</v>
      </c>
      <c r="L438" t="s">
        <v>928</v>
      </c>
      <c r="M438">
        <v>1.4999999999999999E-2</v>
      </c>
      <c r="N438">
        <v>14400</v>
      </c>
      <c r="O438">
        <f t="shared" si="18"/>
        <v>0.03</v>
      </c>
      <c r="P438">
        <f t="shared" si="19"/>
        <v>1.3888888888888889E-4</v>
      </c>
      <c r="Q438" t="str">
        <f t="shared" si="20"/>
        <v>Q26-03</v>
      </c>
    </row>
    <row r="439" spans="1:17" x14ac:dyDescent="0.25">
      <c r="A439" t="s">
        <v>12</v>
      </c>
      <c r="B439" t="s">
        <v>675</v>
      </c>
      <c r="C439" t="s">
        <v>676</v>
      </c>
      <c r="D439" t="s">
        <v>57</v>
      </c>
      <c r="E439" t="s">
        <v>929</v>
      </c>
      <c r="F439" s="1">
        <v>1</v>
      </c>
      <c r="G439" s="1">
        <v>0</v>
      </c>
      <c r="H439" t="s">
        <v>17</v>
      </c>
      <c r="I439" t="s">
        <v>678</v>
      </c>
      <c r="J439" t="s">
        <v>930</v>
      </c>
      <c r="K439" s="3">
        <v>46547</v>
      </c>
      <c r="L439" t="s">
        <v>931</v>
      </c>
      <c r="M439">
        <v>0.1</v>
      </c>
      <c r="N439">
        <v>1008</v>
      </c>
      <c r="O439">
        <f t="shared" si="18"/>
        <v>0.1</v>
      </c>
      <c r="P439">
        <f t="shared" si="19"/>
        <v>9.9206349206349201E-4</v>
      </c>
      <c r="Q439" t="str">
        <f t="shared" si="20"/>
        <v>Q26-03</v>
      </c>
    </row>
    <row r="440" spans="1:17" x14ac:dyDescent="0.25">
      <c r="A440" t="s">
        <v>385</v>
      </c>
      <c r="B440" t="s">
        <v>932</v>
      </c>
      <c r="C440" t="s">
        <v>933</v>
      </c>
      <c r="D440" t="s">
        <v>144</v>
      </c>
      <c r="E440" t="s">
        <v>934</v>
      </c>
      <c r="F440" s="1">
        <v>115</v>
      </c>
      <c r="G440" s="1">
        <v>0</v>
      </c>
      <c r="H440" t="s">
        <v>17</v>
      </c>
      <c r="I440" t="s">
        <v>475</v>
      </c>
      <c r="J440" t="s">
        <v>90</v>
      </c>
      <c r="K440" s="3">
        <v>46667</v>
      </c>
      <c r="L440" t="s">
        <v>935</v>
      </c>
      <c r="M440">
        <v>0</v>
      </c>
      <c r="N440">
        <v>0</v>
      </c>
      <c r="O440">
        <f t="shared" si="18"/>
        <v>0</v>
      </c>
      <c r="Q440" t="str">
        <f t="shared" si="20"/>
        <v>QM4-01</v>
      </c>
    </row>
    <row r="441" spans="1:17" x14ac:dyDescent="0.25">
      <c r="A441" t="s">
        <v>385</v>
      </c>
      <c r="B441" t="s">
        <v>932</v>
      </c>
      <c r="C441" t="s">
        <v>933</v>
      </c>
      <c r="D441" t="s">
        <v>144</v>
      </c>
      <c r="E441" t="s">
        <v>936</v>
      </c>
      <c r="F441" s="1">
        <v>208</v>
      </c>
      <c r="G441" s="1">
        <v>0</v>
      </c>
      <c r="H441" t="s">
        <v>17</v>
      </c>
      <c r="I441" t="s">
        <v>475</v>
      </c>
      <c r="J441" t="s">
        <v>90</v>
      </c>
      <c r="K441" s="3">
        <v>46394</v>
      </c>
      <c r="L441" t="s">
        <v>937</v>
      </c>
      <c r="M441">
        <v>0</v>
      </c>
      <c r="N441">
        <v>0</v>
      </c>
      <c r="O441">
        <f t="shared" si="18"/>
        <v>0</v>
      </c>
      <c r="Q441" t="str">
        <f t="shared" si="20"/>
        <v>QM4-01</v>
      </c>
    </row>
    <row r="442" spans="1:17" x14ac:dyDescent="0.25">
      <c r="A442" t="s">
        <v>385</v>
      </c>
      <c r="B442" t="s">
        <v>938</v>
      </c>
      <c r="C442" t="s">
        <v>939</v>
      </c>
      <c r="D442" t="s">
        <v>144</v>
      </c>
      <c r="E442" t="s">
        <v>940</v>
      </c>
      <c r="F442" s="1">
        <v>692</v>
      </c>
      <c r="G442" s="1">
        <v>0</v>
      </c>
      <c r="H442" t="s">
        <v>17</v>
      </c>
      <c r="I442" t="s">
        <v>475</v>
      </c>
      <c r="J442" t="s">
        <v>90</v>
      </c>
      <c r="K442" s="3">
        <v>46394</v>
      </c>
      <c r="L442" t="s">
        <v>123</v>
      </c>
      <c r="M442">
        <v>0</v>
      </c>
      <c r="N442">
        <v>0</v>
      </c>
      <c r="O442">
        <f t="shared" si="18"/>
        <v>0</v>
      </c>
      <c r="Q442" t="str">
        <f t="shared" si="20"/>
        <v>QM4-01</v>
      </c>
    </row>
    <row r="443" spans="1:17" x14ac:dyDescent="0.25">
      <c r="A443" t="s">
        <v>12</v>
      </c>
      <c r="B443" t="s">
        <v>941</v>
      </c>
      <c r="C443" t="s">
        <v>942</v>
      </c>
      <c r="D443" t="s">
        <v>121</v>
      </c>
      <c r="E443" t="s">
        <v>943</v>
      </c>
      <c r="F443" s="2">
        <v>1773</v>
      </c>
      <c r="G443" s="1">
        <v>0</v>
      </c>
      <c r="H443" t="s">
        <v>17</v>
      </c>
      <c r="I443" t="s">
        <v>475</v>
      </c>
      <c r="J443" t="s">
        <v>90</v>
      </c>
      <c r="K443" s="3">
        <v>46394</v>
      </c>
      <c r="L443" t="s">
        <v>123</v>
      </c>
      <c r="M443">
        <v>0</v>
      </c>
      <c r="N443">
        <v>0</v>
      </c>
      <c r="O443">
        <f t="shared" si="18"/>
        <v>0</v>
      </c>
      <c r="Q443" t="str">
        <f t="shared" si="20"/>
        <v>Q27-01</v>
      </c>
    </row>
    <row r="444" spans="1:17" x14ac:dyDescent="0.25">
      <c r="A444" t="s">
        <v>61</v>
      </c>
      <c r="B444" t="s">
        <v>456</v>
      </c>
      <c r="C444" t="s">
        <v>457</v>
      </c>
      <c r="D444" t="s">
        <v>244</v>
      </c>
      <c r="E444" t="s">
        <v>944</v>
      </c>
      <c r="F444" s="1">
        <v>4</v>
      </c>
      <c r="G444" s="1">
        <v>0</v>
      </c>
      <c r="H444" t="s">
        <v>17</v>
      </c>
      <c r="I444" t="s">
        <v>459</v>
      </c>
      <c r="J444" t="s">
        <v>945</v>
      </c>
      <c r="K444" s="3">
        <v>46295</v>
      </c>
      <c r="L444" t="s">
        <v>946</v>
      </c>
      <c r="M444">
        <v>0.22600000000000001</v>
      </c>
      <c r="N444">
        <v>1680</v>
      </c>
      <c r="O444">
        <f t="shared" si="18"/>
        <v>0.90400000000000003</v>
      </c>
      <c r="P444">
        <f t="shared" si="19"/>
        <v>2.3809523809523812E-3</v>
      </c>
      <c r="Q444" t="str">
        <f t="shared" si="20"/>
        <v>Q27-03</v>
      </c>
    </row>
    <row r="445" spans="1:17" x14ac:dyDescent="0.25">
      <c r="A445" t="s">
        <v>61</v>
      </c>
      <c r="B445" t="s">
        <v>456</v>
      </c>
      <c r="C445" t="s">
        <v>457</v>
      </c>
      <c r="D445" t="s">
        <v>195</v>
      </c>
      <c r="E445" t="s">
        <v>947</v>
      </c>
      <c r="F445" s="1">
        <v>20</v>
      </c>
      <c r="G445" s="1">
        <v>0</v>
      </c>
      <c r="H445" t="s">
        <v>17</v>
      </c>
      <c r="I445" t="s">
        <v>459</v>
      </c>
      <c r="J445" t="s">
        <v>945</v>
      </c>
      <c r="K445" s="3">
        <v>46264</v>
      </c>
      <c r="L445" t="s">
        <v>778</v>
      </c>
      <c r="M445">
        <v>0.22600000000000001</v>
      </c>
      <c r="N445">
        <v>1680</v>
      </c>
      <c r="O445">
        <f t="shared" si="18"/>
        <v>4.5200000000000005</v>
      </c>
      <c r="P445">
        <f t="shared" si="19"/>
        <v>1.1904761904761904E-2</v>
      </c>
      <c r="Q445" t="str">
        <f t="shared" si="20"/>
        <v>Q27-03</v>
      </c>
    </row>
    <row r="446" spans="1:17" x14ac:dyDescent="0.25">
      <c r="A446" t="s">
        <v>61</v>
      </c>
      <c r="B446" t="s">
        <v>71</v>
      </c>
      <c r="C446" t="s">
        <v>72</v>
      </c>
      <c r="D446" t="s">
        <v>180</v>
      </c>
      <c r="E446" t="s">
        <v>948</v>
      </c>
      <c r="F446" s="1">
        <v>1</v>
      </c>
      <c r="G446" s="1">
        <v>0</v>
      </c>
      <c r="H446" t="s">
        <v>17</v>
      </c>
      <c r="I446" t="s">
        <v>75</v>
      </c>
      <c r="J446" t="s">
        <v>945</v>
      </c>
      <c r="K446" s="3">
        <v>46265</v>
      </c>
      <c r="L446" t="s">
        <v>949</v>
      </c>
      <c r="M446">
        <v>0.3</v>
      </c>
      <c r="N446">
        <v>1680</v>
      </c>
      <c r="O446">
        <f t="shared" si="18"/>
        <v>0.3</v>
      </c>
      <c r="P446">
        <f t="shared" si="19"/>
        <v>5.9523809523809529E-4</v>
      </c>
      <c r="Q446" t="str">
        <f t="shared" si="20"/>
        <v>Q27-03</v>
      </c>
    </row>
    <row r="447" spans="1:17" x14ac:dyDescent="0.25">
      <c r="A447" t="s">
        <v>61</v>
      </c>
      <c r="B447" t="s">
        <v>317</v>
      </c>
      <c r="C447" t="s">
        <v>318</v>
      </c>
      <c r="D447" t="s">
        <v>336</v>
      </c>
      <c r="E447" t="s">
        <v>950</v>
      </c>
      <c r="F447" s="1">
        <v>67</v>
      </c>
      <c r="G447" s="1">
        <v>0</v>
      </c>
      <c r="H447" t="s">
        <v>17</v>
      </c>
      <c r="I447" t="s">
        <v>320</v>
      </c>
      <c r="J447" t="s">
        <v>945</v>
      </c>
      <c r="K447" s="3">
        <v>46538</v>
      </c>
      <c r="L447" t="s">
        <v>697</v>
      </c>
      <c r="M447">
        <v>0.04</v>
      </c>
      <c r="N447">
        <v>2688</v>
      </c>
      <c r="O447">
        <f t="shared" si="18"/>
        <v>2.68</v>
      </c>
      <c r="P447">
        <f t="shared" si="19"/>
        <v>2.492559523809524E-2</v>
      </c>
      <c r="Q447" t="str">
        <f t="shared" si="20"/>
        <v>Q27-03</v>
      </c>
    </row>
    <row r="448" spans="1:17" x14ac:dyDescent="0.25">
      <c r="A448" t="s">
        <v>61</v>
      </c>
      <c r="B448" t="s">
        <v>317</v>
      </c>
      <c r="C448" t="s">
        <v>318</v>
      </c>
      <c r="D448" t="s">
        <v>191</v>
      </c>
      <c r="E448" t="s">
        <v>951</v>
      </c>
      <c r="F448" s="1">
        <v>1</v>
      </c>
      <c r="G448" s="1">
        <v>0</v>
      </c>
      <c r="H448" t="s">
        <v>17</v>
      </c>
      <c r="I448" t="s">
        <v>320</v>
      </c>
      <c r="J448" t="s">
        <v>945</v>
      </c>
      <c r="K448" s="3">
        <v>46538</v>
      </c>
      <c r="L448" t="s">
        <v>697</v>
      </c>
      <c r="M448">
        <v>0.04</v>
      </c>
      <c r="N448">
        <v>2688</v>
      </c>
      <c r="O448">
        <f t="shared" si="18"/>
        <v>0.04</v>
      </c>
      <c r="P448">
        <f t="shared" si="19"/>
        <v>3.720238095238095E-4</v>
      </c>
      <c r="Q448" t="str">
        <f t="shared" si="20"/>
        <v>Q27-03</v>
      </c>
    </row>
    <row r="449" spans="1:17" x14ac:dyDescent="0.25">
      <c r="A449" t="s">
        <v>12</v>
      </c>
      <c r="B449" t="s">
        <v>952</v>
      </c>
      <c r="C449" t="s">
        <v>953</v>
      </c>
      <c r="D449" t="s">
        <v>121</v>
      </c>
      <c r="E449" t="s">
        <v>954</v>
      </c>
      <c r="F449" s="2">
        <v>1747</v>
      </c>
      <c r="G449" s="1">
        <v>0</v>
      </c>
      <c r="H449" t="s">
        <v>17</v>
      </c>
      <c r="I449" t="s">
        <v>475</v>
      </c>
      <c r="J449" t="s">
        <v>90</v>
      </c>
      <c r="K449" s="3">
        <v>46396</v>
      </c>
      <c r="L449" t="s">
        <v>123</v>
      </c>
      <c r="M449">
        <v>0</v>
      </c>
      <c r="N449">
        <v>0</v>
      </c>
      <c r="O449">
        <f t="shared" si="18"/>
        <v>0</v>
      </c>
      <c r="Q449" t="str">
        <f t="shared" si="20"/>
        <v>Q27-01</v>
      </c>
    </row>
    <row r="450" spans="1:17" x14ac:dyDescent="0.25">
      <c r="A450" t="s">
        <v>385</v>
      </c>
      <c r="B450" t="s">
        <v>955</v>
      </c>
      <c r="C450" t="s">
        <v>956</v>
      </c>
      <c r="D450" t="s">
        <v>144</v>
      </c>
      <c r="E450" t="s">
        <v>957</v>
      </c>
      <c r="F450" s="1">
        <v>404</v>
      </c>
      <c r="G450" s="1">
        <v>0</v>
      </c>
      <c r="H450" t="s">
        <v>17</v>
      </c>
      <c r="I450" t="s">
        <v>475</v>
      </c>
      <c r="J450" t="s">
        <v>90</v>
      </c>
      <c r="K450" s="3">
        <v>46396</v>
      </c>
      <c r="L450" t="s">
        <v>958</v>
      </c>
      <c r="M450">
        <v>0</v>
      </c>
      <c r="N450">
        <v>0</v>
      </c>
      <c r="O450">
        <f t="shared" si="18"/>
        <v>0</v>
      </c>
      <c r="Q450" t="str">
        <f t="shared" si="20"/>
        <v>QM4-01</v>
      </c>
    </row>
    <row r="451" spans="1:17" x14ac:dyDescent="0.25">
      <c r="A451" t="s">
        <v>385</v>
      </c>
      <c r="B451" t="s">
        <v>959</v>
      </c>
      <c r="C451" t="s">
        <v>960</v>
      </c>
      <c r="D451" t="s">
        <v>144</v>
      </c>
      <c r="E451" t="s">
        <v>961</v>
      </c>
      <c r="F451" s="1">
        <v>939</v>
      </c>
      <c r="G451" s="1">
        <v>0</v>
      </c>
      <c r="H451" t="s">
        <v>17</v>
      </c>
      <c r="I451" t="s">
        <v>84</v>
      </c>
      <c r="J451" t="s">
        <v>90</v>
      </c>
      <c r="K451" s="3">
        <v>46396</v>
      </c>
      <c r="L451" t="s">
        <v>958</v>
      </c>
      <c r="M451">
        <v>0</v>
      </c>
      <c r="N451">
        <v>0</v>
      </c>
      <c r="O451">
        <f t="shared" ref="O451:O514" si="21">F451*M451</f>
        <v>0</v>
      </c>
      <c r="Q451" t="str">
        <f t="shared" ref="Q451:Q514" si="22">LEFT(D451,6)</f>
        <v>QM4-01</v>
      </c>
    </row>
    <row r="452" spans="1:17" x14ac:dyDescent="0.25">
      <c r="A452" t="s">
        <v>12</v>
      </c>
      <c r="B452" t="s">
        <v>962</v>
      </c>
      <c r="C452" t="s">
        <v>963</v>
      </c>
      <c r="D452" t="s">
        <v>121</v>
      </c>
      <c r="E452" t="s">
        <v>964</v>
      </c>
      <c r="F452" s="2">
        <v>1850</v>
      </c>
      <c r="G452" s="1">
        <v>0</v>
      </c>
      <c r="H452" t="s">
        <v>17</v>
      </c>
      <c r="I452" t="s">
        <v>475</v>
      </c>
      <c r="J452" t="s">
        <v>90</v>
      </c>
      <c r="K452" s="3">
        <v>46403</v>
      </c>
      <c r="L452" t="s">
        <v>123</v>
      </c>
      <c r="M452">
        <v>0</v>
      </c>
      <c r="N452">
        <v>0</v>
      </c>
      <c r="O452">
        <f t="shared" si="21"/>
        <v>0</v>
      </c>
      <c r="Q452" t="str">
        <f t="shared" si="22"/>
        <v>Q27-01</v>
      </c>
    </row>
    <row r="453" spans="1:17" x14ac:dyDescent="0.25">
      <c r="A453" t="s">
        <v>12</v>
      </c>
      <c r="B453" t="s">
        <v>965</v>
      </c>
      <c r="C453" t="s">
        <v>966</v>
      </c>
      <c r="D453" t="s">
        <v>121</v>
      </c>
      <c r="E453" t="s">
        <v>967</v>
      </c>
      <c r="F453" s="2">
        <v>1240</v>
      </c>
      <c r="G453" s="1">
        <v>0</v>
      </c>
      <c r="H453" t="s">
        <v>17</v>
      </c>
      <c r="I453" t="s">
        <v>475</v>
      </c>
      <c r="J453" t="s">
        <v>90</v>
      </c>
      <c r="K453" s="3">
        <v>46403</v>
      </c>
      <c r="L453" t="s">
        <v>123</v>
      </c>
      <c r="M453">
        <v>0</v>
      </c>
      <c r="N453">
        <v>0</v>
      </c>
      <c r="O453">
        <f t="shared" si="21"/>
        <v>0</v>
      </c>
      <c r="Q453" t="str">
        <f t="shared" si="22"/>
        <v>Q27-01</v>
      </c>
    </row>
    <row r="454" spans="1:17" x14ac:dyDescent="0.25">
      <c r="A454" t="s">
        <v>12</v>
      </c>
      <c r="B454" t="s">
        <v>968</v>
      </c>
      <c r="C454" t="s">
        <v>969</v>
      </c>
      <c r="D454" t="s">
        <v>144</v>
      </c>
      <c r="E454" t="s">
        <v>970</v>
      </c>
      <c r="F454" s="2">
        <v>1292</v>
      </c>
      <c r="G454" s="1">
        <v>0</v>
      </c>
      <c r="H454" t="s">
        <v>17</v>
      </c>
      <c r="I454" t="s">
        <v>84</v>
      </c>
      <c r="J454" t="s">
        <v>90</v>
      </c>
      <c r="K454" s="3">
        <v>46403</v>
      </c>
      <c r="L454" t="s">
        <v>123</v>
      </c>
      <c r="M454">
        <v>0</v>
      </c>
      <c r="N454">
        <v>0</v>
      </c>
      <c r="O454">
        <f t="shared" si="21"/>
        <v>0</v>
      </c>
      <c r="Q454" t="str">
        <f t="shared" si="22"/>
        <v>QM4-01</v>
      </c>
    </row>
    <row r="455" spans="1:17" x14ac:dyDescent="0.25">
      <c r="A455" t="s">
        <v>12</v>
      </c>
      <c r="B455" t="s">
        <v>971</v>
      </c>
      <c r="C455" t="s">
        <v>972</v>
      </c>
      <c r="D455" t="s">
        <v>973</v>
      </c>
      <c r="E455" t="s">
        <v>974</v>
      </c>
      <c r="F455" s="2">
        <v>11633</v>
      </c>
      <c r="G455" s="1">
        <v>0</v>
      </c>
      <c r="H455" t="s">
        <v>17</v>
      </c>
      <c r="I455" t="s">
        <v>975</v>
      </c>
      <c r="J455" t="s">
        <v>976</v>
      </c>
      <c r="K455" s="3">
        <v>46133</v>
      </c>
      <c r="L455" t="s">
        <v>977</v>
      </c>
      <c r="M455">
        <v>1.7999999999999999E-2</v>
      </c>
      <c r="N455">
        <v>12000</v>
      </c>
      <c r="O455">
        <f t="shared" si="21"/>
        <v>209.39399999999998</v>
      </c>
      <c r="P455">
        <f t="shared" ref="P451:P514" si="23">F455/N455</f>
        <v>0.9694166666666667</v>
      </c>
      <c r="Q455" t="str">
        <f t="shared" si="22"/>
        <v>Q27-01</v>
      </c>
    </row>
    <row r="456" spans="1:17" x14ac:dyDescent="0.25">
      <c r="A456" t="s">
        <v>12</v>
      </c>
      <c r="B456" t="s">
        <v>830</v>
      </c>
      <c r="C456" t="s">
        <v>831</v>
      </c>
      <c r="D456" t="s">
        <v>77</v>
      </c>
      <c r="E456" t="s">
        <v>832</v>
      </c>
      <c r="F456" s="1">
        <v>4</v>
      </c>
      <c r="G456" s="1">
        <v>0</v>
      </c>
      <c r="H456" t="s">
        <v>17</v>
      </c>
      <c r="I456" t="s">
        <v>833</v>
      </c>
      <c r="J456" t="s">
        <v>978</v>
      </c>
      <c r="K456" s="3">
        <v>46022</v>
      </c>
      <c r="L456" t="s">
        <v>835</v>
      </c>
      <c r="M456">
        <v>0.04</v>
      </c>
      <c r="N456">
        <v>3120</v>
      </c>
      <c r="O456">
        <f t="shared" si="21"/>
        <v>0.16</v>
      </c>
      <c r="P456">
        <f t="shared" si="23"/>
        <v>1.2820512820512821E-3</v>
      </c>
      <c r="Q456" t="str">
        <f t="shared" si="22"/>
        <v>Q27-01</v>
      </c>
    </row>
    <row r="457" spans="1:17" x14ac:dyDescent="0.25">
      <c r="A457" t="s">
        <v>385</v>
      </c>
      <c r="B457" t="s">
        <v>979</v>
      </c>
      <c r="C457" t="s">
        <v>980</v>
      </c>
      <c r="D457" t="s">
        <v>388</v>
      </c>
      <c r="E457" t="s">
        <v>981</v>
      </c>
      <c r="F457" s="1">
        <v>8</v>
      </c>
      <c r="G457" s="1">
        <v>0</v>
      </c>
      <c r="H457" t="s">
        <v>17</v>
      </c>
      <c r="I457" t="s">
        <v>982</v>
      </c>
      <c r="J457" t="s">
        <v>983</v>
      </c>
      <c r="K457" s="3">
        <v>46302</v>
      </c>
      <c r="L457" t="s">
        <v>984</v>
      </c>
      <c r="M457">
        <v>1.9E-2</v>
      </c>
      <c r="N457">
        <v>4320</v>
      </c>
      <c r="O457">
        <f t="shared" si="21"/>
        <v>0.152</v>
      </c>
      <c r="P457">
        <f t="shared" si="23"/>
        <v>1.8518518518518519E-3</v>
      </c>
      <c r="Q457" t="str">
        <f t="shared" si="22"/>
        <v>Q26-03</v>
      </c>
    </row>
    <row r="458" spans="1:17" x14ac:dyDescent="0.25">
      <c r="A458" t="s">
        <v>385</v>
      </c>
      <c r="B458" t="s">
        <v>979</v>
      </c>
      <c r="C458" t="s">
        <v>980</v>
      </c>
      <c r="D458" t="s">
        <v>388</v>
      </c>
      <c r="E458" t="s">
        <v>985</v>
      </c>
      <c r="F458" s="1">
        <v>1</v>
      </c>
      <c r="G458" s="1">
        <v>0</v>
      </c>
      <c r="H458" t="s">
        <v>17</v>
      </c>
      <c r="I458" t="s">
        <v>982</v>
      </c>
      <c r="J458" t="s">
        <v>983</v>
      </c>
      <c r="K458" s="3">
        <v>46302</v>
      </c>
      <c r="L458" t="s">
        <v>984</v>
      </c>
      <c r="M458">
        <v>1.9E-2</v>
      </c>
      <c r="N458">
        <v>4320</v>
      </c>
      <c r="O458">
        <f t="shared" si="21"/>
        <v>1.9E-2</v>
      </c>
      <c r="P458">
        <f t="shared" si="23"/>
        <v>2.3148148148148149E-4</v>
      </c>
      <c r="Q458" t="str">
        <f t="shared" si="22"/>
        <v>Q26-03</v>
      </c>
    </row>
    <row r="459" spans="1:17" x14ac:dyDescent="0.25">
      <c r="A459" t="s">
        <v>12</v>
      </c>
      <c r="B459" t="s">
        <v>986</v>
      </c>
      <c r="C459" t="s">
        <v>987</v>
      </c>
      <c r="D459" t="s">
        <v>121</v>
      </c>
      <c r="E459" t="s">
        <v>988</v>
      </c>
      <c r="F459" s="2">
        <v>1146</v>
      </c>
      <c r="G459" s="1">
        <v>0</v>
      </c>
      <c r="H459" t="s">
        <v>17</v>
      </c>
      <c r="I459" t="s">
        <v>84</v>
      </c>
      <c r="J459" t="s">
        <v>90</v>
      </c>
      <c r="K459" s="3">
        <v>46409</v>
      </c>
      <c r="L459" t="s">
        <v>123</v>
      </c>
      <c r="M459">
        <v>0</v>
      </c>
      <c r="N459">
        <v>0</v>
      </c>
      <c r="O459">
        <f t="shared" si="21"/>
        <v>0</v>
      </c>
      <c r="Q459" t="str">
        <f t="shared" si="22"/>
        <v>Q27-01</v>
      </c>
    </row>
    <row r="460" spans="1:17" x14ac:dyDescent="0.25">
      <c r="A460" t="s">
        <v>12</v>
      </c>
      <c r="B460" t="s">
        <v>989</v>
      </c>
      <c r="C460" t="s">
        <v>990</v>
      </c>
      <c r="D460" t="s">
        <v>121</v>
      </c>
      <c r="E460" t="s">
        <v>991</v>
      </c>
      <c r="F460" s="2">
        <v>1649</v>
      </c>
      <c r="G460" s="1">
        <v>0</v>
      </c>
      <c r="H460" t="s">
        <v>17</v>
      </c>
      <c r="I460" t="s">
        <v>84</v>
      </c>
      <c r="J460" t="s">
        <v>90</v>
      </c>
      <c r="K460" s="3">
        <v>46409</v>
      </c>
      <c r="L460" t="s">
        <v>123</v>
      </c>
      <c r="M460">
        <v>0</v>
      </c>
      <c r="N460">
        <v>0</v>
      </c>
      <c r="O460">
        <f t="shared" si="21"/>
        <v>0</v>
      </c>
      <c r="Q460" t="str">
        <f t="shared" si="22"/>
        <v>Q27-01</v>
      </c>
    </row>
    <row r="461" spans="1:17" x14ac:dyDescent="0.25">
      <c r="A461" t="s">
        <v>12</v>
      </c>
      <c r="B461" t="s">
        <v>992</v>
      </c>
      <c r="C461" t="s">
        <v>993</v>
      </c>
      <c r="D461" t="s">
        <v>121</v>
      </c>
      <c r="E461" t="s">
        <v>994</v>
      </c>
      <c r="F461" s="1">
        <v>806</v>
      </c>
      <c r="G461" s="1">
        <v>0</v>
      </c>
      <c r="H461" t="s">
        <v>17</v>
      </c>
      <c r="I461" t="s">
        <v>84</v>
      </c>
      <c r="J461" t="s">
        <v>90</v>
      </c>
      <c r="K461" s="3">
        <v>46409</v>
      </c>
      <c r="L461" t="s">
        <v>123</v>
      </c>
      <c r="M461">
        <v>0</v>
      </c>
      <c r="N461">
        <v>0</v>
      </c>
      <c r="O461">
        <f t="shared" si="21"/>
        <v>0</v>
      </c>
      <c r="Q461" t="str">
        <f t="shared" si="22"/>
        <v>Q27-01</v>
      </c>
    </row>
    <row r="462" spans="1:17" x14ac:dyDescent="0.25">
      <c r="A462" t="s">
        <v>61</v>
      </c>
      <c r="B462" t="s">
        <v>166</v>
      </c>
      <c r="C462" t="s">
        <v>167</v>
      </c>
      <c r="D462" t="s">
        <v>73</v>
      </c>
      <c r="E462" t="s">
        <v>995</v>
      </c>
      <c r="F462" s="1">
        <v>1</v>
      </c>
      <c r="G462" s="1">
        <v>0</v>
      </c>
      <c r="H462" t="s">
        <v>17</v>
      </c>
      <c r="I462" t="s">
        <v>170</v>
      </c>
      <c r="J462" t="s">
        <v>996</v>
      </c>
      <c r="K462" s="3">
        <v>46173</v>
      </c>
      <c r="L462" t="s">
        <v>179</v>
      </c>
      <c r="M462">
        <v>9.2999999999999999E-2</v>
      </c>
      <c r="N462">
        <v>1536</v>
      </c>
      <c r="O462">
        <f t="shared" si="21"/>
        <v>9.2999999999999999E-2</v>
      </c>
      <c r="P462">
        <f t="shared" si="23"/>
        <v>6.5104166666666663E-4</v>
      </c>
      <c r="Q462" t="str">
        <f t="shared" si="22"/>
        <v>Q26-01</v>
      </c>
    </row>
    <row r="463" spans="1:17" x14ac:dyDescent="0.25">
      <c r="A463" t="s">
        <v>61</v>
      </c>
      <c r="B463" t="s">
        <v>219</v>
      </c>
      <c r="C463" t="s">
        <v>220</v>
      </c>
      <c r="D463" t="s">
        <v>73</v>
      </c>
      <c r="E463" t="s">
        <v>997</v>
      </c>
      <c r="F463" s="1">
        <v>1</v>
      </c>
      <c r="G463" s="1">
        <v>0</v>
      </c>
      <c r="H463" t="s">
        <v>17</v>
      </c>
      <c r="I463" t="s">
        <v>222</v>
      </c>
      <c r="J463" t="s">
        <v>996</v>
      </c>
      <c r="K463" s="3">
        <v>46081</v>
      </c>
      <c r="L463" t="s">
        <v>224</v>
      </c>
      <c r="M463">
        <v>0.3</v>
      </c>
      <c r="N463">
        <v>1680</v>
      </c>
      <c r="O463">
        <f t="shared" si="21"/>
        <v>0.3</v>
      </c>
      <c r="P463">
        <f t="shared" si="23"/>
        <v>5.9523809523809529E-4</v>
      </c>
      <c r="Q463" t="str">
        <f t="shared" si="22"/>
        <v>Q26-01</v>
      </c>
    </row>
    <row r="464" spans="1:17" x14ac:dyDescent="0.25">
      <c r="A464" t="s">
        <v>61</v>
      </c>
      <c r="B464" t="s">
        <v>219</v>
      </c>
      <c r="C464" t="s">
        <v>220</v>
      </c>
      <c r="D464" t="s">
        <v>180</v>
      </c>
      <c r="E464" t="s">
        <v>998</v>
      </c>
      <c r="F464" s="1">
        <v>1</v>
      </c>
      <c r="G464" s="1">
        <v>0</v>
      </c>
      <c r="H464" t="s">
        <v>17</v>
      </c>
      <c r="I464" t="s">
        <v>222</v>
      </c>
      <c r="J464" t="s">
        <v>999</v>
      </c>
      <c r="K464" s="3">
        <v>46265</v>
      </c>
      <c r="L464" t="s">
        <v>1000</v>
      </c>
      <c r="M464">
        <v>0.3</v>
      </c>
      <c r="N464">
        <v>1680</v>
      </c>
      <c r="O464">
        <f t="shared" si="21"/>
        <v>0.3</v>
      </c>
      <c r="P464">
        <f t="shared" si="23"/>
        <v>5.9523809523809529E-4</v>
      </c>
      <c r="Q464" t="str">
        <f t="shared" si="22"/>
        <v>Q27-03</v>
      </c>
    </row>
    <row r="465" spans="1:17" x14ac:dyDescent="0.25">
      <c r="A465" t="s">
        <v>61</v>
      </c>
      <c r="B465" t="s">
        <v>456</v>
      </c>
      <c r="C465" t="s">
        <v>457</v>
      </c>
      <c r="D465" t="s">
        <v>191</v>
      </c>
      <c r="E465" t="s">
        <v>1001</v>
      </c>
      <c r="F465" s="1">
        <v>4</v>
      </c>
      <c r="G465" s="1">
        <v>0</v>
      </c>
      <c r="H465" t="s">
        <v>17</v>
      </c>
      <c r="I465" t="s">
        <v>459</v>
      </c>
      <c r="J465" t="s">
        <v>999</v>
      </c>
      <c r="K465" s="3">
        <v>46265</v>
      </c>
      <c r="L465" t="s">
        <v>1002</v>
      </c>
      <c r="M465">
        <v>0.22600000000000001</v>
      </c>
      <c r="N465">
        <v>1680</v>
      </c>
      <c r="O465">
        <f t="shared" si="21"/>
        <v>0.90400000000000003</v>
      </c>
      <c r="P465">
        <f t="shared" si="23"/>
        <v>2.3809523809523812E-3</v>
      </c>
      <c r="Q465" t="str">
        <f t="shared" si="22"/>
        <v>Q27-03</v>
      </c>
    </row>
    <row r="466" spans="1:17" x14ac:dyDescent="0.25">
      <c r="A466" t="s">
        <v>61</v>
      </c>
      <c r="B466" t="s">
        <v>456</v>
      </c>
      <c r="C466" t="s">
        <v>457</v>
      </c>
      <c r="D466" t="s">
        <v>198</v>
      </c>
      <c r="E466" t="s">
        <v>1003</v>
      </c>
      <c r="F466" s="1">
        <v>3</v>
      </c>
      <c r="G466" s="1">
        <v>0</v>
      </c>
      <c r="H466" t="s">
        <v>17</v>
      </c>
      <c r="I466" t="s">
        <v>459</v>
      </c>
      <c r="J466" t="s">
        <v>999</v>
      </c>
      <c r="K466" s="3">
        <v>46265</v>
      </c>
      <c r="L466" t="s">
        <v>1002</v>
      </c>
      <c r="M466">
        <v>0.22600000000000001</v>
      </c>
      <c r="N466">
        <v>1680</v>
      </c>
      <c r="O466">
        <f t="shared" si="21"/>
        <v>0.67800000000000005</v>
      </c>
      <c r="P466">
        <f t="shared" si="23"/>
        <v>1.7857142857142857E-3</v>
      </c>
      <c r="Q466" t="str">
        <f t="shared" si="22"/>
        <v>Q27-03</v>
      </c>
    </row>
    <row r="467" spans="1:17" x14ac:dyDescent="0.25">
      <c r="A467" t="s">
        <v>61</v>
      </c>
      <c r="B467" t="s">
        <v>71</v>
      </c>
      <c r="C467" t="s">
        <v>72</v>
      </c>
      <c r="D467" t="s">
        <v>180</v>
      </c>
      <c r="E467" t="s">
        <v>1004</v>
      </c>
      <c r="F467" s="1">
        <v>9</v>
      </c>
      <c r="G467" s="1">
        <v>0</v>
      </c>
      <c r="H467" t="s">
        <v>17</v>
      </c>
      <c r="I467" t="s">
        <v>75</v>
      </c>
      <c r="J467" t="s">
        <v>999</v>
      </c>
      <c r="K467" s="3">
        <v>46295</v>
      </c>
      <c r="L467" t="s">
        <v>1005</v>
      </c>
      <c r="M467">
        <v>0.3</v>
      </c>
      <c r="N467">
        <v>1680</v>
      </c>
      <c r="O467">
        <f t="shared" si="21"/>
        <v>2.6999999999999997</v>
      </c>
      <c r="P467">
        <f t="shared" si="23"/>
        <v>5.3571428571428572E-3</v>
      </c>
      <c r="Q467" t="str">
        <f t="shared" si="22"/>
        <v>Q27-03</v>
      </c>
    </row>
    <row r="468" spans="1:17" x14ac:dyDescent="0.25">
      <c r="A468" t="s">
        <v>61</v>
      </c>
      <c r="B468" t="s">
        <v>71</v>
      </c>
      <c r="C468" t="s">
        <v>72</v>
      </c>
      <c r="D468" t="s">
        <v>180</v>
      </c>
      <c r="E468" t="s">
        <v>1006</v>
      </c>
      <c r="F468" s="1">
        <v>5</v>
      </c>
      <c r="G468" s="1">
        <v>0</v>
      </c>
      <c r="H468" t="s">
        <v>17</v>
      </c>
      <c r="I468" t="s">
        <v>75</v>
      </c>
      <c r="J468" t="s">
        <v>999</v>
      </c>
      <c r="K468" s="3">
        <v>46295</v>
      </c>
      <c r="L468" t="s">
        <v>1005</v>
      </c>
      <c r="M468">
        <v>0.3</v>
      </c>
      <c r="N468">
        <v>1680</v>
      </c>
      <c r="O468">
        <f t="shared" si="21"/>
        <v>1.5</v>
      </c>
      <c r="P468">
        <f t="shared" si="23"/>
        <v>2.976190476190476E-3</v>
      </c>
      <c r="Q468" t="str">
        <f t="shared" si="22"/>
        <v>Q27-03</v>
      </c>
    </row>
    <row r="469" spans="1:17" x14ac:dyDescent="0.25">
      <c r="A469" t="s">
        <v>61</v>
      </c>
      <c r="B469" t="s">
        <v>71</v>
      </c>
      <c r="C469" t="s">
        <v>72</v>
      </c>
      <c r="D469" t="s">
        <v>198</v>
      </c>
      <c r="E469" t="s">
        <v>1007</v>
      </c>
      <c r="F469" s="1">
        <v>41</v>
      </c>
      <c r="G469" s="1">
        <v>0</v>
      </c>
      <c r="H469" t="s">
        <v>17</v>
      </c>
      <c r="I469" t="s">
        <v>75</v>
      </c>
      <c r="J469" t="s">
        <v>999</v>
      </c>
      <c r="K469" s="3">
        <v>46295</v>
      </c>
      <c r="L469" t="s">
        <v>1005</v>
      </c>
      <c r="M469">
        <v>0.3</v>
      </c>
      <c r="N469">
        <v>1680</v>
      </c>
      <c r="O469">
        <f t="shared" si="21"/>
        <v>12.299999999999999</v>
      </c>
      <c r="P469">
        <f t="shared" si="23"/>
        <v>2.4404761904761905E-2</v>
      </c>
      <c r="Q469" t="str">
        <f t="shared" si="22"/>
        <v>Q27-03</v>
      </c>
    </row>
    <row r="470" spans="1:17" x14ac:dyDescent="0.25">
      <c r="A470" t="s">
        <v>61</v>
      </c>
      <c r="B470" t="s">
        <v>456</v>
      </c>
      <c r="C470" t="s">
        <v>457</v>
      </c>
      <c r="D470" t="s">
        <v>244</v>
      </c>
      <c r="E470" t="s">
        <v>1008</v>
      </c>
      <c r="F470" s="1">
        <v>9</v>
      </c>
      <c r="G470" s="1">
        <v>0</v>
      </c>
      <c r="H470" t="s">
        <v>17</v>
      </c>
      <c r="I470" t="s">
        <v>459</v>
      </c>
      <c r="J470" t="s">
        <v>999</v>
      </c>
      <c r="K470" s="3">
        <v>46295</v>
      </c>
      <c r="L470" t="s">
        <v>946</v>
      </c>
      <c r="M470">
        <v>0.22600000000000001</v>
      </c>
      <c r="N470">
        <v>1680</v>
      </c>
      <c r="O470">
        <f t="shared" si="21"/>
        <v>2.0340000000000003</v>
      </c>
      <c r="P470">
        <f t="shared" si="23"/>
        <v>5.3571428571428572E-3</v>
      </c>
      <c r="Q470" t="str">
        <f t="shared" si="22"/>
        <v>Q27-03</v>
      </c>
    </row>
    <row r="471" spans="1:17" x14ac:dyDescent="0.25">
      <c r="A471" t="s">
        <v>61</v>
      </c>
      <c r="B471" t="s">
        <v>317</v>
      </c>
      <c r="C471" t="s">
        <v>318</v>
      </c>
      <c r="D471" t="s">
        <v>180</v>
      </c>
      <c r="E471" t="s">
        <v>1009</v>
      </c>
      <c r="F471" s="1">
        <v>1</v>
      </c>
      <c r="G471" s="1">
        <v>0</v>
      </c>
      <c r="H471" t="s">
        <v>17</v>
      </c>
      <c r="I471" t="s">
        <v>320</v>
      </c>
      <c r="J471" t="s">
        <v>999</v>
      </c>
      <c r="K471" s="3">
        <v>46599</v>
      </c>
      <c r="L471" t="s">
        <v>1010</v>
      </c>
      <c r="M471">
        <v>0.04</v>
      </c>
      <c r="N471">
        <v>2688</v>
      </c>
      <c r="O471">
        <f t="shared" si="21"/>
        <v>0.04</v>
      </c>
      <c r="P471">
        <f t="shared" si="23"/>
        <v>3.720238095238095E-4</v>
      </c>
      <c r="Q471" t="str">
        <f t="shared" si="22"/>
        <v>Q27-03</v>
      </c>
    </row>
    <row r="472" spans="1:17" x14ac:dyDescent="0.25">
      <c r="A472" t="s">
        <v>61</v>
      </c>
      <c r="B472" t="s">
        <v>317</v>
      </c>
      <c r="C472" t="s">
        <v>318</v>
      </c>
      <c r="D472" t="s">
        <v>180</v>
      </c>
      <c r="E472" t="s">
        <v>1011</v>
      </c>
      <c r="F472" s="1">
        <v>9</v>
      </c>
      <c r="G472" s="1">
        <v>0</v>
      </c>
      <c r="H472" t="s">
        <v>17</v>
      </c>
      <c r="I472" t="s">
        <v>320</v>
      </c>
      <c r="J472" t="s">
        <v>999</v>
      </c>
      <c r="K472" s="3">
        <v>46599</v>
      </c>
      <c r="L472" t="s">
        <v>1010</v>
      </c>
      <c r="M472">
        <v>0.04</v>
      </c>
      <c r="N472">
        <v>2688</v>
      </c>
      <c r="O472">
        <f t="shared" si="21"/>
        <v>0.36</v>
      </c>
      <c r="P472">
        <f t="shared" si="23"/>
        <v>3.3482142857142855E-3</v>
      </c>
      <c r="Q472" t="str">
        <f t="shared" si="22"/>
        <v>Q27-03</v>
      </c>
    </row>
    <row r="473" spans="1:17" x14ac:dyDescent="0.25">
      <c r="A473" t="s">
        <v>61</v>
      </c>
      <c r="B473" t="s">
        <v>317</v>
      </c>
      <c r="C473" t="s">
        <v>318</v>
      </c>
      <c r="D473" t="s">
        <v>180</v>
      </c>
      <c r="E473" t="s">
        <v>1012</v>
      </c>
      <c r="F473" s="1">
        <v>2</v>
      </c>
      <c r="G473" s="1">
        <v>0</v>
      </c>
      <c r="H473" t="s">
        <v>17</v>
      </c>
      <c r="I473" t="s">
        <v>320</v>
      </c>
      <c r="J473" t="s">
        <v>999</v>
      </c>
      <c r="K473" s="3">
        <v>46599</v>
      </c>
      <c r="L473" t="s">
        <v>1010</v>
      </c>
      <c r="M473">
        <v>0.04</v>
      </c>
      <c r="N473">
        <v>2688</v>
      </c>
      <c r="O473">
        <f t="shared" si="21"/>
        <v>0.08</v>
      </c>
      <c r="P473">
        <f t="shared" si="23"/>
        <v>7.4404761904761901E-4</v>
      </c>
      <c r="Q473" t="str">
        <f t="shared" si="22"/>
        <v>Q27-03</v>
      </c>
    </row>
    <row r="474" spans="1:17" x14ac:dyDescent="0.25">
      <c r="A474" t="s">
        <v>61</v>
      </c>
      <c r="B474" t="s">
        <v>317</v>
      </c>
      <c r="C474" t="s">
        <v>318</v>
      </c>
      <c r="D474" t="s">
        <v>191</v>
      </c>
      <c r="E474" t="s">
        <v>1013</v>
      </c>
      <c r="F474" s="1">
        <v>2</v>
      </c>
      <c r="G474" s="1">
        <v>0</v>
      </c>
      <c r="H474" t="s">
        <v>17</v>
      </c>
      <c r="I474" t="s">
        <v>320</v>
      </c>
      <c r="J474" t="s">
        <v>999</v>
      </c>
      <c r="K474" s="3">
        <v>46599</v>
      </c>
      <c r="L474" t="s">
        <v>1010</v>
      </c>
      <c r="M474">
        <v>0.04</v>
      </c>
      <c r="N474">
        <v>2688</v>
      </c>
      <c r="O474">
        <f t="shared" si="21"/>
        <v>0.08</v>
      </c>
      <c r="P474">
        <f t="shared" si="23"/>
        <v>7.4404761904761901E-4</v>
      </c>
      <c r="Q474" t="str">
        <f t="shared" si="22"/>
        <v>Q27-03</v>
      </c>
    </row>
    <row r="475" spans="1:17" x14ac:dyDescent="0.25">
      <c r="A475" t="s">
        <v>61</v>
      </c>
      <c r="B475" t="s">
        <v>317</v>
      </c>
      <c r="C475" t="s">
        <v>318</v>
      </c>
      <c r="D475" t="s">
        <v>198</v>
      </c>
      <c r="E475" t="s">
        <v>1014</v>
      </c>
      <c r="F475" s="1">
        <v>7</v>
      </c>
      <c r="G475" s="1">
        <v>0</v>
      </c>
      <c r="H475" t="s">
        <v>17</v>
      </c>
      <c r="I475" t="s">
        <v>320</v>
      </c>
      <c r="J475" t="s">
        <v>999</v>
      </c>
      <c r="K475" s="3">
        <v>46599</v>
      </c>
      <c r="L475" t="s">
        <v>1010</v>
      </c>
      <c r="M475">
        <v>0.04</v>
      </c>
      <c r="N475">
        <v>2688</v>
      </c>
      <c r="O475">
        <f t="shared" si="21"/>
        <v>0.28000000000000003</v>
      </c>
      <c r="P475">
        <f t="shared" si="23"/>
        <v>2.6041666666666665E-3</v>
      </c>
      <c r="Q475" t="str">
        <f t="shared" si="22"/>
        <v>Q27-03</v>
      </c>
    </row>
    <row r="476" spans="1:17" x14ac:dyDescent="0.25">
      <c r="A476" t="s">
        <v>61</v>
      </c>
      <c r="B476" t="s">
        <v>317</v>
      </c>
      <c r="C476" t="s">
        <v>318</v>
      </c>
      <c r="D476" t="s">
        <v>198</v>
      </c>
      <c r="E476" t="s">
        <v>1015</v>
      </c>
      <c r="F476" s="1">
        <v>4</v>
      </c>
      <c r="G476" s="1">
        <v>0</v>
      </c>
      <c r="H476" t="s">
        <v>17</v>
      </c>
      <c r="I476" t="s">
        <v>320</v>
      </c>
      <c r="J476" t="s">
        <v>999</v>
      </c>
      <c r="K476" s="3">
        <v>46599</v>
      </c>
      <c r="L476" t="s">
        <v>1010</v>
      </c>
      <c r="M476">
        <v>0.04</v>
      </c>
      <c r="N476">
        <v>2688</v>
      </c>
      <c r="O476">
        <f t="shared" si="21"/>
        <v>0.16</v>
      </c>
      <c r="P476">
        <f t="shared" si="23"/>
        <v>1.488095238095238E-3</v>
      </c>
      <c r="Q476" t="str">
        <f t="shared" si="22"/>
        <v>Q27-03</v>
      </c>
    </row>
    <row r="477" spans="1:17" x14ac:dyDescent="0.25">
      <c r="A477" t="s">
        <v>61</v>
      </c>
      <c r="B477" t="s">
        <v>317</v>
      </c>
      <c r="C477" t="s">
        <v>318</v>
      </c>
      <c r="D477" t="s">
        <v>198</v>
      </c>
      <c r="E477" t="s">
        <v>1016</v>
      </c>
      <c r="F477" s="1">
        <v>3</v>
      </c>
      <c r="G477" s="1">
        <v>0</v>
      </c>
      <c r="H477" t="s">
        <v>17</v>
      </c>
      <c r="I477" t="s">
        <v>320</v>
      </c>
      <c r="J477" t="s">
        <v>999</v>
      </c>
      <c r="K477" s="3">
        <v>46599</v>
      </c>
      <c r="L477" t="s">
        <v>1010</v>
      </c>
      <c r="M477">
        <v>0.04</v>
      </c>
      <c r="N477">
        <v>2688</v>
      </c>
      <c r="O477">
        <f t="shared" si="21"/>
        <v>0.12</v>
      </c>
      <c r="P477">
        <f t="shared" si="23"/>
        <v>1.1160714285714285E-3</v>
      </c>
      <c r="Q477" t="str">
        <f t="shared" si="22"/>
        <v>Q27-03</v>
      </c>
    </row>
    <row r="478" spans="1:17" x14ac:dyDescent="0.25">
      <c r="A478" t="s">
        <v>12</v>
      </c>
      <c r="B478" t="s">
        <v>427</v>
      </c>
      <c r="C478" t="s">
        <v>428</v>
      </c>
      <c r="D478" t="s">
        <v>112</v>
      </c>
      <c r="E478" t="s">
        <v>429</v>
      </c>
      <c r="F478" s="1">
        <v>10</v>
      </c>
      <c r="G478" s="1">
        <v>0</v>
      </c>
      <c r="H478" t="s">
        <v>17</v>
      </c>
      <c r="I478" t="s">
        <v>84</v>
      </c>
      <c r="J478" t="s">
        <v>1017</v>
      </c>
      <c r="K478" s="3">
        <v>46100</v>
      </c>
      <c r="L478" t="s">
        <v>431</v>
      </c>
      <c r="M478">
        <v>0.128</v>
      </c>
      <c r="N478">
        <v>2400</v>
      </c>
      <c r="O478">
        <f t="shared" si="21"/>
        <v>1.28</v>
      </c>
      <c r="P478">
        <f t="shared" si="23"/>
        <v>4.1666666666666666E-3</v>
      </c>
      <c r="Q478" t="str">
        <f t="shared" si="22"/>
        <v>Q27-01</v>
      </c>
    </row>
    <row r="479" spans="1:17" x14ac:dyDescent="0.25">
      <c r="A479" t="s">
        <v>12</v>
      </c>
      <c r="B479" t="s">
        <v>1018</v>
      </c>
      <c r="C479" t="s">
        <v>1019</v>
      </c>
      <c r="D479" t="s">
        <v>57</v>
      </c>
      <c r="E479" t="s">
        <v>1020</v>
      </c>
      <c r="F479" s="1">
        <v>2</v>
      </c>
      <c r="G479" s="1">
        <v>0</v>
      </c>
      <c r="H479" t="s">
        <v>17</v>
      </c>
      <c r="I479" t="s">
        <v>1021</v>
      </c>
      <c r="J479" t="s">
        <v>1022</v>
      </c>
      <c r="K479" s="3">
        <v>46326</v>
      </c>
      <c r="L479" t="s">
        <v>1023</v>
      </c>
      <c r="M479">
        <v>1.9E-2</v>
      </c>
      <c r="N479">
        <v>5184</v>
      </c>
      <c r="O479">
        <f t="shared" si="21"/>
        <v>3.7999999999999999E-2</v>
      </c>
      <c r="P479">
        <f t="shared" si="23"/>
        <v>3.8580246913580245E-4</v>
      </c>
      <c r="Q479" t="str">
        <f t="shared" si="22"/>
        <v>Q26-03</v>
      </c>
    </row>
    <row r="480" spans="1:17" x14ac:dyDescent="0.25">
      <c r="A480" t="s">
        <v>12</v>
      </c>
      <c r="B480" t="s">
        <v>1024</v>
      </c>
      <c r="C480" t="s">
        <v>1025</v>
      </c>
      <c r="D480" t="s">
        <v>77</v>
      </c>
      <c r="E480" t="s">
        <v>1026</v>
      </c>
      <c r="F480" s="1">
        <v>1</v>
      </c>
      <c r="G480" s="1">
        <v>0</v>
      </c>
      <c r="H480" t="s">
        <v>17</v>
      </c>
      <c r="I480" t="s">
        <v>84</v>
      </c>
      <c r="J480" t="s">
        <v>1027</v>
      </c>
      <c r="K480" s="3">
        <v>46025</v>
      </c>
      <c r="L480" t="s">
        <v>1028</v>
      </c>
      <c r="M480">
        <v>0.13</v>
      </c>
      <c r="N480">
        <v>2560</v>
      </c>
      <c r="O480">
        <f t="shared" si="21"/>
        <v>0.13</v>
      </c>
      <c r="P480">
        <f t="shared" si="23"/>
        <v>3.9062500000000002E-4</v>
      </c>
      <c r="Q480" t="str">
        <f t="shared" si="22"/>
        <v>Q27-01</v>
      </c>
    </row>
    <row r="481" spans="1:17" x14ac:dyDescent="0.25">
      <c r="A481" t="s">
        <v>12</v>
      </c>
      <c r="B481" t="s">
        <v>427</v>
      </c>
      <c r="C481" t="s">
        <v>428</v>
      </c>
      <c r="D481" t="s">
        <v>112</v>
      </c>
      <c r="E481" t="s">
        <v>429</v>
      </c>
      <c r="F481" s="1">
        <v>5</v>
      </c>
      <c r="G481" s="1">
        <v>0</v>
      </c>
      <c r="H481" t="s">
        <v>17</v>
      </c>
      <c r="I481" t="s">
        <v>84</v>
      </c>
      <c r="J481" t="s">
        <v>1027</v>
      </c>
      <c r="K481" s="3">
        <v>46100</v>
      </c>
      <c r="L481" t="s">
        <v>431</v>
      </c>
      <c r="M481">
        <v>0.128</v>
      </c>
      <c r="N481">
        <v>2400</v>
      </c>
      <c r="O481">
        <f t="shared" si="21"/>
        <v>0.64</v>
      </c>
      <c r="P481">
        <f t="shared" si="23"/>
        <v>2.0833333333333333E-3</v>
      </c>
      <c r="Q481" t="str">
        <f t="shared" si="22"/>
        <v>Q27-01</v>
      </c>
    </row>
    <row r="482" spans="1:17" x14ac:dyDescent="0.25">
      <c r="A482" t="s">
        <v>385</v>
      </c>
      <c r="B482" t="s">
        <v>644</v>
      </c>
      <c r="C482" t="s">
        <v>645</v>
      </c>
      <c r="D482" t="s">
        <v>441</v>
      </c>
      <c r="E482" t="s">
        <v>1029</v>
      </c>
      <c r="F482" s="1">
        <v>3</v>
      </c>
      <c r="G482" s="1">
        <v>0</v>
      </c>
      <c r="H482" t="s">
        <v>17</v>
      </c>
      <c r="I482" t="s">
        <v>647</v>
      </c>
      <c r="J482" t="s">
        <v>1030</v>
      </c>
      <c r="K482" s="3">
        <v>46364</v>
      </c>
      <c r="L482" t="s">
        <v>1031</v>
      </c>
      <c r="M482">
        <v>9.4E-2</v>
      </c>
      <c r="N482">
        <v>2475</v>
      </c>
      <c r="O482">
        <f t="shared" si="21"/>
        <v>0.28200000000000003</v>
      </c>
      <c r="P482">
        <f t="shared" si="23"/>
        <v>1.2121212121212121E-3</v>
      </c>
      <c r="Q482" t="str">
        <f t="shared" si="22"/>
        <v>Q26-03</v>
      </c>
    </row>
    <row r="483" spans="1:17" x14ac:dyDescent="0.25">
      <c r="A483" t="s">
        <v>385</v>
      </c>
      <c r="B483" t="s">
        <v>644</v>
      </c>
      <c r="C483" t="s">
        <v>645</v>
      </c>
      <c r="D483" t="s">
        <v>441</v>
      </c>
      <c r="E483" t="s">
        <v>1032</v>
      </c>
      <c r="F483" s="1">
        <v>35</v>
      </c>
      <c r="G483" s="1">
        <v>0</v>
      </c>
      <c r="H483" t="s">
        <v>17</v>
      </c>
      <c r="I483" t="s">
        <v>647</v>
      </c>
      <c r="J483" t="s">
        <v>1033</v>
      </c>
      <c r="K483" s="3">
        <v>46322</v>
      </c>
      <c r="L483" t="s">
        <v>1034</v>
      </c>
      <c r="M483">
        <v>9.4E-2</v>
      </c>
      <c r="N483">
        <v>2475</v>
      </c>
      <c r="O483">
        <f t="shared" si="21"/>
        <v>3.29</v>
      </c>
      <c r="P483">
        <f t="shared" si="23"/>
        <v>1.4141414141414142E-2</v>
      </c>
      <c r="Q483" t="str">
        <f t="shared" si="22"/>
        <v>Q26-03</v>
      </c>
    </row>
    <row r="484" spans="1:17" x14ac:dyDescent="0.25">
      <c r="A484" t="s">
        <v>385</v>
      </c>
      <c r="B484" t="s">
        <v>644</v>
      </c>
      <c r="C484" t="s">
        <v>645</v>
      </c>
      <c r="D484" t="s">
        <v>441</v>
      </c>
      <c r="E484" t="s">
        <v>1035</v>
      </c>
      <c r="F484" s="1">
        <v>32</v>
      </c>
      <c r="G484" s="1">
        <v>0</v>
      </c>
      <c r="H484" t="s">
        <v>17</v>
      </c>
      <c r="I484" t="s">
        <v>647</v>
      </c>
      <c r="J484" t="s">
        <v>1033</v>
      </c>
      <c r="K484" s="3">
        <v>46322</v>
      </c>
      <c r="L484" t="s">
        <v>1034</v>
      </c>
      <c r="M484">
        <v>9.4E-2</v>
      </c>
      <c r="N484">
        <v>2475</v>
      </c>
      <c r="O484">
        <f t="shared" si="21"/>
        <v>3.008</v>
      </c>
      <c r="P484">
        <f t="shared" si="23"/>
        <v>1.2929292929292929E-2</v>
      </c>
      <c r="Q484" t="str">
        <f t="shared" si="22"/>
        <v>Q26-03</v>
      </c>
    </row>
    <row r="485" spans="1:17" x14ac:dyDescent="0.25">
      <c r="A485" t="s">
        <v>385</v>
      </c>
      <c r="B485" t="s">
        <v>644</v>
      </c>
      <c r="C485" t="s">
        <v>645</v>
      </c>
      <c r="D485" t="s">
        <v>441</v>
      </c>
      <c r="E485" t="s">
        <v>1036</v>
      </c>
      <c r="F485" s="1">
        <v>2</v>
      </c>
      <c r="G485" s="1">
        <v>0</v>
      </c>
      <c r="H485" t="s">
        <v>17</v>
      </c>
      <c r="I485" t="s">
        <v>647</v>
      </c>
      <c r="J485" t="s">
        <v>1033</v>
      </c>
      <c r="K485" s="3">
        <v>46322</v>
      </c>
      <c r="L485" t="s">
        <v>1034</v>
      </c>
      <c r="M485">
        <v>9.4E-2</v>
      </c>
      <c r="N485">
        <v>2475</v>
      </c>
      <c r="O485">
        <f t="shared" si="21"/>
        <v>0.188</v>
      </c>
      <c r="P485">
        <f t="shared" si="23"/>
        <v>8.0808080808080808E-4</v>
      </c>
      <c r="Q485" t="str">
        <f t="shared" si="22"/>
        <v>Q26-03</v>
      </c>
    </row>
    <row r="486" spans="1:17" x14ac:dyDescent="0.25">
      <c r="A486" t="s">
        <v>385</v>
      </c>
      <c r="B486" t="s">
        <v>644</v>
      </c>
      <c r="C486" t="s">
        <v>645</v>
      </c>
      <c r="D486" t="s">
        <v>441</v>
      </c>
      <c r="E486" t="s">
        <v>1037</v>
      </c>
      <c r="F486" s="1">
        <v>1</v>
      </c>
      <c r="G486" s="1">
        <v>0</v>
      </c>
      <c r="H486" t="s">
        <v>17</v>
      </c>
      <c r="I486" t="s">
        <v>647</v>
      </c>
      <c r="J486" t="s">
        <v>1038</v>
      </c>
      <c r="K486" s="3">
        <v>46365</v>
      </c>
      <c r="L486" t="s">
        <v>1039</v>
      </c>
      <c r="M486">
        <v>9.4E-2</v>
      </c>
      <c r="N486">
        <v>2475</v>
      </c>
      <c r="O486">
        <f t="shared" si="21"/>
        <v>9.4E-2</v>
      </c>
      <c r="P486">
        <f t="shared" si="23"/>
        <v>4.0404040404040404E-4</v>
      </c>
      <c r="Q486" t="str">
        <f t="shared" si="22"/>
        <v>Q26-03</v>
      </c>
    </row>
    <row r="487" spans="1:17" x14ac:dyDescent="0.25">
      <c r="A487" t="s">
        <v>385</v>
      </c>
      <c r="B487" t="s">
        <v>644</v>
      </c>
      <c r="C487" t="s">
        <v>645</v>
      </c>
      <c r="D487" t="s">
        <v>441</v>
      </c>
      <c r="E487" t="s">
        <v>1040</v>
      </c>
      <c r="F487" s="1">
        <v>4</v>
      </c>
      <c r="G487" s="1">
        <v>0</v>
      </c>
      <c r="H487" t="s">
        <v>17</v>
      </c>
      <c r="I487" t="s">
        <v>647</v>
      </c>
      <c r="J487" t="s">
        <v>1038</v>
      </c>
      <c r="K487" s="3">
        <v>46365</v>
      </c>
      <c r="L487" t="s">
        <v>1039</v>
      </c>
      <c r="M487">
        <v>9.4E-2</v>
      </c>
      <c r="N487">
        <v>2475</v>
      </c>
      <c r="O487">
        <f t="shared" si="21"/>
        <v>0.376</v>
      </c>
      <c r="P487">
        <f t="shared" si="23"/>
        <v>1.6161616161616162E-3</v>
      </c>
      <c r="Q487" t="str">
        <f t="shared" si="22"/>
        <v>Q26-03</v>
      </c>
    </row>
    <row r="488" spans="1:17" x14ac:dyDescent="0.25">
      <c r="A488" t="s">
        <v>12</v>
      </c>
      <c r="B488" t="s">
        <v>24</v>
      </c>
      <c r="C488" t="s">
        <v>25</v>
      </c>
      <c r="D488" t="s">
        <v>26</v>
      </c>
      <c r="E488" t="s">
        <v>1041</v>
      </c>
      <c r="F488" s="1">
        <v>1</v>
      </c>
      <c r="G488" s="1">
        <v>0</v>
      </c>
      <c r="H488" t="s">
        <v>17</v>
      </c>
      <c r="I488" t="s">
        <v>28</v>
      </c>
      <c r="J488" t="s">
        <v>1042</v>
      </c>
      <c r="K488" s="3">
        <v>47331</v>
      </c>
      <c r="L488" t="s">
        <v>1043</v>
      </c>
      <c r="M488">
        <v>2.9000000000000001E-2</v>
      </c>
      <c r="N488">
        <v>2880</v>
      </c>
      <c r="O488">
        <f t="shared" si="21"/>
        <v>2.9000000000000001E-2</v>
      </c>
      <c r="P488">
        <f t="shared" si="23"/>
        <v>3.4722222222222224E-4</v>
      </c>
      <c r="Q488" t="str">
        <f t="shared" si="22"/>
        <v>Q26-03</v>
      </c>
    </row>
    <row r="489" spans="1:17" x14ac:dyDescent="0.25">
      <c r="A489" t="s">
        <v>385</v>
      </c>
      <c r="B489" t="s">
        <v>644</v>
      </c>
      <c r="C489" t="s">
        <v>645</v>
      </c>
      <c r="D489" t="s">
        <v>441</v>
      </c>
      <c r="E489" t="s">
        <v>1044</v>
      </c>
      <c r="F489" s="1">
        <v>2</v>
      </c>
      <c r="G489" s="1">
        <v>0</v>
      </c>
      <c r="H489" t="s">
        <v>17</v>
      </c>
      <c r="I489" t="s">
        <v>647</v>
      </c>
      <c r="J489" t="s">
        <v>1045</v>
      </c>
      <c r="K489" s="3">
        <v>46366</v>
      </c>
      <c r="L489" t="s">
        <v>1046</v>
      </c>
      <c r="M489">
        <v>9.4E-2</v>
      </c>
      <c r="N489">
        <v>2475</v>
      </c>
      <c r="O489">
        <f t="shared" si="21"/>
        <v>0.188</v>
      </c>
      <c r="P489">
        <f t="shared" si="23"/>
        <v>8.0808080808080808E-4</v>
      </c>
      <c r="Q489" t="str">
        <f t="shared" si="22"/>
        <v>Q26-03</v>
      </c>
    </row>
    <row r="490" spans="1:17" x14ac:dyDescent="0.25">
      <c r="A490" t="s">
        <v>385</v>
      </c>
      <c r="B490" t="s">
        <v>644</v>
      </c>
      <c r="C490" t="s">
        <v>645</v>
      </c>
      <c r="D490" t="s">
        <v>441</v>
      </c>
      <c r="E490" t="s">
        <v>1047</v>
      </c>
      <c r="F490" s="1">
        <v>1</v>
      </c>
      <c r="G490" s="1">
        <v>0</v>
      </c>
      <c r="H490" t="s">
        <v>17</v>
      </c>
      <c r="I490" t="s">
        <v>647</v>
      </c>
      <c r="J490" t="s">
        <v>1045</v>
      </c>
      <c r="K490" s="3">
        <v>46366</v>
      </c>
      <c r="L490" t="s">
        <v>1046</v>
      </c>
      <c r="M490">
        <v>9.4E-2</v>
      </c>
      <c r="N490">
        <v>2475</v>
      </c>
      <c r="O490">
        <f t="shared" si="21"/>
        <v>9.4E-2</v>
      </c>
      <c r="P490">
        <f t="shared" si="23"/>
        <v>4.0404040404040404E-4</v>
      </c>
      <c r="Q490" t="str">
        <f t="shared" si="22"/>
        <v>Q26-03</v>
      </c>
    </row>
    <row r="491" spans="1:17" x14ac:dyDescent="0.25">
      <c r="A491" t="s">
        <v>385</v>
      </c>
      <c r="B491" t="s">
        <v>644</v>
      </c>
      <c r="C491" t="s">
        <v>645</v>
      </c>
      <c r="D491" t="s">
        <v>441</v>
      </c>
      <c r="E491" t="s">
        <v>1048</v>
      </c>
      <c r="F491" s="1">
        <v>2</v>
      </c>
      <c r="G491" s="1">
        <v>0</v>
      </c>
      <c r="H491" t="s">
        <v>17</v>
      </c>
      <c r="I491" t="s">
        <v>647</v>
      </c>
      <c r="J491" t="s">
        <v>1045</v>
      </c>
      <c r="K491" s="3">
        <v>46366</v>
      </c>
      <c r="L491" t="s">
        <v>1046</v>
      </c>
      <c r="M491">
        <v>9.4E-2</v>
      </c>
      <c r="N491">
        <v>2475</v>
      </c>
      <c r="O491">
        <f t="shared" si="21"/>
        <v>0.188</v>
      </c>
      <c r="P491">
        <f t="shared" si="23"/>
        <v>8.0808080808080808E-4</v>
      </c>
      <c r="Q491" t="str">
        <f t="shared" si="22"/>
        <v>Q26-03</v>
      </c>
    </row>
    <row r="492" spans="1:17" x14ac:dyDescent="0.25">
      <c r="A492" t="s">
        <v>385</v>
      </c>
      <c r="B492" t="s">
        <v>644</v>
      </c>
      <c r="C492" t="s">
        <v>645</v>
      </c>
      <c r="D492" t="s">
        <v>441</v>
      </c>
      <c r="E492" t="s">
        <v>1049</v>
      </c>
      <c r="F492" s="1">
        <v>12</v>
      </c>
      <c r="G492" s="1">
        <v>0</v>
      </c>
      <c r="H492" t="s">
        <v>17</v>
      </c>
      <c r="I492" t="s">
        <v>647</v>
      </c>
      <c r="J492" t="s">
        <v>1050</v>
      </c>
      <c r="K492" s="3">
        <v>46362</v>
      </c>
      <c r="L492" t="s">
        <v>1051</v>
      </c>
      <c r="M492">
        <v>9.4E-2</v>
      </c>
      <c r="N492">
        <v>2475</v>
      </c>
      <c r="O492">
        <f t="shared" si="21"/>
        <v>1.1280000000000001</v>
      </c>
      <c r="P492">
        <f t="shared" si="23"/>
        <v>4.8484848484848485E-3</v>
      </c>
      <c r="Q492" t="str">
        <f t="shared" si="22"/>
        <v>Q26-03</v>
      </c>
    </row>
    <row r="493" spans="1:17" x14ac:dyDescent="0.25">
      <c r="A493" t="s">
        <v>61</v>
      </c>
      <c r="B493" t="s">
        <v>891</v>
      </c>
      <c r="C493" t="s">
        <v>892</v>
      </c>
      <c r="D493" t="s">
        <v>191</v>
      </c>
      <c r="E493" t="s">
        <v>1052</v>
      </c>
      <c r="F493" s="1">
        <v>2</v>
      </c>
      <c r="G493" s="1">
        <v>0</v>
      </c>
      <c r="H493" t="s">
        <v>17</v>
      </c>
      <c r="I493" t="s">
        <v>894</v>
      </c>
      <c r="J493" t="s">
        <v>1053</v>
      </c>
      <c r="K493" s="3">
        <v>46326</v>
      </c>
      <c r="L493" t="s">
        <v>1054</v>
      </c>
      <c r="M493">
        <v>0.312</v>
      </c>
      <c r="N493">
        <v>1680</v>
      </c>
      <c r="O493">
        <f t="shared" si="21"/>
        <v>0.624</v>
      </c>
      <c r="P493">
        <f t="shared" si="23"/>
        <v>1.1904761904761906E-3</v>
      </c>
      <c r="Q493" t="str">
        <f t="shared" si="22"/>
        <v>Q27-03</v>
      </c>
    </row>
    <row r="494" spans="1:17" x14ac:dyDescent="0.25">
      <c r="A494" t="s">
        <v>385</v>
      </c>
      <c r="B494" t="s">
        <v>644</v>
      </c>
      <c r="C494" t="s">
        <v>645</v>
      </c>
      <c r="D494" t="s">
        <v>441</v>
      </c>
      <c r="E494" t="s">
        <v>1055</v>
      </c>
      <c r="F494" s="1">
        <v>14</v>
      </c>
      <c r="G494" s="1">
        <v>0</v>
      </c>
      <c r="H494" t="s">
        <v>17</v>
      </c>
      <c r="I494" t="s">
        <v>647</v>
      </c>
      <c r="J494" t="s">
        <v>1056</v>
      </c>
      <c r="K494" s="3">
        <v>46371</v>
      </c>
      <c r="L494" t="s">
        <v>1057</v>
      </c>
      <c r="M494">
        <v>9.4E-2</v>
      </c>
      <c r="N494">
        <v>2475</v>
      </c>
      <c r="O494">
        <f t="shared" si="21"/>
        <v>1.3160000000000001</v>
      </c>
      <c r="P494">
        <f t="shared" si="23"/>
        <v>5.6565656565656566E-3</v>
      </c>
      <c r="Q494" t="str">
        <f t="shared" si="22"/>
        <v>Q26-03</v>
      </c>
    </row>
    <row r="495" spans="1:17" x14ac:dyDescent="0.25">
      <c r="A495" t="s">
        <v>12</v>
      </c>
      <c r="B495" t="s">
        <v>1058</v>
      </c>
      <c r="C495" t="s">
        <v>1059</v>
      </c>
      <c r="D495" t="s">
        <v>144</v>
      </c>
      <c r="E495" t="s">
        <v>1060</v>
      </c>
      <c r="F495" s="2">
        <v>1127</v>
      </c>
      <c r="G495" s="1">
        <v>0</v>
      </c>
      <c r="H495" t="s">
        <v>17</v>
      </c>
      <c r="I495" t="s">
        <v>84</v>
      </c>
      <c r="J495" t="s">
        <v>90</v>
      </c>
      <c r="K495" s="3">
        <v>46444</v>
      </c>
      <c r="L495" t="s">
        <v>123</v>
      </c>
      <c r="M495">
        <v>0</v>
      </c>
      <c r="N495">
        <v>0</v>
      </c>
      <c r="O495">
        <f t="shared" si="21"/>
        <v>0</v>
      </c>
      <c r="Q495" t="str">
        <f t="shared" si="22"/>
        <v>QM4-01</v>
      </c>
    </row>
    <row r="496" spans="1:17" x14ac:dyDescent="0.25">
      <c r="A496" t="s">
        <v>385</v>
      </c>
      <c r="B496" t="s">
        <v>644</v>
      </c>
      <c r="C496" t="s">
        <v>645</v>
      </c>
      <c r="D496" t="s">
        <v>1061</v>
      </c>
      <c r="E496" t="s">
        <v>1062</v>
      </c>
      <c r="F496" s="2">
        <v>2475</v>
      </c>
      <c r="G496" s="1">
        <v>0</v>
      </c>
      <c r="H496" t="s">
        <v>17</v>
      </c>
      <c r="I496" t="s">
        <v>647</v>
      </c>
      <c r="J496" t="s">
        <v>1063</v>
      </c>
      <c r="K496" s="3">
        <v>46303</v>
      </c>
      <c r="L496" t="s">
        <v>838</v>
      </c>
      <c r="M496">
        <v>9.4E-2</v>
      </c>
      <c r="N496">
        <v>2475</v>
      </c>
      <c r="O496">
        <f t="shared" si="21"/>
        <v>232.65</v>
      </c>
      <c r="P496">
        <f t="shared" si="23"/>
        <v>1</v>
      </c>
      <c r="Q496" t="str">
        <f t="shared" si="22"/>
        <v>Q26-03</v>
      </c>
    </row>
    <row r="497" spans="1:17" x14ac:dyDescent="0.25">
      <c r="A497" t="s">
        <v>385</v>
      </c>
      <c r="B497" t="s">
        <v>644</v>
      </c>
      <c r="C497" t="s">
        <v>645</v>
      </c>
      <c r="D497" t="s">
        <v>1061</v>
      </c>
      <c r="E497" t="s">
        <v>1064</v>
      </c>
      <c r="F497" s="1">
        <v>214</v>
      </c>
      <c r="G497" s="1">
        <v>0</v>
      </c>
      <c r="H497" t="s">
        <v>17</v>
      </c>
      <c r="I497" t="s">
        <v>647</v>
      </c>
      <c r="J497" t="s">
        <v>1063</v>
      </c>
      <c r="K497" s="3">
        <v>46303</v>
      </c>
      <c r="L497" t="s">
        <v>838</v>
      </c>
      <c r="M497">
        <v>9.4E-2</v>
      </c>
      <c r="N497">
        <v>2475</v>
      </c>
      <c r="O497">
        <f t="shared" si="21"/>
        <v>20.116</v>
      </c>
      <c r="P497">
        <f t="shared" si="23"/>
        <v>8.6464646464646466E-2</v>
      </c>
      <c r="Q497" t="str">
        <f t="shared" si="22"/>
        <v>Q26-03</v>
      </c>
    </row>
    <row r="498" spans="1:17" x14ac:dyDescent="0.25">
      <c r="A498" t="s">
        <v>385</v>
      </c>
      <c r="B498" t="s">
        <v>644</v>
      </c>
      <c r="C498" t="s">
        <v>645</v>
      </c>
      <c r="D498" t="s">
        <v>662</v>
      </c>
      <c r="E498" t="s">
        <v>1065</v>
      </c>
      <c r="F498" s="1">
        <v>368</v>
      </c>
      <c r="G498" s="1">
        <v>0</v>
      </c>
      <c r="H498" t="s">
        <v>17</v>
      </c>
      <c r="I498" t="s">
        <v>647</v>
      </c>
      <c r="J498" t="s">
        <v>673</v>
      </c>
      <c r="K498" s="3">
        <v>46262</v>
      </c>
      <c r="L498" t="s">
        <v>674</v>
      </c>
      <c r="M498">
        <v>9.4E-2</v>
      </c>
      <c r="N498">
        <v>2475</v>
      </c>
      <c r="O498">
        <f t="shared" si="21"/>
        <v>34.591999999999999</v>
      </c>
      <c r="P498">
        <f t="shared" si="23"/>
        <v>0.1486868686868687</v>
      </c>
      <c r="Q498" t="str">
        <f t="shared" si="22"/>
        <v>Q26-03</v>
      </c>
    </row>
    <row r="499" spans="1:17" x14ac:dyDescent="0.25">
      <c r="A499" t="s">
        <v>385</v>
      </c>
      <c r="B499" t="s">
        <v>644</v>
      </c>
      <c r="C499" t="s">
        <v>645</v>
      </c>
      <c r="D499" t="s">
        <v>662</v>
      </c>
      <c r="E499" t="s">
        <v>1066</v>
      </c>
      <c r="F499" s="1">
        <v>1</v>
      </c>
      <c r="G499" s="1">
        <v>0</v>
      </c>
      <c r="H499" t="s">
        <v>17</v>
      </c>
      <c r="I499" t="s">
        <v>647</v>
      </c>
      <c r="J499" t="s">
        <v>673</v>
      </c>
      <c r="K499" s="3">
        <v>46262</v>
      </c>
      <c r="L499" t="s">
        <v>674</v>
      </c>
      <c r="M499">
        <v>9.4E-2</v>
      </c>
      <c r="N499">
        <v>2475</v>
      </c>
      <c r="O499">
        <f t="shared" si="21"/>
        <v>9.4E-2</v>
      </c>
      <c r="P499">
        <f t="shared" si="23"/>
        <v>4.0404040404040404E-4</v>
      </c>
      <c r="Q499" t="str">
        <f t="shared" si="22"/>
        <v>Q26-03</v>
      </c>
    </row>
    <row r="500" spans="1:17" x14ac:dyDescent="0.25">
      <c r="A500" t="s">
        <v>385</v>
      </c>
      <c r="B500" t="s">
        <v>644</v>
      </c>
      <c r="C500" t="s">
        <v>645</v>
      </c>
      <c r="D500" t="s">
        <v>441</v>
      </c>
      <c r="E500" t="s">
        <v>1067</v>
      </c>
      <c r="F500" s="1">
        <v>2</v>
      </c>
      <c r="G500" s="1">
        <v>0</v>
      </c>
      <c r="H500" t="s">
        <v>17</v>
      </c>
      <c r="I500" t="s">
        <v>647</v>
      </c>
      <c r="J500" t="s">
        <v>1068</v>
      </c>
      <c r="K500" s="3">
        <v>46372</v>
      </c>
      <c r="L500" t="s">
        <v>1069</v>
      </c>
      <c r="M500">
        <v>9.4E-2</v>
      </c>
      <c r="N500">
        <v>2475</v>
      </c>
      <c r="O500">
        <f t="shared" si="21"/>
        <v>0.188</v>
      </c>
      <c r="P500">
        <f t="shared" si="23"/>
        <v>8.0808080808080808E-4</v>
      </c>
      <c r="Q500" t="str">
        <f t="shared" si="22"/>
        <v>Q26-03</v>
      </c>
    </row>
    <row r="501" spans="1:17" x14ac:dyDescent="0.25">
      <c r="A501" t="s">
        <v>385</v>
      </c>
      <c r="B501" t="s">
        <v>644</v>
      </c>
      <c r="C501" t="s">
        <v>645</v>
      </c>
      <c r="D501" t="s">
        <v>441</v>
      </c>
      <c r="E501" t="s">
        <v>1070</v>
      </c>
      <c r="F501" s="1">
        <v>2</v>
      </c>
      <c r="G501" s="1">
        <v>0</v>
      </c>
      <c r="H501" t="s">
        <v>17</v>
      </c>
      <c r="I501" t="s">
        <v>647</v>
      </c>
      <c r="J501" t="s">
        <v>1068</v>
      </c>
      <c r="K501" s="3">
        <v>46372</v>
      </c>
      <c r="L501" t="s">
        <v>1069</v>
      </c>
      <c r="M501">
        <v>9.4E-2</v>
      </c>
      <c r="N501">
        <v>2475</v>
      </c>
      <c r="O501">
        <f t="shared" si="21"/>
        <v>0.188</v>
      </c>
      <c r="P501">
        <f t="shared" si="23"/>
        <v>8.0808080808080808E-4</v>
      </c>
      <c r="Q501" t="str">
        <f t="shared" si="22"/>
        <v>Q26-03</v>
      </c>
    </row>
    <row r="502" spans="1:17" x14ac:dyDescent="0.25">
      <c r="A502" t="s">
        <v>385</v>
      </c>
      <c r="B502" t="s">
        <v>644</v>
      </c>
      <c r="C502" t="s">
        <v>645</v>
      </c>
      <c r="D502" t="s">
        <v>451</v>
      </c>
      <c r="E502" t="s">
        <v>1071</v>
      </c>
      <c r="F502" s="1">
        <v>150</v>
      </c>
      <c r="G502" s="1">
        <v>0</v>
      </c>
      <c r="H502" t="s">
        <v>17</v>
      </c>
      <c r="I502" t="s">
        <v>647</v>
      </c>
      <c r="J502" t="s">
        <v>1072</v>
      </c>
      <c r="K502" s="3">
        <v>46366</v>
      </c>
      <c r="L502" t="s">
        <v>1073</v>
      </c>
      <c r="M502">
        <v>9.4E-2</v>
      </c>
      <c r="N502">
        <v>2475</v>
      </c>
      <c r="O502">
        <f t="shared" si="21"/>
        <v>14.1</v>
      </c>
      <c r="P502">
        <f t="shared" si="23"/>
        <v>6.0606060606060608E-2</v>
      </c>
      <c r="Q502" t="str">
        <f t="shared" si="22"/>
        <v>Q26-03</v>
      </c>
    </row>
    <row r="503" spans="1:17" x14ac:dyDescent="0.25">
      <c r="A503" t="s">
        <v>385</v>
      </c>
      <c r="B503" t="s">
        <v>644</v>
      </c>
      <c r="C503" t="s">
        <v>645</v>
      </c>
      <c r="D503" t="s">
        <v>441</v>
      </c>
      <c r="E503" t="s">
        <v>1074</v>
      </c>
      <c r="F503" s="1">
        <v>6</v>
      </c>
      <c r="G503" s="1">
        <v>0</v>
      </c>
      <c r="H503" t="s">
        <v>17</v>
      </c>
      <c r="I503" t="s">
        <v>647</v>
      </c>
      <c r="J503" t="s">
        <v>1072</v>
      </c>
      <c r="K503" s="3">
        <v>46366</v>
      </c>
      <c r="L503" t="s">
        <v>1073</v>
      </c>
      <c r="M503">
        <v>9.4E-2</v>
      </c>
      <c r="N503">
        <v>2475</v>
      </c>
      <c r="O503">
        <f t="shared" si="21"/>
        <v>0.56400000000000006</v>
      </c>
      <c r="P503">
        <f t="shared" si="23"/>
        <v>2.4242424242424242E-3</v>
      </c>
      <c r="Q503" t="str">
        <f t="shared" si="22"/>
        <v>Q26-03</v>
      </c>
    </row>
    <row r="504" spans="1:17" x14ac:dyDescent="0.25">
      <c r="A504" t="s">
        <v>385</v>
      </c>
      <c r="B504" t="s">
        <v>644</v>
      </c>
      <c r="C504" t="s">
        <v>645</v>
      </c>
      <c r="D504" t="s">
        <v>441</v>
      </c>
      <c r="E504" t="s">
        <v>1075</v>
      </c>
      <c r="F504" s="1">
        <v>22</v>
      </c>
      <c r="G504" s="1">
        <v>0</v>
      </c>
      <c r="H504" t="s">
        <v>17</v>
      </c>
      <c r="I504" t="s">
        <v>647</v>
      </c>
      <c r="J504" t="s">
        <v>1076</v>
      </c>
      <c r="K504" s="3">
        <v>46373</v>
      </c>
      <c r="L504" t="s">
        <v>1077</v>
      </c>
      <c r="M504">
        <v>9.4E-2</v>
      </c>
      <c r="N504">
        <v>2475</v>
      </c>
      <c r="O504">
        <f t="shared" si="21"/>
        <v>2.0680000000000001</v>
      </c>
      <c r="P504">
        <f t="shared" si="23"/>
        <v>8.8888888888888889E-3</v>
      </c>
      <c r="Q504" t="str">
        <f t="shared" si="22"/>
        <v>Q26-03</v>
      </c>
    </row>
    <row r="505" spans="1:17" x14ac:dyDescent="0.25">
      <c r="A505" t="s">
        <v>385</v>
      </c>
      <c r="B505" t="s">
        <v>644</v>
      </c>
      <c r="C505" t="s">
        <v>645</v>
      </c>
      <c r="D505" t="s">
        <v>1078</v>
      </c>
      <c r="E505" t="s">
        <v>1079</v>
      </c>
      <c r="F505" s="2">
        <v>1650</v>
      </c>
      <c r="G505" s="1">
        <v>0</v>
      </c>
      <c r="H505" t="s">
        <v>17</v>
      </c>
      <c r="I505" t="s">
        <v>647</v>
      </c>
      <c r="J505" t="s">
        <v>1076</v>
      </c>
      <c r="K505" s="3">
        <v>46373</v>
      </c>
      <c r="L505" t="s">
        <v>1077</v>
      </c>
      <c r="M505">
        <v>9.4E-2</v>
      </c>
      <c r="N505">
        <v>2475</v>
      </c>
      <c r="O505">
        <f t="shared" si="21"/>
        <v>155.1</v>
      </c>
      <c r="P505">
        <f t="shared" si="23"/>
        <v>0.66666666666666663</v>
      </c>
      <c r="Q505" t="str">
        <f t="shared" si="22"/>
        <v>Q26-03</v>
      </c>
    </row>
    <row r="506" spans="1:17" x14ac:dyDescent="0.25">
      <c r="A506" t="s">
        <v>385</v>
      </c>
      <c r="B506" t="s">
        <v>644</v>
      </c>
      <c r="C506" t="s">
        <v>645</v>
      </c>
      <c r="D506" t="s">
        <v>1080</v>
      </c>
      <c r="E506" t="s">
        <v>1081</v>
      </c>
      <c r="F506" s="2">
        <v>2475</v>
      </c>
      <c r="G506" s="1">
        <v>0</v>
      </c>
      <c r="H506" t="s">
        <v>17</v>
      </c>
      <c r="I506" t="s">
        <v>647</v>
      </c>
      <c r="J506" t="s">
        <v>1082</v>
      </c>
      <c r="K506" s="3">
        <v>46364</v>
      </c>
      <c r="L506" t="s">
        <v>1083</v>
      </c>
      <c r="M506">
        <v>9.4E-2</v>
      </c>
      <c r="N506">
        <v>2475</v>
      </c>
      <c r="O506">
        <f t="shared" si="21"/>
        <v>232.65</v>
      </c>
      <c r="P506">
        <f t="shared" si="23"/>
        <v>1</v>
      </c>
      <c r="Q506" t="str">
        <f t="shared" si="22"/>
        <v>Q26-03</v>
      </c>
    </row>
    <row r="507" spans="1:17" x14ac:dyDescent="0.25">
      <c r="A507" t="s">
        <v>385</v>
      </c>
      <c r="B507" t="s">
        <v>644</v>
      </c>
      <c r="C507" t="s">
        <v>645</v>
      </c>
      <c r="D507" t="s">
        <v>451</v>
      </c>
      <c r="E507" t="s">
        <v>1084</v>
      </c>
      <c r="F507" s="1">
        <v>375</v>
      </c>
      <c r="G507" s="1">
        <v>0</v>
      </c>
      <c r="H507" t="s">
        <v>17</v>
      </c>
      <c r="I507" t="s">
        <v>647</v>
      </c>
      <c r="J507" t="s">
        <v>1082</v>
      </c>
      <c r="K507" s="3">
        <v>46364</v>
      </c>
      <c r="L507" t="s">
        <v>1083</v>
      </c>
      <c r="M507">
        <v>9.4E-2</v>
      </c>
      <c r="N507">
        <v>2475</v>
      </c>
      <c r="O507">
        <f t="shared" si="21"/>
        <v>35.25</v>
      </c>
      <c r="P507">
        <f t="shared" si="23"/>
        <v>0.15151515151515152</v>
      </c>
      <c r="Q507" t="str">
        <f t="shared" si="22"/>
        <v>Q26-03</v>
      </c>
    </row>
    <row r="508" spans="1:17" x14ac:dyDescent="0.25">
      <c r="A508" t="s">
        <v>385</v>
      </c>
      <c r="B508" t="s">
        <v>644</v>
      </c>
      <c r="C508" t="s">
        <v>645</v>
      </c>
      <c r="D508" t="s">
        <v>441</v>
      </c>
      <c r="E508" t="s">
        <v>1085</v>
      </c>
      <c r="F508" s="1">
        <v>3</v>
      </c>
      <c r="G508" s="1">
        <v>0</v>
      </c>
      <c r="H508" t="s">
        <v>17</v>
      </c>
      <c r="I508" t="s">
        <v>647</v>
      </c>
      <c r="J508" t="s">
        <v>1082</v>
      </c>
      <c r="K508" s="3">
        <v>46364</v>
      </c>
      <c r="L508" t="s">
        <v>1083</v>
      </c>
      <c r="M508">
        <v>9.4E-2</v>
      </c>
      <c r="N508">
        <v>2475</v>
      </c>
      <c r="O508">
        <f t="shared" si="21"/>
        <v>0.28200000000000003</v>
      </c>
      <c r="P508">
        <f t="shared" si="23"/>
        <v>1.2121212121212121E-3</v>
      </c>
      <c r="Q508" t="str">
        <f t="shared" si="22"/>
        <v>Q26-03</v>
      </c>
    </row>
    <row r="509" spans="1:17" x14ac:dyDescent="0.25">
      <c r="A509" t="s">
        <v>12</v>
      </c>
      <c r="B509" t="s">
        <v>750</v>
      </c>
      <c r="C509" t="s">
        <v>751</v>
      </c>
      <c r="D509" t="s">
        <v>57</v>
      </c>
      <c r="E509" t="s">
        <v>1086</v>
      </c>
      <c r="F509" s="1">
        <v>3</v>
      </c>
      <c r="G509" s="1">
        <v>0</v>
      </c>
      <c r="H509" t="s">
        <v>17</v>
      </c>
      <c r="I509" t="s">
        <v>753</v>
      </c>
      <c r="J509" t="s">
        <v>1087</v>
      </c>
      <c r="K509" s="3">
        <v>46674</v>
      </c>
      <c r="L509" t="s">
        <v>1088</v>
      </c>
      <c r="M509">
        <v>3.5999999999999997E-2</v>
      </c>
      <c r="N509">
        <v>5280</v>
      </c>
      <c r="O509">
        <f t="shared" si="21"/>
        <v>0.10799999999999998</v>
      </c>
      <c r="P509">
        <f t="shared" si="23"/>
        <v>5.6818181818181815E-4</v>
      </c>
      <c r="Q509" t="str">
        <f t="shared" si="22"/>
        <v>Q26-03</v>
      </c>
    </row>
    <row r="510" spans="1:17" x14ac:dyDescent="0.25">
      <c r="A510" t="s">
        <v>61</v>
      </c>
      <c r="B510" t="s">
        <v>1089</v>
      </c>
      <c r="C510" t="s">
        <v>1090</v>
      </c>
      <c r="D510" t="s">
        <v>144</v>
      </c>
      <c r="E510" t="s">
        <v>1091</v>
      </c>
      <c r="F510" s="1">
        <v>660</v>
      </c>
      <c r="G510" s="1">
        <v>0</v>
      </c>
      <c r="H510" t="s">
        <v>17</v>
      </c>
      <c r="I510" t="s">
        <v>475</v>
      </c>
      <c r="J510" t="s">
        <v>90</v>
      </c>
      <c r="K510" s="3">
        <v>46450</v>
      </c>
      <c r="L510" t="s">
        <v>123</v>
      </c>
      <c r="M510">
        <v>0</v>
      </c>
      <c r="N510">
        <v>0</v>
      </c>
      <c r="O510">
        <f t="shared" si="21"/>
        <v>0</v>
      </c>
      <c r="Q510" t="str">
        <f t="shared" si="22"/>
        <v>QM4-01</v>
      </c>
    </row>
    <row r="511" spans="1:17" x14ac:dyDescent="0.25">
      <c r="A511" t="s">
        <v>61</v>
      </c>
      <c r="B511" t="s">
        <v>233</v>
      </c>
      <c r="C511" t="s">
        <v>234</v>
      </c>
      <c r="D511" t="s">
        <v>244</v>
      </c>
      <c r="E511" t="s">
        <v>1092</v>
      </c>
      <c r="F511" s="1">
        <v>22</v>
      </c>
      <c r="G511" s="1">
        <v>0</v>
      </c>
      <c r="H511" t="s">
        <v>17</v>
      </c>
      <c r="I511" t="s">
        <v>236</v>
      </c>
      <c r="J511" t="s">
        <v>90</v>
      </c>
      <c r="K511" s="3">
        <v>46934</v>
      </c>
      <c r="L511" t="s">
        <v>900</v>
      </c>
      <c r="M511">
        <v>7.4999999999999997E-2</v>
      </c>
      <c r="N511">
        <v>2688</v>
      </c>
      <c r="O511">
        <f t="shared" si="21"/>
        <v>1.65</v>
      </c>
      <c r="P511">
        <f t="shared" si="23"/>
        <v>8.1845238095238099E-3</v>
      </c>
      <c r="Q511" t="str">
        <f t="shared" si="22"/>
        <v>Q27-03</v>
      </c>
    </row>
    <row r="512" spans="1:17" x14ac:dyDescent="0.25">
      <c r="A512" t="s">
        <v>385</v>
      </c>
      <c r="B512" t="s">
        <v>979</v>
      </c>
      <c r="C512" t="s">
        <v>980</v>
      </c>
      <c r="D512" t="s">
        <v>388</v>
      </c>
      <c r="E512" t="s">
        <v>1093</v>
      </c>
      <c r="F512" s="1">
        <v>2</v>
      </c>
      <c r="G512" s="1">
        <v>0</v>
      </c>
      <c r="H512" t="s">
        <v>17</v>
      </c>
      <c r="I512" t="s">
        <v>982</v>
      </c>
      <c r="J512" t="s">
        <v>1094</v>
      </c>
      <c r="K512" s="3">
        <v>46243</v>
      </c>
      <c r="L512" t="s">
        <v>1095</v>
      </c>
      <c r="M512">
        <v>1.9E-2</v>
      </c>
      <c r="N512">
        <v>4320</v>
      </c>
      <c r="O512">
        <f t="shared" si="21"/>
        <v>3.7999999999999999E-2</v>
      </c>
      <c r="P512">
        <f t="shared" si="23"/>
        <v>4.6296296296296298E-4</v>
      </c>
      <c r="Q512" t="str">
        <f t="shared" si="22"/>
        <v>Q26-03</v>
      </c>
    </row>
    <row r="513" spans="1:17" x14ac:dyDescent="0.25">
      <c r="A513" t="s">
        <v>385</v>
      </c>
      <c r="B513" t="s">
        <v>979</v>
      </c>
      <c r="C513" t="s">
        <v>980</v>
      </c>
      <c r="D513" t="s">
        <v>451</v>
      </c>
      <c r="E513" t="s">
        <v>1096</v>
      </c>
      <c r="F513" s="1">
        <v>180</v>
      </c>
      <c r="G513" s="1">
        <v>0</v>
      </c>
      <c r="H513" t="s">
        <v>17</v>
      </c>
      <c r="I513" t="s">
        <v>982</v>
      </c>
      <c r="J513" t="s">
        <v>1094</v>
      </c>
      <c r="K513" s="3">
        <v>46243</v>
      </c>
      <c r="L513" t="s">
        <v>1095</v>
      </c>
      <c r="M513">
        <v>1.9E-2</v>
      </c>
      <c r="N513">
        <v>4320</v>
      </c>
      <c r="O513">
        <f t="shared" si="21"/>
        <v>3.42</v>
      </c>
      <c r="P513">
        <f t="shared" si="23"/>
        <v>4.1666666666666664E-2</v>
      </c>
      <c r="Q513" t="str">
        <f t="shared" si="22"/>
        <v>Q26-03</v>
      </c>
    </row>
    <row r="514" spans="1:17" x14ac:dyDescent="0.25">
      <c r="A514" t="s">
        <v>385</v>
      </c>
      <c r="B514" t="s">
        <v>979</v>
      </c>
      <c r="C514" t="s">
        <v>980</v>
      </c>
      <c r="D514" t="s">
        <v>662</v>
      </c>
      <c r="E514" t="s">
        <v>1097</v>
      </c>
      <c r="F514" s="1">
        <v>132</v>
      </c>
      <c r="G514" s="1">
        <v>0</v>
      </c>
      <c r="H514" t="s">
        <v>17</v>
      </c>
      <c r="I514" t="s">
        <v>982</v>
      </c>
      <c r="J514" t="s">
        <v>1094</v>
      </c>
      <c r="K514" s="3">
        <v>46243</v>
      </c>
      <c r="L514" t="s">
        <v>1095</v>
      </c>
      <c r="M514">
        <v>1.9E-2</v>
      </c>
      <c r="N514">
        <v>4320</v>
      </c>
      <c r="O514">
        <f t="shared" si="21"/>
        <v>2.508</v>
      </c>
      <c r="P514">
        <f t="shared" si="23"/>
        <v>3.0555555555555555E-2</v>
      </c>
      <c r="Q514" t="str">
        <f t="shared" si="22"/>
        <v>Q26-03</v>
      </c>
    </row>
    <row r="515" spans="1:17" x14ac:dyDescent="0.25">
      <c r="A515" t="s">
        <v>12</v>
      </c>
      <c r="B515" t="s">
        <v>24</v>
      </c>
      <c r="C515" t="s">
        <v>25</v>
      </c>
      <c r="D515" t="s">
        <v>26</v>
      </c>
      <c r="E515" t="s">
        <v>1098</v>
      </c>
      <c r="F515" s="1">
        <v>1</v>
      </c>
      <c r="G515" s="1">
        <v>0</v>
      </c>
      <c r="H515" t="s">
        <v>17</v>
      </c>
      <c r="I515" t="s">
        <v>28</v>
      </c>
      <c r="J515" t="s">
        <v>1099</v>
      </c>
      <c r="K515" s="3">
        <v>47331</v>
      </c>
      <c r="L515" t="s">
        <v>1043</v>
      </c>
      <c r="M515">
        <v>2.9000000000000001E-2</v>
      </c>
      <c r="N515">
        <v>2880</v>
      </c>
      <c r="O515">
        <f t="shared" ref="O515:O578" si="24">F515*M515</f>
        <v>2.9000000000000001E-2</v>
      </c>
      <c r="P515">
        <f t="shared" ref="P515:P578" si="25">F515/N515</f>
        <v>3.4722222222222224E-4</v>
      </c>
      <c r="Q515" t="str">
        <f t="shared" ref="Q515:Q578" si="26">LEFT(D515,6)</f>
        <v>Q26-03</v>
      </c>
    </row>
    <row r="516" spans="1:17" x14ac:dyDescent="0.25">
      <c r="A516" t="s">
        <v>12</v>
      </c>
      <c r="B516" t="s">
        <v>1100</v>
      </c>
      <c r="C516" t="s">
        <v>1101</v>
      </c>
      <c r="D516" t="s">
        <v>77</v>
      </c>
      <c r="E516" t="s">
        <v>1102</v>
      </c>
      <c r="F516" s="1">
        <v>75</v>
      </c>
      <c r="G516" s="1">
        <v>0</v>
      </c>
      <c r="H516" t="s">
        <v>17</v>
      </c>
      <c r="I516" t="s">
        <v>84</v>
      </c>
      <c r="J516" t="s">
        <v>1103</v>
      </c>
      <c r="K516" s="3">
        <v>45853</v>
      </c>
      <c r="L516" t="s">
        <v>1104</v>
      </c>
      <c r="M516">
        <v>0</v>
      </c>
      <c r="N516">
        <v>2250</v>
      </c>
      <c r="O516">
        <f t="shared" si="24"/>
        <v>0</v>
      </c>
      <c r="P516">
        <f t="shared" si="25"/>
        <v>3.3333333333333333E-2</v>
      </c>
      <c r="Q516" t="str">
        <f t="shared" si="26"/>
        <v>Q27-01</v>
      </c>
    </row>
    <row r="517" spans="1:17" x14ac:dyDescent="0.25">
      <c r="A517" t="s">
        <v>12</v>
      </c>
      <c r="B517" t="s">
        <v>1105</v>
      </c>
      <c r="C517" t="s">
        <v>1106</v>
      </c>
      <c r="D517" t="s">
        <v>144</v>
      </c>
      <c r="E517" t="s">
        <v>1107</v>
      </c>
      <c r="F517" s="2">
        <v>12734</v>
      </c>
      <c r="G517" s="1">
        <v>0</v>
      </c>
      <c r="H517" t="s">
        <v>17</v>
      </c>
      <c r="I517" t="s">
        <v>475</v>
      </c>
      <c r="J517" t="s">
        <v>90</v>
      </c>
      <c r="K517" s="3">
        <v>46459</v>
      </c>
      <c r="L517" t="s">
        <v>123</v>
      </c>
      <c r="M517">
        <v>0</v>
      </c>
      <c r="N517">
        <v>0</v>
      </c>
      <c r="O517">
        <f t="shared" si="24"/>
        <v>0</v>
      </c>
      <c r="Q517" t="str">
        <f t="shared" si="26"/>
        <v>QM4-01</v>
      </c>
    </row>
    <row r="518" spans="1:17" x14ac:dyDescent="0.25">
      <c r="A518" t="s">
        <v>385</v>
      </c>
      <c r="B518" t="s">
        <v>644</v>
      </c>
      <c r="C518" t="s">
        <v>645</v>
      </c>
      <c r="D518" t="s">
        <v>388</v>
      </c>
      <c r="E518" t="s">
        <v>1108</v>
      </c>
      <c r="F518" s="1">
        <v>25</v>
      </c>
      <c r="G518" s="1">
        <v>0</v>
      </c>
      <c r="H518" t="s">
        <v>17</v>
      </c>
      <c r="I518" t="s">
        <v>647</v>
      </c>
      <c r="J518" t="s">
        <v>1109</v>
      </c>
      <c r="K518" s="3">
        <v>46262</v>
      </c>
      <c r="L518" t="s">
        <v>1110</v>
      </c>
      <c r="M518">
        <v>9.4E-2</v>
      </c>
      <c r="N518">
        <v>2475</v>
      </c>
      <c r="O518">
        <f t="shared" si="24"/>
        <v>2.35</v>
      </c>
      <c r="P518">
        <f t="shared" si="25"/>
        <v>1.0101010101010102E-2</v>
      </c>
      <c r="Q518" t="str">
        <f t="shared" si="26"/>
        <v>Q26-03</v>
      </c>
    </row>
    <row r="519" spans="1:17" x14ac:dyDescent="0.25">
      <c r="A519" t="s">
        <v>12</v>
      </c>
      <c r="B519" t="s">
        <v>644</v>
      </c>
      <c r="C519" t="s">
        <v>645</v>
      </c>
      <c r="D519" t="s">
        <v>441</v>
      </c>
      <c r="E519" t="s">
        <v>1111</v>
      </c>
      <c r="F519" s="1">
        <v>6</v>
      </c>
      <c r="G519" s="1">
        <v>0</v>
      </c>
      <c r="H519" t="s">
        <v>17</v>
      </c>
      <c r="I519" t="s">
        <v>647</v>
      </c>
      <c r="J519" t="s">
        <v>1112</v>
      </c>
      <c r="K519" s="3">
        <v>46369</v>
      </c>
      <c r="L519" t="s">
        <v>1113</v>
      </c>
      <c r="M519">
        <v>9.4E-2</v>
      </c>
      <c r="N519">
        <v>2475</v>
      </c>
      <c r="O519">
        <f t="shared" si="24"/>
        <v>0.56400000000000006</v>
      </c>
      <c r="P519">
        <f t="shared" si="25"/>
        <v>2.4242424242424242E-3</v>
      </c>
      <c r="Q519" t="str">
        <f t="shared" si="26"/>
        <v>Q26-03</v>
      </c>
    </row>
    <row r="520" spans="1:17" x14ac:dyDescent="0.25">
      <c r="A520" t="s">
        <v>12</v>
      </c>
      <c r="B520" t="s">
        <v>644</v>
      </c>
      <c r="C520" t="s">
        <v>645</v>
      </c>
      <c r="D520" t="s">
        <v>441</v>
      </c>
      <c r="E520" t="s">
        <v>1114</v>
      </c>
      <c r="F520" s="1">
        <v>1</v>
      </c>
      <c r="G520" s="1">
        <v>0</v>
      </c>
      <c r="H520" t="s">
        <v>17</v>
      </c>
      <c r="I520" t="s">
        <v>647</v>
      </c>
      <c r="J520" t="s">
        <v>1112</v>
      </c>
      <c r="K520" s="3">
        <v>46369</v>
      </c>
      <c r="L520" t="s">
        <v>1113</v>
      </c>
      <c r="M520">
        <v>9.4E-2</v>
      </c>
      <c r="N520">
        <v>2475</v>
      </c>
      <c r="O520">
        <f t="shared" si="24"/>
        <v>9.4E-2</v>
      </c>
      <c r="P520">
        <f t="shared" si="25"/>
        <v>4.0404040404040404E-4</v>
      </c>
      <c r="Q520" t="str">
        <f t="shared" si="26"/>
        <v>Q26-03</v>
      </c>
    </row>
    <row r="521" spans="1:17" x14ac:dyDescent="0.25">
      <c r="A521" t="s">
        <v>61</v>
      </c>
      <c r="B521" t="s">
        <v>317</v>
      </c>
      <c r="C521" t="s">
        <v>318</v>
      </c>
      <c r="D521" t="s">
        <v>244</v>
      </c>
      <c r="E521" t="s">
        <v>1115</v>
      </c>
      <c r="F521" s="1">
        <v>3</v>
      </c>
      <c r="G521" s="1">
        <v>0</v>
      </c>
      <c r="H521" t="s">
        <v>17</v>
      </c>
      <c r="I521" t="s">
        <v>320</v>
      </c>
      <c r="J521" t="s">
        <v>1116</v>
      </c>
      <c r="K521" s="3">
        <v>46599</v>
      </c>
      <c r="L521" t="s">
        <v>1117</v>
      </c>
      <c r="M521">
        <v>0.04</v>
      </c>
      <c r="N521">
        <v>2688</v>
      </c>
      <c r="O521">
        <f t="shared" si="24"/>
        <v>0.12</v>
      </c>
      <c r="P521">
        <f t="shared" si="25"/>
        <v>1.1160714285714285E-3</v>
      </c>
      <c r="Q521" t="str">
        <f t="shared" si="26"/>
        <v>Q27-03</v>
      </c>
    </row>
    <row r="522" spans="1:17" x14ac:dyDescent="0.25">
      <c r="A522" t="s">
        <v>61</v>
      </c>
      <c r="B522" t="s">
        <v>317</v>
      </c>
      <c r="C522" t="s">
        <v>318</v>
      </c>
      <c r="D522" t="s">
        <v>244</v>
      </c>
      <c r="E522" t="s">
        <v>1118</v>
      </c>
      <c r="F522" s="1">
        <v>3</v>
      </c>
      <c r="G522" s="1">
        <v>0</v>
      </c>
      <c r="H522" t="s">
        <v>17</v>
      </c>
      <c r="I522" t="s">
        <v>320</v>
      </c>
      <c r="J522" t="s">
        <v>1116</v>
      </c>
      <c r="K522" s="3">
        <v>46599</v>
      </c>
      <c r="L522" t="s">
        <v>1117</v>
      </c>
      <c r="M522">
        <v>0.04</v>
      </c>
      <c r="N522">
        <v>2688</v>
      </c>
      <c r="O522">
        <f t="shared" si="24"/>
        <v>0.12</v>
      </c>
      <c r="P522">
        <f t="shared" si="25"/>
        <v>1.1160714285714285E-3</v>
      </c>
      <c r="Q522" t="str">
        <f t="shared" si="26"/>
        <v>Q27-03</v>
      </c>
    </row>
    <row r="523" spans="1:17" x14ac:dyDescent="0.25">
      <c r="A523" t="s">
        <v>61</v>
      </c>
      <c r="B523" t="s">
        <v>317</v>
      </c>
      <c r="C523" t="s">
        <v>318</v>
      </c>
      <c r="D523" t="s">
        <v>244</v>
      </c>
      <c r="E523" t="s">
        <v>1119</v>
      </c>
      <c r="F523" s="1">
        <v>5</v>
      </c>
      <c r="G523" s="1">
        <v>0</v>
      </c>
      <c r="H523" t="s">
        <v>17</v>
      </c>
      <c r="I523" t="s">
        <v>320</v>
      </c>
      <c r="J523" t="s">
        <v>1116</v>
      </c>
      <c r="K523" s="3">
        <v>46599</v>
      </c>
      <c r="L523" t="s">
        <v>1117</v>
      </c>
      <c r="M523">
        <v>0.04</v>
      </c>
      <c r="N523">
        <v>2688</v>
      </c>
      <c r="O523">
        <f t="shared" si="24"/>
        <v>0.2</v>
      </c>
      <c r="P523">
        <f t="shared" si="25"/>
        <v>1.8601190476190475E-3</v>
      </c>
      <c r="Q523" t="str">
        <f t="shared" si="26"/>
        <v>Q27-03</v>
      </c>
    </row>
    <row r="524" spans="1:17" x14ac:dyDescent="0.25">
      <c r="A524" t="s">
        <v>61</v>
      </c>
      <c r="B524" t="s">
        <v>317</v>
      </c>
      <c r="C524" t="s">
        <v>318</v>
      </c>
      <c r="D524" t="s">
        <v>244</v>
      </c>
      <c r="E524" t="s">
        <v>1120</v>
      </c>
      <c r="F524" s="1">
        <v>8</v>
      </c>
      <c r="G524" s="1">
        <v>0</v>
      </c>
      <c r="H524" t="s">
        <v>17</v>
      </c>
      <c r="I524" t="s">
        <v>320</v>
      </c>
      <c r="J524" t="s">
        <v>1116</v>
      </c>
      <c r="K524" s="3">
        <v>46599</v>
      </c>
      <c r="L524" t="s">
        <v>1117</v>
      </c>
      <c r="M524">
        <v>0.04</v>
      </c>
      <c r="N524">
        <v>2688</v>
      </c>
      <c r="O524">
        <f t="shared" si="24"/>
        <v>0.32</v>
      </c>
      <c r="P524">
        <f t="shared" si="25"/>
        <v>2.976190476190476E-3</v>
      </c>
      <c r="Q524" t="str">
        <f t="shared" si="26"/>
        <v>Q27-03</v>
      </c>
    </row>
    <row r="525" spans="1:17" x14ac:dyDescent="0.25">
      <c r="A525" t="s">
        <v>61</v>
      </c>
      <c r="B525" t="s">
        <v>317</v>
      </c>
      <c r="C525" t="s">
        <v>318</v>
      </c>
      <c r="D525" t="s">
        <v>244</v>
      </c>
      <c r="E525" t="s">
        <v>1121</v>
      </c>
      <c r="F525" s="1">
        <v>1</v>
      </c>
      <c r="G525" s="1">
        <v>0</v>
      </c>
      <c r="H525" t="s">
        <v>17</v>
      </c>
      <c r="I525" t="s">
        <v>320</v>
      </c>
      <c r="J525" t="s">
        <v>1116</v>
      </c>
      <c r="K525" s="3">
        <v>46599</v>
      </c>
      <c r="L525" t="s">
        <v>1117</v>
      </c>
      <c r="M525">
        <v>0.04</v>
      </c>
      <c r="N525">
        <v>2688</v>
      </c>
      <c r="O525">
        <f t="shared" si="24"/>
        <v>0.04</v>
      </c>
      <c r="P525">
        <f t="shared" si="25"/>
        <v>3.720238095238095E-4</v>
      </c>
      <c r="Q525" t="str">
        <f t="shared" si="26"/>
        <v>Q27-03</v>
      </c>
    </row>
    <row r="526" spans="1:17" x14ac:dyDescent="0.25">
      <c r="A526" t="s">
        <v>61</v>
      </c>
      <c r="B526" t="s">
        <v>317</v>
      </c>
      <c r="C526" t="s">
        <v>318</v>
      </c>
      <c r="D526" t="s">
        <v>244</v>
      </c>
      <c r="E526" t="s">
        <v>1122</v>
      </c>
      <c r="F526" s="1">
        <v>5</v>
      </c>
      <c r="G526" s="1">
        <v>0</v>
      </c>
      <c r="H526" t="s">
        <v>17</v>
      </c>
      <c r="I526" t="s">
        <v>320</v>
      </c>
      <c r="J526" t="s">
        <v>1116</v>
      </c>
      <c r="K526" s="3">
        <v>46599</v>
      </c>
      <c r="L526" t="s">
        <v>1117</v>
      </c>
      <c r="M526">
        <v>0.04</v>
      </c>
      <c r="N526">
        <v>2688</v>
      </c>
      <c r="O526">
        <f t="shared" si="24"/>
        <v>0.2</v>
      </c>
      <c r="P526">
        <f t="shared" si="25"/>
        <v>1.8601190476190475E-3</v>
      </c>
      <c r="Q526" t="str">
        <f t="shared" si="26"/>
        <v>Q27-03</v>
      </c>
    </row>
    <row r="527" spans="1:17" x14ac:dyDescent="0.25">
      <c r="A527" t="s">
        <v>61</v>
      </c>
      <c r="B527" t="s">
        <v>317</v>
      </c>
      <c r="C527" t="s">
        <v>318</v>
      </c>
      <c r="D527" t="s">
        <v>244</v>
      </c>
      <c r="E527" t="s">
        <v>1123</v>
      </c>
      <c r="F527" s="1">
        <v>3</v>
      </c>
      <c r="G527" s="1">
        <v>0</v>
      </c>
      <c r="H527" t="s">
        <v>17</v>
      </c>
      <c r="I527" t="s">
        <v>320</v>
      </c>
      <c r="J527" t="s">
        <v>1116</v>
      </c>
      <c r="K527" s="3">
        <v>46599</v>
      </c>
      <c r="L527" t="s">
        <v>1117</v>
      </c>
      <c r="M527">
        <v>0.04</v>
      </c>
      <c r="N527">
        <v>2688</v>
      </c>
      <c r="O527">
        <f t="shared" si="24"/>
        <v>0.12</v>
      </c>
      <c r="P527">
        <f t="shared" si="25"/>
        <v>1.1160714285714285E-3</v>
      </c>
      <c r="Q527" t="str">
        <f t="shared" si="26"/>
        <v>Q27-03</v>
      </c>
    </row>
    <row r="528" spans="1:17" x14ac:dyDescent="0.25">
      <c r="A528" t="s">
        <v>61</v>
      </c>
      <c r="B528" t="s">
        <v>317</v>
      </c>
      <c r="C528" t="s">
        <v>318</v>
      </c>
      <c r="D528" t="s">
        <v>244</v>
      </c>
      <c r="E528" t="s">
        <v>1124</v>
      </c>
      <c r="F528" s="1">
        <v>1</v>
      </c>
      <c r="G528" s="1">
        <v>0</v>
      </c>
      <c r="H528" t="s">
        <v>17</v>
      </c>
      <c r="I528" t="s">
        <v>320</v>
      </c>
      <c r="J528" t="s">
        <v>1116</v>
      </c>
      <c r="K528" s="3">
        <v>46599</v>
      </c>
      <c r="L528" t="s">
        <v>1117</v>
      </c>
      <c r="M528">
        <v>0.04</v>
      </c>
      <c r="N528">
        <v>2688</v>
      </c>
      <c r="O528">
        <f t="shared" si="24"/>
        <v>0.04</v>
      </c>
      <c r="P528">
        <f t="shared" si="25"/>
        <v>3.720238095238095E-4</v>
      </c>
      <c r="Q528" t="str">
        <f t="shared" si="26"/>
        <v>Q27-03</v>
      </c>
    </row>
    <row r="529" spans="1:17" x14ac:dyDescent="0.25">
      <c r="A529" t="s">
        <v>61</v>
      </c>
      <c r="B529" t="s">
        <v>317</v>
      </c>
      <c r="C529" t="s">
        <v>318</v>
      </c>
      <c r="D529" t="s">
        <v>244</v>
      </c>
      <c r="E529" t="s">
        <v>1125</v>
      </c>
      <c r="F529" s="1">
        <v>5</v>
      </c>
      <c r="G529" s="1">
        <v>0</v>
      </c>
      <c r="H529" t="s">
        <v>17</v>
      </c>
      <c r="I529" t="s">
        <v>320</v>
      </c>
      <c r="J529" t="s">
        <v>1116</v>
      </c>
      <c r="K529" s="3">
        <v>46599</v>
      </c>
      <c r="L529" t="s">
        <v>1117</v>
      </c>
      <c r="M529">
        <v>0.04</v>
      </c>
      <c r="N529">
        <v>2688</v>
      </c>
      <c r="O529">
        <f t="shared" si="24"/>
        <v>0.2</v>
      </c>
      <c r="P529">
        <f t="shared" si="25"/>
        <v>1.8601190476190475E-3</v>
      </c>
      <c r="Q529" t="str">
        <f t="shared" si="26"/>
        <v>Q27-03</v>
      </c>
    </row>
    <row r="530" spans="1:17" x14ac:dyDescent="0.25">
      <c r="A530" t="s">
        <v>61</v>
      </c>
      <c r="B530" t="s">
        <v>317</v>
      </c>
      <c r="C530" t="s">
        <v>318</v>
      </c>
      <c r="D530" t="s">
        <v>244</v>
      </c>
      <c r="E530" t="s">
        <v>1126</v>
      </c>
      <c r="F530" s="1">
        <v>5</v>
      </c>
      <c r="G530" s="1">
        <v>0</v>
      </c>
      <c r="H530" t="s">
        <v>17</v>
      </c>
      <c r="I530" t="s">
        <v>320</v>
      </c>
      <c r="J530" t="s">
        <v>1116</v>
      </c>
      <c r="K530" s="3">
        <v>46599</v>
      </c>
      <c r="L530" t="s">
        <v>1117</v>
      </c>
      <c r="M530">
        <v>0.04</v>
      </c>
      <c r="N530">
        <v>2688</v>
      </c>
      <c r="O530">
        <f t="shared" si="24"/>
        <v>0.2</v>
      </c>
      <c r="P530">
        <f t="shared" si="25"/>
        <v>1.8601190476190475E-3</v>
      </c>
      <c r="Q530" t="str">
        <f t="shared" si="26"/>
        <v>Q27-03</v>
      </c>
    </row>
    <row r="531" spans="1:17" x14ac:dyDescent="0.25">
      <c r="A531" t="s">
        <v>61</v>
      </c>
      <c r="B531" t="s">
        <v>317</v>
      </c>
      <c r="C531" t="s">
        <v>318</v>
      </c>
      <c r="D531" t="s">
        <v>244</v>
      </c>
      <c r="E531" t="s">
        <v>1127</v>
      </c>
      <c r="F531" s="1">
        <v>2</v>
      </c>
      <c r="G531" s="1">
        <v>0</v>
      </c>
      <c r="H531" t="s">
        <v>17</v>
      </c>
      <c r="I531" t="s">
        <v>320</v>
      </c>
      <c r="J531" t="s">
        <v>1116</v>
      </c>
      <c r="K531" s="3">
        <v>46599</v>
      </c>
      <c r="L531" t="s">
        <v>1117</v>
      </c>
      <c r="M531">
        <v>0.04</v>
      </c>
      <c r="N531">
        <v>2688</v>
      </c>
      <c r="O531">
        <f t="shared" si="24"/>
        <v>0.08</v>
      </c>
      <c r="P531">
        <f t="shared" si="25"/>
        <v>7.4404761904761901E-4</v>
      </c>
      <c r="Q531" t="str">
        <f t="shared" si="26"/>
        <v>Q27-03</v>
      </c>
    </row>
    <row r="532" spans="1:17" x14ac:dyDescent="0.25">
      <c r="A532" t="s">
        <v>61</v>
      </c>
      <c r="B532" t="s">
        <v>317</v>
      </c>
      <c r="C532" t="s">
        <v>318</v>
      </c>
      <c r="D532" t="s">
        <v>244</v>
      </c>
      <c r="E532" t="s">
        <v>1128</v>
      </c>
      <c r="F532" s="1">
        <v>8</v>
      </c>
      <c r="G532" s="1">
        <v>0</v>
      </c>
      <c r="H532" t="s">
        <v>17</v>
      </c>
      <c r="I532" t="s">
        <v>320</v>
      </c>
      <c r="J532" t="s">
        <v>1116</v>
      </c>
      <c r="K532" s="3">
        <v>46599</v>
      </c>
      <c r="L532" t="s">
        <v>1117</v>
      </c>
      <c r="M532">
        <v>0.04</v>
      </c>
      <c r="N532">
        <v>2688</v>
      </c>
      <c r="O532">
        <f t="shared" si="24"/>
        <v>0.32</v>
      </c>
      <c r="P532">
        <f t="shared" si="25"/>
        <v>2.976190476190476E-3</v>
      </c>
      <c r="Q532" t="str">
        <f t="shared" si="26"/>
        <v>Q27-03</v>
      </c>
    </row>
    <row r="533" spans="1:17" x14ac:dyDescent="0.25">
      <c r="A533" t="s">
        <v>61</v>
      </c>
      <c r="B533" t="s">
        <v>317</v>
      </c>
      <c r="C533" t="s">
        <v>318</v>
      </c>
      <c r="D533" t="s">
        <v>244</v>
      </c>
      <c r="E533" t="s">
        <v>1129</v>
      </c>
      <c r="F533" s="1">
        <v>16</v>
      </c>
      <c r="G533" s="1">
        <v>0</v>
      </c>
      <c r="H533" t="s">
        <v>17</v>
      </c>
      <c r="I533" t="s">
        <v>320</v>
      </c>
      <c r="J533" t="s">
        <v>1116</v>
      </c>
      <c r="K533" s="3">
        <v>46599</v>
      </c>
      <c r="L533" t="s">
        <v>1117</v>
      </c>
      <c r="M533">
        <v>0.04</v>
      </c>
      <c r="N533">
        <v>2688</v>
      </c>
      <c r="O533">
        <f t="shared" si="24"/>
        <v>0.64</v>
      </c>
      <c r="P533">
        <f t="shared" si="25"/>
        <v>5.9523809523809521E-3</v>
      </c>
      <c r="Q533" t="str">
        <f t="shared" si="26"/>
        <v>Q27-03</v>
      </c>
    </row>
    <row r="534" spans="1:17" x14ac:dyDescent="0.25">
      <c r="A534" t="s">
        <v>61</v>
      </c>
      <c r="B534" t="s">
        <v>317</v>
      </c>
      <c r="C534" t="s">
        <v>318</v>
      </c>
      <c r="D534" t="s">
        <v>180</v>
      </c>
      <c r="E534" t="s">
        <v>1130</v>
      </c>
      <c r="F534" s="1">
        <v>3</v>
      </c>
      <c r="G534" s="1">
        <v>0</v>
      </c>
      <c r="H534" t="s">
        <v>17</v>
      </c>
      <c r="I534" t="s">
        <v>320</v>
      </c>
      <c r="J534" t="s">
        <v>1116</v>
      </c>
      <c r="K534" s="3">
        <v>46599</v>
      </c>
      <c r="L534" t="s">
        <v>1117</v>
      </c>
      <c r="M534">
        <v>0.04</v>
      </c>
      <c r="N534">
        <v>2688</v>
      </c>
      <c r="O534">
        <f t="shared" si="24"/>
        <v>0.12</v>
      </c>
      <c r="P534">
        <f t="shared" si="25"/>
        <v>1.1160714285714285E-3</v>
      </c>
      <c r="Q534" t="str">
        <f t="shared" si="26"/>
        <v>Q27-03</v>
      </c>
    </row>
    <row r="535" spans="1:17" x14ac:dyDescent="0.25">
      <c r="A535" t="s">
        <v>61</v>
      </c>
      <c r="B535" t="s">
        <v>317</v>
      </c>
      <c r="C535" t="s">
        <v>318</v>
      </c>
      <c r="D535" t="s">
        <v>180</v>
      </c>
      <c r="E535" t="s">
        <v>1131</v>
      </c>
      <c r="F535" s="1">
        <v>1</v>
      </c>
      <c r="G535" s="1">
        <v>0</v>
      </c>
      <c r="H535" t="s">
        <v>17</v>
      </c>
      <c r="I535" t="s">
        <v>320</v>
      </c>
      <c r="J535" t="s">
        <v>1116</v>
      </c>
      <c r="K535" s="3">
        <v>46599</v>
      </c>
      <c r="L535" t="s">
        <v>1117</v>
      </c>
      <c r="M535">
        <v>0.04</v>
      </c>
      <c r="N535">
        <v>2688</v>
      </c>
      <c r="O535">
        <f t="shared" si="24"/>
        <v>0.04</v>
      </c>
      <c r="P535">
        <f t="shared" si="25"/>
        <v>3.720238095238095E-4</v>
      </c>
      <c r="Q535" t="str">
        <f t="shared" si="26"/>
        <v>Q27-03</v>
      </c>
    </row>
    <row r="536" spans="1:17" x14ac:dyDescent="0.25">
      <c r="A536" t="s">
        <v>61</v>
      </c>
      <c r="B536" t="s">
        <v>317</v>
      </c>
      <c r="C536" t="s">
        <v>318</v>
      </c>
      <c r="D536" t="s">
        <v>180</v>
      </c>
      <c r="E536" t="s">
        <v>1132</v>
      </c>
      <c r="F536" s="1">
        <v>6</v>
      </c>
      <c r="G536" s="1">
        <v>0</v>
      </c>
      <c r="H536" t="s">
        <v>17</v>
      </c>
      <c r="I536" t="s">
        <v>320</v>
      </c>
      <c r="J536" t="s">
        <v>1116</v>
      </c>
      <c r="K536" s="3">
        <v>46599</v>
      </c>
      <c r="L536" t="s">
        <v>1117</v>
      </c>
      <c r="M536">
        <v>0.04</v>
      </c>
      <c r="N536">
        <v>2688</v>
      </c>
      <c r="O536">
        <f t="shared" si="24"/>
        <v>0.24</v>
      </c>
      <c r="P536">
        <f t="shared" si="25"/>
        <v>2.232142857142857E-3</v>
      </c>
      <c r="Q536" t="str">
        <f t="shared" si="26"/>
        <v>Q27-03</v>
      </c>
    </row>
    <row r="537" spans="1:17" x14ac:dyDescent="0.25">
      <c r="A537" t="s">
        <v>12</v>
      </c>
      <c r="B537" t="s">
        <v>24</v>
      </c>
      <c r="C537" t="s">
        <v>25</v>
      </c>
      <c r="D537" t="s">
        <v>26</v>
      </c>
      <c r="E537" t="s">
        <v>1133</v>
      </c>
      <c r="F537" s="1">
        <v>1</v>
      </c>
      <c r="G537" s="1">
        <v>0</v>
      </c>
      <c r="H537" t="s">
        <v>17</v>
      </c>
      <c r="I537" t="s">
        <v>28</v>
      </c>
      <c r="J537" t="s">
        <v>1134</v>
      </c>
      <c r="K537" s="3">
        <v>47366</v>
      </c>
      <c r="L537" t="s">
        <v>1135</v>
      </c>
      <c r="M537">
        <v>2.9000000000000001E-2</v>
      </c>
      <c r="N537">
        <v>2880</v>
      </c>
      <c r="O537">
        <f t="shared" si="24"/>
        <v>2.9000000000000001E-2</v>
      </c>
      <c r="P537">
        <f t="shared" si="25"/>
        <v>3.4722222222222224E-4</v>
      </c>
      <c r="Q537" t="str">
        <f t="shared" si="26"/>
        <v>Q26-03</v>
      </c>
    </row>
    <row r="538" spans="1:17" x14ac:dyDescent="0.25">
      <c r="A538" t="s">
        <v>12</v>
      </c>
      <c r="B538" t="s">
        <v>644</v>
      </c>
      <c r="C538" t="s">
        <v>645</v>
      </c>
      <c r="D538" t="s">
        <v>441</v>
      </c>
      <c r="E538" t="s">
        <v>1136</v>
      </c>
      <c r="F538" s="1">
        <v>11</v>
      </c>
      <c r="G538" s="1">
        <v>0</v>
      </c>
      <c r="H538" t="s">
        <v>17</v>
      </c>
      <c r="I538" t="s">
        <v>647</v>
      </c>
      <c r="J538" t="s">
        <v>1137</v>
      </c>
      <c r="K538" s="3">
        <v>46369</v>
      </c>
      <c r="L538" t="s">
        <v>1138</v>
      </c>
      <c r="M538">
        <v>9.4E-2</v>
      </c>
      <c r="N538">
        <v>2475</v>
      </c>
      <c r="O538">
        <f t="shared" si="24"/>
        <v>1.034</v>
      </c>
      <c r="P538">
        <f t="shared" si="25"/>
        <v>4.4444444444444444E-3</v>
      </c>
      <c r="Q538" t="str">
        <f t="shared" si="26"/>
        <v>Q26-03</v>
      </c>
    </row>
    <row r="539" spans="1:17" x14ac:dyDescent="0.25">
      <c r="A539" t="s">
        <v>12</v>
      </c>
      <c r="B539" t="s">
        <v>1139</v>
      </c>
      <c r="C539" t="s">
        <v>1140</v>
      </c>
      <c r="D539" t="s">
        <v>57</v>
      </c>
      <c r="E539" t="s">
        <v>1141</v>
      </c>
      <c r="F539" s="1">
        <v>17</v>
      </c>
      <c r="G539" s="1">
        <v>0</v>
      </c>
      <c r="H539" t="s">
        <v>17</v>
      </c>
      <c r="I539" t="s">
        <v>1142</v>
      </c>
      <c r="J539" t="s">
        <v>1143</v>
      </c>
      <c r="K539" s="3">
        <v>46437</v>
      </c>
      <c r="L539" t="s">
        <v>1144</v>
      </c>
      <c r="M539">
        <v>0.114</v>
      </c>
      <c r="N539">
        <v>1728</v>
      </c>
      <c r="O539">
        <f t="shared" si="24"/>
        <v>1.9380000000000002</v>
      </c>
      <c r="P539">
        <f t="shared" si="25"/>
        <v>9.8379629629629633E-3</v>
      </c>
      <c r="Q539" t="str">
        <f t="shared" si="26"/>
        <v>Q26-03</v>
      </c>
    </row>
    <row r="540" spans="1:17" x14ac:dyDescent="0.25">
      <c r="A540" t="s">
        <v>61</v>
      </c>
      <c r="B540" t="s">
        <v>71</v>
      </c>
      <c r="C540" t="s">
        <v>72</v>
      </c>
      <c r="D540" t="s">
        <v>244</v>
      </c>
      <c r="E540" t="s">
        <v>1145</v>
      </c>
      <c r="F540" s="1">
        <v>11</v>
      </c>
      <c r="G540" s="1">
        <v>0</v>
      </c>
      <c r="H540" t="s">
        <v>17</v>
      </c>
      <c r="I540" t="s">
        <v>75</v>
      </c>
      <c r="J540" t="s">
        <v>1146</v>
      </c>
      <c r="K540" s="3">
        <v>46356</v>
      </c>
      <c r="L540" t="s">
        <v>1147</v>
      </c>
      <c r="M540">
        <v>0.3</v>
      </c>
      <c r="N540">
        <v>1680</v>
      </c>
      <c r="O540">
        <f t="shared" si="24"/>
        <v>3.3</v>
      </c>
      <c r="P540">
        <f t="shared" si="25"/>
        <v>6.5476190476190478E-3</v>
      </c>
      <c r="Q540" t="str">
        <f t="shared" si="26"/>
        <v>Q27-03</v>
      </c>
    </row>
    <row r="541" spans="1:17" x14ac:dyDescent="0.25">
      <c r="A541" t="s">
        <v>61</v>
      </c>
      <c r="B541" t="s">
        <v>71</v>
      </c>
      <c r="C541" t="s">
        <v>72</v>
      </c>
      <c r="D541" t="s">
        <v>244</v>
      </c>
      <c r="E541" t="s">
        <v>1148</v>
      </c>
      <c r="F541" s="1">
        <v>6</v>
      </c>
      <c r="G541" s="1">
        <v>0</v>
      </c>
      <c r="H541" t="s">
        <v>17</v>
      </c>
      <c r="I541" t="s">
        <v>75</v>
      </c>
      <c r="J541" t="s">
        <v>1146</v>
      </c>
      <c r="K541" s="3">
        <v>46356</v>
      </c>
      <c r="L541" t="s">
        <v>1149</v>
      </c>
      <c r="M541">
        <v>0.3</v>
      </c>
      <c r="N541">
        <v>1680</v>
      </c>
      <c r="O541">
        <f t="shared" si="24"/>
        <v>1.7999999999999998</v>
      </c>
      <c r="P541">
        <f t="shared" si="25"/>
        <v>3.5714285714285713E-3</v>
      </c>
      <c r="Q541" t="str">
        <f t="shared" si="26"/>
        <v>Q27-03</v>
      </c>
    </row>
    <row r="542" spans="1:17" x14ac:dyDescent="0.25">
      <c r="A542" t="s">
        <v>61</v>
      </c>
      <c r="B542" t="s">
        <v>71</v>
      </c>
      <c r="C542" t="s">
        <v>72</v>
      </c>
      <c r="D542" t="s">
        <v>244</v>
      </c>
      <c r="E542" t="s">
        <v>1150</v>
      </c>
      <c r="F542" s="1">
        <v>2</v>
      </c>
      <c r="G542" s="1">
        <v>0</v>
      </c>
      <c r="H542" t="s">
        <v>17</v>
      </c>
      <c r="I542" t="s">
        <v>75</v>
      </c>
      <c r="J542" t="s">
        <v>1146</v>
      </c>
      <c r="K542" s="3">
        <v>46356</v>
      </c>
      <c r="L542" t="s">
        <v>1149</v>
      </c>
      <c r="M542">
        <v>0.3</v>
      </c>
      <c r="N542">
        <v>1680</v>
      </c>
      <c r="O542">
        <f t="shared" si="24"/>
        <v>0.6</v>
      </c>
      <c r="P542">
        <f t="shared" si="25"/>
        <v>1.1904761904761906E-3</v>
      </c>
      <c r="Q542" t="str">
        <f t="shared" si="26"/>
        <v>Q27-03</v>
      </c>
    </row>
    <row r="543" spans="1:17" x14ac:dyDescent="0.25">
      <c r="A543" t="s">
        <v>61</v>
      </c>
      <c r="B543" t="s">
        <v>71</v>
      </c>
      <c r="C543" t="s">
        <v>72</v>
      </c>
      <c r="D543" t="s">
        <v>244</v>
      </c>
      <c r="E543" t="s">
        <v>1151</v>
      </c>
      <c r="F543" s="1">
        <v>1</v>
      </c>
      <c r="G543" s="1">
        <v>0</v>
      </c>
      <c r="H543" t="s">
        <v>17</v>
      </c>
      <c r="I543" t="s">
        <v>75</v>
      </c>
      <c r="J543" t="s">
        <v>1146</v>
      </c>
      <c r="K543" s="3">
        <v>46356</v>
      </c>
      <c r="L543" t="s">
        <v>1149</v>
      </c>
      <c r="M543">
        <v>0.3</v>
      </c>
      <c r="N543">
        <v>1680</v>
      </c>
      <c r="O543">
        <f t="shared" si="24"/>
        <v>0.3</v>
      </c>
      <c r="P543">
        <f t="shared" si="25"/>
        <v>5.9523809523809529E-4</v>
      </c>
      <c r="Q543" t="str">
        <f t="shared" si="26"/>
        <v>Q27-03</v>
      </c>
    </row>
    <row r="544" spans="1:17" x14ac:dyDescent="0.25">
      <c r="A544" t="s">
        <v>61</v>
      </c>
      <c r="B544" t="s">
        <v>71</v>
      </c>
      <c r="C544" t="s">
        <v>72</v>
      </c>
      <c r="D544" t="s">
        <v>244</v>
      </c>
      <c r="E544" t="s">
        <v>1152</v>
      </c>
      <c r="F544" s="1">
        <v>1</v>
      </c>
      <c r="G544" s="1">
        <v>0</v>
      </c>
      <c r="H544" t="s">
        <v>17</v>
      </c>
      <c r="I544" t="s">
        <v>75</v>
      </c>
      <c r="J544" t="s">
        <v>1146</v>
      </c>
      <c r="K544" s="3">
        <v>46356</v>
      </c>
      <c r="L544" t="s">
        <v>1149</v>
      </c>
      <c r="M544">
        <v>0.3</v>
      </c>
      <c r="N544">
        <v>1680</v>
      </c>
      <c r="O544">
        <f t="shared" si="24"/>
        <v>0.3</v>
      </c>
      <c r="P544">
        <f t="shared" si="25"/>
        <v>5.9523809523809529E-4</v>
      </c>
      <c r="Q544" t="str">
        <f t="shared" si="26"/>
        <v>Q27-03</v>
      </c>
    </row>
    <row r="545" spans="1:17" x14ac:dyDescent="0.25">
      <c r="A545" t="s">
        <v>61</v>
      </c>
      <c r="B545" t="s">
        <v>233</v>
      </c>
      <c r="C545" t="s">
        <v>234</v>
      </c>
      <c r="D545" t="s">
        <v>244</v>
      </c>
      <c r="E545" t="s">
        <v>1153</v>
      </c>
      <c r="F545" s="1">
        <v>4</v>
      </c>
      <c r="G545" s="1">
        <v>0</v>
      </c>
      <c r="H545" t="s">
        <v>17</v>
      </c>
      <c r="I545" t="s">
        <v>236</v>
      </c>
      <c r="J545" t="s">
        <v>1146</v>
      </c>
      <c r="K545" s="3">
        <v>47057</v>
      </c>
      <c r="L545" t="s">
        <v>1154</v>
      </c>
      <c r="M545">
        <v>7.4999999999999997E-2</v>
      </c>
      <c r="N545">
        <v>2688</v>
      </c>
      <c r="O545">
        <f t="shared" si="24"/>
        <v>0.3</v>
      </c>
      <c r="P545">
        <f t="shared" si="25"/>
        <v>1.488095238095238E-3</v>
      </c>
      <c r="Q545" t="str">
        <f t="shared" si="26"/>
        <v>Q27-03</v>
      </c>
    </row>
    <row r="546" spans="1:17" x14ac:dyDescent="0.25">
      <c r="A546" t="s">
        <v>61</v>
      </c>
      <c r="B546" t="s">
        <v>233</v>
      </c>
      <c r="C546" t="s">
        <v>234</v>
      </c>
      <c r="D546" t="s">
        <v>244</v>
      </c>
      <c r="E546" t="s">
        <v>1155</v>
      </c>
      <c r="F546" s="1">
        <v>13</v>
      </c>
      <c r="G546" s="1">
        <v>0</v>
      </c>
      <c r="H546" t="s">
        <v>17</v>
      </c>
      <c r="I546" t="s">
        <v>236</v>
      </c>
      <c r="J546" t="s">
        <v>1146</v>
      </c>
      <c r="K546" s="3">
        <v>47057</v>
      </c>
      <c r="L546" t="s">
        <v>1156</v>
      </c>
      <c r="M546">
        <v>7.4999999999999997E-2</v>
      </c>
      <c r="N546">
        <v>2688</v>
      </c>
      <c r="O546">
        <f t="shared" si="24"/>
        <v>0.97499999999999998</v>
      </c>
      <c r="P546">
        <f t="shared" si="25"/>
        <v>4.836309523809524E-3</v>
      </c>
      <c r="Q546" t="str">
        <f t="shared" si="26"/>
        <v>Q27-03</v>
      </c>
    </row>
    <row r="547" spans="1:17" x14ac:dyDescent="0.25">
      <c r="A547" t="s">
        <v>385</v>
      </c>
      <c r="B547" t="s">
        <v>644</v>
      </c>
      <c r="C547" t="s">
        <v>645</v>
      </c>
      <c r="D547" t="s">
        <v>441</v>
      </c>
      <c r="E547" t="s">
        <v>1157</v>
      </c>
      <c r="F547" s="1">
        <v>4</v>
      </c>
      <c r="G547" s="1">
        <v>0</v>
      </c>
      <c r="H547" t="s">
        <v>17</v>
      </c>
      <c r="I547" t="s">
        <v>647</v>
      </c>
      <c r="J547" t="s">
        <v>1158</v>
      </c>
      <c r="K547" s="3">
        <v>46371</v>
      </c>
      <c r="L547" t="s">
        <v>1159</v>
      </c>
      <c r="M547">
        <v>9.4E-2</v>
      </c>
      <c r="N547">
        <v>2475</v>
      </c>
      <c r="O547">
        <f t="shared" si="24"/>
        <v>0.376</v>
      </c>
      <c r="P547">
        <f t="shared" si="25"/>
        <v>1.6161616161616162E-3</v>
      </c>
      <c r="Q547" t="str">
        <f t="shared" si="26"/>
        <v>Q26-03</v>
      </c>
    </row>
    <row r="548" spans="1:17" x14ac:dyDescent="0.25">
      <c r="A548" t="s">
        <v>385</v>
      </c>
      <c r="B548" t="s">
        <v>644</v>
      </c>
      <c r="C548" t="s">
        <v>645</v>
      </c>
      <c r="D548" t="s">
        <v>441</v>
      </c>
      <c r="E548" t="s">
        <v>1160</v>
      </c>
      <c r="F548" s="1">
        <v>3</v>
      </c>
      <c r="G548" s="1">
        <v>0</v>
      </c>
      <c r="H548" t="s">
        <v>17</v>
      </c>
      <c r="I548" t="s">
        <v>647</v>
      </c>
      <c r="J548" t="s">
        <v>1161</v>
      </c>
      <c r="K548" s="3">
        <v>46367</v>
      </c>
      <c r="L548" t="s">
        <v>1162</v>
      </c>
      <c r="M548">
        <v>9.4E-2</v>
      </c>
      <c r="N548">
        <v>2475</v>
      </c>
      <c r="O548">
        <f t="shared" si="24"/>
        <v>0.28200000000000003</v>
      </c>
      <c r="P548">
        <f t="shared" si="25"/>
        <v>1.2121212121212121E-3</v>
      </c>
      <c r="Q548" t="str">
        <f t="shared" si="26"/>
        <v>Q26-03</v>
      </c>
    </row>
    <row r="549" spans="1:17" x14ac:dyDescent="0.25">
      <c r="A549" t="s">
        <v>12</v>
      </c>
      <c r="B549" t="s">
        <v>1163</v>
      </c>
      <c r="C549" t="s">
        <v>1164</v>
      </c>
      <c r="D549" t="s">
        <v>121</v>
      </c>
      <c r="E549" t="s">
        <v>1165</v>
      </c>
      <c r="F549" s="2">
        <v>2932</v>
      </c>
      <c r="G549" s="1">
        <v>0</v>
      </c>
      <c r="H549" t="s">
        <v>17</v>
      </c>
      <c r="I549" t="s">
        <v>475</v>
      </c>
      <c r="J549" t="s">
        <v>90</v>
      </c>
      <c r="K549" s="3">
        <v>46479</v>
      </c>
      <c r="L549" t="s">
        <v>123</v>
      </c>
      <c r="M549">
        <v>0</v>
      </c>
      <c r="N549">
        <v>0</v>
      </c>
      <c r="O549">
        <f t="shared" si="24"/>
        <v>0</v>
      </c>
      <c r="Q549" t="str">
        <f t="shared" si="26"/>
        <v>Q27-01</v>
      </c>
    </row>
    <row r="550" spans="1:17" x14ac:dyDescent="0.25">
      <c r="A550" t="s">
        <v>12</v>
      </c>
      <c r="B550" t="s">
        <v>1166</v>
      </c>
      <c r="C550" t="s">
        <v>1167</v>
      </c>
      <c r="D550" t="s">
        <v>121</v>
      </c>
      <c r="E550" t="s">
        <v>1168</v>
      </c>
      <c r="F550" s="2">
        <v>1597</v>
      </c>
      <c r="G550" s="1">
        <v>0</v>
      </c>
      <c r="H550" t="s">
        <v>17</v>
      </c>
      <c r="I550" t="s">
        <v>475</v>
      </c>
      <c r="J550" t="s">
        <v>90</v>
      </c>
      <c r="K550" s="3">
        <v>46479</v>
      </c>
      <c r="L550" t="s">
        <v>123</v>
      </c>
      <c r="M550">
        <v>0</v>
      </c>
      <c r="N550">
        <v>0</v>
      </c>
      <c r="O550">
        <f t="shared" si="24"/>
        <v>0</v>
      </c>
      <c r="Q550" t="str">
        <f t="shared" si="26"/>
        <v>Q27-01</v>
      </c>
    </row>
    <row r="551" spans="1:17" x14ac:dyDescent="0.25">
      <c r="A551" t="s">
        <v>12</v>
      </c>
      <c r="B551" t="s">
        <v>1169</v>
      </c>
      <c r="C551" t="s">
        <v>1170</v>
      </c>
      <c r="D551" t="s">
        <v>1171</v>
      </c>
      <c r="E551" t="s">
        <v>1172</v>
      </c>
      <c r="F551" s="2">
        <v>1201</v>
      </c>
      <c r="G551" s="1">
        <v>0</v>
      </c>
      <c r="H551" t="s">
        <v>17</v>
      </c>
      <c r="I551" t="s">
        <v>1173</v>
      </c>
      <c r="J551" t="s">
        <v>1174</v>
      </c>
      <c r="K551" s="3">
        <v>46033</v>
      </c>
      <c r="L551" t="s">
        <v>1175</v>
      </c>
      <c r="M551">
        <v>0.02</v>
      </c>
      <c r="N551">
        <v>1650</v>
      </c>
      <c r="O551">
        <f t="shared" si="24"/>
        <v>24.02</v>
      </c>
      <c r="P551">
        <f t="shared" si="25"/>
        <v>0.7278787878787879</v>
      </c>
      <c r="Q551" t="str">
        <f t="shared" si="26"/>
        <v>Q26-01</v>
      </c>
    </row>
    <row r="552" spans="1:17" x14ac:dyDescent="0.25">
      <c r="A552" t="s">
        <v>12</v>
      </c>
      <c r="B552" t="s">
        <v>1169</v>
      </c>
      <c r="C552" t="s">
        <v>1170</v>
      </c>
      <c r="D552" t="s">
        <v>1176</v>
      </c>
      <c r="E552" t="s">
        <v>1177</v>
      </c>
      <c r="F552" s="2">
        <v>1298</v>
      </c>
      <c r="G552" s="1">
        <v>0</v>
      </c>
      <c r="H552" t="s">
        <v>17</v>
      </c>
      <c r="I552" t="s">
        <v>1173</v>
      </c>
      <c r="J552" t="s">
        <v>1174</v>
      </c>
      <c r="K552" s="3">
        <v>46033</v>
      </c>
      <c r="L552" t="s">
        <v>1175</v>
      </c>
      <c r="M552">
        <v>0.02</v>
      </c>
      <c r="N552">
        <v>1650</v>
      </c>
      <c r="O552">
        <f t="shared" si="24"/>
        <v>25.96</v>
      </c>
      <c r="P552">
        <f t="shared" si="25"/>
        <v>0.78666666666666663</v>
      </c>
      <c r="Q552" t="str">
        <f t="shared" si="26"/>
        <v>Q26-01</v>
      </c>
    </row>
    <row r="553" spans="1:17" x14ac:dyDescent="0.25">
      <c r="A553" t="s">
        <v>61</v>
      </c>
      <c r="B553" t="s">
        <v>891</v>
      </c>
      <c r="C553" t="s">
        <v>892</v>
      </c>
      <c r="D553" t="s">
        <v>244</v>
      </c>
      <c r="E553" t="s">
        <v>1178</v>
      </c>
      <c r="F553" s="1">
        <v>39</v>
      </c>
      <c r="G553" s="1">
        <v>0</v>
      </c>
      <c r="H553" t="s">
        <v>17</v>
      </c>
      <c r="I553" t="s">
        <v>894</v>
      </c>
      <c r="J553" t="s">
        <v>1179</v>
      </c>
      <c r="K553" s="3">
        <v>46418</v>
      </c>
      <c r="L553" t="s">
        <v>1180</v>
      </c>
      <c r="M553">
        <v>0.312</v>
      </c>
      <c r="N553">
        <v>1680</v>
      </c>
      <c r="O553">
        <f t="shared" si="24"/>
        <v>12.167999999999999</v>
      </c>
      <c r="P553">
        <f t="shared" si="25"/>
        <v>2.3214285714285715E-2</v>
      </c>
      <c r="Q553" t="str">
        <f t="shared" si="26"/>
        <v>Q27-03</v>
      </c>
    </row>
    <row r="554" spans="1:17" x14ac:dyDescent="0.25">
      <c r="A554" t="s">
        <v>61</v>
      </c>
      <c r="B554" t="s">
        <v>891</v>
      </c>
      <c r="C554" t="s">
        <v>892</v>
      </c>
      <c r="D554" t="s">
        <v>244</v>
      </c>
      <c r="E554" t="s">
        <v>1181</v>
      </c>
      <c r="F554" s="1">
        <v>7</v>
      </c>
      <c r="G554" s="1">
        <v>0</v>
      </c>
      <c r="H554" t="s">
        <v>17</v>
      </c>
      <c r="I554" t="s">
        <v>894</v>
      </c>
      <c r="J554" t="s">
        <v>1179</v>
      </c>
      <c r="K554" s="3">
        <v>46418</v>
      </c>
      <c r="L554" t="s">
        <v>1180</v>
      </c>
      <c r="M554">
        <v>0.312</v>
      </c>
      <c r="N554">
        <v>1680</v>
      </c>
      <c r="O554">
        <f t="shared" si="24"/>
        <v>2.1840000000000002</v>
      </c>
      <c r="P554">
        <f t="shared" si="25"/>
        <v>4.1666666666666666E-3</v>
      </c>
      <c r="Q554" t="str">
        <f t="shared" si="26"/>
        <v>Q27-03</v>
      </c>
    </row>
    <row r="555" spans="1:17" x14ac:dyDescent="0.25">
      <c r="A555" t="s">
        <v>61</v>
      </c>
      <c r="B555" t="s">
        <v>891</v>
      </c>
      <c r="C555" t="s">
        <v>892</v>
      </c>
      <c r="D555" t="s">
        <v>191</v>
      </c>
      <c r="E555" t="s">
        <v>1182</v>
      </c>
      <c r="F555" s="1">
        <v>5</v>
      </c>
      <c r="G555" s="1">
        <v>0</v>
      </c>
      <c r="H555" t="s">
        <v>17</v>
      </c>
      <c r="I555" t="s">
        <v>894</v>
      </c>
      <c r="J555" t="s">
        <v>1179</v>
      </c>
      <c r="K555" s="3">
        <v>46418</v>
      </c>
      <c r="L555" t="s">
        <v>1180</v>
      </c>
      <c r="M555">
        <v>0.312</v>
      </c>
      <c r="N555">
        <v>1680</v>
      </c>
      <c r="O555">
        <f t="shared" si="24"/>
        <v>1.56</v>
      </c>
      <c r="P555">
        <f t="shared" si="25"/>
        <v>2.976190476190476E-3</v>
      </c>
      <c r="Q555" t="str">
        <f t="shared" si="26"/>
        <v>Q27-03</v>
      </c>
    </row>
    <row r="556" spans="1:17" x14ac:dyDescent="0.25">
      <c r="A556" t="s">
        <v>385</v>
      </c>
      <c r="B556" t="s">
        <v>644</v>
      </c>
      <c r="C556" t="s">
        <v>645</v>
      </c>
      <c r="D556" t="s">
        <v>441</v>
      </c>
      <c r="E556" t="s">
        <v>1183</v>
      </c>
      <c r="F556" s="1">
        <v>83</v>
      </c>
      <c r="G556" s="1">
        <v>0</v>
      </c>
      <c r="H556" t="s">
        <v>17</v>
      </c>
      <c r="I556" t="s">
        <v>647</v>
      </c>
      <c r="J556" t="s">
        <v>1184</v>
      </c>
      <c r="K556" s="3">
        <v>46421</v>
      </c>
      <c r="L556" t="s">
        <v>1185</v>
      </c>
      <c r="M556">
        <v>9.4E-2</v>
      </c>
      <c r="N556">
        <v>2475</v>
      </c>
      <c r="O556">
        <f t="shared" si="24"/>
        <v>7.8019999999999996</v>
      </c>
      <c r="P556">
        <f t="shared" si="25"/>
        <v>3.3535353535353536E-2</v>
      </c>
      <c r="Q556" t="str">
        <f t="shared" si="26"/>
        <v>Q26-03</v>
      </c>
    </row>
    <row r="557" spans="1:17" x14ac:dyDescent="0.25">
      <c r="A557" t="s">
        <v>385</v>
      </c>
      <c r="B557" t="s">
        <v>644</v>
      </c>
      <c r="C557" t="s">
        <v>645</v>
      </c>
      <c r="D557" t="s">
        <v>441</v>
      </c>
      <c r="E557" t="s">
        <v>1186</v>
      </c>
      <c r="F557" s="1">
        <v>10</v>
      </c>
      <c r="G557" s="1">
        <v>0</v>
      </c>
      <c r="H557" t="s">
        <v>17</v>
      </c>
      <c r="I557" t="s">
        <v>647</v>
      </c>
      <c r="J557" t="s">
        <v>1184</v>
      </c>
      <c r="K557" s="3">
        <v>46421</v>
      </c>
      <c r="L557" t="s">
        <v>1185</v>
      </c>
      <c r="M557">
        <v>9.4E-2</v>
      </c>
      <c r="N557">
        <v>2475</v>
      </c>
      <c r="O557">
        <f t="shared" si="24"/>
        <v>0.94</v>
      </c>
      <c r="P557">
        <f t="shared" si="25"/>
        <v>4.0404040404040404E-3</v>
      </c>
      <c r="Q557" t="str">
        <f t="shared" si="26"/>
        <v>Q26-03</v>
      </c>
    </row>
    <row r="558" spans="1:17" x14ac:dyDescent="0.25">
      <c r="A558" t="s">
        <v>12</v>
      </c>
      <c r="B558" t="s">
        <v>1100</v>
      </c>
      <c r="C558" t="s">
        <v>1101</v>
      </c>
      <c r="D558" t="s">
        <v>77</v>
      </c>
      <c r="E558" t="s">
        <v>1102</v>
      </c>
      <c r="F558" s="1">
        <v>4</v>
      </c>
      <c r="G558" s="1">
        <v>0</v>
      </c>
      <c r="H558" t="s">
        <v>17</v>
      </c>
      <c r="I558" t="s">
        <v>84</v>
      </c>
      <c r="J558" t="s">
        <v>1187</v>
      </c>
      <c r="K558" s="3">
        <v>45853</v>
      </c>
      <c r="L558" t="s">
        <v>1104</v>
      </c>
      <c r="M558">
        <v>0</v>
      </c>
      <c r="N558">
        <v>2250</v>
      </c>
      <c r="O558">
        <f t="shared" si="24"/>
        <v>0</v>
      </c>
      <c r="P558">
        <f t="shared" si="25"/>
        <v>1.7777777777777779E-3</v>
      </c>
      <c r="Q558" t="str">
        <f t="shared" si="26"/>
        <v>Q27-01</v>
      </c>
    </row>
    <row r="559" spans="1:17" x14ac:dyDescent="0.25">
      <c r="A559" t="s">
        <v>12</v>
      </c>
      <c r="B559" t="s">
        <v>1100</v>
      </c>
      <c r="C559" t="s">
        <v>1101</v>
      </c>
      <c r="D559" t="s">
        <v>77</v>
      </c>
      <c r="E559" t="s">
        <v>1102</v>
      </c>
      <c r="F559" s="1">
        <v>1</v>
      </c>
      <c r="G559" s="1">
        <v>0</v>
      </c>
      <c r="H559" t="s">
        <v>17</v>
      </c>
      <c r="I559" t="s">
        <v>84</v>
      </c>
      <c r="J559" t="s">
        <v>1188</v>
      </c>
      <c r="K559" s="3">
        <v>45853</v>
      </c>
      <c r="L559" t="s">
        <v>1104</v>
      </c>
      <c r="M559">
        <v>0</v>
      </c>
      <c r="N559">
        <v>2250</v>
      </c>
      <c r="O559">
        <f t="shared" si="24"/>
        <v>0</v>
      </c>
      <c r="P559">
        <f t="shared" si="25"/>
        <v>4.4444444444444447E-4</v>
      </c>
      <c r="Q559" t="str">
        <f t="shared" si="26"/>
        <v>Q27-01</v>
      </c>
    </row>
    <row r="560" spans="1:17" x14ac:dyDescent="0.25">
      <c r="A560" t="s">
        <v>61</v>
      </c>
      <c r="B560" t="s">
        <v>364</v>
      </c>
      <c r="C560" t="s">
        <v>365</v>
      </c>
      <c r="D560" t="s">
        <v>244</v>
      </c>
      <c r="E560" t="s">
        <v>1189</v>
      </c>
      <c r="F560" s="1">
        <v>3</v>
      </c>
      <c r="G560" s="1">
        <v>0</v>
      </c>
      <c r="H560" t="s">
        <v>17</v>
      </c>
      <c r="I560" t="s">
        <v>367</v>
      </c>
      <c r="J560" t="s">
        <v>1190</v>
      </c>
      <c r="K560" s="3">
        <v>46721</v>
      </c>
      <c r="L560" t="s">
        <v>1191</v>
      </c>
      <c r="M560">
        <v>0.158</v>
      </c>
      <c r="N560">
        <v>1152</v>
      </c>
      <c r="O560">
        <f t="shared" si="24"/>
        <v>0.47399999999999998</v>
      </c>
      <c r="P560">
        <f t="shared" si="25"/>
        <v>2.6041666666666665E-3</v>
      </c>
      <c r="Q560" t="str">
        <f t="shared" si="26"/>
        <v>Q27-03</v>
      </c>
    </row>
    <row r="561" spans="1:17" x14ac:dyDescent="0.25">
      <c r="A561" t="s">
        <v>12</v>
      </c>
      <c r="B561" t="s">
        <v>1192</v>
      </c>
      <c r="C561" t="s">
        <v>1193</v>
      </c>
      <c r="D561" t="s">
        <v>441</v>
      </c>
      <c r="E561" t="s">
        <v>1194</v>
      </c>
      <c r="F561" s="1">
        <v>1</v>
      </c>
      <c r="G561" s="1">
        <v>0</v>
      </c>
      <c r="H561" t="s">
        <v>17</v>
      </c>
      <c r="I561" t="s">
        <v>1195</v>
      </c>
      <c r="J561" t="s">
        <v>1196</v>
      </c>
      <c r="K561" s="3">
        <v>46662</v>
      </c>
      <c r="L561" t="s">
        <v>1197</v>
      </c>
      <c r="M561">
        <v>0.25700000000000001</v>
      </c>
      <c r="N561">
        <v>1080</v>
      </c>
      <c r="O561">
        <f t="shared" si="24"/>
        <v>0.25700000000000001</v>
      </c>
      <c r="P561">
        <f t="shared" si="25"/>
        <v>9.2592592592592596E-4</v>
      </c>
      <c r="Q561" t="str">
        <f t="shared" si="26"/>
        <v>Q26-03</v>
      </c>
    </row>
    <row r="562" spans="1:17" x14ac:dyDescent="0.25">
      <c r="A562" t="s">
        <v>61</v>
      </c>
      <c r="B562" t="s">
        <v>219</v>
      </c>
      <c r="C562" t="s">
        <v>220</v>
      </c>
      <c r="D562" t="s">
        <v>244</v>
      </c>
      <c r="E562" t="s">
        <v>1198</v>
      </c>
      <c r="F562" s="1">
        <v>3</v>
      </c>
      <c r="G562" s="1">
        <v>0</v>
      </c>
      <c r="H562" t="s">
        <v>17</v>
      </c>
      <c r="I562" t="s">
        <v>222</v>
      </c>
      <c r="J562" t="s">
        <v>1199</v>
      </c>
      <c r="K562" s="3">
        <v>46387</v>
      </c>
      <c r="L562" t="s">
        <v>1200</v>
      </c>
      <c r="M562">
        <v>0.3</v>
      </c>
      <c r="N562">
        <v>1680</v>
      </c>
      <c r="O562">
        <f t="shared" si="24"/>
        <v>0.89999999999999991</v>
      </c>
      <c r="P562">
        <f t="shared" si="25"/>
        <v>1.7857142857142857E-3</v>
      </c>
      <c r="Q562" t="str">
        <f t="shared" si="26"/>
        <v>Q27-03</v>
      </c>
    </row>
    <row r="563" spans="1:17" x14ac:dyDescent="0.25">
      <c r="A563" t="s">
        <v>61</v>
      </c>
      <c r="B563" t="s">
        <v>420</v>
      </c>
      <c r="C563" t="s">
        <v>421</v>
      </c>
      <c r="D563" t="s">
        <v>244</v>
      </c>
      <c r="E563" t="s">
        <v>1201</v>
      </c>
      <c r="F563" s="1">
        <v>43</v>
      </c>
      <c r="G563" s="1">
        <v>0</v>
      </c>
      <c r="H563" t="s">
        <v>17</v>
      </c>
      <c r="I563" t="s">
        <v>423</v>
      </c>
      <c r="J563" t="s">
        <v>1199</v>
      </c>
      <c r="K563" s="3">
        <v>46630</v>
      </c>
      <c r="L563" t="s">
        <v>1202</v>
      </c>
      <c r="M563">
        <v>0.156</v>
      </c>
      <c r="N563">
        <v>1152</v>
      </c>
      <c r="O563">
        <f t="shared" si="24"/>
        <v>6.7080000000000002</v>
      </c>
      <c r="P563">
        <f t="shared" si="25"/>
        <v>3.7326388888888888E-2</v>
      </c>
      <c r="Q563" t="str">
        <f t="shared" si="26"/>
        <v>Q27-03</v>
      </c>
    </row>
    <row r="564" spans="1:17" x14ac:dyDescent="0.25">
      <c r="A564" t="s">
        <v>61</v>
      </c>
      <c r="B564" t="s">
        <v>420</v>
      </c>
      <c r="C564" t="s">
        <v>421</v>
      </c>
      <c r="D564" t="s">
        <v>244</v>
      </c>
      <c r="E564" t="s">
        <v>1203</v>
      </c>
      <c r="F564" s="1">
        <v>1</v>
      </c>
      <c r="G564" s="1">
        <v>0</v>
      </c>
      <c r="H564" t="s">
        <v>17</v>
      </c>
      <c r="I564" t="s">
        <v>423</v>
      </c>
      <c r="J564" t="s">
        <v>1199</v>
      </c>
      <c r="K564" s="3">
        <v>46630</v>
      </c>
      <c r="L564" t="s">
        <v>1202</v>
      </c>
      <c r="M564">
        <v>0.156</v>
      </c>
      <c r="N564">
        <v>1152</v>
      </c>
      <c r="O564">
        <f t="shared" si="24"/>
        <v>0.156</v>
      </c>
      <c r="P564">
        <f t="shared" si="25"/>
        <v>8.6805555555555551E-4</v>
      </c>
      <c r="Q564" t="str">
        <f t="shared" si="26"/>
        <v>Q27-03</v>
      </c>
    </row>
    <row r="565" spans="1:17" x14ac:dyDescent="0.25">
      <c r="A565" t="s">
        <v>61</v>
      </c>
      <c r="B565" t="s">
        <v>364</v>
      </c>
      <c r="C565" t="s">
        <v>365</v>
      </c>
      <c r="D565" t="s">
        <v>73</v>
      </c>
      <c r="E565" t="s">
        <v>1204</v>
      </c>
      <c r="F565" s="1">
        <v>3</v>
      </c>
      <c r="G565" s="1">
        <v>0</v>
      </c>
      <c r="H565" t="s">
        <v>17</v>
      </c>
      <c r="I565" t="s">
        <v>367</v>
      </c>
      <c r="J565" t="s">
        <v>1199</v>
      </c>
      <c r="K565" s="3">
        <v>46660</v>
      </c>
      <c r="L565" t="s">
        <v>1205</v>
      </c>
      <c r="M565">
        <v>0.158</v>
      </c>
      <c r="N565">
        <v>1152</v>
      </c>
      <c r="O565">
        <f t="shared" si="24"/>
        <v>0.47399999999999998</v>
      </c>
      <c r="P565">
        <f t="shared" si="25"/>
        <v>2.6041666666666665E-3</v>
      </c>
      <c r="Q565" t="str">
        <f t="shared" si="26"/>
        <v>Q26-01</v>
      </c>
    </row>
    <row r="566" spans="1:17" x14ac:dyDescent="0.25">
      <c r="A566" t="s">
        <v>61</v>
      </c>
      <c r="B566" t="s">
        <v>364</v>
      </c>
      <c r="C566" t="s">
        <v>365</v>
      </c>
      <c r="D566" t="s">
        <v>244</v>
      </c>
      <c r="E566" t="s">
        <v>1206</v>
      </c>
      <c r="F566" s="1">
        <v>12</v>
      </c>
      <c r="G566" s="1">
        <v>0</v>
      </c>
      <c r="H566" t="s">
        <v>17</v>
      </c>
      <c r="I566" t="s">
        <v>367</v>
      </c>
      <c r="J566" t="s">
        <v>1199</v>
      </c>
      <c r="K566" s="3">
        <v>46660</v>
      </c>
      <c r="L566" t="s">
        <v>1205</v>
      </c>
      <c r="M566">
        <v>0.158</v>
      </c>
      <c r="N566">
        <v>1152</v>
      </c>
      <c r="O566">
        <f t="shared" si="24"/>
        <v>1.8959999999999999</v>
      </c>
      <c r="P566">
        <f t="shared" si="25"/>
        <v>1.0416666666666666E-2</v>
      </c>
      <c r="Q566" t="str">
        <f t="shared" si="26"/>
        <v>Q27-03</v>
      </c>
    </row>
    <row r="567" spans="1:17" x14ac:dyDescent="0.25">
      <c r="A567" t="s">
        <v>61</v>
      </c>
      <c r="B567" t="s">
        <v>364</v>
      </c>
      <c r="C567" t="s">
        <v>365</v>
      </c>
      <c r="D567" t="s">
        <v>244</v>
      </c>
      <c r="E567" t="s">
        <v>1207</v>
      </c>
      <c r="F567" s="1">
        <v>18</v>
      </c>
      <c r="G567" s="1">
        <v>0</v>
      </c>
      <c r="H567" t="s">
        <v>17</v>
      </c>
      <c r="I567" t="s">
        <v>367</v>
      </c>
      <c r="J567" t="s">
        <v>1199</v>
      </c>
      <c r="K567" s="3">
        <v>46660</v>
      </c>
      <c r="L567" t="s">
        <v>1205</v>
      </c>
      <c r="M567">
        <v>0.158</v>
      </c>
      <c r="N567">
        <v>1152</v>
      </c>
      <c r="O567">
        <f t="shared" si="24"/>
        <v>2.8439999999999999</v>
      </c>
      <c r="P567">
        <f t="shared" si="25"/>
        <v>1.5625E-2</v>
      </c>
      <c r="Q567" t="str">
        <f t="shared" si="26"/>
        <v>Q27-03</v>
      </c>
    </row>
    <row r="568" spans="1:17" x14ac:dyDescent="0.25">
      <c r="A568" t="s">
        <v>61</v>
      </c>
      <c r="B568" t="s">
        <v>364</v>
      </c>
      <c r="C568" t="s">
        <v>365</v>
      </c>
      <c r="D568" t="s">
        <v>244</v>
      </c>
      <c r="E568" t="s">
        <v>1208</v>
      </c>
      <c r="F568" s="1">
        <v>2</v>
      </c>
      <c r="G568" s="1">
        <v>0</v>
      </c>
      <c r="H568" t="s">
        <v>17</v>
      </c>
      <c r="I568" t="s">
        <v>367</v>
      </c>
      <c r="J568" t="s">
        <v>1199</v>
      </c>
      <c r="K568" s="3">
        <v>46660</v>
      </c>
      <c r="L568" t="s">
        <v>1205</v>
      </c>
      <c r="M568">
        <v>0.158</v>
      </c>
      <c r="N568">
        <v>1152</v>
      </c>
      <c r="O568">
        <f t="shared" si="24"/>
        <v>0.316</v>
      </c>
      <c r="P568">
        <f t="shared" si="25"/>
        <v>1.736111111111111E-3</v>
      </c>
      <c r="Q568" t="str">
        <f t="shared" si="26"/>
        <v>Q27-03</v>
      </c>
    </row>
    <row r="569" spans="1:17" x14ac:dyDescent="0.25">
      <c r="A569" t="s">
        <v>61</v>
      </c>
      <c r="B569" t="s">
        <v>364</v>
      </c>
      <c r="C569" t="s">
        <v>365</v>
      </c>
      <c r="D569" t="s">
        <v>244</v>
      </c>
      <c r="E569" t="s">
        <v>1209</v>
      </c>
      <c r="F569" s="1">
        <v>3</v>
      </c>
      <c r="G569" s="1">
        <v>0</v>
      </c>
      <c r="H569" t="s">
        <v>17</v>
      </c>
      <c r="I569" t="s">
        <v>367</v>
      </c>
      <c r="J569" t="s">
        <v>1199</v>
      </c>
      <c r="K569" s="3">
        <v>46660</v>
      </c>
      <c r="L569" t="s">
        <v>1205</v>
      </c>
      <c r="M569">
        <v>0.158</v>
      </c>
      <c r="N569">
        <v>1152</v>
      </c>
      <c r="O569">
        <f t="shared" si="24"/>
        <v>0.47399999999999998</v>
      </c>
      <c r="P569">
        <f t="shared" si="25"/>
        <v>2.6041666666666665E-3</v>
      </c>
      <c r="Q569" t="str">
        <f t="shared" si="26"/>
        <v>Q27-03</v>
      </c>
    </row>
    <row r="570" spans="1:17" x14ac:dyDescent="0.25">
      <c r="A570" t="s">
        <v>61</v>
      </c>
      <c r="B570" t="s">
        <v>364</v>
      </c>
      <c r="C570" t="s">
        <v>365</v>
      </c>
      <c r="D570" t="s">
        <v>244</v>
      </c>
      <c r="E570" t="s">
        <v>1210</v>
      </c>
      <c r="F570" s="1">
        <v>2</v>
      </c>
      <c r="G570" s="1">
        <v>0</v>
      </c>
      <c r="H570" t="s">
        <v>17</v>
      </c>
      <c r="I570" t="s">
        <v>367</v>
      </c>
      <c r="J570" t="s">
        <v>1199</v>
      </c>
      <c r="K570" s="3">
        <v>46660</v>
      </c>
      <c r="L570" t="s">
        <v>1205</v>
      </c>
      <c r="M570">
        <v>0.158</v>
      </c>
      <c r="N570">
        <v>1152</v>
      </c>
      <c r="O570">
        <f t="shared" si="24"/>
        <v>0.316</v>
      </c>
      <c r="P570">
        <f t="shared" si="25"/>
        <v>1.736111111111111E-3</v>
      </c>
      <c r="Q570" t="str">
        <f t="shared" si="26"/>
        <v>Q27-03</v>
      </c>
    </row>
    <row r="571" spans="1:17" x14ac:dyDescent="0.25">
      <c r="A571" t="s">
        <v>61</v>
      </c>
      <c r="B571" t="s">
        <v>364</v>
      </c>
      <c r="C571" t="s">
        <v>365</v>
      </c>
      <c r="D571" t="s">
        <v>244</v>
      </c>
      <c r="E571" t="s">
        <v>1211</v>
      </c>
      <c r="F571" s="1">
        <v>26</v>
      </c>
      <c r="G571" s="1">
        <v>0</v>
      </c>
      <c r="H571" t="s">
        <v>17</v>
      </c>
      <c r="I571" t="s">
        <v>367</v>
      </c>
      <c r="J571" t="s">
        <v>1199</v>
      </c>
      <c r="K571" s="3">
        <v>46660</v>
      </c>
      <c r="L571" t="s">
        <v>1205</v>
      </c>
      <c r="M571">
        <v>0.158</v>
      </c>
      <c r="N571">
        <v>1152</v>
      </c>
      <c r="O571">
        <f t="shared" si="24"/>
        <v>4.1079999999999997</v>
      </c>
      <c r="P571">
        <f t="shared" si="25"/>
        <v>2.2569444444444444E-2</v>
      </c>
      <c r="Q571" t="str">
        <f t="shared" si="26"/>
        <v>Q27-03</v>
      </c>
    </row>
    <row r="572" spans="1:17" x14ac:dyDescent="0.25">
      <c r="A572" t="s">
        <v>61</v>
      </c>
      <c r="B572" t="s">
        <v>456</v>
      </c>
      <c r="C572" t="s">
        <v>457</v>
      </c>
      <c r="D572" t="s">
        <v>77</v>
      </c>
      <c r="E572" t="s">
        <v>1212</v>
      </c>
      <c r="F572" s="1">
        <v>1</v>
      </c>
      <c r="G572" s="1">
        <v>0</v>
      </c>
      <c r="H572" t="s">
        <v>17</v>
      </c>
      <c r="I572" t="s">
        <v>459</v>
      </c>
      <c r="J572" t="s">
        <v>1199</v>
      </c>
      <c r="K572" s="3">
        <v>46387</v>
      </c>
      <c r="L572" t="s">
        <v>1213</v>
      </c>
      <c r="M572">
        <v>0.22600000000000001</v>
      </c>
      <c r="N572">
        <v>1680</v>
      </c>
      <c r="O572">
        <f t="shared" si="24"/>
        <v>0.22600000000000001</v>
      </c>
      <c r="P572">
        <f t="shared" si="25"/>
        <v>5.9523809523809529E-4</v>
      </c>
      <c r="Q572" t="str">
        <f t="shared" si="26"/>
        <v>Q27-01</v>
      </c>
    </row>
    <row r="573" spans="1:17" x14ac:dyDescent="0.25">
      <c r="A573" t="s">
        <v>61</v>
      </c>
      <c r="B573" t="s">
        <v>456</v>
      </c>
      <c r="C573" t="s">
        <v>457</v>
      </c>
      <c r="D573" t="s">
        <v>244</v>
      </c>
      <c r="E573" t="s">
        <v>1214</v>
      </c>
      <c r="F573" s="1">
        <v>5</v>
      </c>
      <c r="G573" s="1">
        <v>0</v>
      </c>
      <c r="H573" t="s">
        <v>17</v>
      </c>
      <c r="I573" t="s">
        <v>459</v>
      </c>
      <c r="J573" t="s">
        <v>1199</v>
      </c>
      <c r="K573" s="3">
        <v>46387</v>
      </c>
      <c r="L573" t="s">
        <v>1213</v>
      </c>
      <c r="M573">
        <v>0.22600000000000001</v>
      </c>
      <c r="N573">
        <v>1680</v>
      </c>
      <c r="O573">
        <f t="shared" si="24"/>
        <v>1.1300000000000001</v>
      </c>
      <c r="P573">
        <f t="shared" si="25"/>
        <v>2.976190476190476E-3</v>
      </c>
      <c r="Q573" t="str">
        <f t="shared" si="26"/>
        <v>Q27-03</v>
      </c>
    </row>
    <row r="574" spans="1:17" x14ac:dyDescent="0.25">
      <c r="A574" t="s">
        <v>61</v>
      </c>
      <c r="B574" t="s">
        <v>456</v>
      </c>
      <c r="C574" t="s">
        <v>457</v>
      </c>
      <c r="D574" t="s">
        <v>244</v>
      </c>
      <c r="E574" t="s">
        <v>1215</v>
      </c>
      <c r="F574" s="1">
        <v>7</v>
      </c>
      <c r="G574" s="1">
        <v>0</v>
      </c>
      <c r="H574" t="s">
        <v>17</v>
      </c>
      <c r="I574" t="s">
        <v>459</v>
      </c>
      <c r="J574" t="s">
        <v>1199</v>
      </c>
      <c r="K574" s="3">
        <v>46387</v>
      </c>
      <c r="L574" t="s">
        <v>1213</v>
      </c>
      <c r="M574">
        <v>0.22600000000000001</v>
      </c>
      <c r="N574">
        <v>1680</v>
      </c>
      <c r="O574">
        <f t="shared" si="24"/>
        <v>1.5820000000000001</v>
      </c>
      <c r="P574">
        <f t="shared" si="25"/>
        <v>4.1666666666666666E-3</v>
      </c>
      <c r="Q574" t="str">
        <f t="shared" si="26"/>
        <v>Q27-03</v>
      </c>
    </row>
    <row r="575" spans="1:17" x14ac:dyDescent="0.25">
      <c r="A575" t="s">
        <v>61</v>
      </c>
      <c r="B575" t="s">
        <v>456</v>
      </c>
      <c r="C575" t="s">
        <v>457</v>
      </c>
      <c r="D575" t="s">
        <v>244</v>
      </c>
      <c r="E575" t="s">
        <v>1216</v>
      </c>
      <c r="F575" s="1">
        <v>2</v>
      </c>
      <c r="G575" s="1">
        <v>0</v>
      </c>
      <c r="H575" t="s">
        <v>17</v>
      </c>
      <c r="I575" t="s">
        <v>459</v>
      </c>
      <c r="J575" t="s">
        <v>1199</v>
      </c>
      <c r="K575" s="3">
        <v>46387</v>
      </c>
      <c r="L575" t="s">
        <v>1213</v>
      </c>
      <c r="M575">
        <v>0.22600000000000001</v>
      </c>
      <c r="N575">
        <v>1680</v>
      </c>
      <c r="O575">
        <f t="shared" si="24"/>
        <v>0.45200000000000001</v>
      </c>
      <c r="P575">
        <f t="shared" si="25"/>
        <v>1.1904761904761906E-3</v>
      </c>
      <c r="Q575" t="str">
        <f t="shared" si="26"/>
        <v>Q27-03</v>
      </c>
    </row>
    <row r="576" spans="1:17" x14ac:dyDescent="0.25">
      <c r="A576" t="s">
        <v>61</v>
      </c>
      <c r="B576" t="s">
        <v>456</v>
      </c>
      <c r="C576" t="s">
        <v>457</v>
      </c>
      <c r="D576" t="s">
        <v>244</v>
      </c>
      <c r="E576" t="s">
        <v>1217</v>
      </c>
      <c r="F576" s="1">
        <v>2</v>
      </c>
      <c r="G576" s="1">
        <v>0</v>
      </c>
      <c r="H576" t="s">
        <v>17</v>
      </c>
      <c r="I576" t="s">
        <v>459</v>
      </c>
      <c r="J576" t="s">
        <v>1199</v>
      </c>
      <c r="K576" s="3">
        <v>46387</v>
      </c>
      <c r="L576" t="s">
        <v>1213</v>
      </c>
      <c r="M576">
        <v>0.22600000000000001</v>
      </c>
      <c r="N576">
        <v>1680</v>
      </c>
      <c r="O576">
        <f t="shared" si="24"/>
        <v>0.45200000000000001</v>
      </c>
      <c r="P576">
        <f t="shared" si="25"/>
        <v>1.1904761904761906E-3</v>
      </c>
      <c r="Q576" t="str">
        <f t="shared" si="26"/>
        <v>Q27-03</v>
      </c>
    </row>
    <row r="577" spans="1:17" x14ac:dyDescent="0.25">
      <c r="A577" t="s">
        <v>61</v>
      </c>
      <c r="B577" t="s">
        <v>891</v>
      </c>
      <c r="C577" t="s">
        <v>892</v>
      </c>
      <c r="D577" t="s">
        <v>244</v>
      </c>
      <c r="E577" t="s">
        <v>1218</v>
      </c>
      <c r="F577" s="1">
        <v>52</v>
      </c>
      <c r="G577" s="1">
        <v>0</v>
      </c>
      <c r="H577" t="s">
        <v>17</v>
      </c>
      <c r="I577" t="s">
        <v>894</v>
      </c>
      <c r="J577" t="s">
        <v>1199</v>
      </c>
      <c r="K577" s="3">
        <v>46356</v>
      </c>
      <c r="L577" t="s">
        <v>1219</v>
      </c>
      <c r="M577">
        <v>0.312</v>
      </c>
      <c r="N577">
        <v>1680</v>
      </c>
      <c r="O577">
        <f t="shared" si="24"/>
        <v>16.224</v>
      </c>
      <c r="P577">
        <f t="shared" si="25"/>
        <v>3.0952380952380953E-2</v>
      </c>
      <c r="Q577" t="str">
        <f t="shared" si="26"/>
        <v>Q27-03</v>
      </c>
    </row>
    <row r="578" spans="1:17" x14ac:dyDescent="0.25">
      <c r="A578" t="s">
        <v>61</v>
      </c>
      <c r="B578" t="s">
        <v>891</v>
      </c>
      <c r="C578" t="s">
        <v>892</v>
      </c>
      <c r="D578" t="s">
        <v>244</v>
      </c>
      <c r="E578" t="s">
        <v>1220</v>
      </c>
      <c r="F578" s="1">
        <v>2</v>
      </c>
      <c r="G578" s="1">
        <v>0</v>
      </c>
      <c r="H578" t="s">
        <v>17</v>
      </c>
      <c r="I578" t="s">
        <v>894</v>
      </c>
      <c r="J578" t="s">
        <v>1199</v>
      </c>
      <c r="K578" s="3">
        <v>46356</v>
      </c>
      <c r="L578" t="s">
        <v>1219</v>
      </c>
      <c r="M578">
        <v>0.312</v>
      </c>
      <c r="N578">
        <v>1680</v>
      </c>
      <c r="O578">
        <f t="shared" si="24"/>
        <v>0.624</v>
      </c>
      <c r="P578">
        <f t="shared" si="25"/>
        <v>1.1904761904761906E-3</v>
      </c>
      <c r="Q578" t="str">
        <f t="shared" si="26"/>
        <v>Q27-03</v>
      </c>
    </row>
    <row r="579" spans="1:17" x14ac:dyDescent="0.25">
      <c r="A579" t="s">
        <v>12</v>
      </c>
      <c r="B579" t="s">
        <v>1221</v>
      </c>
      <c r="C579" t="s">
        <v>1222</v>
      </c>
      <c r="D579" t="s">
        <v>121</v>
      </c>
      <c r="E579" t="s">
        <v>1223</v>
      </c>
      <c r="F579" s="2">
        <v>15641</v>
      </c>
      <c r="G579" s="1">
        <v>0</v>
      </c>
      <c r="H579" t="s">
        <v>17</v>
      </c>
      <c r="I579" t="s">
        <v>84</v>
      </c>
      <c r="J579" t="s">
        <v>90</v>
      </c>
      <c r="K579" s="3">
        <v>46494</v>
      </c>
      <c r="L579" t="s">
        <v>123</v>
      </c>
      <c r="M579">
        <v>0</v>
      </c>
      <c r="N579">
        <v>0</v>
      </c>
      <c r="O579">
        <f t="shared" ref="O579:O642" si="27">F579*M579</f>
        <v>0</v>
      </c>
      <c r="Q579" t="str">
        <f t="shared" ref="Q579:Q642" si="28">LEFT(D579,6)</f>
        <v>Q27-01</v>
      </c>
    </row>
    <row r="580" spans="1:17" x14ac:dyDescent="0.25">
      <c r="A580" t="s">
        <v>12</v>
      </c>
      <c r="B580" t="s">
        <v>750</v>
      </c>
      <c r="C580" t="s">
        <v>751</v>
      </c>
      <c r="D580" t="s">
        <v>57</v>
      </c>
      <c r="E580" t="s">
        <v>1224</v>
      </c>
      <c r="F580" s="1">
        <v>2</v>
      </c>
      <c r="G580" s="1">
        <v>0</v>
      </c>
      <c r="H580" t="s">
        <v>17</v>
      </c>
      <c r="I580" t="s">
        <v>753</v>
      </c>
      <c r="J580" t="s">
        <v>1225</v>
      </c>
      <c r="K580" s="3">
        <v>46674</v>
      </c>
      <c r="L580" t="s">
        <v>1088</v>
      </c>
      <c r="M580">
        <v>3.5999999999999997E-2</v>
      </c>
      <c r="N580">
        <v>5280</v>
      </c>
      <c r="O580">
        <f t="shared" si="27"/>
        <v>7.1999999999999995E-2</v>
      </c>
      <c r="P580">
        <f t="shared" ref="P579:P642" si="29">F580/N580</f>
        <v>3.7878787878787879E-4</v>
      </c>
      <c r="Q580" t="str">
        <f t="shared" si="28"/>
        <v>Q26-03</v>
      </c>
    </row>
    <row r="581" spans="1:17" x14ac:dyDescent="0.25">
      <c r="A581" t="s">
        <v>61</v>
      </c>
      <c r="B581" t="s">
        <v>364</v>
      </c>
      <c r="C581" t="s">
        <v>365</v>
      </c>
      <c r="D581" t="s">
        <v>180</v>
      </c>
      <c r="E581" t="s">
        <v>1226</v>
      </c>
      <c r="F581" s="1">
        <v>2</v>
      </c>
      <c r="G581" s="1">
        <v>0</v>
      </c>
      <c r="H581" t="s">
        <v>17</v>
      </c>
      <c r="I581" t="s">
        <v>367</v>
      </c>
      <c r="J581" t="s">
        <v>1227</v>
      </c>
      <c r="K581" s="3">
        <v>46446</v>
      </c>
      <c r="L581" t="s">
        <v>536</v>
      </c>
      <c r="M581">
        <v>0.158</v>
      </c>
      <c r="N581">
        <v>1152</v>
      </c>
      <c r="O581">
        <f t="shared" si="27"/>
        <v>0.316</v>
      </c>
      <c r="P581">
        <f t="shared" si="29"/>
        <v>1.736111111111111E-3</v>
      </c>
      <c r="Q581" t="str">
        <f t="shared" si="28"/>
        <v>Q27-03</v>
      </c>
    </row>
    <row r="582" spans="1:17" x14ac:dyDescent="0.25">
      <c r="A582" t="s">
        <v>61</v>
      </c>
      <c r="B582" t="s">
        <v>456</v>
      </c>
      <c r="C582" t="s">
        <v>457</v>
      </c>
      <c r="D582" t="s">
        <v>180</v>
      </c>
      <c r="E582" t="s">
        <v>1228</v>
      </c>
      <c r="F582" s="1">
        <v>1</v>
      </c>
      <c r="G582" s="1">
        <v>0</v>
      </c>
      <c r="H582" t="s">
        <v>17</v>
      </c>
      <c r="I582" t="s">
        <v>459</v>
      </c>
      <c r="J582" t="s">
        <v>1227</v>
      </c>
      <c r="K582" s="3">
        <v>46203</v>
      </c>
      <c r="L582" t="s">
        <v>792</v>
      </c>
      <c r="M582">
        <v>0.22600000000000001</v>
      </c>
      <c r="N582">
        <v>1680</v>
      </c>
      <c r="O582">
        <f t="shared" si="27"/>
        <v>0.22600000000000001</v>
      </c>
      <c r="P582">
        <f t="shared" si="29"/>
        <v>5.9523809523809529E-4</v>
      </c>
      <c r="Q582" t="str">
        <f t="shared" si="28"/>
        <v>Q27-03</v>
      </c>
    </row>
    <row r="583" spans="1:17" x14ac:dyDescent="0.25">
      <c r="A583" t="s">
        <v>61</v>
      </c>
      <c r="B583" t="s">
        <v>219</v>
      </c>
      <c r="C583" t="s">
        <v>220</v>
      </c>
      <c r="D583" t="s">
        <v>69</v>
      </c>
      <c r="E583" t="s">
        <v>1229</v>
      </c>
      <c r="F583" s="1">
        <v>1</v>
      </c>
      <c r="G583" s="1">
        <v>0</v>
      </c>
      <c r="H583" t="s">
        <v>17</v>
      </c>
      <c r="I583" t="s">
        <v>222</v>
      </c>
      <c r="J583" t="s">
        <v>1227</v>
      </c>
      <c r="K583" s="3">
        <v>46081</v>
      </c>
      <c r="L583" t="s">
        <v>539</v>
      </c>
      <c r="M583">
        <v>0.3</v>
      </c>
      <c r="N583">
        <v>1680</v>
      </c>
      <c r="O583">
        <f t="shared" si="27"/>
        <v>0.3</v>
      </c>
      <c r="P583">
        <f t="shared" si="29"/>
        <v>5.9523809523809529E-4</v>
      </c>
      <c r="Q583" t="str">
        <f t="shared" si="28"/>
        <v>Q27-01</v>
      </c>
    </row>
    <row r="584" spans="1:17" x14ac:dyDescent="0.25">
      <c r="A584" t="s">
        <v>61</v>
      </c>
      <c r="B584" t="s">
        <v>225</v>
      </c>
      <c r="C584" t="s">
        <v>226</v>
      </c>
      <c r="D584" t="s">
        <v>180</v>
      </c>
      <c r="E584" t="s">
        <v>1230</v>
      </c>
      <c r="F584" s="1">
        <v>2</v>
      </c>
      <c r="G584" s="1">
        <v>0</v>
      </c>
      <c r="H584" t="s">
        <v>17</v>
      </c>
      <c r="I584" t="s">
        <v>228</v>
      </c>
      <c r="J584" t="s">
        <v>1227</v>
      </c>
      <c r="K584" s="3">
        <v>46660</v>
      </c>
      <c r="L584" t="s">
        <v>1231</v>
      </c>
      <c r="M584">
        <v>5.8000000000000003E-2</v>
      </c>
      <c r="N584">
        <v>2880</v>
      </c>
      <c r="O584">
        <f t="shared" si="27"/>
        <v>0.11600000000000001</v>
      </c>
      <c r="P584">
        <f t="shared" si="29"/>
        <v>6.9444444444444447E-4</v>
      </c>
      <c r="Q584" t="str">
        <f t="shared" si="28"/>
        <v>Q27-03</v>
      </c>
    </row>
    <row r="585" spans="1:17" x14ac:dyDescent="0.25">
      <c r="A585" t="s">
        <v>61</v>
      </c>
      <c r="B585" t="s">
        <v>225</v>
      </c>
      <c r="C585" t="s">
        <v>226</v>
      </c>
      <c r="D585" t="s">
        <v>180</v>
      </c>
      <c r="E585" t="s">
        <v>1232</v>
      </c>
      <c r="F585" s="1">
        <v>2</v>
      </c>
      <c r="G585" s="1">
        <v>0</v>
      </c>
      <c r="H585" t="s">
        <v>17</v>
      </c>
      <c r="I585" t="s">
        <v>228</v>
      </c>
      <c r="J585" t="s">
        <v>1227</v>
      </c>
      <c r="K585" s="3">
        <v>46387</v>
      </c>
      <c r="L585" t="s">
        <v>1233</v>
      </c>
      <c r="M585">
        <v>5.8000000000000003E-2</v>
      </c>
      <c r="N585">
        <v>2880</v>
      </c>
      <c r="O585">
        <f t="shared" si="27"/>
        <v>0.11600000000000001</v>
      </c>
      <c r="P585">
        <f t="shared" si="29"/>
        <v>6.9444444444444447E-4</v>
      </c>
      <c r="Q585" t="str">
        <f t="shared" si="28"/>
        <v>Q27-03</v>
      </c>
    </row>
    <row r="586" spans="1:17" x14ac:dyDescent="0.25">
      <c r="A586" t="s">
        <v>12</v>
      </c>
      <c r="B586" t="s">
        <v>1234</v>
      </c>
      <c r="C586" t="s">
        <v>1235</v>
      </c>
      <c r="D586" t="s">
        <v>121</v>
      </c>
      <c r="E586" t="s">
        <v>1236</v>
      </c>
      <c r="F586" s="1">
        <v>595</v>
      </c>
      <c r="G586" s="1">
        <v>0</v>
      </c>
      <c r="H586" t="s">
        <v>17</v>
      </c>
      <c r="I586" t="s">
        <v>84</v>
      </c>
      <c r="J586" t="s">
        <v>90</v>
      </c>
      <c r="K586" s="3">
        <v>46502</v>
      </c>
      <c r="L586" t="s">
        <v>123</v>
      </c>
      <c r="M586">
        <v>0</v>
      </c>
      <c r="N586">
        <v>0</v>
      </c>
      <c r="O586">
        <f t="shared" si="27"/>
        <v>0</v>
      </c>
      <c r="Q586" t="str">
        <f t="shared" si="28"/>
        <v>Q27-01</v>
      </c>
    </row>
    <row r="587" spans="1:17" x14ac:dyDescent="0.25">
      <c r="A587" t="s">
        <v>12</v>
      </c>
      <c r="B587" t="s">
        <v>1237</v>
      </c>
      <c r="C587" t="s">
        <v>1238</v>
      </c>
      <c r="D587" t="s">
        <v>121</v>
      </c>
      <c r="E587" t="s">
        <v>1239</v>
      </c>
      <c r="F587" s="2">
        <v>1637</v>
      </c>
      <c r="G587" s="1">
        <v>0</v>
      </c>
      <c r="H587" t="s">
        <v>17</v>
      </c>
      <c r="I587" t="s">
        <v>84</v>
      </c>
      <c r="J587" t="s">
        <v>90</v>
      </c>
      <c r="K587" s="3">
        <v>46502</v>
      </c>
      <c r="L587" t="s">
        <v>123</v>
      </c>
      <c r="M587">
        <v>0</v>
      </c>
      <c r="N587">
        <v>0</v>
      </c>
      <c r="O587">
        <f t="shared" si="27"/>
        <v>0</v>
      </c>
      <c r="Q587" t="str">
        <f t="shared" si="28"/>
        <v>Q27-01</v>
      </c>
    </row>
    <row r="588" spans="1:17" x14ac:dyDescent="0.25">
      <c r="A588" t="s">
        <v>12</v>
      </c>
      <c r="B588" t="s">
        <v>1169</v>
      </c>
      <c r="C588" t="s">
        <v>1170</v>
      </c>
      <c r="D588" t="s">
        <v>1171</v>
      </c>
      <c r="E588" t="s">
        <v>1172</v>
      </c>
      <c r="F588" s="1">
        <v>66</v>
      </c>
      <c r="G588" s="1">
        <v>0</v>
      </c>
      <c r="H588" t="s">
        <v>17</v>
      </c>
      <c r="I588" t="s">
        <v>1173</v>
      </c>
      <c r="J588" t="s">
        <v>1240</v>
      </c>
      <c r="K588" s="3">
        <v>46033</v>
      </c>
      <c r="L588" t="s">
        <v>1175</v>
      </c>
      <c r="M588">
        <v>0.02</v>
      </c>
      <c r="N588">
        <v>1650</v>
      </c>
      <c r="O588">
        <f t="shared" si="27"/>
        <v>1.32</v>
      </c>
      <c r="P588">
        <f t="shared" si="29"/>
        <v>0.04</v>
      </c>
      <c r="Q588" t="str">
        <f t="shared" si="28"/>
        <v>Q26-01</v>
      </c>
    </row>
    <row r="589" spans="1:17" x14ac:dyDescent="0.25">
      <c r="A589" t="s">
        <v>12</v>
      </c>
      <c r="B589" t="s">
        <v>1241</v>
      </c>
      <c r="C589" t="s">
        <v>1242</v>
      </c>
      <c r="D589" t="s">
        <v>57</v>
      </c>
      <c r="E589" t="s">
        <v>1243</v>
      </c>
      <c r="F589" s="1">
        <v>3</v>
      </c>
      <c r="G589" s="1">
        <v>0</v>
      </c>
      <c r="H589" t="s">
        <v>17</v>
      </c>
      <c r="I589" t="s">
        <v>1244</v>
      </c>
      <c r="J589" t="s">
        <v>1245</v>
      </c>
      <c r="K589" s="3">
        <v>46446</v>
      </c>
      <c r="L589" t="s">
        <v>1246</v>
      </c>
      <c r="M589">
        <v>4.1000000000000002E-2</v>
      </c>
      <c r="N589">
        <v>2592</v>
      </c>
      <c r="O589">
        <f t="shared" si="27"/>
        <v>0.123</v>
      </c>
      <c r="P589">
        <f t="shared" si="29"/>
        <v>1.1574074074074073E-3</v>
      </c>
      <c r="Q589" t="str">
        <f t="shared" si="28"/>
        <v>Q26-03</v>
      </c>
    </row>
    <row r="590" spans="1:17" x14ac:dyDescent="0.25">
      <c r="A590" t="s">
        <v>12</v>
      </c>
      <c r="B590" t="s">
        <v>1241</v>
      </c>
      <c r="C590" t="s">
        <v>1242</v>
      </c>
      <c r="D590" t="s">
        <v>57</v>
      </c>
      <c r="E590" t="s">
        <v>1247</v>
      </c>
      <c r="F590" s="1">
        <v>2</v>
      </c>
      <c r="G590" s="1">
        <v>0</v>
      </c>
      <c r="H590" t="s">
        <v>17</v>
      </c>
      <c r="I590" t="s">
        <v>1244</v>
      </c>
      <c r="J590" t="s">
        <v>1245</v>
      </c>
      <c r="K590" s="3">
        <v>46446</v>
      </c>
      <c r="L590" t="s">
        <v>1246</v>
      </c>
      <c r="M590">
        <v>4.1000000000000002E-2</v>
      </c>
      <c r="N590">
        <v>2592</v>
      </c>
      <c r="O590">
        <f t="shared" si="27"/>
        <v>8.2000000000000003E-2</v>
      </c>
      <c r="P590">
        <f t="shared" si="29"/>
        <v>7.716049382716049E-4</v>
      </c>
      <c r="Q590" t="str">
        <f t="shared" si="28"/>
        <v>Q26-03</v>
      </c>
    </row>
    <row r="591" spans="1:17" x14ac:dyDescent="0.25">
      <c r="A591" t="s">
        <v>12</v>
      </c>
      <c r="B591" t="s">
        <v>1248</v>
      </c>
      <c r="C591" t="s">
        <v>1249</v>
      </c>
      <c r="D591" t="s">
        <v>805</v>
      </c>
      <c r="E591" t="s">
        <v>1250</v>
      </c>
      <c r="F591" s="1">
        <v>11</v>
      </c>
      <c r="G591" s="1">
        <v>0</v>
      </c>
      <c r="H591" t="s">
        <v>17</v>
      </c>
      <c r="I591" t="s">
        <v>1251</v>
      </c>
      <c r="J591" t="s">
        <v>1252</v>
      </c>
      <c r="K591" s="3">
        <v>46223</v>
      </c>
      <c r="L591" t="s">
        <v>1253</v>
      </c>
      <c r="M591">
        <v>0.441</v>
      </c>
      <c r="N591">
        <v>672</v>
      </c>
      <c r="O591">
        <f t="shared" si="27"/>
        <v>4.851</v>
      </c>
      <c r="P591">
        <f t="shared" si="29"/>
        <v>1.636904761904762E-2</v>
      </c>
      <c r="Q591" t="str">
        <f t="shared" si="28"/>
        <v>Q27-03</v>
      </c>
    </row>
    <row r="592" spans="1:17" x14ac:dyDescent="0.25">
      <c r="A592" t="s">
        <v>12</v>
      </c>
      <c r="B592" t="s">
        <v>1254</v>
      </c>
      <c r="C592" t="s">
        <v>1255</v>
      </c>
      <c r="D592" t="s">
        <v>244</v>
      </c>
      <c r="E592" t="s">
        <v>1256</v>
      </c>
      <c r="F592" s="1">
        <v>6</v>
      </c>
      <c r="G592" s="1">
        <v>0</v>
      </c>
      <c r="H592" t="s">
        <v>17</v>
      </c>
      <c r="I592" t="s">
        <v>1257</v>
      </c>
      <c r="J592" t="s">
        <v>1258</v>
      </c>
      <c r="K592" s="3">
        <v>46326</v>
      </c>
      <c r="L592" t="s">
        <v>1259</v>
      </c>
      <c r="M592">
        <v>0.1</v>
      </c>
      <c r="N592">
        <v>3600</v>
      </c>
      <c r="O592">
        <f t="shared" si="27"/>
        <v>0.60000000000000009</v>
      </c>
      <c r="P592">
        <f t="shared" si="29"/>
        <v>1.6666666666666668E-3</v>
      </c>
      <c r="Q592" t="str">
        <f t="shared" si="28"/>
        <v>Q27-03</v>
      </c>
    </row>
    <row r="593" spans="1:17" x14ac:dyDescent="0.25">
      <c r="A593" t="s">
        <v>12</v>
      </c>
      <c r="B593" t="s">
        <v>1139</v>
      </c>
      <c r="C593" t="s">
        <v>1140</v>
      </c>
      <c r="D593" t="s">
        <v>57</v>
      </c>
      <c r="E593" t="s">
        <v>1260</v>
      </c>
      <c r="F593" s="1">
        <v>1</v>
      </c>
      <c r="G593" s="1">
        <v>0</v>
      </c>
      <c r="H593" t="s">
        <v>17</v>
      </c>
      <c r="I593" t="s">
        <v>1142</v>
      </c>
      <c r="J593" t="s">
        <v>1261</v>
      </c>
      <c r="K593" s="3">
        <v>46437</v>
      </c>
      <c r="L593" t="s">
        <v>1144</v>
      </c>
      <c r="M593">
        <v>0.114</v>
      </c>
      <c r="N593">
        <v>1728</v>
      </c>
      <c r="O593">
        <f t="shared" si="27"/>
        <v>0.114</v>
      </c>
      <c r="P593">
        <f t="shared" si="29"/>
        <v>5.7870370370370367E-4</v>
      </c>
      <c r="Q593" t="str">
        <f t="shared" si="28"/>
        <v>Q26-03</v>
      </c>
    </row>
    <row r="594" spans="1:17" x14ac:dyDescent="0.25">
      <c r="A594" t="s">
        <v>12</v>
      </c>
      <c r="B594" t="s">
        <v>1262</v>
      </c>
      <c r="C594" t="s">
        <v>1263</v>
      </c>
      <c r="D594" t="s">
        <v>121</v>
      </c>
      <c r="E594" t="s">
        <v>1264</v>
      </c>
      <c r="F594" s="2">
        <v>2507</v>
      </c>
      <c r="G594" s="1">
        <v>0</v>
      </c>
      <c r="H594" t="s">
        <v>17</v>
      </c>
      <c r="I594" t="s">
        <v>84</v>
      </c>
      <c r="J594" t="s">
        <v>90</v>
      </c>
      <c r="K594" s="3">
        <v>46514</v>
      </c>
      <c r="L594" t="s">
        <v>123</v>
      </c>
      <c r="M594">
        <v>0</v>
      </c>
      <c r="N594">
        <v>0</v>
      </c>
      <c r="O594">
        <f t="shared" si="27"/>
        <v>0</v>
      </c>
      <c r="Q594" t="str">
        <f t="shared" si="28"/>
        <v>Q27-01</v>
      </c>
    </row>
    <row r="595" spans="1:17" x14ac:dyDescent="0.25">
      <c r="A595" t="s">
        <v>12</v>
      </c>
      <c r="B595" t="s">
        <v>36</v>
      </c>
      <c r="C595" t="s">
        <v>37</v>
      </c>
      <c r="D595" t="s">
        <v>57</v>
      </c>
      <c r="E595" t="s">
        <v>1265</v>
      </c>
      <c r="F595" s="1">
        <v>11</v>
      </c>
      <c r="G595" s="1">
        <v>0</v>
      </c>
      <c r="H595" t="s">
        <v>17</v>
      </c>
      <c r="I595" t="s">
        <v>40</v>
      </c>
      <c r="J595" t="s">
        <v>1266</v>
      </c>
      <c r="K595" s="3">
        <v>46477</v>
      </c>
      <c r="L595" t="s">
        <v>1267</v>
      </c>
      <c r="M595">
        <v>2.8000000000000001E-2</v>
      </c>
      <c r="N595">
        <v>3780</v>
      </c>
      <c r="O595">
        <f t="shared" si="27"/>
        <v>0.308</v>
      </c>
      <c r="P595">
        <f t="shared" si="29"/>
        <v>2.91005291005291E-3</v>
      </c>
      <c r="Q595" t="str">
        <f t="shared" si="28"/>
        <v>Q26-03</v>
      </c>
    </row>
    <row r="596" spans="1:17" x14ac:dyDescent="0.25">
      <c r="A596" t="s">
        <v>12</v>
      </c>
      <c r="B596" t="s">
        <v>36</v>
      </c>
      <c r="C596" t="s">
        <v>37</v>
      </c>
      <c r="D596" t="s">
        <v>57</v>
      </c>
      <c r="E596" t="s">
        <v>1268</v>
      </c>
      <c r="F596" s="1">
        <v>6</v>
      </c>
      <c r="G596" s="1">
        <v>0</v>
      </c>
      <c r="H596" t="s">
        <v>17</v>
      </c>
      <c r="I596" t="s">
        <v>40</v>
      </c>
      <c r="J596" t="s">
        <v>1266</v>
      </c>
      <c r="K596" s="3">
        <v>46477</v>
      </c>
      <c r="L596" t="s">
        <v>1267</v>
      </c>
      <c r="M596">
        <v>2.8000000000000001E-2</v>
      </c>
      <c r="N596">
        <v>3780</v>
      </c>
      <c r="O596">
        <f t="shared" si="27"/>
        <v>0.16800000000000001</v>
      </c>
      <c r="P596">
        <f t="shared" si="29"/>
        <v>1.5873015873015873E-3</v>
      </c>
      <c r="Q596" t="str">
        <f t="shared" si="28"/>
        <v>Q26-03</v>
      </c>
    </row>
    <row r="597" spans="1:17" x14ac:dyDescent="0.25">
      <c r="A597" t="s">
        <v>12</v>
      </c>
      <c r="B597" t="s">
        <v>36</v>
      </c>
      <c r="C597" t="s">
        <v>37</v>
      </c>
      <c r="D597" t="s">
        <v>388</v>
      </c>
      <c r="E597" t="s">
        <v>1269</v>
      </c>
      <c r="F597" s="1">
        <v>6</v>
      </c>
      <c r="G597" s="1">
        <v>0</v>
      </c>
      <c r="H597" t="s">
        <v>17</v>
      </c>
      <c r="I597" t="s">
        <v>40</v>
      </c>
      <c r="J597" t="s">
        <v>1266</v>
      </c>
      <c r="K597" s="3">
        <v>46477</v>
      </c>
      <c r="L597" t="s">
        <v>1267</v>
      </c>
      <c r="M597">
        <v>2.8000000000000001E-2</v>
      </c>
      <c r="N597">
        <v>3780</v>
      </c>
      <c r="O597">
        <f t="shared" si="27"/>
        <v>0.16800000000000001</v>
      </c>
      <c r="P597">
        <f t="shared" si="29"/>
        <v>1.5873015873015873E-3</v>
      </c>
      <c r="Q597" t="str">
        <f t="shared" si="28"/>
        <v>Q26-03</v>
      </c>
    </row>
    <row r="598" spans="1:17" x14ac:dyDescent="0.25">
      <c r="A598" t="s">
        <v>12</v>
      </c>
      <c r="B598" t="s">
        <v>36</v>
      </c>
      <c r="C598" t="s">
        <v>37</v>
      </c>
      <c r="D598" t="s">
        <v>57</v>
      </c>
      <c r="E598" t="s">
        <v>1270</v>
      </c>
      <c r="F598" s="1">
        <v>9</v>
      </c>
      <c r="G598" s="1">
        <v>0</v>
      </c>
      <c r="H598" t="s">
        <v>17</v>
      </c>
      <c r="I598" t="s">
        <v>40</v>
      </c>
      <c r="J598" t="s">
        <v>1266</v>
      </c>
      <c r="K598" s="3">
        <v>46477</v>
      </c>
      <c r="L598" t="s">
        <v>1271</v>
      </c>
      <c r="M598">
        <v>2.8000000000000001E-2</v>
      </c>
      <c r="N598">
        <v>3780</v>
      </c>
      <c r="O598">
        <f t="shared" si="27"/>
        <v>0.252</v>
      </c>
      <c r="P598">
        <f t="shared" si="29"/>
        <v>2.3809523809523812E-3</v>
      </c>
      <c r="Q598" t="str">
        <f t="shared" si="28"/>
        <v>Q26-03</v>
      </c>
    </row>
    <row r="599" spans="1:17" x14ac:dyDescent="0.25">
      <c r="A599" t="s">
        <v>12</v>
      </c>
      <c r="B599" t="s">
        <v>36</v>
      </c>
      <c r="C599" t="s">
        <v>37</v>
      </c>
      <c r="D599" t="s">
        <v>57</v>
      </c>
      <c r="E599" t="s">
        <v>1272</v>
      </c>
      <c r="F599" s="1">
        <v>6</v>
      </c>
      <c r="G599" s="1">
        <v>0</v>
      </c>
      <c r="H599" t="s">
        <v>17</v>
      </c>
      <c r="I599" t="s">
        <v>40</v>
      </c>
      <c r="J599" t="s">
        <v>1266</v>
      </c>
      <c r="K599" s="3">
        <v>46477</v>
      </c>
      <c r="L599" t="s">
        <v>1271</v>
      </c>
      <c r="M599">
        <v>2.8000000000000001E-2</v>
      </c>
      <c r="N599">
        <v>3780</v>
      </c>
      <c r="O599">
        <f t="shared" si="27"/>
        <v>0.16800000000000001</v>
      </c>
      <c r="P599">
        <f t="shared" si="29"/>
        <v>1.5873015873015873E-3</v>
      </c>
      <c r="Q599" t="str">
        <f t="shared" si="28"/>
        <v>Q26-03</v>
      </c>
    </row>
    <row r="600" spans="1:17" x14ac:dyDescent="0.25">
      <c r="A600" t="s">
        <v>12</v>
      </c>
      <c r="B600" t="s">
        <v>36</v>
      </c>
      <c r="C600" t="s">
        <v>37</v>
      </c>
      <c r="D600" t="s">
        <v>388</v>
      </c>
      <c r="E600" t="s">
        <v>1273</v>
      </c>
      <c r="F600" s="1">
        <v>2</v>
      </c>
      <c r="G600" s="1">
        <v>0</v>
      </c>
      <c r="H600" t="s">
        <v>17</v>
      </c>
      <c r="I600" t="s">
        <v>40</v>
      </c>
      <c r="J600" t="s">
        <v>1266</v>
      </c>
      <c r="K600" s="3">
        <v>46477</v>
      </c>
      <c r="L600" t="s">
        <v>1271</v>
      </c>
      <c r="M600">
        <v>2.8000000000000001E-2</v>
      </c>
      <c r="N600">
        <v>3780</v>
      </c>
      <c r="O600">
        <f t="shared" si="27"/>
        <v>5.6000000000000001E-2</v>
      </c>
      <c r="P600">
        <f t="shared" si="29"/>
        <v>5.2910052910052914E-4</v>
      </c>
      <c r="Q600" t="str">
        <f t="shared" si="28"/>
        <v>Q26-03</v>
      </c>
    </row>
    <row r="601" spans="1:17" x14ac:dyDescent="0.25">
      <c r="A601" t="s">
        <v>12</v>
      </c>
      <c r="B601" t="s">
        <v>1274</v>
      </c>
      <c r="C601" t="s">
        <v>1275</v>
      </c>
      <c r="D601" t="s">
        <v>121</v>
      </c>
      <c r="E601" t="s">
        <v>1276</v>
      </c>
      <c r="F601" s="2">
        <v>1524</v>
      </c>
      <c r="G601" s="1">
        <v>0</v>
      </c>
      <c r="H601" t="s">
        <v>17</v>
      </c>
      <c r="I601" t="s">
        <v>84</v>
      </c>
      <c r="J601" t="s">
        <v>90</v>
      </c>
      <c r="K601" s="3">
        <v>46520</v>
      </c>
      <c r="L601" t="s">
        <v>123</v>
      </c>
      <c r="M601">
        <v>0</v>
      </c>
      <c r="N601">
        <v>0</v>
      </c>
      <c r="O601">
        <f t="shared" si="27"/>
        <v>0</v>
      </c>
      <c r="Q601" t="str">
        <f t="shared" si="28"/>
        <v>Q27-01</v>
      </c>
    </row>
    <row r="602" spans="1:17" x14ac:dyDescent="0.25">
      <c r="A602" t="s">
        <v>12</v>
      </c>
      <c r="B602" t="s">
        <v>1277</v>
      </c>
      <c r="C602" t="s">
        <v>1278</v>
      </c>
      <c r="D602" t="s">
        <v>407</v>
      </c>
      <c r="E602" t="s">
        <v>1279</v>
      </c>
      <c r="F602" s="1">
        <v>1</v>
      </c>
      <c r="G602" s="1">
        <v>0</v>
      </c>
      <c r="H602" t="s">
        <v>17</v>
      </c>
      <c r="I602" t="s">
        <v>1280</v>
      </c>
      <c r="J602" t="s">
        <v>1281</v>
      </c>
      <c r="K602" s="3">
        <v>46418</v>
      </c>
      <c r="L602" t="s">
        <v>1282</v>
      </c>
      <c r="M602">
        <v>0</v>
      </c>
      <c r="N602">
        <v>2500</v>
      </c>
      <c r="O602">
        <f t="shared" si="27"/>
        <v>0</v>
      </c>
      <c r="P602">
        <f t="shared" si="29"/>
        <v>4.0000000000000002E-4</v>
      </c>
      <c r="Q602" t="str">
        <f t="shared" si="28"/>
        <v>Q27-01</v>
      </c>
    </row>
    <row r="603" spans="1:17" x14ac:dyDescent="0.25">
      <c r="A603" t="s">
        <v>12</v>
      </c>
      <c r="B603" t="s">
        <v>1283</v>
      </c>
      <c r="C603" t="s">
        <v>1284</v>
      </c>
      <c r="D603" t="s">
        <v>26</v>
      </c>
      <c r="E603" t="s">
        <v>1285</v>
      </c>
      <c r="F603" s="1">
        <v>5</v>
      </c>
      <c r="G603" s="1">
        <v>0</v>
      </c>
      <c r="H603" t="s">
        <v>17</v>
      </c>
      <c r="I603" t="s">
        <v>1286</v>
      </c>
      <c r="J603" t="s">
        <v>1287</v>
      </c>
      <c r="K603" s="3">
        <v>46507</v>
      </c>
      <c r="L603" t="s">
        <v>1288</v>
      </c>
      <c r="M603">
        <v>0.13200000000000001</v>
      </c>
      <c r="N603">
        <v>2200</v>
      </c>
      <c r="O603">
        <f t="shared" si="27"/>
        <v>0.66</v>
      </c>
      <c r="P603">
        <f t="shared" si="29"/>
        <v>2.2727272727272726E-3</v>
      </c>
      <c r="Q603" t="str">
        <f t="shared" si="28"/>
        <v>Q26-03</v>
      </c>
    </row>
    <row r="604" spans="1:17" x14ac:dyDescent="0.25">
      <c r="A604" t="s">
        <v>12</v>
      </c>
      <c r="B604" t="s">
        <v>750</v>
      </c>
      <c r="C604" t="s">
        <v>751</v>
      </c>
      <c r="D604" t="s">
        <v>57</v>
      </c>
      <c r="E604" t="s">
        <v>1289</v>
      </c>
      <c r="F604" s="1">
        <v>3</v>
      </c>
      <c r="G604" s="1">
        <v>0</v>
      </c>
      <c r="H604" t="s">
        <v>17</v>
      </c>
      <c r="I604" t="s">
        <v>753</v>
      </c>
      <c r="J604" t="s">
        <v>1290</v>
      </c>
      <c r="K604" s="3">
        <v>46674</v>
      </c>
      <c r="L604" t="s">
        <v>1088</v>
      </c>
      <c r="M604">
        <v>3.5999999999999997E-2</v>
      </c>
      <c r="N604">
        <v>5280</v>
      </c>
      <c r="O604">
        <f t="shared" si="27"/>
        <v>0.10799999999999998</v>
      </c>
      <c r="P604">
        <f t="shared" si="29"/>
        <v>5.6818181818181815E-4</v>
      </c>
      <c r="Q604" t="str">
        <f t="shared" si="28"/>
        <v>Q26-03</v>
      </c>
    </row>
    <row r="605" spans="1:17" x14ac:dyDescent="0.25">
      <c r="A605" t="s">
        <v>12</v>
      </c>
      <c r="B605" t="s">
        <v>1291</v>
      </c>
      <c r="C605" t="s">
        <v>1292</v>
      </c>
      <c r="D605" t="s">
        <v>121</v>
      </c>
      <c r="E605" t="s">
        <v>1293</v>
      </c>
      <c r="F605" s="1">
        <v>708</v>
      </c>
      <c r="G605" s="1">
        <v>0</v>
      </c>
      <c r="H605" t="s">
        <v>17</v>
      </c>
      <c r="I605" t="s">
        <v>84</v>
      </c>
      <c r="J605" t="s">
        <v>90</v>
      </c>
      <c r="K605" s="3">
        <v>46529</v>
      </c>
      <c r="L605" t="s">
        <v>123</v>
      </c>
      <c r="M605">
        <v>0</v>
      </c>
      <c r="N605">
        <v>0</v>
      </c>
      <c r="O605">
        <f t="shared" si="27"/>
        <v>0</v>
      </c>
      <c r="Q605" t="str">
        <f t="shared" si="28"/>
        <v>Q27-01</v>
      </c>
    </row>
    <row r="606" spans="1:17" x14ac:dyDescent="0.25">
      <c r="A606" t="s">
        <v>12</v>
      </c>
      <c r="B606" t="s">
        <v>1294</v>
      </c>
      <c r="C606" t="s">
        <v>1295</v>
      </c>
      <c r="D606" t="s">
        <v>121</v>
      </c>
      <c r="E606" t="s">
        <v>1296</v>
      </c>
      <c r="F606" s="1">
        <v>597</v>
      </c>
      <c r="G606" s="1">
        <v>0</v>
      </c>
      <c r="H606" t="s">
        <v>17</v>
      </c>
      <c r="I606" t="s">
        <v>84</v>
      </c>
      <c r="J606" t="s">
        <v>90</v>
      </c>
      <c r="K606" s="3">
        <v>46529</v>
      </c>
      <c r="L606" t="s">
        <v>123</v>
      </c>
      <c r="M606">
        <v>0</v>
      </c>
      <c r="N606">
        <v>0</v>
      </c>
      <c r="O606">
        <f t="shared" si="27"/>
        <v>0</v>
      </c>
      <c r="Q606" t="str">
        <f t="shared" si="28"/>
        <v>Q27-01</v>
      </c>
    </row>
    <row r="607" spans="1:17" x14ac:dyDescent="0.25">
      <c r="A607" t="s">
        <v>12</v>
      </c>
      <c r="B607" t="s">
        <v>1297</v>
      </c>
      <c r="C607" t="s">
        <v>1298</v>
      </c>
      <c r="D607" t="s">
        <v>121</v>
      </c>
      <c r="E607" t="s">
        <v>1299</v>
      </c>
      <c r="F607" s="1">
        <v>882</v>
      </c>
      <c r="G607" s="1">
        <v>0</v>
      </c>
      <c r="H607" t="s">
        <v>17</v>
      </c>
      <c r="I607" t="s">
        <v>84</v>
      </c>
      <c r="J607" t="s">
        <v>90</v>
      </c>
      <c r="K607" s="3">
        <v>46529</v>
      </c>
      <c r="L607" t="s">
        <v>123</v>
      </c>
      <c r="M607">
        <v>0</v>
      </c>
      <c r="N607">
        <v>0</v>
      </c>
      <c r="O607">
        <f t="shared" si="27"/>
        <v>0</v>
      </c>
      <c r="Q607" t="str">
        <f t="shared" si="28"/>
        <v>Q27-01</v>
      </c>
    </row>
    <row r="608" spans="1:17" x14ac:dyDescent="0.25">
      <c r="A608" t="s">
        <v>12</v>
      </c>
      <c r="B608" t="s">
        <v>750</v>
      </c>
      <c r="C608" t="s">
        <v>751</v>
      </c>
      <c r="D608" t="s">
        <v>57</v>
      </c>
      <c r="E608" t="s">
        <v>1300</v>
      </c>
      <c r="F608" s="1">
        <v>1</v>
      </c>
      <c r="G608" s="1">
        <v>0</v>
      </c>
      <c r="H608" t="s">
        <v>17</v>
      </c>
      <c r="I608" t="s">
        <v>753</v>
      </c>
      <c r="J608" t="s">
        <v>1301</v>
      </c>
      <c r="K608" s="3">
        <v>46759</v>
      </c>
      <c r="L608" t="s">
        <v>1302</v>
      </c>
      <c r="M608">
        <v>3.5999999999999997E-2</v>
      </c>
      <c r="N608">
        <v>5280</v>
      </c>
      <c r="O608">
        <f t="shared" si="27"/>
        <v>3.5999999999999997E-2</v>
      </c>
      <c r="P608">
        <f t="shared" si="29"/>
        <v>1.8939393939393939E-4</v>
      </c>
      <c r="Q608" t="str">
        <f t="shared" si="28"/>
        <v>Q26-03</v>
      </c>
    </row>
    <row r="609" spans="1:17" x14ac:dyDescent="0.25">
      <c r="A609" t="s">
        <v>12</v>
      </c>
      <c r="B609" t="s">
        <v>756</v>
      </c>
      <c r="C609" t="s">
        <v>757</v>
      </c>
      <c r="D609" t="s">
        <v>1303</v>
      </c>
      <c r="E609" t="s">
        <v>1304</v>
      </c>
      <c r="F609" s="1">
        <v>2.5</v>
      </c>
      <c r="G609" s="1">
        <v>0</v>
      </c>
      <c r="H609" t="s">
        <v>17</v>
      </c>
      <c r="I609" t="s">
        <v>759</v>
      </c>
      <c r="J609" t="s">
        <v>1305</v>
      </c>
      <c r="K609" s="3">
        <v>46538</v>
      </c>
      <c r="L609" t="s">
        <v>761</v>
      </c>
      <c r="M609">
        <v>0.09</v>
      </c>
      <c r="N609">
        <v>2160</v>
      </c>
      <c r="O609">
        <f t="shared" si="27"/>
        <v>0.22499999999999998</v>
      </c>
      <c r="P609">
        <f t="shared" si="29"/>
        <v>1.1574074074074073E-3</v>
      </c>
      <c r="Q609" t="str">
        <f t="shared" si="28"/>
        <v>Q26-02</v>
      </c>
    </row>
    <row r="610" spans="1:17" x14ac:dyDescent="0.25">
      <c r="A610" t="s">
        <v>12</v>
      </c>
      <c r="B610" t="s">
        <v>1306</v>
      </c>
      <c r="C610" t="s">
        <v>1307</v>
      </c>
      <c r="D610" t="s">
        <v>121</v>
      </c>
      <c r="E610" t="s">
        <v>1308</v>
      </c>
      <c r="F610" s="2">
        <v>1381</v>
      </c>
      <c r="G610" s="1">
        <v>0</v>
      </c>
      <c r="H610" t="s">
        <v>17</v>
      </c>
      <c r="I610" t="s">
        <v>84</v>
      </c>
      <c r="J610" t="s">
        <v>90</v>
      </c>
      <c r="K610" s="3">
        <v>46531</v>
      </c>
      <c r="L610" t="s">
        <v>123</v>
      </c>
      <c r="M610">
        <v>0</v>
      </c>
      <c r="N610">
        <v>0</v>
      </c>
      <c r="O610">
        <f t="shared" si="27"/>
        <v>0</v>
      </c>
      <c r="Q610" t="str">
        <f t="shared" si="28"/>
        <v>Q27-01</v>
      </c>
    </row>
    <row r="611" spans="1:17" x14ac:dyDescent="0.25">
      <c r="A611" t="s">
        <v>12</v>
      </c>
      <c r="B611" t="s">
        <v>1100</v>
      </c>
      <c r="C611" t="s">
        <v>1101</v>
      </c>
      <c r="D611" t="s">
        <v>77</v>
      </c>
      <c r="E611" t="s">
        <v>1102</v>
      </c>
      <c r="F611" s="1">
        <v>130</v>
      </c>
      <c r="G611" s="1">
        <v>0</v>
      </c>
      <c r="H611" t="s">
        <v>17</v>
      </c>
      <c r="I611" t="s">
        <v>84</v>
      </c>
      <c r="J611" t="s">
        <v>1309</v>
      </c>
      <c r="K611" s="3">
        <v>45853</v>
      </c>
      <c r="L611" t="s">
        <v>1104</v>
      </c>
      <c r="M611">
        <v>0</v>
      </c>
      <c r="N611">
        <v>2250</v>
      </c>
      <c r="O611">
        <f t="shared" si="27"/>
        <v>0</v>
      </c>
      <c r="P611">
        <f t="shared" si="29"/>
        <v>5.7777777777777775E-2</v>
      </c>
      <c r="Q611" t="str">
        <f t="shared" si="28"/>
        <v>Q27-01</v>
      </c>
    </row>
    <row r="612" spans="1:17" x14ac:dyDescent="0.25">
      <c r="A612" t="s">
        <v>12</v>
      </c>
      <c r="B612" t="s">
        <v>750</v>
      </c>
      <c r="C612" t="s">
        <v>751</v>
      </c>
      <c r="D612" t="s">
        <v>57</v>
      </c>
      <c r="E612" t="s">
        <v>1310</v>
      </c>
      <c r="F612" s="1">
        <v>1</v>
      </c>
      <c r="G612" s="1">
        <v>0</v>
      </c>
      <c r="H612" t="s">
        <v>17</v>
      </c>
      <c r="I612" t="s">
        <v>753</v>
      </c>
      <c r="J612" t="s">
        <v>1311</v>
      </c>
      <c r="K612" s="3">
        <v>46674</v>
      </c>
      <c r="L612" t="s">
        <v>1088</v>
      </c>
      <c r="M612">
        <v>3.5999999999999997E-2</v>
      </c>
      <c r="N612">
        <v>5280</v>
      </c>
      <c r="O612">
        <f t="shared" si="27"/>
        <v>3.5999999999999997E-2</v>
      </c>
      <c r="P612">
        <f t="shared" si="29"/>
        <v>1.8939393939393939E-4</v>
      </c>
      <c r="Q612" t="str">
        <f t="shared" si="28"/>
        <v>Q26-03</v>
      </c>
    </row>
    <row r="613" spans="1:17" x14ac:dyDescent="0.25">
      <c r="A613" t="s">
        <v>12</v>
      </c>
      <c r="B613" t="s">
        <v>644</v>
      </c>
      <c r="C613" t="s">
        <v>645</v>
      </c>
      <c r="D613" t="s">
        <v>57</v>
      </c>
      <c r="E613" t="s">
        <v>1312</v>
      </c>
      <c r="F613" s="1">
        <v>1</v>
      </c>
      <c r="G613" s="1">
        <v>0</v>
      </c>
      <c r="H613" t="s">
        <v>17</v>
      </c>
      <c r="I613" t="s">
        <v>647</v>
      </c>
      <c r="J613" t="s">
        <v>1313</v>
      </c>
      <c r="K613" s="3">
        <v>46432</v>
      </c>
      <c r="L613" t="s">
        <v>1314</v>
      </c>
      <c r="M613">
        <v>9.4E-2</v>
      </c>
      <c r="N613">
        <v>2475</v>
      </c>
      <c r="O613">
        <f t="shared" si="27"/>
        <v>9.4E-2</v>
      </c>
      <c r="P613">
        <f t="shared" si="29"/>
        <v>4.0404040404040404E-4</v>
      </c>
      <c r="Q613" t="str">
        <f t="shared" si="28"/>
        <v>Q26-03</v>
      </c>
    </row>
    <row r="614" spans="1:17" x14ac:dyDescent="0.25">
      <c r="A614" t="s">
        <v>12</v>
      </c>
      <c r="B614" t="s">
        <v>756</v>
      </c>
      <c r="C614" t="s">
        <v>757</v>
      </c>
      <c r="D614" t="s">
        <v>1315</v>
      </c>
      <c r="E614" t="s">
        <v>1316</v>
      </c>
      <c r="F614" s="1">
        <v>271.57</v>
      </c>
      <c r="G614" s="1">
        <v>0</v>
      </c>
      <c r="H614" t="s">
        <v>17</v>
      </c>
      <c r="I614" t="s">
        <v>759</v>
      </c>
      <c r="J614" t="s">
        <v>90</v>
      </c>
      <c r="K614" s="3">
        <v>46538</v>
      </c>
      <c r="L614" t="s">
        <v>761</v>
      </c>
      <c r="M614">
        <v>0.09</v>
      </c>
      <c r="N614">
        <v>2160</v>
      </c>
      <c r="O614">
        <f t="shared" si="27"/>
        <v>24.441299999999998</v>
      </c>
      <c r="P614">
        <f t="shared" si="29"/>
        <v>0.12572685185185184</v>
      </c>
      <c r="Q614" t="str">
        <f t="shared" si="28"/>
        <v>Q26-02</v>
      </c>
    </row>
    <row r="615" spans="1:17" x14ac:dyDescent="0.25">
      <c r="A615" t="s">
        <v>385</v>
      </c>
      <c r="B615" t="s">
        <v>644</v>
      </c>
      <c r="C615" t="s">
        <v>645</v>
      </c>
      <c r="D615" t="s">
        <v>57</v>
      </c>
      <c r="E615" t="s">
        <v>1317</v>
      </c>
      <c r="F615" s="1">
        <v>1</v>
      </c>
      <c r="G615" s="1">
        <v>0</v>
      </c>
      <c r="H615" t="s">
        <v>17</v>
      </c>
      <c r="I615" t="s">
        <v>647</v>
      </c>
      <c r="J615" t="s">
        <v>1313</v>
      </c>
      <c r="K615" s="3">
        <v>46432</v>
      </c>
      <c r="L615" t="s">
        <v>1314</v>
      </c>
      <c r="M615">
        <v>9.4E-2</v>
      </c>
      <c r="N615">
        <v>2475</v>
      </c>
      <c r="O615">
        <f t="shared" si="27"/>
        <v>9.4E-2</v>
      </c>
      <c r="P615">
        <f t="shared" si="29"/>
        <v>4.0404040404040404E-4</v>
      </c>
      <c r="Q615" t="str">
        <f t="shared" si="28"/>
        <v>Q26-03</v>
      </c>
    </row>
    <row r="616" spans="1:17" x14ac:dyDescent="0.25">
      <c r="A616" t="s">
        <v>385</v>
      </c>
      <c r="B616" t="s">
        <v>644</v>
      </c>
      <c r="C616" t="s">
        <v>645</v>
      </c>
      <c r="D616" t="s">
        <v>388</v>
      </c>
      <c r="E616" t="s">
        <v>1318</v>
      </c>
      <c r="F616" s="1">
        <v>3</v>
      </c>
      <c r="G616" s="1">
        <v>0</v>
      </c>
      <c r="H616" t="s">
        <v>17</v>
      </c>
      <c r="I616" t="s">
        <v>647</v>
      </c>
      <c r="J616" t="s">
        <v>1313</v>
      </c>
      <c r="K616" s="3">
        <v>46432</v>
      </c>
      <c r="L616" t="s">
        <v>1314</v>
      </c>
      <c r="M616">
        <v>9.4E-2</v>
      </c>
      <c r="N616">
        <v>2475</v>
      </c>
      <c r="O616">
        <f t="shared" si="27"/>
        <v>0.28200000000000003</v>
      </c>
      <c r="P616">
        <f t="shared" si="29"/>
        <v>1.2121212121212121E-3</v>
      </c>
      <c r="Q616" t="str">
        <f t="shared" si="28"/>
        <v>Q26-03</v>
      </c>
    </row>
    <row r="617" spans="1:17" x14ac:dyDescent="0.25">
      <c r="A617" t="s">
        <v>385</v>
      </c>
      <c r="B617" t="s">
        <v>644</v>
      </c>
      <c r="C617" t="s">
        <v>645</v>
      </c>
      <c r="D617" t="s">
        <v>57</v>
      </c>
      <c r="E617" t="s">
        <v>1319</v>
      </c>
      <c r="F617" s="1">
        <v>10</v>
      </c>
      <c r="G617" s="1">
        <v>0</v>
      </c>
      <c r="H617" t="s">
        <v>17</v>
      </c>
      <c r="I617" t="s">
        <v>647</v>
      </c>
      <c r="J617" t="s">
        <v>1313</v>
      </c>
      <c r="K617" s="3">
        <v>46443</v>
      </c>
      <c r="L617" t="s">
        <v>1320</v>
      </c>
      <c r="M617">
        <v>9.4E-2</v>
      </c>
      <c r="N617">
        <v>2475</v>
      </c>
      <c r="O617">
        <f t="shared" si="27"/>
        <v>0.94</v>
      </c>
      <c r="P617">
        <f t="shared" si="29"/>
        <v>4.0404040404040404E-3</v>
      </c>
      <c r="Q617" t="str">
        <f t="shared" si="28"/>
        <v>Q26-03</v>
      </c>
    </row>
    <row r="618" spans="1:17" x14ac:dyDescent="0.25">
      <c r="A618" t="s">
        <v>385</v>
      </c>
      <c r="B618" t="s">
        <v>644</v>
      </c>
      <c r="C618" t="s">
        <v>645</v>
      </c>
      <c r="D618" t="s">
        <v>57</v>
      </c>
      <c r="E618" t="s">
        <v>1321</v>
      </c>
      <c r="F618" s="1">
        <v>3</v>
      </c>
      <c r="G618" s="1">
        <v>0</v>
      </c>
      <c r="H618" t="s">
        <v>17</v>
      </c>
      <c r="I618" t="s">
        <v>647</v>
      </c>
      <c r="J618" t="s">
        <v>1313</v>
      </c>
      <c r="K618" s="3">
        <v>46443</v>
      </c>
      <c r="L618" t="s">
        <v>1320</v>
      </c>
      <c r="M618">
        <v>9.4E-2</v>
      </c>
      <c r="N618">
        <v>2475</v>
      </c>
      <c r="O618">
        <f t="shared" si="27"/>
        <v>0.28200000000000003</v>
      </c>
      <c r="P618">
        <f t="shared" si="29"/>
        <v>1.2121212121212121E-3</v>
      </c>
      <c r="Q618" t="str">
        <f t="shared" si="28"/>
        <v>Q26-03</v>
      </c>
    </row>
    <row r="619" spans="1:17" x14ac:dyDescent="0.25">
      <c r="A619" t="s">
        <v>385</v>
      </c>
      <c r="B619" t="s">
        <v>644</v>
      </c>
      <c r="C619" t="s">
        <v>645</v>
      </c>
      <c r="D619" t="s">
        <v>57</v>
      </c>
      <c r="E619" t="s">
        <v>1322</v>
      </c>
      <c r="F619" s="1">
        <v>12</v>
      </c>
      <c r="G619" s="1">
        <v>0</v>
      </c>
      <c r="H619" t="s">
        <v>17</v>
      </c>
      <c r="I619" t="s">
        <v>647</v>
      </c>
      <c r="J619" t="s">
        <v>1313</v>
      </c>
      <c r="K619" s="3">
        <v>46441</v>
      </c>
      <c r="L619" t="s">
        <v>1323</v>
      </c>
      <c r="M619">
        <v>9.4E-2</v>
      </c>
      <c r="N619">
        <v>2475</v>
      </c>
      <c r="O619">
        <f t="shared" si="27"/>
        <v>1.1280000000000001</v>
      </c>
      <c r="P619">
        <f t="shared" si="29"/>
        <v>4.8484848484848485E-3</v>
      </c>
      <c r="Q619" t="str">
        <f t="shared" si="28"/>
        <v>Q26-03</v>
      </c>
    </row>
    <row r="620" spans="1:17" x14ac:dyDescent="0.25">
      <c r="A620" t="s">
        <v>385</v>
      </c>
      <c r="B620" t="s">
        <v>644</v>
      </c>
      <c r="C620" t="s">
        <v>645</v>
      </c>
      <c r="D620" t="s">
        <v>57</v>
      </c>
      <c r="E620" t="s">
        <v>1324</v>
      </c>
      <c r="F620" s="1">
        <v>4</v>
      </c>
      <c r="G620" s="1">
        <v>0</v>
      </c>
      <c r="H620" t="s">
        <v>17</v>
      </c>
      <c r="I620" t="s">
        <v>647</v>
      </c>
      <c r="J620" t="s">
        <v>1313</v>
      </c>
      <c r="K620" s="3">
        <v>46441</v>
      </c>
      <c r="L620" t="s">
        <v>1323</v>
      </c>
      <c r="M620">
        <v>9.4E-2</v>
      </c>
      <c r="N620">
        <v>2475</v>
      </c>
      <c r="O620">
        <f t="shared" si="27"/>
        <v>0.376</v>
      </c>
      <c r="P620">
        <f t="shared" si="29"/>
        <v>1.6161616161616162E-3</v>
      </c>
      <c r="Q620" t="str">
        <f t="shared" si="28"/>
        <v>Q26-03</v>
      </c>
    </row>
    <row r="621" spans="1:17" x14ac:dyDescent="0.25">
      <c r="A621" t="s">
        <v>385</v>
      </c>
      <c r="B621" t="s">
        <v>644</v>
      </c>
      <c r="C621" t="s">
        <v>645</v>
      </c>
      <c r="D621" t="s">
        <v>388</v>
      </c>
      <c r="E621" t="s">
        <v>1325</v>
      </c>
      <c r="F621" s="1">
        <v>1</v>
      </c>
      <c r="G621" s="1">
        <v>0</v>
      </c>
      <c r="H621" t="s">
        <v>17</v>
      </c>
      <c r="I621" t="s">
        <v>647</v>
      </c>
      <c r="J621" t="s">
        <v>1313</v>
      </c>
      <c r="K621" s="3">
        <v>46432</v>
      </c>
      <c r="L621" t="s">
        <v>1326</v>
      </c>
      <c r="M621">
        <v>9.4E-2</v>
      </c>
      <c r="N621">
        <v>2475</v>
      </c>
      <c r="O621">
        <f t="shared" si="27"/>
        <v>9.4E-2</v>
      </c>
      <c r="P621">
        <f t="shared" si="29"/>
        <v>4.0404040404040404E-4</v>
      </c>
      <c r="Q621" t="str">
        <f t="shared" si="28"/>
        <v>Q26-03</v>
      </c>
    </row>
    <row r="622" spans="1:17" x14ac:dyDescent="0.25">
      <c r="A622" t="s">
        <v>385</v>
      </c>
      <c r="B622" t="s">
        <v>644</v>
      </c>
      <c r="C622" t="s">
        <v>645</v>
      </c>
      <c r="D622" t="s">
        <v>727</v>
      </c>
      <c r="E622" t="s">
        <v>1327</v>
      </c>
      <c r="F622" s="1">
        <v>2</v>
      </c>
      <c r="G622" s="1">
        <v>0</v>
      </c>
      <c r="H622" t="s">
        <v>17</v>
      </c>
      <c r="I622" t="s">
        <v>647</v>
      </c>
      <c r="J622" t="s">
        <v>1313</v>
      </c>
      <c r="K622" s="3">
        <v>46432</v>
      </c>
      <c r="L622" t="s">
        <v>1326</v>
      </c>
      <c r="M622">
        <v>9.4E-2</v>
      </c>
      <c r="N622">
        <v>2475</v>
      </c>
      <c r="O622">
        <f t="shared" si="27"/>
        <v>0.188</v>
      </c>
      <c r="P622">
        <f t="shared" si="29"/>
        <v>8.0808080808080808E-4</v>
      </c>
      <c r="Q622" t="str">
        <f t="shared" si="28"/>
        <v>Q26-03</v>
      </c>
    </row>
    <row r="623" spans="1:17" x14ac:dyDescent="0.25">
      <c r="A623" t="s">
        <v>385</v>
      </c>
      <c r="B623" t="s">
        <v>644</v>
      </c>
      <c r="C623" t="s">
        <v>645</v>
      </c>
      <c r="D623" t="s">
        <v>388</v>
      </c>
      <c r="E623" t="s">
        <v>1328</v>
      </c>
      <c r="F623" s="1">
        <v>1</v>
      </c>
      <c r="G623" s="1">
        <v>0</v>
      </c>
      <c r="H623" t="s">
        <v>17</v>
      </c>
      <c r="I623" t="s">
        <v>647</v>
      </c>
      <c r="J623" t="s">
        <v>1313</v>
      </c>
      <c r="K623" s="3">
        <v>46435</v>
      </c>
      <c r="L623" t="s">
        <v>1329</v>
      </c>
      <c r="M623">
        <v>9.4E-2</v>
      </c>
      <c r="N623">
        <v>2475</v>
      </c>
      <c r="O623">
        <f t="shared" si="27"/>
        <v>9.4E-2</v>
      </c>
      <c r="P623">
        <f t="shared" si="29"/>
        <v>4.0404040404040404E-4</v>
      </c>
      <c r="Q623" t="str">
        <f t="shared" si="28"/>
        <v>Q26-03</v>
      </c>
    </row>
    <row r="624" spans="1:17" x14ac:dyDescent="0.25">
      <c r="A624" t="s">
        <v>12</v>
      </c>
      <c r="B624" t="s">
        <v>1330</v>
      </c>
      <c r="C624" t="s">
        <v>1331</v>
      </c>
      <c r="D624" t="s">
        <v>1332</v>
      </c>
      <c r="E624" t="s">
        <v>1333</v>
      </c>
      <c r="F624" s="1">
        <v>1</v>
      </c>
      <c r="G624" s="1">
        <v>0</v>
      </c>
      <c r="H624" t="s">
        <v>17</v>
      </c>
      <c r="I624" t="s">
        <v>1334</v>
      </c>
      <c r="J624" t="s">
        <v>1335</v>
      </c>
      <c r="K624" s="3">
        <v>46116</v>
      </c>
      <c r="L624" t="s">
        <v>1336</v>
      </c>
      <c r="M624">
        <v>0.04</v>
      </c>
      <c r="N624">
        <v>9000</v>
      </c>
      <c r="O624">
        <f t="shared" si="27"/>
        <v>0.04</v>
      </c>
      <c r="P624">
        <f t="shared" si="29"/>
        <v>1.1111111111111112E-4</v>
      </c>
      <c r="Q624" t="str">
        <f t="shared" si="28"/>
        <v>Q26-01</v>
      </c>
    </row>
    <row r="625" spans="1:17" x14ac:dyDescent="0.25">
      <c r="A625" t="s">
        <v>12</v>
      </c>
      <c r="B625" t="s">
        <v>1337</v>
      </c>
      <c r="C625" t="s">
        <v>1338</v>
      </c>
      <c r="D625" t="s">
        <v>144</v>
      </c>
      <c r="E625" t="s">
        <v>1339</v>
      </c>
      <c r="F625" s="1">
        <v>61</v>
      </c>
      <c r="G625" s="1">
        <v>0</v>
      </c>
      <c r="H625" t="s">
        <v>17</v>
      </c>
      <c r="I625" t="s">
        <v>475</v>
      </c>
      <c r="J625" t="s">
        <v>90</v>
      </c>
      <c r="K625" s="3">
        <v>46541</v>
      </c>
      <c r="L625" t="s">
        <v>1340</v>
      </c>
      <c r="M625">
        <v>0</v>
      </c>
      <c r="N625">
        <v>0</v>
      </c>
      <c r="O625">
        <f t="shared" si="27"/>
        <v>0</v>
      </c>
      <c r="Q625" t="str">
        <f t="shared" si="28"/>
        <v>QM4-01</v>
      </c>
    </row>
    <row r="626" spans="1:17" x14ac:dyDescent="0.25">
      <c r="A626" t="s">
        <v>61</v>
      </c>
      <c r="B626" t="s">
        <v>166</v>
      </c>
      <c r="C626" t="s">
        <v>167</v>
      </c>
      <c r="D626" t="s">
        <v>382</v>
      </c>
      <c r="E626" t="s">
        <v>1341</v>
      </c>
      <c r="F626" s="1">
        <v>2</v>
      </c>
      <c r="G626" s="1">
        <v>0</v>
      </c>
      <c r="H626" t="s">
        <v>17</v>
      </c>
      <c r="I626" t="s">
        <v>170</v>
      </c>
      <c r="J626" t="s">
        <v>1342</v>
      </c>
      <c r="K626" s="3">
        <v>46660</v>
      </c>
      <c r="L626" t="s">
        <v>1343</v>
      </c>
      <c r="M626">
        <v>9.2999999999999999E-2</v>
      </c>
      <c r="N626">
        <v>1536</v>
      </c>
      <c r="O626">
        <f t="shared" si="27"/>
        <v>0.186</v>
      </c>
      <c r="P626">
        <f t="shared" si="29"/>
        <v>1.3020833333333333E-3</v>
      </c>
      <c r="Q626" t="str">
        <f t="shared" si="28"/>
        <v>Q27-03</v>
      </c>
    </row>
    <row r="627" spans="1:17" x14ac:dyDescent="0.25">
      <c r="A627" t="s">
        <v>61</v>
      </c>
      <c r="B627" t="s">
        <v>166</v>
      </c>
      <c r="C627" t="s">
        <v>167</v>
      </c>
      <c r="D627" t="s">
        <v>382</v>
      </c>
      <c r="E627" t="s">
        <v>1344</v>
      </c>
      <c r="F627" s="1">
        <v>3</v>
      </c>
      <c r="G627" s="1">
        <v>0</v>
      </c>
      <c r="H627" t="s">
        <v>17</v>
      </c>
      <c r="I627" t="s">
        <v>170</v>
      </c>
      <c r="J627" t="s">
        <v>1342</v>
      </c>
      <c r="K627" s="3">
        <v>46660</v>
      </c>
      <c r="L627" t="s">
        <v>1343</v>
      </c>
      <c r="M627">
        <v>9.2999999999999999E-2</v>
      </c>
      <c r="N627">
        <v>1536</v>
      </c>
      <c r="O627">
        <f t="shared" si="27"/>
        <v>0.27900000000000003</v>
      </c>
      <c r="P627">
        <f t="shared" si="29"/>
        <v>1.953125E-3</v>
      </c>
      <c r="Q627" t="str">
        <f t="shared" si="28"/>
        <v>Q27-03</v>
      </c>
    </row>
    <row r="628" spans="1:17" x14ac:dyDescent="0.25">
      <c r="A628" t="s">
        <v>61</v>
      </c>
      <c r="B628" t="s">
        <v>166</v>
      </c>
      <c r="C628" t="s">
        <v>167</v>
      </c>
      <c r="D628" t="s">
        <v>382</v>
      </c>
      <c r="E628" t="s">
        <v>1345</v>
      </c>
      <c r="F628" s="1">
        <v>2</v>
      </c>
      <c r="G628" s="1">
        <v>0</v>
      </c>
      <c r="H628" t="s">
        <v>17</v>
      </c>
      <c r="I628" t="s">
        <v>170</v>
      </c>
      <c r="J628" t="s">
        <v>1342</v>
      </c>
      <c r="K628" s="3">
        <v>46660</v>
      </c>
      <c r="L628" t="s">
        <v>1343</v>
      </c>
      <c r="M628">
        <v>9.2999999999999999E-2</v>
      </c>
      <c r="N628">
        <v>1536</v>
      </c>
      <c r="O628">
        <f t="shared" si="27"/>
        <v>0.186</v>
      </c>
      <c r="P628">
        <f t="shared" si="29"/>
        <v>1.3020833333333333E-3</v>
      </c>
      <c r="Q628" t="str">
        <f t="shared" si="28"/>
        <v>Q27-03</v>
      </c>
    </row>
    <row r="629" spans="1:17" x14ac:dyDescent="0.25">
      <c r="A629" t="s">
        <v>61</v>
      </c>
      <c r="B629" t="s">
        <v>166</v>
      </c>
      <c r="C629" t="s">
        <v>167</v>
      </c>
      <c r="D629" t="s">
        <v>382</v>
      </c>
      <c r="E629" t="s">
        <v>1346</v>
      </c>
      <c r="F629" s="1">
        <v>3</v>
      </c>
      <c r="G629" s="1">
        <v>0</v>
      </c>
      <c r="H629" t="s">
        <v>17</v>
      </c>
      <c r="I629" t="s">
        <v>170</v>
      </c>
      <c r="J629" t="s">
        <v>1342</v>
      </c>
      <c r="K629" s="3">
        <v>46660</v>
      </c>
      <c r="L629" t="s">
        <v>1343</v>
      </c>
      <c r="M629">
        <v>9.2999999999999999E-2</v>
      </c>
      <c r="N629">
        <v>1536</v>
      </c>
      <c r="O629">
        <f t="shared" si="27"/>
        <v>0.27900000000000003</v>
      </c>
      <c r="P629">
        <f t="shared" si="29"/>
        <v>1.953125E-3</v>
      </c>
      <c r="Q629" t="str">
        <f t="shared" si="28"/>
        <v>Q27-03</v>
      </c>
    </row>
    <row r="630" spans="1:17" x14ac:dyDescent="0.25">
      <c r="A630" t="s">
        <v>61</v>
      </c>
      <c r="B630" t="s">
        <v>317</v>
      </c>
      <c r="C630" t="s">
        <v>318</v>
      </c>
      <c r="D630" t="s">
        <v>244</v>
      </c>
      <c r="E630" t="s">
        <v>1347</v>
      </c>
      <c r="F630" s="1">
        <v>23</v>
      </c>
      <c r="G630" s="1">
        <v>0</v>
      </c>
      <c r="H630" t="s">
        <v>17</v>
      </c>
      <c r="I630" t="s">
        <v>320</v>
      </c>
      <c r="J630" t="s">
        <v>1342</v>
      </c>
      <c r="K630" s="3">
        <v>46691</v>
      </c>
      <c r="L630" t="s">
        <v>1348</v>
      </c>
      <c r="M630">
        <v>0.04</v>
      </c>
      <c r="N630">
        <v>2688</v>
      </c>
      <c r="O630">
        <f t="shared" si="27"/>
        <v>0.92</v>
      </c>
      <c r="P630">
        <f t="shared" si="29"/>
        <v>8.5565476190476199E-3</v>
      </c>
      <c r="Q630" t="str">
        <f t="shared" si="28"/>
        <v>Q27-03</v>
      </c>
    </row>
    <row r="631" spans="1:17" x14ac:dyDescent="0.25">
      <c r="A631" t="s">
        <v>61</v>
      </c>
      <c r="B631" t="s">
        <v>317</v>
      </c>
      <c r="C631" t="s">
        <v>318</v>
      </c>
      <c r="D631" t="s">
        <v>244</v>
      </c>
      <c r="E631" t="s">
        <v>1349</v>
      </c>
      <c r="F631" s="1">
        <v>20</v>
      </c>
      <c r="G631" s="1">
        <v>0</v>
      </c>
      <c r="H631" t="s">
        <v>17</v>
      </c>
      <c r="I631" t="s">
        <v>320</v>
      </c>
      <c r="J631" t="s">
        <v>1342</v>
      </c>
      <c r="K631" s="3">
        <v>46691</v>
      </c>
      <c r="L631" t="s">
        <v>1348</v>
      </c>
      <c r="M631">
        <v>0.04</v>
      </c>
      <c r="N631">
        <v>2688</v>
      </c>
      <c r="O631">
        <f t="shared" si="27"/>
        <v>0.8</v>
      </c>
      <c r="P631">
        <f t="shared" si="29"/>
        <v>7.4404761904761901E-3</v>
      </c>
      <c r="Q631" t="str">
        <f t="shared" si="28"/>
        <v>Q27-03</v>
      </c>
    </row>
    <row r="632" spans="1:17" x14ac:dyDescent="0.25">
      <c r="A632" t="s">
        <v>61</v>
      </c>
      <c r="B632" t="s">
        <v>317</v>
      </c>
      <c r="C632" t="s">
        <v>318</v>
      </c>
      <c r="D632" t="s">
        <v>244</v>
      </c>
      <c r="E632" t="s">
        <v>1350</v>
      </c>
      <c r="F632" s="1">
        <v>5</v>
      </c>
      <c r="G632" s="1">
        <v>0</v>
      </c>
      <c r="H632" t="s">
        <v>17</v>
      </c>
      <c r="I632" t="s">
        <v>320</v>
      </c>
      <c r="J632" t="s">
        <v>1342</v>
      </c>
      <c r="K632" s="3">
        <v>46691</v>
      </c>
      <c r="L632" t="s">
        <v>1348</v>
      </c>
      <c r="M632">
        <v>0.04</v>
      </c>
      <c r="N632">
        <v>2688</v>
      </c>
      <c r="O632">
        <f t="shared" si="27"/>
        <v>0.2</v>
      </c>
      <c r="P632">
        <f t="shared" si="29"/>
        <v>1.8601190476190475E-3</v>
      </c>
      <c r="Q632" t="str">
        <f t="shared" si="28"/>
        <v>Q27-03</v>
      </c>
    </row>
    <row r="633" spans="1:17" x14ac:dyDescent="0.25">
      <c r="A633" t="s">
        <v>61</v>
      </c>
      <c r="B633" t="s">
        <v>317</v>
      </c>
      <c r="C633" t="s">
        <v>318</v>
      </c>
      <c r="D633" t="s">
        <v>244</v>
      </c>
      <c r="E633" t="s">
        <v>1351</v>
      </c>
      <c r="F633" s="1">
        <v>1</v>
      </c>
      <c r="G633" s="1">
        <v>0</v>
      </c>
      <c r="H633" t="s">
        <v>17</v>
      </c>
      <c r="I633" t="s">
        <v>320</v>
      </c>
      <c r="J633" t="s">
        <v>1342</v>
      </c>
      <c r="K633" s="3">
        <v>46691</v>
      </c>
      <c r="L633" t="s">
        <v>1348</v>
      </c>
      <c r="M633">
        <v>0.04</v>
      </c>
      <c r="N633">
        <v>2688</v>
      </c>
      <c r="O633">
        <f t="shared" si="27"/>
        <v>0.04</v>
      </c>
      <c r="P633">
        <f t="shared" si="29"/>
        <v>3.720238095238095E-4</v>
      </c>
      <c r="Q633" t="str">
        <f t="shared" si="28"/>
        <v>Q27-03</v>
      </c>
    </row>
    <row r="634" spans="1:17" x14ac:dyDescent="0.25">
      <c r="A634" t="s">
        <v>61</v>
      </c>
      <c r="B634" t="s">
        <v>317</v>
      </c>
      <c r="C634" t="s">
        <v>318</v>
      </c>
      <c r="D634" t="s">
        <v>244</v>
      </c>
      <c r="E634" t="s">
        <v>1352</v>
      </c>
      <c r="F634" s="1">
        <v>18</v>
      </c>
      <c r="G634" s="1">
        <v>0</v>
      </c>
      <c r="H634" t="s">
        <v>17</v>
      </c>
      <c r="I634" t="s">
        <v>320</v>
      </c>
      <c r="J634" t="s">
        <v>1342</v>
      </c>
      <c r="K634" s="3">
        <v>46691</v>
      </c>
      <c r="L634" t="s">
        <v>1348</v>
      </c>
      <c r="M634">
        <v>0.04</v>
      </c>
      <c r="N634">
        <v>2688</v>
      </c>
      <c r="O634">
        <f t="shared" si="27"/>
        <v>0.72</v>
      </c>
      <c r="P634">
        <f t="shared" si="29"/>
        <v>6.6964285714285711E-3</v>
      </c>
      <c r="Q634" t="str">
        <f t="shared" si="28"/>
        <v>Q27-03</v>
      </c>
    </row>
    <row r="635" spans="1:17" x14ac:dyDescent="0.25">
      <c r="A635" t="s">
        <v>61</v>
      </c>
      <c r="B635" t="s">
        <v>317</v>
      </c>
      <c r="C635" t="s">
        <v>318</v>
      </c>
      <c r="D635" t="s">
        <v>244</v>
      </c>
      <c r="E635" t="s">
        <v>1353</v>
      </c>
      <c r="F635" s="1">
        <v>14</v>
      </c>
      <c r="G635" s="1">
        <v>0</v>
      </c>
      <c r="H635" t="s">
        <v>17</v>
      </c>
      <c r="I635" t="s">
        <v>320</v>
      </c>
      <c r="J635" t="s">
        <v>1342</v>
      </c>
      <c r="K635" s="3">
        <v>46691</v>
      </c>
      <c r="L635" t="s">
        <v>1348</v>
      </c>
      <c r="M635">
        <v>0.04</v>
      </c>
      <c r="N635">
        <v>2688</v>
      </c>
      <c r="O635">
        <f t="shared" si="27"/>
        <v>0.56000000000000005</v>
      </c>
      <c r="P635">
        <f t="shared" si="29"/>
        <v>5.208333333333333E-3</v>
      </c>
      <c r="Q635" t="str">
        <f t="shared" si="28"/>
        <v>Q27-03</v>
      </c>
    </row>
    <row r="636" spans="1:17" x14ac:dyDescent="0.25">
      <c r="A636" t="s">
        <v>61</v>
      </c>
      <c r="B636" t="s">
        <v>317</v>
      </c>
      <c r="C636" t="s">
        <v>318</v>
      </c>
      <c r="D636" t="s">
        <v>244</v>
      </c>
      <c r="E636" t="s">
        <v>1354</v>
      </c>
      <c r="F636" s="1">
        <v>61</v>
      </c>
      <c r="G636" s="1">
        <v>0</v>
      </c>
      <c r="H636" t="s">
        <v>17</v>
      </c>
      <c r="I636" t="s">
        <v>320</v>
      </c>
      <c r="J636" t="s">
        <v>1342</v>
      </c>
      <c r="K636" s="3">
        <v>46691</v>
      </c>
      <c r="L636" t="s">
        <v>1348</v>
      </c>
      <c r="M636">
        <v>0.04</v>
      </c>
      <c r="N636">
        <v>2688</v>
      </c>
      <c r="O636">
        <f t="shared" si="27"/>
        <v>2.44</v>
      </c>
      <c r="P636">
        <f t="shared" si="29"/>
        <v>2.269345238095238E-2</v>
      </c>
      <c r="Q636" t="str">
        <f t="shared" si="28"/>
        <v>Q27-03</v>
      </c>
    </row>
    <row r="637" spans="1:17" x14ac:dyDescent="0.25">
      <c r="A637" t="s">
        <v>61</v>
      </c>
      <c r="B637" t="s">
        <v>317</v>
      </c>
      <c r="C637" t="s">
        <v>318</v>
      </c>
      <c r="D637" t="s">
        <v>244</v>
      </c>
      <c r="E637" t="s">
        <v>1355</v>
      </c>
      <c r="F637" s="1">
        <v>7</v>
      </c>
      <c r="G637" s="1">
        <v>0</v>
      </c>
      <c r="H637" t="s">
        <v>17</v>
      </c>
      <c r="I637" t="s">
        <v>320</v>
      </c>
      <c r="J637" t="s">
        <v>1342</v>
      </c>
      <c r="K637" s="3">
        <v>46691</v>
      </c>
      <c r="L637" t="s">
        <v>1348</v>
      </c>
      <c r="M637">
        <v>0.04</v>
      </c>
      <c r="N637">
        <v>2688</v>
      </c>
      <c r="O637">
        <f t="shared" si="27"/>
        <v>0.28000000000000003</v>
      </c>
      <c r="P637">
        <f t="shared" si="29"/>
        <v>2.6041666666666665E-3</v>
      </c>
      <c r="Q637" t="str">
        <f t="shared" si="28"/>
        <v>Q27-03</v>
      </c>
    </row>
    <row r="638" spans="1:17" x14ac:dyDescent="0.25">
      <c r="A638" t="s">
        <v>61</v>
      </c>
      <c r="B638" t="s">
        <v>317</v>
      </c>
      <c r="C638" t="s">
        <v>318</v>
      </c>
      <c r="D638" t="s">
        <v>382</v>
      </c>
      <c r="E638" t="s">
        <v>1356</v>
      </c>
      <c r="F638" s="1">
        <v>6</v>
      </c>
      <c r="G638" s="1">
        <v>0</v>
      </c>
      <c r="H638" t="s">
        <v>17</v>
      </c>
      <c r="I638" t="s">
        <v>320</v>
      </c>
      <c r="J638" t="s">
        <v>1342</v>
      </c>
      <c r="K638" s="3">
        <v>46691</v>
      </c>
      <c r="L638" t="s">
        <v>1348</v>
      </c>
      <c r="M638">
        <v>0.04</v>
      </c>
      <c r="N638">
        <v>2688</v>
      </c>
      <c r="O638">
        <f t="shared" si="27"/>
        <v>0.24</v>
      </c>
      <c r="P638">
        <f t="shared" si="29"/>
        <v>2.232142857142857E-3</v>
      </c>
      <c r="Q638" t="str">
        <f t="shared" si="28"/>
        <v>Q27-03</v>
      </c>
    </row>
    <row r="639" spans="1:17" x14ac:dyDescent="0.25">
      <c r="A639" t="s">
        <v>61</v>
      </c>
      <c r="B639" t="s">
        <v>317</v>
      </c>
      <c r="C639" t="s">
        <v>318</v>
      </c>
      <c r="D639" t="s">
        <v>382</v>
      </c>
      <c r="E639" t="s">
        <v>1357</v>
      </c>
      <c r="F639" s="1">
        <v>5</v>
      </c>
      <c r="G639" s="1">
        <v>0</v>
      </c>
      <c r="H639" t="s">
        <v>17</v>
      </c>
      <c r="I639" t="s">
        <v>320</v>
      </c>
      <c r="J639" t="s">
        <v>1342</v>
      </c>
      <c r="K639" s="3">
        <v>46691</v>
      </c>
      <c r="L639" t="s">
        <v>1348</v>
      </c>
      <c r="M639">
        <v>0.04</v>
      </c>
      <c r="N639">
        <v>2688</v>
      </c>
      <c r="O639">
        <f t="shared" si="27"/>
        <v>0.2</v>
      </c>
      <c r="P639">
        <f t="shared" si="29"/>
        <v>1.8601190476190475E-3</v>
      </c>
      <c r="Q639" t="str">
        <f t="shared" si="28"/>
        <v>Q27-03</v>
      </c>
    </row>
    <row r="640" spans="1:17" x14ac:dyDescent="0.25">
      <c r="A640" t="s">
        <v>61</v>
      </c>
      <c r="B640" t="s">
        <v>317</v>
      </c>
      <c r="C640" t="s">
        <v>318</v>
      </c>
      <c r="D640" t="s">
        <v>382</v>
      </c>
      <c r="E640" t="s">
        <v>1358</v>
      </c>
      <c r="F640" s="1">
        <v>40</v>
      </c>
      <c r="G640" s="1">
        <v>0</v>
      </c>
      <c r="H640" t="s">
        <v>17</v>
      </c>
      <c r="I640" t="s">
        <v>320</v>
      </c>
      <c r="J640" t="s">
        <v>1342</v>
      </c>
      <c r="K640" s="3">
        <v>46691</v>
      </c>
      <c r="L640" t="s">
        <v>1348</v>
      </c>
      <c r="M640">
        <v>0.04</v>
      </c>
      <c r="N640">
        <v>2688</v>
      </c>
      <c r="O640">
        <f t="shared" si="27"/>
        <v>1.6</v>
      </c>
      <c r="P640">
        <f t="shared" si="29"/>
        <v>1.488095238095238E-2</v>
      </c>
      <c r="Q640" t="str">
        <f t="shared" si="28"/>
        <v>Q27-03</v>
      </c>
    </row>
    <row r="641" spans="1:17" x14ac:dyDescent="0.25">
      <c r="A641" t="s">
        <v>12</v>
      </c>
      <c r="B641" t="s">
        <v>1359</v>
      </c>
      <c r="C641" t="s">
        <v>1360</v>
      </c>
      <c r="D641" t="s">
        <v>121</v>
      </c>
      <c r="E641" t="s">
        <v>1361</v>
      </c>
      <c r="F641" s="2">
        <v>5054</v>
      </c>
      <c r="G641" s="1">
        <v>0</v>
      </c>
      <c r="H641" t="s">
        <v>17</v>
      </c>
      <c r="I641" t="s">
        <v>84</v>
      </c>
      <c r="J641" t="s">
        <v>90</v>
      </c>
      <c r="K641" s="3">
        <v>46543</v>
      </c>
      <c r="L641" t="s">
        <v>123</v>
      </c>
      <c r="M641">
        <v>0</v>
      </c>
      <c r="N641">
        <v>0</v>
      </c>
      <c r="O641">
        <f t="shared" si="27"/>
        <v>0</v>
      </c>
      <c r="Q641" t="str">
        <f t="shared" si="28"/>
        <v>Q27-01</v>
      </c>
    </row>
    <row r="642" spans="1:17" x14ac:dyDescent="0.25">
      <c r="A642" t="s">
        <v>385</v>
      </c>
      <c r="B642" t="s">
        <v>644</v>
      </c>
      <c r="C642" t="s">
        <v>645</v>
      </c>
      <c r="D642" t="s">
        <v>57</v>
      </c>
      <c r="E642" t="s">
        <v>1362</v>
      </c>
      <c r="F642" s="1">
        <v>14</v>
      </c>
      <c r="G642" s="1">
        <v>0</v>
      </c>
      <c r="H642" t="s">
        <v>17</v>
      </c>
      <c r="I642" t="s">
        <v>647</v>
      </c>
      <c r="J642" t="s">
        <v>1363</v>
      </c>
      <c r="K642" s="3">
        <v>46435</v>
      </c>
      <c r="L642" t="s">
        <v>1364</v>
      </c>
      <c r="M642">
        <v>9.4E-2</v>
      </c>
      <c r="N642">
        <v>2475</v>
      </c>
      <c r="O642">
        <f t="shared" si="27"/>
        <v>1.3160000000000001</v>
      </c>
      <c r="P642">
        <f t="shared" si="29"/>
        <v>5.6565656565656566E-3</v>
      </c>
      <c r="Q642" t="str">
        <f t="shared" si="28"/>
        <v>Q26-03</v>
      </c>
    </row>
    <row r="643" spans="1:17" x14ac:dyDescent="0.25">
      <c r="A643" t="s">
        <v>385</v>
      </c>
      <c r="B643" t="s">
        <v>644</v>
      </c>
      <c r="C643" t="s">
        <v>645</v>
      </c>
      <c r="D643" t="s">
        <v>388</v>
      </c>
      <c r="E643" t="s">
        <v>1365</v>
      </c>
      <c r="F643" s="1">
        <v>17</v>
      </c>
      <c r="G643" s="1">
        <v>0</v>
      </c>
      <c r="H643" t="s">
        <v>17</v>
      </c>
      <c r="I643" t="s">
        <v>647</v>
      </c>
      <c r="J643" t="s">
        <v>1363</v>
      </c>
      <c r="K643" s="3">
        <v>46435</v>
      </c>
      <c r="L643" t="s">
        <v>1364</v>
      </c>
      <c r="M643">
        <v>9.4E-2</v>
      </c>
      <c r="N643">
        <v>2475</v>
      </c>
      <c r="O643">
        <f t="shared" ref="O643:O706" si="30">F643*M643</f>
        <v>1.5980000000000001</v>
      </c>
      <c r="P643">
        <f t="shared" ref="P643:P706" si="31">F643/N643</f>
        <v>6.8686868686868687E-3</v>
      </c>
      <c r="Q643" t="str">
        <f t="shared" ref="Q643:Q706" si="32">LEFT(D643,6)</f>
        <v>Q26-03</v>
      </c>
    </row>
    <row r="644" spans="1:17" x14ac:dyDescent="0.25">
      <c r="A644" t="s">
        <v>385</v>
      </c>
      <c r="B644" t="s">
        <v>644</v>
      </c>
      <c r="C644" t="s">
        <v>645</v>
      </c>
      <c r="D644" t="s">
        <v>57</v>
      </c>
      <c r="E644" t="s">
        <v>1366</v>
      </c>
      <c r="F644" s="1">
        <v>27</v>
      </c>
      <c r="G644" s="1">
        <v>0</v>
      </c>
      <c r="H644" t="s">
        <v>17</v>
      </c>
      <c r="I644" t="s">
        <v>647</v>
      </c>
      <c r="J644" t="s">
        <v>1363</v>
      </c>
      <c r="K644" s="3">
        <v>46437</v>
      </c>
      <c r="L644" t="s">
        <v>1367</v>
      </c>
      <c r="M644">
        <v>9.4E-2</v>
      </c>
      <c r="N644">
        <v>2475</v>
      </c>
      <c r="O644">
        <f t="shared" si="30"/>
        <v>2.5379999999999998</v>
      </c>
      <c r="P644">
        <f t="shared" si="31"/>
        <v>1.090909090909091E-2</v>
      </c>
      <c r="Q644" t="str">
        <f t="shared" si="32"/>
        <v>Q26-03</v>
      </c>
    </row>
    <row r="645" spans="1:17" x14ac:dyDescent="0.25">
      <c r="A645" t="s">
        <v>12</v>
      </c>
      <c r="B645" t="s">
        <v>1368</v>
      </c>
      <c r="C645" t="s">
        <v>1369</v>
      </c>
      <c r="D645" t="s">
        <v>244</v>
      </c>
      <c r="E645" t="s">
        <v>1370</v>
      </c>
      <c r="F645" s="1">
        <v>6</v>
      </c>
      <c r="G645" s="1">
        <v>0</v>
      </c>
      <c r="H645" t="s">
        <v>17</v>
      </c>
      <c r="I645" t="s">
        <v>1371</v>
      </c>
      <c r="J645" t="s">
        <v>1372</v>
      </c>
      <c r="K645" s="3">
        <v>46326</v>
      </c>
      <c r="L645" t="s">
        <v>1373</v>
      </c>
      <c r="M645">
        <v>9.4E-2</v>
      </c>
      <c r="N645">
        <v>2400</v>
      </c>
      <c r="O645">
        <f t="shared" si="30"/>
        <v>0.56400000000000006</v>
      </c>
      <c r="P645">
        <f t="shared" si="31"/>
        <v>2.5000000000000001E-3</v>
      </c>
      <c r="Q645" t="str">
        <f t="shared" si="32"/>
        <v>Q27-03</v>
      </c>
    </row>
    <row r="646" spans="1:17" x14ac:dyDescent="0.25">
      <c r="A646" t="s">
        <v>385</v>
      </c>
      <c r="B646" t="s">
        <v>1374</v>
      </c>
      <c r="C646" t="s">
        <v>1375</v>
      </c>
      <c r="D646" t="s">
        <v>57</v>
      </c>
      <c r="E646" t="s">
        <v>1376</v>
      </c>
      <c r="F646" s="1">
        <v>4</v>
      </c>
      <c r="G646" s="1">
        <v>0</v>
      </c>
      <c r="H646" t="s">
        <v>17</v>
      </c>
      <c r="I646" t="s">
        <v>1377</v>
      </c>
      <c r="J646" t="s">
        <v>1378</v>
      </c>
      <c r="K646" s="3">
        <v>46446</v>
      </c>
      <c r="L646" t="s">
        <v>1379</v>
      </c>
      <c r="M646">
        <v>3.4000000000000002E-2</v>
      </c>
      <c r="N646">
        <v>1944</v>
      </c>
      <c r="O646">
        <f t="shared" si="30"/>
        <v>0.13600000000000001</v>
      </c>
      <c r="P646">
        <f t="shared" si="31"/>
        <v>2.05761316872428E-3</v>
      </c>
      <c r="Q646" t="str">
        <f t="shared" si="32"/>
        <v>Q26-03</v>
      </c>
    </row>
    <row r="647" spans="1:17" x14ac:dyDescent="0.25">
      <c r="A647" t="s">
        <v>12</v>
      </c>
      <c r="B647" t="s">
        <v>1380</v>
      </c>
      <c r="C647" t="s">
        <v>1381</v>
      </c>
      <c r="D647" t="s">
        <v>1382</v>
      </c>
      <c r="E647" t="s">
        <v>1383</v>
      </c>
      <c r="F647" s="1">
        <v>1</v>
      </c>
      <c r="G647" s="1">
        <v>0</v>
      </c>
      <c r="H647" t="s">
        <v>17</v>
      </c>
      <c r="I647" t="s">
        <v>1384</v>
      </c>
      <c r="J647" t="s">
        <v>1385</v>
      </c>
      <c r="K647" s="3">
        <v>46812</v>
      </c>
      <c r="L647" t="s">
        <v>1386</v>
      </c>
      <c r="M647">
        <v>9.6000000000000002E-2</v>
      </c>
      <c r="N647">
        <v>504</v>
      </c>
      <c r="O647">
        <f t="shared" si="30"/>
        <v>9.6000000000000002E-2</v>
      </c>
      <c r="P647">
        <f t="shared" si="31"/>
        <v>1.984126984126984E-3</v>
      </c>
      <c r="Q647" t="str">
        <f t="shared" si="32"/>
        <v>QC1-01</v>
      </c>
    </row>
    <row r="648" spans="1:17" x14ac:dyDescent="0.25">
      <c r="A648" t="s">
        <v>12</v>
      </c>
      <c r="B648" t="s">
        <v>750</v>
      </c>
      <c r="C648" t="s">
        <v>751</v>
      </c>
      <c r="D648" t="s">
        <v>57</v>
      </c>
      <c r="E648" t="s">
        <v>1387</v>
      </c>
      <c r="F648" s="1">
        <v>1</v>
      </c>
      <c r="G648" s="1">
        <v>0</v>
      </c>
      <c r="H648" t="s">
        <v>17</v>
      </c>
      <c r="I648" t="s">
        <v>753</v>
      </c>
      <c r="J648" t="s">
        <v>1388</v>
      </c>
      <c r="K648" s="3">
        <v>46674</v>
      </c>
      <c r="L648" t="s">
        <v>1088</v>
      </c>
      <c r="M648">
        <v>3.5999999999999997E-2</v>
      </c>
      <c r="N648">
        <v>5280</v>
      </c>
      <c r="O648">
        <f t="shared" si="30"/>
        <v>3.5999999999999997E-2</v>
      </c>
      <c r="P648">
        <f t="shared" si="31"/>
        <v>1.8939393939393939E-4</v>
      </c>
      <c r="Q648" t="str">
        <f t="shared" si="32"/>
        <v>Q26-03</v>
      </c>
    </row>
    <row r="649" spans="1:17" x14ac:dyDescent="0.25">
      <c r="A649" t="s">
        <v>12</v>
      </c>
      <c r="B649" t="s">
        <v>1389</v>
      </c>
      <c r="C649" t="s">
        <v>1390</v>
      </c>
      <c r="D649" t="s">
        <v>57</v>
      </c>
      <c r="E649" t="s">
        <v>1391</v>
      </c>
      <c r="F649" s="1">
        <v>1</v>
      </c>
      <c r="G649" s="1">
        <v>0</v>
      </c>
      <c r="H649" t="s">
        <v>17</v>
      </c>
      <c r="I649" t="s">
        <v>1392</v>
      </c>
      <c r="J649" t="s">
        <v>1393</v>
      </c>
      <c r="K649" s="3">
        <v>46709</v>
      </c>
      <c r="L649" t="s">
        <v>1394</v>
      </c>
      <c r="M649">
        <v>0.156</v>
      </c>
      <c r="N649">
        <v>2400</v>
      </c>
      <c r="O649">
        <f t="shared" si="30"/>
        <v>0.156</v>
      </c>
      <c r="P649">
        <f t="shared" si="31"/>
        <v>4.1666666666666669E-4</v>
      </c>
      <c r="Q649" t="str">
        <f t="shared" si="32"/>
        <v>Q26-03</v>
      </c>
    </row>
    <row r="650" spans="1:17" x14ac:dyDescent="0.25">
      <c r="A650" t="s">
        <v>12</v>
      </c>
      <c r="B650" t="s">
        <v>1395</v>
      </c>
      <c r="C650" t="s">
        <v>1396</v>
      </c>
      <c r="D650" t="s">
        <v>57</v>
      </c>
      <c r="E650" t="s">
        <v>1397</v>
      </c>
      <c r="F650" s="1">
        <v>60</v>
      </c>
      <c r="G650" s="1">
        <v>0</v>
      </c>
      <c r="H650" t="s">
        <v>17</v>
      </c>
      <c r="I650" t="s">
        <v>1398</v>
      </c>
      <c r="J650" t="s">
        <v>1393</v>
      </c>
      <c r="K650" s="3">
        <v>46765</v>
      </c>
      <c r="L650" t="s">
        <v>1399</v>
      </c>
      <c r="M650">
        <v>0.154</v>
      </c>
      <c r="N650">
        <v>1680</v>
      </c>
      <c r="O650">
        <f t="shared" si="30"/>
        <v>9.24</v>
      </c>
      <c r="P650">
        <f t="shared" si="31"/>
        <v>3.5714285714285712E-2</v>
      </c>
      <c r="Q650" t="str">
        <f t="shared" si="32"/>
        <v>Q26-03</v>
      </c>
    </row>
    <row r="651" spans="1:17" x14ac:dyDescent="0.25">
      <c r="A651" t="s">
        <v>12</v>
      </c>
      <c r="B651" t="s">
        <v>1169</v>
      </c>
      <c r="C651" t="s">
        <v>1170</v>
      </c>
      <c r="D651" t="s">
        <v>1171</v>
      </c>
      <c r="E651" t="s">
        <v>1172</v>
      </c>
      <c r="F651" s="1">
        <v>24</v>
      </c>
      <c r="G651" s="1">
        <v>0</v>
      </c>
      <c r="H651" t="s">
        <v>17</v>
      </c>
      <c r="I651" t="s">
        <v>1173</v>
      </c>
      <c r="J651" t="s">
        <v>1400</v>
      </c>
      <c r="K651" s="3">
        <v>46033</v>
      </c>
      <c r="L651" t="s">
        <v>1175</v>
      </c>
      <c r="M651">
        <v>0.02</v>
      </c>
      <c r="N651">
        <v>1650</v>
      </c>
      <c r="O651">
        <f t="shared" si="30"/>
        <v>0.48</v>
      </c>
      <c r="P651">
        <f t="shared" si="31"/>
        <v>1.4545454545454545E-2</v>
      </c>
      <c r="Q651" t="str">
        <f t="shared" si="32"/>
        <v>Q26-01</v>
      </c>
    </row>
    <row r="652" spans="1:17" x14ac:dyDescent="0.25">
      <c r="A652" t="s">
        <v>12</v>
      </c>
      <c r="B652" t="s">
        <v>1401</v>
      </c>
      <c r="C652" t="s">
        <v>1402</v>
      </c>
      <c r="D652" t="s">
        <v>77</v>
      </c>
      <c r="E652" t="s">
        <v>1403</v>
      </c>
      <c r="F652" s="1">
        <v>5</v>
      </c>
      <c r="G652" s="1">
        <v>0</v>
      </c>
      <c r="H652" t="s">
        <v>17</v>
      </c>
      <c r="I652" t="s">
        <v>1404</v>
      </c>
      <c r="J652" t="s">
        <v>1405</v>
      </c>
      <c r="K652" s="3">
        <v>46904</v>
      </c>
      <c r="L652" t="s">
        <v>1406</v>
      </c>
      <c r="M652">
        <v>0.03</v>
      </c>
      <c r="N652">
        <v>6468</v>
      </c>
      <c r="O652">
        <f t="shared" si="30"/>
        <v>0.15</v>
      </c>
      <c r="P652">
        <f t="shared" si="31"/>
        <v>7.7303648732220164E-4</v>
      </c>
      <c r="Q652" t="str">
        <f t="shared" si="32"/>
        <v>Q27-01</v>
      </c>
    </row>
    <row r="653" spans="1:17" x14ac:dyDescent="0.25">
      <c r="A653" t="s">
        <v>12</v>
      </c>
      <c r="B653" t="s">
        <v>1407</v>
      </c>
      <c r="C653" t="s">
        <v>1408</v>
      </c>
      <c r="D653" t="s">
        <v>38</v>
      </c>
      <c r="E653" t="s">
        <v>1409</v>
      </c>
      <c r="F653" s="1">
        <v>1</v>
      </c>
      <c r="G653" s="1">
        <v>0</v>
      </c>
      <c r="H653" t="s">
        <v>17</v>
      </c>
      <c r="I653" t="s">
        <v>84</v>
      </c>
      <c r="J653" t="s">
        <v>1410</v>
      </c>
      <c r="K653" s="3">
        <v>46112</v>
      </c>
      <c r="L653" t="s">
        <v>1411</v>
      </c>
      <c r="M653">
        <v>0.30399999999999999</v>
      </c>
      <c r="N653">
        <v>0</v>
      </c>
      <c r="O653">
        <f t="shared" si="30"/>
        <v>0.30399999999999999</v>
      </c>
      <c r="Q653" t="str">
        <f t="shared" si="32"/>
        <v>Q26-01</v>
      </c>
    </row>
    <row r="654" spans="1:17" x14ac:dyDescent="0.25">
      <c r="A654" t="s">
        <v>12</v>
      </c>
      <c r="B654" t="s">
        <v>1407</v>
      </c>
      <c r="C654" t="s">
        <v>1408</v>
      </c>
      <c r="D654" t="s">
        <v>38</v>
      </c>
      <c r="E654" t="s">
        <v>1412</v>
      </c>
      <c r="F654" s="1">
        <v>1</v>
      </c>
      <c r="G654" s="1">
        <v>0</v>
      </c>
      <c r="H654" t="s">
        <v>17</v>
      </c>
      <c r="I654" t="s">
        <v>84</v>
      </c>
      <c r="J654" t="s">
        <v>1410</v>
      </c>
      <c r="K654" s="3">
        <v>46112</v>
      </c>
      <c r="L654" t="s">
        <v>1413</v>
      </c>
      <c r="M654">
        <v>0.30399999999999999</v>
      </c>
      <c r="N654">
        <v>0</v>
      </c>
      <c r="O654">
        <f t="shared" si="30"/>
        <v>0.30399999999999999</v>
      </c>
      <c r="Q654" t="str">
        <f t="shared" si="32"/>
        <v>Q26-01</v>
      </c>
    </row>
    <row r="655" spans="1:17" x14ac:dyDescent="0.25">
      <c r="A655" t="s">
        <v>12</v>
      </c>
      <c r="B655" t="s">
        <v>1414</v>
      </c>
      <c r="C655" t="s">
        <v>1415</v>
      </c>
      <c r="D655" t="s">
        <v>121</v>
      </c>
      <c r="E655" t="s">
        <v>1416</v>
      </c>
      <c r="F655" s="2">
        <v>1377</v>
      </c>
      <c r="G655" s="1">
        <v>0</v>
      </c>
      <c r="H655" t="s">
        <v>17</v>
      </c>
      <c r="I655" t="s">
        <v>84</v>
      </c>
      <c r="J655" t="s">
        <v>90</v>
      </c>
      <c r="K655" s="3">
        <v>46557</v>
      </c>
      <c r="L655" t="s">
        <v>123</v>
      </c>
      <c r="M655">
        <v>0</v>
      </c>
      <c r="N655">
        <v>0</v>
      </c>
      <c r="O655">
        <f t="shared" si="30"/>
        <v>0</v>
      </c>
      <c r="Q655" t="str">
        <f t="shared" si="32"/>
        <v>Q27-01</v>
      </c>
    </row>
    <row r="656" spans="1:17" x14ac:dyDescent="0.25">
      <c r="A656" t="s">
        <v>12</v>
      </c>
      <c r="B656" t="s">
        <v>1417</v>
      </c>
      <c r="C656" t="s">
        <v>1418</v>
      </c>
      <c r="D656" t="s">
        <v>77</v>
      </c>
      <c r="E656" t="s">
        <v>1419</v>
      </c>
      <c r="F656" s="1">
        <v>2</v>
      </c>
      <c r="G656" s="1">
        <v>0</v>
      </c>
      <c r="H656" t="s">
        <v>17</v>
      </c>
      <c r="I656" t="s">
        <v>84</v>
      </c>
      <c r="J656" t="s">
        <v>1420</v>
      </c>
      <c r="K656" s="3">
        <v>46021</v>
      </c>
      <c r="L656" t="s">
        <v>1421</v>
      </c>
      <c r="M656">
        <v>4.8000000000000001E-2</v>
      </c>
      <c r="N656">
        <v>0</v>
      </c>
      <c r="O656">
        <f t="shared" si="30"/>
        <v>9.6000000000000002E-2</v>
      </c>
      <c r="Q656" t="str">
        <f t="shared" si="32"/>
        <v>Q27-01</v>
      </c>
    </row>
    <row r="657" spans="1:17" x14ac:dyDescent="0.25">
      <c r="A657" t="s">
        <v>12</v>
      </c>
      <c r="B657" t="s">
        <v>1422</v>
      </c>
      <c r="C657" t="s">
        <v>1423</v>
      </c>
      <c r="D657" t="s">
        <v>38</v>
      </c>
      <c r="E657" t="s">
        <v>1424</v>
      </c>
      <c r="F657" s="1">
        <v>15</v>
      </c>
      <c r="G657" s="1">
        <v>0</v>
      </c>
      <c r="H657" t="s">
        <v>17</v>
      </c>
      <c r="I657" t="s">
        <v>84</v>
      </c>
      <c r="J657" t="s">
        <v>1420</v>
      </c>
      <c r="K657" s="3">
        <v>46111</v>
      </c>
      <c r="L657" t="s">
        <v>1425</v>
      </c>
      <c r="M657">
        <v>4.8000000000000001E-2</v>
      </c>
      <c r="N657">
        <v>0</v>
      </c>
      <c r="O657">
        <f t="shared" si="30"/>
        <v>0.72</v>
      </c>
      <c r="Q657" t="str">
        <f t="shared" si="32"/>
        <v>Q26-01</v>
      </c>
    </row>
    <row r="658" spans="1:17" x14ac:dyDescent="0.25">
      <c r="A658" t="s">
        <v>12</v>
      </c>
      <c r="B658" t="s">
        <v>1426</v>
      </c>
      <c r="C658" t="s">
        <v>1427</v>
      </c>
      <c r="D658" t="s">
        <v>38</v>
      </c>
      <c r="E658" t="s">
        <v>1428</v>
      </c>
      <c r="F658" s="1">
        <v>10</v>
      </c>
      <c r="G658" s="1">
        <v>0</v>
      </c>
      <c r="H658" t="s">
        <v>17</v>
      </c>
      <c r="I658" t="s">
        <v>84</v>
      </c>
      <c r="J658" t="s">
        <v>1420</v>
      </c>
      <c r="K658" s="3">
        <v>46107</v>
      </c>
      <c r="L658" t="s">
        <v>1429</v>
      </c>
      <c r="M658">
        <v>4.8000000000000001E-2</v>
      </c>
      <c r="N658">
        <v>400</v>
      </c>
      <c r="O658">
        <f t="shared" si="30"/>
        <v>0.48</v>
      </c>
      <c r="P658">
        <f t="shared" si="31"/>
        <v>2.5000000000000001E-2</v>
      </c>
      <c r="Q658" t="str">
        <f t="shared" si="32"/>
        <v>Q26-01</v>
      </c>
    </row>
    <row r="659" spans="1:17" x14ac:dyDescent="0.25">
      <c r="A659" t="s">
        <v>12</v>
      </c>
      <c r="B659" t="s">
        <v>1430</v>
      </c>
      <c r="C659" t="s">
        <v>1431</v>
      </c>
      <c r="D659" t="s">
        <v>38</v>
      </c>
      <c r="E659" t="s">
        <v>1432</v>
      </c>
      <c r="F659" s="1">
        <v>23</v>
      </c>
      <c r="G659" s="1">
        <v>0</v>
      </c>
      <c r="H659" t="s">
        <v>17</v>
      </c>
      <c r="I659" t="s">
        <v>84</v>
      </c>
      <c r="J659" t="s">
        <v>1420</v>
      </c>
      <c r="K659" s="3">
        <v>46134</v>
      </c>
      <c r="L659" t="s">
        <v>1433</v>
      </c>
      <c r="M659">
        <v>4.8000000000000001E-2</v>
      </c>
      <c r="N659">
        <v>0</v>
      </c>
      <c r="O659">
        <f t="shared" si="30"/>
        <v>1.1040000000000001</v>
      </c>
      <c r="Q659" t="str">
        <f t="shared" si="32"/>
        <v>Q26-01</v>
      </c>
    </row>
    <row r="660" spans="1:17" x14ac:dyDescent="0.25">
      <c r="A660" t="s">
        <v>12</v>
      </c>
      <c r="B660" t="s">
        <v>1434</v>
      </c>
      <c r="C660" t="s">
        <v>1435</v>
      </c>
      <c r="D660" t="s">
        <v>77</v>
      </c>
      <c r="E660" t="s">
        <v>1436</v>
      </c>
      <c r="F660" s="1">
        <v>20</v>
      </c>
      <c r="G660" s="1">
        <v>0</v>
      </c>
      <c r="H660" t="s">
        <v>17</v>
      </c>
      <c r="I660" t="s">
        <v>84</v>
      </c>
      <c r="J660" t="s">
        <v>1420</v>
      </c>
      <c r="K660" s="3">
        <v>46075</v>
      </c>
      <c r="L660" t="s">
        <v>1437</v>
      </c>
      <c r="M660">
        <v>0.03</v>
      </c>
      <c r="N660">
        <v>0</v>
      </c>
      <c r="O660">
        <f t="shared" si="30"/>
        <v>0.6</v>
      </c>
      <c r="Q660" t="str">
        <f t="shared" si="32"/>
        <v>Q27-01</v>
      </c>
    </row>
    <row r="661" spans="1:17" x14ac:dyDescent="0.25">
      <c r="A661" t="s">
        <v>12</v>
      </c>
      <c r="B661" t="s">
        <v>1438</v>
      </c>
      <c r="C661" t="s">
        <v>1439</v>
      </c>
      <c r="D661" t="s">
        <v>44</v>
      </c>
      <c r="E661" t="s">
        <v>1440</v>
      </c>
      <c r="F661" s="1">
        <v>0.03</v>
      </c>
      <c r="G661" s="1">
        <v>0</v>
      </c>
      <c r="H661" t="s">
        <v>17</v>
      </c>
      <c r="I661" t="s">
        <v>1441</v>
      </c>
      <c r="J661" t="s">
        <v>1442</v>
      </c>
      <c r="K661" s="3">
        <v>46235</v>
      </c>
      <c r="L661" t="s">
        <v>1443</v>
      </c>
      <c r="M661">
        <v>2.1999999999999999E-2</v>
      </c>
      <c r="N661">
        <v>8640</v>
      </c>
      <c r="O661">
        <f t="shared" si="30"/>
        <v>6.5999999999999989E-4</v>
      </c>
      <c r="P661">
        <f>F661/N661</f>
        <v>3.472222222222222E-6</v>
      </c>
      <c r="Q661" t="str">
        <f t="shared" si="32"/>
        <v>Q26-01</v>
      </c>
    </row>
    <row r="662" spans="1:17" x14ac:dyDescent="0.25">
      <c r="A662" t="s">
        <v>61</v>
      </c>
      <c r="B662" t="s">
        <v>71</v>
      </c>
      <c r="C662" t="s">
        <v>72</v>
      </c>
      <c r="D662" t="s">
        <v>77</v>
      </c>
      <c r="E662" t="s">
        <v>1444</v>
      </c>
      <c r="F662" s="1">
        <v>2</v>
      </c>
      <c r="G662" s="1">
        <v>0</v>
      </c>
      <c r="H662" t="s">
        <v>17</v>
      </c>
      <c r="I662" t="s">
        <v>75</v>
      </c>
      <c r="J662" t="s">
        <v>1445</v>
      </c>
      <c r="K662" s="3">
        <v>46356</v>
      </c>
      <c r="L662" t="s">
        <v>1147</v>
      </c>
      <c r="M662">
        <v>0.3</v>
      </c>
      <c r="N662">
        <v>1680</v>
      </c>
      <c r="O662">
        <f t="shared" si="30"/>
        <v>0.6</v>
      </c>
      <c r="P662">
        <f t="shared" si="31"/>
        <v>1.1904761904761906E-3</v>
      </c>
      <c r="Q662" t="str">
        <f t="shared" si="32"/>
        <v>Q27-01</v>
      </c>
    </row>
    <row r="663" spans="1:17" x14ac:dyDescent="0.25">
      <c r="A663" t="s">
        <v>61</v>
      </c>
      <c r="B663" t="s">
        <v>891</v>
      </c>
      <c r="C663" t="s">
        <v>892</v>
      </c>
      <c r="D663" t="s">
        <v>77</v>
      </c>
      <c r="E663" t="s">
        <v>1446</v>
      </c>
      <c r="F663" s="1">
        <v>10</v>
      </c>
      <c r="G663" s="1">
        <v>0</v>
      </c>
      <c r="H663" t="s">
        <v>17</v>
      </c>
      <c r="I663" t="s">
        <v>894</v>
      </c>
      <c r="J663" t="s">
        <v>1445</v>
      </c>
      <c r="K663" s="3">
        <v>46326</v>
      </c>
      <c r="L663" t="s">
        <v>1054</v>
      </c>
      <c r="M663">
        <v>0.312</v>
      </c>
      <c r="N663">
        <v>1680</v>
      </c>
      <c r="O663">
        <f t="shared" si="30"/>
        <v>3.12</v>
      </c>
      <c r="P663">
        <f t="shared" si="31"/>
        <v>5.9523809523809521E-3</v>
      </c>
      <c r="Q663" t="str">
        <f t="shared" si="32"/>
        <v>Q27-01</v>
      </c>
    </row>
    <row r="664" spans="1:17" x14ac:dyDescent="0.25">
      <c r="A664" t="s">
        <v>61</v>
      </c>
      <c r="B664" t="s">
        <v>456</v>
      </c>
      <c r="C664" t="s">
        <v>457</v>
      </c>
      <c r="D664" t="s">
        <v>77</v>
      </c>
      <c r="E664" t="s">
        <v>1447</v>
      </c>
      <c r="F664" s="1">
        <v>3</v>
      </c>
      <c r="G664" s="1">
        <v>0</v>
      </c>
      <c r="H664" t="s">
        <v>17</v>
      </c>
      <c r="I664" t="s">
        <v>459</v>
      </c>
      <c r="J664" t="s">
        <v>1445</v>
      </c>
      <c r="K664" s="3">
        <v>46295</v>
      </c>
      <c r="L664" t="s">
        <v>1448</v>
      </c>
      <c r="M664">
        <v>0.22600000000000001</v>
      </c>
      <c r="N664">
        <v>1680</v>
      </c>
      <c r="O664">
        <f t="shared" si="30"/>
        <v>0.67800000000000005</v>
      </c>
      <c r="P664">
        <f t="shared" si="31"/>
        <v>1.7857142857142857E-3</v>
      </c>
      <c r="Q664" t="str">
        <f t="shared" si="32"/>
        <v>Q27-01</v>
      </c>
    </row>
    <row r="665" spans="1:17" x14ac:dyDescent="0.25">
      <c r="A665" t="s">
        <v>61</v>
      </c>
      <c r="B665" t="s">
        <v>317</v>
      </c>
      <c r="C665" t="s">
        <v>318</v>
      </c>
      <c r="D665" t="s">
        <v>77</v>
      </c>
      <c r="E665" t="s">
        <v>1449</v>
      </c>
      <c r="F665" s="1">
        <v>1</v>
      </c>
      <c r="G665" s="1">
        <v>0</v>
      </c>
      <c r="H665" t="s">
        <v>17</v>
      </c>
      <c r="I665" t="s">
        <v>320</v>
      </c>
      <c r="J665" t="s">
        <v>1445</v>
      </c>
      <c r="K665" s="3">
        <v>46538</v>
      </c>
      <c r="L665" t="s">
        <v>697</v>
      </c>
      <c r="M665">
        <v>0.04</v>
      </c>
      <c r="N665">
        <v>2688</v>
      </c>
      <c r="O665">
        <f t="shared" si="30"/>
        <v>0.04</v>
      </c>
      <c r="P665">
        <f t="shared" si="31"/>
        <v>3.720238095238095E-4</v>
      </c>
      <c r="Q665" t="str">
        <f t="shared" si="32"/>
        <v>Q27-01</v>
      </c>
    </row>
    <row r="666" spans="1:17" x14ac:dyDescent="0.25">
      <c r="A666" t="s">
        <v>61</v>
      </c>
      <c r="B666" t="s">
        <v>317</v>
      </c>
      <c r="C666" t="s">
        <v>318</v>
      </c>
      <c r="D666" t="s">
        <v>382</v>
      </c>
      <c r="E666" t="s">
        <v>1450</v>
      </c>
      <c r="F666" s="1">
        <v>13</v>
      </c>
      <c r="G666" s="1">
        <v>0</v>
      </c>
      <c r="H666" t="s">
        <v>17</v>
      </c>
      <c r="I666" t="s">
        <v>320</v>
      </c>
      <c r="J666" t="s">
        <v>1451</v>
      </c>
      <c r="K666" s="3">
        <v>46752</v>
      </c>
      <c r="L666" t="s">
        <v>1452</v>
      </c>
      <c r="M666">
        <v>0.04</v>
      </c>
      <c r="N666">
        <v>2688</v>
      </c>
      <c r="O666">
        <f t="shared" si="30"/>
        <v>0.52</v>
      </c>
      <c r="P666">
        <f t="shared" si="31"/>
        <v>4.836309523809524E-3</v>
      </c>
      <c r="Q666" t="str">
        <f t="shared" si="32"/>
        <v>Q27-03</v>
      </c>
    </row>
    <row r="667" spans="1:17" x14ac:dyDescent="0.25">
      <c r="A667" t="s">
        <v>61</v>
      </c>
      <c r="B667" t="s">
        <v>317</v>
      </c>
      <c r="C667" t="s">
        <v>318</v>
      </c>
      <c r="D667" t="s">
        <v>382</v>
      </c>
      <c r="E667" t="s">
        <v>1453</v>
      </c>
      <c r="F667" s="1">
        <v>57</v>
      </c>
      <c r="G667" s="1">
        <v>0</v>
      </c>
      <c r="H667" t="s">
        <v>17</v>
      </c>
      <c r="I667" t="s">
        <v>320</v>
      </c>
      <c r="J667" t="s">
        <v>1451</v>
      </c>
      <c r="K667" s="3">
        <v>46752</v>
      </c>
      <c r="L667" t="s">
        <v>1452</v>
      </c>
      <c r="M667">
        <v>0.04</v>
      </c>
      <c r="N667">
        <v>2688</v>
      </c>
      <c r="O667">
        <f t="shared" si="30"/>
        <v>2.2800000000000002</v>
      </c>
      <c r="P667">
        <f t="shared" si="31"/>
        <v>2.1205357142857144E-2</v>
      </c>
      <c r="Q667" t="str">
        <f t="shared" si="32"/>
        <v>Q27-03</v>
      </c>
    </row>
    <row r="668" spans="1:17" x14ac:dyDescent="0.25">
      <c r="A668" t="s">
        <v>61</v>
      </c>
      <c r="B668" t="s">
        <v>317</v>
      </c>
      <c r="C668" t="s">
        <v>318</v>
      </c>
      <c r="D668" t="s">
        <v>382</v>
      </c>
      <c r="E668" t="s">
        <v>1454</v>
      </c>
      <c r="F668" s="1">
        <v>59</v>
      </c>
      <c r="G668" s="1">
        <v>0</v>
      </c>
      <c r="H668" t="s">
        <v>17</v>
      </c>
      <c r="I668" t="s">
        <v>320</v>
      </c>
      <c r="J668" t="s">
        <v>1451</v>
      </c>
      <c r="K668" s="3">
        <v>46752</v>
      </c>
      <c r="L668" t="s">
        <v>1452</v>
      </c>
      <c r="M668">
        <v>0.04</v>
      </c>
      <c r="N668">
        <v>2688</v>
      </c>
      <c r="O668">
        <f t="shared" si="30"/>
        <v>2.36</v>
      </c>
      <c r="P668">
        <f t="shared" si="31"/>
        <v>2.194940476190476E-2</v>
      </c>
      <c r="Q668" t="str">
        <f t="shared" si="32"/>
        <v>Q27-03</v>
      </c>
    </row>
    <row r="669" spans="1:17" x14ac:dyDescent="0.25">
      <c r="A669" t="s">
        <v>61</v>
      </c>
      <c r="B669" t="s">
        <v>456</v>
      </c>
      <c r="C669" t="s">
        <v>457</v>
      </c>
      <c r="D669" t="s">
        <v>382</v>
      </c>
      <c r="E669" t="s">
        <v>1455</v>
      </c>
      <c r="F669" s="1">
        <v>16</v>
      </c>
      <c r="G669" s="1">
        <v>0</v>
      </c>
      <c r="H669" t="s">
        <v>17</v>
      </c>
      <c r="I669" t="s">
        <v>459</v>
      </c>
      <c r="J669" t="s">
        <v>1451</v>
      </c>
      <c r="K669" s="3">
        <v>46446</v>
      </c>
      <c r="L669" t="s">
        <v>1456</v>
      </c>
      <c r="M669">
        <v>0.22600000000000001</v>
      </c>
      <c r="N669">
        <v>1680</v>
      </c>
      <c r="O669">
        <f t="shared" si="30"/>
        <v>3.6160000000000001</v>
      </c>
      <c r="P669">
        <f t="shared" si="31"/>
        <v>9.5238095238095247E-3</v>
      </c>
      <c r="Q669" t="str">
        <f t="shared" si="32"/>
        <v>Q27-03</v>
      </c>
    </row>
    <row r="670" spans="1:17" x14ac:dyDescent="0.25">
      <c r="A670" t="s">
        <v>61</v>
      </c>
      <c r="B670" t="s">
        <v>456</v>
      </c>
      <c r="C670" t="s">
        <v>457</v>
      </c>
      <c r="D670" t="s">
        <v>382</v>
      </c>
      <c r="E670" t="s">
        <v>1457</v>
      </c>
      <c r="F670" s="1">
        <v>16</v>
      </c>
      <c r="G670" s="1">
        <v>0</v>
      </c>
      <c r="H670" t="s">
        <v>17</v>
      </c>
      <c r="I670" t="s">
        <v>459</v>
      </c>
      <c r="J670" t="s">
        <v>1451</v>
      </c>
      <c r="K670" s="3">
        <v>46446</v>
      </c>
      <c r="L670" t="s">
        <v>1456</v>
      </c>
      <c r="M670">
        <v>0.22600000000000001</v>
      </c>
      <c r="N670">
        <v>1680</v>
      </c>
      <c r="O670">
        <f t="shared" si="30"/>
        <v>3.6160000000000001</v>
      </c>
      <c r="P670">
        <f t="shared" si="31"/>
        <v>9.5238095238095247E-3</v>
      </c>
      <c r="Q670" t="str">
        <f t="shared" si="32"/>
        <v>Q27-03</v>
      </c>
    </row>
    <row r="671" spans="1:17" x14ac:dyDescent="0.25">
      <c r="A671" t="s">
        <v>61</v>
      </c>
      <c r="B671" t="s">
        <v>364</v>
      </c>
      <c r="C671" t="s">
        <v>365</v>
      </c>
      <c r="D671" t="s">
        <v>382</v>
      </c>
      <c r="E671" t="s">
        <v>1458</v>
      </c>
      <c r="F671" s="1">
        <v>132</v>
      </c>
      <c r="G671" s="1">
        <v>0</v>
      </c>
      <c r="H671" t="s">
        <v>17</v>
      </c>
      <c r="I671" t="s">
        <v>367</v>
      </c>
      <c r="J671" t="s">
        <v>1451</v>
      </c>
      <c r="K671" s="3">
        <v>46721</v>
      </c>
      <c r="L671" t="s">
        <v>1191</v>
      </c>
      <c r="M671">
        <v>0.158</v>
      </c>
      <c r="N671">
        <v>1152</v>
      </c>
      <c r="O671">
        <f t="shared" si="30"/>
        <v>20.856000000000002</v>
      </c>
      <c r="P671">
        <f t="shared" si="31"/>
        <v>0.11458333333333333</v>
      </c>
      <c r="Q671" t="str">
        <f t="shared" si="32"/>
        <v>Q27-03</v>
      </c>
    </row>
    <row r="672" spans="1:17" x14ac:dyDescent="0.25">
      <c r="A672" t="s">
        <v>61</v>
      </c>
      <c r="B672" t="s">
        <v>364</v>
      </c>
      <c r="C672" t="s">
        <v>365</v>
      </c>
      <c r="D672" t="s">
        <v>382</v>
      </c>
      <c r="E672" t="s">
        <v>1459</v>
      </c>
      <c r="F672" s="1">
        <v>12</v>
      </c>
      <c r="G672" s="1">
        <v>0</v>
      </c>
      <c r="H672" t="s">
        <v>17</v>
      </c>
      <c r="I672" t="s">
        <v>367</v>
      </c>
      <c r="J672" t="s">
        <v>1451</v>
      </c>
      <c r="K672" s="3">
        <v>46721</v>
      </c>
      <c r="L672" t="s">
        <v>1191</v>
      </c>
      <c r="M672">
        <v>0.158</v>
      </c>
      <c r="N672">
        <v>1152</v>
      </c>
      <c r="O672">
        <f t="shared" si="30"/>
        <v>1.8959999999999999</v>
      </c>
      <c r="P672">
        <f t="shared" si="31"/>
        <v>1.0416666666666666E-2</v>
      </c>
      <c r="Q672" t="str">
        <f t="shared" si="32"/>
        <v>Q27-03</v>
      </c>
    </row>
    <row r="673" spans="1:17" x14ac:dyDescent="0.25">
      <c r="A673" t="s">
        <v>61</v>
      </c>
      <c r="B673" t="s">
        <v>364</v>
      </c>
      <c r="C673" t="s">
        <v>365</v>
      </c>
      <c r="D673" t="s">
        <v>382</v>
      </c>
      <c r="E673" t="s">
        <v>1460</v>
      </c>
      <c r="F673" s="1">
        <v>19</v>
      </c>
      <c r="G673" s="1">
        <v>0</v>
      </c>
      <c r="H673" t="s">
        <v>17</v>
      </c>
      <c r="I673" t="s">
        <v>367</v>
      </c>
      <c r="J673" t="s">
        <v>1451</v>
      </c>
      <c r="K673" s="3">
        <v>46721</v>
      </c>
      <c r="L673" t="s">
        <v>1191</v>
      </c>
      <c r="M673">
        <v>0.158</v>
      </c>
      <c r="N673">
        <v>1152</v>
      </c>
      <c r="O673">
        <f t="shared" si="30"/>
        <v>3.0020000000000002</v>
      </c>
      <c r="P673">
        <f t="shared" si="31"/>
        <v>1.6493055555555556E-2</v>
      </c>
      <c r="Q673" t="str">
        <f t="shared" si="32"/>
        <v>Q27-03</v>
      </c>
    </row>
    <row r="674" spans="1:17" x14ac:dyDescent="0.25">
      <c r="A674" t="s">
        <v>61</v>
      </c>
      <c r="B674" t="s">
        <v>364</v>
      </c>
      <c r="C674" t="s">
        <v>365</v>
      </c>
      <c r="D674" t="s">
        <v>382</v>
      </c>
      <c r="E674" t="s">
        <v>1461</v>
      </c>
      <c r="F674" s="1">
        <v>80</v>
      </c>
      <c r="G674" s="1">
        <v>0</v>
      </c>
      <c r="H674" t="s">
        <v>17</v>
      </c>
      <c r="I674" t="s">
        <v>367</v>
      </c>
      <c r="J674" t="s">
        <v>1451</v>
      </c>
      <c r="K674" s="3">
        <v>46721</v>
      </c>
      <c r="L674" t="s">
        <v>1191</v>
      </c>
      <c r="M674">
        <v>0.158</v>
      </c>
      <c r="N674">
        <v>1152</v>
      </c>
      <c r="O674">
        <f t="shared" si="30"/>
        <v>12.64</v>
      </c>
      <c r="P674">
        <f t="shared" si="31"/>
        <v>6.9444444444444448E-2</v>
      </c>
      <c r="Q674" t="str">
        <f t="shared" si="32"/>
        <v>Q27-03</v>
      </c>
    </row>
    <row r="675" spans="1:17" x14ac:dyDescent="0.25">
      <c r="A675" t="s">
        <v>61</v>
      </c>
      <c r="B675" t="s">
        <v>233</v>
      </c>
      <c r="C675" t="s">
        <v>234</v>
      </c>
      <c r="D675" t="s">
        <v>244</v>
      </c>
      <c r="E675" t="s">
        <v>1462</v>
      </c>
      <c r="F675" s="1">
        <v>7</v>
      </c>
      <c r="G675" s="1">
        <v>0</v>
      </c>
      <c r="H675" t="s">
        <v>17</v>
      </c>
      <c r="I675" t="s">
        <v>236</v>
      </c>
      <c r="J675" t="s">
        <v>1451</v>
      </c>
      <c r="K675" s="3">
        <v>47149</v>
      </c>
      <c r="L675" t="s">
        <v>1463</v>
      </c>
      <c r="M675">
        <v>7.4999999999999997E-2</v>
      </c>
      <c r="N675">
        <v>2688</v>
      </c>
      <c r="O675">
        <f t="shared" si="30"/>
        <v>0.52500000000000002</v>
      </c>
      <c r="P675">
        <f t="shared" si="31"/>
        <v>2.6041666666666665E-3</v>
      </c>
      <c r="Q675" t="str">
        <f t="shared" si="32"/>
        <v>Q27-03</v>
      </c>
    </row>
    <row r="676" spans="1:17" x14ac:dyDescent="0.25">
      <c r="A676" t="s">
        <v>61</v>
      </c>
      <c r="B676" t="s">
        <v>233</v>
      </c>
      <c r="C676" t="s">
        <v>234</v>
      </c>
      <c r="D676" t="s">
        <v>382</v>
      </c>
      <c r="E676" t="s">
        <v>1464</v>
      </c>
      <c r="F676" s="1">
        <v>2</v>
      </c>
      <c r="G676" s="1">
        <v>0</v>
      </c>
      <c r="H676" t="s">
        <v>17</v>
      </c>
      <c r="I676" t="s">
        <v>236</v>
      </c>
      <c r="J676" t="s">
        <v>1451</v>
      </c>
      <c r="K676" s="3">
        <v>47149</v>
      </c>
      <c r="L676" t="s">
        <v>1463</v>
      </c>
      <c r="M676">
        <v>7.4999999999999997E-2</v>
      </c>
      <c r="N676">
        <v>2688</v>
      </c>
      <c r="O676">
        <f t="shared" si="30"/>
        <v>0.15</v>
      </c>
      <c r="P676">
        <f t="shared" si="31"/>
        <v>7.4404761904761901E-4</v>
      </c>
      <c r="Q676" t="str">
        <f t="shared" si="32"/>
        <v>Q27-03</v>
      </c>
    </row>
    <row r="677" spans="1:17" x14ac:dyDescent="0.25">
      <c r="A677" t="s">
        <v>61</v>
      </c>
      <c r="B677" t="s">
        <v>233</v>
      </c>
      <c r="C677" t="s">
        <v>234</v>
      </c>
      <c r="D677" t="s">
        <v>382</v>
      </c>
      <c r="E677" t="s">
        <v>1465</v>
      </c>
      <c r="F677" s="1">
        <v>1</v>
      </c>
      <c r="G677" s="1">
        <v>0</v>
      </c>
      <c r="H677" t="s">
        <v>17</v>
      </c>
      <c r="I677" t="s">
        <v>236</v>
      </c>
      <c r="J677" t="s">
        <v>1451</v>
      </c>
      <c r="K677" s="3">
        <v>47149</v>
      </c>
      <c r="L677" t="s">
        <v>1463</v>
      </c>
      <c r="M677">
        <v>7.4999999999999997E-2</v>
      </c>
      <c r="N677">
        <v>2688</v>
      </c>
      <c r="O677">
        <f t="shared" si="30"/>
        <v>7.4999999999999997E-2</v>
      </c>
      <c r="P677">
        <f t="shared" si="31"/>
        <v>3.720238095238095E-4</v>
      </c>
      <c r="Q677" t="str">
        <f t="shared" si="32"/>
        <v>Q27-03</v>
      </c>
    </row>
    <row r="678" spans="1:17" x14ac:dyDescent="0.25">
      <c r="A678" t="s">
        <v>61</v>
      </c>
      <c r="B678" t="s">
        <v>219</v>
      </c>
      <c r="C678" t="s">
        <v>220</v>
      </c>
      <c r="D678" t="s">
        <v>382</v>
      </c>
      <c r="E678" t="s">
        <v>1466</v>
      </c>
      <c r="F678" s="1">
        <v>10</v>
      </c>
      <c r="G678" s="1">
        <v>0</v>
      </c>
      <c r="H678" t="s">
        <v>17</v>
      </c>
      <c r="I678" t="s">
        <v>222</v>
      </c>
      <c r="J678" t="s">
        <v>1451</v>
      </c>
      <c r="K678" s="3">
        <v>46446</v>
      </c>
      <c r="L678" t="s">
        <v>1467</v>
      </c>
      <c r="M678">
        <v>0.3</v>
      </c>
      <c r="N678">
        <v>1680</v>
      </c>
      <c r="O678">
        <f t="shared" si="30"/>
        <v>3</v>
      </c>
      <c r="P678">
        <f t="shared" si="31"/>
        <v>5.9523809523809521E-3</v>
      </c>
      <c r="Q678" t="str">
        <f t="shared" si="32"/>
        <v>Q27-03</v>
      </c>
    </row>
    <row r="679" spans="1:17" x14ac:dyDescent="0.25">
      <c r="A679" t="s">
        <v>61</v>
      </c>
      <c r="B679" t="s">
        <v>219</v>
      </c>
      <c r="C679" t="s">
        <v>220</v>
      </c>
      <c r="D679" t="s">
        <v>382</v>
      </c>
      <c r="E679" t="s">
        <v>1468</v>
      </c>
      <c r="F679" s="1">
        <v>9</v>
      </c>
      <c r="G679" s="1">
        <v>0</v>
      </c>
      <c r="H679" t="s">
        <v>17</v>
      </c>
      <c r="I679" t="s">
        <v>222</v>
      </c>
      <c r="J679" t="s">
        <v>1451</v>
      </c>
      <c r="K679" s="3">
        <v>46446</v>
      </c>
      <c r="L679" t="s">
        <v>1467</v>
      </c>
      <c r="M679">
        <v>0.3</v>
      </c>
      <c r="N679">
        <v>1680</v>
      </c>
      <c r="O679">
        <f t="shared" si="30"/>
        <v>2.6999999999999997</v>
      </c>
      <c r="P679">
        <f t="shared" si="31"/>
        <v>5.3571428571428572E-3</v>
      </c>
      <c r="Q679" t="str">
        <f t="shared" si="32"/>
        <v>Q27-03</v>
      </c>
    </row>
    <row r="680" spans="1:17" x14ac:dyDescent="0.25">
      <c r="A680" t="s">
        <v>12</v>
      </c>
      <c r="B680" t="s">
        <v>750</v>
      </c>
      <c r="C680" t="s">
        <v>751</v>
      </c>
      <c r="D680" t="s">
        <v>57</v>
      </c>
      <c r="E680" t="s">
        <v>1469</v>
      </c>
      <c r="F680" s="1">
        <v>4</v>
      </c>
      <c r="G680" s="1">
        <v>0</v>
      </c>
      <c r="H680" t="s">
        <v>17</v>
      </c>
      <c r="I680" t="s">
        <v>753</v>
      </c>
      <c r="J680" t="s">
        <v>1470</v>
      </c>
      <c r="K680" s="3">
        <v>46759</v>
      </c>
      <c r="L680" t="s">
        <v>1302</v>
      </c>
      <c r="M680">
        <v>3.5999999999999997E-2</v>
      </c>
      <c r="N680">
        <v>5280</v>
      </c>
      <c r="O680">
        <f t="shared" si="30"/>
        <v>0.14399999999999999</v>
      </c>
      <c r="P680">
        <f t="shared" si="31"/>
        <v>7.5757575757575758E-4</v>
      </c>
      <c r="Q680" t="str">
        <f t="shared" si="32"/>
        <v>Q26-03</v>
      </c>
    </row>
    <row r="681" spans="1:17" x14ac:dyDescent="0.25">
      <c r="A681" t="s">
        <v>12</v>
      </c>
      <c r="B681" t="s">
        <v>1395</v>
      </c>
      <c r="C681" t="s">
        <v>1396</v>
      </c>
      <c r="D681" t="s">
        <v>388</v>
      </c>
      <c r="E681" t="s">
        <v>1471</v>
      </c>
      <c r="F681" s="1">
        <v>41</v>
      </c>
      <c r="G681" s="1">
        <v>0</v>
      </c>
      <c r="H681" t="s">
        <v>17</v>
      </c>
      <c r="I681" t="s">
        <v>1398</v>
      </c>
      <c r="J681" t="s">
        <v>1472</v>
      </c>
      <c r="K681" s="3">
        <v>46808</v>
      </c>
      <c r="L681" t="s">
        <v>1473</v>
      </c>
      <c r="M681">
        <v>0.154</v>
      </c>
      <c r="N681">
        <v>1680</v>
      </c>
      <c r="O681">
        <f t="shared" si="30"/>
        <v>6.3140000000000001</v>
      </c>
      <c r="P681">
        <f t="shared" si="31"/>
        <v>2.4404761904761905E-2</v>
      </c>
      <c r="Q681" t="str">
        <f t="shared" si="32"/>
        <v>Q26-03</v>
      </c>
    </row>
    <row r="682" spans="1:17" x14ac:dyDescent="0.25">
      <c r="A682" t="s">
        <v>12</v>
      </c>
      <c r="B682" t="s">
        <v>1192</v>
      </c>
      <c r="C682" t="s">
        <v>1193</v>
      </c>
      <c r="D682" t="s">
        <v>727</v>
      </c>
      <c r="E682" t="s">
        <v>1474</v>
      </c>
      <c r="F682" s="1">
        <v>1</v>
      </c>
      <c r="G682" s="1">
        <v>0</v>
      </c>
      <c r="H682" t="s">
        <v>17</v>
      </c>
      <c r="I682" t="s">
        <v>1195</v>
      </c>
      <c r="J682" t="s">
        <v>1475</v>
      </c>
      <c r="K682" s="3">
        <v>46819</v>
      </c>
      <c r="L682" t="s">
        <v>1476</v>
      </c>
      <c r="M682">
        <v>0.25700000000000001</v>
      </c>
      <c r="N682">
        <v>1080</v>
      </c>
      <c r="O682">
        <f t="shared" si="30"/>
        <v>0.25700000000000001</v>
      </c>
      <c r="P682">
        <f t="shared" si="31"/>
        <v>9.2592592592592596E-4</v>
      </c>
      <c r="Q682" t="str">
        <f t="shared" si="32"/>
        <v>Q26-03</v>
      </c>
    </row>
    <row r="683" spans="1:17" x14ac:dyDescent="0.25">
      <c r="A683" t="s">
        <v>12</v>
      </c>
      <c r="B683" t="s">
        <v>1192</v>
      </c>
      <c r="C683" t="s">
        <v>1193</v>
      </c>
      <c r="D683" t="s">
        <v>388</v>
      </c>
      <c r="E683" t="s">
        <v>1477</v>
      </c>
      <c r="F683" s="1">
        <v>3</v>
      </c>
      <c r="G683" s="1">
        <v>0</v>
      </c>
      <c r="H683" t="s">
        <v>17</v>
      </c>
      <c r="I683" t="s">
        <v>1195</v>
      </c>
      <c r="J683" t="s">
        <v>1478</v>
      </c>
      <c r="K683" s="3">
        <v>46820</v>
      </c>
      <c r="L683" t="s">
        <v>1479</v>
      </c>
      <c r="M683">
        <v>0.25700000000000001</v>
      </c>
      <c r="N683">
        <v>1080</v>
      </c>
      <c r="O683">
        <f t="shared" si="30"/>
        <v>0.77100000000000002</v>
      </c>
      <c r="P683">
        <f t="shared" si="31"/>
        <v>2.7777777777777779E-3</v>
      </c>
      <c r="Q683" t="str">
        <f t="shared" si="32"/>
        <v>Q26-03</v>
      </c>
    </row>
    <row r="684" spans="1:17" x14ac:dyDescent="0.25">
      <c r="A684" t="s">
        <v>12</v>
      </c>
      <c r="B684" t="s">
        <v>1192</v>
      </c>
      <c r="C684" t="s">
        <v>1193</v>
      </c>
      <c r="D684" t="s">
        <v>388</v>
      </c>
      <c r="E684" t="s">
        <v>1480</v>
      </c>
      <c r="F684" s="1">
        <v>1</v>
      </c>
      <c r="G684" s="1">
        <v>0</v>
      </c>
      <c r="H684" t="s">
        <v>17</v>
      </c>
      <c r="I684" t="s">
        <v>1195</v>
      </c>
      <c r="J684" t="s">
        <v>1478</v>
      </c>
      <c r="K684" s="3">
        <v>46818</v>
      </c>
      <c r="L684" t="s">
        <v>1481</v>
      </c>
      <c r="M684">
        <v>0.25700000000000001</v>
      </c>
      <c r="N684">
        <v>1080</v>
      </c>
      <c r="O684">
        <f t="shared" si="30"/>
        <v>0.25700000000000001</v>
      </c>
      <c r="P684">
        <f t="shared" si="31"/>
        <v>9.2592592592592596E-4</v>
      </c>
      <c r="Q684" t="str">
        <f t="shared" si="32"/>
        <v>Q26-03</v>
      </c>
    </row>
    <row r="685" spans="1:17" x14ac:dyDescent="0.25">
      <c r="A685" t="s">
        <v>12</v>
      </c>
      <c r="B685" t="s">
        <v>1192</v>
      </c>
      <c r="C685" t="s">
        <v>1193</v>
      </c>
      <c r="D685" t="s">
        <v>388</v>
      </c>
      <c r="E685" t="s">
        <v>1482</v>
      </c>
      <c r="F685" s="1">
        <v>1</v>
      </c>
      <c r="G685" s="1">
        <v>0</v>
      </c>
      <c r="H685" t="s">
        <v>17</v>
      </c>
      <c r="I685" t="s">
        <v>1195</v>
      </c>
      <c r="J685" t="s">
        <v>1478</v>
      </c>
      <c r="K685" s="3">
        <v>46819</v>
      </c>
      <c r="L685" t="s">
        <v>1483</v>
      </c>
      <c r="M685">
        <v>0.25700000000000001</v>
      </c>
      <c r="N685">
        <v>1080</v>
      </c>
      <c r="O685">
        <f t="shared" si="30"/>
        <v>0.25700000000000001</v>
      </c>
      <c r="P685">
        <f t="shared" si="31"/>
        <v>9.2592592592592596E-4</v>
      </c>
      <c r="Q685" t="str">
        <f t="shared" si="32"/>
        <v>Q26-03</v>
      </c>
    </row>
    <row r="686" spans="1:17" x14ac:dyDescent="0.25">
      <c r="A686" t="s">
        <v>12</v>
      </c>
      <c r="B686" t="s">
        <v>1192</v>
      </c>
      <c r="C686" t="s">
        <v>1193</v>
      </c>
      <c r="D686" t="s">
        <v>388</v>
      </c>
      <c r="E686" t="s">
        <v>1484</v>
      </c>
      <c r="F686" s="1">
        <v>1</v>
      </c>
      <c r="G686" s="1">
        <v>0</v>
      </c>
      <c r="H686" t="s">
        <v>17</v>
      </c>
      <c r="I686" t="s">
        <v>1195</v>
      </c>
      <c r="J686" t="s">
        <v>1478</v>
      </c>
      <c r="K686" s="3">
        <v>46817</v>
      </c>
      <c r="L686" t="s">
        <v>1485</v>
      </c>
      <c r="M686">
        <v>0.25700000000000001</v>
      </c>
      <c r="N686">
        <v>1080</v>
      </c>
      <c r="O686">
        <f t="shared" si="30"/>
        <v>0.25700000000000001</v>
      </c>
      <c r="P686">
        <f t="shared" si="31"/>
        <v>9.2592592592592596E-4</v>
      </c>
      <c r="Q686" t="str">
        <f t="shared" si="32"/>
        <v>Q26-03</v>
      </c>
    </row>
    <row r="687" spans="1:17" x14ac:dyDescent="0.25">
      <c r="A687" t="s">
        <v>12</v>
      </c>
      <c r="B687" t="s">
        <v>1486</v>
      </c>
      <c r="C687" t="s">
        <v>1487</v>
      </c>
      <c r="D687" t="s">
        <v>388</v>
      </c>
      <c r="E687" t="s">
        <v>1488</v>
      </c>
      <c r="F687" s="1">
        <v>3</v>
      </c>
      <c r="G687" s="1">
        <v>0</v>
      </c>
      <c r="H687" t="s">
        <v>17</v>
      </c>
      <c r="I687" t="s">
        <v>1398</v>
      </c>
      <c r="J687" t="s">
        <v>1489</v>
      </c>
      <c r="K687" s="3">
        <v>46816</v>
      </c>
      <c r="L687" t="s">
        <v>1490</v>
      </c>
      <c r="M687">
        <v>5.3999999999999999E-2</v>
      </c>
      <c r="N687">
        <v>4704</v>
      </c>
      <c r="O687">
        <f t="shared" si="30"/>
        <v>0.16200000000000001</v>
      </c>
      <c r="P687">
        <f t="shared" si="31"/>
        <v>6.3775510204081628E-4</v>
      </c>
      <c r="Q687" t="str">
        <f t="shared" si="32"/>
        <v>Q26-03</v>
      </c>
    </row>
    <row r="688" spans="1:17" x14ac:dyDescent="0.25">
      <c r="A688" t="s">
        <v>12</v>
      </c>
      <c r="B688" t="s">
        <v>1486</v>
      </c>
      <c r="C688" t="s">
        <v>1487</v>
      </c>
      <c r="D688" t="s">
        <v>388</v>
      </c>
      <c r="E688" t="s">
        <v>1491</v>
      </c>
      <c r="F688" s="1">
        <v>4</v>
      </c>
      <c r="G688" s="1">
        <v>0</v>
      </c>
      <c r="H688" t="s">
        <v>17</v>
      </c>
      <c r="I688" t="s">
        <v>1398</v>
      </c>
      <c r="J688" t="s">
        <v>1489</v>
      </c>
      <c r="K688" s="3">
        <v>46815</v>
      </c>
      <c r="L688" t="s">
        <v>1492</v>
      </c>
      <c r="M688">
        <v>5.3999999999999999E-2</v>
      </c>
      <c r="N688">
        <v>4704</v>
      </c>
      <c r="O688">
        <f t="shared" si="30"/>
        <v>0.216</v>
      </c>
      <c r="P688">
        <f t="shared" si="31"/>
        <v>8.5034013605442174E-4</v>
      </c>
      <c r="Q688" t="str">
        <f t="shared" si="32"/>
        <v>Q26-03</v>
      </c>
    </row>
    <row r="689" spans="1:17" x14ac:dyDescent="0.25">
      <c r="A689" t="s">
        <v>12</v>
      </c>
      <c r="B689" t="s">
        <v>1493</v>
      </c>
      <c r="C689" t="s">
        <v>1494</v>
      </c>
      <c r="D689" t="s">
        <v>388</v>
      </c>
      <c r="E689" t="s">
        <v>1495</v>
      </c>
      <c r="F689" s="1">
        <v>16</v>
      </c>
      <c r="G689" s="1">
        <v>0</v>
      </c>
      <c r="H689" t="s">
        <v>17</v>
      </c>
      <c r="I689" t="s">
        <v>1496</v>
      </c>
      <c r="J689" t="s">
        <v>1497</v>
      </c>
      <c r="K689" s="3">
        <v>46662</v>
      </c>
      <c r="L689" t="s">
        <v>1498</v>
      </c>
      <c r="M689">
        <v>1.9E-2</v>
      </c>
      <c r="N689">
        <v>4800</v>
      </c>
      <c r="O689">
        <f t="shared" si="30"/>
        <v>0.30399999999999999</v>
      </c>
      <c r="P689">
        <f t="shared" si="31"/>
        <v>3.3333333333333335E-3</v>
      </c>
      <c r="Q689" t="str">
        <f t="shared" si="32"/>
        <v>Q26-03</v>
      </c>
    </row>
    <row r="690" spans="1:17" x14ac:dyDescent="0.25">
      <c r="A690" t="s">
        <v>61</v>
      </c>
      <c r="B690" t="s">
        <v>71</v>
      </c>
      <c r="C690" t="s">
        <v>72</v>
      </c>
      <c r="D690" t="s">
        <v>1499</v>
      </c>
      <c r="E690" t="s">
        <v>1500</v>
      </c>
      <c r="F690" s="1">
        <v>341</v>
      </c>
      <c r="G690" s="1">
        <v>0</v>
      </c>
      <c r="H690" t="s">
        <v>17</v>
      </c>
      <c r="I690" t="s">
        <v>75</v>
      </c>
      <c r="J690" t="s">
        <v>1501</v>
      </c>
      <c r="K690" s="3">
        <v>46142</v>
      </c>
      <c r="L690" t="s">
        <v>534</v>
      </c>
      <c r="M690">
        <v>0.3</v>
      </c>
      <c r="N690">
        <v>1680</v>
      </c>
      <c r="O690">
        <f t="shared" si="30"/>
        <v>102.3</v>
      </c>
      <c r="P690">
        <f t="shared" si="31"/>
        <v>0.20297619047619048</v>
      </c>
      <c r="Q690" t="str">
        <f t="shared" si="32"/>
        <v>Q27-03</v>
      </c>
    </row>
    <row r="691" spans="1:17" x14ac:dyDescent="0.25">
      <c r="A691" t="s">
        <v>61</v>
      </c>
      <c r="B691" t="s">
        <v>71</v>
      </c>
      <c r="C691" t="s">
        <v>72</v>
      </c>
      <c r="D691" t="s">
        <v>112</v>
      </c>
      <c r="E691" t="s">
        <v>1502</v>
      </c>
      <c r="F691" s="1">
        <v>100</v>
      </c>
      <c r="G691" s="1">
        <v>0</v>
      </c>
      <c r="H691" t="s">
        <v>17</v>
      </c>
      <c r="I691" t="s">
        <v>75</v>
      </c>
      <c r="J691" t="s">
        <v>1501</v>
      </c>
      <c r="K691" s="3">
        <v>46081</v>
      </c>
      <c r="L691" t="s">
        <v>76</v>
      </c>
      <c r="M691">
        <v>0.3</v>
      </c>
      <c r="N691">
        <v>1680</v>
      </c>
      <c r="O691">
        <f t="shared" si="30"/>
        <v>30</v>
      </c>
      <c r="P691">
        <f t="shared" si="31"/>
        <v>5.9523809523809521E-2</v>
      </c>
      <c r="Q691" t="str">
        <f t="shared" si="32"/>
        <v>Q27-01</v>
      </c>
    </row>
    <row r="692" spans="1:17" x14ac:dyDescent="0.25">
      <c r="A692" t="s">
        <v>61</v>
      </c>
      <c r="B692" t="s">
        <v>219</v>
      </c>
      <c r="C692" t="s">
        <v>220</v>
      </c>
      <c r="D692" t="s">
        <v>69</v>
      </c>
      <c r="E692" t="s">
        <v>1503</v>
      </c>
      <c r="F692" s="1">
        <v>61</v>
      </c>
      <c r="G692" s="1">
        <v>0</v>
      </c>
      <c r="H692" t="s">
        <v>17</v>
      </c>
      <c r="I692" t="s">
        <v>222</v>
      </c>
      <c r="J692" t="s">
        <v>1501</v>
      </c>
      <c r="K692" s="3">
        <v>46081</v>
      </c>
      <c r="L692" t="s">
        <v>539</v>
      </c>
      <c r="M692">
        <v>0.3</v>
      </c>
      <c r="N692">
        <v>1680</v>
      </c>
      <c r="O692">
        <f t="shared" si="30"/>
        <v>18.3</v>
      </c>
      <c r="P692">
        <f t="shared" si="31"/>
        <v>3.6309523809523812E-2</v>
      </c>
      <c r="Q692" t="str">
        <f t="shared" si="32"/>
        <v>Q27-01</v>
      </c>
    </row>
    <row r="693" spans="1:17" x14ac:dyDescent="0.25">
      <c r="A693" t="s">
        <v>61</v>
      </c>
      <c r="B693" t="s">
        <v>219</v>
      </c>
      <c r="C693" t="s">
        <v>220</v>
      </c>
      <c r="D693" t="s">
        <v>112</v>
      </c>
      <c r="E693" t="s">
        <v>1504</v>
      </c>
      <c r="F693" s="1">
        <v>151</v>
      </c>
      <c r="G693" s="1">
        <v>0</v>
      </c>
      <c r="H693" t="s">
        <v>17</v>
      </c>
      <c r="I693" t="s">
        <v>222</v>
      </c>
      <c r="J693" t="s">
        <v>1501</v>
      </c>
      <c r="K693" s="3">
        <v>46081</v>
      </c>
      <c r="L693" t="s">
        <v>224</v>
      </c>
      <c r="M693">
        <v>0.3</v>
      </c>
      <c r="N693">
        <v>1680</v>
      </c>
      <c r="O693">
        <f t="shared" si="30"/>
        <v>45.3</v>
      </c>
      <c r="P693">
        <f t="shared" si="31"/>
        <v>8.9880952380952381E-2</v>
      </c>
      <c r="Q693" t="str">
        <f t="shared" si="32"/>
        <v>Q27-01</v>
      </c>
    </row>
    <row r="694" spans="1:17" x14ac:dyDescent="0.25">
      <c r="A694" t="s">
        <v>61</v>
      </c>
      <c r="B694" t="s">
        <v>233</v>
      </c>
      <c r="C694" t="s">
        <v>234</v>
      </c>
      <c r="D694" t="s">
        <v>69</v>
      </c>
      <c r="E694" t="s">
        <v>1505</v>
      </c>
      <c r="F694" s="1">
        <v>8</v>
      </c>
      <c r="G694" s="1">
        <v>0</v>
      </c>
      <c r="H694" t="s">
        <v>17</v>
      </c>
      <c r="I694" t="s">
        <v>236</v>
      </c>
      <c r="J694" t="s">
        <v>1501</v>
      </c>
      <c r="K694" s="3">
        <v>46053</v>
      </c>
      <c r="L694" t="s">
        <v>271</v>
      </c>
      <c r="M694">
        <v>7.4999999999999997E-2</v>
      </c>
      <c r="N694">
        <v>2688</v>
      </c>
      <c r="O694">
        <f t="shared" si="30"/>
        <v>0.6</v>
      </c>
      <c r="P694">
        <f t="shared" si="31"/>
        <v>2.976190476190476E-3</v>
      </c>
      <c r="Q694" t="str">
        <f t="shared" si="32"/>
        <v>Q27-01</v>
      </c>
    </row>
    <row r="695" spans="1:17" x14ac:dyDescent="0.25">
      <c r="A695" t="s">
        <v>61</v>
      </c>
      <c r="B695" t="s">
        <v>233</v>
      </c>
      <c r="C695" t="s">
        <v>234</v>
      </c>
      <c r="D695" t="s">
        <v>64</v>
      </c>
      <c r="E695" t="s">
        <v>1506</v>
      </c>
      <c r="F695" s="1">
        <v>5</v>
      </c>
      <c r="G695" s="1">
        <v>0</v>
      </c>
      <c r="H695" t="s">
        <v>17</v>
      </c>
      <c r="I695" t="s">
        <v>236</v>
      </c>
      <c r="J695" t="s">
        <v>1501</v>
      </c>
      <c r="K695" s="3">
        <v>46053</v>
      </c>
      <c r="L695" t="s">
        <v>255</v>
      </c>
      <c r="M695">
        <v>7.4999999999999997E-2</v>
      </c>
      <c r="N695">
        <v>2688</v>
      </c>
      <c r="O695">
        <f t="shared" si="30"/>
        <v>0.375</v>
      </c>
      <c r="P695">
        <f t="shared" si="31"/>
        <v>1.8601190476190475E-3</v>
      </c>
      <c r="Q695" t="str">
        <f t="shared" si="32"/>
        <v>Q27-01</v>
      </c>
    </row>
    <row r="696" spans="1:17" x14ac:dyDescent="0.25">
      <c r="A696" t="s">
        <v>61</v>
      </c>
      <c r="B696" t="s">
        <v>317</v>
      </c>
      <c r="C696" t="s">
        <v>318</v>
      </c>
      <c r="D696" t="s">
        <v>1499</v>
      </c>
      <c r="E696" t="s">
        <v>1507</v>
      </c>
      <c r="F696" s="1">
        <v>19</v>
      </c>
      <c r="G696" s="1">
        <v>0</v>
      </c>
      <c r="H696" t="s">
        <v>17</v>
      </c>
      <c r="I696" t="s">
        <v>320</v>
      </c>
      <c r="J696" t="s">
        <v>1501</v>
      </c>
      <c r="K696" s="3">
        <v>46477</v>
      </c>
      <c r="L696" t="s">
        <v>434</v>
      </c>
      <c r="M696">
        <v>0.04</v>
      </c>
      <c r="N696">
        <v>2688</v>
      </c>
      <c r="O696">
        <f t="shared" si="30"/>
        <v>0.76</v>
      </c>
      <c r="P696">
        <f t="shared" si="31"/>
        <v>7.068452380952381E-3</v>
      </c>
      <c r="Q696" t="str">
        <f t="shared" si="32"/>
        <v>Q27-03</v>
      </c>
    </row>
    <row r="697" spans="1:17" x14ac:dyDescent="0.25">
      <c r="A697" t="s">
        <v>61</v>
      </c>
      <c r="B697" t="s">
        <v>317</v>
      </c>
      <c r="C697" t="s">
        <v>318</v>
      </c>
      <c r="D697" t="s">
        <v>1499</v>
      </c>
      <c r="E697" t="s">
        <v>1508</v>
      </c>
      <c r="F697" s="1">
        <v>31</v>
      </c>
      <c r="G697" s="1">
        <v>0</v>
      </c>
      <c r="H697" t="s">
        <v>17</v>
      </c>
      <c r="I697" t="s">
        <v>320</v>
      </c>
      <c r="J697" t="s">
        <v>1501</v>
      </c>
      <c r="K697" s="3">
        <v>46173</v>
      </c>
      <c r="L697" t="s">
        <v>321</v>
      </c>
      <c r="M697">
        <v>0.04</v>
      </c>
      <c r="N697">
        <v>2688</v>
      </c>
      <c r="O697">
        <f t="shared" si="30"/>
        <v>1.24</v>
      </c>
      <c r="P697">
        <f t="shared" si="31"/>
        <v>1.1532738095238096E-2</v>
      </c>
      <c r="Q697" t="str">
        <f t="shared" si="32"/>
        <v>Q27-03</v>
      </c>
    </row>
    <row r="698" spans="1:17" x14ac:dyDescent="0.25">
      <c r="A698" t="s">
        <v>61</v>
      </c>
      <c r="B698" t="s">
        <v>317</v>
      </c>
      <c r="C698" t="s">
        <v>318</v>
      </c>
      <c r="D698" t="s">
        <v>1499</v>
      </c>
      <c r="E698" t="s">
        <v>1509</v>
      </c>
      <c r="F698" s="1">
        <v>1</v>
      </c>
      <c r="G698" s="1">
        <v>0</v>
      </c>
      <c r="H698" t="s">
        <v>17</v>
      </c>
      <c r="I698" t="s">
        <v>320</v>
      </c>
      <c r="J698" t="s">
        <v>1501</v>
      </c>
      <c r="K698" s="3">
        <v>46142</v>
      </c>
      <c r="L698" t="s">
        <v>328</v>
      </c>
      <c r="M698">
        <v>0.04</v>
      </c>
      <c r="N698">
        <v>2688</v>
      </c>
      <c r="O698">
        <f t="shared" si="30"/>
        <v>0.04</v>
      </c>
      <c r="P698">
        <f t="shared" si="31"/>
        <v>3.720238095238095E-4</v>
      </c>
      <c r="Q698" t="str">
        <f t="shared" si="32"/>
        <v>Q27-03</v>
      </c>
    </row>
    <row r="699" spans="1:17" x14ac:dyDescent="0.25">
      <c r="A699" t="s">
        <v>61</v>
      </c>
      <c r="B699" t="s">
        <v>317</v>
      </c>
      <c r="C699" t="s">
        <v>318</v>
      </c>
      <c r="D699" t="s">
        <v>73</v>
      </c>
      <c r="E699" t="s">
        <v>1510</v>
      </c>
      <c r="F699" s="1">
        <v>3</v>
      </c>
      <c r="G699" s="1">
        <v>0</v>
      </c>
      <c r="H699" t="s">
        <v>17</v>
      </c>
      <c r="I699" t="s">
        <v>320</v>
      </c>
      <c r="J699" t="s">
        <v>1501</v>
      </c>
      <c r="K699" s="3">
        <v>46142</v>
      </c>
      <c r="L699" t="s">
        <v>343</v>
      </c>
      <c r="M699">
        <v>0.04</v>
      </c>
      <c r="N699">
        <v>2688</v>
      </c>
      <c r="O699">
        <f t="shared" si="30"/>
        <v>0.12</v>
      </c>
      <c r="P699">
        <f t="shared" si="31"/>
        <v>1.1160714285714285E-3</v>
      </c>
      <c r="Q699" t="str">
        <f t="shared" si="32"/>
        <v>Q26-01</v>
      </c>
    </row>
    <row r="700" spans="1:17" x14ac:dyDescent="0.25">
      <c r="A700" t="s">
        <v>61</v>
      </c>
      <c r="B700" t="s">
        <v>233</v>
      </c>
      <c r="C700" t="s">
        <v>234</v>
      </c>
      <c r="D700" t="s">
        <v>64</v>
      </c>
      <c r="E700" t="s">
        <v>1511</v>
      </c>
      <c r="F700" s="1">
        <v>99</v>
      </c>
      <c r="G700" s="1">
        <v>0</v>
      </c>
      <c r="H700" t="s">
        <v>17</v>
      </c>
      <c r="I700" t="s">
        <v>236</v>
      </c>
      <c r="J700" t="s">
        <v>1501</v>
      </c>
      <c r="K700" s="3">
        <v>46053</v>
      </c>
      <c r="L700" t="s">
        <v>264</v>
      </c>
      <c r="M700">
        <v>7.4999999999999997E-2</v>
      </c>
      <c r="N700">
        <v>2688</v>
      </c>
      <c r="O700">
        <f t="shared" si="30"/>
        <v>7.4249999999999998</v>
      </c>
      <c r="P700">
        <f t="shared" si="31"/>
        <v>3.6830357142857144E-2</v>
      </c>
      <c r="Q700" t="str">
        <f t="shared" si="32"/>
        <v>Q27-01</v>
      </c>
    </row>
    <row r="701" spans="1:17" x14ac:dyDescent="0.25">
      <c r="A701" t="s">
        <v>61</v>
      </c>
      <c r="B701" t="s">
        <v>233</v>
      </c>
      <c r="C701" t="s">
        <v>234</v>
      </c>
      <c r="D701" t="s">
        <v>69</v>
      </c>
      <c r="E701" t="s">
        <v>1512</v>
      </c>
      <c r="F701" s="1">
        <v>228</v>
      </c>
      <c r="G701" s="1">
        <v>0</v>
      </c>
      <c r="H701" t="s">
        <v>17</v>
      </c>
      <c r="I701" t="s">
        <v>236</v>
      </c>
      <c r="J701" t="s">
        <v>1501</v>
      </c>
      <c r="K701" s="3">
        <v>46053</v>
      </c>
      <c r="L701" t="s">
        <v>273</v>
      </c>
      <c r="M701">
        <v>7.4999999999999997E-2</v>
      </c>
      <c r="N701">
        <v>2688</v>
      </c>
      <c r="O701">
        <f t="shared" si="30"/>
        <v>17.099999999999998</v>
      </c>
      <c r="P701">
        <f t="shared" si="31"/>
        <v>8.4821428571428575E-2</v>
      </c>
      <c r="Q701" t="str">
        <f t="shared" si="32"/>
        <v>Q27-01</v>
      </c>
    </row>
    <row r="702" spans="1:17" x14ac:dyDescent="0.25">
      <c r="A702" t="s">
        <v>61</v>
      </c>
      <c r="B702" t="s">
        <v>275</v>
      </c>
      <c r="C702" t="s">
        <v>276</v>
      </c>
      <c r="D702" t="s">
        <v>69</v>
      </c>
      <c r="E702" t="s">
        <v>1513</v>
      </c>
      <c r="F702" s="1">
        <v>80</v>
      </c>
      <c r="G702" s="1">
        <v>0</v>
      </c>
      <c r="H702" t="s">
        <v>17</v>
      </c>
      <c r="I702" t="s">
        <v>278</v>
      </c>
      <c r="J702" t="s">
        <v>1501</v>
      </c>
      <c r="K702" s="3">
        <v>46081</v>
      </c>
      <c r="L702" t="s">
        <v>280</v>
      </c>
      <c r="M702">
        <v>4.8000000000000001E-2</v>
      </c>
      <c r="N702">
        <v>2880</v>
      </c>
      <c r="O702">
        <f t="shared" si="30"/>
        <v>3.84</v>
      </c>
      <c r="P702">
        <f t="shared" si="31"/>
        <v>2.7777777777777776E-2</v>
      </c>
      <c r="Q702" t="str">
        <f t="shared" si="32"/>
        <v>Q27-01</v>
      </c>
    </row>
    <row r="703" spans="1:17" x14ac:dyDescent="0.25">
      <c r="A703" t="s">
        <v>61</v>
      </c>
      <c r="B703" t="s">
        <v>359</v>
      </c>
      <c r="C703" t="s">
        <v>360</v>
      </c>
      <c r="D703" t="s">
        <v>112</v>
      </c>
      <c r="E703" t="s">
        <v>1514</v>
      </c>
      <c r="F703" s="1">
        <v>673</v>
      </c>
      <c r="G703" s="1">
        <v>0</v>
      </c>
      <c r="H703" t="s">
        <v>17</v>
      </c>
      <c r="I703" t="s">
        <v>362</v>
      </c>
      <c r="J703" t="s">
        <v>1501</v>
      </c>
      <c r="K703" s="3">
        <v>46053</v>
      </c>
      <c r="L703" t="s">
        <v>363</v>
      </c>
      <c r="M703">
        <v>5.3999999999999999E-2</v>
      </c>
      <c r="N703">
        <v>2880</v>
      </c>
      <c r="O703">
        <f t="shared" si="30"/>
        <v>36.341999999999999</v>
      </c>
      <c r="P703">
        <f t="shared" si="31"/>
        <v>0.23368055555555556</v>
      </c>
      <c r="Q703" t="str">
        <f t="shared" si="32"/>
        <v>Q27-01</v>
      </c>
    </row>
    <row r="704" spans="1:17" x14ac:dyDescent="0.25">
      <c r="A704" t="s">
        <v>61</v>
      </c>
      <c r="B704" t="s">
        <v>364</v>
      </c>
      <c r="C704" t="s">
        <v>365</v>
      </c>
      <c r="D704" t="s">
        <v>1499</v>
      </c>
      <c r="E704" t="s">
        <v>1515</v>
      </c>
      <c r="F704" s="1">
        <v>69</v>
      </c>
      <c r="G704" s="1">
        <v>0</v>
      </c>
      <c r="H704" t="s">
        <v>17</v>
      </c>
      <c r="I704" t="s">
        <v>367</v>
      </c>
      <c r="J704" t="s">
        <v>1501</v>
      </c>
      <c r="K704" s="3">
        <v>46326</v>
      </c>
      <c r="L704" t="s">
        <v>368</v>
      </c>
      <c r="M704">
        <v>0.158</v>
      </c>
      <c r="N704">
        <v>1152</v>
      </c>
      <c r="O704">
        <f t="shared" si="30"/>
        <v>10.901999999999999</v>
      </c>
      <c r="P704">
        <f t="shared" si="31"/>
        <v>5.9895833333333336E-2</v>
      </c>
      <c r="Q704" t="str">
        <f t="shared" si="32"/>
        <v>Q27-03</v>
      </c>
    </row>
    <row r="705" spans="1:17" x14ac:dyDescent="0.25">
      <c r="A705" t="s">
        <v>61</v>
      </c>
      <c r="B705" t="s">
        <v>364</v>
      </c>
      <c r="C705" t="s">
        <v>365</v>
      </c>
      <c r="D705" t="s">
        <v>1499</v>
      </c>
      <c r="E705" t="s">
        <v>1516</v>
      </c>
      <c r="F705" s="1">
        <v>4</v>
      </c>
      <c r="G705" s="1">
        <v>0</v>
      </c>
      <c r="H705" t="s">
        <v>17</v>
      </c>
      <c r="I705" t="s">
        <v>367</v>
      </c>
      <c r="J705" t="s">
        <v>1501</v>
      </c>
      <c r="K705" s="3">
        <v>46326</v>
      </c>
      <c r="L705" t="s">
        <v>417</v>
      </c>
      <c r="M705">
        <v>0.158</v>
      </c>
      <c r="N705">
        <v>1152</v>
      </c>
      <c r="O705">
        <f t="shared" si="30"/>
        <v>0.63200000000000001</v>
      </c>
      <c r="P705">
        <f t="shared" si="31"/>
        <v>3.472222222222222E-3</v>
      </c>
      <c r="Q705" t="str">
        <f t="shared" si="32"/>
        <v>Q27-03</v>
      </c>
    </row>
    <row r="706" spans="1:17" x14ac:dyDescent="0.25">
      <c r="A706" t="s">
        <v>61</v>
      </c>
      <c r="B706" t="s">
        <v>364</v>
      </c>
      <c r="C706" t="s">
        <v>365</v>
      </c>
      <c r="D706" t="s">
        <v>1499</v>
      </c>
      <c r="E706" t="s">
        <v>1517</v>
      </c>
      <c r="F706" s="1">
        <v>9</v>
      </c>
      <c r="G706" s="1">
        <v>0</v>
      </c>
      <c r="H706" t="s">
        <v>17</v>
      </c>
      <c r="I706" t="s">
        <v>367</v>
      </c>
      <c r="J706" t="s">
        <v>1501</v>
      </c>
      <c r="K706" s="3">
        <v>46356</v>
      </c>
      <c r="L706" t="s">
        <v>419</v>
      </c>
      <c r="M706">
        <v>0.158</v>
      </c>
      <c r="N706">
        <v>1152</v>
      </c>
      <c r="O706">
        <f t="shared" si="30"/>
        <v>1.4219999999999999</v>
      </c>
      <c r="P706">
        <f t="shared" si="31"/>
        <v>7.8125E-3</v>
      </c>
      <c r="Q706" t="str">
        <f t="shared" si="32"/>
        <v>Q27-03</v>
      </c>
    </row>
    <row r="707" spans="1:17" x14ac:dyDescent="0.25">
      <c r="A707" t="s">
        <v>61</v>
      </c>
      <c r="B707" t="s">
        <v>364</v>
      </c>
      <c r="C707" t="s">
        <v>365</v>
      </c>
      <c r="D707" t="s">
        <v>77</v>
      </c>
      <c r="E707" t="s">
        <v>1518</v>
      </c>
      <c r="F707" s="1">
        <v>31</v>
      </c>
      <c r="G707" s="1">
        <v>0</v>
      </c>
      <c r="H707" t="s">
        <v>17</v>
      </c>
      <c r="I707" t="s">
        <v>367</v>
      </c>
      <c r="J707" t="s">
        <v>1501</v>
      </c>
      <c r="K707" s="3">
        <v>46295</v>
      </c>
      <c r="L707" t="s">
        <v>373</v>
      </c>
      <c r="M707">
        <v>0.158</v>
      </c>
      <c r="N707">
        <v>1152</v>
      </c>
      <c r="O707">
        <f t="shared" ref="O707:O770" si="33">F707*M707</f>
        <v>4.8979999999999997</v>
      </c>
      <c r="P707">
        <f t="shared" ref="P707:P770" si="34">F707/N707</f>
        <v>2.6909722222222224E-2</v>
      </c>
      <c r="Q707" t="str">
        <f t="shared" ref="Q707:Q770" si="35">LEFT(D707,6)</f>
        <v>Q27-01</v>
      </c>
    </row>
    <row r="708" spans="1:17" x14ac:dyDescent="0.25">
      <c r="A708" t="s">
        <v>61</v>
      </c>
      <c r="B708" t="s">
        <v>364</v>
      </c>
      <c r="C708" t="s">
        <v>365</v>
      </c>
      <c r="D708" t="s">
        <v>1499</v>
      </c>
      <c r="E708" t="s">
        <v>1519</v>
      </c>
      <c r="F708" s="1">
        <v>51</v>
      </c>
      <c r="G708" s="1">
        <v>0</v>
      </c>
      <c r="H708" t="s">
        <v>17</v>
      </c>
      <c r="I708" t="s">
        <v>367</v>
      </c>
      <c r="J708" t="s">
        <v>1501</v>
      </c>
      <c r="K708" s="3">
        <v>46295</v>
      </c>
      <c r="L708" t="s">
        <v>373</v>
      </c>
      <c r="M708">
        <v>0.158</v>
      </c>
      <c r="N708">
        <v>1152</v>
      </c>
      <c r="O708">
        <f t="shared" si="33"/>
        <v>8.0579999999999998</v>
      </c>
      <c r="P708">
        <f t="shared" si="34"/>
        <v>4.4270833333333336E-2</v>
      </c>
      <c r="Q708" t="str">
        <f t="shared" si="35"/>
        <v>Q27-03</v>
      </c>
    </row>
    <row r="709" spans="1:17" x14ac:dyDescent="0.25">
      <c r="A709" t="s">
        <v>61</v>
      </c>
      <c r="B709" t="s">
        <v>364</v>
      </c>
      <c r="C709" t="s">
        <v>365</v>
      </c>
      <c r="D709" t="s">
        <v>1499</v>
      </c>
      <c r="E709" t="s">
        <v>1520</v>
      </c>
      <c r="F709" s="1">
        <v>1</v>
      </c>
      <c r="G709" s="1">
        <v>0</v>
      </c>
      <c r="H709" t="s">
        <v>17</v>
      </c>
      <c r="I709" t="s">
        <v>367</v>
      </c>
      <c r="J709" t="s">
        <v>1501</v>
      </c>
      <c r="K709" s="3">
        <v>46660</v>
      </c>
      <c r="L709" t="s">
        <v>1205</v>
      </c>
      <c r="M709">
        <v>0.158</v>
      </c>
      <c r="N709">
        <v>1152</v>
      </c>
      <c r="O709">
        <f t="shared" si="33"/>
        <v>0.158</v>
      </c>
      <c r="P709">
        <f t="shared" si="34"/>
        <v>8.6805555555555551E-4</v>
      </c>
      <c r="Q709" t="str">
        <f t="shared" si="35"/>
        <v>Q27-03</v>
      </c>
    </row>
    <row r="710" spans="1:17" x14ac:dyDescent="0.25">
      <c r="A710" t="s">
        <v>61</v>
      </c>
      <c r="B710" t="s">
        <v>456</v>
      </c>
      <c r="C710" t="s">
        <v>457</v>
      </c>
      <c r="D710" t="s">
        <v>168</v>
      </c>
      <c r="E710" t="s">
        <v>1521</v>
      </c>
      <c r="F710" s="1">
        <v>51</v>
      </c>
      <c r="G710" s="1">
        <v>0</v>
      </c>
      <c r="H710" t="s">
        <v>17</v>
      </c>
      <c r="I710" t="s">
        <v>459</v>
      </c>
      <c r="J710" t="s">
        <v>1501</v>
      </c>
      <c r="K710" s="3">
        <v>46112</v>
      </c>
      <c r="L710" t="s">
        <v>461</v>
      </c>
      <c r="M710">
        <v>0.22600000000000001</v>
      </c>
      <c r="N710">
        <v>1680</v>
      </c>
      <c r="O710">
        <f t="shared" si="33"/>
        <v>11.526</v>
      </c>
      <c r="P710">
        <f t="shared" si="34"/>
        <v>3.0357142857142857E-2</v>
      </c>
      <c r="Q710" t="str">
        <f t="shared" si="35"/>
        <v>Q26-01</v>
      </c>
    </row>
    <row r="711" spans="1:17" x14ac:dyDescent="0.25">
      <c r="A711" t="s">
        <v>61</v>
      </c>
      <c r="B711" t="s">
        <v>225</v>
      </c>
      <c r="C711" t="s">
        <v>226</v>
      </c>
      <c r="D711" t="s">
        <v>1499</v>
      </c>
      <c r="E711" t="s">
        <v>1522</v>
      </c>
      <c r="F711" s="1">
        <v>15</v>
      </c>
      <c r="G711" s="1">
        <v>0</v>
      </c>
      <c r="H711" t="s">
        <v>17</v>
      </c>
      <c r="I711" t="s">
        <v>228</v>
      </c>
      <c r="J711" t="s">
        <v>1501</v>
      </c>
      <c r="K711" s="3">
        <v>46234</v>
      </c>
      <c r="L711" t="s">
        <v>232</v>
      </c>
      <c r="M711">
        <v>5.8000000000000003E-2</v>
      </c>
      <c r="N711">
        <v>2880</v>
      </c>
      <c r="O711">
        <f t="shared" si="33"/>
        <v>0.87</v>
      </c>
      <c r="P711">
        <f t="shared" si="34"/>
        <v>5.208333333333333E-3</v>
      </c>
      <c r="Q711" t="str">
        <f t="shared" si="35"/>
        <v>Q27-03</v>
      </c>
    </row>
    <row r="712" spans="1:17" x14ac:dyDescent="0.25">
      <c r="A712" t="s">
        <v>61</v>
      </c>
      <c r="B712" t="s">
        <v>1523</v>
      </c>
      <c r="C712" t="s">
        <v>1524</v>
      </c>
      <c r="D712" t="s">
        <v>1499</v>
      </c>
      <c r="E712" t="s">
        <v>1525</v>
      </c>
      <c r="F712" s="1">
        <v>45</v>
      </c>
      <c r="G712" s="1">
        <v>0</v>
      </c>
      <c r="H712" t="s">
        <v>17</v>
      </c>
      <c r="I712" t="s">
        <v>1526</v>
      </c>
      <c r="J712" t="s">
        <v>1501</v>
      </c>
      <c r="K712" s="3">
        <v>46142</v>
      </c>
      <c r="L712" t="s">
        <v>1527</v>
      </c>
      <c r="M712">
        <v>4.9000000000000002E-2</v>
      </c>
      <c r="N712">
        <v>2880</v>
      </c>
      <c r="O712">
        <f t="shared" si="33"/>
        <v>2.2050000000000001</v>
      </c>
      <c r="P712">
        <f t="shared" si="34"/>
        <v>1.5625E-2</v>
      </c>
      <c r="Q712" t="str">
        <f t="shared" si="35"/>
        <v>Q27-03</v>
      </c>
    </row>
    <row r="713" spans="1:17" x14ac:dyDescent="0.25">
      <c r="A713" t="s">
        <v>61</v>
      </c>
      <c r="B713" t="s">
        <v>281</v>
      </c>
      <c r="C713" t="s">
        <v>282</v>
      </c>
      <c r="D713" t="s">
        <v>69</v>
      </c>
      <c r="E713" t="s">
        <v>1528</v>
      </c>
      <c r="F713" s="1">
        <v>17</v>
      </c>
      <c r="G713" s="1">
        <v>0</v>
      </c>
      <c r="H713" t="s">
        <v>17</v>
      </c>
      <c r="I713" t="s">
        <v>284</v>
      </c>
      <c r="J713" t="s">
        <v>1501</v>
      </c>
      <c r="K713" s="3">
        <v>46081</v>
      </c>
      <c r="L713" t="s">
        <v>1529</v>
      </c>
      <c r="M713">
        <v>6.8000000000000005E-2</v>
      </c>
      <c r="N713">
        <v>2240</v>
      </c>
      <c r="O713">
        <f t="shared" si="33"/>
        <v>1.1560000000000001</v>
      </c>
      <c r="P713">
        <f t="shared" si="34"/>
        <v>7.5892857142857142E-3</v>
      </c>
      <c r="Q713" t="str">
        <f t="shared" si="35"/>
        <v>Q27-01</v>
      </c>
    </row>
    <row r="714" spans="1:17" x14ac:dyDescent="0.25">
      <c r="A714" t="s">
        <v>61</v>
      </c>
      <c r="B714" t="s">
        <v>456</v>
      </c>
      <c r="C714" t="s">
        <v>457</v>
      </c>
      <c r="D714" t="s">
        <v>1499</v>
      </c>
      <c r="E714" t="s">
        <v>1530</v>
      </c>
      <c r="F714" s="1">
        <v>11</v>
      </c>
      <c r="G714" s="1">
        <v>0</v>
      </c>
      <c r="H714" t="s">
        <v>17</v>
      </c>
      <c r="I714" t="s">
        <v>459</v>
      </c>
      <c r="J714" t="s">
        <v>1501</v>
      </c>
      <c r="K714" s="3">
        <v>46234</v>
      </c>
      <c r="L714" t="s">
        <v>911</v>
      </c>
      <c r="M714">
        <v>0.22600000000000001</v>
      </c>
      <c r="N714">
        <v>1680</v>
      </c>
      <c r="O714">
        <f t="shared" si="33"/>
        <v>2.4860000000000002</v>
      </c>
      <c r="P714">
        <f t="shared" si="34"/>
        <v>6.5476190476190478E-3</v>
      </c>
      <c r="Q714" t="str">
        <f t="shared" si="35"/>
        <v>Q27-03</v>
      </c>
    </row>
    <row r="715" spans="1:17" x14ac:dyDescent="0.25">
      <c r="A715" t="s">
        <v>61</v>
      </c>
      <c r="B715" t="s">
        <v>456</v>
      </c>
      <c r="C715" t="s">
        <v>457</v>
      </c>
      <c r="D715" t="s">
        <v>1499</v>
      </c>
      <c r="E715" t="s">
        <v>1531</v>
      </c>
      <c r="F715" s="1">
        <v>1</v>
      </c>
      <c r="G715" s="1">
        <v>0</v>
      </c>
      <c r="H715" t="s">
        <v>17</v>
      </c>
      <c r="I715" t="s">
        <v>459</v>
      </c>
      <c r="J715" t="s">
        <v>1501</v>
      </c>
      <c r="K715" s="3">
        <v>46203</v>
      </c>
      <c r="L715" t="s">
        <v>584</v>
      </c>
      <c r="M715">
        <v>0.22600000000000001</v>
      </c>
      <c r="N715">
        <v>1680</v>
      </c>
      <c r="O715">
        <f t="shared" si="33"/>
        <v>0.22600000000000001</v>
      </c>
      <c r="P715">
        <f t="shared" si="34"/>
        <v>5.9523809523809529E-4</v>
      </c>
      <c r="Q715" t="str">
        <f t="shared" si="35"/>
        <v>Q27-03</v>
      </c>
    </row>
    <row r="716" spans="1:17" x14ac:dyDescent="0.25">
      <c r="A716" t="s">
        <v>61</v>
      </c>
      <c r="B716" t="s">
        <v>456</v>
      </c>
      <c r="C716" t="s">
        <v>457</v>
      </c>
      <c r="D716" t="s">
        <v>1499</v>
      </c>
      <c r="E716" t="s">
        <v>1532</v>
      </c>
      <c r="F716" s="1">
        <v>1</v>
      </c>
      <c r="G716" s="1">
        <v>0</v>
      </c>
      <c r="H716" t="s">
        <v>17</v>
      </c>
      <c r="I716" t="s">
        <v>459</v>
      </c>
      <c r="J716" t="s">
        <v>1501</v>
      </c>
      <c r="K716" s="3">
        <v>46234</v>
      </c>
      <c r="L716" t="s">
        <v>765</v>
      </c>
      <c r="M716">
        <v>0.22600000000000001</v>
      </c>
      <c r="N716">
        <v>1680</v>
      </c>
      <c r="O716">
        <f t="shared" si="33"/>
        <v>0.22600000000000001</v>
      </c>
      <c r="P716">
        <f t="shared" si="34"/>
        <v>5.9523809523809529E-4</v>
      </c>
      <c r="Q716" t="str">
        <f t="shared" si="35"/>
        <v>Q27-03</v>
      </c>
    </row>
    <row r="717" spans="1:17" x14ac:dyDescent="0.25">
      <c r="A717" t="s">
        <v>61</v>
      </c>
      <c r="B717" t="s">
        <v>456</v>
      </c>
      <c r="C717" t="s">
        <v>457</v>
      </c>
      <c r="D717" t="s">
        <v>1499</v>
      </c>
      <c r="E717" t="s">
        <v>1533</v>
      </c>
      <c r="F717" s="1">
        <v>1</v>
      </c>
      <c r="G717" s="1">
        <v>0</v>
      </c>
      <c r="H717" t="s">
        <v>17</v>
      </c>
      <c r="I717" t="s">
        <v>459</v>
      </c>
      <c r="J717" t="s">
        <v>1501</v>
      </c>
      <c r="K717" s="3">
        <v>46265</v>
      </c>
      <c r="L717" t="s">
        <v>1002</v>
      </c>
      <c r="M717">
        <v>0.22600000000000001</v>
      </c>
      <c r="N717">
        <v>1680</v>
      </c>
      <c r="O717">
        <f t="shared" si="33"/>
        <v>0.22600000000000001</v>
      </c>
      <c r="P717">
        <f t="shared" si="34"/>
        <v>5.9523809523809529E-4</v>
      </c>
      <c r="Q717" t="str">
        <f t="shared" si="35"/>
        <v>Q27-03</v>
      </c>
    </row>
    <row r="718" spans="1:17" x14ac:dyDescent="0.25">
      <c r="A718" t="s">
        <v>61</v>
      </c>
      <c r="B718" t="s">
        <v>891</v>
      </c>
      <c r="C718" t="s">
        <v>892</v>
      </c>
      <c r="D718" t="s">
        <v>1499</v>
      </c>
      <c r="E718" t="s">
        <v>1534</v>
      </c>
      <c r="F718" s="1">
        <v>10</v>
      </c>
      <c r="G718" s="1">
        <v>0</v>
      </c>
      <c r="H718" t="s">
        <v>17</v>
      </c>
      <c r="I718" t="s">
        <v>894</v>
      </c>
      <c r="J718" t="s">
        <v>1501</v>
      </c>
      <c r="K718" s="3">
        <v>46295</v>
      </c>
      <c r="L718" t="s">
        <v>1535</v>
      </c>
      <c r="M718">
        <v>0.312</v>
      </c>
      <c r="N718">
        <v>1680</v>
      </c>
      <c r="O718">
        <f t="shared" si="33"/>
        <v>3.12</v>
      </c>
      <c r="P718">
        <f t="shared" si="34"/>
        <v>5.9523809523809521E-3</v>
      </c>
      <c r="Q718" t="str">
        <f t="shared" si="35"/>
        <v>Q27-03</v>
      </c>
    </row>
    <row r="719" spans="1:17" x14ac:dyDescent="0.25">
      <c r="A719" t="s">
        <v>61</v>
      </c>
      <c r="B719" t="s">
        <v>166</v>
      </c>
      <c r="C719" t="s">
        <v>167</v>
      </c>
      <c r="D719" t="s">
        <v>69</v>
      </c>
      <c r="E719" t="s">
        <v>1536</v>
      </c>
      <c r="F719" s="1">
        <v>55</v>
      </c>
      <c r="G719" s="1">
        <v>0</v>
      </c>
      <c r="H719" t="s">
        <v>17</v>
      </c>
      <c r="I719" t="s">
        <v>170</v>
      </c>
      <c r="J719" t="s">
        <v>1501</v>
      </c>
      <c r="K719" s="3">
        <v>46112</v>
      </c>
      <c r="L719" t="s">
        <v>172</v>
      </c>
      <c r="M719">
        <v>9.2999999999999999E-2</v>
      </c>
      <c r="N719">
        <v>1536</v>
      </c>
      <c r="O719">
        <f t="shared" si="33"/>
        <v>5.1150000000000002</v>
      </c>
      <c r="P719">
        <f t="shared" si="34"/>
        <v>3.5807291666666664E-2</v>
      </c>
      <c r="Q719" t="str">
        <f t="shared" si="35"/>
        <v>Q27-01</v>
      </c>
    </row>
    <row r="720" spans="1:17" x14ac:dyDescent="0.25">
      <c r="A720" t="s">
        <v>61</v>
      </c>
      <c r="B720" t="s">
        <v>166</v>
      </c>
      <c r="C720" t="s">
        <v>167</v>
      </c>
      <c r="D720" t="s">
        <v>73</v>
      </c>
      <c r="E720" t="s">
        <v>1537</v>
      </c>
      <c r="F720" s="1">
        <v>2</v>
      </c>
      <c r="G720" s="1">
        <v>0</v>
      </c>
      <c r="H720" t="s">
        <v>17</v>
      </c>
      <c r="I720" t="s">
        <v>170</v>
      </c>
      <c r="J720" t="s">
        <v>1501</v>
      </c>
      <c r="K720" s="3">
        <v>46173</v>
      </c>
      <c r="L720" t="s">
        <v>189</v>
      </c>
      <c r="M720">
        <v>9.2999999999999999E-2</v>
      </c>
      <c r="N720">
        <v>1536</v>
      </c>
      <c r="O720">
        <f t="shared" si="33"/>
        <v>0.186</v>
      </c>
      <c r="P720">
        <f t="shared" si="34"/>
        <v>1.3020833333333333E-3</v>
      </c>
      <c r="Q720" t="str">
        <f t="shared" si="35"/>
        <v>Q26-01</v>
      </c>
    </row>
    <row r="721" spans="1:17" x14ac:dyDescent="0.25">
      <c r="A721" t="s">
        <v>61</v>
      </c>
      <c r="B721" t="s">
        <v>166</v>
      </c>
      <c r="C721" t="s">
        <v>167</v>
      </c>
      <c r="D721" t="s">
        <v>1499</v>
      </c>
      <c r="E721" t="s">
        <v>1538</v>
      </c>
      <c r="F721" s="1">
        <v>7</v>
      </c>
      <c r="G721" s="1">
        <v>0</v>
      </c>
      <c r="H721" t="s">
        <v>17</v>
      </c>
      <c r="I721" t="s">
        <v>170</v>
      </c>
      <c r="J721" t="s">
        <v>1501</v>
      </c>
      <c r="K721" s="3">
        <v>46173</v>
      </c>
      <c r="L721" t="s">
        <v>189</v>
      </c>
      <c r="M721">
        <v>9.2999999999999999E-2</v>
      </c>
      <c r="N721">
        <v>1536</v>
      </c>
      <c r="O721">
        <f t="shared" si="33"/>
        <v>0.65100000000000002</v>
      </c>
      <c r="P721">
        <f t="shared" si="34"/>
        <v>4.557291666666667E-3</v>
      </c>
      <c r="Q721" t="str">
        <f t="shared" si="35"/>
        <v>Q27-03</v>
      </c>
    </row>
    <row r="722" spans="1:17" x14ac:dyDescent="0.25">
      <c r="A722" t="s">
        <v>61</v>
      </c>
      <c r="B722" t="s">
        <v>166</v>
      </c>
      <c r="C722" t="s">
        <v>167</v>
      </c>
      <c r="D722" t="s">
        <v>73</v>
      </c>
      <c r="E722" t="s">
        <v>1539</v>
      </c>
      <c r="F722" s="1">
        <v>3</v>
      </c>
      <c r="G722" s="1">
        <v>0</v>
      </c>
      <c r="H722" t="s">
        <v>17</v>
      </c>
      <c r="I722" t="s">
        <v>170</v>
      </c>
      <c r="J722" t="s">
        <v>1501</v>
      </c>
      <c r="K722" s="3">
        <v>46053</v>
      </c>
      <c r="L722" t="s">
        <v>206</v>
      </c>
      <c r="M722">
        <v>9.2999999999999999E-2</v>
      </c>
      <c r="N722">
        <v>1536</v>
      </c>
      <c r="O722">
        <f t="shared" si="33"/>
        <v>0.27900000000000003</v>
      </c>
      <c r="P722">
        <f t="shared" si="34"/>
        <v>1.953125E-3</v>
      </c>
      <c r="Q722" t="str">
        <f t="shared" si="35"/>
        <v>Q26-01</v>
      </c>
    </row>
    <row r="723" spans="1:17" x14ac:dyDescent="0.25">
      <c r="A723" t="s">
        <v>61</v>
      </c>
      <c r="B723" t="s">
        <v>166</v>
      </c>
      <c r="C723" t="s">
        <v>167</v>
      </c>
      <c r="D723" t="s">
        <v>69</v>
      </c>
      <c r="E723" t="s">
        <v>1540</v>
      </c>
      <c r="F723" s="1">
        <v>20</v>
      </c>
      <c r="G723" s="1">
        <v>0</v>
      </c>
      <c r="H723" t="s">
        <v>17</v>
      </c>
      <c r="I723" t="s">
        <v>170</v>
      </c>
      <c r="J723" t="s">
        <v>1501</v>
      </c>
      <c r="K723" s="3">
        <v>46053</v>
      </c>
      <c r="L723" t="s">
        <v>206</v>
      </c>
      <c r="M723">
        <v>9.2999999999999999E-2</v>
      </c>
      <c r="N723">
        <v>1536</v>
      </c>
      <c r="O723">
        <f t="shared" si="33"/>
        <v>1.8599999999999999</v>
      </c>
      <c r="P723">
        <f t="shared" si="34"/>
        <v>1.3020833333333334E-2</v>
      </c>
      <c r="Q723" t="str">
        <f t="shared" si="35"/>
        <v>Q27-01</v>
      </c>
    </row>
    <row r="724" spans="1:17" x14ac:dyDescent="0.25">
      <c r="A724" t="s">
        <v>61</v>
      </c>
      <c r="B724" t="s">
        <v>166</v>
      </c>
      <c r="C724" t="s">
        <v>167</v>
      </c>
      <c r="D724" t="s">
        <v>1499</v>
      </c>
      <c r="E724" t="s">
        <v>1541</v>
      </c>
      <c r="F724" s="1">
        <v>7</v>
      </c>
      <c r="G724" s="1">
        <v>0</v>
      </c>
      <c r="H724" t="s">
        <v>17</v>
      </c>
      <c r="I724" t="s">
        <v>170</v>
      </c>
      <c r="J724" t="s">
        <v>1501</v>
      </c>
      <c r="K724" s="3">
        <v>46173</v>
      </c>
      <c r="L724" t="s">
        <v>214</v>
      </c>
      <c r="M724">
        <v>9.2999999999999999E-2</v>
      </c>
      <c r="N724">
        <v>1536</v>
      </c>
      <c r="O724">
        <f t="shared" si="33"/>
        <v>0.65100000000000002</v>
      </c>
      <c r="P724">
        <f t="shared" si="34"/>
        <v>4.557291666666667E-3</v>
      </c>
      <c r="Q724" t="str">
        <f t="shared" si="35"/>
        <v>Q27-03</v>
      </c>
    </row>
    <row r="725" spans="1:17" x14ac:dyDescent="0.25">
      <c r="A725" t="s">
        <v>61</v>
      </c>
      <c r="B725" t="s">
        <v>420</v>
      </c>
      <c r="C725" t="s">
        <v>421</v>
      </c>
      <c r="D725" t="s">
        <v>1499</v>
      </c>
      <c r="E725" t="s">
        <v>1542</v>
      </c>
      <c r="F725" s="1">
        <v>9</v>
      </c>
      <c r="G725" s="1">
        <v>0</v>
      </c>
      <c r="H725" t="s">
        <v>17</v>
      </c>
      <c r="I725" t="s">
        <v>423</v>
      </c>
      <c r="J725" t="s">
        <v>1501</v>
      </c>
      <c r="K725" s="3">
        <v>46356</v>
      </c>
      <c r="L725" t="s">
        <v>424</v>
      </c>
      <c r="M725">
        <v>0.156</v>
      </c>
      <c r="N725">
        <v>1152</v>
      </c>
      <c r="O725">
        <f t="shared" si="33"/>
        <v>1.4039999999999999</v>
      </c>
      <c r="P725">
        <f t="shared" si="34"/>
        <v>7.8125E-3</v>
      </c>
      <c r="Q725" t="str">
        <f t="shared" si="35"/>
        <v>Q27-03</v>
      </c>
    </row>
    <row r="726" spans="1:17" x14ac:dyDescent="0.25">
      <c r="A726" t="s">
        <v>61</v>
      </c>
      <c r="B726" t="s">
        <v>420</v>
      </c>
      <c r="C726" t="s">
        <v>421</v>
      </c>
      <c r="D726" t="s">
        <v>1499</v>
      </c>
      <c r="E726" t="s">
        <v>1543</v>
      </c>
      <c r="F726" s="1">
        <v>29</v>
      </c>
      <c r="G726" s="1">
        <v>0</v>
      </c>
      <c r="H726" t="s">
        <v>17</v>
      </c>
      <c r="I726" t="s">
        <v>423</v>
      </c>
      <c r="J726" t="s">
        <v>1501</v>
      </c>
      <c r="K726" s="3">
        <v>46356</v>
      </c>
      <c r="L726" t="s">
        <v>424</v>
      </c>
      <c r="M726">
        <v>0.156</v>
      </c>
      <c r="N726">
        <v>1152</v>
      </c>
      <c r="O726">
        <f t="shared" si="33"/>
        <v>4.524</v>
      </c>
      <c r="P726">
        <f t="shared" si="34"/>
        <v>2.5173611111111112E-2</v>
      </c>
      <c r="Q726" t="str">
        <f t="shared" si="35"/>
        <v>Q27-03</v>
      </c>
    </row>
    <row r="727" spans="1:17" x14ac:dyDescent="0.25">
      <c r="A727" t="s">
        <v>61</v>
      </c>
      <c r="B727" t="s">
        <v>62</v>
      </c>
      <c r="C727" t="s">
        <v>63</v>
      </c>
      <c r="D727" t="s">
        <v>69</v>
      </c>
      <c r="E727" t="s">
        <v>1544</v>
      </c>
      <c r="F727" s="1">
        <v>43</v>
      </c>
      <c r="G727" s="1">
        <v>0</v>
      </c>
      <c r="H727" t="s">
        <v>17</v>
      </c>
      <c r="I727" t="s">
        <v>66</v>
      </c>
      <c r="J727" t="s">
        <v>1501</v>
      </c>
      <c r="K727" s="3">
        <v>46081</v>
      </c>
      <c r="L727" t="s">
        <v>68</v>
      </c>
      <c r="M727">
        <v>9.6000000000000002E-2</v>
      </c>
      <c r="N727">
        <v>1920</v>
      </c>
      <c r="O727">
        <f t="shared" si="33"/>
        <v>4.1280000000000001</v>
      </c>
      <c r="P727">
        <f t="shared" si="34"/>
        <v>2.2395833333333334E-2</v>
      </c>
      <c r="Q727" t="str">
        <f t="shared" si="35"/>
        <v>Q27-01</v>
      </c>
    </row>
    <row r="728" spans="1:17" x14ac:dyDescent="0.25">
      <c r="A728" t="s">
        <v>61</v>
      </c>
      <c r="B728" t="s">
        <v>309</v>
      </c>
      <c r="C728" t="s">
        <v>310</v>
      </c>
      <c r="D728" t="s">
        <v>168</v>
      </c>
      <c r="E728" t="s">
        <v>1545</v>
      </c>
      <c r="F728" s="1">
        <v>108</v>
      </c>
      <c r="G728" s="1">
        <v>0</v>
      </c>
      <c r="H728" t="s">
        <v>17</v>
      </c>
      <c r="I728" t="s">
        <v>312</v>
      </c>
      <c r="J728" t="s">
        <v>1501</v>
      </c>
      <c r="K728" s="3">
        <v>46053</v>
      </c>
      <c r="L728" t="s">
        <v>314</v>
      </c>
      <c r="M728">
        <v>7.1999999999999995E-2</v>
      </c>
      <c r="N728">
        <v>1920</v>
      </c>
      <c r="O728">
        <f t="shared" si="33"/>
        <v>7.7759999999999998</v>
      </c>
      <c r="P728">
        <f t="shared" si="34"/>
        <v>5.6250000000000001E-2</v>
      </c>
      <c r="Q728" t="str">
        <f t="shared" si="35"/>
        <v>Q26-01</v>
      </c>
    </row>
    <row r="729" spans="1:17" x14ac:dyDescent="0.25">
      <c r="A729" t="s">
        <v>61</v>
      </c>
      <c r="B729" t="s">
        <v>352</v>
      </c>
      <c r="C729" t="s">
        <v>353</v>
      </c>
      <c r="D729" t="s">
        <v>240</v>
      </c>
      <c r="E729" t="s">
        <v>1546</v>
      </c>
      <c r="F729" s="1">
        <v>5</v>
      </c>
      <c r="G729" s="1">
        <v>0</v>
      </c>
      <c r="H729" t="s">
        <v>17</v>
      </c>
      <c r="I729" t="s">
        <v>355</v>
      </c>
      <c r="J729" t="s">
        <v>1501</v>
      </c>
      <c r="K729" s="3">
        <v>46234</v>
      </c>
      <c r="L729" t="s">
        <v>357</v>
      </c>
      <c r="M729">
        <v>5.0999999999999997E-2</v>
      </c>
      <c r="N729">
        <v>2880</v>
      </c>
      <c r="O729">
        <f t="shared" si="33"/>
        <v>0.255</v>
      </c>
      <c r="P729">
        <f t="shared" si="34"/>
        <v>1.736111111111111E-3</v>
      </c>
      <c r="Q729" t="str">
        <f t="shared" si="35"/>
        <v>Q27-03</v>
      </c>
    </row>
    <row r="730" spans="1:17" x14ac:dyDescent="0.25">
      <c r="A730" t="s">
        <v>12</v>
      </c>
      <c r="B730" t="s">
        <v>1547</v>
      </c>
      <c r="C730" t="s">
        <v>1548</v>
      </c>
      <c r="D730" t="s">
        <v>121</v>
      </c>
      <c r="E730" t="s">
        <v>1549</v>
      </c>
      <c r="F730" s="1">
        <v>229</v>
      </c>
      <c r="G730" s="1">
        <v>0</v>
      </c>
      <c r="H730" t="s">
        <v>17</v>
      </c>
      <c r="I730" t="s">
        <v>475</v>
      </c>
      <c r="J730" t="s">
        <v>90</v>
      </c>
      <c r="K730" s="3">
        <v>46569</v>
      </c>
      <c r="L730" t="s">
        <v>123</v>
      </c>
      <c r="M730">
        <v>0</v>
      </c>
      <c r="N730">
        <v>0</v>
      </c>
      <c r="O730">
        <f t="shared" si="33"/>
        <v>0</v>
      </c>
      <c r="Q730" t="str">
        <f t="shared" si="35"/>
        <v>Q27-01</v>
      </c>
    </row>
    <row r="731" spans="1:17" x14ac:dyDescent="0.25">
      <c r="A731" t="s">
        <v>12</v>
      </c>
      <c r="B731" t="s">
        <v>1550</v>
      </c>
      <c r="C731" t="s">
        <v>1551</v>
      </c>
      <c r="D731" t="s">
        <v>121</v>
      </c>
      <c r="E731" t="s">
        <v>1552</v>
      </c>
      <c r="F731" s="2">
        <v>2017</v>
      </c>
      <c r="G731" s="1">
        <v>0</v>
      </c>
      <c r="H731" t="s">
        <v>17</v>
      </c>
      <c r="I731" t="s">
        <v>475</v>
      </c>
      <c r="J731" t="s">
        <v>90</v>
      </c>
      <c r="K731" s="3">
        <v>46569</v>
      </c>
      <c r="L731" t="s">
        <v>123</v>
      </c>
      <c r="M731">
        <v>0</v>
      </c>
      <c r="N731">
        <v>0</v>
      </c>
      <c r="O731">
        <f t="shared" si="33"/>
        <v>0</v>
      </c>
      <c r="Q731" t="str">
        <f t="shared" si="35"/>
        <v>Q27-01</v>
      </c>
    </row>
    <row r="732" spans="1:17" x14ac:dyDescent="0.25">
      <c r="A732" t="s">
        <v>12</v>
      </c>
      <c r="B732" t="s">
        <v>1553</v>
      </c>
      <c r="C732" t="s">
        <v>1554</v>
      </c>
      <c r="D732" t="s">
        <v>121</v>
      </c>
      <c r="E732" t="s">
        <v>1555</v>
      </c>
      <c r="F732" s="2">
        <v>1828</v>
      </c>
      <c r="G732" s="1">
        <v>0</v>
      </c>
      <c r="H732" t="s">
        <v>17</v>
      </c>
      <c r="I732" t="s">
        <v>475</v>
      </c>
      <c r="J732" t="s">
        <v>90</v>
      </c>
      <c r="K732" s="3">
        <v>46569</v>
      </c>
      <c r="L732" t="s">
        <v>123</v>
      </c>
      <c r="M732">
        <v>0</v>
      </c>
      <c r="N732">
        <v>0</v>
      </c>
      <c r="O732">
        <f t="shared" si="33"/>
        <v>0</v>
      </c>
      <c r="Q732" t="str">
        <f t="shared" si="35"/>
        <v>Q27-01</v>
      </c>
    </row>
    <row r="733" spans="1:17" x14ac:dyDescent="0.25">
      <c r="A733" t="s">
        <v>12</v>
      </c>
      <c r="B733" t="s">
        <v>1556</v>
      </c>
      <c r="C733" t="s">
        <v>1557</v>
      </c>
      <c r="D733" t="s">
        <v>44</v>
      </c>
      <c r="E733" t="s">
        <v>1558</v>
      </c>
      <c r="F733" s="1">
        <v>4</v>
      </c>
      <c r="G733" s="1">
        <v>0</v>
      </c>
      <c r="H733" t="s">
        <v>17</v>
      </c>
      <c r="I733" t="s">
        <v>1559</v>
      </c>
      <c r="J733" t="s">
        <v>1560</v>
      </c>
      <c r="K733" s="3">
        <v>46377</v>
      </c>
      <c r="L733" t="s">
        <v>1561</v>
      </c>
      <c r="M733">
        <v>2.1000000000000001E-2</v>
      </c>
      <c r="N733">
        <v>7150</v>
      </c>
      <c r="O733">
        <f t="shared" si="33"/>
        <v>8.4000000000000005E-2</v>
      </c>
      <c r="P733">
        <f t="shared" si="34"/>
        <v>5.5944055944055944E-4</v>
      </c>
      <c r="Q733" t="str">
        <f t="shared" si="35"/>
        <v>Q26-01</v>
      </c>
    </row>
    <row r="734" spans="1:17" x14ac:dyDescent="0.25">
      <c r="A734" t="s">
        <v>12</v>
      </c>
      <c r="B734" t="s">
        <v>1395</v>
      </c>
      <c r="C734" t="s">
        <v>1396</v>
      </c>
      <c r="D734" t="s">
        <v>44</v>
      </c>
      <c r="E734" t="s">
        <v>1562</v>
      </c>
      <c r="F734" s="1">
        <v>2</v>
      </c>
      <c r="G734" s="1">
        <v>0</v>
      </c>
      <c r="H734" t="s">
        <v>17</v>
      </c>
      <c r="I734" t="s">
        <v>1398</v>
      </c>
      <c r="J734" t="s">
        <v>1563</v>
      </c>
      <c r="K734" s="3">
        <v>46836</v>
      </c>
      <c r="L734" t="s">
        <v>1564</v>
      </c>
      <c r="M734">
        <v>0.154</v>
      </c>
      <c r="N734">
        <v>1680</v>
      </c>
      <c r="O734">
        <f t="shared" si="33"/>
        <v>0.308</v>
      </c>
      <c r="P734">
        <f t="shared" si="34"/>
        <v>1.1904761904761906E-3</v>
      </c>
      <c r="Q734" t="str">
        <f t="shared" si="35"/>
        <v>Q26-01</v>
      </c>
    </row>
    <row r="735" spans="1:17" x14ac:dyDescent="0.25">
      <c r="A735" t="s">
        <v>12</v>
      </c>
      <c r="B735" t="s">
        <v>1395</v>
      </c>
      <c r="C735" t="s">
        <v>1396</v>
      </c>
      <c r="D735" t="s">
        <v>44</v>
      </c>
      <c r="E735" t="s">
        <v>1565</v>
      </c>
      <c r="F735" s="1">
        <v>5</v>
      </c>
      <c r="G735" s="1">
        <v>0</v>
      </c>
      <c r="H735" t="s">
        <v>17</v>
      </c>
      <c r="I735" t="s">
        <v>1398</v>
      </c>
      <c r="J735" t="s">
        <v>1566</v>
      </c>
      <c r="K735" s="3">
        <v>46817</v>
      </c>
      <c r="L735" t="s">
        <v>1567</v>
      </c>
      <c r="M735">
        <v>0.154</v>
      </c>
      <c r="N735">
        <v>1680</v>
      </c>
      <c r="O735">
        <f t="shared" si="33"/>
        <v>0.77</v>
      </c>
      <c r="P735">
        <f t="shared" si="34"/>
        <v>2.976190476190476E-3</v>
      </c>
      <c r="Q735" t="str">
        <f t="shared" si="35"/>
        <v>Q26-01</v>
      </c>
    </row>
    <row r="736" spans="1:17" x14ac:dyDescent="0.25">
      <c r="A736" t="s">
        <v>12</v>
      </c>
      <c r="B736" t="s">
        <v>1568</v>
      </c>
      <c r="C736" t="s">
        <v>1569</v>
      </c>
      <c r="D736" t="s">
        <v>121</v>
      </c>
      <c r="E736" t="s">
        <v>1570</v>
      </c>
      <c r="F736" s="2">
        <v>1656</v>
      </c>
      <c r="G736" s="1">
        <v>0</v>
      </c>
      <c r="H736" t="s">
        <v>17</v>
      </c>
      <c r="I736" t="s">
        <v>475</v>
      </c>
      <c r="J736" t="s">
        <v>90</v>
      </c>
      <c r="K736" s="3">
        <v>46570</v>
      </c>
      <c r="L736" t="s">
        <v>123</v>
      </c>
      <c r="M736">
        <v>0</v>
      </c>
      <c r="N736">
        <v>0</v>
      </c>
      <c r="O736">
        <f t="shared" si="33"/>
        <v>0</v>
      </c>
      <c r="Q736" t="str">
        <f t="shared" si="35"/>
        <v>Q27-01</v>
      </c>
    </row>
    <row r="737" spans="1:17" x14ac:dyDescent="0.25">
      <c r="A737" t="s">
        <v>12</v>
      </c>
      <c r="B737" t="s">
        <v>750</v>
      </c>
      <c r="C737" t="s">
        <v>751</v>
      </c>
      <c r="D737" t="s">
        <v>388</v>
      </c>
      <c r="E737" t="s">
        <v>1571</v>
      </c>
      <c r="F737" s="1">
        <v>1</v>
      </c>
      <c r="G737" s="1">
        <v>0</v>
      </c>
      <c r="H737" t="s">
        <v>17</v>
      </c>
      <c r="I737" t="s">
        <v>753</v>
      </c>
      <c r="J737" t="s">
        <v>1572</v>
      </c>
      <c r="K737" s="3">
        <v>46759</v>
      </c>
      <c r="L737" t="s">
        <v>1302</v>
      </c>
      <c r="M737">
        <v>3.5999999999999997E-2</v>
      </c>
      <c r="N737">
        <v>5280</v>
      </c>
      <c r="O737">
        <f t="shared" si="33"/>
        <v>3.5999999999999997E-2</v>
      </c>
      <c r="P737">
        <f t="shared" si="34"/>
        <v>1.8939393939393939E-4</v>
      </c>
      <c r="Q737" t="str">
        <f t="shared" si="35"/>
        <v>Q26-03</v>
      </c>
    </row>
    <row r="738" spans="1:17" x14ac:dyDescent="0.25">
      <c r="A738" t="s">
        <v>61</v>
      </c>
      <c r="B738" t="s">
        <v>891</v>
      </c>
      <c r="C738" t="s">
        <v>892</v>
      </c>
      <c r="D738" t="s">
        <v>77</v>
      </c>
      <c r="E738" t="s">
        <v>1573</v>
      </c>
      <c r="F738" s="1">
        <v>1</v>
      </c>
      <c r="G738" s="1">
        <v>0</v>
      </c>
      <c r="H738" t="s">
        <v>17</v>
      </c>
      <c r="I738" t="s">
        <v>894</v>
      </c>
      <c r="J738" t="s">
        <v>1574</v>
      </c>
      <c r="K738" s="3">
        <v>46326</v>
      </c>
      <c r="L738" t="s">
        <v>1054</v>
      </c>
      <c r="M738">
        <v>0.312</v>
      </c>
      <c r="N738">
        <v>1680</v>
      </c>
      <c r="O738">
        <f t="shared" si="33"/>
        <v>0.312</v>
      </c>
      <c r="P738">
        <f t="shared" si="34"/>
        <v>5.9523809523809529E-4</v>
      </c>
      <c r="Q738" t="str">
        <f t="shared" si="35"/>
        <v>Q27-01</v>
      </c>
    </row>
    <row r="739" spans="1:17" x14ac:dyDescent="0.25">
      <c r="A739" t="s">
        <v>12</v>
      </c>
      <c r="B739" t="s">
        <v>463</v>
      </c>
      <c r="C739" t="s">
        <v>464</v>
      </c>
      <c r="D739" t="s">
        <v>388</v>
      </c>
      <c r="E739" t="s">
        <v>1575</v>
      </c>
      <c r="F739" s="1">
        <v>2</v>
      </c>
      <c r="G739" s="1">
        <v>0</v>
      </c>
      <c r="H739" t="s">
        <v>17</v>
      </c>
      <c r="I739" t="s">
        <v>466</v>
      </c>
      <c r="J739" t="s">
        <v>1576</v>
      </c>
      <c r="K739" s="3">
        <v>46616</v>
      </c>
      <c r="L739" t="s">
        <v>468</v>
      </c>
      <c r="M739">
        <v>2.3E-2</v>
      </c>
      <c r="N739">
        <v>1920</v>
      </c>
      <c r="O739">
        <f t="shared" si="33"/>
        <v>4.5999999999999999E-2</v>
      </c>
      <c r="P739">
        <f t="shared" si="34"/>
        <v>1.0416666666666667E-3</v>
      </c>
      <c r="Q739" t="str">
        <f t="shared" si="35"/>
        <v>Q26-03</v>
      </c>
    </row>
    <row r="740" spans="1:17" x14ac:dyDescent="0.25">
      <c r="A740" t="s">
        <v>12</v>
      </c>
      <c r="B740" t="s">
        <v>1577</v>
      </c>
      <c r="C740" t="s">
        <v>1578</v>
      </c>
      <c r="D740" t="s">
        <v>121</v>
      </c>
      <c r="E740" t="s">
        <v>1579</v>
      </c>
      <c r="F740" s="2">
        <v>1950</v>
      </c>
      <c r="G740" s="1">
        <v>0</v>
      </c>
      <c r="H740" t="s">
        <v>17</v>
      </c>
      <c r="I740" t="s">
        <v>84</v>
      </c>
      <c r="J740" t="s">
        <v>90</v>
      </c>
      <c r="K740" s="3">
        <v>46583</v>
      </c>
      <c r="L740" t="s">
        <v>123</v>
      </c>
      <c r="M740">
        <v>0</v>
      </c>
      <c r="N740">
        <v>0</v>
      </c>
      <c r="O740">
        <f t="shared" si="33"/>
        <v>0</v>
      </c>
      <c r="Q740" t="str">
        <f t="shared" si="35"/>
        <v>Q27-01</v>
      </c>
    </row>
    <row r="741" spans="1:17" x14ac:dyDescent="0.25">
      <c r="A741" t="s">
        <v>12</v>
      </c>
      <c r="B741" t="s">
        <v>923</v>
      </c>
      <c r="C741" t="s">
        <v>924</v>
      </c>
      <c r="D741" t="s">
        <v>388</v>
      </c>
      <c r="E741" t="s">
        <v>1580</v>
      </c>
      <c r="F741" s="1">
        <v>3</v>
      </c>
      <c r="G741" s="1">
        <v>0</v>
      </c>
      <c r="H741" t="s">
        <v>17</v>
      </c>
      <c r="I741" t="s">
        <v>926</v>
      </c>
      <c r="J741" t="s">
        <v>1581</v>
      </c>
      <c r="K741" s="3">
        <v>47491</v>
      </c>
      <c r="L741" t="s">
        <v>1582</v>
      </c>
      <c r="M741">
        <v>1.4999999999999999E-2</v>
      </c>
      <c r="N741">
        <v>14400</v>
      </c>
      <c r="O741">
        <f t="shared" si="33"/>
        <v>4.4999999999999998E-2</v>
      </c>
      <c r="P741">
        <f t="shared" si="34"/>
        <v>2.0833333333333335E-4</v>
      </c>
      <c r="Q741" t="str">
        <f t="shared" si="35"/>
        <v>Q26-03</v>
      </c>
    </row>
    <row r="742" spans="1:17" x14ac:dyDescent="0.25">
      <c r="A742" t="s">
        <v>385</v>
      </c>
      <c r="B742" t="s">
        <v>397</v>
      </c>
      <c r="C742" t="s">
        <v>398</v>
      </c>
      <c r="D742" t="s">
        <v>144</v>
      </c>
      <c r="E742" t="s">
        <v>1583</v>
      </c>
      <c r="F742" s="1">
        <v>318</v>
      </c>
      <c r="G742" s="1">
        <v>0</v>
      </c>
      <c r="H742" t="s">
        <v>17</v>
      </c>
      <c r="I742" t="s">
        <v>84</v>
      </c>
      <c r="J742" t="s">
        <v>90</v>
      </c>
      <c r="K742" s="3">
        <v>46584</v>
      </c>
      <c r="L742" t="s">
        <v>1406</v>
      </c>
      <c r="M742">
        <v>0</v>
      </c>
      <c r="N742">
        <v>0</v>
      </c>
      <c r="O742">
        <f t="shared" si="33"/>
        <v>0</v>
      </c>
      <c r="Q742" t="str">
        <f t="shared" si="35"/>
        <v>QM4-01</v>
      </c>
    </row>
    <row r="743" spans="1:17" x14ac:dyDescent="0.25">
      <c r="A743" t="s">
        <v>385</v>
      </c>
      <c r="B743" t="s">
        <v>1584</v>
      </c>
      <c r="C743" t="s">
        <v>1585</v>
      </c>
      <c r="D743" t="s">
        <v>144</v>
      </c>
      <c r="E743" t="s">
        <v>1586</v>
      </c>
      <c r="F743" s="1">
        <v>754</v>
      </c>
      <c r="G743" s="1">
        <v>0</v>
      </c>
      <c r="H743" t="s">
        <v>17</v>
      </c>
      <c r="I743" t="s">
        <v>84</v>
      </c>
      <c r="J743" t="s">
        <v>90</v>
      </c>
      <c r="K743" s="3">
        <v>46584</v>
      </c>
      <c r="L743" t="s">
        <v>123</v>
      </c>
      <c r="M743">
        <v>0</v>
      </c>
      <c r="N743">
        <v>0</v>
      </c>
      <c r="O743">
        <f t="shared" si="33"/>
        <v>0</v>
      </c>
      <c r="Q743" t="str">
        <f t="shared" si="35"/>
        <v>QM4-01</v>
      </c>
    </row>
    <row r="744" spans="1:17" x14ac:dyDescent="0.25">
      <c r="A744" t="s">
        <v>61</v>
      </c>
      <c r="B744" t="s">
        <v>166</v>
      </c>
      <c r="C744" t="s">
        <v>167</v>
      </c>
      <c r="D744" t="s">
        <v>73</v>
      </c>
      <c r="E744" t="s">
        <v>1587</v>
      </c>
      <c r="F744" s="1">
        <v>9</v>
      </c>
      <c r="G744" s="1">
        <v>0</v>
      </c>
      <c r="H744" t="s">
        <v>17</v>
      </c>
      <c r="I744" t="s">
        <v>170</v>
      </c>
      <c r="J744" t="s">
        <v>1588</v>
      </c>
      <c r="K744" s="3">
        <v>46173</v>
      </c>
      <c r="L744" t="s">
        <v>189</v>
      </c>
      <c r="M744">
        <v>9.2999999999999999E-2</v>
      </c>
      <c r="N744">
        <v>1536</v>
      </c>
      <c r="O744">
        <f t="shared" si="33"/>
        <v>0.83699999999999997</v>
      </c>
      <c r="P744">
        <f t="shared" si="34"/>
        <v>5.859375E-3</v>
      </c>
      <c r="Q744" t="str">
        <f t="shared" si="35"/>
        <v>Q26-01</v>
      </c>
    </row>
    <row r="745" spans="1:17" x14ac:dyDescent="0.25">
      <c r="A745" t="s">
        <v>61</v>
      </c>
      <c r="B745" t="s">
        <v>71</v>
      </c>
      <c r="C745" t="s">
        <v>72</v>
      </c>
      <c r="D745" t="s">
        <v>73</v>
      </c>
      <c r="E745" t="s">
        <v>1589</v>
      </c>
      <c r="F745" s="1">
        <v>1</v>
      </c>
      <c r="G745" s="1">
        <v>0</v>
      </c>
      <c r="H745" t="s">
        <v>17</v>
      </c>
      <c r="I745" t="s">
        <v>75</v>
      </c>
      <c r="J745" t="s">
        <v>1588</v>
      </c>
      <c r="K745" s="3">
        <v>46142</v>
      </c>
      <c r="L745" t="s">
        <v>534</v>
      </c>
      <c r="M745">
        <v>0.3</v>
      </c>
      <c r="N745">
        <v>1680</v>
      </c>
      <c r="O745">
        <f t="shared" si="33"/>
        <v>0.3</v>
      </c>
      <c r="P745">
        <f t="shared" si="34"/>
        <v>5.9523809523809529E-4</v>
      </c>
      <c r="Q745" t="str">
        <f t="shared" si="35"/>
        <v>Q26-01</v>
      </c>
    </row>
    <row r="746" spans="1:17" x14ac:dyDescent="0.25">
      <c r="A746" t="s">
        <v>61</v>
      </c>
      <c r="B746" t="s">
        <v>364</v>
      </c>
      <c r="C746" t="s">
        <v>365</v>
      </c>
      <c r="D746" t="s">
        <v>1590</v>
      </c>
      <c r="E746" t="s">
        <v>1591</v>
      </c>
      <c r="F746" s="1">
        <v>15</v>
      </c>
      <c r="G746" s="1">
        <v>0</v>
      </c>
      <c r="H746" t="s">
        <v>17</v>
      </c>
      <c r="I746" t="s">
        <v>367</v>
      </c>
      <c r="J746" t="s">
        <v>1588</v>
      </c>
      <c r="K746" s="3">
        <v>46356</v>
      </c>
      <c r="L746" t="s">
        <v>419</v>
      </c>
      <c r="M746">
        <v>0.158</v>
      </c>
      <c r="N746">
        <v>1152</v>
      </c>
      <c r="O746">
        <f t="shared" si="33"/>
        <v>2.37</v>
      </c>
      <c r="P746">
        <f t="shared" si="34"/>
        <v>1.3020833333333334E-2</v>
      </c>
      <c r="Q746" t="str">
        <f t="shared" si="35"/>
        <v>Q27-03</v>
      </c>
    </row>
    <row r="747" spans="1:17" x14ac:dyDescent="0.25">
      <c r="A747" t="s">
        <v>61</v>
      </c>
      <c r="B747" t="s">
        <v>420</v>
      </c>
      <c r="C747" t="s">
        <v>421</v>
      </c>
      <c r="D747" t="s">
        <v>1590</v>
      </c>
      <c r="E747" t="s">
        <v>1592</v>
      </c>
      <c r="F747" s="1">
        <v>11</v>
      </c>
      <c r="G747" s="1">
        <v>0</v>
      </c>
      <c r="H747" t="s">
        <v>17</v>
      </c>
      <c r="I747" t="s">
        <v>423</v>
      </c>
      <c r="J747" t="s">
        <v>1588</v>
      </c>
      <c r="K747" s="3">
        <v>46356</v>
      </c>
      <c r="L747" t="s">
        <v>660</v>
      </c>
      <c r="M747">
        <v>0.156</v>
      </c>
      <c r="N747">
        <v>1152</v>
      </c>
      <c r="O747">
        <f t="shared" si="33"/>
        <v>1.716</v>
      </c>
      <c r="P747">
        <f t="shared" si="34"/>
        <v>9.5486111111111119E-3</v>
      </c>
      <c r="Q747" t="str">
        <f t="shared" si="35"/>
        <v>Q27-03</v>
      </c>
    </row>
    <row r="748" spans="1:17" x14ac:dyDescent="0.25">
      <c r="A748" t="s">
        <v>61</v>
      </c>
      <c r="B748" t="s">
        <v>420</v>
      </c>
      <c r="C748" t="s">
        <v>421</v>
      </c>
      <c r="D748" t="s">
        <v>1590</v>
      </c>
      <c r="E748" t="s">
        <v>1593</v>
      </c>
      <c r="F748" s="1">
        <v>21</v>
      </c>
      <c r="G748" s="1">
        <v>0</v>
      </c>
      <c r="H748" t="s">
        <v>17</v>
      </c>
      <c r="I748" t="s">
        <v>423</v>
      </c>
      <c r="J748" t="s">
        <v>1588</v>
      </c>
      <c r="K748" s="3">
        <v>46356</v>
      </c>
      <c r="L748" t="s">
        <v>424</v>
      </c>
      <c r="M748">
        <v>0.156</v>
      </c>
      <c r="N748">
        <v>1152</v>
      </c>
      <c r="O748">
        <f t="shared" si="33"/>
        <v>3.2759999999999998</v>
      </c>
      <c r="P748">
        <f t="shared" si="34"/>
        <v>1.8229166666666668E-2</v>
      </c>
      <c r="Q748" t="str">
        <f t="shared" si="35"/>
        <v>Q27-03</v>
      </c>
    </row>
    <row r="749" spans="1:17" x14ac:dyDescent="0.25">
      <c r="A749" t="s">
        <v>61</v>
      </c>
      <c r="B749" t="s">
        <v>219</v>
      </c>
      <c r="C749" t="s">
        <v>220</v>
      </c>
      <c r="D749" t="s">
        <v>77</v>
      </c>
      <c r="E749" t="s">
        <v>1594</v>
      </c>
      <c r="F749" s="1">
        <v>13</v>
      </c>
      <c r="G749" s="1">
        <v>0</v>
      </c>
      <c r="H749" t="s">
        <v>17</v>
      </c>
      <c r="I749" t="s">
        <v>222</v>
      </c>
      <c r="J749" t="s">
        <v>1588</v>
      </c>
      <c r="K749" s="3">
        <v>46081</v>
      </c>
      <c r="L749" t="s">
        <v>539</v>
      </c>
      <c r="M749">
        <v>0.3</v>
      </c>
      <c r="N749">
        <v>1680</v>
      </c>
      <c r="O749">
        <f t="shared" si="33"/>
        <v>3.9</v>
      </c>
      <c r="P749">
        <f t="shared" si="34"/>
        <v>7.7380952380952384E-3</v>
      </c>
      <c r="Q749" t="str">
        <f t="shared" si="35"/>
        <v>Q27-01</v>
      </c>
    </row>
    <row r="750" spans="1:17" x14ac:dyDescent="0.25">
      <c r="A750" t="s">
        <v>61</v>
      </c>
      <c r="B750" t="s">
        <v>219</v>
      </c>
      <c r="C750" t="s">
        <v>220</v>
      </c>
      <c r="D750" t="s">
        <v>1590</v>
      </c>
      <c r="E750" t="s">
        <v>1595</v>
      </c>
      <c r="F750" s="1">
        <v>3</v>
      </c>
      <c r="G750" s="1">
        <v>0</v>
      </c>
      <c r="H750" t="s">
        <v>17</v>
      </c>
      <c r="I750" t="s">
        <v>222</v>
      </c>
      <c r="J750" t="s">
        <v>1588</v>
      </c>
      <c r="K750" s="3">
        <v>46234</v>
      </c>
      <c r="L750" t="s">
        <v>902</v>
      </c>
      <c r="M750">
        <v>0.3</v>
      </c>
      <c r="N750">
        <v>1680</v>
      </c>
      <c r="O750">
        <f t="shared" si="33"/>
        <v>0.89999999999999991</v>
      </c>
      <c r="P750">
        <f t="shared" si="34"/>
        <v>1.7857142857142857E-3</v>
      </c>
      <c r="Q750" t="str">
        <f t="shared" si="35"/>
        <v>Q27-03</v>
      </c>
    </row>
    <row r="751" spans="1:17" x14ac:dyDescent="0.25">
      <c r="A751" t="s">
        <v>61</v>
      </c>
      <c r="B751" t="s">
        <v>219</v>
      </c>
      <c r="C751" t="s">
        <v>220</v>
      </c>
      <c r="D751" t="s">
        <v>73</v>
      </c>
      <c r="E751" t="s">
        <v>1596</v>
      </c>
      <c r="F751" s="1">
        <v>4</v>
      </c>
      <c r="G751" s="1">
        <v>0</v>
      </c>
      <c r="H751" t="s">
        <v>17</v>
      </c>
      <c r="I751" t="s">
        <v>222</v>
      </c>
      <c r="J751" t="s">
        <v>1588</v>
      </c>
      <c r="K751" s="3">
        <v>46081</v>
      </c>
      <c r="L751" t="s">
        <v>224</v>
      </c>
      <c r="M751">
        <v>0.3</v>
      </c>
      <c r="N751">
        <v>1680</v>
      </c>
      <c r="O751">
        <f t="shared" si="33"/>
        <v>1.2</v>
      </c>
      <c r="P751">
        <f t="shared" si="34"/>
        <v>2.3809523809523812E-3</v>
      </c>
      <c r="Q751" t="str">
        <f t="shared" si="35"/>
        <v>Q26-01</v>
      </c>
    </row>
    <row r="752" spans="1:17" x14ac:dyDescent="0.25">
      <c r="A752" t="s">
        <v>61</v>
      </c>
      <c r="B752" t="s">
        <v>456</v>
      </c>
      <c r="C752" t="s">
        <v>457</v>
      </c>
      <c r="D752" t="s">
        <v>73</v>
      </c>
      <c r="E752" t="s">
        <v>1597</v>
      </c>
      <c r="F752" s="1">
        <v>1</v>
      </c>
      <c r="G752" s="1">
        <v>0</v>
      </c>
      <c r="H752" t="s">
        <v>17</v>
      </c>
      <c r="I752" t="s">
        <v>459</v>
      </c>
      <c r="J752" t="s">
        <v>1588</v>
      </c>
      <c r="K752" s="3">
        <v>46203</v>
      </c>
      <c r="L752" t="s">
        <v>623</v>
      </c>
      <c r="M752">
        <v>0.22600000000000001</v>
      </c>
      <c r="N752">
        <v>1680</v>
      </c>
      <c r="O752">
        <f t="shared" si="33"/>
        <v>0.22600000000000001</v>
      </c>
      <c r="P752">
        <f t="shared" si="34"/>
        <v>5.9523809523809529E-4</v>
      </c>
      <c r="Q752" t="str">
        <f t="shared" si="35"/>
        <v>Q26-01</v>
      </c>
    </row>
    <row r="753" spans="1:17" x14ac:dyDescent="0.25">
      <c r="A753" t="s">
        <v>61</v>
      </c>
      <c r="B753" t="s">
        <v>456</v>
      </c>
      <c r="C753" t="s">
        <v>457</v>
      </c>
      <c r="D753" t="s">
        <v>73</v>
      </c>
      <c r="E753" t="s">
        <v>1598</v>
      </c>
      <c r="F753" s="1">
        <v>2</v>
      </c>
      <c r="G753" s="1">
        <v>0</v>
      </c>
      <c r="H753" t="s">
        <v>17</v>
      </c>
      <c r="I753" t="s">
        <v>459</v>
      </c>
      <c r="J753" t="s">
        <v>1588</v>
      </c>
      <c r="K753" s="3">
        <v>46203</v>
      </c>
      <c r="L753" t="s">
        <v>792</v>
      </c>
      <c r="M753">
        <v>0.22600000000000001</v>
      </c>
      <c r="N753">
        <v>1680</v>
      </c>
      <c r="O753">
        <f t="shared" si="33"/>
        <v>0.45200000000000001</v>
      </c>
      <c r="P753">
        <f t="shared" si="34"/>
        <v>1.1904761904761906E-3</v>
      </c>
      <c r="Q753" t="str">
        <f t="shared" si="35"/>
        <v>Q26-01</v>
      </c>
    </row>
    <row r="754" spans="1:17" x14ac:dyDescent="0.25">
      <c r="A754" t="s">
        <v>61</v>
      </c>
      <c r="B754" t="s">
        <v>364</v>
      </c>
      <c r="C754" t="s">
        <v>365</v>
      </c>
      <c r="D754" t="s">
        <v>1590</v>
      </c>
      <c r="E754" t="s">
        <v>1599</v>
      </c>
      <c r="F754" s="1">
        <v>7</v>
      </c>
      <c r="G754" s="1">
        <v>0</v>
      </c>
      <c r="H754" t="s">
        <v>17</v>
      </c>
      <c r="I754" t="s">
        <v>367</v>
      </c>
      <c r="J754" t="s">
        <v>1588</v>
      </c>
      <c r="K754" s="3">
        <v>46660</v>
      </c>
      <c r="L754" t="s">
        <v>1205</v>
      </c>
      <c r="M754">
        <v>0.158</v>
      </c>
      <c r="N754">
        <v>1152</v>
      </c>
      <c r="O754">
        <f t="shared" si="33"/>
        <v>1.1060000000000001</v>
      </c>
      <c r="P754">
        <f t="shared" si="34"/>
        <v>6.076388888888889E-3</v>
      </c>
      <c r="Q754" t="str">
        <f t="shared" si="35"/>
        <v>Q27-03</v>
      </c>
    </row>
    <row r="755" spans="1:17" x14ac:dyDescent="0.25">
      <c r="A755" t="s">
        <v>61</v>
      </c>
      <c r="B755" t="s">
        <v>891</v>
      </c>
      <c r="C755" t="s">
        <v>892</v>
      </c>
      <c r="D755" t="s">
        <v>73</v>
      </c>
      <c r="E755" t="s">
        <v>1600</v>
      </c>
      <c r="F755" s="1">
        <v>3</v>
      </c>
      <c r="G755" s="1">
        <v>0</v>
      </c>
      <c r="H755" t="s">
        <v>17</v>
      </c>
      <c r="I755" t="s">
        <v>894</v>
      </c>
      <c r="J755" t="s">
        <v>1588</v>
      </c>
      <c r="K755" s="3">
        <v>46112</v>
      </c>
      <c r="L755" t="s">
        <v>1601</v>
      </c>
      <c r="M755">
        <v>0.312</v>
      </c>
      <c r="N755">
        <v>1680</v>
      </c>
      <c r="O755">
        <f t="shared" si="33"/>
        <v>0.93599999999999994</v>
      </c>
      <c r="P755">
        <f t="shared" si="34"/>
        <v>1.7857142857142857E-3</v>
      </c>
      <c r="Q755" t="str">
        <f t="shared" si="35"/>
        <v>Q26-01</v>
      </c>
    </row>
    <row r="756" spans="1:17" x14ac:dyDescent="0.25">
      <c r="A756" t="s">
        <v>61</v>
      </c>
      <c r="B756" t="s">
        <v>891</v>
      </c>
      <c r="C756" t="s">
        <v>892</v>
      </c>
      <c r="D756" t="s">
        <v>73</v>
      </c>
      <c r="E756" t="s">
        <v>1602</v>
      </c>
      <c r="F756" s="1">
        <v>2</v>
      </c>
      <c r="G756" s="1">
        <v>0</v>
      </c>
      <c r="H756" t="s">
        <v>17</v>
      </c>
      <c r="I756" t="s">
        <v>894</v>
      </c>
      <c r="J756" t="s">
        <v>1588</v>
      </c>
      <c r="K756" s="3">
        <v>46112</v>
      </c>
      <c r="L756" t="s">
        <v>1601</v>
      </c>
      <c r="M756">
        <v>0.312</v>
      </c>
      <c r="N756">
        <v>1680</v>
      </c>
      <c r="O756">
        <f t="shared" si="33"/>
        <v>0.624</v>
      </c>
      <c r="P756">
        <f t="shared" si="34"/>
        <v>1.1904761904761906E-3</v>
      </c>
      <c r="Q756" t="str">
        <f t="shared" si="35"/>
        <v>Q26-01</v>
      </c>
    </row>
    <row r="757" spans="1:17" x14ac:dyDescent="0.25">
      <c r="A757" t="s">
        <v>61</v>
      </c>
      <c r="B757" t="s">
        <v>364</v>
      </c>
      <c r="C757" t="s">
        <v>365</v>
      </c>
      <c r="D757" t="s">
        <v>1590</v>
      </c>
      <c r="E757" t="s">
        <v>1603</v>
      </c>
      <c r="F757" s="1">
        <v>5</v>
      </c>
      <c r="G757" s="1">
        <v>0</v>
      </c>
      <c r="H757" t="s">
        <v>17</v>
      </c>
      <c r="I757" t="s">
        <v>367</v>
      </c>
      <c r="J757" t="s">
        <v>1588</v>
      </c>
      <c r="K757" s="3">
        <v>46295</v>
      </c>
      <c r="L757" t="s">
        <v>373</v>
      </c>
      <c r="M757">
        <v>0.158</v>
      </c>
      <c r="N757">
        <v>1152</v>
      </c>
      <c r="O757">
        <f t="shared" si="33"/>
        <v>0.79</v>
      </c>
      <c r="P757">
        <f t="shared" si="34"/>
        <v>4.340277777777778E-3</v>
      </c>
      <c r="Q757" t="str">
        <f t="shared" si="35"/>
        <v>Q27-03</v>
      </c>
    </row>
    <row r="758" spans="1:17" x14ac:dyDescent="0.25">
      <c r="A758" t="s">
        <v>61</v>
      </c>
      <c r="B758" t="s">
        <v>364</v>
      </c>
      <c r="C758" t="s">
        <v>365</v>
      </c>
      <c r="D758" t="s">
        <v>1590</v>
      </c>
      <c r="E758" t="s">
        <v>1604</v>
      </c>
      <c r="F758" s="1">
        <v>10</v>
      </c>
      <c r="G758" s="1">
        <v>0</v>
      </c>
      <c r="H758" t="s">
        <v>17</v>
      </c>
      <c r="I758" t="s">
        <v>367</v>
      </c>
      <c r="J758" t="s">
        <v>1588</v>
      </c>
      <c r="K758" s="3">
        <v>46326</v>
      </c>
      <c r="L758" t="s">
        <v>368</v>
      </c>
      <c r="M758">
        <v>0.158</v>
      </c>
      <c r="N758">
        <v>1152</v>
      </c>
      <c r="O758">
        <f t="shared" si="33"/>
        <v>1.58</v>
      </c>
      <c r="P758">
        <f t="shared" si="34"/>
        <v>8.6805555555555559E-3</v>
      </c>
      <c r="Q758" t="str">
        <f t="shared" si="35"/>
        <v>Q27-03</v>
      </c>
    </row>
    <row r="759" spans="1:17" x14ac:dyDescent="0.25">
      <c r="A759" t="s">
        <v>61</v>
      </c>
      <c r="B759" t="s">
        <v>364</v>
      </c>
      <c r="C759" t="s">
        <v>365</v>
      </c>
      <c r="D759" t="s">
        <v>1590</v>
      </c>
      <c r="E759" t="s">
        <v>1605</v>
      </c>
      <c r="F759" s="1">
        <v>12</v>
      </c>
      <c r="G759" s="1">
        <v>0</v>
      </c>
      <c r="H759" t="s">
        <v>17</v>
      </c>
      <c r="I759" t="s">
        <v>367</v>
      </c>
      <c r="J759" t="s">
        <v>1588</v>
      </c>
      <c r="K759" s="3">
        <v>46326</v>
      </c>
      <c r="L759" t="s">
        <v>417</v>
      </c>
      <c r="M759">
        <v>0.158</v>
      </c>
      <c r="N759">
        <v>1152</v>
      </c>
      <c r="O759">
        <f t="shared" si="33"/>
        <v>1.8959999999999999</v>
      </c>
      <c r="P759">
        <f t="shared" si="34"/>
        <v>1.0416666666666666E-2</v>
      </c>
      <c r="Q759" t="str">
        <f t="shared" si="35"/>
        <v>Q27-03</v>
      </c>
    </row>
    <row r="760" spans="1:17" x14ac:dyDescent="0.25">
      <c r="A760" t="s">
        <v>61</v>
      </c>
      <c r="B760" t="s">
        <v>364</v>
      </c>
      <c r="C760" t="s">
        <v>365</v>
      </c>
      <c r="D760" t="s">
        <v>1590</v>
      </c>
      <c r="E760" t="s">
        <v>1606</v>
      </c>
      <c r="F760" s="1">
        <v>22</v>
      </c>
      <c r="G760" s="1">
        <v>0</v>
      </c>
      <c r="H760" t="s">
        <v>17</v>
      </c>
      <c r="I760" t="s">
        <v>367</v>
      </c>
      <c r="J760" t="s">
        <v>1588</v>
      </c>
      <c r="K760" s="3">
        <v>46721</v>
      </c>
      <c r="L760" t="s">
        <v>1191</v>
      </c>
      <c r="M760">
        <v>0.158</v>
      </c>
      <c r="N760">
        <v>1152</v>
      </c>
      <c r="O760">
        <f t="shared" si="33"/>
        <v>3.476</v>
      </c>
      <c r="P760">
        <f t="shared" si="34"/>
        <v>1.9097222222222224E-2</v>
      </c>
      <c r="Q760" t="str">
        <f t="shared" si="35"/>
        <v>Q27-03</v>
      </c>
    </row>
    <row r="761" spans="1:17" x14ac:dyDescent="0.25">
      <c r="A761" t="s">
        <v>61</v>
      </c>
      <c r="B761" t="s">
        <v>364</v>
      </c>
      <c r="C761" t="s">
        <v>365</v>
      </c>
      <c r="D761" t="s">
        <v>1590</v>
      </c>
      <c r="E761" t="s">
        <v>1607</v>
      </c>
      <c r="F761" s="1">
        <v>25</v>
      </c>
      <c r="G761" s="1">
        <v>0</v>
      </c>
      <c r="H761" t="s">
        <v>17</v>
      </c>
      <c r="I761" t="s">
        <v>367</v>
      </c>
      <c r="J761" t="s">
        <v>1588</v>
      </c>
      <c r="K761" s="3">
        <v>46446</v>
      </c>
      <c r="L761" t="s">
        <v>536</v>
      </c>
      <c r="M761">
        <v>0.158</v>
      </c>
      <c r="N761">
        <v>1152</v>
      </c>
      <c r="O761">
        <f t="shared" si="33"/>
        <v>3.95</v>
      </c>
      <c r="P761">
        <f t="shared" si="34"/>
        <v>2.1701388888888888E-2</v>
      </c>
      <c r="Q761" t="str">
        <f t="shared" si="35"/>
        <v>Q27-03</v>
      </c>
    </row>
    <row r="762" spans="1:17" x14ac:dyDescent="0.25">
      <c r="A762" t="s">
        <v>61</v>
      </c>
      <c r="B762" t="s">
        <v>275</v>
      </c>
      <c r="C762" t="s">
        <v>276</v>
      </c>
      <c r="D762" t="s">
        <v>73</v>
      </c>
      <c r="E762" t="s">
        <v>1608</v>
      </c>
      <c r="F762" s="1">
        <v>1</v>
      </c>
      <c r="G762" s="1">
        <v>0</v>
      </c>
      <c r="H762" t="s">
        <v>17</v>
      </c>
      <c r="I762" t="s">
        <v>278</v>
      </c>
      <c r="J762" t="s">
        <v>1588</v>
      </c>
      <c r="K762" s="3">
        <v>46081</v>
      </c>
      <c r="L762" t="s">
        <v>1609</v>
      </c>
      <c r="M762">
        <v>4.8000000000000001E-2</v>
      </c>
      <c r="N762">
        <v>2880</v>
      </c>
      <c r="O762">
        <f t="shared" si="33"/>
        <v>4.8000000000000001E-2</v>
      </c>
      <c r="P762">
        <f t="shared" si="34"/>
        <v>3.4722222222222224E-4</v>
      </c>
      <c r="Q762" t="str">
        <f t="shared" si="35"/>
        <v>Q26-01</v>
      </c>
    </row>
    <row r="763" spans="1:17" x14ac:dyDescent="0.25">
      <c r="A763" t="s">
        <v>61</v>
      </c>
      <c r="B763" t="s">
        <v>275</v>
      </c>
      <c r="C763" t="s">
        <v>276</v>
      </c>
      <c r="D763" t="s">
        <v>69</v>
      </c>
      <c r="E763" t="s">
        <v>1610</v>
      </c>
      <c r="F763" s="1">
        <v>19</v>
      </c>
      <c r="G763" s="1">
        <v>0</v>
      </c>
      <c r="H763" t="s">
        <v>17</v>
      </c>
      <c r="I763" t="s">
        <v>278</v>
      </c>
      <c r="J763" t="s">
        <v>1611</v>
      </c>
      <c r="K763" s="3">
        <v>46081</v>
      </c>
      <c r="L763" t="s">
        <v>1609</v>
      </c>
      <c r="M763">
        <v>4.8000000000000001E-2</v>
      </c>
      <c r="N763">
        <v>2880</v>
      </c>
      <c r="O763">
        <f t="shared" si="33"/>
        <v>0.91200000000000003</v>
      </c>
      <c r="P763">
        <f t="shared" si="34"/>
        <v>6.5972222222222222E-3</v>
      </c>
      <c r="Q763" t="str">
        <f t="shared" si="35"/>
        <v>Q27-01</v>
      </c>
    </row>
    <row r="764" spans="1:17" x14ac:dyDescent="0.25">
      <c r="A764" t="s">
        <v>61</v>
      </c>
      <c r="B764" t="s">
        <v>275</v>
      </c>
      <c r="C764" t="s">
        <v>276</v>
      </c>
      <c r="D764" t="s">
        <v>69</v>
      </c>
      <c r="E764" t="s">
        <v>1612</v>
      </c>
      <c r="F764" s="1">
        <v>10</v>
      </c>
      <c r="G764" s="1">
        <v>0</v>
      </c>
      <c r="H764" t="s">
        <v>17</v>
      </c>
      <c r="I764" t="s">
        <v>278</v>
      </c>
      <c r="J764" t="s">
        <v>1611</v>
      </c>
      <c r="K764" s="3">
        <v>46081</v>
      </c>
      <c r="L764" t="s">
        <v>280</v>
      </c>
      <c r="M764">
        <v>4.8000000000000001E-2</v>
      </c>
      <c r="N764">
        <v>2880</v>
      </c>
      <c r="O764">
        <f t="shared" si="33"/>
        <v>0.48</v>
      </c>
      <c r="P764">
        <f t="shared" si="34"/>
        <v>3.472222222222222E-3</v>
      </c>
      <c r="Q764" t="str">
        <f t="shared" si="35"/>
        <v>Q27-01</v>
      </c>
    </row>
    <row r="765" spans="1:17" x14ac:dyDescent="0.25">
      <c r="A765" t="s">
        <v>61</v>
      </c>
      <c r="B765" t="s">
        <v>225</v>
      </c>
      <c r="C765" t="s">
        <v>226</v>
      </c>
      <c r="D765" t="s">
        <v>1590</v>
      </c>
      <c r="E765" t="s">
        <v>1613</v>
      </c>
      <c r="F765" s="1">
        <v>1</v>
      </c>
      <c r="G765" s="1">
        <v>0</v>
      </c>
      <c r="H765" t="s">
        <v>17</v>
      </c>
      <c r="I765" t="s">
        <v>228</v>
      </c>
      <c r="J765" t="s">
        <v>1588</v>
      </c>
      <c r="K765" s="3">
        <v>46234</v>
      </c>
      <c r="L765" t="s">
        <v>230</v>
      </c>
      <c r="M765">
        <v>5.8000000000000003E-2</v>
      </c>
      <c r="N765">
        <v>2880</v>
      </c>
      <c r="O765">
        <f t="shared" si="33"/>
        <v>5.8000000000000003E-2</v>
      </c>
      <c r="P765">
        <f t="shared" si="34"/>
        <v>3.4722222222222224E-4</v>
      </c>
      <c r="Q765" t="str">
        <f t="shared" si="35"/>
        <v>Q27-03</v>
      </c>
    </row>
    <row r="766" spans="1:17" x14ac:dyDescent="0.25">
      <c r="A766" t="s">
        <v>61</v>
      </c>
      <c r="B766" t="s">
        <v>233</v>
      </c>
      <c r="C766" t="s">
        <v>234</v>
      </c>
      <c r="D766" t="s">
        <v>1590</v>
      </c>
      <c r="E766" t="s">
        <v>1614</v>
      </c>
      <c r="F766" s="1">
        <v>1</v>
      </c>
      <c r="G766" s="1">
        <v>0</v>
      </c>
      <c r="H766" t="s">
        <v>17</v>
      </c>
      <c r="I766" t="s">
        <v>236</v>
      </c>
      <c r="J766" t="s">
        <v>1588</v>
      </c>
      <c r="K766" s="3">
        <v>46599</v>
      </c>
      <c r="L766" t="s">
        <v>246</v>
      </c>
      <c r="M766">
        <v>7.4999999999999997E-2</v>
      </c>
      <c r="N766">
        <v>2688</v>
      </c>
      <c r="O766">
        <f t="shared" si="33"/>
        <v>7.4999999999999997E-2</v>
      </c>
      <c r="P766">
        <f t="shared" si="34"/>
        <v>3.720238095238095E-4</v>
      </c>
      <c r="Q766" t="str">
        <f t="shared" si="35"/>
        <v>Q27-03</v>
      </c>
    </row>
    <row r="767" spans="1:17" x14ac:dyDescent="0.25">
      <c r="A767" t="s">
        <v>61</v>
      </c>
      <c r="B767" t="s">
        <v>233</v>
      </c>
      <c r="C767" t="s">
        <v>234</v>
      </c>
      <c r="D767" t="s">
        <v>1590</v>
      </c>
      <c r="E767" t="s">
        <v>1615</v>
      </c>
      <c r="F767" s="1">
        <v>1</v>
      </c>
      <c r="G767" s="1">
        <v>0</v>
      </c>
      <c r="H767" t="s">
        <v>17</v>
      </c>
      <c r="I767" t="s">
        <v>236</v>
      </c>
      <c r="J767" t="s">
        <v>1588</v>
      </c>
      <c r="K767" s="3">
        <v>46599</v>
      </c>
      <c r="L767" t="s">
        <v>237</v>
      </c>
      <c r="M767">
        <v>7.4999999999999997E-2</v>
      </c>
      <c r="N767">
        <v>2688</v>
      </c>
      <c r="O767">
        <f t="shared" si="33"/>
        <v>7.4999999999999997E-2</v>
      </c>
      <c r="P767">
        <f t="shared" si="34"/>
        <v>3.720238095238095E-4</v>
      </c>
      <c r="Q767" t="str">
        <f t="shared" si="35"/>
        <v>Q27-03</v>
      </c>
    </row>
    <row r="768" spans="1:17" x14ac:dyDescent="0.25">
      <c r="A768" t="s">
        <v>61</v>
      </c>
      <c r="B768" t="s">
        <v>233</v>
      </c>
      <c r="C768" t="s">
        <v>234</v>
      </c>
      <c r="D768" t="s">
        <v>77</v>
      </c>
      <c r="E768" t="s">
        <v>1616</v>
      </c>
      <c r="F768" s="1">
        <v>1</v>
      </c>
      <c r="G768" s="1">
        <v>0</v>
      </c>
      <c r="H768" t="s">
        <v>17</v>
      </c>
      <c r="I768" t="s">
        <v>236</v>
      </c>
      <c r="J768" t="s">
        <v>1588</v>
      </c>
      <c r="K768" s="3">
        <v>46053</v>
      </c>
      <c r="L768" t="s">
        <v>273</v>
      </c>
      <c r="M768">
        <v>7.4999999999999997E-2</v>
      </c>
      <c r="N768">
        <v>2688</v>
      </c>
      <c r="O768">
        <f t="shared" si="33"/>
        <v>7.4999999999999997E-2</v>
      </c>
      <c r="P768">
        <f t="shared" si="34"/>
        <v>3.720238095238095E-4</v>
      </c>
      <c r="Q768" t="str">
        <f t="shared" si="35"/>
        <v>Q27-01</v>
      </c>
    </row>
    <row r="769" spans="1:17" x14ac:dyDescent="0.25">
      <c r="A769" t="s">
        <v>61</v>
      </c>
      <c r="B769" t="s">
        <v>352</v>
      </c>
      <c r="C769" t="s">
        <v>353</v>
      </c>
      <c r="D769" t="s">
        <v>1590</v>
      </c>
      <c r="E769" t="s">
        <v>1617</v>
      </c>
      <c r="F769" s="1">
        <v>2</v>
      </c>
      <c r="G769" s="1">
        <v>0</v>
      </c>
      <c r="H769" t="s">
        <v>17</v>
      </c>
      <c r="I769" t="s">
        <v>355</v>
      </c>
      <c r="J769" t="s">
        <v>1588</v>
      </c>
      <c r="K769" s="3">
        <v>46234</v>
      </c>
      <c r="L769" t="s">
        <v>357</v>
      </c>
      <c r="M769">
        <v>5.0999999999999997E-2</v>
      </c>
      <c r="N769">
        <v>2880</v>
      </c>
      <c r="O769">
        <f t="shared" si="33"/>
        <v>0.10199999999999999</v>
      </c>
      <c r="P769">
        <f t="shared" si="34"/>
        <v>6.9444444444444447E-4</v>
      </c>
      <c r="Q769" t="str">
        <f t="shared" si="35"/>
        <v>Q27-03</v>
      </c>
    </row>
    <row r="770" spans="1:17" x14ac:dyDescent="0.25">
      <c r="A770" t="s">
        <v>61</v>
      </c>
      <c r="B770" t="s">
        <v>62</v>
      </c>
      <c r="C770" t="s">
        <v>63</v>
      </c>
      <c r="D770" t="s">
        <v>73</v>
      </c>
      <c r="E770" t="s">
        <v>1618</v>
      </c>
      <c r="F770" s="1">
        <v>1</v>
      </c>
      <c r="G770" s="1">
        <v>0</v>
      </c>
      <c r="H770" t="s">
        <v>17</v>
      </c>
      <c r="I770" t="s">
        <v>66</v>
      </c>
      <c r="J770" t="s">
        <v>1588</v>
      </c>
      <c r="K770" s="3">
        <v>46081</v>
      </c>
      <c r="L770" t="s">
        <v>68</v>
      </c>
      <c r="M770">
        <v>9.6000000000000002E-2</v>
      </c>
      <c r="N770">
        <v>1920</v>
      </c>
      <c r="O770">
        <f t="shared" si="33"/>
        <v>9.6000000000000002E-2</v>
      </c>
      <c r="P770">
        <f t="shared" si="34"/>
        <v>5.2083333333333333E-4</v>
      </c>
      <c r="Q770" t="str">
        <f t="shared" si="35"/>
        <v>Q26-01</v>
      </c>
    </row>
    <row r="771" spans="1:17" x14ac:dyDescent="0.25">
      <c r="A771" t="s">
        <v>61</v>
      </c>
      <c r="B771" t="s">
        <v>796</v>
      </c>
      <c r="C771" t="s">
        <v>797</v>
      </c>
      <c r="D771" t="s">
        <v>1590</v>
      </c>
      <c r="E771" t="s">
        <v>1619</v>
      </c>
      <c r="F771" s="1">
        <v>19</v>
      </c>
      <c r="G771" s="1">
        <v>0</v>
      </c>
      <c r="H771" t="s">
        <v>17</v>
      </c>
      <c r="I771" t="s">
        <v>799</v>
      </c>
      <c r="J771" t="s">
        <v>1611</v>
      </c>
      <c r="K771" s="3">
        <v>46203</v>
      </c>
      <c r="L771" t="s">
        <v>800</v>
      </c>
      <c r="M771">
        <v>0.10199999999999999</v>
      </c>
      <c r="N771">
        <v>2880</v>
      </c>
      <c r="O771">
        <f t="shared" ref="O771:O834" si="36">F771*M771</f>
        <v>1.9379999999999999</v>
      </c>
      <c r="P771">
        <f t="shared" ref="P771:P834" si="37">F771/N771</f>
        <v>6.5972222222222222E-3</v>
      </c>
      <c r="Q771" t="str">
        <f t="shared" ref="Q771:Q834" si="38">LEFT(D771,6)</f>
        <v>Q27-03</v>
      </c>
    </row>
    <row r="772" spans="1:17" x14ac:dyDescent="0.25">
      <c r="A772" t="s">
        <v>61</v>
      </c>
      <c r="B772" t="s">
        <v>317</v>
      </c>
      <c r="C772" t="s">
        <v>318</v>
      </c>
      <c r="D772" t="s">
        <v>1590</v>
      </c>
      <c r="E772" t="s">
        <v>1620</v>
      </c>
      <c r="F772" s="1">
        <v>10</v>
      </c>
      <c r="G772" s="1">
        <v>0</v>
      </c>
      <c r="H772" t="s">
        <v>17</v>
      </c>
      <c r="I772" t="s">
        <v>320</v>
      </c>
      <c r="J772" t="s">
        <v>1588</v>
      </c>
      <c r="K772" s="3">
        <v>46538</v>
      </c>
      <c r="L772" t="s">
        <v>697</v>
      </c>
      <c r="M772">
        <v>0.04</v>
      </c>
      <c r="N772">
        <v>2688</v>
      </c>
      <c r="O772">
        <f t="shared" si="36"/>
        <v>0.4</v>
      </c>
      <c r="P772">
        <f t="shared" si="37"/>
        <v>3.720238095238095E-3</v>
      </c>
      <c r="Q772" t="str">
        <f t="shared" si="38"/>
        <v>Q27-03</v>
      </c>
    </row>
    <row r="773" spans="1:17" x14ac:dyDescent="0.25">
      <c r="A773" t="s">
        <v>61</v>
      </c>
      <c r="B773" t="s">
        <v>317</v>
      </c>
      <c r="C773" t="s">
        <v>318</v>
      </c>
      <c r="D773" t="s">
        <v>1590</v>
      </c>
      <c r="E773" t="s">
        <v>1621</v>
      </c>
      <c r="F773" s="1">
        <v>2</v>
      </c>
      <c r="G773" s="1">
        <v>0</v>
      </c>
      <c r="H773" t="s">
        <v>17</v>
      </c>
      <c r="I773" t="s">
        <v>320</v>
      </c>
      <c r="J773" t="s">
        <v>1588</v>
      </c>
      <c r="K773" s="3">
        <v>46568</v>
      </c>
      <c r="L773" t="s">
        <v>1622</v>
      </c>
      <c r="M773">
        <v>0.04</v>
      </c>
      <c r="N773">
        <v>2688</v>
      </c>
      <c r="O773">
        <f t="shared" si="36"/>
        <v>0.08</v>
      </c>
      <c r="P773">
        <f t="shared" si="37"/>
        <v>7.4404761904761901E-4</v>
      </c>
      <c r="Q773" t="str">
        <f t="shared" si="38"/>
        <v>Q27-03</v>
      </c>
    </row>
    <row r="774" spans="1:17" x14ac:dyDescent="0.25">
      <c r="A774" t="s">
        <v>61</v>
      </c>
      <c r="B774" t="s">
        <v>317</v>
      </c>
      <c r="C774" t="s">
        <v>318</v>
      </c>
      <c r="D774" t="s">
        <v>1590</v>
      </c>
      <c r="E774" t="s">
        <v>1623</v>
      </c>
      <c r="F774" s="1">
        <v>2</v>
      </c>
      <c r="G774" s="1">
        <v>0</v>
      </c>
      <c r="H774" t="s">
        <v>17</v>
      </c>
      <c r="I774" t="s">
        <v>320</v>
      </c>
      <c r="J774" t="s">
        <v>1588</v>
      </c>
      <c r="K774" s="3">
        <v>46507</v>
      </c>
      <c r="L774" t="s">
        <v>683</v>
      </c>
      <c r="M774">
        <v>0.04</v>
      </c>
      <c r="N774">
        <v>2688</v>
      </c>
      <c r="O774">
        <f t="shared" si="36"/>
        <v>0.08</v>
      </c>
      <c r="P774">
        <f t="shared" si="37"/>
        <v>7.4404761904761901E-4</v>
      </c>
      <c r="Q774" t="str">
        <f t="shared" si="38"/>
        <v>Q27-03</v>
      </c>
    </row>
    <row r="775" spans="1:17" x14ac:dyDescent="0.25">
      <c r="A775" t="s">
        <v>61</v>
      </c>
      <c r="B775" t="s">
        <v>317</v>
      </c>
      <c r="C775" t="s">
        <v>318</v>
      </c>
      <c r="D775" t="s">
        <v>77</v>
      </c>
      <c r="E775" t="s">
        <v>1624</v>
      </c>
      <c r="F775" s="1">
        <v>2</v>
      </c>
      <c r="G775" s="1">
        <v>0</v>
      </c>
      <c r="H775" t="s">
        <v>17</v>
      </c>
      <c r="I775" t="s">
        <v>320</v>
      </c>
      <c r="J775" t="s">
        <v>1588</v>
      </c>
      <c r="K775" s="3">
        <v>46173</v>
      </c>
      <c r="L775" t="s">
        <v>321</v>
      </c>
      <c r="M775">
        <v>0.04</v>
      </c>
      <c r="N775">
        <v>2688</v>
      </c>
      <c r="O775">
        <f t="shared" si="36"/>
        <v>0.08</v>
      </c>
      <c r="P775">
        <f t="shared" si="37"/>
        <v>7.4404761904761901E-4</v>
      </c>
      <c r="Q775" t="str">
        <f t="shared" si="38"/>
        <v>Q27-01</v>
      </c>
    </row>
    <row r="776" spans="1:17" x14ac:dyDescent="0.25">
      <c r="A776" t="s">
        <v>61</v>
      </c>
      <c r="B776" t="s">
        <v>317</v>
      </c>
      <c r="C776" t="s">
        <v>318</v>
      </c>
      <c r="D776" t="s">
        <v>1590</v>
      </c>
      <c r="E776" t="s">
        <v>1625</v>
      </c>
      <c r="F776" s="1">
        <v>1</v>
      </c>
      <c r="G776" s="1">
        <v>0</v>
      </c>
      <c r="H776" t="s">
        <v>17</v>
      </c>
      <c r="I776" t="s">
        <v>320</v>
      </c>
      <c r="J776" t="s">
        <v>1588</v>
      </c>
      <c r="K776" s="3">
        <v>46599</v>
      </c>
      <c r="L776" t="s">
        <v>1117</v>
      </c>
      <c r="M776">
        <v>0.04</v>
      </c>
      <c r="N776">
        <v>2688</v>
      </c>
      <c r="O776">
        <f t="shared" si="36"/>
        <v>0.04</v>
      </c>
      <c r="P776">
        <f t="shared" si="37"/>
        <v>3.720238095238095E-4</v>
      </c>
      <c r="Q776" t="str">
        <f t="shared" si="38"/>
        <v>Q27-03</v>
      </c>
    </row>
    <row r="777" spans="1:17" x14ac:dyDescent="0.25">
      <c r="A777" t="s">
        <v>61</v>
      </c>
      <c r="B777" t="s">
        <v>317</v>
      </c>
      <c r="C777" t="s">
        <v>318</v>
      </c>
      <c r="D777" t="s">
        <v>1590</v>
      </c>
      <c r="E777" t="s">
        <v>1626</v>
      </c>
      <c r="F777" s="1">
        <v>3</v>
      </c>
      <c r="G777" s="1">
        <v>0</v>
      </c>
      <c r="H777" t="s">
        <v>17</v>
      </c>
      <c r="I777" t="s">
        <v>320</v>
      </c>
      <c r="J777" t="s">
        <v>1588</v>
      </c>
      <c r="K777" s="3">
        <v>46477</v>
      </c>
      <c r="L777" t="s">
        <v>434</v>
      </c>
      <c r="M777">
        <v>0.04</v>
      </c>
      <c r="N777">
        <v>2688</v>
      </c>
      <c r="O777">
        <f t="shared" si="36"/>
        <v>0.12</v>
      </c>
      <c r="P777">
        <f t="shared" si="37"/>
        <v>1.1160714285714285E-3</v>
      </c>
      <c r="Q777" t="str">
        <f t="shared" si="38"/>
        <v>Q27-03</v>
      </c>
    </row>
    <row r="778" spans="1:17" x14ac:dyDescent="0.25">
      <c r="A778" t="s">
        <v>61</v>
      </c>
      <c r="B778" t="s">
        <v>317</v>
      </c>
      <c r="C778" t="s">
        <v>318</v>
      </c>
      <c r="D778" t="s">
        <v>1590</v>
      </c>
      <c r="E778" t="s">
        <v>1627</v>
      </c>
      <c r="F778" s="1">
        <v>2</v>
      </c>
      <c r="G778" s="1">
        <v>0</v>
      </c>
      <c r="H778" t="s">
        <v>17</v>
      </c>
      <c r="I778" t="s">
        <v>320</v>
      </c>
      <c r="J778" t="s">
        <v>1588</v>
      </c>
      <c r="K778" s="3">
        <v>46418</v>
      </c>
      <c r="L778" t="s">
        <v>478</v>
      </c>
      <c r="M778">
        <v>0.04</v>
      </c>
      <c r="N778">
        <v>2688</v>
      </c>
      <c r="O778">
        <f t="shared" si="36"/>
        <v>0.08</v>
      </c>
      <c r="P778">
        <f t="shared" si="37"/>
        <v>7.4404761904761901E-4</v>
      </c>
      <c r="Q778" t="str">
        <f t="shared" si="38"/>
        <v>Q27-03</v>
      </c>
    </row>
    <row r="779" spans="1:17" x14ac:dyDescent="0.25">
      <c r="A779" t="s">
        <v>12</v>
      </c>
      <c r="B779" t="s">
        <v>1628</v>
      </c>
      <c r="C779" t="s">
        <v>1629</v>
      </c>
      <c r="D779" t="s">
        <v>388</v>
      </c>
      <c r="E779" t="s">
        <v>1630</v>
      </c>
      <c r="F779" s="1">
        <v>5</v>
      </c>
      <c r="G779" s="1">
        <v>0</v>
      </c>
      <c r="H779" t="s">
        <v>17</v>
      </c>
      <c r="I779" t="s">
        <v>1631</v>
      </c>
      <c r="J779" t="s">
        <v>1632</v>
      </c>
      <c r="K779" s="3">
        <v>46794</v>
      </c>
      <c r="L779" t="s">
        <v>1633</v>
      </c>
      <c r="M779">
        <v>5.0999999999999997E-2</v>
      </c>
      <c r="N779">
        <v>4200</v>
      </c>
      <c r="O779">
        <f t="shared" si="36"/>
        <v>0.255</v>
      </c>
      <c r="P779">
        <f t="shared" si="37"/>
        <v>1.1904761904761906E-3</v>
      </c>
      <c r="Q779" t="str">
        <f t="shared" si="38"/>
        <v>Q26-03</v>
      </c>
    </row>
    <row r="780" spans="1:17" x14ac:dyDescent="0.25">
      <c r="A780" t="s">
        <v>61</v>
      </c>
      <c r="B780" t="s">
        <v>317</v>
      </c>
      <c r="C780" t="s">
        <v>318</v>
      </c>
      <c r="D780" t="s">
        <v>244</v>
      </c>
      <c r="E780" t="s">
        <v>1634</v>
      </c>
      <c r="F780" s="1">
        <v>6</v>
      </c>
      <c r="G780" s="1">
        <v>0</v>
      </c>
      <c r="H780" t="s">
        <v>17</v>
      </c>
      <c r="I780" t="s">
        <v>320</v>
      </c>
      <c r="J780" t="s">
        <v>1635</v>
      </c>
      <c r="K780" s="3">
        <v>46721</v>
      </c>
      <c r="L780" t="s">
        <v>1636</v>
      </c>
      <c r="M780">
        <v>0.04</v>
      </c>
      <c r="N780">
        <v>2688</v>
      </c>
      <c r="O780">
        <f t="shared" si="36"/>
        <v>0.24</v>
      </c>
      <c r="P780">
        <f t="shared" si="37"/>
        <v>2.232142857142857E-3</v>
      </c>
      <c r="Q780" t="str">
        <f t="shared" si="38"/>
        <v>Q27-03</v>
      </c>
    </row>
    <row r="781" spans="1:17" x14ac:dyDescent="0.25">
      <c r="A781" t="s">
        <v>61</v>
      </c>
      <c r="B781" t="s">
        <v>317</v>
      </c>
      <c r="C781" t="s">
        <v>318</v>
      </c>
      <c r="D781" t="s">
        <v>244</v>
      </c>
      <c r="E781" t="s">
        <v>1637</v>
      </c>
      <c r="F781" s="1">
        <v>5</v>
      </c>
      <c r="G781" s="1">
        <v>0</v>
      </c>
      <c r="H781" t="s">
        <v>17</v>
      </c>
      <c r="I781" t="s">
        <v>320</v>
      </c>
      <c r="J781" t="s">
        <v>1635</v>
      </c>
      <c r="K781" s="3">
        <v>46721</v>
      </c>
      <c r="L781" t="s">
        <v>1636</v>
      </c>
      <c r="M781">
        <v>0.04</v>
      </c>
      <c r="N781">
        <v>2688</v>
      </c>
      <c r="O781">
        <f t="shared" si="36"/>
        <v>0.2</v>
      </c>
      <c r="P781">
        <f t="shared" si="37"/>
        <v>1.8601190476190475E-3</v>
      </c>
      <c r="Q781" t="str">
        <f t="shared" si="38"/>
        <v>Q27-03</v>
      </c>
    </row>
    <row r="782" spans="1:17" x14ac:dyDescent="0.25">
      <c r="A782" t="s">
        <v>61</v>
      </c>
      <c r="B782" t="s">
        <v>317</v>
      </c>
      <c r="C782" t="s">
        <v>318</v>
      </c>
      <c r="D782" t="s">
        <v>244</v>
      </c>
      <c r="E782" t="s">
        <v>1638</v>
      </c>
      <c r="F782" s="1">
        <v>7</v>
      </c>
      <c r="G782" s="1">
        <v>0</v>
      </c>
      <c r="H782" t="s">
        <v>17</v>
      </c>
      <c r="I782" t="s">
        <v>320</v>
      </c>
      <c r="J782" t="s">
        <v>1635</v>
      </c>
      <c r="K782" s="3">
        <v>46721</v>
      </c>
      <c r="L782" t="s">
        <v>1636</v>
      </c>
      <c r="M782">
        <v>0.04</v>
      </c>
      <c r="N782">
        <v>2688</v>
      </c>
      <c r="O782">
        <f t="shared" si="36"/>
        <v>0.28000000000000003</v>
      </c>
      <c r="P782">
        <f t="shared" si="37"/>
        <v>2.6041666666666665E-3</v>
      </c>
      <c r="Q782" t="str">
        <f t="shared" si="38"/>
        <v>Q27-03</v>
      </c>
    </row>
    <row r="783" spans="1:17" x14ac:dyDescent="0.25">
      <c r="A783" t="s">
        <v>61</v>
      </c>
      <c r="B783" t="s">
        <v>317</v>
      </c>
      <c r="C783" t="s">
        <v>318</v>
      </c>
      <c r="D783" t="s">
        <v>244</v>
      </c>
      <c r="E783" t="s">
        <v>1639</v>
      </c>
      <c r="F783" s="1">
        <v>15</v>
      </c>
      <c r="G783" s="1">
        <v>0</v>
      </c>
      <c r="H783" t="s">
        <v>17</v>
      </c>
      <c r="I783" t="s">
        <v>320</v>
      </c>
      <c r="J783" t="s">
        <v>1635</v>
      </c>
      <c r="K783" s="3">
        <v>46721</v>
      </c>
      <c r="L783" t="s">
        <v>1636</v>
      </c>
      <c r="M783">
        <v>0.04</v>
      </c>
      <c r="N783">
        <v>2688</v>
      </c>
      <c r="O783">
        <f t="shared" si="36"/>
        <v>0.6</v>
      </c>
      <c r="P783">
        <f t="shared" si="37"/>
        <v>5.580357142857143E-3</v>
      </c>
      <c r="Q783" t="str">
        <f t="shared" si="38"/>
        <v>Q27-03</v>
      </c>
    </row>
    <row r="784" spans="1:17" x14ac:dyDescent="0.25">
      <c r="A784" t="s">
        <v>61</v>
      </c>
      <c r="B784" t="s">
        <v>317</v>
      </c>
      <c r="C784" t="s">
        <v>318</v>
      </c>
      <c r="D784" t="s">
        <v>244</v>
      </c>
      <c r="E784" t="s">
        <v>1640</v>
      </c>
      <c r="F784" s="1">
        <v>5</v>
      </c>
      <c r="G784" s="1">
        <v>0</v>
      </c>
      <c r="H784" t="s">
        <v>17</v>
      </c>
      <c r="I784" t="s">
        <v>320</v>
      </c>
      <c r="J784" t="s">
        <v>1635</v>
      </c>
      <c r="K784" s="3">
        <v>46721</v>
      </c>
      <c r="L784" t="s">
        <v>1636</v>
      </c>
      <c r="M784">
        <v>0.04</v>
      </c>
      <c r="N784">
        <v>2688</v>
      </c>
      <c r="O784">
        <f t="shared" si="36"/>
        <v>0.2</v>
      </c>
      <c r="P784">
        <f t="shared" si="37"/>
        <v>1.8601190476190475E-3</v>
      </c>
      <c r="Q784" t="str">
        <f t="shared" si="38"/>
        <v>Q27-03</v>
      </c>
    </row>
    <row r="785" spans="1:17" x14ac:dyDescent="0.25">
      <c r="A785" t="s">
        <v>61</v>
      </c>
      <c r="B785" t="s">
        <v>317</v>
      </c>
      <c r="C785" t="s">
        <v>318</v>
      </c>
      <c r="D785" t="s">
        <v>382</v>
      </c>
      <c r="E785" t="s">
        <v>1641</v>
      </c>
      <c r="F785" s="1">
        <v>1</v>
      </c>
      <c r="G785" s="1">
        <v>0</v>
      </c>
      <c r="H785" t="s">
        <v>17</v>
      </c>
      <c r="I785" t="s">
        <v>320</v>
      </c>
      <c r="J785" t="s">
        <v>1635</v>
      </c>
      <c r="K785" s="3">
        <v>46721</v>
      </c>
      <c r="L785" t="s">
        <v>1636</v>
      </c>
      <c r="M785">
        <v>0.04</v>
      </c>
      <c r="N785">
        <v>2688</v>
      </c>
      <c r="O785">
        <f t="shared" si="36"/>
        <v>0.04</v>
      </c>
      <c r="P785">
        <f t="shared" si="37"/>
        <v>3.720238095238095E-4</v>
      </c>
      <c r="Q785" t="str">
        <f t="shared" si="38"/>
        <v>Q27-03</v>
      </c>
    </row>
    <row r="786" spans="1:17" x14ac:dyDescent="0.25">
      <c r="A786" t="s">
        <v>61</v>
      </c>
      <c r="B786" t="s">
        <v>317</v>
      </c>
      <c r="C786" t="s">
        <v>318</v>
      </c>
      <c r="D786" t="s">
        <v>198</v>
      </c>
      <c r="E786" t="s">
        <v>1642</v>
      </c>
      <c r="F786" s="1">
        <v>4</v>
      </c>
      <c r="G786" s="1">
        <v>0</v>
      </c>
      <c r="H786" t="s">
        <v>17</v>
      </c>
      <c r="I786" t="s">
        <v>320</v>
      </c>
      <c r="J786" t="s">
        <v>1635</v>
      </c>
      <c r="K786" s="3">
        <v>46721</v>
      </c>
      <c r="L786" t="s">
        <v>1636</v>
      </c>
      <c r="M786">
        <v>0.04</v>
      </c>
      <c r="N786">
        <v>2688</v>
      </c>
      <c r="O786">
        <f t="shared" si="36"/>
        <v>0.16</v>
      </c>
      <c r="P786">
        <f t="shared" si="37"/>
        <v>1.488095238095238E-3</v>
      </c>
      <c r="Q786" t="str">
        <f t="shared" si="38"/>
        <v>Q27-03</v>
      </c>
    </row>
    <row r="787" spans="1:17" x14ac:dyDescent="0.25">
      <c r="A787" t="s">
        <v>61</v>
      </c>
      <c r="B787" t="s">
        <v>317</v>
      </c>
      <c r="C787" t="s">
        <v>318</v>
      </c>
      <c r="D787" t="s">
        <v>198</v>
      </c>
      <c r="E787" t="s">
        <v>1643</v>
      </c>
      <c r="F787" s="1">
        <v>4</v>
      </c>
      <c r="G787" s="1">
        <v>0</v>
      </c>
      <c r="H787" t="s">
        <v>17</v>
      </c>
      <c r="I787" t="s">
        <v>320</v>
      </c>
      <c r="J787" t="s">
        <v>1635</v>
      </c>
      <c r="K787" s="3">
        <v>46721</v>
      </c>
      <c r="L787" t="s">
        <v>1636</v>
      </c>
      <c r="M787">
        <v>0.04</v>
      </c>
      <c r="N787">
        <v>2688</v>
      </c>
      <c r="O787">
        <f t="shared" si="36"/>
        <v>0.16</v>
      </c>
      <c r="P787">
        <f t="shared" si="37"/>
        <v>1.488095238095238E-3</v>
      </c>
      <c r="Q787" t="str">
        <f t="shared" si="38"/>
        <v>Q27-03</v>
      </c>
    </row>
    <row r="788" spans="1:17" x14ac:dyDescent="0.25">
      <c r="A788" t="s">
        <v>61</v>
      </c>
      <c r="B788" t="s">
        <v>317</v>
      </c>
      <c r="C788" t="s">
        <v>318</v>
      </c>
      <c r="D788" t="s">
        <v>198</v>
      </c>
      <c r="E788" t="s">
        <v>1644</v>
      </c>
      <c r="F788" s="1">
        <v>6</v>
      </c>
      <c r="G788" s="1">
        <v>0</v>
      </c>
      <c r="H788" t="s">
        <v>17</v>
      </c>
      <c r="I788" t="s">
        <v>320</v>
      </c>
      <c r="J788" t="s">
        <v>1635</v>
      </c>
      <c r="K788" s="3">
        <v>46721</v>
      </c>
      <c r="L788" t="s">
        <v>1636</v>
      </c>
      <c r="M788">
        <v>0.04</v>
      </c>
      <c r="N788">
        <v>2688</v>
      </c>
      <c r="O788">
        <f t="shared" si="36"/>
        <v>0.24</v>
      </c>
      <c r="P788">
        <f t="shared" si="37"/>
        <v>2.232142857142857E-3</v>
      </c>
      <c r="Q788" t="str">
        <f t="shared" si="38"/>
        <v>Q27-03</v>
      </c>
    </row>
    <row r="789" spans="1:17" x14ac:dyDescent="0.25">
      <c r="A789" t="s">
        <v>61</v>
      </c>
      <c r="B789" t="s">
        <v>219</v>
      </c>
      <c r="C789" t="s">
        <v>220</v>
      </c>
      <c r="D789" t="s">
        <v>244</v>
      </c>
      <c r="E789" t="s">
        <v>1645</v>
      </c>
      <c r="F789" s="1">
        <v>11</v>
      </c>
      <c r="G789" s="1">
        <v>0</v>
      </c>
      <c r="H789" t="s">
        <v>17</v>
      </c>
      <c r="I789" t="s">
        <v>222</v>
      </c>
      <c r="J789" t="s">
        <v>1635</v>
      </c>
      <c r="K789" s="3">
        <v>46477</v>
      </c>
      <c r="L789" t="s">
        <v>1646</v>
      </c>
      <c r="M789">
        <v>0.3</v>
      </c>
      <c r="N789">
        <v>1680</v>
      </c>
      <c r="O789">
        <f t="shared" si="36"/>
        <v>3.3</v>
      </c>
      <c r="P789">
        <f t="shared" si="37"/>
        <v>6.5476190476190478E-3</v>
      </c>
      <c r="Q789" t="str">
        <f t="shared" si="38"/>
        <v>Q27-03</v>
      </c>
    </row>
    <row r="790" spans="1:17" x14ac:dyDescent="0.25">
      <c r="A790" t="s">
        <v>61</v>
      </c>
      <c r="B790" t="s">
        <v>219</v>
      </c>
      <c r="C790" t="s">
        <v>220</v>
      </c>
      <c r="D790" t="s">
        <v>382</v>
      </c>
      <c r="E790" t="s">
        <v>1647</v>
      </c>
      <c r="F790" s="1">
        <v>44</v>
      </c>
      <c r="G790" s="1">
        <v>0</v>
      </c>
      <c r="H790" t="s">
        <v>17</v>
      </c>
      <c r="I790" t="s">
        <v>222</v>
      </c>
      <c r="J790" t="s">
        <v>1635</v>
      </c>
      <c r="K790" s="3">
        <v>46477</v>
      </c>
      <c r="L790" t="s">
        <v>1646</v>
      </c>
      <c r="M790">
        <v>0.3</v>
      </c>
      <c r="N790">
        <v>1680</v>
      </c>
      <c r="O790">
        <f t="shared" si="36"/>
        <v>13.2</v>
      </c>
      <c r="P790">
        <f t="shared" si="37"/>
        <v>2.6190476190476191E-2</v>
      </c>
      <c r="Q790" t="str">
        <f t="shared" si="38"/>
        <v>Q27-03</v>
      </c>
    </row>
    <row r="791" spans="1:17" x14ac:dyDescent="0.25">
      <c r="A791" t="s">
        <v>61</v>
      </c>
      <c r="B791" t="s">
        <v>219</v>
      </c>
      <c r="C791" t="s">
        <v>220</v>
      </c>
      <c r="D791" t="s">
        <v>1648</v>
      </c>
      <c r="E791" t="s">
        <v>1649</v>
      </c>
      <c r="F791" s="1">
        <v>10</v>
      </c>
      <c r="G791" s="1">
        <v>0</v>
      </c>
      <c r="H791" t="s">
        <v>17</v>
      </c>
      <c r="I791" t="s">
        <v>222</v>
      </c>
      <c r="J791" t="s">
        <v>1635</v>
      </c>
      <c r="K791" s="3">
        <v>46477</v>
      </c>
      <c r="L791" t="s">
        <v>1646</v>
      </c>
      <c r="M791">
        <v>0.3</v>
      </c>
      <c r="N791">
        <v>1680</v>
      </c>
      <c r="O791">
        <f t="shared" si="36"/>
        <v>3</v>
      </c>
      <c r="P791">
        <f t="shared" si="37"/>
        <v>5.9523809523809521E-3</v>
      </c>
      <c r="Q791" t="str">
        <f t="shared" si="38"/>
        <v>Q27-03</v>
      </c>
    </row>
    <row r="792" spans="1:17" x14ac:dyDescent="0.25">
      <c r="A792" t="s">
        <v>61</v>
      </c>
      <c r="B792" t="s">
        <v>219</v>
      </c>
      <c r="C792" t="s">
        <v>220</v>
      </c>
      <c r="D792" t="s">
        <v>1648</v>
      </c>
      <c r="E792" t="s">
        <v>1650</v>
      </c>
      <c r="F792" s="1">
        <v>18</v>
      </c>
      <c r="G792" s="1">
        <v>0</v>
      </c>
      <c r="H792" t="s">
        <v>17</v>
      </c>
      <c r="I792" t="s">
        <v>222</v>
      </c>
      <c r="J792" t="s">
        <v>1635</v>
      </c>
      <c r="K792" s="3">
        <v>46477</v>
      </c>
      <c r="L792" t="s">
        <v>1646</v>
      </c>
      <c r="M792">
        <v>0.3</v>
      </c>
      <c r="N792">
        <v>1680</v>
      </c>
      <c r="O792">
        <f t="shared" si="36"/>
        <v>5.3999999999999995</v>
      </c>
      <c r="P792">
        <f t="shared" si="37"/>
        <v>1.0714285714285714E-2</v>
      </c>
      <c r="Q792" t="str">
        <f t="shared" si="38"/>
        <v>Q27-03</v>
      </c>
    </row>
    <row r="793" spans="1:17" x14ac:dyDescent="0.25">
      <c r="A793" t="s">
        <v>12</v>
      </c>
      <c r="B793" t="s">
        <v>1651</v>
      </c>
      <c r="C793" t="s">
        <v>1652</v>
      </c>
      <c r="D793" t="s">
        <v>57</v>
      </c>
      <c r="E793" t="s">
        <v>1653</v>
      </c>
      <c r="F793" s="1">
        <v>1</v>
      </c>
      <c r="G793" s="1">
        <v>0</v>
      </c>
      <c r="H793" t="s">
        <v>17</v>
      </c>
      <c r="I793" t="s">
        <v>1654</v>
      </c>
      <c r="J793" t="s">
        <v>1655</v>
      </c>
      <c r="K793" s="3">
        <v>46812</v>
      </c>
      <c r="L793" t="s">
        <v>1656</v>
      </c>
      <c r="M793">
        <v>0.23799999999999999</v>
      </c>
      <c r="N793">
        <v>2400</v>
      </c>
      <c r="O793">
        <f t="shared" si="36"/>
        <v>0.23799999999999999</v>
      </c>
      <c r="P793">
        <f t="shared" si="37"/>
        <v>4.1666666666666669E-4</v>
      </c>
      <c r="Q793" t="str">
        <f t="shared" si="38"/>
        <v>Q26-03</v>
      </c>
    </row>
    <row r="794" spans="1:17" x14ac:dyDescent="0.25">
      <c r="A794" t="s">
        <v>61</v>
      </c>
      <c r="B794" t="s">
        <v>1657</v>
      </c>
      <c r="C794" t="s">
        <v>1658</v>
      </c>
      <c r="D794" t="s">
        <v>144</v>
      </c>
      <c r="E794" t="s">
        <v>1659</v>
      </c>
      <c r="F794" s="1">
        <v>321</v>
      </c>
      <c r="G794" s="1">
        <v>0</v>
      </c>
      <c r="H794" t="s">
        <v>17</v>
      </c>
      <c r="I794" t="s">
        <v>84</v>
      </c>
      <c r="J794" t="s">
        <v>90</v>
      </c>
      <c r="K794" s="3">
        <v>46590</v>
      </c>
      <c r="L794" t="s">
        <v>123</v>
      </c>
      <c r="M794">
        <v>0</v>
      </c>
      <c r="N794">
        <v>0</v>
      </c>
      <c r="O794">
        <f t="shared" si="36"/>
        <v>0</v>
      </c>
      <c r="Q794" t="str">
        <f t="shared" si="38"/>
        <v>QM4-01</v>
      </c>
    </row>
    <row r="795" spans="1:17" x14ac:dyDescent="0.25">
      <c r="A795" t="s">
        <v>61</v>
      </c>
      <c r="B795" t="s">
        <v>317</v>
      </c>
      <c r="C795" t="s">
        <v>318</v>
      </c>
      <c r="D795" t="s">
        <v>244</v>
      </c>
      <c r="E795" t="s">
        <v>1660</v>
      </c>
      <c r="F795" s="1">
        <v>66</v>
      </c>
      <c r="G795" s="1">
        <v>0</v>
      </c>
      <c r="H795" t="s">
        <v>17</v>
      </c>
      <c r="I795" t="s">
        <v>320</v>
      </c>
      <c r="J795" t="s">
        <v>1661</v>
      </c>
      <c r="K795" s="3">
        <v>46568</v>
      </c>
      <c r="L795" t="s">
        <v>1622</v>
      </c>
      <c r="M795">
        <v>0.04</v>
      </c>
      <c r="N795">
        <v>2688</v>
      </c>
      <c r="O795">
        <f t="shared" si="36"/>
        <v>2.64</v>
      </c>
      <c r="P795">
        <f t="shared" si="37"/>
        <v>2.4553571428571428E-2</v>
      </c>
      <c r="Q795" t="str">
        <f t="shared" si="38"/>
        <v>Q27-03</v>
      </c>
    </row>
    <row r="796" spans="1:17" x14ac:dyDescent="0.25">
      <c r="A796" t="s">
        <v>12</v>
      </c>
      <c r="B796" t="s">
        <v>1662</v>
      </c>
      <c r="C796" t="s">
        <v>1663</v>
      </c>
      <c r="D796" t="s">
        <v>44</v>
      </c>
      <c r="E796" t="s">
        <v>1664</v>
      </c>
      <c r="F796" s="1">
        <v>1</v>
      </c>
      <c r="G796" s="1">
        <v>0</v>
      </c>
      <c r="H796" t="s">
        <v>17</v>
      </c>
      <c r="I796" t="s">
        <v>1665</v>
      </c>
      <c r="J796" t="s">
        <v>1666</v>
      </c>
      <c r="K796" s="3">
        <v>46446</v>
      </c>
      <c r="L796" t="s">
        <v>1667</v>
      </c>
      <c r="M796">
        <v>4.2000000000000003E-2</v>
      </c>
      <c r="N796">
        <v>3840</v>
      </c>
      <c r="O796">
        <f t="shared" si="36"/>
        <v>4.2000000000000003E-2</v>
      </c>
      <c r="P796">
        <f t="shared" si="37"/>
        <v>2.6041666666666666E-4</v>
      </c>
      <c r="Q796" t="str">
        <f t="shared" si="38"/>
        <v>Q26-01</v>
      </c>
    </row>
    <row r="797" spans="1:17" x14ac:dyDescent="0.25">
      <c r="A797" t="s">
        <v>385</v>
      </c>
      <c r="B797" t="s">
        <v>644</v>
      </c>
      <c r="C797" t="s">
        <v>645</v>
      </c>
      <c r="D797" t="s">
        <v>388</v>
      </c>
      <c r="E797" t="s">
        <v>1668</v>
      </c>
      <c r="F797" s="1">
        <v>23</v>
      </c>
      <c r="G797" s="1">
        <v>0</v>
      </c>
      <c r="H797" t="s">
        <v>17</v>
      </c>
      <c r="I797" t="s">
        <v>647</v>
      </c>
      <c r="J797" t="s">
        <v>1669</v>
      </c>
      <c r="K797" s="3">
        <v>46422</v>
      </c>
      <c r="L797" t="s">
        <v>1670</v>
      </c>
      <c r="M797">
        <v>9.4E-2</v>
      </c>
      <c r="N797">
        <v>2475</v>
      </c>
      <c r="O797">
        <f t="shared" si="36"/>
        <v>2.1619999999999999</v>
      </c>
      <c r="P797">
        <f t="shared" si="37"/>
        <v>9.2929292929292938E-3</v>
      </c>
      <c r="Q797" t="str">
        <f t="shared" si="38"/>
        <v>Q26-03</v>
      </c>
    </row>
    <row r="798" spans="1:17" x14ac:dyDescent="0.25">
      <c r="A798" t="s">
        <v>61</v>
      </c>
      <c r="B798" t="s">
        <v>309</v>
      </c>
      <c r="C798" t="s">
        <v>310</v>
      </c>
      <c r="D798" t="s">
        <v>77</v>
      </c>
      <c r="E798" t="s">
        <v>1671</v>
      </c>
      <c r="F798" s="1">
        <v>5</v>
      </c>
      <c r="G798" s="1">
        <v>0</v>
      </c>
      <c r="H798" t="s">
        <v>17</v>
      </c>
      <c r="I798" t="s">
        <v>312</v>
      </c>
      <c r="J798" t="s">
        <v>1672</v>
      </c>
      <c r="K798" s="3">
        <v>46053</v>
      </c>
      <c r="L798" t="s">
        <v>314</v>
      </c>
      <c r="M798">
        <v>7.1999999999999995E-2</v>
      </c>
      <c r="N798">
        <v>1920</v>
      </c>
      <c r="O798">
        <f t="shared" si="36"/>
        <v>0.36</v>
      </c>
      <c r="P798">
        <f t="shared" si="37"/>
        <v>2.6041666666666665E-3</v>
      </c>
      <c r="Q798" t="str">
        <f t="shared" si="38"/>
        <v>Q27-01</v>
      </c>
    </row>
    <row r="799" spans="1:17" x14ac:dyDescent="0.25">
      <c r="A799" t="s">
        <v>12</v>
      </c>
      <c r="B799" t="s">
        <v>1673</v>
      </c>
      <c r="C799" t="s">
        <v>1674</v>
      </c>
      <c r="D799" t="s">
        <v>44</v>
      </c>
      <c r="E799" t="s">
        <v>1675</v>
      </c>
      <c r="F799" s="1">
        <v>659</v>
      </c>
      <c r="G799" s="1">
        <v>0</v>
      </c>
      <c r="H799" t="s">
        <v>17</v>
      </c>
      <c r="I799" t="s">
        <v>1676</v>
      </c>
      <c r="J799" t="s">
        <v>1677</v>
      </c>
      <c r="K799" s="3">
        <v>46024</v>
      </c>
      <c r="L799" t="s">
        <v>1678</v>
      </c>
      <c r="M799">
        <v>2.8000000000000001E-2</v>
      </c>
      <c r="N799">
        <v>6160</v>
      </c>
      <c r="O799">
        <f t="shared" si="36"/>
        <v>18.452000000000002</v>
      </c>
      <c r="P799">
        <f t="shared" si="37"/>
        <v>0.10698051948051948</v>
      </c>
      <c r="Q799" t="str">
        <f t="shared" si="38"/>
        <v>Q26-01</v>
      </c>
    </row>
    <row r="800" spans="1:17" x14ac:dyDescent="0.25">
      <c r="A800" t="s">
        <v>12</v>
      </c>
      <c r="B800" t="s">
        <v>756</v>
      </c>
      <c r="C800" t="s">
        <v>757</v>
      </c>
      <c r="D800" t="s">
        <v>1303</v>
      </c>
      <c r="E800" t="s">
        <v>1679</v>
      </c>
      <c r="F800" s="1">
        <v>124</v>
      </c>
      <c r="G800" s="1">
        <v>0</v>
      </c>
      <c r="H800" t="s">
        <v>17</v>
      </c>
      <c r="I800" t="s">
        <v>759</v>
      </c>
      <c r="J800" t="s">
        <v>1680</v>
      </c>
      <c r="K800" s="3">
        <v>46538</v>
      </c>
      <c r="L800" t="s">
        <v>761</v>
      </c>
      <c r="M800">
        <v>0.09</v>
      </c>
      <c r="N800">
        <v>2160</v>
      </c>
      <c r="O800">
        <f t="shared" si="36"/>
        <v>11.16</v>
      </c>
      <c r="P800">
        <f t="shared" si="37"/>
        <v>5.7407407407407407E-2</v>
      </c>
      <c r="Q800" t="str">
        <f t="shared" si="38"/>
        <v>Q26-02</v>
      </c>
    </row>
    <row r="801" spans="1:17" x14ac:dyDescent="0.25">
      <c r="A801" t="s">
        <v>12</v>
      </c>
      <c r="B801" t="s">
        <v>750</v>
      </c>
      <c r="C801" t="s">
        <v>751</v>
      </c>
      <c r="D801" t="s">
        <v>388</v>
      </c>
      <c r="E801" t="s">
        <v>1681</v>
      </c>
      <c r="F801" s="1">
        <v>2</v>
      </c>
      <c r="G801" s="1">
        <v>0</v>
      </c>
      <c r="H801" t="s">
        <v>17</v>
      </c>
      <c r="I801" t="s">
        <v>753</v>
      </c>
      <c r="J801" t="s">
        <v>1682</v>
      </c>
      <c r="K801" s="3">
        <v>46759</v>
      </c>
      <c r="L801" t="s">
        <v>1302</v>
      </c>
      <c r="M801">
        <v>3.5999999999999997E-2</v>
      </c>
      <c r="N801">
        <v>5280</v>
      </c>
      <c r="O801">
        <f t="shared" si="36"/>
        <v>7.1999999999999995E-2</v>
      </c>
      <c r="P801">
        <f t="shared" si="37"/>
        <v>3.7878787878787879E-4</v>
      </c>
      <c r="Q801" t="str">
        <f t="shared" si="38"/>
        <v>Q26-03</v>
      </c>
    </row>
    <row r="802" spans="1:17" x14ac:dyDescent="0.25">
      <c r="A802" t="s">
        <v>12</v>
      </c>
      <c r="B802" t="s">
        <v>1683</v>
      </c>
      <c r="C802" t="s">
        <v>1684</v>
      </c>
      <c r="D802" t="s">
        <v>244</v>
      </c>
      <c r="E802" t="s">
        <v>1685</v>
      </c>
      <c r="F802" s="1">
        <v>7</v>
      </c>
      <c r="G802" s="1">
        <v>0</v>
      </c>
      <c r="H802" t="s">
        <v>17</v>
      </c>
      <c r="I802" t="s">
        <v>1686</v>
      </c>
      <c r="J802" t="s">
        <v>1687</v>
      </c>
      <c r="K802" s="3">
        <v>46265</v>
      </c>
      <c r="L802" t="s">
        <v>1688</v>
      </c>
      <c r="M802">
        <v>0.1</v>
      </c>
      <c r="N802">
        <v>2400</v>
      </c>
      <c r="O802">
        <f t="shared" si="36"/>
        <v>0.70000000000000007</v>
      </c>
      <c r="P802">
        <f t="shared" si="37"/>
        <v>2.9166666666666668E-3</v>
      </c>
      <c r="Q802" t="str">
        <f t="shared" si="38"/>
        <v>Q27-03</v>
      </c>
    </row>
    <row r="803" spans="1:17" x14ac:dyDescent="0.25">
      <c r="A803" t="s">
        <v>12</v>
      </c>
      <c r="B803" t="s">
        <v>1689</v>
      </c>
      <c r="C803" t="s">
        <v>1690</v>
      </c>
      <c r="D803" t="s">
        <v>121</v>
      </c>
      <c r="E803" t="s">
        <v>1691</v>
      </c>
      <c r="F803" s="2">
        <v>2031</v>
      </c>
      <c r="G803" s="1">
        <v>0</v>
      </c>
      <c r="H803" t="s">
        <v>17</v>
      </c>
      <c r="I803" t="s">
        <v>84</v>
      </c>
      <c r="J803" t="s">
        <v>90</v>
      </c>
      <c r="K803" s="3">
        <v>46599</v>
      </c>
      <c r="L803" t="s">
        <v>123</v>
      </c>
      <c r="M803">
        <v>0</v>
      </c>
      <c r="N803">
        <v>0</v>
      </c>
      <c r="O803">
        <f t="shared" si="36"/>
        <v>0</v>
      </c>
      <c r="Q803" t="str">
        <f t="shared" si="38"/>
        <v>Q27-01</v>
      </c>
    </row>
    <row r="804" spans="1:17" x14ac:dyDescent="0.25">
      <c r="A804" t="s">
        <v>12</v>
      </c>
      <c r="B804" t="s">
        <v>463</v>
      </c>
      <c r="C804" t="s">
        <v>464</v>
      </c>
      <c r="D804" t="s">
        <v>57</v>
      </c>
      <c r="E804" t="s">
        <v>1692</v>
      </c>
      <c r="F804" s="1">
        <v>1</v>
      </c>
      <c r="G804" s="1">
        <v>0</v>
      </c>
      <c r="H804" t="s">
        <v>17</v>
      </c>
      <c r="I804" t="s">
        <v>466</v>
      </c>
      <c r="J804" t="s">
        <v>1693</v>
      </c>
      <c r="K804" s="3">
        <v>46616</v>
      </c>
      <c r="L804" t="s">
        <v>468</v>
      </c>
      <c r="M804">
        <v>2.3E-2</v>
      </c>
      <c r="N804">
        <v>1920</v>
      </c>
      <c r="O804">
        <f t="shared" si="36"/>
        <v>2.3E-2</v>
      </c>
      <c r="P804">
        <f t="shared" si="37"/>
        <v>5.2083333333333333E-4</v>
      </c>
      <c r="Q804" t="str">
        <f t="shared" si="38"/>
        <v>Q26-03</v>
      </c>
    </row>
    <row r="805" spans="1:17" x14ac:dyDescent="0.25">
      <c r="A805" t="s">
        <v>61</v>
      </c>
      <c r="B805" t="s">
        <v>317</v>
      </c>
      <c r="C805" t="s">
        <v>318</v>
      </c>
      <c r="D805" t="s">
        <v>1590</v>
      </c>
      <c r="E805" t="s">
        <v>1694</v>
      </c>
      <c r="F805" s="1">
        <v>4</v>
      </c>
      <c r="G805" s="1">
        <v>0</v>
      </c>
      <c r="H805" t="s">
        <v>17</v>
      </c>
      <c r="I805" t="s">
        <v>320</v>
      </c>
      <c r="J805" t="s">
        <v>1695</v>
      </c>
      <c r="K805" s="3">
        <v>46599</v>
      </c>
      <c r="L805" t="s">
        <v>1010</v>
      </c>
      <c r="M805">
        <v>0.04</v>
      </c>
      <c r="N805">
        <v>2688</v>
      </c>
      <c r="O805">
        <f t="shared" si="36"/>
        <v>0.16</v>
      </c>
      <c r="P805">
        <f t="shared" si="37"/>
        <v>1.488095238095238E-3</v>
      </c>
      <c r="Q805" t="str">
        <f t="shared" si="38"/>
        <v>Q27-03</v>
      </c>
    </row>
    <row r="806" spans="1:17" x14ac:dyDescent="0.25">
      <c r="A806" t="s">
        <v>61</v>
      </c>
      <c r="B806" t="s">
        <v>219</v>
      </c>
      <c r="C806" t="s">
        <v>220</v>
      </c>
      <c r="D806" t="s">
        <v>1590</v>
      </c>
      <c r="E806" t="s">
        <v>1696</v>
      </c>
      <c r="F806" s="1">
        <v>1</v>
      </c>
      <c r="G806" s="1">
        <v>0</v>
      </c>
      <c r="H806" t="s">
        <v>17</v>
      </c>
      <c r="I806" t="s">
        <v>222</v>
      </c>
      <c r="J806" t="s">
        <v>1695</v>
      </c>
      <c r="K806" s="3">
        <v>46265</v>
      </c>
      <c r="L806" t="s">
        <v>1000</v>
      </c>
      <c r="M806">
        <v>0.3</v>
      </c>
      <c r="N806">
        <v>1680</v>
      </c>
      <c r="O806">
        <f t="shared" si="36"/>
        <v>0.3</v>
      </c>
      <c r="P806">
        <f t="shared" si="37"/>
        <v>5.9523809523809529E-4</v>
      </c>
      <c r="Q806" t="str">
        <f t="shared" si="38"/>
        <v>Q27-03</v>
      </c>
    </row>
    <row r="807" spans="1:17" x14ac:dyDescent="0.25">
      <c r="A807" t="s">
        <v>61</v>
      </c>
      <c r="B807" t="s">
        <v>233</v>
      </c>
      <c r="C807" t="s">
        <v>234</v>
      </c>
      <c r="D807" t="s">
        <v>1590</v>
      </c>
      <c r="E807" t="s">
        <v>1697</v>
      </c>
      <c r="F807" s="1">
        <v>3</v>
      </c>
      <c r="G807" s="1">
        <v>0</v>
      </c>
      <c r="H807" t="s">
        <v>17</v>
      </c>
      <c r="I807" t="s">
        <v>236</v>
      </c>
      <c r="J807" t="s">
        <v>1695</v>
      </c>
      <c r="K807" s="3">
        <v>46630</v>
      </c>
      <c r="L807" t="s">
        <v>239</v>
      </c>
      <c r="M807">
        <v>7.4999999999999997E-2</v>
      </c>
      <c r="N807">
        <v>2688</v>
      </c>
      <c r="O807">
        <f t="shared" si="36"/>
        <v>0.22499999999999998</v>
      </c>
      <c r="P807">
        <f t="shared" si="37"/>
        <v>1.1160714285714285E-3</v>
      </c>
      <c r="Q807" t="str">
        <f t="shared" si="38"/>
        <v>Q27-03</v>
      </c>
    </row>
    <row r="808" spans="1:17" x14ac:dyDescent="0.25">
      <c r="A808" t="s">
        <v>61</v>
      </c>
      <c r="B808" t="s">
        <v>309</v>
      </c>
      <c r="C808" t="s">
        <v>310</v>
      </c>
      <c r="D808" t="s">
        <v>1590</v>
      </c>
      <c r="E808" t="s">
        <v>1698</v>
      </c>
      <c r="F808" s="1">
        <v>1</v>
      </c>
      <c r="G808" s="1">
        <v>0</v>
      </c>
      <c r="H808" t="s">
        <v>17</v>
      </c>
      <c r="I808" t="s">
        <v>312</v>
      </c>
      <c r="J808" t="s">
        <v>1695</v>
      </c>
      <c r="K808" s="3">
        <v>46356</v>
      </c>
      <c r="L808" t="s">
        <v>1699</v>
      </c>
      <c r="M808">
        <v>7.1999999999999995E-2</v>
      </c>
      <c r="N808">
        <v>1920</v>
      </c>
      <c r="O808">
        <f t="shared" si="36"/>
        <v>7.1999999999999995E-2</v>
      </c>
      <c r="P808">
        <f t="shared" si="37"/>
        <v>5.2083333333333333E-4</v>
      </c>
      <c r="Q808" t="str">
        <f t="shared" si="38"/>
        <v>Q27-03</v>
      </c>
    </row>
    <row r="809" spans="1:17" x14ac:dyDescent="0.25">
      <c r="A809" t="s">
        <v>61</v>
      </c>
      <c r="B809" t="s">
        <v>166</v>
      </c>
      <c r="C809" t="s">
        <v>167</v>
      </c>
      <c r="D809" t="s">
        <v>77</v>
      </c>
      <c r="E809" t="s">
        <v>1700</v>
      </c>
      <c r="F809" s="1">
        <v>2</v>
      </c>
      <c r="G809" s="1">
        <v>0</v>
      </c>
      <c r="H809" t="s">
        <v>17</v>
      </c>
      <c r="I809" t="s">
        <v>170</v>
      </c>
      <c r="J809" t="s">
        <v>1695</v>
      </c>
      <c r="K809" s="3">
        <v>46173</v>
      </c>
      <c r="L809" t="s">
        <v>189</v>
      </c>
      <c r="M809">
        <v>9.2999999999999999E-2</v>
      </c>
      <c r="N809">
        <v>1536</v>
      </c>
      <c r="O809">
        <f t="shared" si="36"/>
        <v>0.186</v>
      </c>
      <c r="P809">
        <f t="shared" si="37"/>
        <v>1.3020833333333333E-3</v>
      </c>
      <c r="Q809" t="str">
        <f t="shared" si="38"/>
        <v>Q27-01</v>
      </c>
    </row>
    <row r="810" spans="1:17" x14ac:dyDescent="0.25">
      <c r="A810" t="s">
        <v>61</v>
      </c>
      <c r="B810" t="s">
        <v>1701</v>
      </c>
      <c r="C810" t="s">
        <v>1702</v>
      </c>
      <c r="D810" t="s">
        <v>1590</v>
      </c>
      <c r="E810" t="s">
        <v>1703</v>
      </c>
      <c r="F810" s="1">
        <v>2</v>
      </c>
      <c r="G810" s="1">
        <v>0</v>
      </c>
      <c r="H810" t="s">
        <v>17</v>
      </c>
      <c r="I810" t="s">
        <v>1704</v>
      </c>
      <c r="J810" t="s">
        <v>1695</v>
      </c>
      <c r="K810" s="3">
        <v>46507</v>
      </c>
      <c r="L810" t="s">
        <v>1705</v>
      </c>
      <c r="M810">
        <v>6.0999999999999999E-2</v>
      </c>
      <c r="N810">
        <v>2688</v>
      </c>
      <c r="O810">
        <f t="shared" si="36"/>
        <v>0.122</v>
      </c>
      <c r="P810">
        <f t="shared" si="37"/>
        <v>7.4404761904761901E-4</v>
      </c>
      <c r="Q810" t="str">
        <f t="shared" si="38"/>
        <v>Q27-03</v>
      </c>
    </row>
    <row r="811" spans="1:17" x14ac:dyDescent="0.25">
      <c r="A811" t="s">
        <v>61</v>
      </c>
      <c r="B811" t="s">
        <v>891</v>
      </c>
      <c r="C811" t="s">
        <v>892</v>
      </c>
      <c r="D811" t="s">
        <v>1590</v>
      </c>
      <c r="E811" t="s">
        <v>1706</v>
      </c>
      <c r="F811" s="1">
        <v>1</v>
      </c>
      <c r="G811" s="1">
        <v>0</v>
      </c>
      <c r="H811" t="s">
        <v>17</v>
      </c>
      <c r="I811" t="s">
        <v>894</v>
      </c>
      <c r="J811" t="s">
        <v>1695</v>
      </c>
      <c r="K811" s="3">
        <v>46356</v>
      </c>
      <c r="L811" t="s">
        <v>1219</v>
      </c>
      <c r="M811">
        <v>0.312</v>
      </c>
      <c r="N811">
        <v>1680</v>
      </c>
      <c r="O811">
        <f t="shared" si="36"/>
        <v>0.312</v>
      </c>
      <c r="P811">
        <f t="shared" si="37"/>
        <v>5.9523809523809529E-4</v>
      </c>
      <c r="Q811" t="str">
        <f t="shared" si="38"/>
        <v>Q27-03</v>
      </c>
    </row>
    <row r="812" spans="1:17" x14ac:dyDescent="0.25">
      <c r="A812" t="s">
        <v>61</v>
      </c>
      <c r="B812" t="s">
        <v>71</v>
      </c>
      <c r="C812" t="s">
        <v>72</v>
      </c>
      <c r="D812" t="s">
        <v>1590</v>
      </c>
      <c r="E812" t="s">
        <v>1707</v>
      </c>
      <c r="F812" s="1">
        <v>2</v>
      </c>
      <c r="G812" s="1">
        <v>0</v>
      </c>
      <c r="H812" t="s">
        <v>17</v>
      </c>
      <c r="I812" t="s">
        <v>75</v>
      </c>
      <c r="J812" t="s">
        <v>1695</v>
      </c>
      <c r="K812" s="3">
        <v>46356</v>
      </c>
      <c r="L812" t="s">
        <v>1147</v>
      </c>
      <c r="M812">
        <v>0.3</v>
      </c>
      <c r="N812">
        <v>1680</v>
      </c>
      <c r="O812">
        <f t="shared" si="36"/>
        <v>0.6</v>
      </c>
      <c r="P812">
        <f t="shared" si="37"/>
        <v>1.1904761904761906E-3</v>
      </c>
      <c r="Q812" t="str">
        <f t="shared" si="38"/>
        <v>Q27-03</v>
      </c>
    </row>
    <row r="813" spans="1:17" x14ac:dyDescent="0.25">
      <c r="A813" t="s">
        <v>61</v>
      </c>
      <c r="B813" t="s">
        <v>456</v>
      </c>
      <c r="C813" t="s">
        <v>457</v>
      </c>
      <c r="D813" t="s">
        <v>1590</v>
      </c>
      <c r="E813" t="s">
        <v>1708</v>
      </c>
      <c r="F813" s="1">
        <v>1</v>
      </c>
      <c r="G813" s="1">
        <v>0</v>
      </c>
      <c r="H813" t="s">
        <v>17</v>
      </c>
      <c r="I813" t="s">
        <v>459</v>
      </c>
      <c r="J813" t="s">
        <v>1695</v>
      </c>
      <c r="K813" s="3">
        <v>46265</v>
      </c>
      <c r="L813" t="s">
        <v>1002</v>
      </c>
      <c r="M813">
        <v>0.22600000000000001</v>
      </c>
      <c r="N813">
        <v>1680</v>
      </c>
      <c r="O813">
        <f t="shared" si="36"/>
        <v>0.22600000000000001</v>
      </c>
      <c r="P813">
        <f t="shared" si="37"/>
        <v>5.9523809523809529E-4</v>
      </c>
      <c r="Q813" t="str">
        <f t="shared" si="38"/>
        <v>Q27-03</v>
      </c>
    </row>
    <row r="814" spans="1:17" x14ac:dyDescent="0.25">
      <c r="A814" t="s">
        <v>61</v>
      </c>
      <c r="B814" t="s">
        <v>62</v>
      </c>
      <c r="C814" t="s">
        <v>63</v>
      </c>
      <c r="D814" t="s">
        <v>77</v>
      </c>
      <c r="E814" t="s">
        <v>1709</v>
      </c>
      <c r="F814" s="1">
        <v>2</v>
      </c>
      <c r="G814" s="1">
        <v>0</v>
      </c>
      <c r="H814" t="s">
        <v>17</v>
      </c>
      <c r="I814" t="s">
        <v>66</v>
      </c>
      <c r="J814" t="s">
        <v>1695</v>
      </c>
      <c r="K814" s="3">
        <v>46081</v>
      </c>
      <c r="L814" t="s">
        <v>68</v>
      </c>
      <c r="M814">
        <v>9.6000000000000002E-2</v>
      </c>
      <c r="N814">
        <v>1920</v>
      </c>
      <c r="O814">
        <f t="shared" si="36"/>
        <v>0.192</v>
      </c>
      <c r="P814">
        <f t="shared" si="37"/>
        <v>1.0416666666666667E-3</v>
      </c>
      <c r="Q814" t="str">
        <f t="shared" si="38"/>
        <v>Q27-01</v>
      </c>
    </row>
    <row r="815" spans="1:17" x14ac:dyDescent="0.25">
      <c r="A815" t="s">
        <v>61</v>
      </c>
      <c r="B815" t="s">
        <v>420</v>
      </c>
      <c r="C815" t="s">
        <v>421</v>
      </c>
      <c r="D815" t="s">
        <v>1590</v>
      </c>
      <c r="E815" t="s">
        <v>1710</v>
      </c>
      <c r="F815" s="1">
        <v>18</v>
      </c>
      <c r="G815" s="1">
        <v>0</v>
      </c>
      <c r="H815" t="s">
        <v>17</v>
      </c>
      <c r="I815" t="s">
        <v>423</v>
      </c>
      <c r="J815" t="s">
        <v>1695</v>
      </c>
      <c r="K815" s="3">
        <v>46356</v>
      </c>
      <c r="L815" t="s">
        <v>660</v>
      </c>
      <c r="M815">
        <v>0.156</v>
      </c>
      <c r="N815">
        <v>1152</v>
      </c>
      <c r="O815">
        <f t="shared" si="36"/>
        <v>2.8079999999999998</v>
      </c>
      <c r="P815">
        <f t="shared" si="37"/>
        <v>1.5625E-2</v>
      </c>
      <c r="Q815" t="str">
        <f t="shared" si="38"/>
        <v>Q27-03</v>
      </c>
    </row>
    <row r="816" spans="1:17" x14ac:dyDescent="0.25">
      <c r="A816" t="s">
        <v>61</v>
      </c>
      <c r="B816" t="s">
        <v>317</v>
      </c>
      <c r="C816" t="s">
        <v>318</v>
      </c>
      <c r="D816" t="s">
        <v>1590</v>
      </c>
      <c r="E816" t="s">
        <v>1711</v>
      </c>
      <c r="F816" s="1">
        <v>40</v>
      </c>
      <c r="G816" s="1">
        <v>0</v>
      </c>
      <c r="H816" t="s">
        <v>17</v>
      </c>
      <c r="I816" t="s">
        <v>320</v>
      </c>
      <c r="J816" t="s">
        <v>1695</v>
      </c>
      <c r="K816" s="3">
        <v>46599</v>
      </c>
      <c r="L816" t="s">
        <v>1117</v>
      </c>
      <c r="M816">
        <v>0.04</v>
      </c>
      <c r="N816">
        <v>2688</v>
      </c>
      <c r="O816">
        <f t="shared" si="36"/>
        <v>1.6</v>
      </c>
      <c r="P816">
        <f t="shared" si="37"/>
        <v>1.488095238095238E-2</v>
      </c>
      <c r="Q816" t="str">
        <f t="shared" si="38"/>
        <v>Q27-03</v>
      </c>
    </row>
    <row r="817" spans="1:17" x14ac:dyDescent="0.25">
      <c r="A817" t="s">
        <v>12</v>
      </c>
      <c r="B817" t="s">
        <v>1712</v>
      </c>
      <c r="C817" t="s">
        <v>1713</v>
      </c>
      <c r="D817" t="s">
        <v>121</v>
      </c>
      <c r="E817" t="s">
        <v>1714</v>
      </c>
      <c r="F817" s="1">
        <v>54</v>
      </c>
      <c r="G817" s="1">
        <v>0</v>
      </c>
      <c r="H817" t="s">
        <v>17</v>
      </c>
      <c r="I817" t="s">
        <v>84</v>
      </c>
      <c r="J817" t="s">
        <v>90</v>
      </c>
      <c r="K817" s="3">
        <v>46605</v>
      </c>
      <c r="L817" t="s">
        <v>123</v>
      </c>
      <c r="M817">
        <v>0</v>
      </c>
      <c r="N817">
        <v>0</v>
      </c>
      <c r="O817">
        <f t="shared" si="36"/>
        <v>0</v>
      </c>
      <c r="Q817" t="str">
        <f t="shared" si="38"/>
        <v>Q27-01</v>
      </c>
    </row>
    <row r="818" spans="1:17" x14ac:dyDescent="0.25">
      <c r="A818" t="s">
        <v>61</v>
      </c>
      <c r="B818" t="s">
        <v>225</v>
      </c>
      <c r="C818" t="s">
        <v>226</v>
      </c>
      <c r="D818" t="s">
        <v>1590</v>
      </c>
      <c r="E818" t="s">
        <v>1715</v>
      </c>
      <c r="F818" s="1">
        <v>3</v>
      </c>
      <c r="G818" s="1">
        <v>0</v>
      </c>
      <c r="H818" t="s">
        <v>17</v>
      </c>
      <c r="I818" t="s">
        <v>228</v>
      </c>
      <c r="J818" t="s">
        <v>1716</v>
      </c>
      <c r="K818" s="3">
        <v>46783</v>
      </c>
      <c r="L818" t="s">
        <v>1717</v>
      </c>
      <c r="M818">
        <v>5.8000000000000003E-2</v>
      </c>
      <c r="N818">
        <v>2880</v>
      </c>
      <c r="O818">
        <f t="shared" si="36"/>
        <v>0.17400000000000002</v>
      </c>
      <c r="P818">
        <f t="shared" si="37"/>
        <v>1.0416666666666667E-3</v>
      </c>
      <c r="Q818" t="str">
        <f t="shared" si="38"/>
        <v>Q27-03</v>
      </c>
    </row>
    <row r="819" spans="1:17" x14ac:dyDescent="0.25">
      <c r="A819" t="s">
        <v>61</v>
      </c>
      <c r="B819" t="s">
        <v>225</v>
      </c>
      <c r="C819" t="s">
        <v>226</v>
      </c>
      <c r="D819" t="s">
        <v>1590</v>
      </c>
      <c r="E819" t="s">
        <v>1718</v>
      </c>
      <c r="F819" s="1">
        <v>20</v>
      </c>
      <c r="G819" s="1">
        <v>0</v>
      </c>
      <c r="H819" t="s">
        <v>17</v>
      </c>
      <c r="I819" t="s">
        <v>228</v>
      </c>
      <c r="J819" t="s">
        <v>1716</v>
      </c>
      <c r="K819" s="3">
        <v>46783</v>
      </c>
      <c r="L819" t="s">
        <v>1719</v>
      </c>
      <c r="M819">
        <v>5.8000000000000003E-2</v>
      </c>
      <c r="N819">
        <v>2880</v>
      </c>
      <c r="O819">
        <f t="shared" si="36"/>
        <v>1.1600000000000001</v>
      </c>
      <c r="P819">
        <f t="shared" si="37"/>
        <v>6.9444444444444441E-3</v>
      </c>
      <c r="Q819" t="str">
        <f t="shared" si="38"/>
        <v>Q27-03</v>
      </c>
    </row>
    <row r="820" spans="1:17" x14ac:dyDescent="0.25">
      <c r="A820" t="s">
        <v>61</v>
      </c>
      <c r="B820" t="s">
        <v>225</v>
      </c>
      <c r="C820" t="s">
        <v>226</v>
      </c>
      <c r="D820" t="s">
        <v>1590</v>
      </c>
      <c r="E820" t="s">
        <v>1720</v>
      </c>
      <c r="F820" s="1">
        <v>76</v>
      </c>
      <c r="G820" s="1">
        <v>0</v>
      </c>
      <c r="H820" t="s">
        <v>17</v>
      </c>
      <c r="I820" t="s">
        <v>228</v>
      </c>
      <c r="J820" t="s">
        <v>1716</v>
      </c>
      <c r="K820" s="3">
        <v>46783</v>
      </c>
      <c r="L820" t="s">
        <v>1719</v>
      </c>
      <c r="M820">
        <v>5.8000000000000003E-2</v>
      </c>
      <c r="N820">
        <v>2880</v>
      </c>
      <c r="O820">
        <f t="shared" si="36"/>
        <v>4.4080000000000004</v>
      </c>
      <c r="P820">
        <f t="shared" si="37"/>
        <v>2.6388888888888889E-2</v>
      </c>
      <c r="Q820" t="str">
        <f t="shared" si="38"/>
        <v>Q27-03</v>
      </c>
    </row>
    <row r="821" spans="1:17" x14ac:dyDescent="0.25">
      <c r="A821" t="s">
        <v>61</v>
      </c>
      <c r="B821" t="s">
        <v>420</v>
      </c>
      <c r="C821" t="s">
        <v>421</v>
      </c>
      <c r="D821" t="s">
        <v>1590</v>
      </c>
      <c r="E821" t="s">
        <v>1721</v>
      </c>
      <c r="F821" s="1">
        <v>16</v>
      </c>
      <c r="G821" s="1">
        <v>0</v>
      </c>
      <c r="H821" t="s">
        <v>17</v>
      </c>
      <c r="I821" t="s">
        <v>423</v>
      </c>
      <c r="J821" t="s">
        <v>1716</v>
      </c>
      <c r="K821" s="3">
        <v>46691</v>
      </c>
      <c r="L821" t="s">
        <v>1722</v>
      </c>
      <c r="M821">
        <v>0.156</v>
      </c>
      <c r="N821">
        <v>1152</v>
      </c>
      <c r="O821">
        <f t="shared" si="36"/>
        <v>2.496</v>
      </c>
      <c r="P821">
        <f t="shared" si="37"/>
        <v>1.3888888888888888E-2</v>
      </c>
      <c r="Q821" t="str">
        <f t="shared" si="38"/>
        <v>Q27-03</v>
      </c>
    </row>
    <row r="822" spans="1:17" x14ac:dyDescent="0.25">
      <c r="A822" t="s">
        <v>61</v>
      </c>
      <c r="B822" t="s">
        <v>420</v>
      </c>
      <c r="C822" t="s">
        <v>421</v>
      </c>
      <c r="D822" t="s">
        <v>1590</v>
      </c>
      <c r="E822" t="s">
        <v>1723</v>
      </c>
      <c r="F822" s="1">
        <v>5</v>
      </c>
      <c r="G822" s="1">
        <v>0</v>
      </c>
      <c r="H822" t="s">
        <v>17</v>
      </c>
      <c r="I822" t="s">
        <v>423</v>
      </c>
      <c r="J822" t="s">
        <v>1716</v>
      </c>
      <c r="K822" s="3">
        <v>46691</v>
      </c>
      <c r="L822" t="s">
        <v>1722</v>
      </c>
      <c r="M822">
        <v>0.156</v>
      </c>
      <c r="N822">
        <v>1152</v>
      </c>
      <c r="O822">
        <f t="shared" si="36"/>
        <v>0.78</v>
      </c>
      <c r="P822">
        <f t="shared" si="37"/>
        <v>4.340277777777778E-3</v>
      </c>
      <c r="Q822" t="str">
        <f t="shared" si="38"/>
        <v>Q27-03</v>
      </c>
    </row>
    <row r="823" spans="1:17" x14ac:dyDescent="0.25">
      <c r="A823" t="s">
        <v>12</v>
      </c>
      <c r="B823" t="s">
        <v>1724</v>
      </c>
      <c r="C823" t="s">
        <v>1725</v>
      </c>
      <c r="D823" t="s">
        <v>1726</v>
      </c>
      <c r="E823" t="s">
        <v>1727</v>
      </c>
      <c r="F823" s="1">
        <v>7</v>
      </c>
      <c r="G823" s="1">
        <v>0</v>
      </c>
      <c r="H823" t="s">
        <v>17</v>
      </c>
      <c r="I823" t="s">
        <v>1728</v>
      </c>
      <c r="J823" t="s">
        <v>1729</v>
      </c>
      <c r="K823" s="3">
        <v>46287</v>
      </c>
      <c r="L823" t="s">
        <v>1730</v>
      </c>
      <c r="M823">
        <v>4.1300000000000003E-2</v>
      </c>
      <c r="N823">
        <v>1000</v>
      </c>
      <c r="O823">
        <f t="shared" si="36"/>
        <v>0.28910000000000002</v>
      </c>
      <c r="P823">
        <f t="shared" si="37"/>
        <v>7.0000000000000001E-3</v>
      </c>
      <c r="Q823" t="str">
        <f t="shared" si="38"/>
        <v>QC1-01</v>
      </c>
    </row>
    <row r="824" spans="1:17" x14ac:dyDescent="0.25">
      <c r="A824" t="s">
        <v>61</v>
      </c>
      <c r="B824" t="s">
        <v>364</v>
      </c>
      <c r="C824" t="s">
        <v>365</v>
      </c>
      <c r="D824" t="s">
        <v>1590</v>
      </c>
      <c r="E824" t="s">
        <v>1731</v>
      </c>
      <c r="F824" s="1">
        <v>1</v>
      </c>
      <c r="G824" s="1">
        <v>0</v>
      </c>
      <c r="H824" t="s">
        <v>17</v>
      </c>
      <c r="I824" t="s">
        <v>367</v>
      </c>
      <c r="J824" t="s">
        <v>1732</v>
      </c>
      <c r="K824" s="3">
        <v>46446</v>
      </c>
      <c r="L824" t="s">
        <v>536</v>
      </c>
      <c r="M824">
        <v>0.158</v>
      </c>
      <c r="N824">
        <v>1152</v>
      </c>
      <c r="O824">
        <f t="shared" si="36"/>
        <v>0.158</v>
      </c>
      <c r="P824">
        <f t="shared" si="37"/>
        <v>8.6805555555555551E-4</v>
      </c>
      <c r="Q824" t="str">
        <f t="shared" si="38"/>
        <v>Q27-03</v>
      </c>
    </row>
    <row r="825" spans="1:17" x14ac:dyDescent="0.25">
      <c r="A825" t="s">
        <v>12</v>
      </c>
      <c r="B825" t="s">
        <v>1556</v>
      </c>
      <c r="C825" t="s">
        <v>1557</v>
      </c>
      <c r="D825" t="s">
        <v>388</v>
      </c>
      <c r="E825" t="s">
        <v>1733</v>
      </c>
      <c r="F825" s="1">
        <v>1</v>
      </c>
      <c r="G825" s="1">
        <v>0</v>
      </c>
      <c r="H825" t="s">
        <v>17</v>
      </c>
      <c r="I825" t="s">
        <v>1559</v>
      </c>
      <c r="J825" t="s">
        <v>1734</v>
      </c>
      <c r="K825" s="3">
        <v>46377</v>
      </c>
      <c r="L825" t="s">
        <v>1561</v>
      </c>
      <c r="M825">
        <v>2.1000000000000001E-2</v>
      </c>
      <c r="N825">
        <v>7150</v>
      </c>
      <c r="O825">
        <f t="shared" si="36"/>
        <v>2.1000000000000001E-2</v>
      </c>
      <c r="P825">
        <f t="shared" si="37"/>
        <v>1.3986013986013986E-4</v>
      </c>
      <c r="Q825" t="str">
        <f t="shared" si="38"/>
        <v>Q26-03</v>
      </c>
    </row>
    <row r="826" spans="1:17" x14ac:dyDescent="0.25">
      <c r="A826" t="s">
        <v>12</v>
      </c>
      <c r="B826" t="s">
        <v>1556</v>
      </c>
      <c r="C826" t="s">
        <v>1557</v>
      </c>
      <c r="D826" t="s">
        <v>388</v>
      </c>
      <c r="E826" t="s">
        <v>1735</v>
      </c>
      <c r="F826" s="1">
        <v>9</v>
      </c>
      <c r="G826" s="1">
        <v>0</v>
      </c>
      <c r="H826" t="s">
        <v>17</v>
      </c>
      <c r="I826" t="s">
        <v>1559</v>
      </c>
      <c r="J826" t="s">
        <v>1734</v>
      </c>
      <c r="K826" s="3">
        <v>46380</v>
      </c>
      <c r="L826" t="s">
        <v>1736</v>
      </c>
      <c r="M826">
        <v>2.1000000000000001E-2</v>
      </c>
      <c r="N826">
        <v>7150</v>
      </c>
      <c r="O826">
        <f t="shared" si="36"/>
        <v>0.189</v>
      </c>
      <c r="P826">
        <f t="shared" si="37"/>
        <v>1.2587412587412587E-3</v>
      </c>
      <c r="Q826" t="str">
        <f t="shared" si="38"/>
        <v>Q26-03</v>
      </c>
    </row>
    <row r="827" spans="1:17" x14ac:dyDescent="0.25">
      <c r="A827" t="s">
        <v>12</v>
      </c>
      <c r="B827" t="s">
        <v>1737</v>
      </c>
      <c r="C827" t="s">
        <v>1738</v>
      </c>
      <c r="D827" t="s">
        <v>121</v>
      </c>
      <c r="E827" t="s">
        <v>1739</v>
      </c>
      <c r="F827" s="2">
        <v>2402</v>
      </c>
      <c r="G827" s="1">
        <v>0</v>
      </c>
      <c r="H827" t="s">
        <v>17</v>
      </c>
      <c r="I827" t="s">
        <v>475</v>
      </c>
      <c r="J827" t="s">
        <v>90</v>
      </c>
      <c r="K827" s="3">
        <v>46606</v>
      </c>
      <c r="L827" t="s">
        <v>123</v>
      </c>
      <c r="M827">
        <v>0</v>
      </c>
      <c r="N827">
        <v>0</v>
      </c>
      <c r="O827">
        <f t="shared" si="36"/>
        <v>0</v>
      </c>
      <c r="Q827" t="str">
        <f t="shared" si="38"/>
        <v>Q27-01</v>
      </c>
    </row>
    <row r="828" spans="1:17" x14ac:dyDescent="0.25">
      <c r="A828" t="s">
        <v>12</v>
      </c>
      <c r="B828" t="s">
        <v>1740</v>
      </c>
      <c r="C828" t="s">
        <v>1741</v>
      </c>
      <c r="D828" t="s">
        <v>121</v>
      </c>
      <c r="E828" t="s">
        <v>1742</v>
      </c>
      <c r="F828" s="2">
        <v>3808</v>
      </c>
      <c r="G828" s="1">
        <v>0</v>
      </c>
      <c r="H828" t="s">
        <v>17</v>
      </c>
      <c r="I828" t="s">
        <v>475</v>
      </c>
      <c r="J828" t="s">
        <v>90</v>
      </c>
      <c r="K828" s="3">
        <v>46606</v>
      </c>
      <c r="L828" t="s">
        <v>123</v>
      </c>
      <c r="M828">
        <v>0</v>
      </c>
      <c r="N828">
        <v>0</v>
      </c>
      <c r="O828">
        <f t="shared" si="36"/>
        <v>0</v>
      </c>
      <c r="Q828" t="str">
        <f t="shared" si="38"/>
        <v>Q27-01</v>
      </c>
    </row>
    <row r="829" spans="1:17" x14ac:dyDescent="0.25">
      <c r="A829" t="s">
        <v>12</v>
      </c>
      <c r="B829" t="s">
        <v>1389</v>
      </c>
      <c r="C829" t="s">
        <v>1390</v>
      </c>
      <c r="D829" t="s">
        <v>388</v>
      </c>
      <c r="E829" t="s">
        <v>1743</v>
      </c>
      <c r="F829" s="1">
        <v>13</v>
      </c>
      <c r="G829" s="1">
        <v>0</v>
      </c>
      <c r="H829" t="s">
        <v>17</v>
      </c>
      <c r="I829" t="s">
        <v>1392</v>
      </c>
      <c r="J829" t="s">
        <v>1744</v>
      </c>
      <c r="K829" s="3">
        <v>46836</v>
      </c>
      <c r="L829" t="s">
        <v>1745</v>
      </c>
      <c r="M829">
        <v>0.156</v>
      </c>
      <c r="N829">
        <v>2400</v>
      </c>
      <c r="O829">
        <f t="shared" si="36"/>
        <v>2.028</v>
      </c>
      <c r="P829">
        <f t="shared" si="37"/>
        <v>5.4166666666666669E-3</v>
      </c>
      <c r="Q829" t="str">
        <f t="shared" si="38"/>
        <v>Q26-03</v>
      </c>
    </row>
    <row r="830" spans="1:17" x14ac:dyDescent="0.25">
      <c r="A830" t="s">
        <v>61</v>
      </c>
      <c r="B830" t="s">
        <v>364</v>
      </c>
      <c r="C830" t="s">
        <v>365</v>
      </c>
      <c r="D830" t="s">
        <v>244</v>
      </c>
      <c r="E830" t="s">
        <v>1746</v>
      </c>
      <c r="F830" s="1">
        <v>25</v>
      </c>
      <c r="G830" s="1">
        <v>0</v>
      </c>
      <c r="H830" t="s">
        <v>17</v>
      </c>
      <c r="I830" t="s">
        <v>367</v>
      </c>
      <c r="J830" t="s">
        <v>1747</v>
      </c>
      <c r="K830" s="3">
        <v>46721</v>
      </c>
      <c r="L830" t="s">
        <v>1191</v>
      </c>
      <c r="M830">
        <v>0.158</v>
      </c>
      <c r="N830">
        <v>1152</v>
      </c>
      <c r="O830">
        <f t="shared" si="36"/>
        <v>3.95</v>
      </c>
      <c r="P830">
        <f t="shared" si="37"/>
        <v>2.1701388888888888E-2</v>
      </c>
      <c r="Q830" t="str">
        <f t="shared" si="38"/>
        <v>Q27-03</v>
      </c>
    </row>
    <row r="831" spans="1:17" x14ac:dyDescent="0.25">
      <c r="A831" t="s">
        <v>61</v>
      </c>
      <c r="B831" t="s">
        <v>364</v>
      </c>
      <c r="C831" t="s">
        <v>365</v>
      </c>
      <c r="D831" t="s">
        <v>244</v>
      </c>
      <c r="E831" t="s">
        <v>1748</v>
      </c>
      <c r="F831" s="1">
        <v>31</v>
      </c>
      <c r="G831" s="1">
        <v>0</v>
      </c>
      <c r="H831" t="s">
        <v>17</v>
      </c>
      <c r="I831" t="s">
        <v>367</v>
      </c>
      <c r="J831" t="s">
        <v>1747</v>
      </c>
      <c r="K831" s="3">
        <v>46660</v>
      </c>
      <c r="L831" t="s">
        <v>1205</v>
      </c>
      <c r="M831">
        <v>0.158</v>
      </c>
      <c r="N831">
        <v>1152</v>
      </c>
      <c r="O831">
        <f t="shared" si="36"/>
        <v>4.8979999999999997</v>
      </c>
      <c r="P831">
        <f t="shared" si="37"/>
        <v>2.6909722222222224E-2</v>
      </c>
      <c r="Q831" t="str">
        <f t="shared" si="38"/>
        <v>Q27-03</v>
      </c>
    </row>
    <row r="832" spans="1:17" x14ac:dyDescent="0.25">
      <c r="A832" t="s">
        <v>12</v>
      </c>
      <c r="B832" t="s">
        <v>1192</v>
      </c>
      <c r="C832" t="s">
        <v>1193</v>
      </c>
      <c r="D832" t="s">
        <v>57</v>
      </c>
      <c r="E832" t="s">
        <v>1749</v>
      </c>
      <c r="F832" s="1">
        <v>1</v>
      </c>
      <c r="G832" s="1">
        <v>0</v>
      </c>
      <c r="H832" t="s">
        <v>17</v>
      </c>
      <c r="I832" t="s">
        <v>1195</v>
      </c>
      <c r="J832" t="s">
        <v>1750</v>
      </c>
      <c r="K832" s="3">
        <v>46820</v>
      </c>
      <c r="L832" t="s">
        <v>1751</v>
      </c>
      <c r="M832">
        <v>0.25700000000000001</v>
      </c>
      <c r="N832">
        <v>1080</v>
      </c>
      <c r="O832">
        <f t="shared" si="36"/>
        <v>0.25700000000000001</v>
      </c>
      <c r="P832">
        <f t="shared" si="37"/>
        <v>9.2592592592592596E-4</v>
      </c>
      <c r="Q832" t="str">
        <f t="shared" si="38"/>
        <v>Q26-03</v>
      </c>
    </row>
    <row r="833" spans="1:17" x14ac:dyDescent="0.25">
      <c r="A833" t="s">
        <v>12</v>
      </c>
      <c r="B833" t="s">
        <v>1192</v>
      </c>
      <c r="C833" t="s">
        <v>1193</v>
      </c>
      <c r="D833" t="s">
        <v>57</v>
      </c>
      <c r="E833" t="s">
        <v>1752</v>
      </c>
      <c r="F833" s="1">
        <v>5</v>
      </c>
      <c r="G833" s="1">
        <v>0</v>
      </c>
      <c r="H833" t="s">
        <v>17</v>
      </c>
      <c r="I833" t="s">
        <v>1195</v>
      </c>
      <c r="J833" t="s">
        <v>1750</v>
      </c>
      <c r="K833" s="3">
        <v>46816</v>
      </c>
      <c r="L833" t="s">
        <v>1753</v>
      </c>
      <c r="M833">
        <v>0.25700000000000001</v>
      </c>
      <c r="N833">
        <v>1080</v>
      </c>
      <c r="O833">
        <f t="shared" si="36"/>
        <v>1.2850000000000001</v>
      </c>
      <c r="P833">
        <f t="shared" si="37"/>
        <v>4.6296296296296294E-3</v>
      </c>
      <c r="Q833" t="str">
        <f t="shared" si="38"/>
        <v>Q26-03</v>
      </c>
    </row>
    <row r="834" spans="1:17" x14ac:dyDescent="0.25">
      <c r="A834" t="s">
        <v>12</v>
      </c>
      <c r="B834" t="s">
        <v>1556</v>
      </c>
      <c r="C834" t="s">
        <v>1557</v>
      </c>
      <c r="D834" t="s">
        <v>57</v>
      </c>
      <c r="E834" t="s">
        <v>1754</v>
      </c>
      <c r="F834" s="1">
        <v>2</v>
      </c>
      <c r="G834" s="1">
        <v>0</v>
      </c>
      <c r="H834" t="s">
        <v>17</v>
      </c>
      <c r="I834" t="s">
        <v>1559</v>
      </c>
      <c r="J834" t="s">
        <v>1755</v>
      </c>
      <c r="K834" s="3">
        <v>46381</v>
      </c>
      <c r="L834" t="s">
        <v>1756</v>
      </c>
      <c r="M834">
        <v>2.1000000000000001E-2</v>
      </c>
      <c r="N834">
        <v>7150</v>
      </c>
      <c r="O834">
        <f t="shared" si="36"/>
        <v>4.2000000000000003E-2</v>
      </c>
      <c r="P834">
        <f t="shared" si="37"/>
        <v>2.7972027972027972E-4</v>
      </c>
      <c r="Q834" t="str">
        <f t="shared" si="38"/>
        <v>Q26-03</v>
      </c>
    </row>
    <row r="835" spans="1:17" x14ac:dyDescent="0.25">
      <c r="A835" t="s">
        <v>12</v>
      </c>
      <c r="B835" t="s">
        <v>1556</v>
      </c>
      <c r="C835" t="s">
        <v>1557</v>
      </c>
      <c r="D835" t="s">
        <v>57</v>
      </c>
      <c r="E835" t="s">
        <v>1757</v>
      </c>
      <c r="F835" s="1">
        <v>2</v>
      </c>
      <c r="G835" s="1">
        <v>0</v>
      </c>
      <c r="H835" t="s">
        <v>17</v>
      </c>
      <c r="I835" t="s">
        <v>1559</v>
      </c>
      <c r="J835" t="s">
        <v>1755</v>
      </c>
      <c r="K835" s="3">
        <v>46383</v>
      </c>
      <c r="L835" t="s">
        <v>1758</v>
      </c>
      <c r="M835">
        <v>2.1000000000000001E-2</v>
      </c>
      <c r="N835">
        <v>7150</v>
      </c>
      <c r="O835">
        <f t="shared" ref="O835:O898" si="39">F835*M835</f>
        <v>4.2000000000000003E-2</v>
      </c>
      <c r="P835">
        <f t="shared" ref="P835:P898" si="40">F835/N835</f>
        <v>2.7972027972027972E-4</v>
      </c>
      <c r="Q835" t="str">
        <f t="shared" ref="Q835:Q898" si="41">LEFT(D835,6)</f>
        <v>Q26-03</v>
      </c>
    </row>
    <row r="836" spans="1:17" x14ac:dyDescent="0.25">
      <c r="A836" t="s">
        <v>12</v>
      </c>
      <c r="B836" t="s">
        <v>1759</v>
      </c>
      <c r="C836" t="s">
        <v>1760</v>
      </c>
      <c r="D836" t="s">
        <v>77</v>
      </c>
      <c r="E836" t="s">
        <v>1761</v>
      </c>
      <c r="F836" s="1">
        <v>4</v>
      </c>
      <c r="G836" s="1">
        <v>0</v>
      </c>
      <c r="H836" t="s">
        <v>17</v>
      </c>
      <c r="I836" t="s">
        <v>84</v>
      </c>
      <c r="J836" t="s">
        <v>1762</v>
      </c>
      <c r="K836" s="3">
        <v>46865</v>
      </c>
      <c r="L836" t="s">
        <v>1763</v>
      </c>
      <c r="M836">
        <v>0.17399999999999999</v>
      </c>
      <c r="N836">
        <v>1320</v>
      </c>
      <c r="O836">
        <f t="shared" si="39"/>
        <v>0.69599999999999995</v>
      </c>
      <c r="P836">
        <f t="shared" si="40"/>
        <v>3.0303030303030303E-3</v>
      </c>
      <c r="Q836" t="str">
        <f t="shared" si="41"/>
        <v>Q27-01</v>
      </c>
    </row>
    <row r="837" spans="1:17" x14ac:dyDescent="0.25">
      <c r="A837" t="s">
        <v>61</v>
      </c>
      <c r="B837" t="s">
        <v>364</v>
      </c>
      <c r="C837" t="s">
        <v>365</v>
      </c>
      <c r="D837" t="s">
        <v>1648</v>
      </c>
      <c r="E837" t="s">
        <v>1764</v>
      </c>
      <c r="F837" s="1">
        <v>54</v>
      </c>
      <c r="G837" s="1">
        <v>0</v>
      </c>
      <c r="H837" t="s">
        <v>17</v>
      </c>
      <c r="I837" t="s">
        <v>367</v>
      </c>
      <c r="J837" t="s">
        <v>1765</v>
      </c>
      <c r="K837" s="3">
        <v>46752</v>
      </c>
      <c r="L837" t="s">
        <v>1766</v>
      </c>
      <c r="M837">
        <v>0.158</v>
      </c>
      <c r="N837">
        <v>1152</v>
      </c>
      <c r="O837">
        <f t="shared" si="39"/>
        <v>8.532</v>
      </c>
      <c r="P837">
        <f t="shared" si="40"/>
        <v>4.6875E-2</v>
      </c>
      <c r="Q837" t="str">
        <f t="shared" si="41"/>
        <v>Q27-03</v>
      </c>
    </row>
    <row r="838" spans="1:17" x14ac:dyDescent="0.25">
      <c r="A838" t="s">
        <v>61</v>
      </c>
      <c r="B838" t="s">
        <v>364</v>
      </c>
      <c r="C838" t="s">
        <v>365</v>
      </c>
      <c r="D838" t="s">
        <v>1648</v>
      </c>
      <c r="E838" t="s">
        <v>1767</v>
      </c>
      <c r="F838" s="1">
        <v>38</v>
      </c>
      <c r="G838" s="1">
        <v>0</v>
      </c>
      <c r="H838" t="s">
        <v>17</v>
      </c>
      <c r="I838" t="s">
        <v>367</v>
      </c>
      <c r="J838" t="s">
        <v>1765</v>
      </c>
      <c r="K838" s="3">
        <v>46752</v>
      </c>
      <c r="L838" t="s">
        <v>1766</v>
      </c>
      <c r="M838">
        <v>0.158</v>
      </c>
      <c r="N838">
        <v>1152</v>
      </c>
      <c r="O838">
        <f t="shared" si="39"/>
        <v>6.0040000000000004</v>
      </c>
      <c r="P838">
        <f t="shared" si="40"/>
        <v>3.2986111111111112E-2</v>
      </c>
      <c r="Q838" t="str">
        <f t="shared" si="41"/>
        <v>Q27-03</v>
      </c>
    </row>
    <row r="839" spans="1:17" x14ac:dyDescent="0.25">
      <c r="A839" t="s">
        <v>61</v>
      </c>
      <c r="B839" t="s">
        <v>364</v>
      </c>
      <c r="C839" t="s">
        <v>365</v>
      </c>
      <c r="D839" t="s">
        <v>1648</v>
      </c>
      <c r="E839" t="s">
        <v>1768</v>
      </c>
      <c r="F839" s="1">
        <v>7</v>
      </c>
      <c r="G839" s="1">
        <v>0</v>
      </c>
      <c r="H839" t="s">
        <v>17</v>
      </c>
      <c r="I839" t="s">
        <v>367</v>
      </c>
      <c r="J839" t="s">
        <v>1765</v>
      </c>
      <c r="K839" s="3">
        <v>46752</v>
      </c>
      <c r="L839" t="s">
        <v>1766</v>
      </c>
      <c r="M839">
        <v>0.158</v>
      </c>
      <c r="N839">
        <v>1152</v>
      </c>
      <c r="O839">
        <f t="shared" si="39"/>
        <v>1.1060000000000001</v>
      </c>
      <c r="P839">
        <f t="shared" si="40"/>
        <v>6.076388888888889E-3</v>
      </c>
      <c r="Q839" t="str">
        <f t="shared" si="41"/>
        <v>Q27-03</v>
      </c>
    </row>
    <row r="840" spans="1:17" x14ac:dyDescent="0.25">
      <c r="A840" t="s">
        <v>61</v>
      </c>
      <c r="B840" t="s">
        <v>166</v>
      </c>
      <c r="C840" t="s">
        <v>167</v>
      </c>
      <c r="D840" t="s">
        <v>1648</v>
      </c>
      <c r="E840" t="s">
        <v>1769</v>
      </c>
      <c r="F840" s="1">
        <v>132</v>
      </c>
      <c r="G840" s="1">
        <v>0</v>
      </c>
      <c r="H840" t="s">
        <v>17</v>
      </c>
      <c r="I840" t="s">
        <v>170</v>
      </c>
      <c r="J840" t="s">
        <v>1765</v>
      </c>
      <c r="K840" s="3">
        <v>46660</v>
      </c>
      <c r="L840" t="s">
        <v>1770</v>
      </c>
      <c r="M840">
        <v>9.2999999999999999E-2</v>
      </c>
      <c r="N840">
        <v>1536</v>
      </c>
      <c r="O840">
        <f t="shared" si="39"/>
        <v>12.276</v>
      </c>
      <c r="P840">
        <f t="shared" si="40"/>
        <v>8.59375E-2</v>
      </c>
      <c r="Q840" t="str">
        <f t="shared" si="41"/>
        <v>Q27-03</v>
      </c>
    </row>
    <row r="841" spans="1:17" x14ac:dyDescent="0.25">
      <c r="A841" t="s">
        <v>61</v>
      </c>
      <c r="B841" t="s">
        <v>166</v>
      </c>
      <c r="C841" t="s">
        <v>167</v>
      </c>
      <c r="D841" t="s">
        <v>1648</v>
      </c>
      <c r="E841" t="s">
        <v>1771</v>
      </c>
      <c r="F841" s="1">
        <v>26</v>
      </c>
      <c r="G841" s="1">
        <v>0</v>
      </c>
      <c r="H841" t="s">
        <v>17</v>
      </c>
      <c r="I841" t="s">
        <v>170</v>
      </c>
      <c r="J841" t="s">
        <v>1765</v>
      </c>
      <c r="K841" s="3">
        <v>46660</v>
      </c>
      <c r="L841" t="s">
        <v>1770</v>
      </c>
      <c r="M841">
        <v>9.2999999999999999E-2</v>
      </c>
      <c r="N841">
        <v>1536</v>
      </c>
      <c r="O841">
        <f t="shared" si="39"/>
        <v>2.4180000000000001</v>
      </c>
      <c r="P841">
        <f t="shared" si="40"/>
        <v>1.6927083333333332E-2</v>
      </c>
      <c r="Q841" t="str">
        <f t="shared" si="41"/>
        <v>Q27-03</v>
      </c>
    </row>
    <row r="842" spans="1:17" x14ac:dyDescent="0.25">
      <c r="A842" t="s">
        <v>61</v>
      </c>
      <c r="B842" t="s">
        <v>166</v>
      </c>
      <c r="C842" t="s">
        <v>167</v>
      </c>
      <c r="D842" t="s">
        <v>1648</v>
      </c>
      <c r="E842" t="s">
        <v>1772</v>
      </c>
      <c r="F842" s="1">
        <v>86</v>
      </c>
      <c r="G842" s="1">
        <v>0</v>
      </c>
      <c r="H842" t="s">
        <v>17</v>
      </c>
      <c r="I842" t="s">
        <v>170</v>
      </c>
      <c r="J842" t="s">
        <v>1765</v>
      </c>
      <c r="K842" s="3">
        <v>46660</v>
      </c>
      <c r="L842" t="s">
        <v>1770</v>
      </c>
      <c r="M842">
        <v>9.2999999999999999E-2</v>
      </c>
      <c r="N842">
        <v>1536</v>
      </c>
      <c r="O842">
        <f t="shared" si="39"/>
        <v>7.9980000000000002</v>
      </c>
      <c r="P842">
        <f t="shared" si="40"/>
        <v>5.5989583333333336E-2</v>
      </c>
      <c r="Q842" t="str">
        <f t="shared" si="41"/>
        <v>Q27-03</v>
      </c>
    </row>
    <row r="843" spans="1:17" x14ac:dyDescent="0.25">
      <c r="A843" t="s">
        <v>61</v>
      </c>
      <c r="B843" t="s">
        <v>166</v>
      </c>
      <c r="C843" t="s">
        <v>167</v>
      </c>
      <c r="D843" t="s">
        <v>1648</v>
      </c>
      <c r="E843" t="s">
        <v>1773</v>
      </c>
      <c r="F843" s="1">
        <v>11</v>
      </c>
      <c r="G843" s="1">
        <v>0</v>
      </c>
      <c r="H843" t="s">
        <v>17</v>
      </c>
      <c r="I843" t="s">
        <v>170</v>
      </c>
      <c r="J843" t="s">
        <v>1765</v>
      </c>
      <c r="K843" s="3">
        <v>46660</v>
      </c>
      <c r="L843" t="s">
        <v>1770</v>
      </c>
      <c r="M843">
        <v>9.2999999999999999E-2</v>
      </c>
      <c r="N843">
        <v>1536</v>
      </c>
      <c r="O843">
        <f t="shared" si="39"/>
        <v>1.0229999999999999</v>
      </c>
      <c r="P843">
        <f t="shared" si="40"/>
        <v>7.161458333333333E-3</v>
      </c>
      <c r="Q843" t="str">
        <f t="shared" si="41"/>
        <v>Q27-03</v>
      </c>
    </row>
    <row r="844" spans="1:17" x14ac:dyDescent="0.25">
      <c r="A844" t="s">
        <v>61</v>
      </c>
      <c r="B844" t="s">
        <v>225</v>
      </c>
      <c r="C844" t="s">
        <v>226</v>
      </c>
      <c r="D844" t="s">
        <v>1648</v>
      </c>
      <c r="E844" t="s">
        <v>1774</v>
      </c>
      <c r="F844" s="1">
        <v>6</v>
      </c>
      <c r="G844" s="1">
        <v>0</v>
      </c>
      <c r="H844" t="s">
        <v>17</v>
      </c>
      <c r="I844" t="s">
        <v>228</v>
      </c>
      <c r="J844" t="s">
        <v>1765</v>
      </c>
      <c r="K844" s="3">
        <v>46783</v>
      </c>
      <c r="L844" t="s">
        <v>1717</v>
      </c>
      <c r="M844">
        <v>5.8000000000000003E-2</v>
      </c>
      <c r="N844">
        <v>2880</v>
      </c>
      <c r="O844">
        <f t="shared" si="39"/>
        <v>0.34800000000000003</v>
      </c>
      <c r="P844">
        <f t="shared" si="40"/>
        <v>2.0833333333333333E-3</v>
      </c>
      <c r="Q844" t="str">
        <f t="shared" si="41"/>
        <v>Q27-03</v>
      </c>
    </row>
    <row r="845" spans="1:17" x14ac:dyDescent="0.25">
      <c r="A845" t="s">
        <v>61</v>
      </c>
      <c r="B845" t="s">
        <v>219</v>
      </c>
      <c r="C845" t="s">
        <v>220</v>
      </c>
      <c r="D845" t="s">
        <v>1648</v>
      </c>
      <c r="E845" t="s">
        <v>1775</v>
      </c>
      <c r="F845" s="1">
        <v>50</v>
      </c>
      <c r="G845" s="1">
        <v>0</v>
      </c>
      <c r="H845" t="s">
        <v>17</v>
      </c>
      <c r="I845" t="s">
        <v>222</v>
      </c>
      <c r="J845" t="s">
        <v>1765</v>
      </c>
      <c r="K845" s="3">
        <v>46477</v>
      </c>
      <c r="L845" t="s">
        <v>1776</v>
      </c>
      <c r="M845">
        <v>0.3</v>
      </c>
      <c r="N845">
        <v>1680</v>
      </c>
      <c r="O845">
        <f t="shared" si="39"/>
        <v>15</v>
      </c>
      <c r="P845">
        <f t="shared" si="40"/>
        <v>2.976190476190476E-2</v>
      </c>
      <c r="Q845" t="str">
        <f t="shared" si="41"/>
        <v>Q27-03</v>
      </c>
    </row>
    <row r="846" spans="1:17" x14ac:dyDescent="0.25">
      <c r="A846" t="s">
        <v>61</v>
      </c>
      <c r="B846" t="s">
        <v>71</v>
      </c>
      <c r="C846" t="s">
        <v>72</v>
      </c>
      <c r="D846" t="s">
        <v>1648</v>
      </c>
      <c r="E846" t="s">
        <v>1777</v>
      </c>
      <c r="F846" s="1">
        <v>34</v>
      </c>
      <c r="G846" s="1">
        <v>0</v>
      </c>
      <c r="H846" t="s">
        <v>17</v>
      </c>
      <c r="I846" t="s">
        <v>75</v>
      </c>
      <c r="J846" t="s">
        <v>1765</v>
      </c>
      <c r="K846" s="3">
        <v>46477</v>
      </c>
      <c r="L846" t="s">
        <v>1778</v>
      </c>
      <c r="M846">
        <v>0.3</v>
      </c>
      <c r="N846">
        <v>1680</v>
      </c>
      <c r="O846">
        <f t="shared" si="39"/>
        <v>10.199999999999999</v>
      </c>
      <c r="P846">
        <f t="shared" si="40"/>
        <v>2.0238095238095239E-2</v>
      </c>
      <c r="Q846" t="str">
        <f t="shared" si="41"/>
        <v>Q27-03</v>
      </c>
    </row>
    <row r="847" spans="1:17" x14ac:dyDescent="0.25">
      <c r="A847" t="s">
        <v>61</v>
      </c>
      <c r="B847" t="s">
        <v>456</v>
      </c>
      <c r="C847" t="s">
        <v>457</v>
      </c>
      <c r="D847" t="s">
        <v>1648</v>
      </c>
      <c r="E847" t="s">
        <v>1779</v>
      </c>
      <c r="F847" s="1">
        <v>3</v>
      </c>
      <c r="G847" s="1">
        <v>0</v>
      </c>
      <c r="H847" t="s">
        <v>17</v>
      </c>
      <c r="I847" t="s">
        <v>459</v>
      </c>
      <c r="J847" t="s">
        <v>1765</v>
      </c>
      <c r="K847" s="3">
        <v>46477</v>
      </c>
      <c r="L847" t="s">
        <v>1780</v>
      </c>
      <c r="M847">
        <v>0.22600000000000001</v>
      </c>
      <c r="N847">
        <v>1680</v>
      </c>
      <c r="O847">
        <f t="shared" si="39"/>
        <v>0.67800000000000005</v>
      </c>
      <c r="P847">
        <f t="shared" si="40"/>
        <v>1.7857142857142857E-3</v>
      </c>
      <c r="Q847" t="str">
        <f t="shared" si="41"/>
        <v>Q27-03</v>
      </c>
    </row>
    <row r="848" spans="1:17" x14ac:dyDescent="0.25">
      <c r="A848" t="s">
        <v>61</v>
      </c>
      <c r="B848" t="s">
        <v>281</v>
      </c>
      <c r="C848" t="s">
        <v>282</v>
      </c>
      <c r="D848" t="s">
        <v>1648</v>
      </c>
      <c r="E848" t="s">
        <v>1781</v>
      </c>
      <c r="F848" s="1">
        <v>1</v>
      </c>
      <c r="G848" s="1">
        <v>0</v>
      </c>
      <c r="H848" t="s">
        <v>17</v>
      </c>
      <c r="I848" t="s">
        <v>284</v>
      </c>
      <c r="J848" t="s">
        <v>1765</v>
      </c>
      <c r="K848" s="3">
        <v>46691</v>
      </c>
      <c r="L848" t="s">
        <v>1782</v>
      </c>
      <c r="M848">
        <v>6.8000000000000005E-2</v>
      </c>
      <c r="N848">
        <v>2240</v>
      </c>
      <c r="O848">
        <f t="shared" si="39"/>
        <v>6.8000000000000005E-2</v>
      </c>
      <c r="P848">
        <f t="shared" si="40"/>
        <v>4.4642857142857141E-4</v>
      </c>
      <c r="Q848" t="str">
        <f t="shared" si="41"/>
        <v>Q27-03</v>
      </c>
    </row>
    <row r="849" spans="1:17" x14ac:dyDescent="0.25">
      <c r="A849" t="s">
        <v>61</v>
      </c>
      <c r="B849" t="s">
        <v>317</v>
      </c>
      <c r="C849" t="s">
        <v>318</v>
      </c>
      <c r="D849" t="s">
        <v>382</v>
      </c>
      <c r="E849" t="s">
        <v>1783</v>
      </c>
      <c r="F849" s="1">
        <v>14</v>
      </c>
      <c r="G849" s="1">
        <v>0</v>
      </c>
      <c r="H849" t="s">
        <v>17</v>
      </c>
      <c r="I849" t="s">
        <v>320</v>
      </c>
      <c r="J849" t="s">
        <v>1784</v>
      </c>
      <c r="K849" s="3">
        <v>46752</v>
      </c>
      <c r="L849" t="s">
        <v>1785</v>
      </c>
      <c r="M849">
        <v>0.04</v>
      </c>
      <c r="N849">
        <v>2688</v>
      </c>
      <c r="O849">
        <f t="shared" si="39"/>
        <v>0.56000000000000005</v>
      </c>
      <c r="P849">
        <f t="shared" si="40"/>
        <v>5.208333333333333E-3</v>
      </c>
      <c r="Q849" t="str">
        <f t="shared" si="41"/>
        <v>Q27-03</v>
      </c>
    </row>
    <row r="850" spans="1:17" x14ac:dyDescent="0.25">
      <c r="A850" t="s">
        <v>61</v>
      </c>
      <c r="B850" t="s">
        <v>317</v>
      </c>
      <c r="C850" t="s">
        <v>318</v>
      </c>
      <c r="D850" t="s">
        <v>1648</v>
      </c>
      <c r="E850" t="s">
        <v>1786</v>
      </c>
      <c r="F850" s="1">
        <v>16</v>
      </c>
      <c r="G850" s="1">
        <v>0</v>
      </c>
      <c r="H850" t="s">
        <v>17</v>
      </c>
      <c r="I850" t="s">
        <v>320</v>
      </c>
      <c r="J850" t="s">
        <v>1784</v>
      </c>
      <c r="K850" s="3">
        <v>46752</v>
      </c>
      <c r="L850" t="s">
        <v>1785</v>
      </c>
      <c r="M850">
        <v>0.04</v>
      </c>
      <c r="N850">
        <v>2688</v>
      </c>
      <c r="O850">
        <f t="shared" si="39"/>
        <v>0.64</v>
      </c>
      <c r="P850">
        <f t="shared" si="40"/>
        <v>5.9523809523809521E-3</v>
      </c>
      <c r="Q850" t="str">
        <f t="shared" si="41"/>
        <v>Q27-03</v>
      </c>
    </row>
    <row r="851" spans="1:17" x14ac:dyDescent="0.25">
      <c r="A851" t="s">
        <v>61</v>
      </c>
      <c r="B851" t="s">
        <v>317</v>
      </c>
      <c r="C851" t="s">
        <v>318</v>
      </c>
      <c r="D851" t="s">
        <v>1648</v>
      </c>
      <c r="E851" t="s">
        <v>1787</v>
      </c>
      <c r="F851" s="1">
        <v>25</v>
      </c>
      <c r="G851" s="1">
        <v>0</v>
      </c>
      <c r="H851" t="s">
        <v>17</v>
      </c>
      <c r="I851" t="s">
        <v>320</v>
      </c>
      <c r="J851" t="s">
        <v>1784</v>
      </c>
      <c r="K851" s="3">
        <v>46752</v>
      </c>
      <c r="L851" t="s">
        <v>1785</v>
      </c>
      <c r="M851">
        <v>0.04</v>
      </c>
      <c r="N851">
        <v>2688</v>
      </c>
      <c r="O851">
        <f t="shared" si="39"/>
        <v>1</v>
      </c>
      <c r="P851">
        <f t="shared" si="40"/>
        <v>9.300595238095238E-3</v>
      </c>
      <c r="Q851" t="str">
        <f t="shared" si="41"/>
        <v>Q27-03</v>
      </c>
    </row>
    <row r="852" spans="1:17" x14ac:dyDescent="0.25">
      <c r="A852" t="s">
        <v>61</v>
      </c>
      <c r="B852" t="s">
        <v>317</v>
      </c>
      <c r="C852" t="s">
        <v>318</v>
      </c>
      <c r="D852" t="s">
        <v>1648</v>
      </c>
      <c r="E852" t="s">
        <v>1788</v>
      </c>
      <c r="F852" s="1">
        <v>3</v>
      </c>
      <c r="G852" s="1">
        <v>0</v>
      </c>
      <c r="H852" t="s">
        <v>17</v>
      </c>
      <c r="I852" t="s">
        <v>320</v>
      </c>
      <c r="J852" t="s">
        <v>1784</v>
      </c>
      <c r="K852" s="3">
        <v>46752</v>
      </c>
      <c r="L852" t="s">
        <v>1785</v>
      </c>
      <c r="M852">
        <v>0.04</v>
      </c>
      <c r="N852">
        <v>2688</v>
      </c>
      <c r="O852">
        <f t="shared" si="39"/>
        <v>0.12</v>
      </c>
      <c r="P852">
        <f t="shared" si="40"/>
        <v>1.1160714285714285E-3</v>
      </c>
      <c r="Q852" t="str">
        <f t="shared" si="41"/>
        <v>Q27-03</v>
      </c>
    </row>
    <row r="853" spans="1:17" x14ac:dyDescent="0.25">
      <c r="A853" t="s">
        <v>61</v>
      </c>
      <c r="B853" t="s">
        <v>317</v>
      </c>
      <c r="C853" t="s">
        <v>318</v>
      </c>
      <c r="D853" t="s">
        <v>244</v>
      </c>
      <c r="E853" t="s">
        <v>1789</v>
      </c>
      <c r="F853" s="1">
        <v>2</v>
      </c>
      <c r="G853" s="1">
        <v>0</v>
      </c>
      <c r="H853" t="s">
        <v>17</v>
      </c>
      <c r="I853" t="s">
        <v>320</v>
      </c>
      <c r="J853" t="s">
        <v>1784</v>
      </c>
      <c r="K853" s="3">
        <v>46752</v>
      </c>
      <c r="L853" t="s">
        <v>1790</v>
      </c>
      <c r="M853">
        <v>0.04</v>
      </c>
      <c r="N853">
        <v>2688</v>
      </c>
      <c r="O853">
        <f t="shared" si="39"/>
        <v>0.08</v>
      </c>
      <c r="P853">
        <f t="shared" si="40"/>
        <v>7.4404761904761901E-4</v>
      </c>
      <c r="Q853" t="str">
        <f t="shared" si="41"/>
        <v>Q27-03</v>
      </c>
    </row>
    <row r="854" spans="1:17" x14ac:dyDescent="0.25">
      <c r="A854" t="s">
        <v>61</v>
      </c>
      <c r="B854" t="s">
        <v>317</v>
      </c>
      <c r="C854" t="s">
        <v>318</v>
      </c>
      <c r="D854" t="s">
        <v>244</v>
      </c>
      <c r="E854" t="s">
        <v>1791</v>
      </c>
      <c r="F854" s="1">
        <v>8</v>
      </c>
      <c r="G854" s="1">
        <v>0</v>
      </c>
      <c r="H854" t="s">
        <v>17</v>
      </c>
      <c r="I854" t="s">
        <v>320</v>
      </c>
      <c r="J854" t="s">
        <v>1784</v>
      </c>
      <c r="K854" s="3">
        <v>46752</v>
      </c>
      <c r="L854" t="s">
        <v>1790</v>
      </c>
      <c r="M854">
        <v>0.04</v>
      </c>
      <c r="N854">
        <v>2688</v>
      </c>
      <c r="O854">
        <f t="shared" si="39"/>
        <v>0.32</v>
      </c>
      <c r="P854">
        <f t="shared" si="40"/>
        <v>2.976190476190476E-3</v>
      </c>
      <c r="Q854" t="str">
        <f t="shared" si="41"/>
        <v>Q27-03</v>
      </c>
    </row>
    <row r="855" spans="1:17" x14ac:dyDescent="0.25">
      <c r="A855" t="s">
        <v>61</v>
      </c>
      <c r="B855" t="s">
        <v>317</v>
      </c>
      <c r="C855" t="s">
        <v>318</v>
      </c>
      <c r="D855" t="s">
        <v>336</v>
      </c>
      <c r="E855" t="s">
        <v>1792</v>
      </c>
      <c r="F855" s="1">
        <v>1</v>
      </c>
      <c r="G855" s="1">
        <v>0</v>
      </c>
      <c r="H855" t="s">
        <v>17</v>
      </c>
      <c r="I855" t="s">
        <v>320</v>
      </c>
      <c r="J855" t="s">
        <v>1784</v>
      </c>
      <c r="K855" s="3">
        <v>46752</v>
      </c>
      <c r="L855" t="s">
        <v>1790</v>
      </c>
      <c r="M855">
        <v>0.04</v>
      </c>
      <c r="N855">
        <v>2688</v>
      </c>
      <c r="O855">
        <f t="shared" si="39"/>
        <v>0.04</v>
      </c>
      <c r="P855">
        <f t="shared" si="40"/>
        <v>3.720238095238095E-4</v>
      </c>
      <c r="Q855" t="str">
        <f t="shared" si="41"/>
        <v>Q27-03</v>
      </c>
    </row>
    <row r="856" spans="1:17" x14ac:dyDescent="0.25">
      <c r="A856" t="s">
        <v>61</v>
      </c>
      <c r="B856" t="s">
        <v>317</v>
      </c>
      <c r="C856" t="s">
        <v>318</v>
      </c>
      <c r="D856" t="s">
        <v>336</v>
      </c>
      <c r="E856" t="s">
        <v>1793</v>
      </c>
      <c r="F856" s="1">
        <v>6</v>
      </c>
      <c r="G856" s="1">
        <v>0</v>
      </c>
      <c r="H856" t="s">
        <v>17</v>
      </c>
      <c r="I856" t="s">
        <v>320</v>
      </c>
      <c r="J856" t="s">
        <v>1784</v>
      </c>
      <c r="K856" s="3">
        <v>46752</v>
      </c>
      <c r="L856" t="s">
        <v>1790</v>
      </c>
      <c r="M856">
        <v>0.04</v>
      </c>
      <c r="N856">
        <v>2688</v>
      </c>
      <c r="O856">
        <f t="shared" si="39"/>
        <v>0.24</v>
      </c>
      <c r="P856">
        <f t="shared" si="40"/>
        <v>2.232142857142857E-3</v>
      </c>
      <c r="Q856" t="str">
        <f t="shared" si="41"/>
        <v>Q27-03</v>
      </c>
    </row>
    <row r="857" spans="1:17" x14ac:dyDescent="0.25">
      <c r="A857" t="s">
        <v>61</v>
      </c>
      <c r="B857" t="s">
        <v>317</v>
      </c>
      <c r="C857" t="s">
        <v>318</v>
      </c>
      <c r="D857" t="s">
        <v>240</v>
      </c>
      <c r="E857" t="s">
        <v>1794</v>
      </c>
      <c r="F857" s="1">
        <v>15</v>
      </c>
      <c r="G857" s="1">
        <v>0</v>
      </c>
      <c r="H857" t="s">
        <v>17</v>
      </c>
      <c r="I857" t="s">
        <v>320</v>
      </c>
      <c r="J857" t="s">
        <v>1784</v>
      </c>
      <c r="K857" s="3">
        <v>46752</v>
      </c>
      <c r="L857" t="s">
        <v>1790</v>
      </c>
      <c r="M857">
        <v>0.04</v>
      </c>
      <c r="N857">
        <v>2688</v>
      </c>
      <c r="O857">
        <f t="shared" si="39"/>
        <v>0.6</v>
      </c>
      <c r="P857">
        <f t="shared" si="40"/>
        <v>5.580357142857143E-3</v>
      </c>
      <c r="Q857" t="str">
        <f t="shared" si="41"/>
        <v>Q27-03</v>
      </c>
    </row>
    <row r="858" spans="1:17" x14ac:dyDescent="0.25">
      <c r="A858" t="s">
        <v>61</v>
      </c>
      <c r="B858" t="s">
        <v>317</v>
      </c>
      <c r="C858" t="s">
        <v>318</v>
      </c>
      <c r="D858" t="s">
        <v>195</v>
      </c>
      <c r="E858" t="s">
        <v>1795</v>
      </c>
      <c r="F858" s="1">
        <v>1</v>
      </c>
      <c r="G858" s="1">
        <v>0</v>
      </c>
      <c r="H858" t="s">
        <v>17</v>
      </c>
      <c r="I858" t="s">
        <v>320</v>
      </c>
      <c r="J858" t="s">
        <v>1784</v>
      </c>
      <c r="K858" s="3">
        <v>46752</v>
      </c>
      <c r="L858" t="s">
        <v>1790</v>
      </c>
      <c r="M858">
        <v>0.04</v>
      </c>
      <c r="N858">
        <v>2688</v>
      </c>
      <c r="O858">
        <f t="shared" si="39"/>
        <v>0.04</v>
      </c>
      <c r="P858">
        <f t="shared" si="40"/>
        <v>3.720238095238095E-4</v>
      </c>
      <c r="Q858" t="str">
        <f t="shared" si="41"/>
        <v>Q27-03</v>
      </c>
    </row>
    <row r="859" spans="1:17" x14ac:dyDescent="0.25">
      <c r="A859" t="s">
        <v>12</v>
      </c>
      <c r="B859" t="s">
        <v>1796</v>
      </c>
      <c r="C859" t="s">
        <v>1797</v>
      </c>
      <c r="D859" t="s">
        <v>44</v>
      </c>
      <c r="E859" t="s">
        <v>1798</v>
      </c>
      <c r="F859" s="1">
        <v>16</v>
      </c>
      <c r="G859" s="1">
        <v>0</v>
      </c>
      <c r="H859" t="s">
        <v>17</v>
      </c>
      <c r="I859" t="s">
        <v>1799</v>
      </c>
      <c r="J859" t="s">
        <v>1800</v>
      </c>
      <c r="K859" s="3">
        <v>46081</v>
      </c>
      <c r="L859" t="s">
        <v>1801</v>
      </c>
      <c r="M859">
        <v>3.2000000000000001E-2</v>
      </c>
      <c r="N859">
        <v>8640</v>
      </c>
      <c r="O859">
        <f t="shared" si="39"/>
        <v>0.51200000000000001</v>
      </c>
      <c r="P859">
        <f t="shared" si="40"/>
        <v>1.8518518518518519E-3</v>
      </c>
      <c r="Q859" t="str">
        <f t="shared" si="41"/>
        <v>Q26-01</v>
      </c>
    </row>
    <row r="860" spans="1:17" x14ac:dyDescent="0.25">
      <c r="A860" t="s">
        <v>61</v>
      </c>
      <c r="B860" t="s">
        <v>317</v>
      </c>
      <c r="C860" t="s">
        <v>318</v>
      </c>
      <c r="D860" t="s">
        <v>1648</v>
      </c>
      <c r="E860" t="s">
        <v>1802</v>
      </c>
      <c r="F860" s="1">
        <v>6</v>
      </c>
      <c r="G860" s="1">
        <v>0</v>
      </c>
      <c r="H860" t="s">
        <v>17</v>
      </c>
      <c r="I860" t="s">
        <v>320</v>
      </c>
      <c r="J860" t="s">
        <v>1803</v>
      </c>
      <c r="K860" s="3">
        <v>46752</v>
      </c>
      <c r="L860" t="s">
        <v>1785</v>
      </c>
      <c r="M860">
        <v>0.04</v>
      </c>
      <c r="N860">
        <v>2688</v>
      </c>
      <c r="O860">
        <f t="shared" si="39"/>
        <v>0.24</v>
      </c>
      <c r="P860">
        <f t="shared" si="40"/>
        <v>2.232142857142857E-3</v>
      </c>
      <c r="Q860" t="str">
        <f t="shared" si="41"/>
        <v>Q27-03</v>
      </c>
    </row>
    <row r="861" spans="1:17" x14ac:dyDescent="0.25">
      <c r="A861" t="s">
        <v>61</v>
      </c>
      <c r="B861" t="s">
        <v>317</v>
      </c>
      <c r="C861" t="s">
        <v>318</v>
      </c>
      <c r="D861" t="s">
        <v>1648</v>
      </c>
      <c r="E861" t="s">
        <v>1804</v>
      </c>
      <c r="F861" s="1">
        <v>11</v>
      </c>
      <c r="G861" s="1">
        <v>0</v>
      </c>
      <c r="H861" t="s">
        <v>17</v>
      </c>
      <c r="I861" t="s">
        <v>320</v>
      </c>
      <c r="J861" t="s">
        <v>1803</v>
      </c>
      <c r="K861" s="3">
        <v>46752</v>
      </c>
      <c r="L861" t="s">
        <v>1785</v>
      </c>
      <c r="M861">
        <v>0.04</v>
      </c>
      <c r="N861">
        <v>2688</v>
      </c>
      <c r="O861">
        <f t="shared" si="39"/>
        <v>0.44</v>
      </c>
      <c r="P861">
        <f t="shared" si="40"/>
        <v>4.092261904761905E-3</v>
      </c>
      <c r="Q861" t="str">
        <f t="shared" si="41"/>
        <v>Q27-03</v>
      </c>
    </row>
    <row r="862" spans="1:17" x14ac:dyDescent="0.25">
      <c r="A862" t="s">
        <v>61</v>
      </c>
      <c r="B862" t="s">
        <v>317</v>
      </c>
      <c r="C862" t="s">
        <v>318</v>
      </c>
      <c r="D862" t="s">
        <v>1648</v>
      </c>
      <c r="E862" t="s">
        <v>1805</v>
      </c>
      <c r="F862" s="1">
        <v>21</v>
      </c>
      <c r="G862" s="1">
        <v>0</v>
      </c>
      <c r="H862" t="s">
        <v>17</v>
      </c>
      <c r="I862" t="s">
        <v>320</v>
      </c>
      <c r="J862" t="s">
        <v>1803</v>
      </c>
      <c r="K862" s="3">
        <v>46752</v>
      </c>
      <c r="L862" t="s">
        <v>1785</v>
      </c>
      <c r="M862">
        <v>0.04</v>
      </c>
      <c r="N862">
        <v>2688</v>
      </c>
      <c r="O862">
        <f t="shared" si="39"/>
        <v>0.84</v>
      </c>
      <c r="P862">
        <f t="shared" si="40"/>
        <v>7.8125E-3</v>
      </c>
      <c r="Q862" t="str">
        <f t="shared" si="41"/>
        <v>Q27-03</v>
      </c>
    </row>
    <row r="863" spans="1:17" x14ac:dyDescent="0.25">
      <c r="A863" t="s">
        <v>61</v>
      </c>
      <c r="B863" t="s">
        <v>317</v>
      </c>
      <c r="C863" t="s">
        <v>318</v>
      </c>
      <c r="D863" t="s">
        <v>1648</v>
      </c>
      <c r="E863" t="s">
        <v>1806</v>
      </c>
      <c r="F863" s="1">
        <v>5</v>
      </c>
      <c r="G863" s="1">
        <v>0</v>
      </c>
      <c r="H863" t="s">
        <v>17</v>
      </c>
      <c r="I863" t="s">
        <v>320</v>
      </c>
      <c r="J863" t="s">
        <v>1803</v>
      </c>
      <c r="K863" s="3">
        <v>46752</v>
      </c>
      <c r="L863" t="s">
        <v>1785</v>
      </c>
      <c r="M863">
        <v>0.04</v>
      </c>
      <c r="N863">
        <v>2688</v>
      </c>
      <c r="O863">
        <f t="shared" si="39"/>
        <v>0.2</v>
      </c>
      <c r="P863">
        <f t="shared" si="40"/>
        <v>1.8601190476190475E-3</v>
      </c>
      <c r="Q863" t="str">
        <f t="shared" si="41"/>
        <v>Q27-03</v>
      </c>
    </row>
    <row r="864" spans="1:17" x14ac:dyDescent="0.25">
      <c r="A864" t="s">
        <v>61</v>
      </c>
      <c r="B864" t="s">
        <v>317</v>
      </c>
      <c r="C864" t="s">
        <v>318</v>
      </c>
      <c r="D864" t="s">
        <v>1648</v>
      </c>
      <c r="E864" t="s">
        <v>1807</v>
      </c>
      <c r="F864" s="1">
        <v>29</v>
      </c>
      <c r="G864" s="1">
        <v>0</v>
      </c>
      <c r="H864" t="s">
        <v>17</v>
      </c>
      <c r="I864" t="s">
        <v>320</v>
      </c>
      <c r="J864" t="s">
        <v>1803</v>
      </c>
      <c r="K864" s="3">
        <v>46752</v>
      </c>
      <c r="L864" t="s">
        <v>1785</v>
      </c>
      <c r="M864">
        <v>0.04</v>
      </c>
      <c r="N864">
        <v>2688</v>
      </c>
      <c r="O864">
        <f t="shared" si="39"/>
        <v>1.1599999999999999</v>
      </c>
      <c r="P864">
        <f t="shared" si="40"/>
        <v>1.0788690476190476E-2</v>
      </c>
      <c r="Q864" t="str">
        <f t="shared" si="41"/>
        <v>Q27-03</v>
      </c>
    </row>
    <row r="865" spans="1:17" x14ac:dyDescent="0.25">
      <c r="A865" t="s">
        <v>61</v>
      </c>
      <c r="B865" t="s">
        <v>317</v>
      </c>
      <c r="C865" t="s">
        <v>318</v>
      </c>
      <c r="D865" t="s">
        <v>1648</v>
      </c>
      <c r="E865" t="s">
        <v>1808</v>
      </c>
      <c r="F865" s="1">
        <v>19</v>
      </c>
      <c r="G865" s="1">
        <v>0</v>
      </c>
      <c r="H865" t="s">
        <v>17</v>
      </c>
      <c r="I865" t="s">
        <v>320</v>
      </c>
      <c r="J865" t="s">
        <v>1803</v>
      </c>
      <c r="K865" s="3">
        <v>46752</v>
      </c>
      <c r="L865" t="s">
        <v>1785</v>
      </c>
      <c r="M865">
        <v>0.04</v>
      </c>
      <c r="N865">
        <v>2688</v>
      </c>
      <c r="O865">
        <f t="shared" si="39"/>
        <v>0.76</v>
      </c>
      <c r="P865">
        <f t="shared" si="40"/>
        <v>7.068452380952381E-3</v>
      </c>
      <c r="Q865" t="str">
        <f t="shared" si="41"/>
        <v>Q27-03</v>
      </c>
    </row>
    <row r="866" spans="1:17" x14ac:dyDescent="0.25">
      <c r="A866" t="s">
        <v>61</v>
      </c>
      <c r="B866" t="s">
        <v>317</v>
      </c>
      <c r="C866" t="s">
        <v>318</v>
      </c>
      <c r="D866" t="s">
        <v>382</v>
      </c>
      <c r="E866" t="s">
        <v>1809</v>
      </c>
      <c r="F866" s="1">
        <v>17</v>
      </c>
      <c r="G866" s="1">
        <v>0</v>
      </c>
      <c r="H866" t="s">
        <v>17</v>
      </c>
      <c r="I866" t="s">
        <v>320</v>
      </c>
      <c r="J866" t="s">
        <v>1803</v>
      </c>
      <c r="K866" s="3">
        <v>46812</v>
      </c>
      <c r="L866" t="s">
        <v>1810</v>
      </c>
      <c r="M866">
        <v>0.04</v>
      </c>
      <c r="N866">
        <v>2688</v>
      </c>
      <c r="O866">
        <f t="shared" si="39"/>
        <v>0.68</v>
      </c>
      <c r="P866">
        <f t="shared" si="40"/>
        <v>6.324404761904762E-3</v>
      </c>
      <c r="Q866" t="str">
        <f t="shared" si="41"/>
        <v>Q27-03</v>
      </c>
    </row>
    <row r="867" spans="1:17" x14ac:dyDescent="0.25">
      <c r="A867" t="s">
        <v>61</v>
      </c>
      <c r="B867" t="s">
        <v>317</v>
      </c>
      <c r="C867" t="s">
        <v>318</v>
      </c>
      <c r="D867" t="s">
        <v>382</v>
      </c>
      <c r="E867" t="s">
        <v>1811</v>
      </c>
      <c r="F867" s="1">
        <v>30</v>
      </c>
      <c r="G867" s="1">
        <v>0</v>
      </c>
      <c r="H867" t="s">
        <v>17</v>
      </c>
      <c r="I867" t="s">
        <v>320</v>
      </c>
      <c r="J867" t="s">
        <v>1803</v>
      </c>
      <c r="K867" s="3">
        <v>46812</v>
      </c>
      <c r="L867" t="s">
        <v>1810</v>
      </c>
      <c r="M867">
        <v>0.04</v>
      </c>
      <c r="N867">
        <v>2688</v>
      </c>
      <c r="O867">
        <f t="shared" si="39"/>
        <v>1.2</v>
      </c>
      <c r="P867">
        <f t="shared" si="40"/>
        <v>1.1160714285714286E-2</v>
      </c>
      <c r="Q867" t="str">
        <f t="shared" si="41"/>
        <v>Q27-03</v>
      </c>
    </row>
    <row r="868" spans="1:17" x14ac:dyDescent="0.25">
      <c r="A868" t="s">
        <v>12</v>
      </c>
      <c r="B868" t="s">
        <v>1812</v>
      </c>
      <c r="C868" t="s">
        <v>1813</v>
      </c>
      <c r="D868" t="s">
        <v>121</v>
      </c>
      <c r="E868" t="s">
        <v>1814</v>
      </c>
      <c r="F868" s="2">
        <v>1533</v>
      </c>
      <c r="G868" s="1">
        <v>0</v>
      </c>
      <c r="H868" t="s">
        <v>17</v>
      </c>
      <c r="I868" t="s">
        <v>475</v>
      </c>
      <c r="J868" t="s">
        <v>90</v>
      </c>
      <c r="K868" s="3">
        <v>46618</v>
      </c>
      <c r="L868" t="s">
        <v>123</v>
      </c>
      <c r="M868">
        <v>0</v>
      </c>
      <c r="N868">
        <v>0</v>
      </c>
      <c r="O868">
        <f t="shared" si="39"/>
        <v>0</v>
      </c>
      <c r="Q868" t="str">
        <f t="shared" si="41"/>
        <v>Q27-01</v>
      </c>
    </row>
    <row r="869" spans="1:17" x14ac:dyDescent="0.25">
      <c r="A869" t="s">
        <v>12</v>
      </c>
      <c r="B869" t="s">
        <v>1815</v>
      </c>
      <c r="C869" t="s">
        <v>1816</v>
      </c>
      <c r="D869" t="s">
        <v>121</v>
      </c>
      <c r="E869" t="s">
        <v>1817</v>
      </c>
      <c r="F869" s="1">
        <v>470</v>
      </c>
      <c r="G869" s="1">
        <v>0</v>
      </c>
      <c r="H869" t="s">
        <v>17</v>
      </c>
      <c r="I869" t="s">
        <v>84</v>
      </c>
      <c r="J869" t="s">
        <v>90</v>
      </c>
      <c r="K869" s="3">
        <v>46619</v>
      </c>
      <c r="L869" t="s">
        <v>123</v>
      </c>
      <c r="M869">
        <v>0</v>
      </c>
      <c r="N869">
        <v>0</v>
      </c>
      <c r="O869">
        <f t="shared" si="39"/>
        <v>0</v>
      </c>
      <c r="Q869" t="str">
        <f t="shared" si="41"/>
        <v>Q27-01</v>
      </c>
    </row>
    <row r="870" spans="1:17" x14ac:dyDescent="0.25">
      <c r="A870" t="s">
        <v>12</v>
      </c>
      <c r="B870" t="s">
        <v>1818</v>
      </c>
      <c r="C870" t="s">
        <v>1819</v>
      </c>
      <c r="D870" t="s">
        <v>77</v>
      </c>
      <c r="E870" t="s">
        <v>1820</v>
      </c>
      <c r="F870" s="1">
        <v>2</v>
      </c>
      <c r="G870" s="1">
        <v>0</v>
      </c>
      <c r="H870" t="s">
        <v>17</v>
      </c>
      <c r="I870" t="s">
        <v>84</v>
      </c>
      <c r="J870" t="s">
        <v>1821</v>
      </c>
      <c r="K870" s="3">
        <v>46053</v>
      </c>
      <c r="L870" t="s">
        <v>1822</v>
      </c>
      <c r="M870">
        <v>0.26</v>
      </c>
      <c r="N870">
        <v>0</v>
      </c>
      <c r="O870">
        <f t="shared" si="39"/>
        <v>0.52</v>
      </c>
      <c r="Q870" t="str">
        <f t="shared" si="41"/>
        <v>Q27-01</v>
      </c>
    </row>
    <row r="871" spans="1:17" x14ac:dyDescent="0.25">
      <c r="A871" t="s">
        <v>61</v>
      </c>
      <c r="B871" t="s">
        <v>796</v>
      </c>
      <c r="C871" t="s">
        <v>797</v>
      </c>
      <c r="D871" t="s">
        <v>1648</v>
      </c>
      <c r="E871" t="s">
        <v>1823</v>
      </c>
      <c r="F871" s="1">
        <v>40</v>
      </c>
      <c r="G871" s="1">
        <v>0</v>
      </c>
      <c r="H871" t="s">
        <v>17</v>
      </c>
      <c r="I871" t="s">
        <v>799</v>
      </c>
      <c r="J871" t="s">
        <v>1824</v>
      </c>
      <c r="K871" s="3">
        <v>46203</v>
      </c>
      <c r="L871" t="s">
        <v>800</v>
      </c>
      <c r="M871">
        <v>0.10199999999999999</v>
      </c>
      <c r="N871">
        <v>2880</v>
      </c>
      <c r="O871">
        <f t="shared" si="39"/>
        <v>4.08</v>
      </c>
      <c r="P871">
        <f t="shared" si="40"/>
        <v>1.3888888888888888E-2</v>
      </c>
      <c r="Q871" t="str">
        <f t="shared" si="41"/>
        <v>Q27-03</v>
      </c>
    </row>
    <row r="872" spans="1:17" x14ac:dyDescent="0.25">
      <c r="A872" t="s">
        <v>61</v>
      </c>
      <c r="B872" t="s">
        <v>166</v>
      </c>
      <c r="C872" t="s">
        <v>167</v>
      </c>
      <c r="D872" t="s">
        <v>1648</v>
      </c>
      <c r="E872" t="s">
        <v>1825</v>
      </c>
      <c r="F872" s="1">
        <v>32</v>
      </c>
      <c r="G872" s="1">
        <v>0</v>
      </c>
      <c r="H872" t="s">
        <v>17</v>
      </c>
      <c r="I872" t="s">
        <v>170</v>
      </c>
      <c r="J872" t="s">
        <v>1824</v>
      </c>
      <c r="K872" s="3">
        <v>46173</v>
      </c>
      <c r="L872" t="s">
        <v>179</v>
      </c>
      <c r="M872">
        <v>9.2999999999999999E-2</v>
      </c>
      <c r="N872">
        <v>1536</v>
      </c>
      <c r="O872">
        <f t="shared" si="39"/>
        <v>2.976</v>
      </c>
      <c r="P872">
        <f t="shared" si="40"/>
        <v>2.0833333333333332E-2</v>
      </c>
      <c r="Q872" t="str">
        <f t="shared" si="41"/>
        <v>Q27-03</v>
      </c>
    </row>
    <row r="873" spans="1:17" x14ac:dyDescent="0.25">
      <c r="A873" t="s">
        <v>61</v>
      </c>
      <c r="B873" t="s">
        <v>352</v>
      </c>
      <c r="C873" t="s">
        <v>353</v>
      </c>
      <c r="D873" t="s">
        <v>1648</v>
      </c>
      <c r="E873" t="s">
        <v>1826</v>
      </c>
      <c r="F873" s="1">
        <v>20</v>
      </c>
      <c r="G873" s="1">
        <v>0</v>
      </c>
      <c r="H873" t="s">
        <v>17</v>
      </c>
      <c r="I873" t="s">
        <v>355</v>
      </c>
      <c r="J873" t="s">
        <v>1824</v>
      </c>
      <c r="K873" s="3">
        <v>46234</v>
      </c>
      <c r="L873" t="s">
        <v>357</v>
      </c>
      <c r="M873">
        <v>5.0999999999999997E-2</v>
      </c>
      <c r="N873">
        <v>2880</v>
      </c>
      <c r="O873">
        <f t="shared" si="39"/>
        <v>1.02</v>
      </c>
      <c r="P873">
        <f t="shared" si="40"/>
        <v>6.9444444444444441E-3</v>
      </c>
      <c r="Q873" t="str">
        <f t="shared" si="41"/>
        <v>Q27-03</v>
      </c>
    </row>
    <row r="874" spans="1:17" x14ac:dyDescent="0.25">
      <c r="A874" t="s">
        <v>61</v>
      </c>
      <c r="B874" t="s">
        <v>71</v>
      </c>
      <c r="C874" t="s">
        <v>72</v>
      </c>
      <c r="D874" t="s">
        <v>69</v>
      </c>
      <c r="E874" t="s">
        <v>1827</v>
      </c>
      <c r="F874" s="1">
        <v>48</v>
      </c>
      <c r="G874" s="1">
        <v>0</v>
      </c>
      <c r="H874" t="s">
        <v>17</v>
      </c>
      <c r="I874" t="s">
        <v>75</v>
      </c>
      <c r="J874" t="s">
        <v>1824</v>
      </c>
      <c r="K874" s="3">
        <v>46081</v>
      </c>
      <c r="L874" t="s">
        <v>549</v>
      </c>
      <c r="M874">
        <v>0.3</v>
      </c>
      <c r="N874">
        <v>1680</v>
      </c>
      <c r="O874">
        <f t="shared" si="39"/>
        <v>14.399999999999999</v>
      </c>
      <c r="P874">
        <f t="shared" si="40"/>
        <v>2.8571428571428571E-2</v>
      </c>
      <c r="Q874" t="str">
        <f t="shared" si="41"/>
        <v>Q27-01</v>
      </c>
    </row>
    <row r="875" spans="1:17" x14ac:dyDescent="0.25">
      <c r="A875" t="s">
        <v>61</v>
      </c>
      <c r="B875" t="s">
        <v>359</v>
      </c>
      <c r="C875" t="s">
        <v>360</v>
      </c>
      <c r="D875" t="s">
        <v>168</v>
      </c>
      <c r="E875" t="s">
        <v>1828</v>
      </c>
      <c r="F875" s="1">
        <v>140</v>
      </c>
      <c r="G875" s="1">
        <v>0</v>
      </c>
      <c r="H875" t="s">
        <v>17</v>
      </c>
      <c r="I875" t="s">
        <v>362</v>
      </c>
      <c r="J875" t="s">
        <v>1824</v>
      </c>
      <c r="K875" s="3">
        <v>46053</v>
      </c>
      <c r="L875" t="s">
        <v>363</v>
      </c>
      <c r="M875">
        <v>5.3999999999999999E-2</v>
      </c>
      <c r="N875">
        <v>2880</v>
      </c>
      <c r="O875">
        <f t="shared" si="39"/>
        <v>7.56</v>
      </c>
      <c r="P875">
        <f t="shared" si="40"/>
        <v>4.8611111111111112E-2</v>
      </c>
      <c r="Q875" t="str">
        <f t="shared" si="41"/>
        <v>Q26-01</v>
      </c>
    </row>
    <row r="876" spans="1:17" x14ac:dyDescent="0.25">
      <c r="A876" t="s">
        <v>61</v>
      </c>
      <c r="B876" t="s">
        <v>71</v>
      </c>
      <c r="C876" t="s">
        <v>72</v>
      </c>
      <c r="D876" t="s">
        <v>69</v>
      </c>
      <c r="E876" t="s">
        <v>1829</v>
      </c>
      <c r="F876" s="1">
        <v>24</v>
      </c>
      <c r="G876" s="1">
        <v>0</v>
      </c>
      <c r="H876" t="s">
        <v>17</v>
      </c>
      <c r="I876" t="s">
        <v>75</v>
      </c>
      <c r="J876" t="s">
        <v>1824</v>
      </c>
      <c r="K876" s="3">
        <v>46112</v>
      </c>
      <c r="L876" t="s">
        <v>566</v>
      </c>
      <c r="M876">
        <v>0.3</v>
      </c>
      <c r="N876">
        <v>1680</v>
      </c>
      <c r="O876">
        <f t="shared" si="39"/>
        <v>7.1999999999999993</v>
      </c>
      <c r="P876">
        <f t="shared" si="40"/>
        <v>1.4285714285714285E-2</v>
      </c>
      <c r="Q876" t="str">
        <f t="shared" si="41"/>
        <v>Q27-01</v>
      </c>
    </row>
    <row r="877" spans="1:17" x14ac:dyDescent="0.25">
      <c r="A877" t="s">
        <v>12</v>
      </c>
      <c r="B877" t="s">
        <v>1830</v>
      </c>
      <c r="C877" t="s">
        <v>1831</v>
      </c>
      <c r="D877" t="s">
        <v>57</v>
      </c>
      <c r="E877" t="s">
        <v>1832</v>
      </c>
      <c r="F877" s="1">
        <v>2</v>
      </c>
      <c r="G877" s="1">
        <v>0</v>
      </c>
      <c r="H877" t="s">
        <v>17</v>
      </c>
      <c r="I877" t="s">
        <v>1833</v>
      </c>
      <c r="J877" t="s">
        <v>1834</v>
      </c>
      <c r="K877" s="3">
        <v>46557</v>
      </c>
      <c r="L877" t="s">
        <v>1835</v>
      </c>
      <c r="M877">
        <v>2.1999999999999999E-2</v>
      </c>
      <c r="N877">
        <v>4032</v>
      </c>
      <c r="O877">
        <f t="shared" si="39"/>
        <v>4.3999999999999997E-2</v>
      </c>
      <c r="P877">
        <f t="shared" si="40"/>
        <v>4.96031746031746E-4</v>
      </c>
      <c r="Q877" t="str">
        <f t="shared" si="41"/>
        <v>Q26-03</v>
      </c>
    </row>
    <row r="878" spans="1:17" x14ac:dyDescent="0.25">
      <c r="A878" t="s">
        <v>12</v>
      </c>
      <c r="B878" t="s">
        <v>1836</v>
      </c>
      <c r="C878" t="s">
        <v>1837</v>
      </c>
      <c r="D878" t="s">
        <v>805</v>
      </c>
      <c r="E878" t="s">
        <v>1838</v>
      </c>
      <c r="F878" s="1">
        <v>10</v>
      </c>
      <c r="G878" s="1">
        <v>0</v>
      </c>
      <c r="H878" t="s">
        <v>17</v>
      </c>
      <c r="I878" t="s">
        <v>1839</v>
      </c>
      <c r="J878" t="s">
        <v>1840</v>
      </c>
      <c r="K878" s="3">
        <v>46133</v>
      </c>
      <c r="L878" t="s">
        <v>1841</v>
      </c>
      <c r="M878">
        <v>0.158</v>
      </c>
      <c r="N878">
        <v>2496</v>
      </c>
      <c r="O878">
        <f t="shared" si="39"/>
        <v>1.58</v>
      </c>
      <c r="P878">
        <f t="shared" si="40"/>
        <v>4.0064102564102561E-3</v>
      </c>
      <c r="Q878" t="str">
        <f t="shared" si="41"/>
        <v>Q27-03</v>
      </c>
    </row>
    <row r="879" spans="1:17" x14ac:dyDescent="0.25">
      <c r="A879" t="s">
        <v>12</v>
      </c>
      <c r="B879" t="s">
        <v>750</v>
      </c>
      <c r="C879" t="s">
        <v>751</v>
      </c>
      <c r="D879" t="s">
        <v>57</v>
      </c>
      <c r="E879" t="s">
        <v>1842</v>
      </c>
      <c r="F879" s="1">
        <v>1</v>
      </c>
      <c r="G879" s="1">
        <v>0</v>
      </c>
      <c r="H879" t="s">
        <v>17</v>
      </c>
      <c r="I879" t="s">
        <v>753</v>
      </c>
      <c r="J879" t="s">
        <v>1843</v>
      </c>
      <c r="K879" s="3">
        <v>46759</v>
      </c>
      <c r="L879" t="s">
        <v>1302</v>
      </c>
      <c r="M879">
        <v>3.5999999999999997E-2</v>
      </c>
      <c r="N879">
        <v>5280</v>
      </c>
      <c r="O879">
        <f t="shared" si="39"/>
        <v>3.5999999999999997E-2</v>
      </c>
      <c r="P879">
        <f t="shared" si="40"/>
        <v>1.8939393939393939E-4</v>
      </c>
      <c r="Q879" t="str">
        <f t="shared" si="41"/>
        <v>Q26-03</v>
      </c>
    </row>
    <row r="880" spans="1:17" x14ac:dyDescent="0.25">
      <c r="A880" t="s">
        <v>12</v>
      </c>
      <c r="B880" t="s">
        <v>1844</v>
      </c>
      <c r="C880" t="s">
        <v>1837</v>
      </c>
      <c r="D880" t="s">
        <v>805</v>
      </c>
      <c r="E880" t="s">
        <v>1845</v>
      </c>
      <c r="F880" s="1">
        <v>1</v>
      </c>
      <c r="G880" s="1">
        <v>0</v>
      </c>
      <c r="H880" t="s">
        <v>17</v>
      </c>
      <c r="I880" t="s">
        <v>1846</v>
      </c>
      <c r="J880" t="s">
        <v>1840</v>
      </c>
      <c r="K880" s="3">
        <v>46140</v>
      </c>
      <c r="L880" t="s">
        <v>1847</v>
      </c>
      <c r="M880">
        <v>0.159</v>
      </c>
      <c r="N880">
        <v>2496</v>
      </c>
      <c r="O880">
        <f t="shared" si="39"/>
        <v>0.159</v>
      </c>
      <c r="P880">
        <f t="shared" si="40"/>
        <v>4.0064102564102563E-4</v>
      </c>
      <c r="Q880" t="str">
        <f t="shared" si="41"/>
        <v>Q27-03</v>
      </c>
    </row>
    <row r="881" spans="1:17" x14ac:dyDescent="0.25">
      <c r="A881" t="s">
        <v>12</v>
      </c>
      <c r="B881" t="s">
        <v>1848</v>
      </c>
      <c r="C881" t="s">
        <v>1849</v>
      </c>
      <c r="D881" t="s">
        <v>121</v>
      </c>
      <c r="E881" t="s">
        <v>1850</v>
      </c>
      <c r="F881" s="2">
        <v>1537</v>
      </c>
      <c r="G881" s="1">
        <v>0</v>
      </c>
      <c r="H881" t="s">
        <v>17</v>
      </c>
      <c r="I881" t="s">
        <v>84</v>
      </c>
      <c r="J881" t="s">
        <v>90</v>
      </c>
      <c r="K881" s="3">
        <v>46624</v>
      </c>
      <c r="L881" t="s">
        <v>123</v>
      </c>
      <c r="M881">
        <v>0</v>
      </c>
      <c r="N881">
        <v>0</v>
      </c>
      <c r="O881">
        <f t="shared" si="39"/>
        <v>0</v>
      </c>
      <c r="Q881" t="str">
        <f t="shared" si="41"/>
        <v>Q27-01</v>
      </c>
    </row>
    <row r="882" spans="1:17" x14ac:dyDescent="0.25">
      <c r="A882" t="s">
        <v>12</v>
      </c>
      <c r="B882" t="s">
        <v>1851</v>
      </c>
      <c r="C882" t="s">
        <v>1852</v>
      </c>
      <c r="D882" t="s">
        <v>121</v>
      </c>
      <c r="E882" t="s">
        <v>1853</v>
      </c>
      <c r="F882" s="2">
        <v>1297</v>
      </c>
      <c r="G882" s="1">
        <v>0</v>
      </c>
      <c r="H882" t="s">
        <v>17</v>
      </c>
      <c r="I882" t="s">
        <v>475</v>
      </c>
      <c r="J882" t="s">
        <v>90</v>
      </c>
      <c r="K882" s="3">
        <v>46625</v>
      </c>
      <c r="L882" t="s">
        <v>123</v>
      </c>
      <c r="M882">
        <v>0</v>
      </c>
      <c r="N882">
        <v>0</v>
      </c>
      <c r="O882">
        <f t="shared" si="39"/>
        <v>0</v>
      </c>
      <c r="Q882" t="str">
        <f t="shared" si="41"/>
        <v>Q27-01</v>
      </c>
    </row>
    <row r="883" spans="1:17" x14ac:dyDescent="0.25">
      <c r="A883" t="s">
        <v>12</v>
      </c>
      <c r="B883" t="s">
        <v>1854</v>
      </c>
      <c r="C883" t="s">
        <v>1855</v>
      </c>
      <c r="D883" t="s">
        <v>121</v>
      </c>
      <c r="E883" t="s">
        <v>1856</v>
      </c>
      <c r="F883" s="2">
        <v>1657</v>
      </c>
      <c r="G883" s="1">
        <v>0</v>
      </c>
      <c r="H883" t="s">
        <v>17</v>
      </c>
      <c r="I883" t="s">
        <v>84</v>
      </c>
      <c r="J883" t="s">
        <v>90</v>
      </c>
      <c r="K883" s="3">
        <v>46625</v>
      </c>
      <c r="L883" t="s">
        <v>123</v>
      </c>
      <c r="M883">
        <v>0</v>
      </c>
      <c r="N883">
        <v>0</v>
      </c>
      <c r="O883">
        <f t="shared" si="39"/>
        <v>0</v>
      </c>
      <c r="Q883" t="str">
        <f t="shared" si="41"/>
        <v>Q27-01</v>
      </c>
    </row>
    <row r="884" spans="1:17" x14ac:dyDescent="0.25">
      <c r="A884" t="s">
        <v>12</v>
      </c>
      <c r="B884" t="s">
        <v>1330</v>
      </c>
      <c r="C884" t="s">
        <v>1331</v>
      </c>
      <c r="D884" t="s">
        <v>1332</v>
      </c>
      <c r="E884" t="s">
        <v>1857</v>
      </c>
      <c r="F884" s="1">
        <v>207</v>
      </c>
      <c r="G884" s="1">
        <v>0</v>
      </c>
      <c r="H884" t="s">
        <v>17</v>
      </c>
      <c r="I884" t="s">
        <v>1334</v>
      </c>
      <c r="J884" t="s">
        <v>1858</v>
      </c>
      <c r="K884" s="3">
        <v>46117</v>
      </c>
      <c r="L884" t="s">
        <v>1859</v>
      </c>
      <c r="M884">
        <v>0.04</v>
      </c>
      <c r="N884">
        <v>9000</v>
      </c>
      <c r="O884">
        <f t="shared" si="39"/>
        <v>8.2799999999999994</v>
      </c>
      <c r="P884">
        <f t="shared" si="40"/>
        <v>2.3E-2</v>
      </c>
      <c r="Q884" t="str">
        <f t="shared" si="41"/>
        <v>Q26-01</v>
      </c>
    </row>
    <row r="885" spans="1:17" x14ac:dyDescent="0.25">
      <c r="A885" t="s">
        <v>61</v>
      </c>
      <c r="B885" t="s">
        <v>1523</v>
      </c>
      <c r="C885" t="s">
        <v>1524</v>
      </c>
      <c r="D885" t="s">
        <v>1648</v>
      </c>
      <c r="E885" t="s">
        <v>1860</v>
      </c>
      <c r="F885" s="1">
        <v>3</v>
      </c>
      <c r="G885" s="1">
        <v>0</v>
      </c>
      <c r="H885" t="s">
        <v>17</v>
      </c>
      <c r="I885" t="s">
        <v>1526</v>
      </c>
      <c r="J885" t="s">
        <v>1861</v>
      </c>
      <c r="K885" s="3">
        <v>46691</v>
      </c>
      <c r="L885" t="s">
        <v>1862</v>
      </c>
      <c r="M885">
        <v>4.9000000000000002E-2</v>
      </c>
      <c r="N885">
        <v>2880</v>
      </c>
      <c r="O885">
        <f t="shared" si="39"/>
        <v>0.14700000000000002</v>
      </c>
      <c r="P885">
        <f t="shared" si="40"/>
        <v>1.0416666666666667E-3</v>
      </c>
      <c r="Q885" t="str">
        <f t="shared" si="41"/>
        <v>Q27-03</v>
      </c>
    </row>
    <row r="886" spans="1:17" x14ac:dyDescent="0.25">
      <c r="A886" t="s">
        <v>61</v>
      </c>
      <c r="B886" t="s">
        <v>891</v>
      </c>
      <c r="C886" t="s">
        <v>892</v>
      </c>
      <c r="D886" t="s">
        <v>240</v>
      </c>
      <c r="E886" t="s">
        <v>1863</v>
      </c>
      <c r="F886" s="1">
        <v>43</v>
      </c>
      <c r="G886" s="1">
        <v>0</v>
      </c>
      <c r="H886" t="s">
        <v>17</v>
      </c>
      <c r="I886" t="s">
        <v>894</v>
      </c>
      <c r="J886" t="s">
        <v>1861</v>
      </c>
      <c r="K886" s="3">
        <v>46418</v>
      </c>
      <c r="L886" t="s">
        <v>1180</v>
      </c>
      <c r="M886">
        <v>0.312</v>
      </c>
      <c r="N886">
        <v>1680</v>
      </c>
      <c r="O886">
        <f t="shared" si="39"/>
        <v>13.416</v>
      </c>
      <c r="P886">
        <f t="shared" si="40"/>
        <v>2.5595238095238095E-2</v>
      </c>
      <c r="Q886" t="str">
        <f t="shared" si="41"/>
        <v>Q27-03</v>
      </c>
    </row>
    <row r="887" spans="1:17" x14ac:dyDescent="0.25">
      <c r="A887" t="s">
        <v>61</v>
      </c>
      <c r="B887" t="s">
        <v>891</v>
      </c>
      <c r="C887" t="s">
        <v>892</v>
      </c>
      <c r="D887" t="s">
        <v>1648</v>
      </c>
      <c r="E887" t="s">
        <v>1864</v>
      </c>
      <c r="F887" s="1">
        <v>15</v>
      </c>
      <c r="G887" s="1">
        <v>0</v>
      </c>
      <c r="H887" t="s">
        <v>17</v>
      </c>
      <c r="I887" t="s">
        <v>894</v>
      </c>
      <c r="J887" t="s">
        <v>1861</v>
      </c>
      <c r="K887" s="3">
        <v>46418</v>
      </c>
      <c r="L887" t="s">
        <v>1180</v>
      </c>
      <c r="M887">
        <v>0.312</v>
      </c>
      <c r="N887">
        <v>1680</v>
      </c>
      <c r="O887">
        <f t="shared" si="39"/>
        <v>4.68</v>
      </c>
      <c r="P887">
        <f t="shared" si="40"/>
        <v>8.9285714285714281E-3</v>
      </c>
      <c r="Q887" t="str">
        <f t="shared" si="41"/>
        <v>Q27-03</v>
      </c>
    </row>
    <row r="888" spans="1:17" x14ac:dyDescent="0.25">
      <c r="A888" t="s">
        <v>61</v>
      </c>
      <c r="B888" t="s">
        <v>891</v>
      </c>
      <c r="C888" t="s">
        <v>892</v>
      </c>
      <c r="D888" t="s">
        <v>1648</v>
      </c>
      <c r="E888" t="s">
        <v>1865</v>
      </c>
      <c r="F888" s="1">
        <v>32</v>
      </c>
      <c r="G888" s="1">
        <v>0</v>
      </c>
      <c r="H888" t="s">
        <v>17</v>
      </c>
      <c r="I888" t="s">
        <v>894</v>
      </c>
      <c r="J888" t="s">
        <v>1861</v>
      </c>
      <c r="K888" s="3">
        <v>46418</v>
      </c>
      <c r="L888" t="s">
        <v>1180</v>
      </c>
      <c r="M888">
        <v>0.312</v>
      </c>
      <c r="N888">
        <v>1680</v>
      </c>
      <c r="O888">
        <f t="shared" si="39"/>
        <v>9.984</v>
      </c>
      <c r="P888">
        <f t="shared" si="40"/>
        <v>1.9047619047619049E-2</v>
      </c>
      <c r="Q888" t="str">
        <f t="shared" si="41"/>
        <v>Q27-03</v>
      </c>
    </row>
    <row r="889" spans="1:17" x14ac:dyDescent="0.25">
      <c r="A889" t="s">
        <v>61</v>
      </c>
      <c r="B889" t="s">
        <v>219</v>
      </c>
      <c r="C889" t="s">
        <v>220</v>
      </c>
      <c r="D889" t="s">
        <v>1866</v>
      </c>
      <c r="E889" t="s">
        <v>1867</v>
      </c>
      <c r="F889" s="1">
        <v>177</v>
      </c>
      <c r="G889" s="1">
        <v>0</v>
      </c>
      <c r="H889" t="s">
        <v>17</v>
      </c>
      <c r="I889" t="s">
        <v>222</v>
      </c>
      <c r="J889" t="s">
        <v>1868</v>
      </c>
      <c r="K889" s="3">
        <v>46081</v>
      </c>
      <c r="L889" t="s">
        <v>539</v>
      </c>
      <c r="M889">
        <v>0.3</v>
      </c>
      <c r="N889">
        <v>1680</v>
      </c>
      <c r="O889">
        <f t="shared" si="39"/>
        <v>53.1</v>
      </c>
      <c r="P889">
        <f t="shared" si="40"/>
        <v>0.10535714285714286</v>
      </c>
      <c r="Q889" t="str">
        <f t="shared" si="41"/>
        <v>Q26-01</v>
      </c>
    </row>
    <row r="890" spans="1:17" x14ac:dyDescent="0.25">
      <c r="A890" t="s">
        <v>61</v>
      </c>
      <c r="B890" t="s">
        <v>219</v>
      </c>
      <c r="C890" t="s">
        <v>220</v>
      </c>
      <c r="D890" t="s">
        <v>1648</v>
      </c>
      <c r="E890" t="s">
        <v>1869</v>
      </c>
      <c r="F890" s="1">
        <v>4</v>
      </c>
      <c r="G890" s="1">
        <v>0</v>
      </c>
      <c r="H890" t="s">
        <v>17</v>
      </c>
      <c r="I890" t="s">
        <v>222</v>
      </c>
      <c r="J890" t="s">
        <v>1868</v>
      </c>
      <c r="K890" s="3">
        <v>46265</v>
      </c>
      <c r="L890" t="s">
        <v>1000</v>
      </c>
      <c r="M890">
        <v>0.3</v>
      </c>
      <c r="N890">
        <v>1680</v>
      </c>
      <c r="O890">
        <f t="shared" si="39"/>
        <v>1.2</v>
      </c>
      <c r="P890">
        <f t="shared" si="40"/>
        <v>2.3809523809523812E-3</v>
      </c>
      <c r="Q890" t="str">
        <f t="shared" si="41"/>
        <v>Q27-03</v>
      </c>
    </row>
    <row r="891" spans="1:17" x14ac:dyDescent="0.25">
      <c r="A891" t="s">
        <v>61</v>
      </c>
      <c r="B891" t="s">
        <v>219</v>
      </c>
      <c r="C891" t="s">
        <v>220</v>
      </c>
      <c r="D891" t="s">
        <v>1866</v>
      </c>
      <c r="E891" t="s">
        <v>1870</v>
      </c>
      <c r="F891" s="1">
        <v>93</v>
      </c>
      <c r="G891" s="1">
        <v>0</v>
      </c>
      <c r="H891" t="s">
        <v>17</v>
      </c>
      <c r="I891" t="s">
        <v>222</v>
      </c>
      <c r="J891" t="s">
        <v>1868</v>
      </c>
      <c r="K891" s="3">
        <v>46081</v>
      </c>
      <c r="L891" t="s">
        <v>224</v>
      </c>
      <c r="M891">
        <v>0.3</v>
      </c>
      <c r="N891">
        <v>1680</v>
      </c>
      <c r="O891">
        <f t="shared" si="39"/>
        <v>27.9</v>
      </c>
      <c r="P891">
        <f t="shared" si="40"/>
        <v>5.5357142857142855E-2</v>
      </c>
      <c r="Q891" t="str">
        <f t="shared" si="41"/>
        <v>Q26-01</v>
      </c>
    </row>
    <row r="892" spans="1:17" x14ac:dyDescent="0.25">
      <c r="A892" t="s">
        <v>61</v>
      </c>
      <c r="B892" t="s">
        <v>233</v>
      </c>
      <c r="C892" t="s">
        <v>234</v>
      </c>
      <c r="D892" t="s">
        <v>73</v>
      </c>
      <c r="E892" t="s">
        <v>1871</v>
      </c>
      <c r="F892" s="1">
        <v>35</v>
      </c>
      <c r="G892" s="1">
        <v>0</v>
      </c>
      <c r="H892" t="s">
        <v>17</v>
      </c>
      <c r="I892" t="s">
        <v>236</v>
      </c>
      <c r="J892" t="s">
        <v>1868</v>
      </c>
      <c r="K892" s="3">
        <v>46053</v>
      </c>
      <c r="L892" t="s">
        <v>255</v>
      </c>
      <c r="M892">
        <v>7.4999999999999997E-2</v>
      </c>
      <c r="N892">
        <v>2688</v>
      </c>
      <c r="O892">
        <f t="shared" si="39"/>
        <v>2.625</v>
      </c>
      <c r="P892">
        <f t="shared" si="40"/>
        <v>1.3020833333333334E-2</v>
      </c>
      <c r="Q892" t="str">
        <f t="shared" si="41"/>
        <v>Q26-01</v>
      </c>
    </row>
    <row r="893" spans="1:17" x14ac:dyDescent="0.25">
      <c r="A893" t="s">
        <v>61</v>
      </c>
      <c r="B893" t="s">
        <v>233</v>
      </c>
      <c r="C893" t="s">
        <v>234</v>
      </c>
      <c r="D893" t="s">
        <v>77</v>
      </c>
      <c r="E893" t="s">
        <v>1872</v>
      </c>
      <c r="F893" s="1">
        <v>76</v>
      </c>
      <c r="G893" s="1">
        <v>0</v>
      </c>
      <c r="H893" t="s">
        <v>17</v>
      </c>
      <c r="I893" t="s">
        <v>236</v>
      </c>
      <c r="J893" t="s">
        <v>1868</v>
      </c>
      <c r="K893" s="3">
        <v>46053</v>
      </c>
      <c r="L893" t="s">
        <v>271</v>
      </c>
      <c r="M893">
        <v>7.4999999999999997E-2</v>
      </c>
      <c r="N893">
        <v>2688</v>
      </c>
      <c r="O893">
        <f t="shared" si="39"/>
        <v>5.7</v>
      </c>
      <c r="P893">
        <f t="shared" si="40"/>
        <v>2.8273809523809524E-2</v>
      </c>
      <c r="Q893" t="str">
        <f t="shared" si="41"/>
        <v>Q27-01</v>
      </c>
    </row>
    <row r="894" spans="1:17" x14ac:dyDescent="0.25">
      <c r="A894" t="s">
        <v>61</v>
      </c>
      <c r="B894" t="s">
        <v>456</v>
      </c>
      <c r="C894" t="s">
        <v>457</v>
      </c>
      <c r="D894" t="s">
        <v>1866</v>
      </c>
      <c r="E894" t="s">
        <v>1873</v>
      </c>
      <c r="F894" s="1">
        <v>84</v>
      </c>
      <c r="G894" s="1">
        <v>0</v>
      </c>
      <c r="H894" t="s">
        <v>17</v>
      </c>
      <c r="I894" t="s">
        <v>459</v>
      </c>
      <c r="J894" t="s">
        <v>1868</v>
      </c>
      <c r="K894" s="3">
        <v>46112</v>
      </c>
      <c r="L894" t="s">
        <v>461</v>
      </c>
      <c r="M894">
        <v>0.22600000000000001</v>
      </c>
      <c r="N894">
        <v>1680</v>
      </c>
      <c r="O894">
        <f t="shared" si="39"/>
        <v>18.984000000000002</v>
      </c>
      <c r="P894">
        <f t="shared" si="40"/>
        <v>0.05</v>
      </c>
      <c r="Q894" t="str">
        <f t="shared" si="41"/>
        <v>Q26-01</v>
      </c>
    </row>
    <row r="895" spans="1:17" x14ac:dyDescent="0.25">
      <c r="A895" t="s">
        <v>61</v>
      </c>
      <c r="B895" t="s">
        <v>891</v>
      </c>
      <c r="C895" t="s">
        <v>892</v>
      </c>
      <c r="D895" t="s">
        <v>73</v>
      </c>
      <c r="E895" t="s">
        <v>1874</v>
      </c>
      <c r="F895" s="1">
        <v>24</v>
      </c>
      <c r="G895" s="1">
        <v>0</v>
      </c>
      <c r="H895" t="s">
        <v>17</v>
      </c>
      <c r="I895" t="s">
        <v>894</v>
      </c>
      <c r="J895" t="s">
        <v>1868</v>
      </c>
      <c r="K895" s="3">
        <v>46112</v>
      </c>
      <c r="L895" t="s">
        <v>1601</v>
      </c>
      <c r="M895">
        <v>0.312</v>
      </c>
      <c r="N895">
        <v>1680</v>
      </c>
      <c r="O895">
        <f t="shared" si="39"/>
        <v>7.4879999999999995</v>
      </c>
      <c r="P895">
        <f t="shared" si="40"/>
        <v>1.4285714285714285E-2</v>
      </c>
      <c r="Q895" t="str">
        <f t="shared" si="41"/>
        <v>Q26-01</v>
      </c>
    </row>
    <row r="896" spans="1:17" x14ac:dyDescent="0.25">
      <c r="A896" t="s">
        <v>61</v>
      </c>
      <c r="B896" t="s">
        <v>166</v>
      </c>
      <c r="C896" t="s">
        <v>167</v>
      </c>
      <c r="D896" t="s">
        <v>1866</v>
      </c>
      <c r="E896" t="s">
        <v>1875</v>
      </c>
      <c r="F896" s="1">
        <v>46</v>
      </c>
      <c r="G896" s="1">
        <v>0</v>
      </c>
      <c r="H896" t="s">
        <v>17</v>
      </c>
      <c r="I896" t="s">
        <v>170</v>
      </c>
      <c r="J896" t="s">
        <v>1868</v>
      </c>
      <c r="K896" s="3">
        <v>46112</v>
      </c>
      <c r="L896" t="s">
        <v>172</v>
      </c>
      <c r="M896">
        <v>9.2999999999999999E-2</v>
      </c>
      <c r="N896">
        <v>1536</v>
      </c>
      <c r="O896">
        <f t="shared" si="39"/>
        <v>4.2779999999999996</v>
      </c>
      <c r="P896">
        <f t="shared" si="40"/>
        <v>2.9947916666666668E-2</v>
      </c>
      <c r="Q896" t="str">
        <f t="shared" si="41"/>
        <v>Q26-01</v>
      </c>
    </row>
    <row r="897" spans="1:17" x14ac:dyDescent="0.25">
      <c r="A897" t="s">
        <v>61</v>
      </c>
      <c r="B897" t="s">
        <v>71</v>
      </c>
      <c r="C897" t="s">
        <v>72</v>
      </c>
      <c r="D897" t="s">
        <v>73</v>
      </c>
      <c r="E897" t="s">
        <v>1876</v>
      </c>
      <c r="F897" s="1">
        <v>21</v>
      </c>
      <c r="G897" s="1">
        <v>0</v>
      </c>
      <c r="H897" t="s">
        <v>17</v>
      </c>
      <c r="I897" t="s">
        <v>75</v>
      </c>
      <c r="J897" t="s">
        <v>1868</v>
      </c>
      <c r="K897" s="3">
        <v>46112</v>
      </c>
      <c r="L897" t="s">
        <v>566</v>
      </c>
      <c r="M897">
        <v>0.3</v>
      </c>
      <c r="N897">
        <v>1680</v>
      </c>
      <c r="O897">
        <f t="shared" si="39"/>
        <v>6.3</v>
      </c>
      <c r="P897">
        <f t="shared" si="40"/>
        <v>1.2500000000000001E-2</v>
      </c>
      <c r="Q897" t="str">
        <f t="shared" si="41"/>
        <v>Q26-01</v>
      </c>
    </row>
    <row r="898" spans="1:17" x14ac:dyDescent="0.25">
      <c r="A898" t="s">
        <v>61</v>
      </c>
      <c r="B898" t="s">
        <v>71</v>
      </c>
      <c r="C898" t="s">
        <v>72</v>
      </c>
      <c r="D898" t="s">
        <v>1866</v>
      </c>
      <c r="E898" t="s">
        <v>1877</v>
      </c>
      <c r="F898" s="1">
        <v>49</v>
      </c>
      <c r="G898" s="1">
        <v>0</v>
      </c>
      <c r="H898" t="s">
        <v>17</v>
      </c>
      <c r="I898" t="s">
        <v>75</v>
      </c>
      <c r="J898" t="s">
        <v>1868</v>
      </c>
      <c r="K898" s="3">
        <v>46081</v>
      </c>
      <c r="L898" t="s">
        <v>76</v>
      </c>
      <c r="M898">
        <v>0.3</v>
      </c>
      <c r="N898">
        <v>1680</v>
      </c>
      <c r="O898">
        <f t="shared" si="39"/>
        <v>14.7</v>
      </c>
      <c r="P898">
        <f t="shared" si="40"/>
        <v>2.9166666666666667E-2</v>
      </c>
      <c r="Q898" t="str">
        <f t="shared" si="41"/>
        <v>Q26-01</v>
      </c>
    </row>
    <row r="899" spans="1:17" x14ac:dyDescent="0.25">
      <c r="A899" t="s">
        <v>61</v>
      </c>
      <c r="B899" t="s">
        <v>71</v>
      </c>
      <c r="C899" t="s">
        <v>72</v>
      </c>
      <c r="D899" t="s">
        <v>73</v>
      </c>
      <c r="E899" t="s">
        <v>1878</v>
      </c>
      <c r="F899" s="1">
        <v>5</v>
      </c>
      <c r="G899" s="1">
        <v>0</v>
      </c>
      <c r="H899" t="s">
        <v>17</v>
      </c>
      <c r="I899" t="s">
        <v>75</v>
      </c>
      <c r="J899" t="s">
        <v>1868</v>
      </c>
      <c r="K899" s="3">
        <v>46081</v>
      </c>
      <c r="L899" t="s">
        <v>549</v>
      </c>
      <c r="M899">
        <v>0.3</v>
      </c>
      <c r="N899">
        <v>1680</v>
      </c>
      <c r="O899">
        <f t="shared" ref="O899:O962" si="42">F899*M899</f>
        <v>1.5</v>
      </c>
      <c r="P899">
        <f t="shared" ref="P899:P962" si="43">F899/N899</f>
        <v>2.976190476190476E-3</v>
      </c>
      <c r="Q899" t="str">
        <f t="shared" ref="Q899:Q962" si="44">LEFT(D899,6)</f>
        <v>Q26-01</v>
      </c>
    </row>
    <row r="900" spans="1:17" x14ac:dyDescent="0.25">
      <c r="A900" t="s">
        <v>12</v>
      </c>
      <c r="B900" t="s">
        <v>1879</v>
      </c>
      <c r="C900" t="s">
        <v>1880</v>
      </c>
      <c r="D900" t="s">
        <v>727</v>
      </c>
      <c r="E900" t="s">
        <v>1881</v>
      </c>
      <c r="F900" s="1">
        <v>1</v>
      </c>
      <c r="G900" s="1">
        <v>0</v>
      </c>
      <c r="H900" t="s">
        <v>17</v>
      </c>
      <c r="I900" t="s">
        <v>1882</v>
      </c>
      <c r="J900" t="s">
        <v>1883</v>
      </c>
      <c r="K900" s="3">
        <v>47327</v>
      </c>
      <c r="L900" t="s">
        <v>1884</v>
      </c>
      <c r="M900">
        <v>8.9999999999999993E-3</v>
      </c>
      <c r="N900">
        <v>20000</v>
      </c>
      <c r="O900">
        <f t="shared" si="42"/>
        <v>8.9999999999999993E-3</v>
      </c>
      <c r="P900">
        <f t="shared" si="43"/>
        <v>5.0000000000000002E-5</v>
      </c>
      <c r="Q900" t="str">
        <f t="shared" si="44"/>
        <v>Q26-03</v>
      </c>
    </row>
    <row r="901" spans="1:17" x14ac:dyDescent="0.25">
      <c r="A901" t="s">
        <v>12</v>
      </c>
      <c r="B901" t="s">
        <v>24</v>
      </c>
      <c r="C901" t="s">
        <v>25</v>
      </c>
      <c r="D901" t="s">
        <v>57</v>
      </c>
      <c r="E901" t="s">
        <v>1885</v>
      </c>
      <c r="F901" s="1">
        <v>1</v>
      </c>
      <c r="G901" s="1">
        <v>0</v>
      </c>
      <c r="H901" t="s">
        <v>17</v>
      </c>
      <c r="I901" t="s">
        <v>28</v>
      </c>
      <c r="J901" t="s">
        <v>1886</v>
      </c>
      <c r="K901" s="3">
        <v>47399</v>
      </c>
      <c r="L901" t="s">
        <v>1887</v>
      </c>
      <c r="M901">
        <v>2.9000000000000001E-2</v>
      </c>
      <c r="N901">
        <v>2880</v>
      </c>
      <c r="O901">
        <f t="shared" si="42"/>
        <v>2.9000000000000001E-2</v>
      </c>
      <c r="P901">
        <f t="shared" si="43"/>
        <v>3.4722222222222224E-4</v>
      </c>
      <c r="Q901" t="str">
        <f t="shared" si="44"/>
        <v>Q26-03</v>
      </c>
    </row>
    <row r="902" spans="1:17" x14ac:dyDescent="0.25">
      <c r="A902" t="s">
        <v>12</v>
      </c>
      <c r="B902" t="s">
        <v>463</v>
      </c>
      <c r="C902" t="s">
        <v>464</v>
      </c>
      <c r="D902" t="s">
        <v>57</v>
      </c>
      <c r="E902" t="s">
        <v>1888</v>
      </c>
      <c r="F902" s="1">
        <v>2</v>
      </c>
      <c r="G902" s="1">
        <v>0</v>
      </c>
      <c r="H902" t="s">
        <v>17</v>
      </c>
      <c r="I902" t="s">
        <v>466</v>
      </c>
      <c r="J902" t="s">
        <v>1886</v>
      </c>
      <c r="K902" s="3">
        <v>46616</v>
      </c>
      <c r="L902" t="s">
        <v>468</v>
      </c>
      <c r="M902">
        <v>2.3E-2</v>
      </c>
      <c r="N902">
        <v>1920</v>
      </c>
      <c r="O902">
        <f t="shared" si="42"/>
        <v>4.5999999999999999E-2</v>
      </c>
      <c r="P902">
        <f t="shared" si="43"/>
        <v>1.0416666666666667E-3</v>
      </c>
      <c r="Q902" t="str">
        <f t="shared" si="44"/>
        <v>Q26-03</v>
      </c>
    </row>
    <row r="903" spans="1:17" x14ac:dyDescent="0.25">
      <c r="A903" t="s">
        <v>12</v>
      </c>
      <c r="B903" t="s">
        <v>1889</v>
      </c>
      <c r="C903" t="s">
        <v>1890</v>
      </c>
      <c r="D903" t="s">
        <v>121</v>
      </c>
      <c r="E903" t="s">
        <v>1891</v>
      </c>
      <c r="F903" s="2">
        <v>3348</v>
      </c>
      <c r="G903" s="1">
        <v>0</v>
      </c>
      <c r="H903" t="s">
        <v>17</v>
      </c>
      <c r="I903" t="s">
        <v>84</v>
      </c>
      <c r="J903" t="s">
        <v>90</v>
      </c>
      <c r="K903" s="3">
        <v>46634</v>
      </c>
      <c r="L903" t="s">
        <v>123</v>
      </c>
      <c r="M903">
        <v>0</v>
      </c>
      <c r="N903">
        <v>0</v>
      </c>
      <c r="O903">
        <f t="shared" si="42"/>
        <v>0</v>
      </c>
      <c r="Q903" t="str">
        <f t="shared" si="44"/>
        <v>Q27-01</v>
      </c>
    </row>
    <row r="904" spans="1:17" x14ac:dyDescent="0.25">
      <c r="A904" t="s">
        <v>12</v>
      </c>
      <c r="B904" t="s">
        <v>1892</v>
      </c>
      <c r="C904" t="s">
        <v>1893</v>
      </c>
      <c r="D904" t="s">
        <v>57</v>
      </c>
      <c r="E904" t="s">
        <v>1894</v>
      </c>
      <c r="F904" s="1">
        <v>2</v>
      </c>
      <c r="G904" s="1">
        <v>0</v>
      </c>
      <c r="H904" t="s">
        <v>17</v>
      </c>
      <c r="I904" t="s">
        <v>1895</v>
      </c>
      <c r="J904" t="s">
        <v>1896</v>
      </c>
      <c r="K904" s="3">
        <v>46491</v>
      </c>
      <c r="L904" t="s">
        <v>1897</v>
      </c>
      <c r="M904">
        <v>3.7999999999999999E-2</v>
      </c>
      <c r="N904">
        <v>1575</v>
      </c>
      <c r="O904">
        <f t="shared" si="42"/>
        <v>7.5999999999999998E-2</v>
      </c>
      <c r="P904">
        <f t="shared" si="43"/>
        <v>1.2698412698412698E-3</v>
      </c>
      <c r="Q904" t="str">
        <f t="shared" si="44"/>
        <v>Q26-03</v>
      </c>
    </row>
    <row r="905" spans="1:17" x14ac:dyDescent="0.25">
      <c r="A905" t="s">
        <v>61</v>
      </c>
      <c r="B905" t="s">
        <v>71</v>
      </c>
      <c r="C905" t="s">
        <v>72</v>
      </c>
      <c r="D905" t="s">
        <v>244</v>
      </c>
      <c r="E905" t="s">
        <v>1898</v>
      </c>
      <c r="F905" s="1">
        <v>4</v>
      </c>
      <c r="G905" s="1">
        <v>0</v>
      </c>
      <c r="H905" t="s">
        <v>17</v>
      </c>
      <c r="I905" t="s">
        <v>75</v>
      </c>
      <c r="J905" t="s">
        <v>1899</v>
      </c>
      <c r="K905" s="3">
        <v>46538</v>
      </c>
      <c r="L905" t="s">
        <v>1900</v>
      </c>
      <c r="M905">
        <v>0.3</v>
      </c>
      <c r="N905">
        <v>1680</v>
      </c>
      <c r="O905">
        <f t="shared" si="42"/>
        <v>1.2</v>
      </c>
      <c r="P905">
        <f t="shared" si="43"/>
        <v>2.3809523809523812E-3</v>
      </c>
      <c r="Q905" t="str">
        <f t="shared" si="44"/>
        <v>Q27-03</v>
      </c>
    </row>
    <row r="906" spans="1:17" x14ac:dyDescent="0.25">
      <c r="A906" t="s">
        <v>61</v>
      </c>
      <c r="B906" t="s">
        <v>71</v>
      </c>
      <c r="C906" t="s">
        <v>72</v>
      </c>
      <c r="D906" t="s">
        <v>244</v>
      </c>
      <c r="E906" t="s">
        <v>1901</v>
      </c>
      <c r="F906" s="1">
        <v>6</v>
      </c>
      <c r="G906" s="1">
        <v>0</v>
      </c>
      <c r="H906" t="s">
        <v>17</v>
      </c>
      <c r="I906" t="s">
        <v>75</v>
      </c>
      <c r="J906" t="s">
        <v>1899</v>
      </c>
      <c r="K906" s="3">
        <v>46538</v>
      </c>
      <c r="L906" t="s">
        <v>1900</v>
      </c>
      <c r="M906">
        <v>0.3</v>
      </c>
      <c r="N906">
        <v>1680</v>
      </c>
      <c r="O906">
        <f t="shared" si="42"/>
        <v>1.7999999999999998</v>
      </c>
      <c r="P906">
        <f t="shared" si="43"/>
        <v>3.5714285714285713E-3</v>
      </c>
      <c r="Q906" t="str">
        <f t="shared" si="44"/>
        <v>Q27-03</v>
      </c>
    </row>
    <row r="907" spans="1:17" x14ac:dyDescent="0.25">
      <c r="A907" t="s">
        <v>61</v>
      </c>
      <c r="B907" t="s">
        <v>71</v>
      </c>
      <c r="C907" t="s">
        <v>72</v>
      </c>
      <c r="D907" t="s">
        <v>244</v>
      </c>
      <c r="E907" t="s">
        <v>1902</v>
      </c>
      <c r="F907" s="1">
        <v>15</v>
      </c>
      <c r="G907" s="1">
        <v>0</v>
      </c>
      <c r="H907" t="s">
        <v>17</v>
      </c>
      <c r="I907" t="s">
        <v>75</v>
      </c>
      <c r="J907" t="s">
        <v>1899</v>
      </c>
      <c r="K907" s="3">
        <v>46538</v>
      </c>
      <c r="L907" t="s">
        <v>1900</v>
      </c>
      <c r="M907">
        <v>0.3</v>
      </c>
      <c r="N907">
        <v>1680</v>
      </c>
      <c r="O907">
        <f t="shared" si="42"/>
        <v>4.5</v>
      </c>
      <c r="P907">
        <f t="shared" si="43"/>
        <v>8.9285714285714281E-3</v>
      </c>
      <c r="Q907" t="str">
        <f t="shared" si="44"/>
        <v>Q27-03</v>
      </c>
    </row>
    <row r="908" spans="1:17" x14ac:dyDescent="0.25">
      <c r="A908" t="s">
        <v>61</v>
      </c>
      <c r="B908" t="s">
        <v>364</v>
      </c>
      <c r="C908" t="s">
        <v>365</v>
      </c>
      <c r="D908" t="s">
        <v>336</v>
      </c>
      <c r="E908" t="s">
        <v>1903</v>
      </c>
      <c r="F908" s="1">
        <v>20</v>
      </c>
      <c r="G908" s="1">
        <v>0</v>
      </c>
      <c r="H908" t="s">
        <v>17</v>
      </c>
      <c r="I908" t="s">
        <v>367</v>
      </c>
      <c r="J908" t="s">
        <v>1899</v>
      </c>
      <c r="K908" s="3">
        <v>46812</v>
      </c>
      <c r="L908" t="s">
        <v>1904</v>
      </c>
      <c r="M908">
        <v>0.158</v>
      </c>
      <c r="N908">
        <v>1152</v>
      </c>
      <c r="O908">
        <f t="shared" si="42"/>
        <v>3.16</v>
      </c>
      <c r="P908">
        <f t="shared" si="43"/>
        <v>1.7361111111111112E-2</v>
      </c>
      <c r="Q908" t="str">
        <f t="shared" si="44"/>
        <v>Q27-03</v>
      </c>
    </row>
    <row r="909" spans="1:17" x14ac:dyDescent="0.25">
      <c r="A909" t="s">
        <v>12</v>
      </c>
      <c r="B909" t="s">
        <v>1905</v>
      </c>
      <c r="C909" t="s">
        <v>1906</v>
      </c>
      <c r="D909" t="s">
        <v>121</v>
      </c>
      <c r="E909" t="s">
        <v>1907</v>
      </c>
      <c r="F909" s="2">
        <v>1899</v>
      </c>
      <c r="G909" s="1">
        <v>0</v>
      </c>
      <c r="H909" t="s">
        <v>17</v>
      </c>
      <c r="I909" t="s">
        <v>475</v>
      </c>
      <c r="J909" t="s">
        <v>90</v>
      </c>
      <c r="K909" s="3">
        <v>46639</v>
      </c>
      <c r="L909" t="s">
        <v>123</v>
      </c>
      <c r="M909">
        <v>0</v>
      </c>
      <c r="N909">
        <v>0</v>
      </c>
      <c r="O909">
        <f t="shared" si="42"/>
        <v>0</v>
      </c>
      <c r="Q909" t="str">
        <f t="shared" si="44"/>
        <v>Q27-01</v>
      </c>
    </row>
    <row r="910" spans="1:17" x14ac:dyDescent="0.25">
      <c r="A910" t="s">
        <v>12</v>
      </c>
      <c r="B910" t="s">
        <v>1908</v>
      </c>
      <c r="C910" t="s">
        <v>1909</v>
      </c>
      <c r="D910" t="s">
        <v>121</v>
      </c>
      <c r="E910" t="s">
        <v>1910</v>
      </c>
      <c r="F910" s="2">
        <v>2053</v>
      </c>
      <c r="G910" s="1">
        <v>0</v>
      </c>
      <c r="H910" t="s">
        <v>17</v>
      </c>
      <c r="I910" t="s">
        <v>475</v>
      </c>
      <c r="J910" t="s">
        <v>90</v>
      </c>
      <c r="K910" s="3">
        <v>46639</v>
      </c>
      <c r="L910" t="s">
        <v>123</v>
      </c>
      <c r="M910">
        <v>0</v>
      </c>
      <c r="N910">
        <v>0</v>
      </c>
      <c r="O910">
        <f t="shared" si="42"/>
        <v>0</v>
      </c>
      <c r="Q910" t="str">
        <f t="shared" si="44"/>
        <v>Q27-01</v>
      </c>
    </row>
    <row r="911" spans="1:17" x14ac:dyDescent="0.25">
      <c r="A911" t="s">
        <v>385</v>
      </c>
      <c r="B911" t="s">
        <v>644</v>
      </c>
      <c r="C911" t="s">
        <v>645</v>
      </c>
      <c r="D911" t="s">
        <v>727</v>
      </c>
      <c r="E911" t="s">
        <v>1911</v>
      </c>
      <c r="F911" s="1">
        <v>2</v>
      </c>
      <c r="G911" s="1">
        <v>0</v>
      </c>
      <c r="H911" t="s">
        <v>17</v>
      </c>
      <c r="I911" t="s">
        <v>647</v>
      </c>
      <c r="J911" t="s">
        <v>1912</v>
      </c>
      <c r="K911" s="3">
        <v>46536</v>
      </c>
      <c r="L911" t="s">
        <v>1913</v>
      </c>
      <c r="M911">
        <v>9.4E-2</v>
      </c>
      <c r="N911">
        <v>2475</v>
      </c>
      <c r="O911">
        <f t="shared" si="42"/>
        <v>0.188</v>
      </c>
      <c r="P911">
        <f t="shared" si="43"/>
        <v>8.0808080808080808E-4</v>
      </c>
      <c r="Q911" t="str">
        <f t="shared" si="44"/>
        <v>Q26-03</v>
      </c>
    </row>
    <row r="912" spans="1:17" x14ac:dyDescent="0.25">
      <c r="A912" t="s">
        <v>385</v>
      </c>
      <c r="B912" t="s">
        <v>644</v>
      </c>
      <c r="C912" t="s">
        <v>645</v>
      </c>
      <c r="D912" t="s">
        <v>57</v>
      </c>
      <c r="E912" t="s">
        <v>1914</v>
      </c>
      <c r="F912" s="1">
        <v>1</v>
      </c>
      <c r="G912" s="1">
        <v>0</v>
      </c>
      <c r="H912" t="s">
        <v>17</v>
      </c>
      <c r="I912" t="s">
        <v>647</v>
      </c>
      <c r="J912" t="s">
        <v>1915</v>
      </c>
      <c r="K912" s="3">
        <v>46535</v>
      </c>
      <c r="L912" t="s">
        <v>1916</v>
      </c>
      <c r="M912">
        <v>9.4E-2</v>
      </c>
      <c r="N912">
        <v>2475</v>
      </c>
      <c r="O912">
        <f t="shared" si="42"/>
        <v>9.4E-2</v>
      </c>
      <c r="P912">
        <f t="shared" si="43"/>
        <v>4.0404040404040404E-4</v>
      </c>
      <c r="Q912" t="str">
        <f t="shared" si="44"/>
        <v>Q26-03</v>
      </c>
    </row>
    <row r="913" spans="1:17" x14ac:dyDescent="0.25">
      <c r="A913" t="s">
        <v>12</v>
      </c>
      <c r="B913" t="s">
        <v>1917</v>
      </c>
      <c r="C913" t="s">
        <v>1918</v>
      </c>
      <c r="D913" t="s">
        <v>38</v>
      </c>
      <c r="E913" t="s">
        <v>1919</v>
      </c>
      <c r="F913" s="2">
        <v>1117</v>
      </c>
      <c r="G913" s="1">
        <v>0</v>
      </c>
      <c r="H913" t="s">
        <v>17</v>
      </c>
      <c r="I913" t="s">
        <v>1920</v>
      </c>
      <c r="J913" t="s">
        <v>1921</v>
      </c>
      <c r="K913" s="3">
        <v>46112</v>
      </c>
      <c r="L913" t="s">
        <v>1922</v>
      </c>
      <c r="M913">
        <v>0.02</v>
      </c>
      <c r="N913">
        <v>0</v>
      </c>
      <c r="O913">
        <f t="shared" si="42"/>
        <v>22.34</v>
      </c>
      <c r="Q913" t="str">
        <f t="shared" si="44"/>
        <v>Q26-01</v>
      </c>
    </row>
    <row r="914" spans="1:17" x14ac:dyDescent="0.25">
      <c r="A914" t="s">
        <v>12</v>
      </c>
      <c r="B914" t="s">
        <v>1923</v>
      </c>
      <c r="C914" t="s">
        <v>1924</v>
      </c>
      <c r="D914" t="s">
        <v>144</v>
      </c>
      <c r="E914" t="s">
        <v>1925</v>
      </c>
      <c r="F914" s="2">
        <v>3343</v>
      </c>
      <c r="G914" s="1">
        <v>0</v>
      </c>
      <c r="H914" t="s">
        <v>17</v>
      </c>
      <c r="I914" t="s">
        <v>475</v>
      </c>
      <c r="J914" t="s">
        <v>90</v>
      </c>
      <c r="K914" s="3">
        <v>46643</v>
      </c>
      <c r="L914" t="s">
        <v>123</v>
      </c>
      <c r="M914">
        <v>0</v>
      </c>
      <c r="N914">
        <v>0</v>
      </c>
      <c r="O914">
        <f t="shared" si="42"/>
        <v>0</v>
      </c>
      <c r="Q914" t="str">
        <f t="shared" si="44"/>
        <v>QM4-01</v>
      </c>
    </row>
    <row r="915" spans="1:17" x14ac:dyDescent="0.25">
      <c r="A915" t="s">
        <v>12</v>
      </c>
      <c r="B915" t="s">
        <v>1926</v>
      </c>
      <c r="C915" t="s">
        <v>1927</v>
      </c>
      <c r="D915" t="s">
        <v>57</v>
      </c>
      <c r="E915" t="s">
        <v>1928</v>
      </c>
      <c r="F915" s="1">
        <v>6</v>
      </c>
      <c r="G915" s="1">
        <v>0</v>
      </c>
      <c r="H915" t="s">
        <v>17</v>
      </c>
      <c r="I915" t="s">
        <v>1929</v>
      </c>
      <c r="J915" t="s">
        <v>1930</v>
      </c>
      <c r="K915" s="3">
        <v>46767</v>
      </c>
      <c r="L915" t="s">
        <v>1931</v>
      </c>
      <c r="M915">
        <v>4.7899999999999998E-2</v>
      </c>
      <c r="N915">
        <v>4200</v>
      </c>
      <c r="O915">
        <f t="shared" si="42"/>
        <v>0.28739999999999999</v>
      </c>
      <c r="P915">
        <f t="shared" si="43"/>
        <v>1.4285714285714286E-3</v>
      </c>
      <c r="Q915" t="str">
        <f t="shared" si="44"/>
        <v>Q26-03</v>
      </c>
    </row>
    <row r="916" spans="1:17" x14ac:dyDescent="0.25">
      <c r="A916" t="s">
        <v>12</v>
      </c>
      <c r="B916" t="s">
        <v>1926</v>
      </c>
      <c r="C916" t="s">
        <v>1927</v>
      </c>
      <c r="D916" t="s">
        <v>57</v>
      </c>
      <c r="E916" t="s">
        <v>1932</v>
      </c>
      <c r="F916" s="1">
        <v>3</v>
      </c>
      <c r="G916" s="1">
        <v>0</v>
      </c>
      <c r="H916" t="s">
        <v>17</v>
      </c>
      <c r="I916" t="s">
        <v>1929</v>
      </c>
      <c r="J916" t="s">
        <v>1930</v>
      </c>
      <c r="K916" s="3">
        <v>46767</v>
      </c>
      <c r="L916" t="s">
        <v>1931</v>
      </c>
      <c r="M916">
        <v>4.7899999999999998E-2</v>
      </c>
      <c r="N916">
        <v>4200</v>
      </c>
      <c r="O916">
        <f t="shared" si="42"/>
        <v>0.14369999999999999</v>
      </c>
      <c r="P916">
        <f t="shared" si="43"/>
        <v>7.1428571428571429E-4</v>
      </c>
      <c r="Q916" t="str">
        <f t="shared" si="44"/>
        <v>Q26-03</v>
      </c>
    </row>
    <row r="917" spans="1:17" x14ac:dyDescent="0.25">
      <c r="A917" t="s">
        <v>12</v>
      </c>
      <c r="B917" t="s">
        <v>1933</v>
      </c>
      <c r="C917" t="s">
        <v>1934</v>
      </c>
      <c r="D917" t="s">
        <v>144</v>
      </c>
      <c r="E917" t="s">
        <v>1935</v>
      </c>
      <c r="F917" s="2">
        <v>1289</v>
      </c>
      <c r="G917" s="1">
        <v>0</v>
      </c>
      <c r="H917" t="s">
        <v>17</v>
      </c>
      <c r="I917" t="s">
        <v>475</v>
      </c>
      <c r="J917" t="s">
        <v>90</v>
      </c>
      <c r="K917" s="3">
        <v>46647</v>
      </c>
      <c r="L917" t="s">
        <v>123</v>
      </c>
      <c r="M917">
        <v>0</v>
      </c>
      <c r="N917">
        <v>0</v>
      </c>
      <c r="O917">
        <f t="shared" si="42"/>
        <v>0</v>
      </c>
      <c r="Q917" t="str">
        <f t="shared" si="44"/>
        <v>QM4-01</v>
      </c>
    </row>
    <row r="918" spans="1:17" x14ac:dyDescent="0.25">
      <c r="A918" t="s">
        <v>12</v>
      </c>
      <c r="B918" t="s">
        <v>1936</v>
      </c>
      <c r="C918" t="s">
        <v>1937</v>
      </c>
      <c r="D918" t="s">
        <v>121</v>
      </c>
      <c r="E918" t="s">
        <v>1938</v>
      </c>
      <c r="F918" s="2">
        <v>4606</v>
      </c>
      <c r="G918" s="1">
        <v>0</v>
      </c>
      <c r="H918" t="s">
        <v>17</v>
      </c>
      <c r="I918" t="s">
        <v>475</v>
      </c>
      <c r="J918" t="s">
        <v>90</v>
      </c>
      <c r="K918" s="3">
        <v>46647</v>
      </c>
      <c r="L918" t="s">
        <v>123</v>
      </c>
      <c r="M918">
        <v>0</v>
      </c>
      <c r="N918">
        <v>0</v>
      </c>
      <c r="O918">
        <f t="shared" si="42"/>
        <v>0</v>
      </c>
      <c r="Q918" t="str">
        <f t="shared" si="44"/>
        <v>Q27-01</v>
      </c>
    </row>
    <row r="919" spans="1:17" x14ac:dyDescent="0.25">
      <c r="A919" t="s">
        <v>12</v>
      </c>
      <c r="B919" t="s">
        <v>1939</v>
      </c>
      <c r="C919" t="s">
        <v>1940</v>
      </c>
      <c r="D919" t="s">
        <v>121</v>
      </c>
      <c r="E919" t="s">
        <v>1941</v>
      </c>
      <c r="F919" s="2">
        <v>2693</v>
      </c>
      <c r="G919" s="1">
        <v>0</v>
      </c>
      <c r="H919" t="s">
        <v>17</v>
      </c>
      <c r="I919" t="s">
        <v>475</v>
      </c>
      <c r="J919" t="s">
        <v>90</v>
      </c>
      <c r="K919" s="3">
        <v>46647</v>
      </c>
      <c r="L919" t="s">
        <v>123</v>
      </c>
      <c r="M919">
        <v>0</v>
      </c>
      <c r="N919">
        <v>0</v>
      </c>
      <c r="O919">
        <f t="shared" si="42"/>
        <v>0</v>
      </c>
      <c r="Q919" t="str">
        <f t="shared" si="44"/>
        <v>Q27-01</v>
      </c>
    </row>
    <row r="920" spans="1:17" x14ac:dyDescent="0.25">
      <c r="A920" t="s">
        <v>12</v>
      </c>
      <c r="B920" t="s">
        <v>1673</v>
      </c>
      <c r="C920" t="s">
        <v>1674</v>
      </c>
      <c r="D920" t="s">
        <v>44</v>
      </c>
      <c r="E920" t="s">
        <v>1942</v>
      </c>
      <c r="F920" s="1">
        <v>3</v>
      </c>
      <c r="G920" s="1">
        <v>0</v>
      </c>
      <c r="H920" t="s">
        <v>17</v>
      </c>
      <c r="I920" t="s">
        <v>1676</v>
      </c>
      <c r="J920" t="s">
        <v>1943</v>
      </c>
      <c r="K920" s="3">
        <v>46093</v>
      </c>
      <c r="L920" t="s">
        <v>1944</v>
      </c>
      <c r="M920">
        <v>2.8000000000000001E-2</v>
      </c>
      <c r="N920">
        <v>6160</v>
      </c>
      <c r="O920">
        <f t="shared" si="42"/>
        <v>8.4000000000000005E-2</v>
      </c>
      <c r="P920">
        <f t="shared" si="43"/>
        <v>4.8701298701298701E-4</v>
      </c>
      <c r="Q920" t="str">
        <f t="shared" si="44"/>
        <v>Q26-01</v>
      </c>
    </row>
    <row r="921" spans="1:17" x14ac:dyDescent="0.25">
      <c r="A921" t="s">
        <v>61</v>
      </c>
      <c r="B921" t="s">
        <v>219</v>
      </c>
      <c r="C921" t="s">
        <v>220</v>
      </c>
      <c r="D921" t="s">
        <v>168</v>
      </c>
      <c r="E921" t="s">
        <v>1945</v>
      </c>
      <c r="F921" s="1">
        <v>120</v>
      </c>
      <c r="G921" s="1">
        <v>0</v>
      </c>
      <c r="H921" t="s">
        <v>17</v>
      </c>
      <c r="I921" t="s">
        <v>222</v>
      </c>
      <c r="J921" t="s">
        <v>1946</v>
      </c>
      <c r="K921" s="3">
        <v>46081</v>
      </c>
      <c r="L921" t="s">
        <v>224</v>
      </c>
      <c r="M921">
        <v>0.3</v>
      </c>
      <c r="N921">
        <v>1680</v>
      </c>
      <c r="O921">
        <f t="shared" si="42"/>
        <v>36</v>
      </c>
      <c r="P921">
        <f t="shared" si="43"/>
        <v>7.1428571428571425E-2</v>
      </c>
      <c r="Q921" t="str">
        <f t="shared" si="44"/>
        <v>Q26-01</v>
      </c>
    </row>
    <row r="922" spans="1:17" x14ac:dyDescent="0.25">
      <c r="A922" t="s">
        <v>61</v>
      </c>
      <c r="B922" t="s">
        <v>891</v>
      </c>
      <c r="C922" t="s">
        <v>892</v>
      </c>
      <c r="D922" t="s">
        <v>168</v>
      </c>
      <c r="E922" t="s">
        <v>1947</v>
      </c>
      <c r="F922" s="1">
        <v>80</v>
      </c>
      <c r="G922" s="1">
        <v>0</v>
      </c>
      <c r="H922" t="s">
        <v>17</v>
      </c>
      <c r="I922" t="s">
        <v>894</v>
      </c>
      <c r="J922" t="s">
        <v>1946</v>
      </c>
      <c r="K922" s="3">
        <v>46112</v>
      </c>
      <c r="L922" t="s">
        <v>1601</v>
      </c>
      <c r="M922">
        <v>0.312</v>
      </c>
      <c r="N922">
        <v>1680</v>
      </c>
      <c r="O922">
        <f t="shared" si="42"/>
        <v>24.96</v>
      </c>
      <c r="P922">
        <f t="shared" si="43"/>
        <v>4.7619047619047616E-2</v>
      </c>
      <c r="Q922" t="str">
        <f t="shared" si="44"/>
        <v>Q26-01</v>
      </c>
    </row>
    <row r="923" spans="1:17" x14ac:dyDescent="0.25">
      <c r="A923" t="s">
        <v>61</v>
      </c>
      <c r="B923" t="s">
        <v>219</v>
      </c>
      <c r="C923" t="s">
        <v>220</v>
      </c>
      <c r="D923" t="s">
        <v>168</v>
      </c>
      <c r="E923" t="s">
        <v>1948</v>
      </c>
      <c r="F923" s="1">
        <v>186</v>
      </c>
      <c r="G923" s="1">
        <v>0</v>
      </c>
      <c r="H923" t="s">
        <v>17</v>
      </c>
      <c r="I923" t="s">
        <v>222</v>
      </c>
      <c r="J923" t="s">
        <v>1946</v>
      </c>
      <c r="K923" s="3">
        <v>46081</v>
      </c>
      <c r="L923" t="s">
        <v>539</v>
      </c>
      <c r="M923">
        <v>0.3</v>
      </c>
      <c r="N923">
        <v>1680</v>
      </c>
      <c r="O923">
        <f t="shared" si="42"/>
        <v>55.8</v>
      </c>
      <c r="P923">
        <f t="shared" si="43"/>
        <v>0.11071428571428571</v>
      </c>
      <c r="Q923" t="str">
        <f t="shared" si="44"/>
        <v>Q26-01</v>
      </c>
    </row>
    <row r="924" spans="1:17" x14ac:dyDescent="0.25">
      <c r="A924" t="s">
        <v>61</v>
      </c>
      <c r="B924" t="s">
        <v>71</v>
      </c>
      <c r="C924" t="s">
        <v>72</v>
      </c>
      <c r="D924" t="s">
        <v>168</v>
      </c>
      <c r="E924" t="s">
        <v>1949</v>
      </c>
      <c r="F924" s="1">
        <v>42</v>
      </c>
      <c r="G924" s="1">
        <v>0</v>
      </c>
      <c r="H924" t="s">
        <v>17</v>
      </c>
      <c r="I924" t="s">
        <v>75</v>
      </c>
      <c r="J924" t="s">
        <v>1946</v>
      </c>
      <c r="K924" s="3">
        <v>46081</v>
      </c>
      <c r="L924" t="s">
        <v>76</v>
      </c>
      <c r="M924">
        <v>0.3</v>
      </c>
      <c r="N924">
        <v>1680</v>
      </c>
      <c r="O924">
        <f t="shared" si="42"/>
        <v>12.6</v>
      </c>
      <c r="P924">
        <f t="shared" si="43"/>
        <v>2.5000000000000001E-2</v>
      </c>
      <c r="Q924" t="str">
        <f t="shared" si="44"/>
        <v>Q26-01</v>
      </c>
    </row>
    <row r="925" spans="1:17" x14ac:dyDescent="0.25">
      <c r="A925" t="s">
        <v>61</v>
      </c>
      <c r="B925" t="s">
        <v>233</v>
      </c>
      <c r="C925" t="s">
        <v>234</v>
      </c>
      <c r="D925" t="s">
        <v>168</v>
      </c>
      <c r="E925" t="s">
        <v>1950</v>
      </c>
      <c r="F925" s="1">
        <v>86</v>
      </c>
      <c r="G925" s="1">
        <v>0</v>
      </c>
      <c r="H925" t="s">
        <v>17</v>
      </c>
      <c r="I925" t="s">
        <v>236</v>
      </c>
      <c r="J925" t="s">
        <v>1946</v>
      </c>
      <c r="K925" s="3">
        <v>46053</v>
      </c>
      <c r="L925" t="s">
        <v>271</v>
      </c>
      <c r="M925">
        <v>7.4999999999999997E-2</v>
      </c>
      <c r="N925">
        <v>2688</v>
      </c>
      <c r="O925">
        <f t="shared" si="42"/>
        <v>6.45</v>
      </c>
      <c r="P925">
        <f t="shared" si="43"/>
        <v>3.1994047619047616E-2</v>
      </c>
      <c r="Q925" t="str">
        <f t="shared" si="44"/>
        <v>Q26-01</v>
      </c>
    </row>
    <row r="926" spans="1:17" x14ac:dyDescent="0.25">
      <c r="A926" t="s">
        <v>61</v>
      </c>
      <c r="B926" t="s">
        <v>71</v>
      </c>
      <c r="C926" t="s">
        <v>72</v>
      </c>
      <c r="D926" t="s">
        <v>69</v>
      </c>
      <c r="E926" t="s">
        <v>1951</v>
      </c>
      <c r="F926" s="1">
        <v>8</v>
      </c>
      <c r="G926" s="1">
        <v>0</v>
      </c>
      <c r="H926" t="s">
        <v>17</v>
      </c>
      <c r="I926" t="s">
        <v>75</v>
      </c>
      <c r="J926" t="s">
        <v>1946</v>
      </c>
      <c r="K926" s="3">
        <v>46112</v>
      </c>
      <c r="L926" t="s">
        <v>563</v>
      </c>
      <c r="M926">
        <v>0.3</v>
      </c>
      <c r="N926">
        <v>1680</v>
      </c>
      <c r="O926">
        <f t="shared" si="42"/>
        <v>2.4</v>
      </c>
      <c r="P926">
        <f t="shared" si="43"/>
        <v>4.7619047619047623E-3</v>
      </c>
      <c r="Q926" t="str">
        <f t="shared" si="44"/>
        <v>Q27-01</v>
      </c>
    </row>
    <row r="927" spans="1:17" x14ac:dyDescent="0.25">
      <c r="A927" t="s">
        <v>61</v>
      </c>
      <c r="B927" t="s">
        <v>281</v>
      </c>
      <c r="C927" t="s">
        <v>282</v>
      </c>
      <c r="D927" t="s">
        <v>168</v>
      </c>
      <c r="E927" t="s">
        <v>1952</v>
      </c>
      <c r="F927" s="1">
        <v>37</v>
      </c>
      <c r="G927" s="1">
        <v>0</v>
      </c>
      <c r="H927" t="s">
        <v>17</v>
      </c>
      <c r="I927" t="s">
        <v>284</v>
      </c>
      <c r="J927" t="s">
        <v>1946</v>
      </c>
      <c r="K927" s="3">
        <v>46081</v>
      </c>
      <c r="L927" t="s">
        <v>1529</v>
      </c>
      <c r="M927">
        <v>6.8000000000000005E-2</v>
      </c>
      <c r="N927">
        <v>2240</v>
      </c>
      <c r="O927">
        <f t="shared" si="42"/>
        <v>2.516</v>
      </c>
      <c r="P927">
        <f t="shared" si="43"/>
        <v>1.6517857142857143E-2</v>
      </c>
      <c r="Q927" t="str">
        <f t="shared" si="44"/>
        <v>Q26-01</v>
      </c>
    </row>
    <row r="928" spans="1:17" x14ac:dyDescent="0.25">
      <c r="A928" t="s">
        <v>61</v>
      </c>
      <c r="B928" t="s">
        <v>219</v>
      </c>
      <c r="C928" t="s">
        <v>220</v>
      </c>
      <c r="D928" t="s">
        <v>1499</v>
      </c>
      <c r="E928" t="s">
        <v>1953</v>
      </c>
      <c r="F928" s="1">
        <v>1</v>
      </c>
      <c r="G928" s="1">
        <v>0</v>
      </c>
      <c r="H928" t="s">
        <v>17</v>
      </c>
      <c r="I928" t="s">
        <v>222</v>
      </c>
      <c r="J928" t="s">
        <v>1946</v>
      </c>
      <c r="K928" s="3">
        <v>46234</v>
      </c>
      <c r="L928" t="s">
        <v>902</v>
      </c>
      <c r="M928">
        <v>0.3</v>
      </c>
      <c r="N928">
        <v>1680</v>
      </c>
      <c r="O928">
        <f t="shared" si="42"/>
        <v>0.3</v>
      </c>
      <c r="P928">
        <f t="shared" si="43"/>
        <v>5.9523809523809529E-4</v>
      </c>
      <c r="Q928" t="str">
        <f t="shared" si="44"/>
        <v>Q27-03</v>
      </c>
    </row>
    <row r="929" spans="1:17" x14ac:dyDescent="0.25">
      <c r="A929" t="s">
        <v>61</v>
      </c>
      <c r="B929" t="s">
        <v>71</v>
      </c>
      <c r="C929" t="s">
        <v>72</v>
      </c>
      <c r="D929" t="s">
        <v>1499</v>
      </c>
      <c r="E929" t="s">
        <v>1954</v>
      </c>
      <c r="F929" s="1">
        <v>1</v>
      </c>
      <c r="G929" s="1">
        <v>0</v>
      </c>
      <c r="H929" t="s">
        <v>17</v>
      </c>
      <c r="I929" t="s">
        <v>75</v>
      </c>
      <c r="J929" t="s">
        <v>1946</v>
      </c>
      <c r="K929" s="3">
        <v>46142</v>
      </c>
      <c r="L929" t="s">
        <v>534</v>
      </c>
      <c r="M929">
        <v>0.3</v>
      </c>
      <c r="N929">
        <v>1680</v>
      </c>
      <c r="O929">
        <f t="shared" si="42"/>
        <v>0.3</v>
      </c>
      <c r="P929">
        <f t="shared" si="43"/>
        <v>5.9523809523809529E-4</v>
      </c>
      <c r="Q929" t="str">
        <f t="shared" si="44"/>
        <v>Q27-03</v>
      </c>
    </row>
    <row r="930" spans="1:17" x14ac:dyDescent="0.25">
      <c r="A930" t="s">
        <v>61</v>
      </c>
      <c r="B930" t="s">
        <v>71</v>
      </c>
      <c r="C930" t="s">
        <v>72</v>
      </c>
      <c r="D930" t="s">
        <v>69</v>
      </c>
      <c r="E930" t="s">
        <v>1955</v>
      </c>
      <c r="F930" s="1">
        <v>2</v>
      </c>
      <c r="G930" s="1">
        <v>0</v>
      </c>
      <c r="H930" t="s">
        <v>17</v>
      </c>
      <c r="I930" t="s">
        <v>75</v>
      </c>
      <c r="J930" t="s">
        <v>1946</v>
      </c>
      <c r="K930" s="3">
        <v>46081</v>
      </c>
      <c r="L930" t="s">
        <v>549</v>
      </c>
      <c r="M930">
        <v>0.3</v>
      </c>
      <c r="N930">
        <v>1680</v>
      </c>
      <c r="O930">
        <f t="shared" si="42"/>
        <v>0.6</v>
      </c>
      <c r="P930">
        <f t="shared" si="43"/>
        <v>1.1904761904761906E-3</v>
      </c>
      <c r="Q930" t="str">
        <f t="shared" si="44"/>
        <v>Q27-01</v>
      </c>
    </row>
    <row r="931" spans="1:17" x14ac:dyDescent="0.25">
      <c r="A931" t="s">
        <v>61</v>
      </c>
      <c r="B931" t="s">
        <v>71</v>
      </c>
      <c r="C931" t="s">
        <v>72</v>
      </c>
      <c r="D931" t="s">
        <v>168</v>
      </c>
      <c r="E931" t="s">
        <v>1956</v>
      </c>
      <c r="F931" s="1">
        <v>40</v>
      </c>
      <c r="G931" s="1">
        <v>0</v>
      </c>
      <c r="H931" t="s">
        <v>17</v>
      </c>
      <c r="I931" t="s">
        <v>75</v>
      </c>
      <c r="J931" t="s">
        <v>1946</v>
      </c>
      <c r="K931" s="3">
        <v>46112</v>
      </c>
      <c r="L931" t="s">
        <v>566</v>
      </c>
      <c r="M931">
        <v>0.3</v>
      </c>
      <c r="N931">
        <v>1680</v>
      </c>
      <c r="O931">
        <f t="shared" si="42"/>
        <v>12</v>
      </c>
      <c r="P931">
        <f t="shared" si="43"/>
        <v>2.3809523809523808E-2</v>
      </c>
      <c r="Q931" t="str">
        <f t="shared" si="44"/>
        <v>Q26-01</v>
      </c>
    </row>
    <row r="932" spans="1:17" x14ac:dyDescent="0.25">
      <c r="A932" t="s">
        <v>61</v>
      </c>
      <c r="B932" t="s">
        <v>166</v>
      </c>
      <c r="C932" t="s">
        <v>167</v>
      </c>
      <c r="D932" t="s">
        <v>168</v>
      </c>
      <c r="E932" t="s">
        <v>1957</v>
      </c>
      <c r="F932" s="1">
        <v>19</v>
      </c>
      <c r="G932" s="1">
        <v>0</v>
      </c>
      <c r="H932" t="s">
        <v>17</v>
      </c>
      <c r="I932" t="s">
        <v>170</v>
      </c>
      <c r="J932" t="s">
        <v>1946</v>
      </c>
      <c r="K932" s="3">
        <v>46112</v>
      </c>
      <c r="L932" t="s">
        <v>172</v>
      </c>
      <c r="M932">
        <v>9.2999999999999999E-2</v>
      </c>
      <c r="N932">
        <v>1536</v>
      </c>
      <c r="O932">
        <f t="shared" si="42"/>
        <v>1.7669999999999999</v>
      </c>
      <c r="P932">
        <f t="shared" si="43"/>
        <v>1.2369791666666666E-2</v>
      </c>
      <c r="Q932" t="str">
        <f t="shared" si="44"/>
        <v>Q26-01</v>
      </c>
    </row>
    <row r="933" spans="1:17" x14ac:dyDescent="0.25">
      <c r="A933" t="s">
        <v>61</v>
      </c>
      <c r="B933" t="s">
        <v>456</v>
      </c>
      <c r="C933" t="s">
        <v>457</v>
      </c>
      <c r="D933" t="s">
        <v>1499</v>
      </c>
      <c r="E933" t="s">
        <v>1958</v>
      </c>
      <c r="F933" s="1">
        <v>1</v>
      </c>
      <c r="G933" s="1">
        <v>0</v>
      </c>
      <c r="H933" t="s">
        <v>17</v>
      </c>
      <c r="I933" t="s">
        <v>459</v>
      </c>
      <c r="J933" t="s">
        <v>1946</v>
      </c>
      <c r="K933" s="3">
        <v>46295</v>
      </c>
      <c r="L933" t="s">
        <v>1448</v>
      </c>
      <c r="M933">
        <v>0.22600000000000001</v>
      </c>
      <c r="N933">
        <v>1680</v>
      </c>
      <c r="O933">
        <f t="shared" si="42"/>
        <v>0.22600000000000001</v>
      </c>
      <c r="P933">
        <f t="shared" si="43"/>
        <v>5.9523809523809529E-4</v>
      </c>
      <c r="Q933" t="str">
        <f t="shared" si="44"/>
        <v>Q27-03</v>
      </c>
    </row>
    <row r="934" spans="1:17" x14ac:dyDescent="0.25">
      <c r="A934" t="s">
        <v>61</v>
      </c>
      <c r="B934" t="s">
        <v>352</v>
      </c>
      <c r="C934" t="s">
        <v>353</v>
      </c>
      <c r="D934" t="s">
        <v>1499</v>
      </c>
      <c r="E934" t="s">
        <v>1959</v>
      </c>
      <c r="F934" s="1">
        <v>9</v>
      </c>
      <c r="G934" s="1">
        <v>0</v>
      </c>
      <c r="H934" t="s">
        <v>17</v>
      </c>
      <c r="I934" t="s">
        <v>355</v>
      </c>
      <c r="J934" t="s">
        <v>1946</v>
      </c>
      <c r="K934" s="3">
        <v>46234</v>
      </c>
      <c r="L934" t="s">
        <v>357</v>
      </c>
      <c r="M934">
        <v>5.0999999999999997E-2</v>
      </c>
      <c r="N934">
        <v>2880</v>
      </c>
      <c r="O934">
        <f t="shared" si="42"/>
        <v>0.45899999999999996</v>
      </c>
      <c r="P934">
        <f t="shared" si="43"/>
        <v>3.1250000000000002E-3</v>
      </c>
      <c r="Q934" t="str">
        <f t="shared" si="44"/>
        <v>Q27-03</v>
      </c>
    </row>
    <row r="935" spans="1:17" x14ac:dyDescent="0.25">
      <c r="A935" t="s">
        <v>61</v>
      </c>
      <c r="B935" t="s">
        <v>456</v>
      </c>
      <c r="C935" t="s">
        <v>457</v>
      </c>
      <c r="D935" t="s">
        <v>1499</v>
      </c>
      <c r="E935" t="s">
        <v>1960</v>
      </c>
      <c r="F935" s="1">
        <v>1</v>
      </c>
      <c r="G935" s="1">
        <v>0</v>
      </c>
      <c r="H935" t="s">
        <v>17</v>
      </c>
      <c r="I935" t="s">
        <v>459</v>
      </c>
      <c r="J935" t="s">
        <v>1946</v>
      </c>
      <c r="K935" s="3">
        <v>46356</v>
      </c>
      <c r="L935" t="s">
        <v>1961</v>
      </c>
      <c r="M935">
        <v>0.22600000000000001</v>
      </c>
      <c r="N935">
        <v>1680</v>
      </c>
      <c r="O935">
        <f t="shared" si="42"/>
        <v>0.22600000000000001</v>
      </c>
      <c r="P935">
        <f t="shared" si="43"/>
        <v>5.9523809523809529E-4</v>
      </c>
      <c r="Q935" t="str">
        <f t="shared" si="44"/>
        <v>Q27-03</v>
      </c>
    </row>
    <row r="936" spans="1:17" x14ac:dyDescent="0.25">
      <c r="A936" t="s">
        <v>61</v>
      </c>
      <c r="B936" t="s">
        <v>456</v>
      </c>
      <c r="C936" t="s">
        <v>457</v>
      </c>
      <c r="D936" t="s">
        <v>69</v>
      </c>
      <c r="E936" t="s">
        <v>1962</v>
      </c>
      <c r="F936" s="1">
        <v>2</v>
      </c>
      <c r="G936" s="1">
        <v>0</v>
      </c>
      <c r="H936" t="s">
        <v>17</v>
      </c>
      <c r="I936" t="s">
        <v>459</v>
      </c>
      <c r="J936" t="s">
        <v>1946</v>
      </c>
      <c r="K936" s="3">
        <v>46081</v>
      </c>
      <c r="L936" t="s">
        <v>507</v>
      </c>
      <c r="M936">
        <v>0.22600000000000001</v>
      </c>
      <c r="N936">
        <v>1680</v>
      </c>
      <c r="O936">
        <f t="shared" si="42"/>
        <v>0.45200000000000001</v>
      </c>
      <c r="P936">
        <f t="shared" si="43"/>
        <v>1.1904761904761906E-3</v>
      </c>
      <c r="Q936" t="str">
        <f t="shared" si="44"/>
        <v>Q27-01</v>
      </c>
    </row>
    <row r="937" spans="1:17" x14ac:dyDescent="0.25">
      <c r="A937" t="s">
        <v>61</v>
      </c>
      <c r="B937" t="s">
        <v>317</v>
      </c>
      <c r="C937" t="s">
        <v>318</v>
      </c>
      <c r="D937" t="s">
        <v>1499</v>
      </c>
      <c r="E937" t="s">
        <v>1963</v>
      </c>
      <c r="F937" s="1">
        <v>2</v>
      </c>
      <c r="G937" s="1">
        <v>0</v>
      </c>
      <c r="H937" t="s">
        <v>17</v>
      </c>
      <c r="I937" t="s">
        <v>320</v>
      </c>
      <c r="J937" t="s">
        <v>1946</v>
      </c>
      <c r="K937" s="3">
        <v>46538</v>
      </c>
      <c r="L937" t="s">
        <v>697</v>
      </c>
      <c r="M937">
        <v>0.04</v>
      </c>
      <c r="N937">
        <v>2688</v>
      </c>
      <c r="O937">
        <f t="shared" si="42"/>
        <v>0.08</v>
      </c>
      <c r="P937">
        <f t="shared" si="43"/>
        <v>7.4404761904761901E-4</v>
      </c>
      <c r="Q937" t="str">
        <f t="shared" si="44"/>
        <v>Q27-03</v>
      </c>
    </row>
    <row r="938" spans="1:17" x14ac:dyDescent="0.25">
      <c r="A938" t="s">
        <v>61</v>
      </c>
      <c r="B938" t="s">
        <v>233</v>
      </c>
      <c r="C938" t="s">
        <v>234</v>
      </c>
      <c r="D938" t="s">
        <v>69</v>
      </c>
      <c r="E938" t="s">
        <v>1964</v>
      </c>
      <c r="F938" s="1">
        <v>38</v>
      </c>
      <c r="G938" s="1">
        <v>0</v>
      </c>
      <c r="H938" t="s">
        <v>17</v>
      </c>
      <c r="I938" t="s">
        <v>236</v>
      </c>
      <c r="J938" t="s">
        <v>1946</v>
      </c>
      <c r="K938" s="3">
        <v>46053</v>
      </c>
      <c r="L938" t="s">
        <v>255</v>
      </c>
      <c r="M938">
        <v>7.4999999999999997E-2</v>
      </c>
      <c r="N938">
        <v>2688</v>
      </c>
      <c r="O938">
        <f t="shared" si="42"/>
        <v>2.85</v>
      </c>
      <c r="P938">
        <f t="shared" si="43"/>
        <v>1.4136904761904762E-2</v>
      </c>
      <c r="Q938" t="str">
        <f t="shared" si="44"/>
        <v>Q27-01</v>
      </c>
    </row>
    <row r="939" spans="1:17" x14ac:dyDescent="0.25">
      <c r="A939" t="s">
        <v>12</v>
      </c>
      <c r="B939" t="s">
        <v>1965</v>
      </c>
      <c r="C939" t="s">
        <v>1966</v>
      </c>
      <c r="D939" t="s">
        <v>77</v>
      </c>
      <c r="E939" t="s">
        <v>1967</v>
      </c>
      <c r="F939" s="1">
        <v>8</v>
      </c>
      <c r="G939" s="1">
        <v>0</v>
      </c>
      <c r="H939" t="s">
        <v>17</v>
      </c>
      <c r="I939" t="s">
        <v>1968</v>
      </c>
      <c r="J939" t="s">
        <v>1969</v>
      </c>
      <c r="K939" s="3">
        <v>46539</v>
      </c>
      <c r="L939" t="s">
        <v>1970</v>
      </c>
      <c r="M939">
        <v>0.33400000000000002</v>
      </c>
      <c r="N939">
        <v>672</v>
      </c>
      <c r="O939">
        <f t="shared" si="42"/>
        <v>2.6720000000000002</v>
      </c>
      <c r="P939">
        <f t="shared" si="43"/>
        <v>1.1904761904761904E-2</v>
      </c>
      <c r="Q939" t="str">
        <f t="shared" si="44"/>
        <v>Q27-01</v>
      </c>
    </row>
    <row r="940" spans="1:17" x14ac:dyDescent="0.25">
      <c r="A940" t="s">
        <v>12</v>
      </c>
      <c r="B940" t="s">
        <v>1971</v>
      </c>
      <c r="C940" t="s">
        <v>1972</v>
      </c>
      <c r="D940" t="s">
        <v>1973</v>
      </c>
      <c r="E940" t="s">
        <v>1974</v>
      </c>
      <c r="F940" s="1">
        <v>18</v>
      </c>
      <c r="G940" s="1">
        <v>0</v>
      </c>
      <c r="H940" t="s">
        <v>17</v>
      </c>
      <c r="I940" t="s">
        <v>1975</v>
      </c>
      <c r="J940" t="s">
        <v>1976</v>
      </c>
      <c r="K940" s="3">
        <v>46487</v>
      </c>
      <c r="L940" t="s">
        <v>1977</v>
      </c>
      <c r="M940">
        <v>0.03</v>
      </c>
      <c r="N940">
        <v>1920</v>
      </c>
      <c r="O940">
        <f t="shared" si="42"/>
        <v>0.54</v>
      </c>
      <c r="P940">
        <f t="shared" si="43"/>
        <v>9.3749999999999997E-3</v>
      </c>
      <c r="Q940" t="str">
        <f t="shared" si="44"/>
        <v>QC1-01</v>
      </c>
    </row>
    <row r="941" spans="1:17" x14ac:dyDescent="0.25">
      <c r="A941" t="s">
        <v>12</v>
      </c>
      <c r="B941" t="s">
        <v>1971</v>
      </c>
      <c r="C941" t="s">
        <v>1972</v>
      </c>
      <c r="D941" t="s">
        <v>1978</v>
      </c>
      <c r="E941" t="s">
        <v>1979</v>
      </c>
      <c r="F941" s="1">
        <v>2</v>
      </c>
      <c r="G941" s="1">
        <v>0</v>
      </c>
      <c r="H941" t="s">
        <v>17</v>
      </c>
      <c r="I941" t="s">
        <v>1975</v>
      </c>
      <c r="J941" t="s">
        <v>1976</v>
      </c>
      <c r="K941" s="3">
        <v>46507</v>
      </c>
      <c r="L941" t="s">
        <v>1980</v>
      </c>
      <c r="M941">
        <v>0.03</v>
      </c>
      <c r="N941">
        <v>1920</v>
      </c>
      <c r="O941">
        <f t="shared" si="42"/>
        <v>0.06</v>
      </c>
      <c r="P941">
        <f t="shared" si="43"/>
        <v>1.0416666666666667E-3</v>
      </c>
      <c r="Q941" t="str">
        <f t="shared" si="44"/>
        <v>QC1-01</v>
      </c>
    </row>
    <row r="942" spans="1:17" x14ac:dyDescent="0.25">
      <c r="A942" t="s">
        <v>12</v>
      </c>
      <c r="B942" t="s">
        <v>1981</v>
      </c>
      <c r="C942" t="s">
        <v>1982</v>
      </c>
      <c r="D942" t="s">
        <v>1983</v>
      </c>
      <c r="E942" t="s">
        <v>1984</v>
      </c>
      <c r="F942" s="1">
        <v>1</v>
      </c>
      <c r="G942" s="1">
        <v>0</v>
      </c>
      <c r="H942" t="s">
        <v>17</v>
      </c>
      <c r="I942" t="s">
        <v>1985</v>
      </c>
      <c r="J942" t="s">
        <v>1976</v>
      </c>
      <c r="K942" s="3">
        <v>46812</v>
      </c>
      <c r="L942" t="s">
        <v>1986</v>
      </c>
      <c r="M942">
        <v>3.1E-2</v>
      </c>
      <c r="N942">
        <v>1200</v>
      </c>
      <c r="O942">
        <f t="shared" si="42"/>
        <v>3.1E-2</v>
      </c>
      <c r="P942">
        <f t="shared" si="43"/>
        <v>8.3333333333333339E-4</v>
      </c>
      <c r="Q942" t="str">
        <f t="shared" si="44"/>
        <v>QC1-01</v>
      </c>
    </row>
    <row r="943" spans="1:17" x14ac:dyDescent="0.25">
      <c r="A943" t="s">
        <v>12</v>
      </c>
      <c r="B943" t="s">
        <v>1971</v>
      </c>
      <c r="C943" t="s">
        <v>1972</v>
      </c>
      <c r="D943" t="s">
        <v>1973</v>
      </c>
      <c r="E943" t="s">
        <v>1987</v>
      </c>
      <c r="F943" s="1">
        <v>12</v>
      </c>
      <c r="G943" s="1">
        <v>0</v>
      </c>
      <c r="H943" t="s">
        <v>17</v>
      </c>
      <c r="I943" t="s">
        <v>1975</v>
      </c>
      <c r="J943" t="s">
        <v>1976</v>
      </c>
      <c r="K943" s="3">
        <v>46467</v>
      </c>
      <c r="L943" t="s">
        <v>1988</v>
      </c>
      <c r="M943">
        <v>0.03</v>
      </c>
      <c r="N943">
        <v>1920</v>
      </c>
      <c r="O943">
        <f t="shared" si="42"/>
        <v>0.36</v>
      </c>
      <c r="P943">
        <f t="shared" si="43"/>
        <v>6.2500000000000003E-3</v>
      </c>
      <c r="Q943" t="str">
        <f t="shared" si="44"/>
        <v>QC1-01</v>
      </c>
    </row>
    <row r="944" spans="1:17" x14ac:dyDescent="0.25">
      <c r="A944" t="s">
        <v>12</v>
      </c>
      <c r="B944" t="s">
        <v>1971</v>
      </c>
      <c r="C944" t="s">
        <v>1972</v>
      </c>
      <c r="D944" t="s">
        <v>1973</v>
      </c>
      <c r="E944" t="s">
        <v>1989</v>
      </c>
      <c r="F944" s="1">
        <v>16</v>
      </c>
      <c r="G944" s="1">
        <v>0</v>
      </c>
      <c r="H944" t="s">
        <v>17</v>
      </c>
      <c r="I944" t="s">
        <v>1975</v>
      </c>
      <c r="J944" t="s">
        <v>1976</v>
      </c>
      <c r="K944" s="3">
        <v>46498</v>
      </c>
      <c r="L944" t="s">
        <v>1990</v>
      </c>
      <c r="M944">
        <v>0.03</v>
      </c>
      <c r="N944">
        <v>1920</v>
      </c>
      <c r="O944">
        <f t="shared" si="42"/>
        <v>0.48</v>
      </c>
      <c r="P944">
        <f t="shared" si="43"/>
        <v>8.3333333333333332E-3</v>
      </c>
      <c r="Q944" t="str">
        <f t="shared" si="44"/>
        <v>QC1-01</v>
      </c>
    </row>
    <row r="945" spans="1:17" x14ac:dyDescent="0.25">
      <c r="A945" t="s">
        <v>12</v>
      </c>
      <c r="B945" t="s">
        <v>1486</v>
      </c>
      <c r="C945" t="s">
        <v>1487</v>
      </c>
      <c r="D945" t="s">
        <v>57</v>
      </c>
      <c r="E945" t="s">
        <v>1991</v>
      </c>
      <c r="F945" s="1">
        <v>1</v>
      </c>
      <c r="G945" s="1">
        <v>0</v>
      </c>
      <c r="H945" t="s">
        <v>17</v>
      </c>
      <c r="I945" t="s">
        <v>1398</v>
      </c>
      <c r="J945" t="s">
        <v>1992</v>
      </c>
      <c r="K945" s="3">
        <v>46439</v>
      </c>
      <c r="L945" t="s">
        <v>1993</v>
      </c>
      <c r="M945">
        <v>5.3999999999999999E-2</v>
      </c>
      <c r="N945">
        <v>4704</v>
      </c>
      <c r="O945">
        <f t="shared" si="42"/>
        <v>5.3999999999999999E-2</v>
      </c>
      <c r="P945">
        <f t="shared" si="43"/>
        <v>2.1258503401360543E-4</v>
      </c>
      <c r="Q945" t="str">
        <f t="shared" si="44"/>
        <v>Q26-03</v>
      </c>
    </row>
    <row r="946" spans="1:17" x14ac:dyDescent="0.25">
      <c r="A946" t="s">
        <v>12</v>
      </c>
      <c r="B946" t="s">
        <v>1486</v>
      </c>
      <c r="C946" t="s">
        <v>1487</v>
      </c>
      <c r="D946" t="s">
        <v>57</v>
      </c>
      <c r="E946" t="s">
        <v>1994</v>
      </c>
      <c r="F946" s="1">
        <v>1</v>
      </c>
      <c r="G946" s="1">
        <v>0</v>
      </c>
      <c r="H946" t="s">
        <v>17</v>
      </c>
      <c r="I946" t="s">
        <v>1398</v>
      </c>
      <c r="J946" t="s">
        <v>1992</v>
      </c>
      <c r="K946" s="3">
        <v>46439</v>
      </c>
      <c r="L946" t="s">
        <v>1993</v>
      </c>
      <c r="M946">
        <v>5.3999999999999999E-2</v>
      </c>
      <c r="N946">
        <v>4704</v>
      </c>
      <c r="O946">
        <f t="shared" si="42"/>
        <v>5.3999999999999999E-2</v>
      </c>
      <c r="P946">
        <f t="shared" si="43"/>
        <v>2.1258503401360543E-4</v>
      </c>
      <c r="Q946" t="str">
        <f t="shared" si="44"/>
        <v>Q26-03</v>
      </c>
    </row>
    <row r="947" spans="1:17" x14ac:dyDescent="0.25">
      <c r="A947" t="s">
        <v>12</v>
      </c>
      <c r="B947" t="s">
        <v>1192</v>
      </c>
      <c r="C947" t="s">
        <v>1193</v>
      </c>
      <c r="D947" t="s">
        <v>57</v>
      </c>
      <c r="E947" t="s">
        <v>1995</v>
      </c>
      <c r="F947" s="1">
        <v>1</v>
      </c>
      <c r="G947" s="1">
        <v>0</v>
      </c>
      <c r="H947" t="s">
        <v>17</v>
      </c>
      <c r="I947" t="s">
        <v>1195</v>
      </c>
      <c r="J947" t="s">
        <v>1992</v>
      </c>
      <c r="K947" s="3">
        <v>46628</v>
      </c>
      <c r="L947" t="s">
        <v>1996</v>
      </c>
      <c r="M947">
        <v>0.25700000000000001</v>
      </c>
      <c r="N947">
        <v>1080</v>
      </c>
      <c r="O947">
        <f t="shared" si="42"/>
        <v>0.25700000000000001</v>
      </c>
      <c r="P947">
        <f t="shared" si="43"/>
        <v>9.2592592592592596E-4</v>
      </c>
      <c r="Q947" t="str">
        <f t="shared" si="44"/>
        <v>Q26-03</v>
      </c>
    </row>
    <row r="948" spans="1:17" x14ac:dyDescent="0.25">
      <c r="A948" t="s">
        <v>12</v>
      </c>
      <c r="B948" t="s">
        <v>1997</v>
      </c>
      <c r="C948" t="s">
        <v>1998</v>
      </c>
      <c r="D948" t="s">
        <v>57</v>
      </c>
      <c r="E948" t="s">
        <v>1999</v>
      </c>
      <c r="F948" s="1">
        <v>1</v>
      </c>
      <c r="G948" s="1">
        <v>0</v>
      </c>
      <c r="H948" t="s">
        <v>17</v>
      </c>
      <c r="I948" t="s">
        <v>2000</v>
      </c>
      <c r="J948" t="s">
        <v>1992</v>
      </c>
      <c r="K948" s="3">
        <v>46648</v>
      </c>
      <c r="L948" t="s">
        <v>2001</v>
      </c>
      <c r="M948">
        <v>0.33600000000000002</v>
      </c>
      <c r="N948">
        <v>720</v>
      </c>
      <c r="O948">
        <f t="shared" si="42"/>
        <v>0.33600000000000002</v>
      </c>
      <c r="P948">
        <f t="shared" si="43"/>
        <v>1.3888888888888889E-3</v>
      </c>
      <c r="Q948" t="str">
        <f t="shared" si="44"/>
        <v>Q26-03</v>
      </c>
    </row>
    <row r="949" spans="1:17" x14ac:dyDescent="0.25">
      <c r="A949" t="s">
        <v>12</v>
      </c>
      <c r="B949" t="s">
        <v>750</v>
      </c>
      <c r="C949" t="s">
        <v>751</v>
      </c>
      <c r="D949" t="s">
        <v>727</v>
      </c>
      <c r="E949" t="s">
        <v>2002</v>
      </c>
      <c r="F949" s="1">
        <v>4</v>
      </c>
      <c r="G949" s="1">
        <v>0</v>
      </c>
      <c r="H949" t="s">
        <v>17</v>
      </c>
      <c r="I949" t="s">
        <v>753</v>
      </c>
      <c r="J949" t="s">
        <v>2003</v>
      </c>
      <c r="K949" s="3">
        <v>46759</v>
      </c>
      <c r="L949" t="s">
        <v>1302</v>
      </c>
      <c r="M949">
        <v>3.5999999999999997E-2</v>
      </c>
      <c r="N949">
        <v>5280</v>
      </c>
      <c r="O949">
        <f t="shared" si="42"/>
        <v>0.14399999999999999</v>
      </c>
      <c r="P949">
        <f t="shared" si="43"/>
        <v>7.5757575757575758E-4</v>
      </c>
      <c r="Q949" t="str">
        <f t="shared" si="44"/>
        <v>Q26-03</v>
      </c>
    </row>
    <row r="950" spans="1:17" x14ac:dyDescent="0.25">
      <c r="A950" t="s">
        <v>61</v>
      </c>
      <c r="B950" t="s">
        <v>71</v>
      </c>
      <c r="C950" t="s">
        <v>72</v>
      </c>
      <c r="D950" t="s">
        <v>336</v>
      </c>
      <c r="E950" t="s">
        <v>2004</v>
      </c>
      <c r="F950" s="1">
        <v>5</v>
      </c>
      <c r="G950" s="1">
        <v>0</v>
      </c>
      <c r="H950" t="s">
        <v>17</v>
      </c>
      <c r="I950" t="s">
        <v>75</v>
      </c>
      <c r="J950" t="s">
        <v>2005</v>
      </c>
      <c r="K950" s="3">
        <v>46599</v>
      </c>
      <c r="L950" t="s">
        <v>2006</v>
      </c>
      <c r="M950">
        <v>0.3</v>
      </c>
      <c r="N950">
        <v>1680</v>
      </c>
      <c r="O950">
        <f t="shared" si="42"/>
        <v>1.5</v>
      </c>
      <c r="P950">
        <f t="shared" si="43"/>
        <v>2.976190476190476E-3</v>
      </c>
      <c r="Q950" t="str">
        <f t="shared" si="44"/>
        <v>Q27-03</v>
      </c>
    </row>
    <row r="951" spans="1:17" x14ac:dyDescent="0.25">
      <c r="A951" t="s">
        <v>61</v>
      </c>
      <c r="B951" t="s">
        <v>71</v>
      </c>
      <c r="C951" t="s">
        <v>72</v>
      </c>
      <c r="D951" t="s">
        <v>336</v>
      </c>
      <c r="E951" t="s">
        <v>2007</v>
      </c>
      <c r="F951" s="1">
        <v>47</v>
      </c>
      <c r="G951" s="1">
        <v>0</v>
      </c>
      <c r="H951" t="s">
        <v>17</v>
      </c>
      <c r="I951" t="s">
        <v>75</v>
      </c>
      <c r="J951" t="s">
        <v>2005</v>
      </c>
      <c r="K951" s="3">
        <v>46599</v>
      </c>
      <c r="L951" t="s">
        <v>2006</v>
      </c>
      <c r="M951">
        <v>0.3</v>
      </c>
      <c r="N951">
        <v>1680</v>
      </c>
      <c r="O951">
        <f t="shared" si="42"/>
        <v>14.1</v>
      </c>
      <c r="P951">
        <f t="shared" si="43"/>
        <v>2.7976190476190477E-2</v>
      </c>
      <c r="Q951" t="str">
        <f t="shared" si="44"/>
        <v>Q27-03</v>
      </c>
    </row>
    <row r="952" spans="1:17" x14ac:dyDescent="0.25">
      <c r="A952" t="s">
        <v>61</v>
      </c>
      <c r="B952" t="s">
        <v>71</v>
      </c>
      <c r="C952" t="s">
        <v>72</v>
      </c>
      <c r="D952" t="s">
        <v>336</v>
      </c>
      <c r="E952" t="s">
        <v>2008</v>
      </c>
      <c r="F952" s="1">
        <v>18</v>
      </c>
      <c r="G952" s="1">
        <v>0</v>
      </c>
      <c r="H952" t="s">
        <v>17</v>
      </c>
      <c r="I952" t="s">
        <v>75</v>
      </c>
      <c r="J952" t="s">
        <v>2005</v>
      </c>
      <c r="K952" s="3">
        <v>46599</v>
      </c>
      <c r="L952" t="s">
        <v>2006</v>
      </c>
      <c r="M952">
        <v>0.3</v>
      </c>
      <c r="N952">
        <v>1680</v>
      </c>
      <c r="O952">
        <f t="shared" si="42"/>
        <v>5.3999999999999995</v>
      </c>
      <c r="P952">
        <f t="shared" si="43"/>
        <v>1.0714285714285714E-2</v>
      </c>
      <c r="Q952" t="str">
        <f t="shared" si="44"/>
        <v>Q27-03</v>
      </c>
    </row>
    <row r="953" spans="1:17" x14ac:dyDescent="0.25">
      <c r="A953" t="s">
        <v>12</v>
      </c>
      <c r="B953" t="s">
        <v>2009</v>
      </c>
      <c r="C953" t="s">
        <v>2010</v>
      </c>
      <c r="D953" t="s">
        <v>121</v>
      </c>
      <c r="E953" t="s">
        <v>2011</v>
      </c>
      <c r="F953" s="2">
        <v>1477</v>
      </c>
      <c r="G953" s="1">
        <v>0</v>
      </c>
      <c r="H953" t="s">
        <v>17</v>
      </c>
      <c r="I953" t="s">
        <v>84</v>
      </c>
      <c r="J953" t="s">
        <v>90</v>
      </c>
      <c r="K953" s="3">
        <v>46656</v>
      </c>
      <c r="L953" t="s">
        <v>123</v>
      </c>
      <c r="M953">
        <v>0</v>
      </c>
      <c r="N953">
        <v>0</v>
      </c>
      <c r="O953">
        <f t="shared" si="42"/>
        <v>0</v>
      </c>
      <c r="Q953" t="str">
        <f t="shared" si="44"/>
        <v>Q27-01</v>
      </c>
    </row>
    <row r="954" spans="1:17" x14ac:dyDescent="0.25">
      <c r="A954" t="s">
        <v>12</v>
      </c>
      <c r="B954" t="s">
        <v>2012</v>
      </c>
      <c r="C954" t="s">
        <v>2013</v>
      </c>
      <c r="D954" t="s">
        <v>388</v>
      </c>
      <c r="E954" t="s">
        <v>2014</v>
      </c>
      <c r="F954" s="1">
        <v>1</v>
      </c>
      <c r="G954" s="1">
        <v>0</v>
      </c>
      <c r="H954" t="s">
        <v>17</v>
      </c>
      <c r="I954" t="s">
        <v>2015</v>
      </c>
      <c r="J954" t="s">
        <v>2016</v>
      </c>
      <c r="K954" s="3">
        <v>46660</v>
      </c>
      <c r="L954" t="s">
        <v>2017</v>
      </c>
      <c r="M954">
        <v>0.126</v>
      </c>
      <c r="N954">
        <v>1920</v>
      </c>
      <c r="O954">
        <f t="shared" si="42"/>
        <v>0.126</v>
      </c>
      <c r="P954">
        <f t="shared" si="43"/>
        <v>5.2083333333333333E-4</v>
      </c>
      <c r="Q954" t="str">
        <f t="shared" si="44"/>
        <v>Q26-03</v>
      </c>
    </row>
    <row r="955" spans="1:17" x14ac:dyDescent="0.25">
      <c r="A955" t="s">
        <v>12</v>
      </c>
      <c r="B955" t="s">
        <v>1673</v>
      </c>
      <c r="C955" t="s">
        <v>1674</v>
      </c>
      <c r="D955" t="s">
        <v>44</v>
      </c>
      <c r="E955" t="s">
        <v>1675</v>
      </c>
      <c r="F955" s="1">
        <v>4</v>
      </c>
      <c r="G955" s="1">
        <v>0</v>
      </c>
      <c r="H955" t="s">
        <v>17</v>
      </c>
      <c r="I955" t="s">
        <v>1676</v>
      </c>
      <c r="J955" t="s">
        <v>2018</v>
      </c>
      <c r="K955" s="3">
        <v>46024</v>
      </c>
      <c r="L955" t="s">
        <v>1678</v>
      </c>
      <c r="M955">
        <v>2.8000000000000001E-2</v>
      </c>
      <c r="N955">
        <v>6160</v>
      </c>
      <c r="O955">
        <f t="shared" si="42"/>
        <v>0.112</v>
      </c>
      <c r="P955">
        <f t="shared" si="43"/>
        <v>6.4935064935064935E-4</v>
      </c>
      <c r="Q955" t="str">
        <f t="shared" si="44"/>
        <v>Q26-01</v>
      </c>
    </row>
    <row r="956" spans="1:17" x14ac:dyDescent="0.25">
      <c r="A956" t="s">
        <v>12</v>
      </c>
      <c r="B956" t="s">
        <v>2019</v>
      </c>
      <c r="C956" t="s">
        <v>2020</v>
      </c>
      <c r="D956" t="s">
        <v>121</v>
      </c>
      <c r="E956" t="s">
        <v>2021</v>
      </c>
      <c r="F956" s="1">
        <v>791</v>
      </c>
      <c r="G956" s="1">
        <v>0</v>
      </c>
      <c r="H956" t="s">
        <v>17</v>
      </c>
      <c r="I956" t="s">
        <v>84</v>
      </c>
      <c r="J956" t="s">
        <v>90</v>
      </c>
      <c r="K956" s="3">
        <v>46661</v>
      </c>
      <c r="L956" t="s">
        <v>123</v>
      </c>
      <c r="M956">
        <v>0</v>
      </c>
      <c r="N956">
        <v>0</v>
      </c>
      <c r="O956">
        <f t="shared" si="42"/>
        <v>0</v>
      </c>
      <c r="Q956" t="str">
        <f t="shared" si="44"/>
        <v>Q27-01</v>
      </c>
    </row>
    <row r="957" spans="1:17" x14ac:dyDescent="0.25">
      <c r="A957" t="s">
        <v>61</v>
      </c>
      <c r="B957" t="s">
        <v>219</v>
      </c>
      <c r="C957" t="s">
        <v>220</v>
      </c>
      <c r="D957" t="s">
        <v>244</v>
      </c>
      <c r="E957" t="s">
        <v>2022</v>
      </c>
      <c r="F957" s="1">
        <v>1</v>
      </c>
      <c r="G957" s="1">
        <v>0</v>
      </c>
      <c r="H957" t="s">
        <v>17</v>
      </c>
      <c r="I957" t="s">
        <v>222</v>
      </c>
      <c r="J957" t="s">
        <v>2023</v>
      </c>
      <c r="K957" s="3">
        <v>46507</v>
      </c>
      <c r="L957" t="s">
        <v>2024</v>
      </c>
      <c r="M957">
        <v>0.3</v>
      </c>
      <c r="N957">
        <v>1680</v>
      </c>
      <c r="O957">
        <f t="shared" si="42"/>
        <v>0.3</v>
      </c>
      <c r="P957">
        <f t="shared" si="43"/>
        <v>5.9523809523809529E-4</v>
      </c>
      <c r="Q957" t="str">
        <f t="shared" si="44"/>
        <v>Q27-03</v>
      </c>
    </row>
    <row r="958" spans="1:17" x14ac:dyDescent="0.25">
      <c r="A958" t="s">
        <v>61</v>
      </c>
      <c r="B958" t="s">
        <v>219</v>
      </c>
      <c r="C958" t="s">
        <v>220</v>
      </c>
      <c r="D958" t="s">
        <v>240</v>
      </c>
      <c r="E958" t="s">
        <v>2025</v>
      </c>
      <c r="F958" s="1">
        <v>1</v>
      </c>
      <c r="G958" s="1">
        <v>0</v>
      </c>
      <c r="H958" t="s">
        <v>17</v>
      </c>
      <c r="I958" t="s">
        <v>222</v>
      </c>
      <c r="J958" t="s">
        <v>2023</v>
      </c>
      <c r="K958" s="3">
        <v>46507</v>
      </c>
      <c r="L958" t="s">
        <v>2024</v>
      </c>
      <c r="M958">
        <v>0.3</v>
      </c>
      <c r="N958">
        <v>1680</v>
      </c>
      <c r="O958">
        <f t="shared" si="42"/>
        <v>0.3</v>
      </c>
      <c r="P958">
        <f t="shared" si="43"/>
        <v>5.9523809523809529E-4</v>
      </c>
      <c r="Q958" t="str">
        <f t="shared" si="44"/>
        <v>Q27-03</v>
      </c>
    </row>
    <row r="959" spans="1:17" x14ac:dyDescent="0.25">
      <c r="A959" t="s">
        <v>61</v>
      </c>
      <c r="B959" t="s">
        <v>219</v>
      </c>
      <c r="C959" t="s">
        <v>220</v>
      </c>
      <c r="D959" t="s">
        <v>1648</v>
      </c>
      <c r="E959" t="s">
        <v>2026</v>
      </c>
      <c r="F959" s="1">
        <v>3</v>
      </c>
      <c r="G959" s="1">
        <v>0</v>
      </c>
      <c r="H959" t="s">
        <v>17</v>
      </c>
      <c r="I959" t="s">
        <v>222</v>
      </c>
      <c r="J959" t="s">
        <v>2023</v>
      </c>
      <c r="K959" s="3">
        <v>46507</v>
      </c>
      <c r="L959" t="s">
        <v>2024</v>
      </c>
      <c r="M959">
        <v>0.3</v>
      </c>
      <c r="N959">
        <v>1680</v>
      </c>
      <c r="O959">
        <f t="shared" si="42"/>
        <v>0.89999999999999991</v>
      </c>
      <c r="P959">
        <f t="shared" si="43"/>
        <v>1.7857142857142857E-3</v>
      </c>
      <c r="Q959" t="str">
        <f t="shared" si="44"/>
        <v>Q27-03</v>
      </c>
    </row>
    <row r="960" spans="1:17" x14ac:dyDescent="0.25">
      <c r="A960" t="s">
        <v>61</v>
      </c>
      <c r="B960" t="s">
        <v>420</v>
      </c>
      <c r="C960" t="s">
        <v>421</v>
      </c>
      <c r="D960" t="s">
        <v>195</v>
      </c>
      <c r="E960" t="s">
        <v>2027</v>
      </c>
      <c r="F960" s="1">
        <v>25</v>
      </c>
      <c r="G960" s="1">
        <v>0</v>
      </c>
      <c r="H960" t="s">
        <v>17</v>
      </c>
      <c r="I960" t="s">
        <v>423</v>
      </c>
      <c r="J960" t="s">
        <v>2023</v>
      </c>
      <c r="K960" s="3">
        <v>46691</v>
      </c>
      <c r="L960" t="s">
        <v>1722</v>
      </c>
      <c r="M960">
        <v>0.156</v>
      </c>
      <c r="N960">
        <v>1152</v>
      </c>
      <c r="O960">
        <f t="shared" si="42"/>
        <v>3.9</v>
      </c>
      <c r="P960">
        <f t="shared" si="43"/>
        <v>2.1701388888888888E-2</v>
      </c>
      <c r="Q960" t="str">
        <f t="shared" si="44"/>
        <v>Q27-03</v>
      </c>
    </row>
    <row r="961" spans="1:17" x14ac:dyDescent="0.25">
      <c r="A961" t="s">
        <v>61</v>
      </c>
      <c r="B961" t="s">
        <v>420</v>
      </c>
      <c r="C961" t="s">
        <v>421</v>
      </c>
      <c r="D961" t="s">
        <v>195</v>
      </c>
      <c r="E961" t="s">
        <v>2028</v>
      </c>
      <c r="F961" s="1">
        <v>11</v>
      </c>
      <c r="G961" s="1">
        <v>0</v>
      </c>
      <c r="H961" t="s">
        <v>17</v>
      </c>
      <c r="I961" t="s">
        <v>423</v>
      </c>
      <c r="J961" t="s">
        <v>2023</v>
      </c>
      <c r="K961" s="3">
        <v>46691</v>
      </c>
      <c r="L961" t="s">
        <v>1722</v>
      </c>
      <c r="M961">
        <v>0.156</v>
      </c>
      <c r="N961">
        <v>1152</v>
      </c>
      <c r="O961">
        <f t="shared" si="42"/>
        <v>1.716</v>
      </c>
      <c r="P961">
        <f t="shared" si="43"/>
        <v>9.5486111111111119E-3</v>
      </c>
      <c r="Q961" t="str">
        <f t="shared" si="44"/>
        <v>Q27-03</v>
      </c>
    </row>
    <row r="962" spans="1:17" x14ac:dyDescent="0.25">
      <c r="A962" t="s">
        <v>61</v>
      </c>
      <c r="B962" t="s">
        <v>456</v>
      </c>
      <c r="C962" t="s">
        <v>457</v>
      </c>
      <c r="D962" t="s">
        <v>382</v>
      </c>
      <c r="E962" t="s">
        <v>2029</v>
      </c>
      <c r="F962" s="1">
        <v>2</v>
      </c>
      <c r="G962" s="1">
        <v>0</v>
      </c>
      <c r="H962" t="s">
        <v>17</v>
      </c>
      <c r="I962" t="s">
        <v>459</v>
      </c>
      <c r="J962" t="s">
        <v>2023</v>
      </c>
      <c r="K962" s="3">
        <v>46538</v>
      </c>
      <c r="L962" t="s">
        <v>2030</v>
      </c>
      <c r="M962">
        <v>0.22600000000000001</v>
      </c>
      <c r="N962">
        <v>1680</v>
      </c>
      <c r="O962">
        <f t="shared" si="42"/>
        <v>0.45200000000000001</v>
      </c>
      <c r="P962">
        <f t="shared" si="43"/>
        <v>1.1904761904761906E-3</v>
      </c>
      <c r="Q962" t="str">
        <f t="shared" si="44"/>
        <v>Q27-03</v>
      </c>
    </row>
    <row r="963" spans="1:17" x14ac:dyDescent="0.25">
      <c r="A963" t="s">
        <v>61</v>
      </c>
      <c r="B963" t="s">
        <v>456</v>
      </c>
      <c r="C963" t="s">
        <v>457</v>
      </c>
      <c r="D963" t="s">
        <v>2031</v>
      </c>
      <c r="E963" t="s">
        <v>2032</v>
      </c>
      <c r="F963" s="1">
        <v>4</v>
      </c>
      <c r="G963" s="1">
        <v>0</v>
      </c>
      <c r="H963" t="s">
        <v>17</v>
      </c>
      <c r="I963" t="s">
        <v>459</v>
      </c>
      <c r="J963" t="s">
        <v>2023</v>
      </c>
      <c r="K963" s="3">
        <v>46538</v>
      </c>
      <c r="L963" t="s">
        <v>2030</v>
      </c>
      <c r="M963">
        <v>0.22600000000000001</v>
      </c>
      <c r="N963">
        <v>1680</v>
      </c>
      <c r="O963">
        <f t="shared" ref="O963:O1026" si="45">F963*M963</f>
        <v>0.90400000000000003</v>
      </c>
      <c r="P963">
        <f t="shared" ref="P963:P1026" si="46">F963/N963</f>
        <v>2.3809523809523812E-3</v>
      </c>
      <c r="Q963" t="str">
        <f t="shared" ref="Q963:Q1026" si="47">LEFT(D963,6)</f>
        <v>Q27-03</v>
      </c>
    </row>
    <row r="964" spans="1:17" x14ac:dyDescent="0.25">
      <c r="A964" t="s">
        <v>61</v>
      </c>
      <c r="B964" t="s">
        <v>456</v>
      </c>
      <c r="C964" t="s">
        <v>457</v>
      </c>
      <c r="D964" t="s">
        <v>240</v>
      </c>
      <c r="E964" t="s">
        <v>2033</v>
      </c>
      <c r="F964" s="1">
        <v>6</v>
      </c>
      <c r="G964" s="1">
        <v>0</v>
      </c>
      <c r="H964" t="s">
        <v>17</v>
      </c>
      <c r="I964" t="s">
        <v>459</v>
      </c>
      <c r="J964" t="s">
        <v>2023</v>
      </c>
      <c r="K964" s="3">
        <v>46507</v>
      </c>
      <c r="L964" t="s">
        <v>2034</v>
      </c>
      <c r="M964">
        <v>0.22600000000000001</v>
      </c>
      <c r="N964">
        <v>1680</v>
      </c>
      <c r="O964">
        <f t="shared" si="45"/>
        <v>1.3560000000000001</v>
      </c>
      <c r="P964">
        <f t="shared" si="46"/>
        <v>3.5714285714285713E-3</v>
      </c>
      <c r="Q964" t="str">
        <f t="shared" si="47"/>
        <v>Q27-03</v>
      </c>
    </row>
    <row r="965" spans="1:17" x14ac:dyDescent="0.25">
      <c r="A965" t="s">
        <v>61</v>
      </c>
      <c r="B965" t="s">
        <v>71</v>
      </c>
      <c r="C965" t="s">
        <v>72</v>
      </c>
      <c r="D965" t="s">
        <v>382</v>
      </c>
      <c r="E965" t="s">
        <v>2035</v>
      </c>
      <c r="F965" s="1">
        <v>2</v>
      </c>
      <c r="G965" s="1">
        <v>0</v>
      </c>
      <c r="H965" t="s">
        <v>17</v>
      </c>
      <c r="I965" t="s">
        <v>75</v>
      </c>
      <c r="J965" t="s">
        <v>2023</v>
      </c>
      <c r="K965" s="3">
        <v>46507</v>
      </c>
      <c r="L965" t="s">
        <v>2036</v>
      </c>
      <c r="M965">
        <v>0.3</v>
      </c>
      <c r="N965">
        <v>1680</v>
      </c>
      <c r="O965">
        <f t="shared" si="45"/>
        <v>0.6</v>
      </c>
      <c r="P965">
        <f t="shared" si="46"/>
        <v>1.1904761904761906E-3</v>
      </c>
      <c r="Q965" t="str">
        <f t="shared" si="47"/>
        <v>Q27-03</v>
      </c>
    </row>
    <row r="966" spans="1:17" x14ac:dyDescent="0.25">
      <c r="A966" t="s">
        <v>61</v>
      </c>
      <c r="B966" t="s">
        <v>71</v>
      </c>
      <c r="C966" t="s">
        <v>72</v>
      </c>
      <c r="D966" t="s">
        <v>240</v>
      </c>
      <c r="E966" t="s">
        <v>2037</v>
      </c>
      <c r="F966" s="1">
        <v>1</v>
      </c>
      <c r="G966" s="1">
        <v>0</v>
      </c>
      <c r="H966" t="s">
        <v>17</v>
      </c>
      <c r="I966" t="s">
        <v>75</v>
      </c>
      <c r="J966" t="s">
        <v>2023</v>
      </c>
      <c r="K966" s="3">
        <v>46507</v>
      </c>
      <c r="L966" t="s">
        <v>2036</v>
      </c>
      <c r="M966">
        <v>0.3</v>
      </c>
      <c r="N966">
        <v>1680</v>
      </c>
      <c r="O966">
        <f t="shared" si="45"/>
        <v>0.3</v>
      </c>
      <c r="P966">
        <f t="shared" si="46"/>
        <v>5.9523809523809529E-4</v>
      </c>
      <c r="Q966" t="str">
        <f t="shared" si="47"/>
        <v>Q27-03</v>
      </c>
    </row>
    <row r="967" spans="1:17" x14ac:dyDescent="0.25">
      <c r="A967" t="s">
        <v>61</v>
      </c>
      <c r="B967" t="s">
        <v>317</v>
      </c>
      <c r="C967" t="s">
        <v>318</v>
      </c>
      <c r="D967" t="s">
        <v>2031</v>
      </c>
      <c r="E967" t="s">
        <v>2038</v>
      </c>
      <c r="F967" s="1">
        <v>23</v>
      </c>
      <c r="G967" s="1">
        <v>0</v>
      </c>
      <c r="H967" t="s">
        <v>17</v>
      </c>
      <c r="I967" t="s">
        <v>320</v>
      </c>
      <c r="J967" t="s">
        <v>2023</v>
      </c>
      <c r="K967" s="3">
        <v>46812</v>
      </c>
      <c r="L967" t="s">
        <v>2039</v>
      </c>
      <c r="M967">
        <v>0.04</v>
      </c>
      <c r="N967">
        <v>2688</v>
      </c>
      <c r="O967">
        <f t="shared" si="45"/>
        <v>0.92</v>
      </c>
      <c r="P967">
        <f t="shared" si="46"/>
        <v>8.5565476190476199E-3</v>
      </c>
      <c r="Q967" t="str">
        <f t="shared" si="47"/>
        <v>Q27-03</v>
      </c>
    </row>
    <row r="968" spans="1:17" x14ac:dyDescent="0.25">
      <c r="A968" t="s">
        <v>61</v>
      </c>
      <c r="B968" t="s">
        <v>317</v>
      </c>
      <c r="C968" t="s">
        <v>318</v>
      </c>
      <c r="D968" t="s">
        <v>2031</v>
      </c>
      <c r="E968" t="s">
        <v>2040</v>
      </c>
      <c r="F968" s="1">
        <v>1</v>
      </c>
      <c r="G968" s="1">
        <v>0</v>
      </c>
      <c r="H968" t="s">
        <v>17</v>
      </c>
      <c r="I968" t="s">
        <v>320</v>
      </c>
      <c r="J968" t="s">
        <v>2023</v>
      </c>
      <c r="K968" s="3">
        <v>46812</v>
      </c>
      <c r="L968" t="s">
        <v>2039</v>
      </c>
      <c r="M968">
        <v>0.04</v>
      </c>
      <c r="N968">
        <v>2688</v>
      </c>
      <c r="O968">
        <f t="shared" si="45"/>
        <v>0.04</v>
      </c>
      <c r="P968">
        <f t="shared" si="46"/>
        <v>3.720238095238095E-4</v>
      </c>
      <c r="Q968" t="str">
        <f t="shared" si="47"/>
        <v>Q27-03</v>
      </c>
    </row>
    <row r="969" spans="1:17" x14ac:dyDescent="0.25">
      <c r="A969" t="s">
        <v>61</v>
      </c>
      <c r="B969" t="s">
        <v>317</v>
      </c>
      <c r="C969" t="s">
        <v>318</v>
      </c>
      <c r="D969" t="s">
        <v>2031</v>
      </c>
      <c r="E969" t="s">
        <v>2041</v>
      </c>
      <c r="F969" s="1">
        <v>5</v>
      </c>
      <c r="G969" s="1">
        <v>0</v>
      </c>
      <c r="H969" t="s">
        <v>17</v>
      </c>
      <c r="I969" t="s">
        <v>320</v>
      </c>
      <c r="J969" t="s">
        <v>2023</v>
      </c>
      <c r="K969" s="3">
        <v>46812</v>
      </c>
      <c r="L969" t="s">
        <v>2039</v>
      </c>
      <c r="M969">
        <v>0.04</v>
      </c>
      <c r="N969">
        <v>2688</v>
      </c>
      <c r="O969">
        <f t="shared" si="45"/>
        <v>0.2</v>
      </c>
      <c r="P969">
        <f t="shared" si="46"/>
        <v>1.8601190476190475E-3</v>
      </c>
      <c r="Q969" t="str">
        <f t="shared" si="47"/>
        <v>Q27-03</v>
      </c>
    </row>
    <row r="970" spans="1:17" x14ac:dyDescent="0.25">
      <c r="A970" t="s">
        <v>61</v>
      </c>
      <c r="B970" t="s">
        <v>317</v>
      </c>
      <c r="C970" t="s">
        <v>318</v>
      </c>
      <c r="D970" t="s">
        <v>336</v>
      </c>
      <c r="E970" t="s">
        <v>2042</v>
      </c>
      <c r="F970" s="1">
        <v>4</v>
      </c>
      <c r="G970" s="1">
        <v>0</v>
      </c>
      <c r="H970" t="s">
        <v>17</v>
      </c>
      <c r="I970" t="s">
        <v>320</v>
      </c>
      <c r="J970" t="s">
        <v>2023</v>
      </c>
      <c r="K970" s="3">
        <v>46812</v>
      </c>
      <c r="L970" t="s">
        <v>2039</v>
      </c>
      <c r="M970">
        <v>0.04</v>
      </c>
      <c r="N970">
        <v>2688</v>
      </c>
      <c r="O970">
        <f t="shared" si="45"/>
        <v>0.16</v>
      </c>
      <c r="P970">
        <f t="shared" si="46"/>
        <v>1.488095238095238E-3</v>
      </c>
      <c r="Q970" t="str">
        <f t="shared" si="47"/>
        <v>Q27-03</v>
      </c>
    </row>
    <row r="971" spans="1:17" x14ac:dyDescent="0.25">
      <c r="A971" t="s">
        <v>61</v>
      </c>
      <c r="B971" t="s">
        <v>317</v>
      </c>
      <c r="C971" t="s">
        <v>318</v>
      </c>
      <c r="D971" t="s">
        <v>336</v>
      </c>
      <c r="E971" t="s">
        <v>2043</v>
      </c>
      <c r="F971" s="1">
        <v>3</v>
      </c>
      <c r="G971" s="1">
        <v>0</v>
      </c>
      <c r="H971" t="s">
        <v>17</v>
      </c>
      <c r="I971" t="s">
        <v>320</v>
      </c>
      <c r="J971" t="s">
        <v>2023</v>
      </c>
      <c r="K971" s="3">
        <v>46812</v>
      </c>
      <c r="L971" t="s">
        <v>2039</v>
      </c>
      <c r="M971">
        <v>0.04</v>
      </c>
      <c r="N971">
        <v>2688</v>
      </c>
      <c r="O971">
        <f t="shared" si="45"/>
        <v>0.12</v>
      </c>
      <c r="P971">
        <f t="shared" si="46"/>
        <v>1.1160714285714285E-3</v>
      </c>
      <c r="Q971" t="str">
        <f t="shared" si="47"/>
        <v>Q27-03</v>
      </c>
    </row>
    <row r="972" spans="1:17" x14ac:dyDescent="0.25">
      <c r="A972" t="s">
        <v>12</v>
      </c>
      <c r="B972" t="s">
        <v>2044</v>
      </c>
      <c r="C972" t="s">
        <v>2045</v>
      </c>
      <c r="D972" t="s">
        <v>805</v>
      </c>
      <c r="E972" t="s">
        <v>2046</v>
      </c>
      <c r="F972" s="1">
        <v>1</v>
      </c>
      <c r="G972" s="1">
        <v>0</v>
      </c>
      <c r="H972" t="s">
        <v>17</v>
      </c>
      <c r="I972" t="s">
        <v>1799</v>
      </c>
      <c r="J972" t="s">
        <v>2047</v>
      </c>
      <c r="K972" s="3">
        <v>46265</v>
      </c>
      <c r="L972" t="s">
        <v>2048</v>
      </c>
      <c r="M972">
        <v>0.05</v>
      </c>
      <c r="N972">
        <v>4032</v>
      </c>
      <c r="O972">
        <f t="shared" si="45"/>
        <v>0.05</v>
      </c>
      <c r="P972">
        <f t="shared" si="46"/>
        <v>2.48015873015873E-4</v>
      </c>
      <c r="Q972" t="str">
        <f t="shared" si="47"/>
        <v>Q27-03</v>
      </c>
    </row>
    <row r="973" spans="1:17" x14ac:dyDescent="0.25">
      <c r="A973" t="s">
        <v>385</v>
      </c>
      <c r="B973" t="s">
        <v>2049</v>
      </c>
      <c r="C973" t="s">
        <v>2050</v>
      </c>
      <c r="D973" t="s">
        <v>727</v>
      </c>
      <c r="E973" t="s">
        <v>2051</v>
      </c>
      <c r="F973" s="1">
        <v>1</v>
      </c>
      <c r="G973" s="1">
        <v>0</v>
      </c>
      <c r="H973" t="s">
        <v>17</v>
      </c>
      <c r="I973" t="s">
        <v>2052</v>
      </c>
      <c r="J973" t="s">
        <v>2053</v>
      </c>
      <c r="K973" s="3">
        <v>46576</v>
      </c>
      <c r="L973" t="s">
        <v>2054</v>
      </c>
      <c r="M973">
        <v>7.8E-2</v>
      </c>
      <c r="N973">
        <v>2688</v>
      </c>
      <c r="O973">
        <f t="shared" si="45"/>
        <v>7.8E-2</v>
      </c>
      <c r="P973">
        <f t="shared" si="46"/>
        <v>3.720238095238095E-4</v>
      </c>
      <c r="Q973" t="str">
        <f t="shared" si="47"/>
        <v>Q26-03</v>
      </c>
    </row>
    <row r="974" spans="1:17" x14ac:dyDescent="0.25">
      <c r="A974" t="s">
        <v>385</v>
      </c>
      <c r="B974" t="s">
        <v>2049</v>
      </c>
      <c r="C974" t="s">
        <v>2050</v>
      </c>
      <c r="D974" t="s">
        <v>727</v>
      </c>
      <c r="E974" t="s">
        <v>2055</v>
      </c>
      <c r="F974" s="1">
        <v>8</v>
      </c>
      <c r="G974" s="1">
        <v>0</v>
      </c>
      <c r="H974" t="s">
        <v>17</v>
      </c>
      <c r="I974" t="s">
        <v>2052</v>
      </c>
      <c r="J974" t="s">
        <v>2053</v>
      </c>
      <c r="K974" s="3">
        <v>46576</v>
      </c>
      <c r="L974" t="s">
        <v>2054</v>
      </c>
      <c r="M974">
        <v>7.8E-2</v>
      </c>
      <c r="N974">
        <v>2688</v>
      </c>
      <c r="O974">
        <f t="shared" si="45"/>
        <v>0.624</v>
      </c>
      <c r="P974">
        <f t="shared" si="46"/>
        <v>2.976190476190476E-3</v>
      </c>
      <c r="Q974" t="str">
        <f t="shared" si="47"/>
        <v>Q26-03</v>
      </c>
    </row>
    <row r="975" spans="1:17" x14ac:dyDescent="0.25">
      <c r="A975" t="s">
        <v>12</v>
      </c>
      <c r="B975" t="s">
        <v>2056</v>
      </c>
      <c r="C975" t="s">
        <v>2057</v>
      </c>
      <c r="D975" t="s">
        <v>121</v>
      </c>
      <c r="E975" t="s">
        <v>2058</v>
      </c>
      <c r="F975" s="2">
        <v>1949</v>
      </c>
      <c r="G975" s="1">
        <v>0</v>
      </c>
      <c r="H975" t="s">
        <v>17</v>
      </c>
      <c r="I975" t="s">
        <v>84</v>
      </c>
      <c r="J975" t="s">
        <v>90</v>
      </c>
      <c r="K975" s="3">
        <v>46667</v>
      </c>
      <c r="L975" t="s">
        <v>123</v>
      </c>
      <c r="M975">
        <v>0</v>
      </c>
      <c r="N975">
        <v>0</v>
      </c>
      <c r="O975">
        <f t="shared" si="45"/>
        <v>0</v>
      </c>
      <c r="Q975" t="str">
        <f t="shared" si="47"/>
        <v>Q27-01</v>
      </c>
    </row>
    <row r="976" spans="1:17" x14ac:dyDescent="0.25">
      <c r="A976" t="s">
        <v>12</v>
      </c>
      <c r="B976" t="s">
        <v>2059</v>
      </c>
      <c r="C976" t="s">
        <v>2060</v>
      </c>
      <c r="D976" t="s">
        <v>121</v>
      </c>
      <c r="E976" t="s">
        <v>2061</v>
      </c>
      <c r="F976" s="1">
        <v>199</v>
      </c>
      <c r="G976" s="1">
        <v>0</v>
      </c>
      <c r="H976" t="s">
        <v>17</v>
      </c>
      <c r="I976" t="s">
        <v>84</v>
      </c>
      <c r="J976" t="s">
        <v>90</v>
      </c>
      <c r="K976" s="3">
        <v>46667</v>
      </c>
      <c r="L976" t="s">
        <v>2062</v>
      </c>
      <c r="M976">
        <v>0</v>
      </c>
      <c r="N976">
        <v>0</v>
      </c>
      <c r="O976">
        <f t="shared" si="45"/>
        <v>0</v>
      </c>
      <c r="Q976" t="str">
        <f t="shared" si="47"/>
        <v>Q27-01</v>
      </c>
    </row>
    <row r="977" spans="1:17" x14ac:dyDescent="0.25">
      <c r="A977" t="s">
        <v>12</v>
      </c>
      <c r="B977" t="s">
        <v>2063</v>
      </c>
      <c r="C977" t="s">
        <v>2064</v>
      </c>
      <c r="D977" t="s">
        <v>44</v>
      </c>
      <c r="E977" t="s">
        <v>2065</v>
      </c>
      <c r="F977" s="1">
        <v>89</v>
      </c>
      <c r="G977" s="1">
        <v>0</v>
      </c>
      <c r="H977" t="s">
        <v>17</v>
      </c>
      <c r="I977" t="s">
        <v>2066</v>
      </c>
      <c r="J977" t="s">
        <v>2067</v>
      </c>
      <c r="K977" s="3">
        <v>46053</v>
      </c>
      <c r="L977" t="s">
        <v>2068</v>
      </c>
      <c r="M977">
        <v>5.1999999999999998E-2</v>
      </c>
      <c r="N977">
        <v>1152</v>
      </c>
      <c r="O977">
        <f t="shared" si="45"/>
        <v>4.6280000000000001</v>
      </c>
      <c r="P977">
        <f t="shared" si="46"/>
        <v>7.7256944444444448E-2</v>
      </c>
      <c r="Q977" t="str">
        <f t="shared" si="47"/>
        <v>Q26-01</v>
      </c>
    </row>
    <row r="978" spans="1:17" x14ac:dyDescent="0.25">
      <c r="A978" t="s">
        <v>12</v>
      </c>
      <c r="B978" t="s">
        <v>1997</v>
      </c>
      <c r="C978" t="s">
        <v>1998</v>
      </c>
      <c r="D978" t="s">
        <v>44</v>
      </c>
      <c r="E978" t="s">
        <v>2069</v>
      </c>
      <c r="F978" s="1">
        <v>1</v>
      </c>
      <c r="G978" s="1">
        <v>0</v>
      </c>
      <c r="H978" t="s">
        <v>17</v>
      </c>
      <c r="I978" t="s">
        <v>2000</v>
      </c>
      <c r="J978" t="s">
        <v>2070</v>
      </c>
      <c r="K978" s="3">
        <v>46819</v>
      </c>
      <c r="L978" t="s">
        <v>2071</v>
      </c>
      <c r="M978">
        <v>0.33600000000000002</v>
      </c>
      <c r="N978">
        <v>720</v>
      </c>
      <c r="O978">
        <f t="shared" si="45"/>
        <v>0.33600000000000002</v>
      </c>
      <c r="P978">
        <f t="shared" si="46"/>
        <v>1.3888888888888889E-3</v>
      </c>
      <c r="Q978" t="str">
        <f t="shared" si="47"/>
        <v>Q26-01</v>
      </c>
    </row>
    <row r="979" spans="1:17" x14ac:dyDescent="0.25">
      <c r="A979" t="s">
        <v>12</v>
      </c>
      <c r="B979" t="s">
        <v>2072</v>
      </c>
      <c r="C979" t="s">
        <v>2073</v>
      </c>
      <c r="D979" t="s">
        <v>121</v>
      </c>
      <c r="E979" t="s">
        <v>2074</v>
      </c>
      <c r="F979" s="2">
        <v>1209</v>
      </c>
      <c r="G979" s="1">
        <v>0</v>
      </c>
      <c r="H979" t="s">
        <v>17</v>
      </c>
      <c r="I979" t="s">
        <v>84</v>
      </c>
      <c r="J979" t="s">
        <v>90</v>
      </c>
      <c r="K979" s="3">
        <v>46668</v>
      </c>
      <c r="L979" t="s">
        <v>123</v>
      </c>
      <c r="M979">
        <v>0</v>
      </c>
      <c r="N979">
        <v>0</v>
      </c>
      <c r="O979">
        <f t="shared" si="45"/>
        <v>0</v>
      </c>
      <c r="Q979" t="str">
        <f t="shared" si="47"/>
        <v>Q27-01</v>
      </c>
    </row>
    <row r="980" spans="1:17" x14ac:dyDescent="0.25">
      <c r="A980" t="s">
        <v>12</v>
      </c>
      <c r="B980" t="s">
        <v>2075</v>
      </c>
      <c r="C980" t="s">
        <v>2076</v>
      </c>
      <c r="D980" t="s">
        <v>727</v>
      </c>
      <c r="E980" t="s">
        <v>2077</v>
      </c>
      <c r="F980" s="1">
        <v>2</v>
      </c>
      <c r="G980" s="1">
        <v>0</v>
      </c>
      <c r="H980" t="s">
        <v>17</v>
      </c>
      <c r="I980" t="s">
        <v>2078</v>
      </c>
      <c r="J980" t="s">
        <v>2079</v>
      </c>
      <c r="K980" s="3">
        <v>46996</v>
      </c>
      <c r="L980" t="s">
        <v>2080</v>
      </c>
      <c r="M980">
        <v>0.03</v>
      </c>
      <c r="N980">
        <v>2700</v>
      </c>
      <c r="O980">
        <f t="shared" si="45"/>
        <v>0.06</v>
      </c>
      <c r="P980">
        <f t="shared" si="46"/>
        <v>7.407407407407407E-4</v>
      </c>
      <c r="Q980" t="str">
        <f t="shared" si="47"/>
        <v>Q26-03</v>
      </c>
    </row>
    <row r="981" spans="1:17" x14ac:dyDescent="0.25">
      <c r="A981" t="s">
        <v>12</v>
      </c>
      <c r="B981" t="s">
        <v>1997</v>
      </c>
      <c r="C981" t="s">
        <v>1998</v>
      </c>
      <c r="D981" t="s">
        <v>727</v>
      </c>
      <c r="E981" t="s">
        <v>2081</v>
      </c>
      <c r="F981" s="1">
        <v>6</v>
      </c>
      <c r="G981" s="1">
        <v>0</v>
      </c>
      <c r="H981" t="s">
        <v>17</v>
      </c>
      <c r="I981" t="s">
        <v>2000</v>
      </c>
      <c r="J981" t="s">
        <v>2082</v>
      </c>
      <c r="K981" s="3">
        <v>46821</v>
      </c>
      <c r="L981" t="s">
        <v>2083</v>
      </c>
      <c r="M981">
        <v>0.33600000000000002</v>
      </c>
      <c r="N981">
        <v>720</v>
      </c>
      <c r="O981">
        <f t="shared" si="45"/>
        <v>2.016</v>
      </c>
      <c r="P981">
        <f t="shared" si="46"/>
        <v>8.3333333333333332E-3</v>
      </c>
      <c r="Q981" t="str">
        <f t="shared" si="47"/>
        <v>Q26-03</v>
      </c>
    </row>
    <row r="982" spans="1:17" x14ac:dyDescent="0.25">
      <c r="A982" t="s">
        <v>12</v>
      </c>
      <c r="B982" t="s">
        <v>1997</v>
      </c>
      <c r="C982" t="s">
        <v>1998</v>
      </c>
      <c r="D982" t="s">
        <v>727</v>
      </c>
      <c r="E982" t="s">
        <v>2084</v>
      </c>
      <c r="F982" s="1">
        <v>5</v>
      </c>
      <c r="G982" s="1">
        <v>0</v>
      </c>
      <c r="H982" t="s">
        <v>17</v>
      </c>
      <c r="I982" t="s">
        <v>2000</v>
      </c>
      <c r="J982" t="s">
        <v>2082</v>
      </c>
      <c r="K982" s="3">
        <v>46822</v>
      </c>
      <c r="L982" t="s">
        <v>2085</v>
      </c>
      <c r="M982">
        <v>0.33600000000000002</v>
      </c>
      <c r="N982">
        <v>720</v>
      </c>
      <c r="O982">
        <f t="shared" si="45"/>
        <v>1.6800000000000002</v>
      </c>
      <c r="P982">
        <f t="shared" si="46"/>
        <v>6.9444444444444441E-3</v>
      </c>
      <c r="Q982" t="str">
        <f t="shared" si="47"/>
        <v>Q26-03</v>
      </c>
    </row>
    <row r="983" spans="1:17" x14ac:dyDescent="0.25">
      <c r="A983" t="s">
        <v>12</v>
      </c>
      <c r="B983" t="s">
        <v>830</v>
      </c>
      <c r="C983" t="s">
        <v>831</v>
      </c>
      <c r="D983" t="s">
        <v>77</v>
      </c>
      <c r="E983" t="s">
        <v>832</v>
      </c>
      <c r="F983" s="1">
        <v>28</v>
      </c>
      <c r="G983" s="1">
        <v>0</v>
      </c>
      <c r="H983" t="s">
        <v>17</v>
      </c>
      <c r="I983" t="s">
        <v>833</v>
      </c>
      <c r="J983" t="s">
        <v>2086</v>
      </c>
      <c r="K983" s="3">
        <v>46022</v>
      </c>
      <c r="L983" t="s">
        <v>835</v>
      </c>
      <c r="M983">
        <v>0.04</v>
      </c>
      <c r="N983">
        <v>3120</v>
      </c>
      <c r="O983">
        <f t="shared" si="45"/>
        <v>1.1200000000000001</v>
      </c>
      <c r="P983">
        <f t="shared" si="46"/>
        <v>8.9743589743589737E-3</v>
      </c>
      <c r="Q983" t="str">
        <f t="shared" si="47"/>
        <v>Q27-01</v>
      </c>
    </row>
    <row r="984" spans="1:17" x14ac:dyDescent="0.25">
      <c r="A984" t="s">
        <v>12</v>
      </c>
      <c r="B984" t="s">
        <v>1330</v>
      </c>
      <c r="C984" t="s">
        <v>1331</v>
      </c>
      <c r="D984" t="s">
        <v>1332</v>
      </c>
      <c r="E984" t="s">
        <v>2087</v>
      </c>
      <c r="F984" s="1">
        <v>100</v>
      </c>
      <c r="G984" s="1">
        <v>0</v>
      </c>
      <c r="H984" t="s">
        <v>17</v>
      </c>
      <c r="I984" t="s">
        <v>1334</v>
      </c>
      <c r="J984" t="s">
        <v>2088</v>
      </c>
      <c r="K984" s="3">
        <v>46117</v>
      </c>
      <c r="L984" t="s">
        <v>1859</v>
      </c>
      <c r="M984">
        <v>0.04</v>
      </c>
      <c r="N984">
        <v>9000</v>
      </c>
      <c r="O984">
        <f t="shared" si="45"/>
        <v>4</v>
      </c>
      <c r="P984">
        <f t="shared" si="46"/>
        <v>1.1111111111111112E-2</v>
      </c>
      <c r="Q984" t="str">
        <f t="shared" si="47"/>
        <v>Q26-01</v>
      </c>
    </row>
    <row r="985" spans="1:17" x14ac:dyDescent="0.25">
      <c r="A985" t="s">
        <v>12</v>
      </c>
      <c r="B985" t="s">
        <v>2089</v>
      </c>
      <c r="C985" t="s">
        <v>2090</v>
      </c>
      <c r="D985" t="s">
        <v>121</v>
      </c>
      <c r="E985" t="s">
        <v>2091</v>
      </c>
      <c r="F985" s="2">
        <v>2721</v>
      </c>
      <c r="G985" s="1">
        <v>0</v>
      </c>
      <c r="H985" t="s">
        <v>17</v>
      </c>
      <c r="I985" t="s">
        <v>84</v>
      </c>
      <c r="J985" t="s">
        <v>90</v>
      </c>
      <c r="K985" s="3">
        <v>46670</v>
      </c>
      <c r="L985" t="s">
        <v>123</v>
      </c>
      <c r="M985">
        <v>0</v>
      </c>
      <c r="N985">
        <v>0</v>
      </c>
      <c r="O985">
        <f t="shared" si="45"/>
        <v>0</v>
      </c>
      <c r="Q985" t="str">
        <f t="shared" si="47"/>
        <v>Q27-01</v>
      </c>
    </row>
    <row r="986" spans="1:17" x14ac:dyDescent="0.25">
      <c r="A986" t="s">
        <v>12</v>
      </c>
      <c r="B986" t="s">
        <v>2092</v>
      </c>
      <c r="C986" t="s">
        <v>2093</v>
      </c>
      <c r="D986" t="s">
        <v>121</v>
      </c>
      <c r="E986" t="s">
        <v>2094</v>
      </c>
      <c r="F986" s="2">
        <v>2810</v>
      </c>
      <c r="G986" s="1">
        <v>0</v>
      </c>
      <c r="H986" t="s">
        <v>17</v>
      </c>
      <c r="I986" t="s">
        <v>84</v>
      </c>
      <c r="J986" t="s">
        <v>90</v>
      </c>
      <c r="K986" s="3">
        <v>46670</v>
      </c>
      <c r="L986" t="s">
        <v>123</v>
      </c>
      <c r="M986">
        <v>0</v>
      </c>
      <c r="N986">
        <v>0</v>
      </c>
      <c r="O986">
        <f t="shared" si="45"/>
        <v>0</v>
      </c>
      <c r="Q986" t="str">
        <f t="shared" si="47"/>
        <v>Q27-01</v>
      </c>
    </row>
    <row r="987" spans="1:17" x14ac:dyDescent="0.25">
      <c r="A987" t="s">
        <v>12</v>
      </c>
      <c r="B987" t="s">
        <v>2095</v>
      </c>
      <c r="C987" t="s">
        <v>2096</v>
      </c>
      <c r="D987" t="s">
        <v>121</v>
      </c>
      <c r="E987" t="s">
        <v>2097</v>
      </c>
      <c r="F987" s="2">
        <v>2070</v>
      </c>
      <c r="G987" s="1">
        <v>0</v>
      </c>
      <c r="H987" t="s">
        <v>17</v>
      </c>
      <c r="I987" t="s">
        <v>84</v>
      </c>
      <c r="J987" t="s">
        <v>90</v>
      </c>
      <c r="K987" s="3">
        <v>46670</v>
      </c>
      <c r="L987" t="s">
        <v>123</v>
      </c>
      <c r="M987">
        <v>0</v>
      </c>
      <c r="N987">
        <v>0</v>
      </c>
      <c r="O987">
        <f t="shared" si="45"/>
        <v>0</v>
      </c>
      <c r="Q987" t="str">
        <f t="shared" si="47"/>
        <v>Q27-01</v>
      </c>
    </row>
    <row r="988" spans="1:17" x14ac:dyDescent="0.25">
      <c r="A988" t="s">
        <v>12</v>
      </c>
      <c r="B988" t="s">
        <v>2098</v>
      </c>
      <c r="C988" t="s">
        <v>2099</v>
      </c>
      <c r="D988" t="s">
        <v>121</v>
      </c>
      <c r="E988" t="s">
        <v>2100</v>
      </c>
      <c r="F988" s="2">
        <v>3437</v>
      </c>
      <c r="G988" s="1">
        <v>0</v>
      </c>
      <c r="H988" t="s">
        <v>17</v>
      </c>
      <c r="I988" t="s">
        <v>84</v>
      </c>
      <c r="J988" t="s">
        <v>90</v>
      </c>
      <c r="K988" s="3">
        <v>46670</v>
      </c>
      <c r="L988" t="s">
        <v>123</v>
      </c>
      <c r="M988">
        <v>0</v>
      </c>
      <c r="N988">
        <v>0</v>
      </c>
      <c r="O988">
        <f t="shared" si="45"/>
        <v>0</v>
      </c>
      <c r="Q988" t="str">
        <f t="shared" si="47"/>
        <v>Q27-01</v>
      </c>
    </row>
    <row r="989" spans="1:17" x14ac:dyDescent="0.25">
      <c r="A989" t="s">
        <v>12</v>
      </c>
      <c r="B989" t="s">
        <v>1556</v>
      </c>
      <c r="C989" t="s">
        <v>1557</v>
      </c>
      <c r="D989" t="s">
        <v>727</v>
      </c>
      <c r="E989" t="s">
        <v>2101</v>
      </c>
      <c r="F989" s="1">
        <v>37</v>
      </c>
      <c r="G989" s="1">
        <v>0</v>
      </c>
      <c r="H989" t="s">
        <v>17</v>
      </c>
      <c r="I989" t="s">
        <v>1559</v>
      </c>
      <c r="J989" t="s">
        <v>2102</v>
      </c>
      <c r="K989" s="3">
        <v>46507</v>
      </c>
      <c r="L989" t="s">
        <v>2103</v>
      </c>
      <c r="M989">
        <v>2.1000000000000001E-2</v>
      </c>
      <c r="N989">
        <v>7150</v>
      </c>
      <c r="O989">
        <f t="shared" si="45"/>
        <v>0.77700000000000002</v>
      </c>
      <c r="P989">
        <f t="shared" si="46"/>
        <v>5.1748251748251753E-3</v>
      </c>
      <c r="Q989" t="str">
        <f t="shared" si="47"/>
        <v>Q26-03</v>
      </c>
    </row>
    <row r="990" spans="1:17" x14ac:dyDescent="0.25">
      <c r="A990" t="s">
        <v>61</v>
      </c>
      <c r="B990" t="s">
        <v>364</v>
      </c>
      <c r="C990" t="s">
        <v>365</v>
      </c>
      <c r="D990" t="s">
        <v>77</v>
      </c>
      <c r="E990" t="s">
        <v>2104</v>
      </c>
      <c r="F990" s="1">
        <v>1</v>
      </c>
      <c r="G990" s="1">
        <v>0</v>
      </c>
      <c r="H990" t="s">
        <v>17</v>
      </c>
      <c r="I990" t="s">
        <v>367</v>
      </c>
      <c r="J990" t="s">
        <v>2105</v>
      </c>
      <c r="K990" s="3">
        <v>46752</v>
      </c>
      <c r="L990" t="s">
        <v>1766</v>
      </c>
      <c r="M990">
        <v>0.158</v>
      </c>
      <c r="N990">
        <v>1152</v>
      </c>
      <c r="O990">
        <f t="shared" si="45"/>
        <v>0.158</v>
      </c>
      <c r="P990">
        <f t="shared" si="46"/>
        <v>8.6805555555555551E-4</v>
      </c>
      <c r="Q990" t="str">
        <f t="shared" si="47"/>
        <v>Q27-01</v>
      </c>
    </row>
    <row r="991" spans="1:17" x14ac:dyDescent="0.25">
      <c r="A991" t="s">
        <v>61</v>
      </c>
      <c r="B991" t="s">
        <v>1523</v>
      </c>
      <c r="C991" t="s">
        <v>1524</v>
      </c>
      <c r="D991" t="s">
        <v>77</v>
      </c>
      <c r="E991" t="s">
        <v>2106</v>
      </c>
      <c r="F991" s="1">
        <v>2</v>
      </c>
      <c r="G991" s="1">
        <v>0</v>
      </c>
      <c r="H991" t="s">
        <v>17</v>
      </c>
      <c r="I991" t="s">
        <v>1526</v>
      </c>
      <c r="J991" t="s">
        <v>2105</v>
      </c>
      <c r="K991" s="3">
        <v>46691</v>
      </c>
      <c r="L991" t="s">
        <v>1862</v>
      </c>
      <c r="M991">
        <v>4.9000000000000002E-2</v>
      </c>
      <c r="N991">
        <v>2880</v>
      </c>
      <c r="O991">
        <f t="shared" si="45"/>
        <v>9.8000000000000004E-2</v>
      </c>
      <c r="P991">
        <f t="shared" si="46"/>
        <v>6.9444444444444447E-4</v>
      </c>
      <c r="Q991" t="str">
        <f t="shared" si="47"/>
        <v>Q27-01</v>
      </c>
    </row>
    <row r="992" spans="1:17" x14ac:dyDescent="0.25">
      <c r="A992" t="s">
        <v>12</v>
      </c>
      <c r="B992" t="s">
        <v>1997</v>
      </c>
      <c r="C992" t="s">
        <v>1998</v>
      </c>
      <c r="D992" t="s">
        <v>727</v>
      </c>
      <c r="E992" t="s">
        <v>2107</v>
      </c>
      <c r="F992" s="1">
        <v>1</v>
      </c>
      <c r="G992" s="1">
        <v>0</v>
      </c>
      <c r="H992" t="s">
        <v>17</v>
      </c>
      <c r="I992" t="s">
        <v>2000</v>
      </c>
      <c r="J992" t="s">
        <v>2108</v>
      </c>
      <c r="K992" s="3">
        <v>46823</v>
      </c>
      <c r="L992" t="s">
        <v>2109</v>
      </c>
      <c r="M992">
        <v>0.33600000000000002</v>
      </c>
      <c r="N992">
        <v>720</v>
      </c>
      <c r="O992">
        <f t="shared" si="45"/>
        <v>0.33600000000000002</v>
      </c>
      <c r="P992">
        <f t="shared" si="46"/>
        <v>1.3888888888888889E-3</v>
      </c>
      <c r="Q992" t="str">
        <f t="shared" si="47"/>
        <v>Q26-03</v>
      </c>
    </row>
    <row r="993" spans="1:17" x14ac:dyDescent="0.25">
      <c r="A993" t="s">
        <v>12</v>
      </c>
      <c r="B993" t="s">
        <v>1997</v>
      </c>
      <c r="C993" t="s">
        <v>1998</v>
      </c>
      <c r="D993" t="s">
        <v>727</v>
      </c>
      <c r="E993" t="s">
        <v>2110</v>
      </c>
      <c r="F993" s="1">
        <v>1</v>
      </c>
      <c r="G993" s="1">
        <v>0</v>
      </c>
      <c r="H993" t="s">
        <v>17</v>
      </c>
      <c r="I993" t="s">
        <v>2000</v>
      </c>
      <c r="J993" t="s">
        <v>2108</v>
      </c>
      <c r="K993" s="3">
        <v>46822</v>
      </c>
      <c r="L993" t="s">
        <v>2111</v>
      </c>
      <c r="M993">
        <v>0.33600000000000002</v>
      </c>
      <c r="N993">
        <v>720</v>
      </c>
      <c r="O993">
        <f t="shared" si="45"/>
        <v>0.33600000000000002</v>
      </c>
      <c r="P993">
        <f t="shared" si="46"/>
        <v>1.3888888888888889E-3</v>
      </c>
      <c r="Q993" t="str">
        <f t="shared" si="47"/>
        <v>Q26-03</v>
      </c>
    </row>
    <row r="994" spans="1:17" x14ac:dyDescent="0.25">
      <c r="A994" t="s">
        <v>12</v>
      </c>
      <c r="B994" t="s">
        <v>1997</v>
      </c>
      <c r="C994" t="s">
        <v>1998</v>
      </c>
      <c r="D994" t="s">
        <v>727</v>
      </c>
      <c r="E994" t="s">
        <v>2112</v>
      </c>
      <c r="F994" s="1">
        <v>1</v>
      </c>
      <c r="G994" s="1">
        <v>0</v>
      </c>
      <c r="H994" t="s">
        <v>17</v>
      </c>
      <c r="I994" t="s">
        <v>2000</v>
      </c>
      <c r="J994" t="s">
        <v>2113</v>
      </c>
      <c r="K994" s="3">
        <v>46823</v>
      </c>
      <c r="L994" t="s">
        <v>2114</v>
      </c>
      <c r="M994">
        <v>0.33600000000000002</v>
      </c>
      <c r="N994">
        <v>720</v>
      </c>
      <c r="O994">
        <f t="shared" si="45"/>
        <v>0.33600000000000002</v>
      </c>
      <c r="P994">
        <f t="shared" si="46"/>
        <v>1.3888888888888889E-3</v>
      </c>
      <c r="Q994" t="str">
        <f t="shared" si="47"/>
        <v>Q26-03</v>
      </c>
    </row>
    <row r="995" spans="1:17" x14ac:dyDescent="0.25">
      <c r="A995" t="s">
        <v>61</v>
      </c>
      <c r="B995" t="s">
        <v>420</v>
      </c>
      <c r="C995" t="s">
        <v>421</v>
      </c>
      <c r="D995" t="s">
        <v>1648</v>
      </c>
      <c r="E995" t="s">
        <v>2115</v>
      </c>
      <c r="F995" s="1">
        <v>1</v>
      </c>
      <c r="G995" s="1">
        <v>0</v>
      </c>
      <c r="H995" t="s">
        <v>17</v>
      </c>
      <c r="I995" t="s">
        <v>423</v>
      </c>
      <c r="J995" t="s">
        <v>2116</v>
      </c>
      <c r="K995" s="3">
        <v>46691</v>
      </c>
      <c r="L995" t="s">
        <v>1722</v>
      </c>
      <c r="M995">
        <v>0.156</v>
      </c>
      <c r="N995">
        <v>1152</v>
      </c>
      <c r="O995">
        <f t="shared" si="45"/>
        <v>0.156</v>
      </c>
      <c r="P995">
        <f t="shared" si="46"/>
        <v>8.6805555555555551E-4</v>
      </c>
      <c r="Q995" t="str">
        <f t="shared" si="47"/>
        <v>Q27-03</v>
      </c>
    </row>
    <row r="996" spans="1:17" x14ac:dyDescent="0.25">
      <c r="A996" t="s">
        <v>61</v>
      </c>
      <c r="B996" t="s">
        <v>364</v>
      </c>
      <c r="C996" t="s">
        <v>365</v>
      </c>
      <c r="D996" t="s">
        <v>1648</v>
      </c>
      <c r="E996" t="s">
        <v>2117</v>
      </c>
      <c r="F996" s="1">
        <v>2</v>
      </c>
      <c r="G996" s="1">
        <v>0</v>
      </c>
      <c r="H996" t="s">
        <v>17</v>
      </c>
      <c r="I996" t="s">
        <v>367</v>
      </c>
      <c r="J996" t="s">
        <v>2116</v>
      </c>
      <c r="K996" s="3">
        <v>46752</v>
      </c>
      <c r="L996" t="s">
        <v>1766</v>
      </c>
      <c r="M996">
        <v>0.158</v>
      </c>
      <c r="N996">
        <v>1152</v>
      </c>
      <c r="O996">
        <f t="shared" si="45"/>
        <v>0.316</v>
      </c>
      <c r="P996">
        <f t="shared" si="46"/>
        <v>1.736111111111111E-3</v>
      </c>
      <c r="Q996" t="str">
        <f t="shared" si="47"/>
        <v>Q27-03</v>
      </c>
    </row>
    <row r="997" spans="1:17" x14ac:dyDescent="0.25">
      <c r="A997" t="s">
        <v>61</v>
      </c>
      <c r="B997" t="s">
        <v>275</v>
      </c>
      <c r="C997" t="s">
        <v>276</v>
      </c>
      <c r="D997" t="s">
        <v>77</v>
      </c>
      <c r="E997" t="s">
        <v>2118</v>
      </c>
      <c r="F997" s="1">
        <v>60</v>
      </c>
      <c r="G997" s="1">
        <v>0</v>
      </c>
      <c r="H997" t="s">
        <v>17</v>
      </c>
      <c r="I997" t="s">
        <v>278</v>
      </c>
      <c r="J997" t="s">
        <v>2116</v>
      </c>
      <c r="K997" s="3">
        <v>46081</v>
      </c>
      <c r="L997" t="s">
        <v>280</v>
      </c>
      <c r="M997">
        <v>4.8000000000000001E-2</v>
      </c>
      <c r="N997">
        <v>2880</v>
      </c>
      <c r="O997">
        <f t="shared" si="45"/>
        <v>2.88</v>
      </c>
      <c r="P997">
        <f t="shared" si="46"/>
        <v>2.0833333333333332E-2</v>
      </c>
      <c r="Q997" t="str">
        <f t="shared" si="47"/>
        <v>Q27-01</v>
      </c>
    </row>
    <row r="998" spans="1:17" x14ac:dyDescent="0.25">
      <c r="A998" t="s">
        <v>12</v>
      </c>
      <c r="B998" t="s">
        <v>1997</v>
      </c>
      <c r="C998" t="s">
        <v>1998</v>
      </c>
      <c r="D998" t="s">
        <v>57</v>
      </c>
      <c r="E998" t="s">
        <v>2119</v>
      </c>
      <c r="F998" s="1">
        <v>2</v>
      </c>
      <c r="G998" s="1">
        <v>0</v>
      </c>
      <c r="H998" t="s">
        <v>17</v>
      </c>
      <c r="I998" t="s">
        <v>2000</v>
      </c>
      <c r="J998" t="s">
        <v>2120</v>
      </c>
      <c r="K998" s="3">
        <v>46534</v>
      </c>
      <c r="L998" t="s">
        <v>2121</v>
      </c>
      <c r="M998">
        <v>0.33600000000000002</v>
      </c>
      <c r="N998">
        <v>720</v>
      </c>
      <c r="O998">
        <f t="shared" si="45"/>
        <v>0.67200000000000004</v>
      </c>
      <c r="P998">
        <f t="shared" si="46"/>
        <v>2.7777777777777779E-3</v>
      </c>
      <c r="Q998" t="str">
        <f t="shared" si="47"/>
        <v>Q26-03</v>
      </c>
    </row>
    <row r="999" spans="1:17" x14ac:dyDescent="0.25">
      <c r="A999" t="s">
        <v>12</v>
      </c>
      <c r="B999" t="s">
        <v>1997</v>
      </c>
      <c r="C999" t="s">
        <v>1998</v>
      </c>
      <c r="D999" t="s">
        <v>57</v>
      </c>
      <c r="E999" t="s">
        <v>2122</v>
      </c>
      <c r="F999" s="1">
        <v>4</v>
      </c>
      <c r="G999" s="1">
        <v>0</v>
      </c>
      <c r="H999" t="s">
        <v>17</v>
      </c>
      <c r="I999" t="s">
        <v>2000</v>
      </c>
      <c r="J999" t="s">
        <v>2120</v>
      </c>
      <c r="K999" s="3">
        <v>46534</v>
      </c>
      <c r="L999" t="s">
        <v>2123</v>
      </c>
      <c r="M999">
        <v>0.33600000000000002</v>
      </c>
      <c r="N999">
        <v>720</v>
      </c>
      <c r="O999">
        <f t="shared" si="45"/>
        <v>1.3440000000000001</v>
      </c>
      <c r="P999">
        <f t="shared" si="46"/>
        <v>5.5555555555555558E-3</v>
      </c>
      <c r="Q999" t="str">
        <f t="shared" si="47"/>
        <v>Q26-03</v>
      </c>
    </row>
    <row r="1000" spans="1:17" x14ac:dyDescent="0.25">
      <c r="A1000" t="s">
        <v>385</v>
      </c>
      <c r="B1000" t="s">
        <v>979</v>
      </c>
      <c r="C1000" t="s">
        <v>980</v>
      </c>
      <c r="D1000" t="s">
        <v>441</v>
      </c>
      <c r="E1000" t="s">
        <v>2124</v>
      </c>
      <c r="F1000" s="1">
        <v>103</v>
      </c>
      <c r="G1000" s="1">
        <v>0</v>
      </c>
      <c r="H1000" t="s">
        <v>17</v>
      </c>
      <c r="I1000" t="s">
        <v>982</v>
      </c>
      <c r="J1000" t="s">
        <v>2125</v>
      </c>
      <c r="K1000" s="3">
        <v>46593</v>
      </c>
      <c r="L1000" t="s">
        <v>2126</v>
      </c>
      <c r="M1000">
        <v>1.9E-2</v>
      </c>
      <c r="N1000">
        <v>4320</v>
      </c>
      <c r="O1000">
        <f t="shared" si="45"/>
        <v>1.9569999999999999</v>
      </c>
      <c r="P1000">
        <f t="shared" si="46"/>
        <v>2.3842592592592592E-2</v>
      </c>
      <c r="Q1000" t="str">
        <f t="shared" si="47"/>
        <v>Q26-03</v>
      </c>
    </row>
    <row r="1001" spans="1:17" x14ac:dyDescent="0.25">
      <c r="A1001" t="s">
        <v>12</v>
      </c>
      <c r="B1001" t="s">
        <v>2127</v>
      </c>
      <c r="C1001" t="s">
        <v>2128</v>
      </c>
      <c r="D1001" t="s">
        <v>77</v>
      </c>
      <c r="E1001" t="s">
        <v>2129</v>
      </c>
      <c r="F1001" s="1">
        <v>5</v>
      </c>
      <c r="G1001" s="1">
        <v>0</v>
      </c>
      <c r="H1001" t="s">
        <v>17</v>
      </c>
      <c r="I1001" t="s">
        <v>2130</v>
      </c>
      <c r="J1001" t="s">
        <v>2131</v>
      </c>
      <c r="K1001" s="3">
        <v>46053</v>
      </c>
      <c r="L1001" t="s">
        <v>2132</v>
      </c>
      <c r="M1001">
        <v>0.06</v>
      </c>
      <c r="N1001">
        <v>0</v>
      </c>
      <c r="O1001">
        <f t="shared" si="45"/>
        <v>0.3</v>
      </c>
      <c r="Q1001" t="str">
        <f t="shared" si="47"/>
        <v>Q27-01</v>
      </c>
    </row>
    <row r="1002" spans="1:17" x14ac:dyDescent="0.25">
      <c r="A1002" t="s">
        <v>12</v>
      </c>
      <c r="B1002" t="s">
        <v>2133</v>
      </c>
      <c r="C1002" t="s">
        <v>2134</v>
      </c>
      <c r="D1002" t="s">
        <v>44</v>
      </c>
      <c r="E1002" t="s">
        <v>2135</v>
      </c>
      <c r="F1002" s="1">
        <v>5</v>
      </c>
      <c r="G1002" s="1">
        <v>0</v>
      </c>
      <c r="H1002" t="s">
        <v>17</v>
      </c>
      <c r="I1002" t="s">
        <v>2136</v>
      </c>
      <c r="J1002" t="s">
        <v>2131</v>
      </c>
      <c r="K1002" s="3">
        <v>45999</v>
      </c>
      <c r="L1002" t="s">
        <v>2137</v>
      </c>
      <c r="M1002">
        <v>3.4000000000000002E-2</v>
      </c>
      <c r="N1002">
        <v>0</v>
      </c>
      <c r="O1002">
        <f t="shared" si="45"/>
        <v>0.17</v>
      </c>
      <c r="Q1002" t="str">
        <f t="shared" si="47"/>
        <v>Q26-01</v>
      </c>
    </row>
    <row r="1003" spans="1:17" x14ac:dyDescent="0.25">
      <c r="A1003" t="s">
        <v>12</v>
      </c>
      <c r="B1003" t="s">
        <v>2133</v>
      </c>
      <c r="C1003" t="s">
        <v>2134</v>
      </c>
      <c r="D1003" t="s">
        <v>44</v>
      </c>
      <c r="E1003" t="s">
        <v>2138</v>
      </c>
      <c r="F1003" s="1">
        <v>1</v>
      </c>
      <c r="G1003" s="1">
        <v>0</v>
      </c>
      <c r="H1003" t="s">
        <v>17</v>
      </c>
      <c r="I1003" t="s">
        <v>2136</v>
      </c>
      <c r="J1003" t="s">
        <v>2131</v>
      </c>
      <c r="K1003" s="3">
        <v>46000</v>
      </c>
      <c r="L1003" t="s">
        <v>2139</v>
      </c>
      <c r="M1003">
        <v>3.4000000000000002E-2</v>
      </c>
      <c r="N1003">
        <v>0</v>
      </c>
      <c r="O1003">
        <f t="shared" si="45"/>
        <v>3.4000000000000002E-2</v>
      </c>
      <c r="Q1003" t="str">
        <f t="shared" si="47"/>
        <v>Q26-01</v>
      </c>
    </row>
    <row r="1004" spans="1:17" x14ac:dyDescent="0.25">
      <c r="A1004" t="s">
        <v>61</v>
      </c>
      <c r="B1004" t="s">
        <v>364</v>
      </c>
      <c r="C1004" t="s">
        <v>365</v>
      </c>
      <c r="D1004" t="s">
        <v>73</v>
      </c>
      <c r="E1004" t="s">
        <v>2140</v>
      </c>
      <c r="F1004" s="1">
        <v>1</v>
      </c>
      <c r="G1004" s="1">
        <v>0</v>
      </c>
      <c r="H1004" t="s">
        <v>17</v>
      </c>
      <c r="I1004" t="s">
        <v>367</v>
      </c>
      <c r="J1004" t="s">
        <v>2141</v>
      </c>
      <c r="K1004" s="3">
        <v>46326</v>
      </c>
      <c r="L1004" t="s">
        <v>417</v>
      </c>
      <c r="M1004">
        <v>0.158</v>
      </c>
      <c r="N1004">
        <v>1152</v>
      </c>
      <c r="O1004">
        <f t="shared" si="45"/>
        <v>0.158</v>
      </c>
      <c r="P1004">
        <f t="shared" si="46"/>
        <v>8.6805555555555551E-4</v>
      </c>
      <c r="Q1004" t="str">
        <f t="shared" si="47"/>
        <v>Q26-01</v>
      </c>
    </row>
    <row r="1005" spans="1:17" x14ac:dyDescent="0.25">
      <c r="A1005" t="s">
        <v>61</v>
      </c>
      <c r="B1005" t="s">
        <v>364</v>
      </c>
      <c r="C1005" t="s">
        <v>365</v>
      </c>
      <c r="D1005" t="s">
        <v>73</v>
      </c>
      <c r="E1005" t="s">
        <v>2142</v>
      </c>
      <c r="F1005" s="1">
        <v>3</v>
      </c>
      <c r="G1005" s="1">
        <v>0</v>
      </c>
      <c r="H1005" t="s">
        <v>17</v>
      </c>
      <c r="I1005" t="s">
        <v>367</v>
      </c>
      <c r="J1005" t="s">
        <v>2141</v>
      </c>
      <c r="K1005" s="3">
        <v>46660</v>
      </c>
      <c r="L1005" t="s">
        <v>1205</v>
      </c>
      <c r="M1005">
        <v>0.158</v>
      </c>
      <c r="N1005">
        <v>1152</v>
      </c>
      <c r="O1005">
        <f t="shared" si="45"/>
        <v>0.47399999999999998</v>
      </c>
      <c r="P1005">
        <f t="shared" si="46"/>
        <v>2.6041666666666665E-3</v>
      </c>
      <c r="Q1005" t="str">
        <f t="shared" si="47"/>
        <v>Q26-01</v>
      </c>
    </row>
    <row r="1006" spans="1:17" x14ac:dyDescent="0.25">
      <c r="A1006" t="s">
        <v>61</v>
      </c>
      <c r="B1006" t="s">
        <v>456</v>
      </c>
      <c r="C1006" t="s">
        <v>457</v>
      </c>
      <c r="D1006" t="s">
        <v>73</v>
      </c>
      <c r="E1006" t="s">
        <v>2143</v>
      </c>
      <c r="F1006" s="1">
        <v>30</v>
      </c>
      <c r="G1006" s="1">
        <v>0</v>
      </c>
      <c r="H1006" t="s">
        <v>17</v>
      </c>
      <c r="I1006" t="s">
        <v>459</v>
      </c>
      <c r="J1006" t="s">
        <v>2141</v>
      </c>
      <c r="K1006" s="3">
        <v>46265</v>
      </c>
      <c r="L1006" t="s">
        <v>1002</v>
      </c>
      <c r="M1006">
        <v>0.22600000000000001</v>
      </c>
      <c r="N1006">
        <v>1680</v>
      </c>
      <c r="O1006">
        <f t="shared" si="45"/>
        <v>6.78</v>
      </c>
      <c r="P1006">
        <f t="shared" si="46"/>
        <v>1.7857142857142856E-2</v>
      </c>
      <c r="Q1006" t="str">
        <f t="shared" si="47"/>
        <v>Q26-01</v>
      </c>
    </row>
    <row r="1007" spans="1:17" x14ac:dyDescent="0.25">
      <c r="A1007" t="s">
        <v>61</v>
      </c>
      <c r="B1007" t="s">
        <v>359</v>
      </c>
      <c r="C1007" t="s">
        <v>360</v>
      </c>
      <c r="D1007" t="s">
        <v>73</v>
      </c>
      <c r="E1007" t="s">
        <v>2144</v>
      </c>
      <c r="F1007" s="1">
        <v>59</v>
      </c>
      <c r="G1007" s="1">
        <v>0</v>
      </c>
      <c r="H1007" t="s">
        <v>17</v>
      </c>
      <c r="I1007" t="s">
        <v>362</v>
      </c>
      <c r="J1007" t="s">
        <v>2141</v>
      </c>
      <c r="K1007" s="3">
        <v>46053</v>
      </c>
      <c r="L1007" t="s">
        <v>363</v>
      </c>
      <c r="M1007">
        <v>5.3999999999999999E-2</v>
      </c>
      <c r="N1007">
        <v>2880</v>
      </c>
      <c r="O1007">
        <f t="shared" si="45"/>
        <v>3.1859999999999999</v>
      </c>
      <c r="P1007">
        <f t="shared" si="46"/>
        <v>2.0486111111111111E-2</v>
      </c>
      <c r="Q1007" t="str">
        <f t="shared" si="47"/>
        <v>Q26-01</v>
      </c>
    </row>
    <row r="1008" spans="1:17" x14ac:dyDescent="0.25">
      <c r="A1008" t="s">
        <v>61</v>
      </c>
      <c r="B1008" t="s">
        <v>233</v>
      </c>
      <c r="C1008" t="s">
        <v>234</v>
      </c>
      <c r="D1008" t="s">
        <v>73</v>
      </c>
      <c r="E1008" t="s">
        <v>2145</v>
      </c>
      <c r="F1008" s="1">
        <v>14</v>
      </c>
      <c r="G1008" s="1">
        <v>0</v>
      </c>
      <c r="H1008" t="s">
        <v>17</v>
      </c>
      <c r="I1008" t="s">
        <v>236</v>
      </c>
      <c r="J1008" t="s">
        <v>2141</v>
      </c>
      <c r="K1008" s="3">
        <v>46053</v>
      </c>
      <c r="L1008" t="s">
        <v>271</v>
      </c>
      <c r="M1008">
        <v>7.4999999999999997E-2</v>
      </c>
      <c r="N1008">
        <v>2688</v>
      </c>
      <c r="O1008">
        <f t="shared" si="45"/>
        <v>1.05</v>
      </c>
      <c r="P1008">
        <f t="shared" si="46"/>
        <v>5.208333333333333E-3</v>
      </c>
      <c r="Q1008" t="str">
        <f t="shared" si="47"/>
        <v>Q26-01</v>
      </c>
    </row>
    <row r="1009" spans="1:17" x14ac:dyDescent="0.25">
      <c r="A1009" t="s">
        <v>61</v>
      </c>
      <c r="B1009" t="s">
        <v>420</v>
      </c>
      <c r="C1009" t="s">
        <v>421</v>
      </c>
      <c r="D1009" t="s">
        <v>73</v>
      </c>
      <c r="E1009" t="s">
        <v>2146</v>
      </c>
      <c r="F1009" s="1">
        <v>3</v>
      </c>
      <c r="G1009" s="1">
        <v>0</v>
      </c>
      <c r="H1009" t="s">
        <v>17</v>
      </c>
      <c r="I1009" t="s">
        <v>423</v>
      </c>
      <c r="J1009" t="s">
        <v>2141</v>
      </c>
      <c r="K1009" s="3">
        <v>46630</v>
      </c>
      <c r="L1009" t="s">
        <v>1202</v>
      </c>
      <c r="M1009">
        <v>0.156</v>
      </c>
      <c r="N1009">
        <v>1152</v>
      </c>
      <c r="O1009">
        <f t="shared" si="45"/>
        <v>0.46799999999999997</v>
      </c>
      <c r="P1009">
        <f t="shared" si="46"/>
        <v>2.6041666666666665E-3</v>
      </c>
      <c r="Q1009" t="str">
        <f t="shared" si="47"/>
        <v>Q26-01</v>
      </c>
    </row>
    <row r="1010" spans="1:17" x14ac:dyDescent="0.25">
      <c r="A1010" t="s">
        <v>61</v>
      </c>
      <c r="B1010" t="s">
        <v>1523</v>
      </c>
      <c r="C1010" t="s">
        <v>1524</v>
      </c>
      <c r="D1010" t="s">
        <v>73</v>
      </c>
      <c r="E1010" t="s">
        <v>2147</v>
      </c>
      <c r="F1010" s="1">
        <v>29</v>
      </c>
      <c r="G1010" s="1">
        <v>0</v>
      </c>
      <c r="H1010" t="s">
        <v>17</v>
      </c>
      <c r="I1010" t="s">
        <v>1526</v>
      </c>
      <c r="J1010" t="s">
        <v>2141</v>
      </c>
      <c r="K1010" s="3">
        <v>46203</v>
      </c>
      <c r="L1010" t="s">
        <v>2148</v>
      </c>
      <c r="M1010">
        <v>4.9000000000000002E-2</v>
      </c>
      <c r="N1010">
        <v>2880</v>
      </c>
      <c r="O1010">
        <f t="shared" si="45"/>
        <v>1.421</v>
      </c>
      <c r="P1010">
        <f t="shared" si="46"/>
        <v>1.0069444444444445E-2</v>
      </c>
      <c r="Q1010" t="str">
        <f t="shared" si="47"/>
        <v>Q26-01</v>
      </c>
    </row>
    <row r="1011" spans="1:17" x14ac:dyDescent="0.25">
      <c r="A1011" t="s">
        <v>61</v>
      </c>
      <c r="B1011" t="s">
        <v>62</v>
      </c>
      <c r="C1011" t="s">
        <v>63</v>
      </c>
      <c r="D1011" t="s">
        <v>73</v>
      </c>
      <c r="E1011" t="s">
        <v>2149</v>
      </c>
      <c r="F1011" s="1">
        <v>13</v>
      </c>
      <c r="G1011" s="1">
        <v>0</v>
      </c>
      <c r="H1011" t="s">
        <v>17</v>
      </c>
      <c r="I1011" t="s">
        <v>66</v>
      </c>
      <c r="J1011" t="s">
        <v>2141</v>
      </c>
      <c r="K1011" s="3">
        <v>46081</v>
      </c>
      <c r="L1011" t="s">
        <v>68</v>
      </c>
      <c r="M1011">
        <v>9.6000000000000002E-2</v>
      </c>
      <c r="N1011">
        <v>1920</v>
      </c>
      <c r="O1011">
        <f t="shared" si="45"/>
        <v>1.248</v>
      </c>
      <c r="P1011">
        <f t="shared" si="46"/>
        <v>6.7708333333333336E-3</v>
      </c>
      <c r="Q1011" t="str">
        <f t="shared" si="47"/>
        <v>Q26-01</v>
      </c>
    </row>
    <row r="1012" spans="1:17" x14ac:dyDescent="0.25">
      <c r="A1012" t="s">
        <v>61</v>
      </c>
      <c r="B1012" t="s">
        <v>233</v>
      </c>
      <c r="C1012" t="s">
        <v>234</v>
      </c>
      <c r="D1012" t="s">
        <v>73</v>
      </c>
      <c r="E1012" t="s">
        <v>2150</v>
      </c>
      <c r="F1012" s="1">
        <v>58</v>
      </c>
      <c r="G1012" s="1">
        <v>0</v>
      </c>
      <c r="H1012" t="s">
        <v>17</v>
      </c>
      <c r="I1012" t="s">
        <v>236</v>
      </c>
      <c r="J1012" t="s">
        <v>2141</v>
      </c>
      <c r="K1012" s="3">
        <v>46053</v>
      </c>
      <c r="L1012" t="s">
        <v>253</v>
      </c>
      <c r="M1012">
        <v>7.4999999999999997E-2</v>
      </c>
      <c r="N1012">
        <v>2688</v>
      </c>
      <c r="O1012">
        <f t="shared" si="45"/>
        <v>4.3499999999999996</v>
      </c>
      <c r="P1012">
        <f t="shared" si="46"/>
        <v>2.1577380952380952E-2</v>
      </c>
      <c r="Q1012" t="str">
        <f t="shared" si="47"/>
        <v>Q26-01</v>
      </c>
    </row>
    <row r="1013" spans="1:17" x14ac:dyDescent="0.25">
      <c r="A1013" t="s">
        <v>61</v>
      </c>
      <c r="B1013" t="s">
        <v>281</v>
      </c>
      <c r="C1013" t="s">
        <v>282</v>
      </c>
      <c r="D1013" t="s">
        <v>73</v>
      </c>
      <c r="E1013" t="s">
        <v>2151</v>
      </c>
      <c r="F1013" s="1">
        <v>5</v>
      </c>
      <c r="G1013" s="1">
        <v>0</v>
      </c>
      <c r="H1013" t="s">
        <v>17</v>
      </c>
      <c r="I1013" t="s">
        <v>284</v>
      </c>
      <c r="J1013" t="s">
        <v>2141</v>
      </c>
      <c r="K1013" s="3">
        <v>46081</v>
      </c>
      <c r="L1013" t="s">
        <v>308</v>
      </c>
      <c r="M1013">
        <v>6.8000000000000005E-2</v>
      </c>
      <c r="N1013">
        <v>2240</v>
      </c>
      <c r="O1013">
        <f t="shared" si="45"/>
        <v>0.34</v>
      </c>
      <c r="P1013">
        <f t="shared" si="46"/>
        <v>2.232142857142857E-3</v>
      </c>
      <c r="Q1013" t="str">
        <f t="shared" si="47"/>
        <v>Q26-01</v>
      </c>
    </row>
    <row r="1014" spans="1:17" x14ac:dyDescent="0.25">
      <c r="A1014" t="s">
        <v>61</v>
      </c>
      <c r="B1014" t="s">
        <v>71</v>
      </c>
      <c r="C1014" t="s">
        <v>72</v>
      </c>
      <c r="D1014" t="s">
        <v>73</v>
      </c>
      <c r="E1014" t="s">
        <v>2152</v>
      </c>
      <c r="F1014" s="1">
        <v>5</v>
      </c>
      <c r="G1014" s="1">
        <v>0</v>
      </c>
      <c r="H1014" t="s">
        <v>17</v>
      </c>
      <c r="I1014" t="s">
        <v>75</v>
      </c>
      <c r="J1014" t="s">
        <v>2141</v>
      </c>
      <c r="K1014" s="3">
        <v>46295</v>
      </c>
      <c r="L1014" t="s">
        <v>1005</v>
      </c>
      <c r="M1014">
        <v>0.3</v>
      </c>
      <c r="N1014">
        <v>1680</v>
      </c>
      <c r="O1014">
        <f t="shared" si="45"/>
        <v>1.5</v>
      </c>
      <c r="P1014">
        <f t="shared" si="46"/>
        <v>2.976190476190476E-3</v>
      </c>
      <c r="Q1014" t="str">
        <f t="shared" si="47"/>
        <v>Q26-01</v>
      </c>
    </row>
    <row r="1015" spans="1:17" x14ac:dyDescent="0.25">
      <c r="A1015" t="s">
        <v>61</v>
      </c>
      <c r="B1015" t="s">
        <v>317</v>
      </c>
      <c r="C1015" t="s">
        <v>318</v>
      </c>
      <c r="D1015" t="s">
        <v>73</v>
      </c>
      <c r="E1015" t="s">
        <v>2153</v>
      </c>
      <c r="F1015" s="1">
        <v>4</v>
      </c>
      <c r="G1015" s="1">
        <v>0</v>
      </c>
      <c r="H1015" t="s">
        <v>17</v>
      </c>
      <c r="I1015" t="s">
        <v>320</v>
      </c>
      <c r="J1015" t="s">
        <v>2141</v>
      </c>
      <c r="K1015" s="3">
        <v>46599</v>
      </c>
      <c r="L1015" t="s">
        <v>1117</v>
      </c>
      <c r="M1015">
        <v>0.04</v>
      </c>
      <c r="N1015">
        <v>2688</v>
      </c>
      <c r="O1015">
        <f t="shared" si="45"/>
        <v>0.16</v>
      </c>
      <c r="P1015">
        <f t="shared" si="46"/>
        <v>1.488095238095238E-3</v>
      </c>
      <c r="Q1015" t="str">
        <f t="shared" si="47"/>
        <v>Q26-01</v>
      </c>
    </row>
    <row r="1016" spans="1:17" x14ac:dyDescent="0.25">
      <c r="A1016" t="s">
        <v>61</v>
      </c>
      <c r="B1016" t="s">
        <v>166</v>
      </c>
      <c r="C1016" t="s">
        <v>167</v>
      </c>
      <c r="D1016" t="s">
        <v>2154</v>
      </c>
      <c r="E1016" t="s">
        <v>2155</v>
      </c>
      <c r="F1016" s="2">
        <v>1360</v>
      </c>
      <c r="G1016" s="1">
        <v>0</v>
      </c>
      <c r="H1016" t="s">
        <v>17</v>
      </c>
      <c r="I1016" t="s">
        <v>170</v>
      </c>
      <c r="J1016" t="s">
        <v>2141</v>
      </c>
      <c r="K1016" s="3">
        <v>46173</v>
      </c>
      <c r="L1016" t="s">
        <v>179</v>
      </c>
      <c r="M1016">
        <v>9.2999999999999999E-2</v>
      </c>
      <c r="N1016">
        <v>1536</v>
      </c>
      <c r="O1016">
        <f t="shared" si="45"/>
        <v>126.48</v>
      </c>
      <c r="P1016">
        <f t="shared" si="46"/>
        <v>0.88541666666666663</v>
      </c>
      <c r="Q1016" t="str">
        <f t="shared" si="47"/>
        <v>Q27-01</v>
      </c>
    </row>
    <row r="1017" spans="1:17" x14ac:dyDescent="0.25">
      <c r="A1017" t="s">
        <v>61</v>
      </c>
      <c r="B1017" t="s">
        <v>364</v>
      </c>
      <c r="C1017" t="s">
        <v>365</v>
      </c>
      <c r="D1017" t="s">
        <v>77</v>
      </c>
      <c r="E1017" t="s">
        <v>2156</v>
      </c>
      <c r="F1017" s="1">
        <v>1</v>
      </c>
      <c r="G1017" s="1">
        <v>0</v>
      </c>
      <c r="H1017" t="s">
        <v>17</v>
      </c>
      <c r="I1017" t="s">
        <v>367</v>
      </c>
      <c r="J1017" t="s">
        <v>2141</v>
      </c>
      <c r="K1017" s="3">
        <v>46326</v>
      </c>
      <c r="L1017" t="s">
        <v>368</v>
      </c>
      <c r="M1017">
        <v>0.158</v>
      </c>
      <c r="N1017">
        <v>1152</v>
      </c>
      <c r="O1017">
        <f t="shared" si="45"/>
        <v>0.158</v>
      </c>
      <c r="P1017">
        <f t="shared" si="46"/>
        <v>8.6805555555555551E-4</v>
      </c>
      <c r="Q1017" t="str">
        <f t="shared" si="47"/>
        <v>Q27-01</v>
      </c>
    </row>
    <row r="1018" spans="1:17" x14ac:dyDescent="0.25">
      <c r="A1018" t="s">
        <v>61</v>
      </c>
      <c r="B1018" t="s">
        <v>364</v>
      </c>
      <c r="C1018" t="s">
        <v>365</v>
      </c>
      <c r="D1018" t="s">
        <v>73</v>
      </c>
      <c r="E1018" t="s">
        <v>2157</v>
      </c>
      <c r="F1018" s="1">
        <v>2</v>
      </c>
      <c r="G1018" s="1">
        <v>0</v>
      </c>
      <c r="H1018" t="s">
        <v>17</v>
      </c>
      <c r="I1018" t="s">
        <v>367</v>
      </c>
      <c r="J1018" t="s">
        <v>2141</v>
      </c>
      <c r="K1018" s="3">
        <v>46356</v>
      </c>
      <c r="L1018" t="s">
        <v>419</v>
      </c>
      <c r="M1018">
        <v>0.158</v>
      </c>
      <c r="N1018">
        <v>1152</v>
      </c>
      <c r="O1018">
        <f t="shared" si="45"/>
        <v>0.316</v>
      </c>
      <c r="P1018">
        <f t="shared" si="46"/>
        <v>1.736111111111111E-3</v>
      </c>
      <c r="Q1018" t="str">
        <f t="shared" si="47"/>
        <v>Q26-01</v>
      </c>
    </row>
    <row r="1019" spans="1:17" x14ac:dyDescent="0.25">
      <c r="A1019" t="s">
        <v>61</v>
      </c>
      <c r="B1019" t="s">
        <v>456</v>
      </c>
      <c r="C1019" t="s">
        <v>457</v>
      </c>
      <c r="D1019" t="s">
        <v>73</v>
      </c>
      <c r="E1019" t="s">
        <v>2158</v>
      </c>
      <c r="F1019" s="1">
        <v>84</v>
      </c>
      <c r="G1019" s="1">
        <v>0</v>
      </c>
      <c r="H1019" t="s">
        <v>17</v>
      </c>
      <c r="I1019" t="s">
        <v>459</v>
      </c>
      <c r="J1019" t="s">
        <v>2141</v>
      </c>
      <c r="K1019" s="3">
        <v>46203</v>
      </c>
      <c r="L1019" t="s">
        <v>584</v>
      </c>
      <c r="M1019">
        <v>0.22600000000000001</v>
      </c>
      <c r="N1019">
        <v>1680</v>
      </c>
      <c r="O1019">
        <f t="shared" si="45"/>
        <v>18.984000000000002</v>
      </c>
      <c r="P1019">
        <f t="shared" si="46"/>
        <v>0.05</v>
      </c>
      <c r="Q1019" t="str">
        <f t="shared" si="47"/>
        <v>Q26-01</v>
      </c>
    </row>
    <row r="1020" spans="1:17" x14ac:dyDescent="0.25">
      <c r="A1020" t="s">
        <v>61</v>
      </c>
      <c r="B1020" t="s">
        <v>233</v>
      </c>
      <c r="C1020" t="s">
        <v>234</v>
      </c>
      <c r="D1020" t="s">
        <v>73</v>
      </c>
      <c r="E1020" t="s">
        <v>2159</v>
      </c>
      <c r="F1020" s="1">
        <v>43</v>
      </c>
      <c r="G1020" s="1">
        <v>0</v>
      </c>
      <c r="H1020" t="s">
        <v>17</v>
      </c>
      <c r="I1020" t="s">
        <v>236</v>
      </c>
      <c r="J1020" t="s">
        <v>2141</v>
      </c>
      <c r="K1020" s="3">
        <v>46053</v>
      </c>
      <c r="L1020" t="s">
        <v>268</v>
      </c>
      <c r="M1020">
        <v>7.4999999999999997E-2</v>
      </c>
      <c r="N1020">
        <v>2688</v>
      </c>
      <c r="O1020">
        <f t="shared" si="45"/>
        <v>3.2250000000000001</v>
      </c>
      <c r="P1020">
        <f t="shared" si="46"/>
        <v>1.5997023809523808E-2</v>
      </c>
      <c r="Q1020" t="str">
        <f t="shared" si="47"/>
        <v>Q26-01</v>
      </c>
    </row>
    <row r="1021" spans="1:17" x14ac:dyDescent="0.25">
      <c r="A1021" t="s">
        <v>61</v>
      </c>
      <c r="B1021" t="s">
        <v>233</v>
      </c>
      <c r="C1021" t="s">
        <v>234</v>
      </c>
      <c r="D1021" t="s">
        <v>73</v>
      </c>
      <c r="E1021" t="s">
        <v>2160</v>
      </c>
      <c r="F1021" s="1">
        <v>54</v>
      </c>
      <c r="G1021" s="1">
        <v>0</v>
      </c>
      <c r="H1021" t="s">
        <v>17</v>
      </c>
      <c r="I1021" t="s">
        <v>236</v>
      </c>
      <c r="J1021" t="s">
        <v>2141</v>
      </c>
      <c r="K1021" s="3">
        <v>46053</v>
      </c>
      <c r="L1021" t="s">
        <v>273</v>
      </c>
      <c r="M1021">
        <v>7.4999999999999997E-2</v>
      </c>
      <c r="N1021">
        <v>2688</v>
      </c>
      <c r="O1021">
        <f t="shared" si="45"/>
        <v>4.05</v>
      </c>
      <c r="P1021">
        <f t="shared" si="46"/>
        <v>2.0089285714285716E-2</v>
      </c>
      <c r="Q1021" t="str">
        <f t="shared" si="47"/>
        <v>Q26-01</v>
      </c>
    </row>
    <row r="1022" spans="1:17" x14ac:dyDescent="0.25">
      <c r="A1022" t="s">
        <v>61</v>
      </c>
      <c r="B1022" t="s">
        <v>420</v>
      </c>
      <c r="C1022" t="s">
        <v>421</v>
      </c>
      <c r="D1022" t="s">
        <v>73</v>
      </c>
      <c r="E1022" t="s">
        <v>2161</v>
      </c>
      <c r="F1022" s="1">
        <v>16</v>
      </c>
      <c r="G1022" s="1">
        <v>0</v>
      </c>
      <c r="H1022" t="s">
        <v>17</v>
      </c>
      <c r="I1022" t="s">
        <v>423</v>
      </c>
      <c r="J1022" t="s">
        <v>2141</v>
      </c>
      <c r="K1022" s="3">
        <v>46356</v>
      </c>
      <c r="L1022" t="s">
        <v>424</v>
      </c>
      <c r="M1022">
        <v>0.156</v>
      </c>
      <c r="N1022">
        <v>1152</v>
      </c>
      <c r="O1022">
        <f t="shared" si="45"/>
        <v>2.496</v>
      </c>
      <c r="P1022">
        <f t="shared" si="46"/>
        <v>1.3888888888888888E-2</v>
      </c>
      <c r="Q1022" t="str">
        <f t="shared" si="47"/>
        <v>Q26-01</v>
      </c>
    </row>
    <row r="1023" spans="1:17" x14ac:dyDescent="0.25">
      <c r="A1023" t="s">
        <v>61</v>
      </c>
      <c r="B1023" t="s">
        <v>225</v>
      </c>
      <c r="C1023" t="s">
        <v>226</v>
      </c>
      <c r="D1023" t="s">
        <v>73</v>
      </c>
      <c r="E1023" t="s">
        <v>2162</v>
      </c>
      <c r="F1023" s="1">
        <v>47</v>
      </c>
      <c r="G1023" s="1">
        <v>0</v>
      </c>
      <c r="H1023" t="s">
        <v>17</v>
      </c>
      <c r="I1023" t="s">
        <v>228</v>
      </c>
      <c r="J1023" t="s">
        <v>2141</v>
      </c>
      <c r="K1023" s="3">
        <v>46234</v>
      </c>
      <c r="L1023" t="s">
        <v>232</v>
      </c>
      <c r="M1023">
        <v>5.8000000000000003E-2</v>
      </c>
      <c r="N1023">
        <v>2880</v>
      </c>
      <c r="O1023">
        <f t="shared" si="45"/>
        <v>2.726</v>
      </c>
      <c r="P1023">
        <f t="shared" si="46"/>
        <v>1.6319444444444445E-2</v>
      </c>
      <c r="Q1023" t="str">
        <f t="shared" si="47"/>
        <v>Q26-01</v>
      </c>
    </row>
    <row r="1024" spans="1:17" x14ac:dyDescent="0.25">
      <c r="A1024" t="s">
        <v>61</v>
      </c>
      <c r="B1024" t="s">
        <v>352</v>
      </c>
      <c r="C1024" t="s">
        <v>353</v>
      </c>
      <c r="D1024" t="s">
        <v>73</v>
      </c>
      <c r="E1024" t="s">
        <v>2163</v>
      </c>
      <c r="F1024" s="1">
        <v>6</v>
      </c>
      <c r="G1024" s="1">
        <v>0</v>
      </c>
      <c r="H1024" t="s">
        <v>17</v>
      </c>
      <c r="I1024" t="s">
        <v>355</v>
      </c>
      <c r="J1024" t="s">
        <v>2141</v>
      </c>
      <c r="K1024" s="3">
        <v>46234</v>
      </c>
      <c r="L1024" t="s">
        <v>357</v>
      </c>
      <c r="M1024">
        <v>5.0999999999999997E-2</v>
      </c>
      <c r="N1024">
        <v>2880</v>
      </c>
      <c r="O1024">
        <f t="shared" si="45"/>
        <v>0.30599999999999999</v>
      </c>
      <c r="P1024">
        <f t="shared" si="46"/>
        <v>2.0833333333333333E-3</v>
      </c>
      <c r="Q1024" t="str">
        <f t="shared" si="47"/>
        <v>Q26-01</v>
      </c>
    </row>
    <row r="1025" spans="1:17" x14ac:dyDescent="0.25">
      <c r="A1025" t="s">
        <v>61</v>
      </c>
      <c r="B1025" t="s">
        <v>233</v>
      </c>
      <c r="C1025" t="s">
        <v>234</v>
      </c>
      <c r="D1025" t="s">
        <v>73</v>
      </c>
      <c r="E1025" t="s">
        <v>2164</v>
      </c>
      <c r="F1025" s="1">
        <v>78</v>
      </c>
      <c r="G1025" s="1">
        <v>0</v>
      </c>
      <c r="H1025" t="s">
        <v>17</v>
      </c>
      <c r="I1025" t="s">
        <v>236</v>
      </c>
      <c r="J1025" t="s">
        <v>2141</v>
      </c>
      <c r="K1025" s="3">
        <v>46053</v>
      </c>
      <c r="L1025" t="s">
        <v>264</v>
      </c>
      <c r="M1025">
        <v>7.4999999999999997E-2</v>
      </c>
      <c r="N1025">
        <v>2688</v>
      </c>
      <c r="O1025">
        <f t="shared" si="45"/>
        <v>5.85</v>
      </c>
      <c r="P1025">
        <f t="shared" si="46"/>
        <v>2.9017857142857144E-2</v>
      </c>
      <c r="Q1025" t="str">
        <f t="shared" si="47"/>
        <v>Q26-01</v>
      </c>
    </row>
    <row r="1026" spans="1:17" x14ac:dyDescent="0.25">
      <c r="A1026" t="s">
        <v>61</v>
      </c>
      <c r="B1026" t="s">
        <v>166</v>
      </c>
      <c r="C1026" t="s">
        <v>167</v>
      </c>
      <c r="D1026" t="s">
        <v>73</v>
      </c>
      <c r="E1026" t="s">
        <v>2165</v>
      </c>
      <c r="F1026" s="1">
        <v>52</v>
      </c>
      <c r="G1026" s="1">
        <v>0</v>
      </c>
      <c r="H1026" t="s">
        <v>17</v>
      </c>
      <c r="I1026" t="s">
        <v>170</v>
      </c>
      <c r="J1026" t="s">
        <v>2141</v>
      </c>
      <c r="K1026" s="3">
        <v>46053</v>
      </c>
      <c r="L1026" t="s">
        <v>206</v>
      </c>
      <c r="M1026">
        <v>9.2999999999999999E-2</v>
      </c>
      <c r="N1026">
        <v>1536</v>
      </c>
      <c r="O1026">
        <f t="shared" si="45"/>
        <v>4.8360000000000003</v>
      </c>
      <c r="P1026">
        <f t="shared" si="46"/>
        <v>3.3854166666666664E-2</v>
      </c>
      <c r="Q1026" t="str">
        <f t="shared" si="47"/>
        <v>Q26-01</v>
      </c>
    </row>
    <row r="1027" spans="1:17" x14ac:dyDescent="0.25">
      <c r="A1027" t="s">
        <v>61</v>
      </c>
      <c r="B1027" t="s">
        <v>317</v>
      </c>
      <c r="C1027" t="s">
        <v>318</v>
      </c>
      <c r="D1027" t="s">
        <v>73</v>
      </c>
      <c r="E1027" t="s">
        <v>2166</v>
      </c>
      <c r="F1027" s="1">
        <v>6</v>
      </c>
      <c r="G1027" s="1">
        <v>0</v>
      </c>
      <c r="H1027" t="s">
        <v>17</v>
      </c>
      <c r="I1027" t="s">
        <v>320</v>
      </c>
      <c r="J1027" t="s">
        <v>2141</v>
      </c>
      <c r="K1027" s="3">
        <v>46265</v>
      </c>
      <c r="L1027" t="s">
        <v>338</v>
      </c>
      <c r="M1027">
        <v>0.04</v>
      </c>
      <c r="N1027">
        <v>2688</v>
      </c>
      <c r="O1027">
        <f t="shared" ref="O1027:O1090" si="48">F1027*M1027</f>
        <v>0.24</v>
      </c>
      <c r="P1027">
        <f t="shared" ref="P1027:P1090" si="49">F1027/N1027</f>
        <v>2.232142857142857E-3</v>
      </c>
      <c r="Q1027" t="str">
        <f t="shared" ref="Q1027:Q1090" si="50">LEFT(D1027,6)</f>
        <v>Q26-01</v>
      </c>
    </row>
    <row r="1028" spans="1:17" x14ac:dyDescent="0.25">
      <c r="A1028" t="s">
        <v>61</v>
      </c>
      <c r="B1028" t="s">
        <v>796</v>
      </c>
      <c r="C1028" t="s">
        <v>797</v>
      </c>
      <c r="D1028" t="s">
        <v>73</v>
      </c>
      <c r="E1028" t="s">
        <v>2167</v>
      </c>
      <c r="F1028" s="1">
        <v>417</v>
      </c>
      <c r="G1028" s="1">
        <v>0</v>
      </c>
      <c r="H1028" t="s">
        <v>17</v>
      </c>
      <c r="I1028" t="s">
        <v>799</v>
      </c>
      <c r="J1028" t="s">
        <v>2141</v>
      </c>
      <c r="K1028" s="3">
        <v>46203</v>
      </c>
      <c r="L1028" t="s">
        <v>800</v>
      </c>
      <c r="M1028">
        <v>0.10199999999999999</v>
      </c>
      <c r="N1028">
        <v>2880</v>
      </c>
      <c r="O1028">
        <f t="shared" si="48"/>
        <v>42.533999999999999</v>
      </c>
      <c r="P1028">
        <f t="shared" si="49"/>
        <v>0.14479166666666668</v>
      </c>
      <c r="Q1028" t="str">
        <f t="shared" si="50"/>
        <v>Q26-01</v>
      </c>
    </row>
    <row r="1029" spans="1:17" x14ac:dyDescent="0.25">
      <c r="A1029" t="s">
        <v>12</v>
      </c>
      <c r="B1029" t="s">
        <v>2168</v>
      </c>
      <c r="C1029" t="s">
        <v>2169</v>
      </c>
      <c r="D1029" t="s">
        <v>121</v>
      </c>
      <c r="E1029" t="s">
        <v>2170</v>
      </c>
      <c r="F1029" s="2">
        <v>1240</v>
      </c>
      <c r="G1029" s="1">
        <v>0</v>
      </c>
      <c r="H1029" t="s">
        <v>17</v>
      </c>
      <c r="I1029" t="s">
        <v>84</v>
      </c>
      <c r="J1029" t="s">
        <v>90</v>
      </c>
      <c r="K1029" s="3">
        <v>46677</v>
      </c>
      <c r="L1029" t="s">
        <v>123</v>
      </c>
      <c r="M1029">
        <v>0</v>
      </c>
      <c r="N1029">
        <v>0</v>
      </c>
      <c r="O1029">
        <f t="shared" si="48"/>
        <v>0</v>
      </c>
      <c r="Q1029" t="str">
        <f t="shared" si="50"/>
        <v>Q27-01</v>
      </c>
    </row>
    <row r="1030" spans="1:17" x14ac:dyDescent="0.25">
      <c r="A1030" t="s">
        <v>12</v>
      </c>
      <c r="B1030" t="s">
        <v>1330</v>
      </c>
      <c r="C1030" t="s">
        <v>1331</v>
      </c>
      <c r="D1030" t="s">
        <v>1332</v>
      </c>
      <c r="E1030" t="s">
        <v>2171</v>
      </c>
      <c r="F1030" s="1">
        <v>10</v>
      </c>
      <c r="G1030" s="1">
        <v>0</v>
      </c>
      <c r="H1030" t="s">
        <v>17</v>
      </c>
      <c r="I1030" t="s">
        <v>1334</v>
      </c>
      <c r="J1030" t="s">
        <v>2172</v>
      </c>
      <c r="K1030" s="3">
        <v>46123</v>
      </c>
      <c r="L1030" t="s">
        <v>2173</v>
      </c>
      <c r="M1030">
        <v>0.04</v>
      </c>
      <c r="N1030">
        <v>9000</v>
      </c>
      <c r="O1030">
        <f t="shared" si="48"/>
        <v>0.4</v>
      </c>
      <c r="P1030">
        <f t="shared" si="49"/>
        <v>1.1111111111111111E-3</v>
      </c>
      <c r="Q1030" t="str">
        <f t="shared" si="50"/>
        <v>Q26-01</v>
      </c>
    </row>
    <row r="1031" spans="1:17" x14ac:dyDescent="0.25">
      <c r="A1031" t="s">
        <v>61</v>
      </c>
      <c r="B1031" t="s">
        <v>891</v>
      </c>
      <c r="C1031" t="s">
        <v>892</v>
      </c>
      <c r="D1031" t="s">
        <v>2031</v>
      </c>
      <c r="E1031" t="s">
        <v>2174</v>
      </c>
      <c r="F1031" s="1">
        <v>3</v>
      </c>
      <c r="G1031" s="1">
        <v>0</v>
      </c>
      <c r="H1031" t="s">
        <v>17</v>
      </c>
      <c r="I1031" t="s">
        <v>894</v>
      </c>
      <c r="J1031" t="s">
        <v>2175</v>
      </c>
      <c r="K1031" s="3">
        <v>46568</v>
      </c>
      <c r="L1031" t="s">
        <v>2176</v>
      </c>
      <c r="M1031">
        <v>0.312</v>
      </c>
      <c r="N1031">
        <v>1680</v>
      </c>
      <c r="O1031">
        <f t="shared" si="48"/>
        <v>0.93599999999999994</v>
      </c>
      <c r="P1031">
        <f t="shared" si="49"/>
        <v>1.7857142857142857E-3</v>
      </c>
      <c r="Q1031" t="str">
        <f t="shared" si="50"/>
        <v>Q27-03</v>
      </c>
    </row>
    <row r="1032" spans="1:17" x14ac:dyDescent="0.25">
      <c r="A1032" t="s">
        <v>61</v>
      </c>
      <c r="B1032" t="s">
        <v>233</v>
      </c>
      <c r="C1032" t="s">
        <v>234</v>
      </c>
      <c r="D1032" t="s">
        <v>2031</v>
      </c>
      <c r="E1032" t="s">
        <v>2177</v>
      </c>
      <c r="F1032" s="1">
        <v>1</v>
      </c>
      <c r="G1032" s="1">
        <v>0</v>
      </c>
      <c r="H1032" t="s">
        <v>17</v>
      </c>
      <c r="I1032" t="s">
        <v>236</v>
      </c>
      <c r="J1032" t="s">
        <v>2175</v>
      </c>
      <c r="K1032" s="3">
        <v>47269</v>
      </c>
      <c r="L1032" t="s">
        <v>2178</v>
      </c>
      <c r="M1032">
        <v>7.4999999999999997E-2</v>
      </c>
      <c r="N1032">
        <v>2688</v>
      </c>
      <c r="O1032">
        <f t="shared" si="48"/>
        <v>7.4999999999999997E-2</v>
      </c>
      <c r="P1032">
        <f t="shared" si="49"/>
        <v>3.720238095238095E-4</v>
      </c>
      <c r="Q1032" t="str">
        <f t="shared" si="50"/>
        <v>Q27-03</v>
      </c>
    </row>
    <row r="1033" spans="1:17" x14ac:dyDescent="0.25">
      <c r="A1033" t="s">
        <v>61</v>
      </c>
      <c r="B1033" t="s">
        <v>233</v>
      </c>
      <c r="C1033" t="s">
        <v>234</v>
      </c>
      <c r="D1033" t="s">
        <v>2031</v>
      </c>
      <c r="E1033" t="s">
        <v>2179</v>
      </c>
      <c r="F1033" s="1">
        <v>1</v>
      </c>
      <c r="G1033" s="1">
        <v>0</v>
      </c>
      <c r="H1033" t="s">
        <v>17</v>
      </c>
      <c r="I1033" t="s">
        <v>236</v>
      </c>
      <c r="J1033" t="s">
        <v>2175</v>
      </c>
      <c r="K1033" s="3">
        <v>47269</v>
      </c>
      <c r="L1033" t="s">
        <v>2180</v>
      </c>
      <c r="M1033">
        <v>7.4999999999999997E-2</v>
      </c>
      <c r="N1033">
        <v>2688</v>
      </c>
      <c r="O1033">
        <f t="shared" si="48"/>
        <v>7.4999999999999997E-2</v>
      </c>
      <c r="P1033">
        <f t="shared" si="49"/>
        <v>3.720238095238095E-4</v>
      </c>
      <c r="Q1033" t="str">
        <f t="shared" si="50"/>
        <v>Q27-03</v>
      </c>
    </row>
    <row r="1034" spans="1:17" x14ac:dyDescent="0.25">
      <c r="A1034" t="s">
        <v>12</v>
      </c>
      <c r="B1034" t="s">
        <v>1997</v>
      </c>
      <c r="C1034" t="s">
        <v>1998</v>
      </c>
      <c r="D1034" t="s">
        <v>44</v>
      </c>
      <c r="E1034" t="s">
        <v>2181</v>
      </c>
      <c r="F1034" s="1">
        <v>1</v>
      </c>
      <c r="G1034" s="1">
        <v>0</v>
      </c>
      <c r="H1034" t="s">
        <v>17</v>
      </c>
      <c r="I1034" t="s">
        <v>2000</v>
      </c>
      <c r="J1034" t="s">
        <v>2182</v>
      </c>
      <c r="K1034" s="3">
        <v>46677</v>
      </c>
      <c r="L1034" t="s">
        <v>2183</v>
      </c>
      <c r="M1034">
        <v>0.33600000000000002</v>
      </c>
      <c r="N1034">
        <v>720</v>
      </c>
      <c r="O1034">
        <f t="shared" si="48"/>
        <v>0.33600000000000002</v>
      </c>
      <c r="P1034">
        <f t="shared" si="49"/>
        <v>1.3888888888888889E-3</v>
      </c>
      <c r="Q1034" t="str">
        <f t="shared" si="50"/>
        <v>Q26-01</v>
      </c>
    </row>
    <row r="1035" spans="1:17" x14ac:dyDescent="0.25">
      <c r="A1035" t="s">
        <v>12</v>
      </c>
      <c r="B1035" t="s">
        <v>1192</v>
      </c>
      <c r="C1035" t="s">
        <v>1193</v>
      </c>
      <c r="D1035" t="s">
        <v>44</v>
      </c>
      <c r="E1035" t="s">
        <v>2184</v>
      </c>
      <c r="F1035" s="1">
        <v>1</v>
      </c>
      <c r="G1035" s="1">
        <v>0</v>
      </c>
      <c r="H1035" t="s">
        <v>17</v>
      </c>
      <c r="I1035" t="s">
        <v>1195</v>
      </c>
      <c r="J1035" t="s">
        <v>2182</v>
      </c>
      <c r="K1035" s="3">
        <v>46657</v>
      </c>
      <c r="L1035" t="s">
        <v>2185</v>
      </c>
      <c r="M1035">
        <v>0.25700000000000001</v>
      </c>
      <c r="N1035">
        <v>1080</v>
      </c>
      <c r="O1035">
        <f t="shared" si="48"/>
        <v>0.25700000000000001</v>
      </c>
      <c r="P1035">
        <f t="shared" si="49"/>
        <v>9.2592592592592596E-4</v>
      </c>
      <c r="Q1035" t="str">
        <f t="shared" si="50"/>
        <v>Q26-01</v>
      </c>
    </row>
    <row r="1036" spans="1:17" x14ac:dyDescent="0.25">
      <c r="A1036" t="s">
        <v>61</v>
      </c>
      <c r="B1036" t="s">
        <v>456</v>
      </c>
      <c r="C1036" t="s">
        <v>457</v>
      </c>
      <c r="D1036" t="s">
        <v>240</v>
      </c>
      <c r="E1036" t="s">
        <v>2186</v>
      </c>
      <c r="F1036" s="1">
        <v>55</v>
      </c>
      <c r="G1036" s="1">
        <v>0</v>
      </c>
      <c r="H1036" t="s">
        <v>17</v>
      </c>
      <c r="I1036" t="s">
        <v>459</v>
      </c>
      <c r="J1036" t="s">
        <v>2187</v>
      </c>
      <c r="K1036" s="3">
        <v>46142</v>
      </c>
      <c r="L1036" t="s">
        <v>616</v>
      </c>
      <c r="M1036">
        <v>0.22600000000000001</v>
      </c>
      <c r="N1036">
        <v>1680</v>
      </c>
      <c r="O1036">
        <f t="shared" si="48"/>
        <v>12.43</v>
      </c>
      <c r="P1036">
        <f t="shared" si="49"/>
        <v>3.273809523809524E-2</v>
      </c>
      <c r="Q1036" t="str">
        <f t="shared" si="50"/>
        <v>Q27-03</v>
      </c>
    </row>
    <row r="1037" spans="1:17" x14ac:dyDescent="0.25">
      <c r="A1037" t="s">
        <v>61</v>
      </c>
      <c r="B1037" t="s">
        <v>71</v>
      </c>
      <c r="C1037" t="s">
        <v>72</v>
      </c>
      <c r="D1037" t="s">
        <v>240</v>
      </c>
      <c r="E1037" t="s">
        <v>2188</v>
      </c>
      <c r="F1037" s="1">
        <v>118</v>
      </c>
      <c r="G1037" s="1">
        <v>0</v>
      </c>
      <c r="H1037" t="s">
        <v>17</v>
      </c>
      <c r="I1037" t="s">
        <v>75</v>
      </c>
      <c r="J1037" t="s">
        <v>2187</v>
      </c>
      <c r="K1037" s="3">
        <v>46142</v>
      </c>
      <c r="L1037" t="s">
        <v>534</v>
      </c>
      <c r="M1037">
        <v>0.3</v>
      </c>
      <c r="N1037">
        <v>1680</v>
      </c>
      <c r="O1037">
        <f t="shared" si="48"/>
        <v>35.4</v>
      </c>
      <c r="P1037">
        <f t="shared" si="49"/>
        <v>7.0238095238095238E-2</v>
      </c>
      <c r="Q1037" t="str">
        <f t="shared" si="50"/>
        <v>Q27-03</v>
      </c>
    </row>
    <row r="1038" spans="1:17" x14ac:dyDescent="0.25">
      <c r="A1038" t="s">
        <v>61</v>
      </c>
      <c r="B1038" t="s">
        <v>1523</v>
      </c>
      <c r="C1038" t="s">
        <v>1524</v>
      </c>
      <c r="D1038" t="s">
        <v>240</v>
      </c>
      <c r="E1038" t="s">
        <v>2189</v>
      </c>
      <c r="F1038" s="1">
        <v>382</v>
      </c>
      <c r="G1038" s="1">
        <v>0</v>
      </c>
      <c r="H1038" t="s">
        <v>17</v>
      </c>
      <c r="I1038" t="s">
        <v>1526</v>
      </c>
      <c r="J1038" t="s">
        <v>2187</v>
      </c>
      <c r="K1038" s="3">
        <v>46142</v>
      </c>
      <c r="L1038" t="s">
        <v>1527</v>
      </c>
      <c r="M1038">
        <v>4.9000000000000002E-2</v>
      </c>
      <c r="N1038">
        <v>2880</v>
      </c>
      <c r="O1038">
        <f t="shared" si="48"/>
        <v>18.718</v>
      </c>
      <c r="P1038">
        <f t="shared" si="49"/>
        <v>0.13263888888888889</v>
      </c>
      <c r="Q1038" t="str">
        <f t="shared" si="50"/>
        <v>Q27-03</v>
      </c>
    </row>
    <row r="1039" spans="1:17" x14ac:dyDescent="0.25">
      <c r="A1039" t="s">
        <v>61</v>
      </c>
      <c r="B1039" t="s">
        <v>71</v>
      </c>
      <c r="C1039" t="s">
        <v>72</v>
      </c>
      <c r="D1039" t="s">
        <v>64</v>
      </c>
      <c r="E1039" t="s">
        <v>2190</v>
      </c>
      <c r="F1039" s="1">
        <v>4</v>
      </c>
      <c r="G1039" s="1">
        <v>0</v>
      </c>
      <c r="H1039" t="s">
        <v>17</v>
      </c>
      <c r="I1039" t="s">
        <v>75</v>
      </c>
      <c r="J1039" t="s">
        <v>2187</v>
      </c>
      <c r="K1039" s="3">
        <v>46081</v>
      </c>
      <c r="L1039" t="s">
        <v>76</v>
      </c>
      <c r="M1039">
        <v>0.3</v>
      </c>
      <c r="N1039">
        <v>1680</v>
      </c>
      <c r="O1039">
        <f t="shared" si="48"/>
        <v>1.2</v>
      </c>
      <c r="P1039">
        <f t="shared" si="49"/>
        <v>2.3809523809523812E-3</v>
      </c>
      <c r="Q1039" t="str">
        <f t="shared" si="50"/>
        <v>Q27-01</v>
      </c>
    </row>
    <row r="1040" spans="1:17" x14ac:dyDescent="0.25">
      <c r="A1040" t="s">
        <v>61</v>
      </c>
      <c r="B1040" t="s">
        <v>891</v>
      </c>
      <c r="C1040" t="s">
        <v>892</v>
      </c>
      <c r="D1040" t="s">
        <v>69</v>
      </c>
      <c r="E1040" t="s">
        <v>2191</v>
      </c>
      <c r="F1040" s="1">
        <v>8</v>
      </c>
      <c r="G1040" s="1">
        <v>0</v>
      </c>
      <c r="H1040" t="s">
        <v>17</v>
      </c>
      <c r="I1040" t="s">
        <v>894</v>
      </c>
      <c r="J1040" t="s">
        <v>2187</v>
      </c>
      <c r="K1040" s="3">
        <v>46112</v>
      </c>
      <c r="L1040" t="s">
        <v>1601</v>
      </c>
      <c r="M1040">
        <v>0.312</v>
      </c>
      <c r="N1040">
        <v>1680</v>
      </c>
      <c r="O1040">
        <f t="shared" si="48"/>
        <v>2.496</v>
      </c>
      <c r="P1040">
        <f t="shared" si="49"/>
        <v>4.7619047619047623E-3</v>
      </c>
      <c r="Q1040" t="str">
        <f t="shared" si="50"/>
        <v>Q27-01</v>
      </c>
    </row>
    <row r="1041" spans="1:17" x14ac:dyDescent="0.25">
      <c r="A1041" t="s">
        <v>61</v>
      </c>
      <c r="B1041" t="s">
        <v>71</v>
      </c>
      <c r="C1041" t="s">
        <v>72</v>
      </c>
      <c r="D1041" t="s">
        <v>240</v>
      </c>
      <c r="E1041" t="s">
        <v>2192</v>
      </c>
      <c r="F1041" s="1">
        <v>22</v>
      </c>
      <c r="G1041" s="1">
        <v>0</v>
      </c>
      <c r="H1041" t="s">
        <v>17</v>
      </c>
      <c r="I1041" t="s">
        <v>75</v>
      </c>
      <c r="J1041" t="s">
        <v>2187</v>
      </c>
      <c r="K1041" s="3">
        <v>46142</v>
      </c>
      <c r="L1041" t="s">
        <v>561</v>
      </c>
      <c r="M1041">
        <v>0.3</v>
      </c>
      <c r="N1041">
        <v>1680</v>
      </c>
      <c r="O1041">
        <f t="shared" si="48"/>
        <v>6.6</v>
      </c>
      <c r="P1041">
        <f t="shared" si="49"/>
        <v>1.3095238095238096E-2</v>
      </c>
      <c r="Q1041" t="str">
        <f t="shared" si="50"/>
        <v>Q27-03</v>
      </c>
    </row>
    <row r="1042" spans="1:17" x14ac:dyDescent="0.25">
      <c r="A1042" t="s">
        <v>61</v>
      </c>
      <c r="B1042" t="s">
        <v>233</v>
      </c>
      <c r="C1042" t="s">
        <v>234</v>
      </c>
      <c r="D1042" t="s">
        <v>240</v>
      </c>
      <c r="E1042" t="s">
        <v>2193</v>
      </c>
      <c r="F1042" s="1">
        <v>75</v>
      </c>
      <c r="G1042" s="1">
        <v>0</v>
      </c>
      <c r="H1042" t="s">
        <v>17</v>
      </c>
      <c r="I1042" t="s">
        <v>236</v>
      </c>
      <c r="J1042" t="s">
        <v>2187</v>
      </c>
      <c r="K1042" s="3">
        <v>46142</v>
      </c>
      <c r="L1042" t="s">
        <v>250</v>
      </c>
      <c r="M1042">
        <v>7.4999999999999997E-2</v>
      </c>
      <c r="N1042">
        <v>2688</v>
      </c>
      <c r="O1042">
        <f t="shared" si="48"/>
        <v>5.625</v>
      </c>
      <c r="P1042">
        <f t="shared" si="49"/>
        <v>2.7901785714285716E-2</v>
      </c>
      <c r="Q1042" t="str">
        <f t="shared" si="50"/>
        <v>Q27-03</v>
      </c>
    </row>
    <row r="1043" spans="1:17" x14ac:dyDescent="0.25">
      <c r="A1043" t="s">
        <v>61</v>
      </c>
      <c r="B1043" t="s">
        <v>233</v>
      </c>
      <c r="C1043" t="s">
        <v>234</v>
      </c>
      <c r="D1043" t="s">
        <v>69</v>
      </c>
      <c r="E1043" t="s">
        <v>2194</v>
      </c>
      <c r="F1043" s="1">
        <v>7</v>
      </c>
      <c r="G1043" s="1">
        <v>0</v>
      </c>
      <c r="H1043" t="s">
        <v>17</v>
      </c>
      <c r="I1043" t="s">
        <v>236</v>
      </c>
      <c r="J1043" t="s">
        <v>2187</v>
      </c>
      <c r="K1043" s="3">
        <v>46053</v>
      </c>
      <c r="L1043" t="s">
        <v>273</v>
      </c>
      <c r="M1043">
        <v>7.4999999999999997E-2</v>
      </c>
      <c r="N1043">
        <v>2688</v>
      </c>
      <c r="O1043">
        <f t="shared" si="48"/>
        <v>0.52500000000000002</v>
      </c>
      <c r="P1043">
        <f t="shared" si="49"/>
        <v>2.6041666666666665E-3</v>
      </c>
      <c r="Q1043" t="str">
        <f t="shared" si="50"/>
        <v>Q27-01</v>
      </c>
    </row>
    <row r="1044" spans="1:17" x14ac:dyDescent="0.25">
      <c r="A1044" t="s">
        <v>61</v>
      </c>
      <c r="B1044" t="s">
        <v>456</v>
      </c>
      <c r="C1044" t="s">
        <v>457</v>
      </c>
      <c r="D1044" t="s">
        <v>240</v>
      </c>
      <c r="E1044" t="s">
        <v>2195</v>
      </c>
      <c r="F1044" s="1">
        <v>6</v>
      </c>
      <c r="G1044" s="1">
        <v>0</v>
      </c>
      <c r="H1044" t="s">
        <v>17</v>
      </c>
      <c r="I1044" t="s">
        <v>459</v>
      </c>
      <c r="J1044" t="s">
        <v>2187</v>
      </c>
      <c r="K1044" s="3">
        <v>46142</v>
      </c>
      <c r="L1044" t="s">
        <v>510</v>
      </c>
      <c r="M1044">
        <v>0.22600000000000001</v>
      </c>
      <c r="N1044">
        <v>1680</v>
      </c>
      <c r="O1044">
        <f t="shared" si="48"/>
        <v>1.3560000000000001</v>
      </c>
      <c r="P1044">
        <f t="shared" si="49"/>
        <v>3.5714285714285713E-3</v>
      </c>
      <c r="Q1044" t="str">
        <f t="shared" si="50"/>
        <v>Q27-03</v>
      </c>
    </row>
    <row r="1045" spans="1:17" x14ac:dyDescent="0.25">
      <c r="A1045" t="s">
        <v>61</v>
      </c>
      <c r="B1045" t="s">
        <v>71</v>
      </c>
      <c r="C1045" t="s">
        <v>72</v>
      </c>
      <c r="D1045" t="s">
        <v>69</v>
      </c>
      <c r="E1045" t="s">
        <v>2196</v>
      </c>
      <c r="F1045" s="1">
        <v>5</v>
      </c>
      <c r="G1045" s="1">
        <v>0</v>
      </c>
      <c r="H1045" t="s">
        <v>17</v>
      </c>
      <c r="I1045" t="s">
        <v>75</v>
      </c>
      <c r="J1045" t="s">
        <v>2187</v>
      </c>
      <c r="K1045" s="3">
        <v>46112</v>
      </c>
      <c r="L1045" t="s">
        <v>566</v>
      </c>
      <c r="M1045">
        <v>0.3</v>
      </c>
      <c r="N1045">
        <v>1680</v>
      </c>
      <c r="O1045">
        <f t="shared" si="48"/>
        <v>1.5</v>
      </c>
      <c r="P1045">
        <f t="shared" si="49"/>
        <v>2.976190476190476E-3</v>
      </c>
      <c r="Q1045" t="str">
        <f t="shared" si="50"/>
        <v>Q27-01</v>
      </c>
    </row>
    <row r="1046" spans="1:17" x14ac:dyDescent="0.25">
      <c r="A1046" t="s">
        <v>61</v>
      </c>
      <c r="B1046" t="s">
        <v>219</v>
      </c>
      <c r="C1046" t="s">
        <v>220</v>
      </c>
      <c r="D1046" t="s">
        <v>69</v>
      </c>
      <c r="E1046" t="s">
        <v>2197</v>
      </c>
      <c r="F1046" s="1">
        <v>3</v>
      </c>
      <c r="G1046" s="1">
        <v>0</v>
      </c>
      <c r="H1046" t="s">
        <v>17</v>
      </c>
      <c r="I1046" t="s">
        <v>222</v>
      </c>
      <c r="J1046" t="s">
        <v>2187</v>
      </c>
      <c r="K1046" s="3">
        <v>46081</v>
      </c>
      <c r="L1046" t="s">
        <v>224</v>
      </c>
      <c r="M1046">
        <v>0.3</v>
      </c>
      <c r="N1046">
        <v>1680</v>
      </c>
      <c r="O1046">
        <f t="shared" si="48"/>
        <v>0.89999999999999991</v>
      </c>
      <c r="P1046">
        <f t="shared" si="49"/>
        <v>1.7857142857142857E-3</v>
      </c>
      <c r="Q1046" t="str">
        <f t="shared" si="50"/>
        <v>Q27-01</v>
      </c>
    </row>
    <row r="1047" spans="1:17" x14ac:dyDescent="0.25">
      <c r="A1047" t="s">
        <v>61</v>
      </c>
      <c r="B1047" t="s">
        <v>233</v>
      </c>
      <c r="C1047" t="s">
        <v>234</v>
      </c>
      <c r="D1047" t="s">
        <v>69</v>
      </c>
      <c r="E1047" t="s">
        <v>2198</v>
      </c>
      <c r="F1047" s="1">
        <v>2</v>
      </c>
      <c r="G1047" s="1">
        <v>0</v>
      </c>
      <c r="H1047" t="s">
        <v>17</v>
      </c>
      <c r="I1047" t="s">
        <v>236</v>
      </c>
      <c r="J1047" t="s">
        <v>2187</v>
      </c>
      <c r="K1047" s="3">
        <v>46053</v>
      </c>
      <c r="L1047" t="s">
        <v>271</v>
      </c>
      <c r="M1047">
        <v>7.4999999999999997E-2</v>
      </c>
      <c r="N1047">
        <v>2688</v>
      </c>
      <c r="O1047">
        <f t="shared" si="48"/>
        <v>0.15</v>
      </c>
      <c r="P1047">
        <f t="shared" si="49"/>
        <v>7.4404761904761901E-4</v>
      </c>
      <c r="Q1047" t="str">
        <f t="shared" si="50"/>
        <v>Q27-01</v>
      </c>
    </row>
    <row r="1048" spans="1:17" x14ac:dyDescent="0.25">
      <c r="A1048" t="s">
        <v>61</v>
      </c>
      <c r="B1048" t="s">
        <v>233</v>
      </c>
      <c r="C1048" t="s">
        <v>234</v>
      </c>
      <c r="D1048" t="s">
        <v>69</v>
      </c>
      <c r="E1048" t="s">
        <v>2199</v>
      </c>
      <c r="F1048" s="1">
        <v>4</v>
      </c>
      <c r="G1048" s="1">
        <v>0</v>
      </c>
      <c r="H1048" t="s">
        <v>17</v>
      </c>
      <c r="I1048" t="s">
        <v>236</v>
      </c>
      <c r="J1048" t="s">
        <v>2187</v>
      </c>
      <c r="K1048" s="3">
        <v>46053</v>
      </c>
      <c r="L1048" t="s">
        <v>253</v>
      </c>
      <c r="M1048">
        <v>7.4999999999999997E-2</v>
      </c>
      <c r="N1048">
        <v>2688</v>
      </c>
      <c r="O1048">
        <f t="shared" si="48"/>
        <v>0.3</v>
      </c>
      <c r="P1048">
        <f t="shared" si="49"/>
        <v>1.488095238095238E-3</v>
      </c>
      <c r="Q1048" t="str">
        <f t="shared" si="50"/>
        <v>Q27-01</v>
      </c>
    </row>
    <row r="1049" spans="1:17" x14ac:dyDescent="0.25">
      <c r="A1049" t="s">
        <v>61</v>
      </c>
      <c r="B1049" t="s">
        <v>233</v>
      </c>
      <c r="C1049" t="s">
        <v>234</v>
      </c>
      <c r="D1049" t="s">
        <v>69</v>
      </c>
      <c r="E1049" t="s">
        <v>2200</v>
      </c>
      <c r="F1049" s="1">
        <v>2</v>
      </c>
      <c r="G1049" s="1">
        <v>0</v>
      </c>
      <c r="H1049" t="s">
        <v>17</v>
      </c>
      <c r="I1049" t="s">
        <v>236</v>
      </c>
      <c r="J1049" t="s">
        <v>2187</v>
      </c>
      <c r="K1049" s="3">
        <v>46053</v>
      </c>
      <c r="L1049" t="s">
        <v>255</v>
      </c>
      <c r="M1049">
        <v>7.4999999999999997E-2</v>
      </c>
      <c r="N1049">
        <v>2688</v>
      </c>
      <c r="O1049">
        <f t="shared" si="48"/>
        <v>0.15</v>
      </c>
      <c r="P1049">
        <f t="shared" si="49"/>
        <v>7.4404761904761901E-4</v>
      </c>
      <c r="Q1049" t="str">
        <f t="shared" si="50"/>
        <v>Q27-01</v>
      </c>
    </row>
    <row r="1050" spans="1:17" x14ac:dyDescent="0.25">
      <c r="A1050" t="s">
        <v>61</v>
      </c>
      <c r="B1050" t="s">
        <v>166</v>
      </c>
      <c r="C1050" t="s">
        <v>167</v>
      </c>
      <c r="D1050" t="s">
        <v>64</v>
      </c>
      <c r="E1050" t="s">
        <v>2201</v>
      </c>
      <c r="F1050" s="1">
        <v>7</v>
      </c>
      <c r="G1050" s="1">
        <v>0</v>
      </c>
      <c r="H1050" t="s">
        <v>17</v>
      </c>
      <c r="I1050" t="s">
        <v>170</v>
      </c>
      <c r="J1050" t="s">
        <v>2187</v>
      </c>
      <c r="K1050" s="3">
        <v>46112</v>
      </c>
      <c r="L1050" t="s">
        <v>172</v>
      </c>
      <c r="M1050">
        <v>9.2999999999999999E-2</v>
      </c>
      <c r="N1050">
        <v>1536</v>
      </c>
      <c r="O1050">
        <f t="shared" si="48"/>
        <v>0.65100000000000002</v>
      </c>
      <c r="P1050">
        <f t="shared" si="49"/>
        <v>4.557291666666667E-3</v>
      </c>
      <c r="Q1050" t="str">
        <f t="shared" si="50"/>
        <v>Q27-01</v>
      </c>
    </row>
    <row r="1051" spans="1:17" x14ac:dyDescent="0.25">
      <c r="A1051" t="s">
        <v>61</v>
      </c>
      <c r="B1051" t="s">
        <v>456</v>
      </c>
      <c r="C1051" t="s">
        <v>457</v>
      </c>
      <c r="D1051" t="s">
        <v>69</v>
      </c>
      <c r="E1051" t="s">
        <v>2202</v>
      </c>
      <c r="F1051" s="1">
        <v>30</v>
      </c>
      <c r="G1051" s="1">
        <v>0</v>
      </c>
      <c r="H1051" t="s">
        <v>17</v>
      </c>
      <c r="I1051" t="s">
        <v>459</v>
      </c>
      <c r="J1051" t="s">
        <v>2187</v>
      </c>
      <c r="K1051" s="3">
        <v>46112</v>
      </c>
      <c r="L1051" t="s">
        <v>461</v>
      </c>
      <c r="M1051">
        <v>0.22600000000000001</v>
      </c>
      <c r="N1051">
        <v>1680</v>
      </c>
      <c r="O1051">
        <f t="shared" si="48"/>
        <v>6.78</v>
      </c>
      <c r="P1051">
        <f t="shared" si="49"/>
        <v>1.7857142857142856E-2</v>
      </c>
      <c r="Q1051" t="str">
        <f t="shared" si="50"/>
        <v>Q27-01</v>
      </c>
    </row>
    <row r="1052" spans="1:17" x14ac:dyDescent="0.25">
      <c r="A1052" t="s">
        <v>61</v>
      </c>
      <c r="B1052" t="s">
        <v>219</v>
      </c>
      <c r="C1052" t="s">
        <v>220</v>
      </c>
      <c r="D1052" t="s">
        <v>69</v>
      </c>
      <c r="E1052" t="s">
        <v>2203</v>
      </c>
      <c r="F1052" s="1">
        <v>6</v>
      </c>
      <c r="G1052" s="1">
        <v>0</v>
      </c>
      <c r="H1052" t="s">
        <v>17</v>
      </c>
      <c r="I1052" t="s">
        <v>222</v>
      </c>
      <c r="J1052" t="s">
        <v>2187</v>
      </c>
      <c r="K1052" s="3">
        <v>46081</v>
      </c>
      <c r="L1052" t="s">
        <v>539</v>
      </c>
      <c r="M1052">
        <v>0.3</v>
      </c>
      <c r="N1052">
        <v>1680</v>
      </c>
      <c r="O1052">
        <f t="shared" si="48"/>
        <v>1.7999999999999998</v>
      </c>
      <c r="P1052">
        <f t="shared" si="49"/>
        <v>3.5714285714285713E-3</v>
      </c>
      <c r="Q1052" t="str">
        <f t="shared" si="50"/>
        <v>Q27-01</v>
      </c>
    </row>
    <row r="1053" spans="1:17" x14ac:dyDescent="0.25">
      <c r="A1053" t="s">
        <v>12</v>
      </c>
      <c r="B1053" t="s">
        <v>233</v>
      </c>
      <c r="C1053" t="s">
        <v>234</v>
      </c>
      <c r="D1053" t="s">
        <v>77</v>
      </c>
      <c r="E1053" t="s">
        <v>2204</v>
      </c>
      <c r="F1053" s="1">
        <v>0.5</v>
      </c>
      <c r="G1053" s="1">
        <v>0</v>
      </c>
      <c r="H1053" t="s">
        <v>17</v>
      </c>
      <c r="I1053" t="s">
        <v>236</v>
      </c>
      <c r="J1053" t="s">
        <v>2205</v>
      </c>
      <c r="K1053" s="3">
        <v>46630</v>
      </c>
      <c r="L1053" t="s">
        <v>239</v>
      </c>
      <c r="M1053">
        <v>7.4999999999999997E-2</v>
      </c>
      <c r="N1053">
        <v>2688</v>
      </c>
      <c r="O1053">
        <f t="shared" si="48"/>
        <v>3.7499999999999999E-2</v>
      </c>
      <c r="P1053">
        <f t="shared" si="49"/>
        <v>1.8601190476190475E-4</v>
      </c>
      <c r="Q1053" t="str">
        <f t="shared" si="50"/>
        <v>Q27-01</v>
      </c>
    </row>
    <row r="1054" spans="1:17" x14ac:dyDescent="0.25">
      <c r="A1054" t="s">
        <v>61</v>
      </c>
      <c r="B1054" t="s">
        <v>71</v>
      </c>
      <c r="C1054" t="s">
        <v>72</v>
      </c>
      <c r="D1054" t="s">
        <v>64</v>
      </c>
      <c r="E1054" t="s">
        <v>2206</v>
      </c>
      <c r="F1054" s="1">
        <v>1</v>
      </c>
      <c r="G1054" s="1">
        <v>0</v>
      </c>
      <c r="H1054" t="s">
        <v>17</v>
      </c>
      <c r="I1054" t="s">
        <v>75</v>
      </c>
      <c r="J1054" t="s">
        <v>2207</v>
      </c>
      <c r="K1054" s="3">
        <v>46081</v>
      </c>
      <c r="L1054" t="s">
        <v>549</v>
      </c>
      <c r="M1054">
        <v>0.3</v>
      </c>
      <c r="N1054">
        <v>1680</v>
      </c>
      <c r="O1054">
        <f t="shared" si="48"/>
        <v>0.3</v>
      </c>
      <c r="P1054">
        <f t="shared" si="49"/>
        <v>5.9523809523809529E-4</v>
      </c>
      <c r="Q1054" t="str">
        <f t="shared" si="50"/>
        <v>Q27-01</v>
      </c>
    </row>
    <row r="1055" spans="1:17" x14ac:dyDescent="0.25">
      <c r="A1055" t="s">
        <v>12</v>
      </c>
      <c r="B1055" t="s">
        <v>2208</v>
      </c>
      <c r="C1055" t="s">
        <v>2209</v>
      </c>
      <c r="D1055" t="s">
        <v>121</v>
      </c>
      <c r="E1055" t="s">
        <v>2210</v>
      </c>
      <c r="F1055" s="1">
        <v>697</v>
      </c>
      <c r="G1055" s="1">
        <v>0</v>
      </c>
      <c r="H1055" t="s">
        <v>17</v>
      </c>
      <c r="I1055" t="s">
        <v>84</v>
      </c>
      <c r="J1055" t="s">
        <v>90</v>
      </c>
      <c r="K1055" s="3">
        <v>46683</v>
      </c>
      <c r="L1055" t="s">
        <v>123</v>
      </c>
      <c r="M1055">
        <v>0</v>
      </c>
      <c r="N1055">
        <v>0</v>
      </c>
      <c r="O1055">
        <f t="shared" si="48"/>
        <v>0</v>
      </c>
      <c r="Q1055" t="str">
        <f t="shared" si="50"/>
        <v>Q27-01</v>
      </c>
    </row>
    <row r="1056" spans="1:17" x14ac:dyDescent="0.25">
      <c r="A1056" t="s">
        <v>12</v>
      </c>
      <c r="B1056" t="s">
        <v>1221</v>
      </c>
      <c r="C1056" t="s">
        <v>1222</v>
      </c>
      <c r="D1056" t="s">
        <v>121</v>
      </c>
      <c r="E1056" t="s">
        <v>2211</v>
      </c>
      <c r="F1056" s="2">
        <v>35600</v>
      </c>
      <c r="G1056" s="1">
        <v>0</v>
      </c>
      <c r="H1056" t="s">
        <v>17</v>
      </c>
      <c r="I1056" t="s">
        <v>475</v>
      </c>
      <c r="J1056" t="s">
        <v>90</v>
      </c>
      <c r="K1056" s="3">
        <v>46683</v>
      </c>
      <c r="L1056" t="s">
        <v>123</v>
      </c>
      <c r="M1056">
        <v>0</v>
      </c>
      <c r="N1056">
        <v>0</v>
      </c>
      <c r="O1056">
        <f t="shared" si="48"/>
        <v>0</v>
      </c>
      <c r="Q1056" t="str">
        <f t="shared" si="50"/>
        <v>Q27-01</v>
      </c>
    </row>
    <row r="1057" spans="1:17" x14ac:dyDescent="0.25">
      <c r="A1057" t="s">
        <v>61</v>
      </c>
      <c r="B1057" t="s">
        <v>364</v>
      </c>
      <c r="C1057" t="s">
        <v>365</v>
      </c>
      <c r="D1057" t="s">
        <v>2031</v>
      </c>
      <c r="E1057" t="s">
        <v>2212</v>
      </c>
      <c r="F1057" s="1">
        <v>19</v>
      </c>
      <c r="G1057" s="1">
        <v>0</v>
      </c>
      <c r="H1057" t="s">
        <v>17</v>
      </c>
      <c r="I1057" t="s">
        <v>367</v>
      </c>
      <c r="J1057" t="s">
        <v>2213</v>
      </c>
      <c r="K1057" s="3">
        <v>46812</v>
      </c>
      <c r="L1057" t="s">
        <v>1904</v>
      </c>
      <c r="M1057">
        <v>0.158</v>
      </c>
      <c r="N1057">
        <v>1152</v>
      </c>
      <c r="O1057">
        <f t="shared" si="48"/>
        <v>3.0020000000000002</v>
      </c>
      <c r="P1057">
        <f t="shared" si="49"/>
        <v>1.6493055555555556E-2</v>
      </c>
      <c r="Q1057" t="str">
        <f t="shared" si="50"/>
        <v>Q27-03</v>
      </c>
    </row>
    <row r="1058" spans="1:17" x14ac:dyDescent="0.25">
      <c r="A1058" t="s">
        <v>61</v>
      </c>
      <c r="B1058" t="s">
        <v>364</v>
      </c>
      <c r="C1058" t="s">
        <v>365</v>
      </c>
      <c r="D1058" t="s">
        <v>2031</v>
      </c>
      <c r="E1058" t="s">
        <v>2214</v>
      </c>
      <c r="F1058" s="1">
        <v>11</v>
      </c>
      <c r="G1058" s="1">
        <v>0</v>
      </c>
      <c r="H1058" t="s">
        <v>17</v>
      </c>
      <c r="I1058" t="s">
        <v>367</v>
      </c>
      <c r="J1058" t="s">
        <v>2213</v>
      </c>
      <c r="K1058" s="3">
        <v>46812</v>
      </c>
      <c r="L1058" t="s">
        <v>1904</v>
      </c>
      <c r="M1058">
        <v>0.158</v>
      </c>
      <c r="N1058">
        <v>1152</v>
      </c>
      <c r="O1058">
        <f t="shared" si="48"/>
        <v>1.738</v>
      </c>
      <c r="P1058">
        <f t="shared" si="49"/>
        <v>9.5486111111111119E-3</v>
      </c>
      <c r="Q1058" t="str">
        <f t="shared" si="50"/>
        <v>Q27-03</v>
      </c>
    </row>
    <row r="1059" spans="1:17" x14ac:dyDescent="0.25">
      <c r="A1059" t="s">
        <v>61</v>
      </c>
      <c r="B1059" t="s">
        <v>225</v>
      </c>
      <c r="C1059" t="s">
        <v>226</v>
      </c>
      <c r="D1059" t="s">
        <v>2031</v>
      </c>
      <c r="E1059" t="s">
        <v>2215</v>
      </c>
      <c r="F1059" s="1">
        <v>6</v>
      </c>
      <c r="G1059" s="1">
        <v>0</v>
      </c>
      <c r="H1059" t="s">
        <v>17</v>
      </c>
      <c r="I1059" t="s">
        <v>228</v>
      </c>
      <c r="J1059" t="s">
        <v>2213</v>
      </c>
      <c r="K1059" s="3">
        <v>46783</v>
      </c>
      <c r="L1059" t="s">
        <v>2216</v>
      </c>
      <c r="M1059">
        <v>5.8000000000000003E-2</v>
      </c>
      <c r="N1059">
        <v>2880</v>
      </c>
      <c r="O1059">
        <f t="shared" si="48"/>
        <v>0.34800000000000003</v>
      </c>
      <c r="P1059">
        <f t="shared" si="49"/>
        <v>2.0833333333333333E-3</v>
      </c>
      <c r="Q1059" t="str">
        <f t="shared" si="50"/>
        <v>Q27-03</v>
      </c>
    </row>
    <row r="1060" spans="1:17" x14ac:dyDescent="0.25">
      <c r="A1060" t="s">
        <v>61</v>
      </c>
      <c r="B1060" t="s">
        <v>225</v>
      </c>
      <c r="C1060" t="s">
        <v>226</v>
      </c>
      <c r="D1060" t="s">
        <v>2031</v>
      </c>
      <c r="E1060" t="s">
        <v>2217</v>
      </c>
      <c r="F1060" s="1">
        <v>1</v>
      </c>
      <c r="G1060" s="1">
        <v>0</v>
      </c>
      <c r="H1060" t="s">
        <v>17</v>
      </c>
      <c r="I1060" t="s">
        <v>228</v>
      </c>
      <c r="J1060" t="s">
        <v>2213</v>
      </c>
      <c r="K1060" s="3">
        <v>46783</v>
      </c>
      <c r="L1060" t="s">
        <v>1719</v>
      </c>
      <c r="M1060">
        <v>5.8000000000000003E-2</v>
      </c>
      <c r="N1060">
        <v>2880</v>
      </c>
      <c r="O1060">
        <f t="shared" si="48"/>
        <v>5.8000000000000003E-2</v>
      </c>
      <c r="P1060">
        <f t="shared" si="49"/>
        <v>3.4722222222222224E-4</v>
      </c>
      <c r="Q1060" t="str">
        <f t="shared" si="50"/>
        <v>Q27-03</v>
      </c>
    </row>
    <row r="1061" spans="1:17" x14ac:dyDescent="0.25">
      <c r="A1061" t="s">
        <v>61</v>
      </c>
      <c r="B1061" t="s">
        <v>225</v>
      </c>
      <c r="C1061" t="s">
        <v>226</v>
      </c>
      <c r="D1061" t="s">
        <v>2031</v>
      </c>
      <c r="E1061" t="s">
        <v>2218</v>
      </c>
      <c r="F1061" s="1">
        <v>4</v>
      </c>
      <c r="G1061" s="1">
        <v>0</v>
      </c>
      <c r="H1061" t="s">
        <v>17</v>
      </c>
      <c r="I1061" t="s">
        <v>228</v>
      </c>
      <c r="J1061" t="s">
        <v>2213</v>
      </c>
      <c r="K1061" s="3">
        <v>46812</v>
      </c>
      <c r="L1061" t="s">
        <v>2219</v>
      </c>
      <c r="M1061">
        <v>5.8000000000000003E-2</v>
      </c>
      <c r="N1061">
        <v>2880</v>
      </c>
      <c r="O1061">
        <f t="shared" si="48"/>
        <v>0.23200000000000001</v>
      </c>
      <c r="P1061">
        <f t="shared" si="49"/>
        <v>1.3888888888888889E-3</v>
      </c>
      <c r="Q1061" t="str">
        <f t="shared" si="50"/>
        <v>Q27-03</v>
      </c>
    </row>
    <row r="1062" spans="1:17" x14ac:dyDescent="0.25">
      <c r="A1062" t="s">
        <v>61</v>
      </c>
      <c r="B1062" t="s">
        <v>219</v>
      </c>
      <c r="C1062" t="s">
        <v>220</v>
      </c>
      <c r="D1062" t="s">
        <v>244</v>
      </c>
      <c r="E1062" t="s">
        <v>2220</v>
      </c>
      <c r="F1062" s="1">
        <v>24</v>
      </c>
      <c r="G1062" s="1">
        <v>0</v>
      </c>
      <c r="H1062" t="s">
        <v>17</v>
      </c>
      <c r="I1062" t="s">
        <v>222</v>
      </c>
      <c r="J1062" t="s">
        <v>2213</v>
      </c>
      <c r="K1062" s="3">
        <v>46507</v>
      </c>
      <c r="L1062" t="s">
        <v>2221</v>
      </c>
      <c r="M1062">
        <v>0.3</v>
      </c>
      <c r="N1062">
        <v>1680</v>
      </c>
      <c r="O1062">
        <f t="shared" si="48"/>
        <v>7.1999999999999993</v>
      </c>
      <c r="P1062">
        <f t="shared" si="49"/>
        <v>1.4285714285714285E-2</v>
      </c>
      <c r="Q1062" t="str">
        <f t="shared" si="50"/>
        <v>Q27-03</v>
      </c>
    </row>
    <row r="1063" spans="1:17" x14ac:dyDescent="0.25">
      <c r="A1063" t="s">
        <v>61</v>
      </c>
      <c r="B1063" t="s">
        <v>219</v>
      </c>
      <c r="C1063" t="s">
        <v>220</v>
      </c>
      <c r="D1063" t="s">
        <v>382</v>
      </c>
      <c r="E1063" t="s">
        <v>2222</v>
      </c>
      <c r="F1063" s="1">
        <v>9</v>
      </c>
      <c r="G1063" s="1">
        <v>0</v>
      </c>
      <c r="H1063" t="s">
        <v>17</v>
      </c>
      <c r="I1063" t="s">
        <v>222</v>
      </c>
      <c r="J1063" t="s">
        <v>2213</v>
      </c>
      <c r="K1063" s="3">
        <v>46507</v>
      </c>
      <c r="L1063" t="s">
        <v>2221</v>
      </c>
      <c r="M1063">
        <v>0.3</v>
      </c>
      <c r="N1063">
        <v>1680</v>
      </c>
      <c r="O1063">
        <f t="shared" si="48"/>
        <v>2.6999999999999997</v>
      </c>
      <c r="P1063">
        <f t="shared" si="49"/>
        <v>5.3571428571428572E-3</v>
      </c>
      <c r="Q1063" t="str">
        <f t="shared" si="50"/>
        <v>Q27-03</v>
      </c>
    </row>
    <row r="1064" spans="1:17" x14ac:dyDescent="0.25">
      <c r="A1064" t="s">
        <v>61</v>
      </c>
      <c r="B1064" t="s">
        <v>219</v>
      </c>
      <c r="C1064" t="s">
        <v>220</v>
      </c>
      <c r="D1064" t="s">
        <v>2031</v>
      </c>
      <c r="E1064" t="s">
        <v>2223</v>
      </c>
      <c r="F1064" s="1">
        <v>6</v>
      </c>
      <c r="G1064" s="1">
        <v>0</v>
      </c>
      <c r="H1064" t="s">
        <v>17</v>
      </c>
      <c r="I1064" t="s">
        <v>222</v>
      </c>
      <c r="J1064" t="s">
        <v>2213</v>
      </c>
      <c r="K1064" s="3">
        <v>46507</v>
      </c>
      <c r="L1064" t="s">
        <v>2221</v>
      </c>
      <c r="M1064">
        <v>0.3</v>
      </c>
      <c r="N1064">
        <v>1680</v>
      </c>
      <c r="O1064">
        <f t="shared" si="48"/>
        <v>1.7999999999999998</v>
      </c>
      <c r="P1064">
        <f t="shared" si="49"/>
        <v>3.5714285714285713E-3</v>
      </c>
      <c r="Q1064" t="str">
        <f t="shared" si="50"/>
        <v>Q27-03</v>
      </c>
    </row>
    <row r="1065" spans="1:17" x14ac:dyDescent="0.25">
      <c r="A1065" t="s">
        <v>61</v>
      </c>
      <c r="B1065" t="s">
        <v>456</v>
      </c>
      <c r="C1065" t="s">
        <v>457</v>
      </c>
      <c r="D1065" t="s">
        <v>77</v>
      </c>
      <c r="E1065" t="s">
        <v>2224</v>
      </c>
      <c r="F1065" s="1">
        <v>1</v>
      </c>
      <c r="G1065" s="1">
        <v>0</v>
      </c>
      <c r="H1065" t="s">
        <v>17</v>
      </c>
      <c r="I1065" t="s">
        <v>459</v>
      </c>
      <c r="J1065" t="s">
        <v>2213</v>
      </c>
      <c r="K1065" s="3">
        <v>46568</v>
      </c>
      <c r="L1065" t="s">
        <v>2225</v>
      </c>
      <c r="M1065">
        <v>0.22600000000000001</v>
      </c>
      <c r="N1065">
        <v>1680</v>
      </c>
      <c r="O1065">
        <f t="shared" si="48"/>
        <v>0.22600000000000001</v>
      </c>
      <c r="P1065">
        <f t="shared" si="49"/>
        <v>5.9523809523809529E-4</v>
      </c>
      <c r="Q1065" t="str">
        <f t="shared" si="50"/>
        <v>Q27-01</v>
      </c>
    </row>
    <row r="1066" spans="1:17" x14ac:dyDescent="0.25">
      <c r="A1066" t="s">
        <v>12</v>
      </c>
      <c r="B1066" t="s">
        <v>2226</v>
      </c>
      <c r="C1066" t="s">
        <v>2227</v>
      </c>
      <c r="D1066" t="s">
        <v>727</v>
      </c>
      <c r="E1066" t="s">
        <v>2228</v>
      </c>
      <c r="F1066" s="1">
        <v>5</v>
      </c>
      <c r="G1066" s="1">
        <v>0</v>
      </c>
      <c r="H1066" t="s">
        <v>17</v>
      </c>
      <c r="I1066" t="s">
        <v>2229</v>
      </c>
      <c r="J1066" t="s">
        <v>2230</v>
      </c>
      <c r="K1066" s="3">
        <v>46783</v>
      </c>
      <c r="L1066" t="s">
        <v>2231</v>
      </c>
      <c r="M1066">
        <v>3.2000000000000001E-2</v>
      </c>
      <c r="N1066">
        <v>2592</v>
      </c>
      <c r="O1066">
        <f t="shared" si="48"/>
        <v>0.16</v>
      </c>
      <c r="P1066">
        <f t="shared" si="49"/>
        <v>1.9290123456790122E-3</v>
      </c>
      <c r="Q1066" t="str">
        <f t="shared" si="50"/>
        <v>Q26-03</v>
      </c>
    </row>
    <row r="1067" spans="1:17" x14ac:dyDescent="0.25">
      <c r="A1067" t="s">
        <v>12</v>
      </c>
      <c r="B1067" t="s">
        <v>2226</v>
      </c>
      <c r="C1067" t="s">
        <v>2227</v>
      </c>
      <c r="D1067" t="s">
        <v>407</v>
      </c>
      <c r="E1067" t="s">
        <v>2232</v>
      </c>
      <c r="F1067" s="1">
        <v>1</v>
      </c>
      <c r="G1067" s="1">
        <v>0</v>
      </c>
      <c r="H1067" t="s">
        <v>17</v>
      </c>
      <c r="I1067" t="s">
        <v>2229</v>
      </c>
      <c r="J1067" t="s">
        <v>2230</v>
      </c>
      <c r="K1067" s="3">
        <v>46783</v>
      </c>
      <c r="L1067" t="s">
        <v>2231</v>
      </c>
      <c r="M1067">
        <v>3.2000000000000001E-2</v>
      </c>
      <c r="N1067">
        <v>2592</v>
      </c>
      <c r="O1067">
        <f t="shared" si="48"/>
        <v>3.2000000000000001E-2</v>
      </c>
      <c r="P1067">
        <f t="shared" si="49"/>
        <v>3.8580246913580245E-4</v>
      </c>
      <c r="Q1067" t="str">
        <f t="shared" si="50"/>
        <v>Q27-01</v>
      </c>
    </row>
    <row r="1068" spans="1:17" x14ac:dyDescent="0.25">
      <c r="A1068" t="s">
        <v>12</v>
      </c>
      <c r="B1068" t="s">
        <v>2233</v>
      </c>
      <c r="C1068" t="s">
        <v>2234</v>
      </c>
      <c r="D1068" t="s">
        <v>57</v>
      </c>
      <c r="E1068" t="s">
        <v>2235</v>
      </c>
      <c r="F1068" s="1">
        <v>1</v>
      </c>
      <c r="G1068" s="1">
        <v>0</v>
      </c>
      <c r="H1068" t="s">
        <v>17</v>
      </c>
      <c r="I1068" t="s">
        <v>2236</v>
      </c>
      <c r="J1068" t="s">
        <v>2237</v>
      </c>
      <c r="K1068" s="3">
        <v>46353</v>
      </c>
      <c r="L1068" t="s">
        <v>2238</v>
      </c>
      <c r="M1068">
        <v>4.3999999999999997E-2</v>
      </c>
      <c r="N1068">
        <v>1280</v>
      </c>
      <c r="O1068">
        <f t="shared" si="48"/>
        <v>4.3999999999999997E-2</v>
      </c>
      <c r="P1068">
        <f t="shared" si="49"/>
        <v>7.8125000000000004E-4</v>
      </c>
      <c r="Q1068" t="str">
        <f t="shared" si="50"/>
        <v>Q26-03</v>
      </c>
    </row>
    <row r="1069" spans="1:17" x14ac:dyDescent="0.25">
      <c r="A1069" t="s">
        <v>61</v>
      </c>
      <c r="B1069" t="s">
        <v>233</v>
      </c>
      <c r="C1069" t="s">
        <v>234</v>
      </c>
      <c r="D1069" t="s">
        <v>2031</v>
      </c>
      <c r="E1069" t="s">
        <v>2239</v>
      </c>
      <c r="F1069" s="1">
        <v>2</v>
      </c>
      <c r="G1069" s="1">
        <v>0</v>
      </c>
      <c r="H1069" t="s">
        <v>17</v>
      </c>
      <c r="I1069" t="s">
        <v>236</v>
      </c>
      <c r="J1069" t="s">
        <v>2240</v>
      </c>
      <c r="K1069" s="3">
        <v>47269</v>
      </c>
      <c r="L1069" t="s">
        <v>2180</v>
      </c>
      <c r="M1069">
        <v>7.4999999999999997E-2</v>
      </c>
      <c r="N1069">
        <v>2688</v>
      </c>
      <c r="O1069">
        <f t="shared" si="48"/>
        <v>0.15</v>
      </c>
      <c r="P1069">
        <f t="shared" si="49"/>
        <v>7.4404761904761901E-4</v>
      </c>
      <c r="Q1069" t="str">
        <f t="shared" si="50"/>
        <v>Q27-03</v>
      </c>
    </row>
    <row r="1070" spans="1:17" x14ac:dyDescent="0.25">
      <c r="A1070" t="s">
        <v>61</v>
      </c>
      <c r="B1070" t="s">
        <v>233</v>
      </c>
      <c r="C1070" t="s">
        <v>234</v>
      </c>
      <c r="D1070" t="s">
        <v>2031</v>
      </c>
      <c r="E1070" t="s">
        <v>2241</v>
      </c>
      <c r="F1070" s="1">
        <v>2</v>
      </c>
      <c r="G1070" s="1">
        <v>0</v>
      </c>
      <c r="H1070" t="s">
        <v>17</v>
      </c>
      <c r="I1070" t="s">
        <v>236</v>
      </c>
      <c r="J1070" t="s">
        <v>2240</v>
      </c>
      <c r="K1070" s="3">
        <v>47269</v>
      </c>
      <c r="L1070" t="s">
        <v>2178</v>
      </c>
      <c r="M1070">
        <v>7.4999999999999997E-2</v>
      </c>
      <c r="N1070">
        <v>2688</v>
      </c>
      <c r="O1070">
        <f t="shared" si="48"/>
        <v>0.15</v>
      </c>
      <c r="P1070">
        <f t="shared" si="49"/>
        <v>7.4404761904761901E-4</v>
      </c>
      <c r="Q1070" t="str">
        <f t="shared" si="50"/>
        <v>Q27-03</v>
      </c>
    </row>
    <row r="1071" spans="1:17" x14ac:dyDescent="0.25">
      <c r="A1071" t="s">
        <v>61</v>
      </c>
      <c r="B1071" t="s">
        <v>1701</v>
      </c>
      <c r="C1071" t="s">
        <v>1702</v>
      </c>
      <c r="D1071" t="s">
        <v>2031</v>
      </c>
      <c r="E1071" t="s">
        <v>2242</v>
      </c>
      <c r="F1071" s="1">
        <v>4</v>
      </c>
      <c r="G1071" s="1">
        <v>0</v>
      </c>
      <c r="H1071" t="s">
        <v>17</v>
      </c>
      <c r="I1071" t="s">
        <v>1704</v>
      </c>
      <c r="J1071" t="s">
        <v>2240</v>
      </c>
      <c r="K1071" s="3">
        <v>46843</v>
      </c>
      <c r="L1071" t="s">
        <v>2243</v>
      </c>
      <c r="M1071">
        <v>6.0999999999999999E-2</v>
      </c>
      <c r="N1071">
        <v>2688</v>
      </c>
      <c r="O1071">
        <f t="shared" si="48"/>
        <v>0.24399999999999999</v>
      </c>
      <c r="P1071">
        <f t="shared" si="49"/>
        <v>1.488095238095238E-3</v>
      </c>
      <c r="Q1071" t="str">
        <f t="shared" si="50"/>
        <v>Q27-03</v>
      </c>
    </row>
    <row r="1072" spans="1:17" x14ac:dyDescent="0.25">
      <c r="A1072" t="s">
        <v>61</v>
      </c>
      <c r="B1072" t="s">
        <v>891</v>
      </c>
      <c r="C1072" t="s">
        <v>892</v>
      </c>
      <c r="D1072" t="s">
        <v>2031</v>
      </c>
      <c r="E1072" t="s">
        <v>2244</v>
      </c>
      <c r="F1072" s="1">
        <v>32</v>
      </c>
      <c r="G1072" s="1">
        <v>0</v>
      </c>
      <c r="H1072" t="s">
        <v>17</v>
      </c>
      <c r="I1072" t="s">
        <v>894</v>
      </c>
      <c r="J1072" t="s">
        <v>2245</v>
      </c>
      <c r="K1072" s="3">
        <v>46599</v>
      </c>
      <c r="L1072" t="s">
        <v>2246</v>
      </c>
      <c r="M1072">
        <v>0.312</v>
      </c>
      <c r="N1072">
        <v>1680</v>
      </c>
      <c r="O1072">
        <f t="shared" si="48"/>
        <v>9.984</v>
      </c>
      <c r="P1072">
        <f t="shared" si="49"/>
        <v>1.9047619047619049E-2</v>
      </c>
      <c r="Q1072" t="str">
        <f t="shared" si="50"/>
        <v>Q27-03</v>
      </c>
    </row>
    <row r="1073" spans="1:17" x14ac:dyDescent="0.25">
      <c r="A1073" t="s">
        <v>61</v>
      </c>
      <c r="B1073" t="s">
        <v>62</v>
      </c>
      <c r="C1073" t="s">
        <v>63</v>
      </c>
      <c r="D1073" t="s">
        <v>2031</v>
      </c>
      <c r="E1073" t="s">
        <v>2247</v>
      </c>
      <c r="F1073" s="1">
        <v>2</v>
      </c>
      <c r="G1073" s="1">
        <v>0</v>
      </c>
      <c r="H1073" t="s">
        <v>17</v>
      </c>
      <c r="I1073" t="s">
        <v>66</v>
      </c>
      <c r="J1073" t="s">
        <v>2245</v>
      </c>
      <c r="K1073" s="3">
        <v>46599</v>
      </c>
      <c r="L1073" t="s">
        <v>2248</v>
      </c>
      <c r="M1073">
        <v>9.6000000000000002E-2</v>
      </c>
      <c r="N1073">
        <v>1920</v>
      </c>
      <c r="O1073">
        <f t="shared" si="48"/>
        <v>0.192</v>
      </c>
      <c r="P1073">
        <f t="shared" si="49"/>
        <v>1.0416666666666667E-3</v>
      </c>
      <c r="Q1073" t="str">
        <f t="shared" si="50"/>
        <v>Q27-03</v>
      </c>
    </row>
    <row r="1074" spans="1:17" x14ac:dyDescent="0.25">
      <c r="A1074" t="s">
        <v>61</v>
      </c>
      <c r="B1074" t="s">
        <v>420</v>
      </c>
      <c r="C1074" t="s">
        <v>421</v>
      </c>
      <c r="D1074" t="s">
        <v>2031</v>
      </c>
      <c r="E1074" t="s">
        <v>2249</v>
      </c>
      <c r="F1074" s="1">
        <v>15</v>
      </c>
      <c r="G1074" s="1">
        <v>0</v>
      </c>
      <c r="H1074" t="s">
        <v>17</v>
      </c>
      <c r="I1074" t="s">
        <v>423</v>
      </c>
      <c r="J1074" t="s">
        <v>2245</v>
      </c>
      <c r="K1074" s="3">
        <v>46812</v>
      </c>
      <c r="L1074" t="s">
        <v>2250</v>
      </c>
      <c r="M1074">
        <v>0.156</v>
      </c>
      <c r="N1074">
        <v>1152</v>
      </c>
      <c r="O1074">
        <f t="shared" si="48"/>
        <v>2.34</v>
      </c>
      <c r="P1074">
        <f t="shared" si="49"/>
        <v>1.3020833333333334E-2</v>
      </c>
      <c r="Q1074" t="str">
        <f t="shared" si="50"/>
        <v>Q27-03</v>
      </c>
    </row>
    <row r="1075" spans="1:17" x14ac:dyDescent="0.25">
      <c r="A1075" t="s">
        <v>61</v>
      </c>
      <c r="B1075" t="s">
        <v>420</v>
      </c>
      <c r="C1075" t="s">
        <v>421</v>
      </c>
      <c r="D1075" t="s">
        <v>2031</v>
      </c>
      <c r="E1075" t="s">
        <v>2251</v>
      </c>
      <c r="F1075" s="1">
        <v>104</v>
      </c>
      <c r="G1075" s="1">
        <v>0</v>
      </c>
      <c r="H1075" t="s">
        <v>17</v>
      </c>
      <c r="I1075" t="s">
        <v>423</v>
      </c>
      <c r="J1075" t="s">
        <v>2245</v>
      </c>
      <c r="K1075" s="3">
        <v>46812</v>
      </c>
      <c r="L1075" t="s">
        <v>2250</v>
      </c>
      <c r="M1075">
        <v>0.156</v>
      </c>
      <c r="N1075">
        <v>1152</v>
      </c>
      <c r="O1075">
        <f t="shared" si="48"/>
        <v>16.224</v>
      </c>
      <c r="P1075">
        <f t="shared" si="49"/>
        <v>9.0277777777777776E-2</v>
      </c>
      <c r="Q1075" t="str">
        <f t="shared" si="50"/>
        <v>Q27-03</v>
      </c>
    </row>
    <row r="1076" spans="1:17" x14ac:dyDescent="0.25">
      <c r="A1076" t="s">
        <v>61</v>
      </c>
      <c r="B1076" t="s">
        <v>420</v>
      </c>
      <c r="C1076" t="s">
        <v>421</v>
      </c>
      <c r="D1076" t="s">
        <v>336</v>
      </c>
      <c r="E1076" t="s">
        <v>2252</v>
      </c>
      <c r="F1076" s="1">
        <v>51</v>
      </c>
      <c r="G1076" s="1">
        <v>0</v>
      </c>
      <c r="H1076" t="s">
        <v>17</v>
      </c>
      <c r="I1076" t="s">
        <v>423</v>
      </c>
      <c r="J1076" t="s">
        <v>2245</v>
      </c>
      <c r="K1076" s="3">
        <v>46812</v>
      </c>
      <c r="L1076" t="s">
        <v>2250</v>
      </c>
      <c r="M1076">
        <v>0.156</v>
      </c>
      <c r="N1076">
        <v>1152</v>
      </c>
      <c r="O1076">
        <f t="shared" si="48"/>
        <v>7.9560000000000004</v>
      </c>
      <c r="P1076">
        <f t="shared" si="49"/>
        <v>4.4270833333333336E-2</v>
      </c>
      <c r="Q1076" t="str">
        <f t="shared" si="50"/>
        <v>Q27-03</v>
      </c>
    </row>
    <row r="1077" spans="1:17" x14ac:dyDescent="0.25">
      <c r="A1077" t="s">
        <v>61</v>
      </c>
      <c r="B1077" t="s">
        <v>420</v>
      </c>
      <c r="C1077" t="s">
        <v>421</v>
      </c>
      <c r="D1077" t="s">
        <v>336</v>
      </c>
      <c r="E1077" t="s">
        <v>2253</v>
      </c>
      <c r="F1077" s="1">
        <v>13</v>
      </c>
      <c r="G1077" s="1">
        <v>0</v>
      </c>
      <c r="H1077" t="s">
        <v>17</v>
      </c>
      <c r="I1077" t="s">
        <v>423</v>
      </c>
      <c r="J1077" t="s">
        <v>2245</v>
      </c>
      <c r="K1077" s="3">
        <v>46812</v>
      </c>
      <c r="L1077" t="s">
        <v>2250</v>
      </c>
      <c r="M1077">
        <v>0.156</v>
      </c>
      <c r="N1077">
        <v>1152</v>
      </c>
      <c r="O1077">
        <f t="shared" si="48"/>
        <v>2.028</v>
      </c>
      <c r="P1077">
        <f t="shared" si="49"/>
        <v>1.1284722222222222E-2</v>
      </c>
      <c r="Q1077" t="str">
        <f t="shared" si="50"/>
        <v>Q27-03</v>
      </c>
    </row>
    <row r="1078" spans="1:17" x14ac:dyDescent="0.25">
      <c r="A1078" t="s">
        <v>61</v>
      </c>
      <c r="B1078" t="s">
        <v>225</v>
      </c>
      <c r="C1078" t="s">
        <v>226</v>
      </c>
      <c r="D1078" t="s">
        <v>2031</v>
      </c>
      <c r="E1078" t="s">
        <v>2254</v>
      </c>
      <c r="F1078" s="1">
        <v>2</v>
      </c>
      <c r="G1078" s="1">
        <v>0</v>
      </c>
      <c r="H1078" t="s">
        <v>17</v>
      </c>
      <c r="I1078" t="s">
        <v>228</v>
      </c>
      <c r="J1078" t="s">
        <v>2240</v>
      </c>
      <c r="K1078" s="3">
        <v>46812</v>
      </c>
      <c r="L1078" t="s">
        <v>2219</v>
      </c>
      <c r="M1078">
        <v>5.8000000000000003E-2</v>
      </c>
      <c r="N1078">
        <v>2880</v>
      </c>
      <c r="O1078">
        <f t="shared" si="48"/>
        <v>0.11600000000000001</v>
      </c>
      <c r="P1078">
        <f t="shared" si="49"/>
        <v>6.9444444444444447E-4</v>
      </c>
      <c r="Q1078" t="str">
        <f t="shared" si="50"/>
        <v>Q27-03</v>
      </c>
    </row>
    <row r="1079" spans="1:17" x14ac:dyDescent="0.25">
      <c r="A1079" t="s">
        <v>12</v>
      </c>
      <c r="B1079" t="s">
        <v>1683</v>
      </c>
      <c r="C1079" t="s">
        <v>1684</v>
      </c>
      <c r="D1079" t="s">
        <v>244</v>
      </c>
      <c r="E1079" t="s">
        <v>2255</v>
      </c>
      <c r="F1079" s="1">
        <v>84</v>
      </c>
      <c r="G1079" s="1">
        <v>0</v>
      </c>
      <c r="H1079" t="s">
        <v>17</v>
      </c>
      <c r="I1079" t="s">
        <v>1686</v>
      </c>
      <c r="J1079" t="s">
        <v>2256</v>
      </c>
      <c r="K1079" s="3">
        <v>46265</v>
      </c>
      <c r="L1079" t="s">
        <v>1688</v>
      </c>
      <c r="M1079">
        <v>0.1</v>
      </c>
      <c r="N1079">
        <v>2400</v>
      </c>
      <c r="O1079">
        <f t="shared" si="48"/>
        <v>8.4</v>
      </c>
      <c r="P1079">
        <f t="shared" si="49"/>
        <v>3.5000000000000003E-2</v>
      </c>
      <c r="Q1079" t="str">
        <f t="shared" si="50"/>
        <v>Q27-03</v>
      </c>
    </row>
    <row r="1080" spans="1:17" x14ac:dyDescent="0.25">
      <c r="A1080" t="s">
        <v>12</v>
      </c>
      <c r="B1080" t="s">
        <v>1683</v>
      </c>
      <c r="C1080" t="s">
        <v>1684</v>
      </c>
      <c r="D1080" t="s">
        <v>244</v>
      </c>
      <c r="E1080" t="s">
        <v>2257</v>
      </c>
      <c r="F1080" s="1">
        <v>42</v>
      </c>
      <c r="G1080" s="1">
        <v>0</v>
      </c>
      <c r="H1080" t="s">
        <v>17</v>
      </c>
      <c r="I1080" t="s">
        <v>1686</v>
      </c>
      <c r="J1080" t="s">
        <v>2256</v>
      </c>
      <c r="K1080" s="3">
        <v>46265</v>
      </c>
      <c r="L1080" t="s">
        <v>1688</v>
      </c>
      <c r="M1080">
        <v>0.1</v>
      </c>
      <c r="N1080">
        <v>2400</v>
      </c>
      <c r="O1080">
        <f t="shared" si="48"/>
        <v>4.2</v>
      </c>
      <c r="P1080">
        <f t="shared" si="49"/>
        <v>1.7500000000000002E-2</v>
      </c>
      <c r="Q1080" t="str">
        <f t="shared" si="50"/>
        <v>Q27-03</v>
      </c>
    </row>
    <row r="1081" spans="1:17" x14ac:dyDescent="0.25">
      <c r="A1081" t="s">
        <v>12</v>
      </c>
      <c r="B1081" t="s">
        <v>2258</v>
      </c>
      <c r="C1081" t="s">
        <v>2259</v>
      </c>
      <c r="D1081" t="s">
        <v>244</v>
      </c>
      <c r="E1081" t="s">
        <v>2260</v>
      </c>
      <c r="F1081" s="1">
        <v>708</v>
      </c>
      <c r="G1081" s="1">
        <v>0</v>
      </c>
      <c r="H1081" t="s">
        <v>17</v>
      </c>
      <c r="I1081" t="s">
        <v>2261</v>
      </c>
      <c r="J1081" t="s">
        <v>2256</v>
      </c>
      <c r="K1081" s="3">
        <v>46326</v>
      </c>
      <c r="L1081" t="s">
        <v>2262</v>
      </c>
      <c r="M1081">
        <v>0.1</v>
      </c>
      <c r="N1081">
        <v>4800</v>
      </c>
      <c r="O1081">
        <f t="shared" si="48"/>
        <v>70.8</v>
      </c>
      <c r="P1081">
        <f t="shared" si="49"/>
        <v>0.14749999999999999</v>
      </c>
      <c r="Q1081" t="str">
        <f t="shared" si="50"/>
        <v>Q27-03</v>
      </c>
    </row>
    <row r="1082" spans="1:17" x14ac:dyDescent="0.25">
      <c r="A1082" t="s">
        <v>12</v>
      </c>
      <c r="B1082" t="s">
        <v>2258</v>
      </c>
      <c r="C1082" t="s">
        <v>2259</v>
      </c>
      <c r="D1082" t="s">
        <v>244</v>
      </c>
      <c r="E1082" t="s">
        <v>2263</v>
      </c>
      <c r="F1082" s="1">
        <v>5</v>
      </c>
      <c r="G1082" s="1">
        <v>0</v>
      </c>
      <c r="H1082" t="s">
        <v>17</v>
      </c>
      <c r="I1082" t="s">
        <v>2261</v>
      </c>
      <c r="J1082" t="s">
        <v>2256</v>
      </c>
      <c r="K1082" s="3">
        <v>46326</v>
      </c>
      <c r="L1082" t="s">
        <v>2262</v>
      </c>
      <c r="M1082">
        <v>0.1</v>
      </c>
      <c r="N1082">
        <v>4800</v>
      </c>
      <c r="O1082">
        <f t="shared" si="48"/>
        <v>0.5</v>
      </c>
      <c r="P1082">
        <f t="shared" si="49"/>
        <v>1.0416666666666667E-3</v>
      </c>
      <c r="Q1082" t="str">
        <f t="shared" si="50"/>
        <v>Q27-03</v>
      </c>
    </row>
    <row r="1083" spans="1:17" x14ac:dyDescent="0.25">
      <c r="A1083" t="s">
        <v>12</v>
      </c>
      <c r="B1083" t="s">
        <v>1368</v>
      </c>
      <c r="C1083" t="s">
        <v>1369</v>
      </c>
      <c r="D1083" t="s">
        <v>244</v>
      </c>
      <c r="E1083" t="s">
        <v>2264</v>
      </c>
      <c r="F1083" s="1">
        <v>1</v>
      </c>
      <c r="G1083" s="1">
        <v>0</v>
      </c>
      <c r="H1083" t="s">
        <v>17</v>
      </c>
      <c r="I1083" t="s">
        <v>1371</v>
      </c>
      <c r="J1083" t="s">
        <v>2256</v>
      </c>
      <c r="K1083" s="3">
        <v>46326</v>
      </c>
      <c r="L1083" t="s">
        <v>2265</v>
      </c>
      <c r="M1083">
        <v>9.4E-2</v>
      </c>
      <c r="N1083">
        <v>2400</v>
      </c>
      <c r="O1083">
        <f t="shared" si="48"/>
        <v>9.4E-2</v>
      </c>
      <c r="P1083">
        <f t="shared" si="49"/>
        <v>4.1666666666666669E-4</v>
      </c>
      <c r="Q1083" t="str">
        <f t="shared" si="50"/>
        <v>Q27-03</v>
      </c>
    </row>
    <row r="1084" spans="1:17" x14ac:dyDescent="0.25">
      <c r="A1084" t="s">
        <v>12</v>
      </c>
      <c r="B1084" t="s">
        <v>2266</v>
      </c>
      <c r="C1084" t="s">
        <v>2267</v>
      </c>
      <c r="D1084" t="s">
        <v>57</v>
      </c>
      <c r="E1084" t="s">
        <v>2268</v>
      </c>
      <c r="F1084" s="1">
        <v>1</v>
      </c>
      <c r="G1084" s="1">
        <v>0</v>
      </c>
      <c r="H1084" t="s">
        <v>17</v>
      </c>
      <c r="I1084" t="s">
        <v>2269</v>
      </c>
      <c r="J1084" t="s">
        <v>2270</v>
      </c>
      <c r="K1084" s="3">
        <v>46606</v>
      </c>
      <c r="L1084" t="s">
        <v>2271</v>
      </c>
      <c r="M1084">
        <v>1.2999999999999999E-2</v>
      </c>
      <c r="N1084">
        <v>5120</v>
      </c>
      <c r="O1084">
        <f t="shared" si="48"/>
        <v>1.2999999999999999E-2</v>
      </c>
      <c r="P1084">
        <f t="shared" si="49"/>
        <v>1.9531250000000001E-4</v>
      </c>
      <c r="Q1084" t="str">
        <f t="shared" si="50"/>
        <v>Q26-03</v>
      </c>
    </row>
    <row r="1085" spans="1:17" x14ac:dyDescent="0.25">
      <c r="A1085" t="s">
        <v>12</v>
      </c>
      <c r="B1085" t="s">
        <v>2272</v>
      </c>
      <c r="C1085" t="s">
        <v>2273</v>
      </c>
      <c r="D1085" t="s">
        <v>44</v>
      </c>
      <c r="E1085" t="s">
        <v>2274</v>
      </c>
      <c r="F1085" s="1">
        <v>2</v>
      </c>
      <c r="G1085" s="1">
        <v>0</v>
      </c>
      <c r="H1085" t="s">
        <v>17</v>
      </c>
      <c r="I1085" t="s">
        <v>2275</v>
      </c>
      <c r="J1085" t="s">
        <v>2276</v>
      </c>
      <c r="K1085" s="3">
        <v>46477</v>
      </c>
      <c r="L1085" t="s">
        <v>2277</v>
      </c>
      <c r="M1085">
        <v>3.7999999999999999E-2</v>
      </c>
      <c r="N1085">
        <v>2304</v>
      </c>
      <c r="O1085">
        <f t="shared" si="48"/>
        <v>7.5999999999999998E-2</v>
      </c>
      <c r="P1085">
        <f t="shared" si="49"/>
        <v>8.6805555555555551E-4</v>
      </c>
      <c r="Q1085" t="str">
        <f t="shared" si="50"/>
        <v>Q26-01</v>
      </c>
    </row>
    <row r="1086" spans="1:17" x14ac:dyDescent="0.25">
      <c r="A1086" t="s">
        <v>12</v>
      </c>
      <c r="B1086" t="s">
        <v>1628</v>
      </c>
      <c r="C1086" t="s">
        <v>1629</v>
      </c>
      <c r="D1086" t="s">
        <v>57</v>
      </c>
      <c r="E1086" t="s">
        <v>2278</v>
      </c>
      <c r="F1086" s="1">
        <v>1</v>
      </c>
      <c r="G1086" s="1">
        <v>0</v>
      </c>
      <c r="H1086" t="s">
        <v>17</v>
      </c>
      <c r="I1086" t="s">
        <v>1631</v>
      </c>
      <c r="J1086" t="s">
        <v>2279</v>
      </c>
      <c r="K1086" s="3">
        <v>46836</v>
      </c>
      <c r="L1086" t="s">
        <v>2280</v>
      </c>
      <c r="M1086">
        <v>5.0999999999999997E-2</v>
      </c>
      <c r="N1086">
        <v>4200</v>
      </c>
      <c r="O1086">
        <f t="shared" si="48"/>
        <v>5.0999999999999997E-2</v>
      </c>
      <c r="P1086">
        <f t="shared" si="49"/>
        <v>2.380952380952381E-4</v>
      </c>
      <c r="Q1086" t="str">
        <f t="shared" si="50"/>
        <v>Q26-03</v>
      </c>
    </row>
    <row r="1087" spans="1:17" x14ac:dyDescent="0.25">
      <c r="A1087" t="s">
        <v>12</v>
      </c>
      <c r="B1087" t="s">
        <v>2281</v>
      </c>
      <c r="C1087" t="s">
        <v>2282</v>
      </c>
      <c r="D1087" t="s">
        <v>77</v>
      </c>
      <c r="E1087" t="s">
        <v>2283</v>
      </c>
      <c r="F1087" s="1">
        <v>14</v>
      </c>
      <c r="G1087" s="1">
        <v>0</v>
      </c>
      <c r="H1087" t="s">
        <v>17</v>
      </c>
      <c r="I1087" t="s">
        <v>1968</v>
      </c>
      <c r="J1087" t="s">
        <v>2284</v>
      </c>
      <c r="K1087" s="3">
        <v>45991</v>
      </c>
      <c r="L1087" t="s">
        <v>2285</v>
      </c>
      <c r="M1087">
        <v>2.1999999999999999E-2</v>
      </c>
      <c r="N1087">
        <v>6720</v>
      </c>
      <c r="O1087">
        <f t="shared" si="48"/>
        <v>0.308</v>
      </c>
      <c r="P1087">
        <f t="shared" si="49"/>
        <v>2.0833333333333333E-3</v>
      </c>
      <c r="Q1087" t="str">
        <f t="shared" si="50"/>
        <v>Q27-01</v>
      </c>
    </row>
    <row r="1088" spans="1:17" x14ac:dyDescent="0.25">
      <c r="A1088" t="s">
        <v>12</v>
      </c>
      <c r="B1088" t="s">
        <v>770</v>
      </c>
      <c r="C1088" t="s">
        <v>771</v>
      </c>
      <c r="D1088" t="s">
        <v>44</v>
      </c>
      <c r="E1088" t="s">
        <v>2286</v>
      </c>
      <c r="F1088" s="1">
        <v>20</v>
      </c>
      <c r="G1088" s="1">
        <v>0</v>
      </c>
      <c r="H1088" t="s">
        <v>17</v>
      </c>
      <c r="I1088" t="s">
        <v>773</v>
      </c>
      <c r="J1088" t="s">
        <v>2287</v>
      </c>
      <c r="K1088" s="3">
        <v>46052</v>
      </c>
      <c r="L1088" t="s">
        <v>2288</v>
      </c>
      <c r="M1088">
        <v>2.1000000000000001E-2</v>
      </c>
      <c r="N1088">
        <v>4050</v>
      </c>
      <c r="O1088">
        <f t="shared" si="48"/>
        <v>0.42000000000000004</v>
      </c>
      <c r="P1088">
        <f t="shared" si="49"/>
        <v>4.9382716049382715E-3</v>
      </c>
      <c r="Q1088" t="str">
        <f t="shared" si="50"/>
        <v>Q26-01</v>
      </c>
    </row>
    <row r="1089" spans="1:17" x14ac:dyDescent="0.25">
      <c r="A1089" t="s">
        <v>12</v>
      </c>
      <c r="B1089" t="s">
        <v>2272</v>
      </c>
      <c r="C1089" t="s">
        <v>2273</v>
      </c>
      <c r="D1089" t="s">
        <v>57</v>
      </c>
      <c r="E1089" t="s">
        <v>2289</v>
      </c>
      <c r="F1089" s="1">
        <v>1</v>
      </c>
      <c r="G1089" s="1">
        <v>0</v>
      </c>
      <c r="H1089" t="s">
        <v>17</v>
      </c>
      <c r="I1089" t="s">
        <v>2275</v>
      </c>
      <c r="J1089" t="s">
        <v>2290</v>
      </c>
      <c r="K1089" s="3">
        <v>46477</v>
      </c>
      <c r="L1089" t="s">
        <v>2277</v>
      </c>
      <c r="M1089">
        <v>3.7999999999999999E-2</v>
      </c>
      <c r="N1089">
        <v>2304</v>
      </c>
      <c r="O1089">
        <f t="shared" si="48"/>
        <v>3.7999999999999999E-2</v>
      </c>
      <c r="P1089">
        <f t="shared" si="49"/>
        <v>4.3402777777777775E-4</v>
      </c>
      <c r="Q1089" t="str">
        <f t="shared" si="50"/>
        <v>Q26-03</v>
      </c>
    </row>
    <row r="1090" spans="1:17" x14ac:dyDescent="0.25">
      <c r="A1090" t="s">
        <v>12</v>
      </c>
      <c r="B1090" t="s">
        <v>1368</v>
      </c>
      <c r="C1090" t="s">
        <v>1369</v>
      </c>
      <c r="D1090" t="s">
        <v>244</v>
      </c>
      <c r="E1090" t="s">
        <v>2291</v>
      </c>
      <c r="F1090" s="1">
        <v>825</v>
      </c>
      <c r="G1090" s="1">
        <v>0</v>
      </c>
      <c r="H1090" t="s">
        <v>17</v>
      </c>
      <c r="I1090" t="s">
        <v>1371</v>
      </c>
      <c r="J1090" t="s">
        <v>2292</v>
      </c>
      <c r="K1090" s="3">
        <v>46326</v>
      </c>
      <c r="L1090" t="s">
        <v>2293</v>
      </c>
      <c r="M1090">
        <v>9.4E-2</v>
      </c>
      <c r="N1090">
        <v>2400</v>
      </c>
      <c r="O1090">
        <f t="shared" si="48"/>
        <v>77.55</v>
      </c>
      <c r="P1090">
        <f t="shared" si="49"/>
        <v>0.34375</v>
      </c>
      <c r="Q1090" t="str">
        <f t="shared" si="50"/>
        <v>Q27-03</v>
      </c>
    </row>
    <row r="1091" spans="1:17" x14ac:dyDescent="0.25">
      <c r="A1091" t="s">
        <v>12</v>
      </c>
      <c r="B1091" t="s">
        <v>1368</v>
      </c>
      <c r="C1091" t="s">
        <v>1369</v>
      </c>
      <c r="D1091" t="s">
        <v>244</v>
      </c>
      <c r="E1091" t="s">
        <v>2294</v>
      </c>
      <c r="F1091" s="1">
        <v>107</v>
      </c>
      <c r="G1091" s="1">
        <v>0</v>
      </c>
      <c r="H1091" t="s">
        <v>17</v>
      </c>
      <c r="I1091" t="s">
        <v>1371</v>
      </c>
      <c r="J1091" t="s">
        <v>2292</v>
      </c>
      <c r="K1091" s="3">
        <v>46326</v>
      </c>
      <c r="L1091" t="s">
        <v>2293</v>
      </c>
      <c r="M1091">
        <v>9.4E-2</v>
      </c>
      <c r="N1091">
        <v>2400</v>
      </c>
      <c r="O1091">
        <f t="shared" ref="O1091:O1154" si="51">F1091*M1091</f>
        <v>10.058</v>
      </c>
      <c r="P1091">
        <f t="shared" ref="P1091:P1154" si="52">F1091/N1091</f>
        <v>4.4583333333333336E-2</v>
      </c>
      <c r="Q1091" t="str">
        <f t="shared" ref="Q1091:Q1154" si="53">LEFT(D1091,6)</f>
        <v>Q27-03</v>
      </c>
    </row>
    <row r="1092" spans="1:17" x14ac:dyDescent="0.25">
      <c r="A1092" t="s">
        <v>12</v>
      </c>
      <c r="B1092" t="s">
        <v>2295</v>
      </c>
      <c r="C1092" t="s">
        <v>2296</v>
      </c>
      <c r="D1092" t="s">
        <v>441</v>
      </c>
      <c r="E1092" t="s">
        <v>2297</v>
      </c>
      <c r="F1092" s="1">
        <v>26</v>
      </c>
      <c r="G1092" s="1">
        <v>0</v>
      </c>
      <c r="H1092" t="s">
        <v>17</v>
      </c>
      <c r="I1092" t="s">
        <v>2298</v>
      </c>
      <c r="J1092" t="s">
        <v>2299</v>
      </c>
      <c r="K1092" s="3">
        <v>46564</v>
      </c>
      <c r="L1092" t="s">
        <v>2300</v>
      </c>
      <c r="M1092">
        <v>0.14399999999999999</v>
      </c>
      <c r="N1092">
        <v>1728</v>
      </c>
      <c r="O1092">
        <f t="shared" si="51"/>
        <v>3.7439999999999998</v>
      </c>
      <c r="P1092">
        <f t="shared" si="52"/>
        <v>1.5046296296296295E-2</v>
      </c>
      <c r="Q1092" t="str">
        <f t="shared" si="53"/>
        <v>Q26-03</v>
      </c>
    </row>
    <row r="1093" spans="1:17" x14ac:dyDescent="0.25">
      <c r="A1093" t="s">
        <v>12</v>
      </c>
      <c r="B1093" t="s">
        <v>2301</v>
      </c>
      <c r="C1093" t="s">
        <v>2302</v>
      </c>
      <c r="D1093" t="s">
        <v>441</v>
      </c>
      <c r="E1093" t="s">
        <v>2303</v>
      </c>
      <c r="F1093" s="1">
        <v>4</v>
      </c>
      <c r="G1093" s="1">
        <v>0</v>
      </c>
      <c r="H1093" t="s">
        <v>17</v>
      </c>
      <c r="I1093" t="s">
        <v>2304</v>
      </c>
      <c r="J1093" t="s">
        <v>2299</v>
      </c>
      <c r="K1093" s="3">
        <v>46563</v>
      </c>
      <c r="L1093" t="s">
        <v>2305</v>
      </c>
      <c r="M1093">
        <v>0.14399999999999999</v>
      </c>
      <c r="N1093">
        <v>1728</v>
      </c>
      <c r="O1093">
        <f t="shared" si="51"/>
        <v>0.57599999999999996</v>
      </c>
      <c r="P1093">
        <f t="shared" si="52"/>
        <v>2.3148148148148147E-3</v>
      </c>
      <c r="Q1093" t="str">
        <f t="shared" si="53"/>
        <v>Q26-03</v>
      </c>
    </row>
    <row r="1094" spans="1:17" x14ac:dyDescent="0.25">
      <c r="A1094" t="s">
        <v>12</v>
      </c>
      <c r="B1094" t="s">
        <v>2306</v>
      </c>
      <c r="C1094" t="s">
        <v>2307</v>
      </c>
      <c r="D1094" t="s">
        <v>441</v>
      </c>
      <c r="E1094" t="s">
        <v>2308</v>
      </c>
      <c r="F1094" s="1">
        <v>1</v>
      </c>
      <c r="G1094" s="1">
        <v>0</v>
      </c>
      <c r="H1094" t="s">
        <v>17</v>
      </c>
      <c r="I1094" t="s">
        <v>2309</v>
      </c>
      <c r="J1094" t="s">
        <v>2310</v>
      </c>
      <c r="K1094" s="3">
        <v>46616</v>
      </c>
      <c r="L1094" t="s">
        <v>2311</v>
      </c>
      <c r="M1094">
        <v>6.4000000000000001E-2</v>
      </c>
      <c r="N1094">
        <v>432</v>
      </c>
      <c r="O1094">
        <f t="shared" si="51"/>
        <v>6.4000000000000001E-2</v>
      </c>
      <c r="P1094">
        <f t="shared" si="52"/>
        <v>2.3148148148148147E-3</v>
      </c>
      <c r="Q1094" t="str">
        <f t="shared" si="53"/>
        <v>Q26-03</v>
      </c>
    </row>
    <row r="1095" spans="1:17" x14ac:dyDescent="0.25">
      <c r="A1095" t="s">
        <v>12</v>
      </c>
      <c r="B1095" t="s">
        <v>2306</v>
      </c>
      <c r="C1095" t="s">
        <v>2307</v>
      </c>
      <c r="D1095" t="s">
        <v>441</v>
      </c>
      <c r="E1095" t="s">
        <v>2312</v>
      </c>
      <c r="F1095" s="1">
        <v>1</v>
      </c>
      <c r="G1095" s="1">
        <v>0</v>
      </c>
      <c r="H1095" t="s">
        <v>17</v>
      </c>
      <c r="I1095" t="s">
        <v>2309</v>
      </c>
      <c r="J1095" t="s">
        <v>2310</v>
      </c>
      <c r="K1095" s="3">
        <v>46614</v>
      </c>
      <c r="L1095" t="s">
        <v>2313</v>
      </c>
      <c r="M1095">
        <v>6.4000000000000001E-2</v>
      </c>
      <c r="N1095">
        <v>432</v>
      </c>
      <c r="O1095">
        <f t="shared" si="51"/>
        <v>6.4000000000000001E-2</v>
      </c>
      <c r="P1095">
        <f t="shared" si="52"/>
        <v>2.3148148148148147E-3</v>
      </c>
      <c r="Q1095" t="str">
        <f t="shared" si="53"/>
        <v>Q26-03</v>
      </c>
    </row>
    <row r="1096" spans="1:17" x14ac:dyDescent="0.25">
      <c r="A1096" t="s">
        <v>12</v>
      </c>
      <c r="B1096" t="s">
        <v>1550</v>
      </c>
      <c r="C1096" t="s">
        <v>1551</v>
      </c>
      <c r="D1096" t="s">
        <v>121</v>
      </c>
      <c r="E1096" t="s">
        <v>2314</v>
      </c>
      <c r="F1096" s="2">
        <v>1113</v>
      </c>
      <c r="G1096" s="1">
        <v>0</v>
      </c>
      <c r="H1096" t="s">
        <v>17</v>
      </c>
      <c r="I1096" t="s">
        <v>84</v>
      </c>
      <c r="J1096" t="s">
        <v>90</v>
      </c>
      <c r="K1096" s="3">
        <v>46697</v>
      </c>
      <c r="L1096" t="s">
        <v>123</v>
      </c>
      <c r="M1096">
        <v>0</v>
      </c>
      <c r="N1096">
        <v>0</v>
      </c>
      <c r="O1096">
        <f t="shared" si="51"/>
        <v>0</v>
      </c>
      <c r="Q1096" t="str">
        <f t="shared" si="53"/>
        <v>Q27-01</v>
      </c>
    </row>
    <row r="1097" spans="1:17" x14ac:dyDescent="0.25">
      <c r="A1097" t="s">
        <v>12</v>
      </c>
      <c r="B1097" t="s">
        <v>1550</v>
      </c>
      <c r="C1097" t="s">
        <v>1551</v>
      </c>
      <c r="D1097" t="s">
        <v>121</v>
      </c>
      <c r="E1097" t="s">
        <v>2315</v>
      </c>
      <c r="F1097" s="1">
        <v>639</v>
      </c>
      <c r="G1097" s="1">
        <v>0</v>
      </c>
      <c r="H1097" t="s">
        <v>17</v>
      </c>
      <c r="I1097" t="s">
        <v>84</v>
      </c>
      <c r="J1097" t="s">
        <v>90</v>
      </c>
      <c r="K1097" s="3">
        <v>46697</v>
      </c>
      <c r="L1097" t="s">
        <v>123</v>
      </c>
      <c r="M1097">
        <v>0</v>
      </c>
      <c r="N1097">
        <v>0</v>
      </c>
      <c r="O1097">
        <f t="shared" si="51"/>
        <v>0</v>
      </c>
      <c r="Q1097" t="str">
        <f t="shared" si="53"/>
        <v>Q27-01</v>
      </c>
    </row>
    <row r="1098" spans="1:17" x14ac:dyDescent="0.25">
      <c r="A1098" t="s">
        <v>12</v>
      </c>
      <c r="B1098" t="s">
        <v>2089</v>
      </c>
      <c r="C1098" t="s">
        <v>2090</v>
      </c>
      <c r="D1098" t="s">
        <v>121</v>
      </c>
      <c r="E1098" t="s">
        <v>2316</v>
      </c>
      <c r="F1098" s="2">
        <v>1210</v>
      </c>
      <c r="G1098" s="1">
        <v>0</v>
      </c>
      <c r="H1098" t="s">
        <v>17</v>
      </c>
      <c r="I1098" t="s">
        <v>84</v>
      </c>
      <c r="J1098" t="s">
        <v>90</v>
      </c>
      <c r="K1098" s="3">
        <v>46697</v>
      </c>
      <c r="L1098" t="s">
        <v>123</v>
      </c>
      <c r="M1098">
        <v>0</v>
      </c>
      <c r="N1098">
        <v>0</v>
      </c>
      <c r="O1098">
        <f t="shared" si="51"/>
        <v>0</v>
      </c>
      <c r="Q1098" t="str">
        <f t="shared" si="53"/>
        <v>Q27-01</v>
      </c>
    </row>
    <row r="1099" spans="1:17" x14ac:dyDescent="0.25">
      <c r="A1099" t="s">
        <v>12</v>
      </c>
      <c r="B1099" t="s">
        <v>850</v>
      </c>
      <c r="C1099" t="s">
        <v>851</v>
      </c>
      <c r="D1099" t="s">
        <v>121</v>
      </c>
      <c r="E1099" t="s">
        <v>2317</v>
      </c>
      <c r="F1099" s="2">
        <v>1497</v>
      </c>
      <c r="G1099" s="1">
        <v>0</v>
      </c>
      <c r="H1099" t="s">
        <v>17</v>
      </c>
      <c r="I1099" t="s">
        <v>84</v>
      </c>
      <c r="J1099" t="s">
        <v>90</v>
      </c>
      <c r="K1099" s="3">
        <v>46697</v>
      </c>
      <c r="L1099" t="s">
        <v>123</v>
      </c>
      <c r="M1099">
        <v>0</v>
      </c>
      <c r="N1099">
        <v>0</v>
      </c>
      <c r="O1099">
        <f t="shared" si="51"/>
        <v>0</v>
      </c>
      <c r="Q1099" t="str">
        <f t="shared" si="53"/>
        <v>Q27-01</v>
      </c>
    </row>
    <row r="1100" spans="1:17" x14ac:dyDescent="0.25">
      <c r="A1100" t="s">
        <v>12</v>
      </c>
      <c r="B1100" t="s">
        <v>1234</v>
      </c>
      <c r="C1100" t="s">
        <v>1235</v>
      </c>
      <c r="D1100" t="s">
        <v>121</v>
      </c>
      <c r="E1100" t="s">
        <v>2318</v>
      </c>
      <c r="F1100" s="1">
        <v>898</v>
      </c>
      <c r="G1100" s="1">
        <v>0</v>
      </c>
      <c r="H1100" t="s">
        <v>17</v>
      </c>
      <c r="I1100" t="s">
        <v>84</v>
      </c>
      <c r="J1100" t="s">
        <v>90</v>
      </c>
      <c r="K1100" s="3">
        <v>46697</v>
      </c>
      <c r="L1100" t="s">
        <v>123</v>
      </c>
      <c r="M1100">
        <v>0</v>
      </c>
      <c r="N1100">
        <v>0</v>
      </c>
      <c r="O1100">
        <f t="shared" si="51"/>
        <v>0</v>
      </c>
      <c r="Q1100" t="str">
        <f t="shared" si="53"/>
        <v>Q27-01</v>
      </c>
    </row>
    <row r="1101" spans="1:17" x14ac:dyDescent="0.25">
      <c r="A1101" t="s">
        <v>12</v>
      </c>
      <c r="B1101" t="s">
        <v>1237</v>
      </c>
      <c r="C1101" t="s">
        <v>1238</v>
      </c>
      <c r="D1101" t="s">
        <v>121</v>
      </c>
      <c r="E1101" t="s">
        <v>2319</v>
      </c>
      <c r="F1101" s="2">
        <v>4800</v>
      </c>
      <c r="G1101" s="1">
        <v>0</v>
      </c>
      <c r="H1101" t="s">
        <v>17</v>
      </c>
      <c r="I1101" t="s">
        <v>84</v>
      </c>
      <c r="J1101" t="s">
        <v>90</v>
      </c>
      <c r="K1101" s="3">
        <v>46697</v>
      </c>
      <c r="L1101" t="s">
        <v>123</v>
      </c>
      <c r="M1101">
        <v>0</v>
      </c>
      <c r="N1101">
        <v>0</v>
      </c>
      <c r="O1101">
        <f t="shared" si="51"/>
        <v>0</v>
      </c>
      <c r="Q1101" t="str">
        <f t="shared" si="53"/>
        <v>Q27-01</v>
      </c>
    </row>
    <row r="1102" spans="1:17" x14ac:dyDescent="0.25">
      <c r="A1102" t="s">
        <v>12</v>
      </c>
      <c r="B1102" t="s">
        <v>986</v>
      </c>
      <c r="C1102" t="s">
        <v>987</v>
      </c>
      <c r="D1102" t="s">
        <v>121</v>
      </c>
      <c r="E1102" t="s">
        <v>2320</v>
      </c>
      <c r="F1102" s="2">
        <v>1399</v>
      </c>
      <c r="G1102" s="1">
        <v>0</v>
      </c>
      <c r="H1102" t="s">
        <v>17</v>
      </c>
      <c r="I1102" t="s">
        <v>84</v>
      </c>
      <c r="J1102" t="s">
        <v>90</v>
      </c>
      <c r="K1102" s="3">
        <v>46697</v>
      </c>
      <c r="L1102" t="s">
        <v>123</v>
      </c>
      <c r="M1102">
        <v>0</v>
      </c>
      <c r="N1102">
        <v>0</v>
      </c>
      <c r="O1102">
        <f t="shared" si="51"/>
        <v>0</v>
      </c>
      <c r="Q1102" t="str">
        <f t="shared" si="53"/>
        <v>Q27-01</v>
      </c>
    </row>
    <row r="1103" spans="1:17" x14ac:dyDescent="0.25">
      <c r="A1103" t="s">
        <v>12</v>
      </c>
      <c r="B1103" t="s">
        <v>1241</v>
      </c>
      <c r="C1103" t="s">
        <v>1242</v>
      </c>
      <c r="D1103" t="s">
        <v>44</v>
      </c>
      <c r="E1103" t="s">
        <v>2321</v>
      </c>
      <c r="F1103" s="1">
        <v>2</v>
      </c>
      <c r="G1103" s="1">
        <v>0</v>
      </c>
      <c r="H1103" t="s">
        <v>17</v>
      </c>
      <c r="I1103" t="s">
        <v>1244</v>
      </c>
      <c r="J1103" t="s">
        <v>2322</v>
      </c>
      <c r="K1103" s="3">
        <v>46660</v>
      </c>
      <c r="L1103" t="s">
        <v>2323</v>
      </c>
      <c r="M1103">
        <v>4.1000000000000002E-2</v>
      </c>
      <c r="N1103">
        <v>2592</v>
      </c>
      <c r="O1103">
        <f t="shared" si="51"/>
        <v>8.2000000000000003E-2</v>
      </c>
      <c r="P1103">
        <f t="shared" si="52"/>
        <v>7.716049382716049E-4</v>
      </c>
      <c r="Q1103" t="str">
        <f t="shared" si="53"/>
        <v>Q26-01</v>
      </c>
    </row>
    <row r="1104" spans="1:17" x14ac:dyDescent="0.25">
      <c r="A1104" t="s">
        <v>12</v>
      </c>
      <c r="B1104" t="s">
        <v>1628</v>
      </c>
      <c r="C1104" t="s">
        <v>1629</v>
      </c>
      <c r="D1104" t="s">
        <v>441</v>
      </c>
      <c r="E1104" t="s">
        <v>2324</v>
      </c>
      <c r="F1104" s="1">
        <v>1</v>
      </c>
      <c r="G1104" s="1">
        <v>0</v>
      </c>
      <c r="H1104" t="s">
        <v>17</v>
      </c>
      <c r="I1104" t="s">
        <v>1631</v>
      </c>
      <c r="J1104" t="s">
        <v>2325</v>
      </c>
      <c r="K1104" s="3">
        <v>46909</v>
      </c>
      <c r="L1104" t="s">
        <v>2326</v>
      </c>
      <c r="M1104">
        <v>5.0999999999999997E-2</v>
      </c>
      <c r="N1104">
        <v>4200</v>
      </c>
      <c r="O1104">
        <f t="shared" si="51"/>
        <v>5.0999999999999997E-2</v>
      </c>
      <c r="P1104">
        <f t="shared" si="52"/>
        <v>2.380952380952381E-4</v>
      </c>
      <c r="Q1104" t="str">
        <f t="shared" si="53"/>
        <v>Q26-03</v>
      </c>
    </row>
    <row r="1105" spans="1:17" x14ac:dyDescent="0.25">
      <c r="A1105" t="s">
        <v>12</v>
      </c>
      <c r="B1105" t="s">
        <v>1926</v>
      </c>
      <c r="C1105" t="s">
        <v>1927</v>
      </c>
      <c r="D1105" t="s">
        <v>441</v>
      </c>
      <c r="E1105" t="s">
        <v>2327</v>
      </c>
      <c r="F1105" s="1">
        <v>34</v>
      </c>
      <c r="G1105" s="1">
        <v>0</v>
      </c>
      <c r="H1105" t="s">
        <v>17</v>
      </c>
      <c r="I1105" t="s">
        <v>1929</v>
      </c>
      <c r="J1105" t="s">
        <v>2325</v>
      </c>
      <c r="K1105" s="3">
        <v>46843</v>
      </c>
      <c r="L1105" t="s">
        <v>2328</v>
      </c>
      <c r="M1105">
        <v>4.7899999999999998E-2</v>
      </c>
      <c r="N1105">
        <v>4200</v>
      </c>
      <c r="O1105">
        <f t="shared" si="51"/>
        <v>1.6286</v>
      </c>
      <c r="P1105">
        <f t="shared" si="52"/>
        <v>8.0952380952380946E-3</v>
      </c>
      <c r="Q1105" t="str">
        <f t="shared" si="53"/>
        <v>Q26-03</v>
      </c>
    </row>
    <row r="1106" spans="1:17" x14ac:dyDescent="0.25">
      <c r="A1106" t="s">
        <v>12</v>
      </c>
      <c r="B1106" t="s">
        <v>1926</v>
      </c>
      <c r="C1106" t="s">
        <v>1927</v>
      </c>
      <c r="D1106" t="s">
        <v>441</v>
      </c>
      <c r="E1106" t="s">
        <v>2329</v>
      </c>
      <c r="F1106" s="1">
        <v>19</v>
      </c>
      <c r="G1106" s="1">
        <v>0</v>
      </c>
      <c r="H1106" t="s">
        <v>17</v>
      </c>
      <c r="I1106" t="s">
        <v>1929</v>
      </c>
      <c r="J1106" t="s">
        <v>2325</v>
      </c>
      <c r="K1106" s="3">
        <v>46843</v>
      </c>
      <c r="L1106" t="s">
        <v>2328</v>
      </c>
      <c r="M1106">
        <v>4.7899999999999998E-2</v>
      </c>
      <c r="N1106">
        <v>4200</v>
      </c>
      <c r="O1106">
        <f t="shared" si="51"/>
        <v>0.91009999999999991</v>
      </c>
      <c r="P1106">
        <f t="shared" si="52"/>
        <v>4.5238095238095237E-3</v>
      </c>
      <c r="Q1106" t="str">
        <f t="shared" si="53"/>
        <v>Q26-03</v>
      </c>
    </row>
    <row r="1107" spans="1:17" x14ac:dyDescent="0.25">
      <c r="A1107" t="s">
        <v>12</v>
      </c>
      <c r="B1107" t="s">
        <v>2330</v>
      </c>
      <c r="C1107" t="s">
        <v>2331</v>
      </c>
      <c r="D1107" t="s">
        <v>44</v>
      </c>
      <c r="E1107" t="s">
        <v>2332</v>
      </c>
      <c r="F1107" s="1">
        <v>1</v>
      </c>
      <c r="G1107" s="1">
        <v>0</v>
      </c>
      <c r="H1107" t="s">
        <v>17</v>
      </c>
      <c r="I1107" t="s">
        <v>2333</v>
      </c>
      <c r="J1107" t="s">
        <v>2334</v>
      </c>
      <c r="K1107" s="3">
        <v>46081</v>
      </c>
      <c r="L1107" t="s">
        <v>2335</v>
      </c>
      <c r="M1107">
        <v>5.3999999999999999E-2</v>
      </c>
      <c r="N1107">
        <v>1620</v>
      </c>
      <c r="O1107">
        <f t="shared" si="51"/>
        <v>5.3999999999999999E-2</v>
      </c>
      <c r="P1107">
        <f t="shared" si="52"/>
        <v>6.1728395061728394E-4</v>
      </c>
      <c r="Q1107" t="str">
        <f t="shared" si="53"/>
        <v>Q26-01</v>
      </c>
    </row>
    <row r="1108" spans="1:17" x14ac:dyDescent="0.25">
      <c r="A1108" t="s">
        <v>12</v>
      </c>
      <c r="B1108" t="s">
        <v>2336</v>
      </c>
      <c r="C1108" t="s">
        <v>2337</v>
      </c>
      <c r="D1108" t="s">
        <v>57</v>
      </c>
      <c r="E1108" t="s">
        <v>2338</v>
      </c>
      <c r="F1108" s="1">
        <v>1</v>
      </c>
      <c r="G1108" s="1">
        <v>0</v>
      </c>
      <c r="H1108" t="s">
        <v>17</v>
      </c>
      <c r="I1108" t="s">
        <v>2339</v>
      </c>
      <c r="J1108" t="s">
        <v>2340</v>
      </c>
      <c r="K1108" s="3">
        <v>46538</v>
      </c>
      <c r="L1108" t="s">
        <v>2341</v>
      </c>
      <c r="M1108">
        <v>0.13800000000000001</v>
      </c>
      <c r="N1108">
        <v>2025</v>
      </c>
      <c r="O1108">
        <f t="shared" si="51"/>
        <v>0.13800000000000001</v>
      </c>
      <c r="P1108">
        <f t="shared" si="52"/>
        <v>4.9382716049382717E-4</v>
      </c>
      <c r="Q1108" t="str">
        <f t="shared" si="53"/>
        <v>Q26-03</v>
      </c>
    </row>
    <row r="1109" spans="1:17" x14ac:dyDescent="0.25">
      <c r="A1109" t="s">
        <v>12</v>
      </c>
      <c r="B1109" t="s">
        <v>1330</v>
      </c>
      <c r="C1109" t="s">
        <v>1331</v>
      </c>
      <c r="D1109" t="s">
        <v>1332</v>
      </c>
      <c r="E1109" t="s">
        <v>2342</v>
      </c>
      <c r="F1109" s="1">
        <v>367</v>
      </c>
      <c r="G1109" s="1">
        <v>0</v>
      </c>
      <c r="H1109" t="s">
        <v>17</v>
      </c>
      <c r="I1109" t="s">
        <v>1334</v>
      </c>
      <c r="J1109" t="s">
        <v>2334</v>
      </c>
      <c r="K1109" s="3">
        <v>46116</v>
      </c>
      <c r="L1109" t="s">
        <v>1336</v>
      </c>
      <c r="M1109">
        <v>0.04</v>
      </c>
      <c r="N1109">
        <v>9000</v>
      </c>
      <c r="O1109">
        <f t="shared" si="51"/>
        <v>14.68</v>
      </c>
      <c r="P1109">
        <f t="shared" si="52"/>
        <v>4.0777777777777781E-2</v>
      </c>
      <c r="Q1109" t="str">
        <f t="shared" si="53"/>
        <v>Q26-01</v>
      </c>
    </row>
    <row r="1110" spans="1:17" x14ac:dyDescent="0.25">
      <c r="A1110" t="s">
        <v>12</v>
      </c>
      <c r="B1110" t="s">
        <v>1368</v>
      </c>
      <c r="C1110" t="s">
        <v>1369</v>
      </c>
      <c r="D1110" t="s">
        <v>244</v>
      </c>
      <c r="E1110" t="s">
        <v>2343</v>
      </c>
      <c r="F1110" s="1">
        <v>7</v>
      </c>
      <c r="G1110" s="1">
        <v>0</v>
      </c>
      <c r="H1110" t="s">
        <v>17</v>
      </c>
      <c r="I1110" t="s">
        <v>1371</v>
      </c>
      <c r="J1110" t="s">
        <v>2334</v>
      </c>
      <c r="K1110" s="3">
        <v>46326</v>
      </c>
      <c r="L1110" t="s">
        <v>1373</v>
      </c>
      <c r="M1110">
        <v>9.4E-2</v>
      </c>
      <c r="N1110">
        <v>2400</v>
      </c>
      <c r="O1110">
        <f t="shared" si="51"/>
        <v>0.65800000000000003</v>
      </c>
      <c r="P1110">
        <f t="shared" si="52"/>
        <v>2.9166666666666668E-3</v>
      </c>
      <c r="Q1110" t="str">
        <f t="shared" si="53"/>
        <v>Q27-03</v>
      </c>
    </row>
    <row r="1111" spans="1:17" x14ac:dyDescent="0.25">
      <c r="A1111" t="s">
        <v>12</v>
      </c>
      <c r="B1111" t="s">
        <v>2344</v>
      </c>
      <c r="C1111" t="s">
        <v>2345</v>
      </c>
      <c r="D1111" t="s">
        <v>44</v>
      </c>
      <c r="E1111" t="s">
        <v>2346</v>
      </c>
      <c r="F1111" s="1">
        <v>4</v>
      </c>
      <c r="G1111" s="1">
        <v>0</v>
      </c>
      <c r="H1111" t="s">
        <v>17</v>
      </c>
      <c r="I1111" t="s">
        <v>2347</v>
      </c>
      <c r="J1111" t="s">
        <v>2348</v>
      </c>
      <c r="K1111" s="3">
        <v>46660</v>
      </c>
      <c r="L1111" t="s">
        <v>2349</v>
      </c>
      <c r="M1111">
        <v>4.8000000000000001E-2</v>
      </c>
      <c r="N1111">
        <v>2592</v>
      </c>
      <c r="O1111">
        <f t="shared" si="51"/>
        <v>0.192</v>
      </c>
      <c r="P1111">
        <f t="shared" si="52"/>
        <v>1.5432098765432098E-3</v>
      </c>
      <c r="Q1111" t="str">
        <f t="shared" si="53"/>
        <v>Q26-01</v>
      </c>
    </row>
    <row r="1112" spans="1:17" x14ac:dyDescent="0.25">
      <c r="A1112" t="s">
        <v>12</v>
      </c>
      <c r="B1112" t="s">
        <v>2350</v>
      </c>
      <c r="C1112" t="s">
        <v>2351</v>
      </c>
      <c r="D1112" t="s">
        <v>441</v>
      </c>
      <c r="E1112" t="s">
        <v>2352</v>
      </c>
      <c r="F1112" s="1">
        <v>2</v>
      </c>
      <c r="G1112" s="1">
        <v>0</v>
      </c>
      <c r="H1112" t="s">
        <v>17</v>
      </c>
      <c r="I1112" t="s">
        <v>2353</v>
      </c>
      <c r="J1112" t="s">
        <v>2354</v>
      </c>
      <c r="K1112" s="3">
        <v>46561</v>
      </c>
      <c r="L1112" t="s">
        <v>2355</v>
      </c>
      <c r="M1112">
        <v>6.6000000000000003E-2</v>
      </c>
      <c r="N1112">
        <v>1344</v>
      </c>
      <c r="O1112">
        <f t="shared" si="51"/>
        <v>0.13200000000000001</v>
      </c>
      <c r="P1112">
        <f t="shared" si="52"/>
        <v>1.488095238095238E-3</v>
      </c>
      <c r="Q1112" t="str">
        <f t="shared" si="53"/>
        <v>Q26-03</v>
      </c>
    </row>
    <row r="1113" spans="1:17" x14ac:dyDescent="0.25">
      <c r="A1113" t="s">
        <v>12</v>
      </c>
      <c r="B1113" t="s">
        <v>2295</v>
      </c>
      <c r="C1113" t="s">
        <v>2296</v>
      </c>
      <c r="D1113" t="s">
        <v>441</v>
      </c>
      <c r="E1113" t="s">
        <v>2356</v>
      </c>
      <c r="F1113" s="1">
        <v>2</v>
      </c>
      <c r="G1113" s="1">
        <v>0</v>
      </c>
      <c r="H1113" t="s">
        <v>17</v>
      </c>
      <c r="I1113" t="s">
        <v>2298</v>
      </c>
      <c r="J1113" t="s">
        <v>2354</v>
      </c>
      <c r="K1113" s="3">
        <v>46564</v>
      </c>
      <c r="L1113" t="s">
        <v>2357</v>
      </c>
      <c r="M1113">
        <v>0.14399999999999999</v>
      </c>
      <c r="N1113">
        <v>1728</v>
      </c>
      <c r="O1113">
        <f t="shared" si="51"/>
        <v>0.28799999999999998</v>
      </c>
      <c r="P1113">
        <f t="shared" si="52"/>
        <v>1.1574074074074073E-3</v>
      </c>
      <c r="Q1113" t="str">
        <f t="shared" si="53"/>
        <v>Q26-03</v>
      </c>
    </row>
    <row r="1114" spans="1:17" x14ac:dyDescent="0.25">
      <c r="A1114" t="s">
        <v>12</v>
      </c>
      <c r="B1114" t="s">
        <v>2295</v>
      </c>
      <c r="C1114" t="s">
        <v>2296</v>
      </c>
      <c r="D1114" t="s">
        <v>441</v>
      </c>
      <c r="E1114" t="s">
        <v>2358</v>
      </c>
      <c r="F1114" s="1">
        <v>15</v>
      </c>
      <c r="G1114" s="1">
        <v>0</v>
      </c>
      <c r="H1114" t="s">
        <v>17</v>
      </c>
      <c r="I1114" t="s">
        <v>2298</v>
      </c>
      <c r="J1114" t="s">
        <v>2354</v>
      </c>
      <c r="K1114" s="3">
        <v>46564</v>
      </c>
      <c r="L1114" t="s">
        <v>2300</v>
      </c>
      <c r="M1114">
        <v>0.14399999999999999</v>
      </c>
      <c r="N1114">
        <v>1728</v>
      </c>
      <c r="O1114">
        <f t="shared" si="51"/>
        <v>2.1599999999999997</v>
      </c>
      <c r="P1114">
        <f t="shared" si="52"/>
        <v>8.6805555555555559E-3</v>
      </c>
      <c r="Q1114" t="str">
        <f t="shared" si="53"/>
        <v>Q26-03</v>
      </c>
    </row>
    <row r="1115" spans="1:17" x14ac:dyDescent="0.25">
      <c r="A1115" t="s">
        <v>12</v>
      </c>
      <c r="B1115" t="s">
        <v>2301</v>
      </c>
      <c r="C1115" t="s">
        <v>2302</v>
      </c>
      <c r="D1115" t="s">
        <v>441</v>
      </c>
      <c r="E1115" t="s">
        <v>2359</v>
      </c>
      <c r="F1115" s="1">
        <v>2</v>
      </c>
      <c r="G1115" s="1">
        <v>0</v>
      </c>
      <c r="H1115" t="s">
        <v>17</v>
      </c>
      <c r="I1115" t="s">
        <v>2304</v>
      </c>
      <c r="J1115" t="s">
        <v>2354</v>
      </c>
      <c r="K1115" s="3">
        <v>46563</v>
      </c>
      <c r="L1115" t="s">
        <v>2305</v>
      </c>
      <c r="M1115">
        <v>0.14399999999999999</v>
      </c>
      <c r="N1115">
        <v>1728</v>
      </c>
      <c r="O1115">
        <f t="shared" si="51"/>
        <v>0.28799999999999998</v>
      </c>
      <c r="P1115">
        <f t="shared" si="52"/>
        <v>1.1574074074074073E-3</v>
      </c>
      <c r="Q1115" t="str">
        <f t="shared" si="53"/>
        <v>Q26-03</v>
      </c>
    </row>
    <row r="1116" spans="1:17" x14ac:dyDescent="0.25">
      <c r="A1116" t="s">
        <v>12</v>
      </c>
      <c r="B1116" t="s">
        <v>2360</v>
      </c>
      <c r="C1116" t="s">
        <v>2361</v>
      </c>
      <c r="D1116" t="s">
        <v>441</v>
      </c>
      <c r="E1116" t="s">
        <v>2362</v>
      </c>
      <c r="F1116" s="1">
        <v>17</v>
      </c>
      <c r="G1116" s="1">
        <v>0</v>
      </c>
      <c r="H1116" t="s">
        <v>17</v>
      </c>
      <c r="I1116" t="s">
        <v>2363</v>
      </c>
      <c r="J1116" t="s">
        <v>2364</v>
      </c>
      <c r="K1116" s="3">
        <v>46676</v>
      </c>
      <c r="L1116" t="s">
        <v>2365</v>
      </c>
      <c r="M1116">
        <v>0.154</v>
      </c>
      <c r="N1116">
        <v>1536</v>
      </c>
      <c r="O1116">
        <f t="shared" si="51"/>
        <v>2.6179999999999999</v>
      </c>
      <c r="P1116">
        <f t="shared" si="52"/>
        <v>1.1067708333333334E-2</v>
      </c>
      <c r="Q1116" t="str">
        <f t="shared" si="53"/>
        <v>Q26-03</v>
      </c>
    </row>
    <row r="1117" spans="1:17" x14ac:dyDescent="0.25">
      <c r="A1117" t="s">
        <v>12</v>
      </c>
      <c r="B1117" t="s">
        <v>2366</v>
      </c>
      <c r="C1117" t="s">
        <v>2367</v>
      </c>
      <c r="D1117" t="s">
        <v>441</v>
      </c>
      <c r="E1117" t="s">
        <v>2368</v>
      </c>
      <c r="F1117" s="1">
        <v>1</v>
      </c>
      <c r="G1117" s="1">
        <v>0</v>
      </c>
      <c r="H1117" t="s">
        <v>17</v>
      </c>
      <c r="I1117" t="s">
        <v>2369</v>
      </c>
      <c r="J1117" t="s">
        <v>2354</v>
      </c>
      <c r="K1117" s="3">
        <v>46699</v>
      </c>
      <c r="L1117" t="s">
        <v>2370</v>
      </c>
      <c r="M1117">
        <v>0.12</v>
      </c>
      <c r="N1117">
        <v>1920</v>
      </c>
      <c r="O1117">
        <f t="shared" si="51"/>
        <v>0.12</v>
      </c>
      <c r="P1117">
        <f t="shared" si="52"/>
        <v>5.2083333333333333E-4</v>
      </c>
      <c r="Q1117" t="str">
        <f t="shared" si="53"/>
        <v>Q26-03</v>
      </c>
    </row>
    <row r="1118" spans="1:17" x14ac:dyDescent="0.25">
      <c r="A1118" t="s">
        <v>12</v>
      </c>
      <c r="B1118" t="s">
        <v>2371</v>
      </c>
      <c r="C1118" t="s">
        <v>2372</v>
      </c>
      <c r="D1118" t="s">
        <v>727</v>
      </c>
      <c r="E1118" t="s">
        <v>2373</v>
      </c>
      <c r="F1118" s="1">
        <v>1</v>
      </c>
      <c r="G1118" s="1">
        <v>0</v>
      </c>
      <c r="H1118" t="s">
        <v>17</v>
      </c>
      <c r="I1118" t="s">
        <v>2374</v>
      </c>
      <c r="J1118" t="s">
        <v>2375</v>
      </c>
      <c r="K1118" s="3">
        <v>46983</v>
      </c>
      <c r="L1118" t="s">
        <v>2376</v>
      </c>
      <c r="M1118">
        <v>3.2000000000000001E-2</v>
      </c>
      <c r="N1118">
        <v>2160</v>
      </c>
      <c r="O1118">
        <f t="shared" si="51"/>
        <v>3.2000000000000001E-2</v>
      </c>
      <c r="P1118">
        <f t="shared" si="52"/>
        <v>4.6296296296296298E-4</v>
      </c>
      <c r="Q1118" t="str">
        <f t="shared" si="53"/>
        <v>Q26-03</v>
      </c>
    </row>
    <row r="1119" spans="1:17" x14ac:dyDescent="0.25">
      <c r="A1119" t="s">
        <v>385</v>
      </c>
      <c r="B1119" t="s">
        <v>644</v>
      </c>
      <c r="C1119" t="s">
        <v>645</v>
      </c>
      <c r="D1119" t="s">
        <v>441</v>
      </c>
      <c r="E1119" t="s">
        <v>2377</v>
      </c>
      <c r="F1119" s="1">
        <v>1</v>
      </c>
      <c r="G1119" s="1">
        <v>0</v>
      </c>
      <c r="H1119" t="s">
        <v>17</v>
      </c>
      <c r="I1119" t="s">
        <v>647</v>
      </c>
      <c r="J1119" t="s">
        <v>2378</v>
      </c>
      <c r="K1119" s="3">
        <v>46435</v>
      </c>
      <c r="L1119" t="s">
        <v>1329</v>
      </c>
      <c r="M1119">
        <v>9.4E-2</v>
      </c>
      <c r="N1119">
        <v>2475</v>
      </c>
      <c r="O1119">
        <f t="shared" si="51"/>
        <v>9.4E-2</v>
      </c>
      <c r="P1119">
        <f t="shared" si="52"/>
        <v>4.0404040404040404E-4</v>
      </c>
      <c r="Q1119" t="str">
        <f t="shared" si="53"/>
        <v>Q26-03</v>
      </c>
    </row>
    <row r="1120" spans="1:17" x14ac:dyDescent="0.25">
      <c r="A1120" t="s">
        <v>12</v>
      </c>
      <c r="B1120" t="s">
        <v>71</v>
      </c>
      <c r="C1120" t="s">
        <v>72</v>
      </c>
      <c r="D1120" t="s">
        <v>805</v>
      </c>
      <c r="E1120" t="s">
        <v>2379</v>
      </c>
      <c r="F1120" s="1">
        <v>1</v>
      </c>
      <c r="G1120" s="1">
        <v>0</v>
      </c>
      <c r="H1120" t="s">
        <v>17</v>
      </c>
      <c r="I1120" t="s">
        <v>75</v>
      </c>
      <c r="J1120" t="s">
        <v>2380</v>
      </c>
      <c r="K1120" s="3">
        <v>46538</v>
      </c>
      <c r="L1120" t="s">
        <v>1900</v>
      </c>
      <c r="M1120">
        <v>0.3</v>
      </c>
      <c r="N1120">
        <v>1680</v>
      </c>
      <c r="O1120">
        <f t="shared" si="51"/>
        <v>0.3</v>
      </c>
      <c r="P1120">
        <f t="shared" si="52"/>
        <v>5.9523809523809529E-4</v>
      </c>
      <c r="Q1120" t="str">
        <f t="shared" si="53"/>
        <v>Q27-03</v>
      </c>
    </row>
    <row r="1121" spans="1:17" x14ac:dyDescent="0.25">
      <c r="A1121" t="s">
        <v>12</v>
      </c>
      <c r="B1121" t="s">
        <v>1368</v>
      </c>
      <c r="C1121" t="s">
        <v>1369</v>
      </c>
      <c r="D1121" t="s">
        <v>244</v>
      </c>
      <c r="E1121" t="s">
        <v>2381</v>
      </c>
      <c r="F1121" s="1">
        <v>7</v>
      </c>
      <c r="G1121" s="1">
        <v>0</v>
      </c>
      <c r="H1121" t="s">
        <v>17</v>
      </c>
      <c r="I1121" t="s">
        <v>1371</v>
      </c>
      <c r="J1121" t="s">
        <v>1687</v>
      </c>
      <c r="K1121" s="3">
        <v>46326</v>
      </c>
      <c r="L1121" t="s">
        <v>1373</v>
      </c>
      <c r="M1121">
        <v>9.4E-2</v>
      </c>
      <c r="N1121">
        <v>2400</v>
      </c>
      <c r="O1121">
        <f t="shared" si="51"/>
        <v>0.65800000000000003</v>
      </c>
      <c r="P1121">
        <f t="shared" si="52"/>
        <v>2.9166666666666668E-3</v>
      </c>
      <c r="Q1121" t="str">
        <f t="shared" si="53"/>
        <v>Q27-03</v>
      </c>
    </row>
    <row r="1122" spans="1:17" x14ac:dyDescent="0.25">
      <c r="A1122" t="s">
        <v>12</v>
      </c>
      <c r="B1122" t="s">
        <v>2382</v>
      </c>
      <c r="C1122" t="s">
        <v>2383</v>
      </c>
      <c r="D1122" t="s">
        <v>805</v>
      </c>
      <c r="E1122" t="s">
        <v>2384</v>
      </c>
      <c r="F1122" s="1">
        <v>1</v>
      </c>
      <c r="G1122" s="1">
        <v>0</v>
      </c>
      <c r="H1122" t="s">
        <v>17</v>
      </c>
      <c r="I1122" t="s">
        <v>84</v>
      </c>
      <c r="J1122" t="s">
        <v>2385</v>
      </c>
      <c r="K1122" s="3">
        <v>46142</v>
      </c>
      <c r="L1122" t="s">
        <v>2386</v>
      </c>
      <c r="M1122">
        <v>0.05</v>
      </c>
      <c r="N1122">
        <v>400</v>
      </c>
      <c r="O1122">
        <f t="shared" si="51"/>
        <v>0.05</v>
      </c>
      <c r="P1122">
        <f t="shared" si="52"/>
        <v>2.5000000000000001E-3</v>
      </c>
      <c r="Q1122" t="str">
        <f t="shared" si="53"/>
        <v>Q27-03</v>
      </c>
    </row>
    <row r="1123" spans="1:17" x14ac:dyDescent="0.25">
      <c r="A1123" t="s">
        <v>61</v>
      </c>
      <c r="B1123" t="s">
        <v>1523</v>
      </c>
      <c r="C1123" t="s">
        <v>1524</v>
      </c>
      <c r="D1123" t="s">
        <v>240</v>
      </c>
      <c r="E1123" t="s">
        <v>2387</v>
      </c>
      <c r="F1123" s="1">
        <v>184</v>
      </c>
      <c r="G1123" s="1">
        <v>0</v>
      </c>
      <c r="H1123" t="s">
        <v>17</v>
      </c>
      <c r="I1123" t="s">
        <v>1526</v>
      </c>
      <c r="J1123" t="s">
        <v>2388</v>
      </c>
      <c r="K1123" s="3">
        <v>46142</v>
      </c>
      <c r="L1123" t="s">
        <v>1527</v>
      </c>
      <c r="M1123">
        <v>4.9000000000000002E-2</v>
      </c>
      <c r="N1123">
        <v>2880</v>
      </c>
      <c r="O1123">
        <f t="shared" si="51"/>
        <v>9.016</v>
      </c>
      <c r="P1123">
        <f t="shared" si="52"/>
        <v>6.3888888888888884E-2</v>
      </c>
      <c r="Q1123" t="str">
        <f t="shared" si="53"/>
        <v>Q27-03</v>
      </c>
    </row>
    <row r="1124" spans="1:17" x14ac:dyDescent="0.25">
      <c r="A1124" t="s">
        <v>12</v>
      </c>
      <c r="B1124" t="s">
        <v>2389</v>
      </c>
      <c r="C1124" t="s">
        <v>2390</v>
      </c>
      <c r="D1124" t="s">
        <v>805</v>
      </c>
      <c r="E1124" t="s">
        <v>2391</v>
      </c>
      <c r="F1124" s="1">
        <v>1</v>
      </c>
      <c r="G1124" s="1">
        <v>0</v>
      </c>
      <c r="H1124" t="s">
        <v>17</v>
      </c>
      <c r="I1124" t="s">
        <v>84</v>
      </c>
      <c r="J1124" t="s">
        <v>2392</v>
      </c>
      <c r="K1124" s="3">
        <v>46976</v>
      </c>
      <c r="L1124" t="s">
        <v>2393</v>
      </c>
      <c r="M1124">
        <v>0.30599999999999999</v>
      </c>
      <c r="N1124">
        <v>825</v>
      </c>
      <c r="O1124">
        <f t="shared" si="51"/>
        <v>0.30599999999999999</v>
      </c>
      <c r="P1124">
        <f t="shared" si="52"/>
        <v>1.2121212121212121E-3</v>
      </c>
      <c r="Q1124" t="str">
        <f t="shared" si="53"/>
        <v>Q27-03</v>
      </c>
    </row>
    <row r="1125" spans="1:17" x14ac:dyDescent="0.25">
      <c r="A1125" t="s">
        <v>61</v>
      </c>
      <c r="B1125" t="s">
        <v>166</v>
      </c>
      <c r="C1125" t="s">
        <v>167</v>
      </c>
      <c r="D1125" t="s">
        <v>240</v>
      </c>
      <c r="E1125" t="s">
        <v>2394</v>
      </c>
      <c r="F1125" s="1">
        <v>3</v>
      </c>
      <c r="G1125" s="1">
        <v>0</v>
      </c>
      <c r="H1125" t="s">
        <v>17</v>
      </c>
      <c r="I1125" t="s">
        <v>170</v>
      </c>
      <c r="J1125" t="s">
        <v>2388</v>
      </c>
      <c r="K1125" s="3">
        <v>46173</v>
      </c>
      <c r="L1125" t="s">
        <v>179</v>
      </c>
      <c r="M1125">
        <v>9.2999999999999999E-2</v>
      </c>
      <c r="N1125">
        <v>1536</v>
      </c>
      <c r="O1125">
        <f t="shared" si="51"/>
        <v>0.27900000000000003</v>
      </c>
      <c r="P1125">
        <f t="shared" si="52"/>
        <v>1.953125E-3</v>
      </c>
      <c r="Q1125" t="str">
        <f t="shared" si="53"/>
        <v>Q27-03</v>
      </c>
    </row>
    <row r="1126" spans="1:17" x14ac:dyDescent="0.25">
      <c r="A1126" t="s">
        <v>12</v>
      </c>
      <c r="B1126" t="s">
        <v>2360</v>
      </c>
      <c r="C1126" t="s">
        <v>2361</v>
      </c>
      <c r="D1126" t="s">
        <v>441</v>
      </c>
      <c r="E1126" t="s">
        <v>2395</v>
      </c>
      <c r="F1126" s="1">
        <v>2</v>
      </c>
      <c r="G1126" s="1">
        <v>0</v>
      </c>
      <c r="H1126" t="s">
        <v>17</v>
      </c>
      <c r="I1126" t="s">
        <v>2363</v>
      </c>
      <c r="J1126" t="s">
        <v>2392</v>
      </c>
      <c r="K1126" s="3">
        <v>46551</v>
      </c>
      <c r="L1126" t="s">
        <v>2396</v>
      </c>
      <c r="M1126">
        <v>0.154</v>
      </c>
      <c r="N1126">
        <v>1536</v>
      </c>
      <c r="O1126">
        <f t="shared" si="51"/>
        <v>0.308</v>
      </c>
      <c r="P1126">
        <f t="shared" si="52"/>
        <v>1.3020833333333333E-3</v>
      </c>
      <c r="Q1126" t="str">
        <f t="shared" si="53"/>
        <v>Q26-03</v>
      </c>
    </row>
    <row r="1127" spans="1:17" x14ac:dyDescent="0.25">
      <c r="A1127" t="s">
        <v>61</v>
      </c>
      <c r="B1127" t="s">
        <v>166</v>
      </c>
      <c r="C1127" t="s">
        <v>167</v>
      </c>
      <c r="D1127" t="s">
        <v>64</v>
      </c>
      <c r="E1127" t="s">
        <v>2397</v>
      </c>
      <c r="F1127" s="1">
        <v>7</v>
      </c>
      <c r="G1127" s="1">
        <v>0</v>
      </c>
      <c r="H1127" t="s">
        <v>17</v>
      </c>
      <c r="I1127" t="s">
        <v>170</v>
      </c>
      <c r="J1127" t="s">
        <v>2388</v>
      </c>
      <c r="K1127" s="3">
        <v>46112</v>
      </c>
      <c r="L1127" t="s">
        <v>172</v>
      </c>
      <c r="M1127">
        <v>9.2999999999999999E-2</v>
      </c>
      <c r="N1127">
        <v>1536</v>
      </c>
      <c r="O1127">
        <f t="shared" si="51"/>
        <v>0.65100000000000002</v>
      </c>
      <c r="P1127">
        <f t="shared" si="52"/>
        <v>4.557291666666667E-3</v>
      </c>
      <c r="Q1127" t="str">
        <f t="shared" si="53"/>
        <v>Q27-01</v>
      </c>
    </row>
    <row r="1128" spans="1:17" x14ac:dyDescent="0.25">
      <c r="A1128" t="s">
        <v>61</v>
      </c>
      <c r="B1128" t="s">
        <v>281</v>
      </c>
      <c r="C1128" t="s">
        <v>282</v>
      </c>
      <c r="D1128" t="s">
        <v>240</v>
      </c>
      <c r="E1128" t="s">
        <v>2398</v>
      </c>
      <c r="F1128" s="1">
        <v>3</v>
      </c>
      <c r="G1128" s="1">
        <v>0</v>
      </c>
      <c r="H1128" t="s">
        <v>17</v>
      </c>
      <c r="I1128" t="s">
        <v>284</v>
      </c>
      <c r="J1128" t="s">
        <v>2388</v>
      </c>
      <c r="K1128" s="3">
        <v>46142</v>
      </c>
      <c r="L1128" t="s">
        <v>295</v>
      </c>
      <c r="M1128">
        <v>6.8000000000000005E-2</v>
      </c>
      <c r="N1128">
        <v>2240</v>
      </c>
      <c r="O1128">
        <f t="shared" si="51"/>
        <v>0.20400000000000001</v>
      </c>
      <c r="P1128">
        <f t="shared" si="52"/>
        <v>1.3392857142857143E-3</v>
      </c>
      <c r="Q1128" t="str">
        <f t="shared" si="53"/>
        <v>Q27-03</v>
      </c>
    </row>
    <row r="1129" spans="1:17" x14ac:dyDescent="0.25">
      <c r="A1129" t="s">
        <v>61</v>
      </c>
      <c r="B1129" t="s">
        <v>281</v>
      </c>
      <c r="C1129" t="s">
        <v>282</v>
      </c>
      <c r="D1129" t="s">
        <v>240</v>
      </c>
      <c r="E1129" t="s">
        <v>2399</v>
      </c>
      <c r="F1129" s="1">
        <v>1</v>
      </c>
      <c r="G1129" s="1">
        <v>0</v>
      </c>
      <c r="H1129" t="s">
        <v>17</v>
      </c>
      <c r="I1129" t="s">
        <v>284</v>
      </c>
      <c r="J1129" t="s">
        <v>2388</v>
      </c>
      <c r="K1129" s="3">
        <v>46173</v>
      </c>
      <c r="L1129" t="s">
        <v>293</v>
      </c>
      <c r="M1129">
        <v>6.8000000000000005E-2</v>
      </c>
      <c r="N1129">
        <v>2240</v>
      </c>
      <c r="O1129">
        <f t="shared" si="51"/>
        <v>6.8000000000000005E-2</v>
      </c>
      <c r="P1129">
        <f t="shared" si="52"/>
        <v>4.4642857142857141E-4</v>
      </c>
      <c r="Q1129" t="str">
        <f t="shared" si="53"/>
        <v>Q27-03</v>
      </c>
    </row>
    <row r="1130" spans="1:17" x14ac:dyDescent="0.25">
      <c r="A1130" t="s">
        <v>61</v>
      </c>
      <c r="B1130" t="s">
        <v>233</v>
      </c>
      <c r="C1130" t="s">
        <v>234</v>
      </c>
      <c r="D1130" t="s">
        <v>69</v>
      </c>
      <c r="E1130" t="s">
        <v>2400</v>
      </c>
      <c r="F1130" s="1">
        <v>4</v>
      </c>
      <c r="G1130" s="1">
        <v>0</v>
      </c>
      <c r="H1130" t="s">
        <v>17</v>
      </c>
      <c r="I1130" t="s">
        <v>236</v>
      </c>
      <c r="J1130" t="s">
        <v>2388</v>
      </c>
      <c r="K1130" s="3">
        <v>46053</v>
      </c>
      <c r="L1130" t="s">
        <v>264</v>
      </c>
      <c r="M1130">
        <v>7.4999999999999997E-2</v>
      </c>
      <c r="N1130">
        <v>2688</v>
      </c>
      <c r="O1130">
        <f t="shared" si="51"/>
        <v>0.3</v>
      </c>
      <c r="P1130">
        <f t="shared" si="52"/>
        <v>1.488095238095238E-3</v>
      </c>
      <c r="Q1130" t="str">
        <f t="shared" si="53"/>
        <v>Q27-01</v>
      </c>
    </row>
    <row r="1131" spans="1:17" x14ac:dyDescent="0.25">
      <c r="A1131" t="s">
        <v>61</v>
      </c>
      <c r="B1131" t="s">
        <v>71</v>
      </c>
      <c r="C1131" t="s">
        <v>72</v>
      </c>
      <c r="D1131" t="s">
        <v>240</v>
      </c>
      <c r="E1131" t="s">
        <v>2401</v>
      </c>
      <c r="F1131" s="1">
        <v>28</v>
      </c>
      <c r="G1131" s="1">
        <v>0</v>
      </c>
      <c r="H1131" t="s">
        <v>17</v>
      </c>
      <c r="I1131" t="s">
        <v>75</v>
      </c>
      <c r="J1131" t="s">
        <v>2388</v>
      </c>
      <c r="K1131" s="3">
        <v>46142</v>
      </c>
      <c r="L1131" t="s">
        <v>534</v>
      </c>
      <c r="M1131">
        <v>0.3</v>
      </c>
      <c r="N1131">
        <v>1680</v>
      </c>
      <c r="O1131">
        <f t="shared" si="51"/>
        <v>8.4</v>
      </c>
      <c r="P1131">
        <f t="shared" si="52"/>
        <v>1.6666666666666666E-2</v>
      </c>
      <c r="Q1131" t="str">
        <f t="shared" si="53"/>
        <v>Q27-03</v>
      </c>
    </row>
    <row r="1132" spans="1:17" x14ac:dyDescent="0.25">
      <c r="A1132" t="s">
        <v>61</v>
      </c>
      <c r="B1132" t="s">
        <v>891</v>
      </c>
      <c r="C1132" t="s">
        <v>892</v>
      </c>
      <c r="D1132" t="s">
        <v>69</v>
      </c>
      <c r="E1132" t="s">
        <v>2402</v>
      </c>
      <c r="F1132" s="1">
        <v>17</v>
      </c>
      <c r="G1132" s="1">
        <v>0</v>
      </c>
      <c r="H1132" t="s">
        <v>17</v>
      </c>
      <c r="I1132" t="s">
        <v>894</v>
      </c>
      <c r="J1132" t="s">
        <v>2388</v>
      </c>
      <c r="K1132" s="3">
        <v>46112</v>
      </c>
      <c r="L1132" t="s">
        <v>1601</v>
      </c>
      <c r="M1132">
        <v>0.312</v>
      </c>
      <c r="N1132">
        <v>1680</v>
      </c>
      <c r="O1132">
        <f t="shared" si="51"/>
        <v>5.3040000000000003</v>
      </c>
      <c r="P1132">
        <f t="shared" si="52"/>
        <v>1.011904761904762E-2</v>
      </c>
      <c r="Q1132" t="str">
        <f t="shared" si="53"/>
        <v>Q27-01</v>
      </c>
    </row>
    <row r="1133" spans="1:17" x14ac:dyDescent="0.25">
      <c r="A1133" t="s">
        <v>61</v>
      </c>
      <c r="B1133" t="s">
        <v>456</v>
      </c>
      <c r="C1133" t="s">
        <v>457</v>
      </c>
      <c r="D1133" t="s">
        <v>240</v>
      </c>
      <c r="E1133" t="s">
        <v>2403</v>
      </c>
      <c r="F1133" s="1">
        <v>9</v>
      </c>
      <c r="G1133" s="1">
        <v>0</v>
      </c>
      <c r="H1133" t="s">
        <v>17</v>
      </c>
      <c r="I1133" t="s">
        <v>459</v>
      </c>
      <c r="J1133" t="s">
        <v>2388</v>
      </c>
      <c r="K1133" s="3">
        <v>46142</v>
      </c>
      <c r="L1133" t="s">
        <v>616</v>
      </c>
      <c r="M1133">
        <v>0.22600000000000001</v>
      </c>
      <c r="N1133">
        <v>1680</v>
      </c>
      <c r="O1133">
        <f t="shared" si="51"/>
        <v>2.0340000000000003</v>
      </c>
      <c r="P1133">
        <f t="shared" si="52"/>
        <v>5.3571428571428572E-3</v>
      </c>
      <c r="Q1133" t="str">
        <f t="shared" si="53"/>
        <v>Q27-03</v>
      </c>
    </row>
    <row r="1134" spans="1:17" x14ac:dyDescent="0.25">
      <c r="A1134" t="s">
        <v>61</v>
      </c>
      <c r="B1134" t="s">
        <v>71</v>
      </c>
      <c r="C1134" t="s">
        <v>72</v>
      </c>
      <c r="D1134" t="s">
        <v>240</v>
      </c>
      <c r="E1134" t="s">
        <v>2404</v>
      </c>
      <c r="F1134" s="1">
        <v>12</v>
      </c>
      <c r="G1134" s="1">
        <v>0</v>
      </c>
      <c r="H1134" t="s">
        <v>17</v>
      </c>
      <c r="I1134" t="s">
        <v>75</v>
      </c>
      <c r="J1134" t="s">
        <v>2388</v>
      </c>
      <c r="K1134" s="3">
        <v>46142</v>
      </c>
      <c r="L1134" t="s">
        <v>561</v>
      </c>
      <c r="M1134">
        <v>0.3</v>
      </c>
      <c r="N1134">
        <v>1680</v>
      </c>
      <c r="O1134">
        <f t="shared" si="51"/>
        <v>3.5999999999999996</v>
      </c>
      <c r="P1134">
        <f t="shared" si="52"/>
        <v>7.1428571428571426E-3</v>
      </c>
      <c r="Q1134" t="str">
        <f t="shared" si="53"/>
        <v>Q27-03</v>
      </c>
    </row>
    <row r="1135" spans="1:17" x14ac:dyDescent="0.25">
      <c r="A1135" t="s">
        <v>61</v>
      </c>
      <c r="B1135" t="s">
        <v>71</v>
      </c>
      <c r="C1135" t="s">
        <v>72</v>
      </c>
      <c r="D1135" t="s">
        <v>69</v>
      </c>
      <c r="E1135" t="s">
        <v>2405</v>
      </c>
      <c r="F1135" s="1">
        <v>3</v>
      </c>
      <c r="G1135" s="1">
        <v>0</v>
      </c>
      <c r="H1135" t="s">
        <v>17</v>
      </c>
      <c r="I1135" t="s">
        <v>75</v>
      </c>
      <c r="J1135" t="s">
        <v>2388</v>
      </c>
      <c r="K1135" s="3">
        <v>46081</v>
      </c>
      <c r="L1135" t="s">
        <v>76</v>
      </c>
      <c r="M1135">
        <v>0.3</v>
      </c>
      <c r="N1135">
        <v>1680</v>
      </c>
      <c r="O1135">
        <f t="shared" si="51"/>
        <v>0.89999999999999991</v>
      </c>
      <c r="P1135">
        <f t="shared" si="52"/>
        <v>1.7857142857142857E-3</v>
      </c>
      <c r="Q1135" t="str">
        <f t="shared" si="53"/>
        <v>Q27-01</v>
      </c>
    </row>
    <row r="1136" spans="1:17" x14ac:dyDescent="0.25">
      <c r="A1136" t="s">
        <v>61</v>
      </c>
      <c r="B1136" t="s">
        <v>71</v>
      </c>
      <c r="C1136" t="s">
        <v>72</v>
      </c>
      <c r="D1136" t="s">
        <v>77</v>
      </c>
      <c r="E1136" t="s">
        <v>2406</v>
      </c>
      <c r="F1136" s="1">
        <v>2</v>
      </c>
      <c r="G1136" s="1">
        <v>0</v>
      </c>
      <c r="H1136" t="s">
        <v>17</v>
      </c>
      <c r="I1136" t="s">
        <v>75</v>
      </c>
      <c r="J1136" t="s">
        <v>2388</v>
      </c>
      <c r="K1136" s="3">
        <v>46022</v>
      </c>
      <c r="L1136" t="s">
        <v>2407</v>
      </c>
      <c r="M1136">
        <v>0.3</v>
      </c>
      <c r="N1136">
        <v>1680</v>
      </c>
      <c r="O1136">
        <f t="shared" si="51"/>
        <v>0.6</v>
      </c>
      <c r="P1136">
        <f t="shared" si="52"/>
        <v>1.1904761904761906E-3</v>
      </c>
      <c r="Q1136" t="str">
        <f t="shared" si="53"/>
        <v>Q27-01</v>
      </c>
    </row>
    <row r="1137" spans="1:17" x14ac:dyDescent="0.25">
      <c r="A1137" t="s">
        <v>61</v>
      </c>
      <c r="B1137" t="s">
        <v>891</v>
      </c>
      <c r="C1137" t="s">
        <v>892</v>
      </c>
      <c r="D1137" t="s">
        <v>77</v>
      </c>
      <c r="E1137" t="s">
        <v>2408</v>
      </c>
      <c r="F1137" s="1">
        <v>4</v>
      </c>
      <c r="G1137" s="1">
        <v>0</v>
      </c>
      <c r="H1137" t="s">
        <v>17</v>
      </c>
      <c r="I1137" t="s">
        <v>894</v>
      </c>
      <c r="J1137" t="s">
        <v>2388</v>
      </c>
      <c r="K1137" s="3">
        <v>45991</v>
      </c>
      <c r="L1137" t="s">
        <v>2409</v>
      </c>
      <c r="M1137">
        <v>0.312</v>
      </c>
      <c r="N1137">
        <v>1680</v>
      </c>
      <c r="O1137">
        <f t="shared" si="51"/>
        <v>1.248</v>
      </c>
      <c r="P1137">
        <f t="shared" si="52"/>
        <v>2.3809523809523812E-3</v>
      </c>
      <c r="Q1137" t="str">
        <f t="shared" si="53"/>
        <v>Q27-01</v>
      </c>
    </row>
    <row r="1138" spans="1:17" x14ac:dyDescent="0.25">
      <c r="A1138" t="s">
        <v>61</v>
      </c>
      <c r="B1138" t="s">
        <v>281</v>
      </c>
      <c r="C1138" t="s">
        <v>282</v>
      </c>
      <c r="D1138" t="s">
        <v>69</v>
      </c>
      <c r="E1138" t="s">
        <v>2410</v>
      </c>
      <c r="F1138" s="1">
        <v>2</v>
      </c>
      <c r="G1138" s="1">
        <v>0</v>
      </c>
      <c r="H1138" t="s">
        <v>17</v>
      </c>
      <c r="I1138" t="s">
        <v>284</v>
      </c>
      <c r="J1138" t="s">
        <v>2388</v>
      </c>
      <c r="K1138" s="3">
        <v>46081</v>
      </c>
      <c r="L1138" t="s">
        <v>1529</v>
      </c>
      <c r="M1138">
        <v>6.8000000000000005E-2</v>
      </c>
      <c r="N1138">
        <v>2240</v>
      </c>
      <c r="O1138">
        <f t="shared" si="51"/>
        <v>0.13600000000000001</v>
      </c>
      <c r="P1138">
        <f t="shared" si="52"/>
        <v>8.9285714285714283E-4</v>
      </c>
      <c r="Q1138" t="str">
        <f t="shared" si="53"/>
        <v>Q27-01</v>
      </c>
    </row>
    <row r="1139" spans="1:17" x14ac:dyDescent="0.25">
      <c r="A1139" t="s">
        <v>2411</v>
      </c>
      <c r="B1139" t="s">
        <v>2412</v>
      </c>
      <c r="C1139" t="s">
        <v>2413</v>
      </c>
      <c r="D1139" t="s">
        <v>44</v>
      </c>
      <c r="E1139" t="s">
        <v>2414</v>
      </c>
      <c r="F1139" s="1">
        <v>3</v>
      </c>
      <c r="G1139" s="1">
        <v>0</v>
      </c>
      <c r="H1139" t="s">
        <v>17</v>
      </c>
      <c r="I1139" t="s">
        <v>2415</v>
      </c>
      <c r="J1139" t="s">
        <v>2416</v>
      </c>
      <c r="K1139" s="3">
        <v>46541</v>
      </c>
      <c r="L1139" t="s">
        <v>2417</v>
      </c>
      <c r="M1139">
        <v>0.03</v>
      </c>
      <c r="N1139">
        <v>2200</v>
      </c>
      <c r="O1139">
        <f t="shared" si="51"/>
        <v>0.09</v>
      </c>
      <c r="P1139">
        <f t="shared" si="52"/>
        <v>1.3636363636363637E-3</v>
      </c>
      <c r="Q1139" t="str">
        <f t="shared" si="53"/>
        <v>Q26-01</v>
      </c>
    </row>
    <row r="1140" spans="1:17" x14ac:dyDescent="0.25">
      <c r="A1140" t="s">
        <v>61</v>
      </c>
      <c r="B1140" t="s">
        <v>219</v>
      </c>
      <c r="C1140" t="s">
        <v>220</v>
      </c>
      <c r="D1140" t="s">
        <v>64</v>
      </c>
      <c r="E1140" t="s">
        <v>2418</v>
      </c>
      <c r="F1140" s="1">
        <v>20</v>
      </c>
      <c r="G1140" s="1">
        <v>0</v>
      </c>
      <c r="H1140" t="s">
        <v>17</v>
      </c>
      <c r="I1140" t="s">
        <v>222</v>
      </c>
      <c r="J1140" t="s">
        <v>2388</v>
      </c>
      <c r="K1140" s="3">
        <v>46081</v>
      </c>
      <c r="L1140" t="s">
        <v>539</v>
      </c>
      <c r="M1140">
        <v>0.3</v>
      </c>
      <c r="N1140">
        <v>1680</v>
      </c>
      <c r="O1140">
        <f t="shared" si="51"/>
        <v>6</v>
      </c>
      <c r="P1140">
        <f t="shared" si="52"/>
        <v>1.1904761904761904E-2</v>
      </c>
      <c r="Q1140" t="str">
        <f t="shared" si="53"/>
        <v>Q27-01</v>
      </c>
    </row>
    <row r="1141" spans="1:17" x14ac:dyDescent="0.25">
      <c r="A1141" t="s">
        <v>61</v>
      </c>
      <c r="B1141" t="s">
        <v>219</v>
      </c>
      <c r="C1141" t="s">
        <v>220</v>
      </c>
      <c r="D1141" t="s">
        <v>69</v>
      </c>
      <c r="E1141" t="s">
        <v>2419</v>
      </c>
      <c r="F1141" s="1">
        <v>18</v>
      </c>
      <c r="G1141" s="1">
        <v>0</v>
      </c>
      <c r="H1141" t="s">
        <v>17</v>
      </c>
      <c r="I1141" t="s">
        <v>222</v>
      </c>
      <c r="J1141" t="s">
        <v>2388</v>
      </c>
      <c r="K1141" s="3">
        <v>46081</v>
      </c>
      <c r="L1141" t="s">
        <v>224</v>
      </c>
      <c r="M1141">
        <v>0.3</v>
      </c>
      <c r="N1141">
        <v>1680</v>
      </c>
      <c r="O1141">
        <f t="shared" si="51"/>
        <v>5.3999999999999995</v>
      </c>
      <c r="P1141">
        <f t="shared" si="52"/>
        <v>1.0714285714285714E-2</v>
      </c>
      <c r="Q1141" t="str">
        <f t="shared" si="53"/>
        <v>Q27-01</v>
      </c>
    </row>
    <row r="1142" spans="1:17" x14ac:dyDescent="0.25">
      <c r="A1142" t="s">
        <v>61</v>
      </c>
      <c r="B1142" t="s">
        <v>233</v>
      </c>
      <c r="C1142" t="s">
        <v>234</v>
      </c>
      <c r="D1142" t="s">
        <v>64</v>
      </c>
      <c r="E1142" t="s">
        <v>2420</v>
      </c>
      <c r="F1142" s="1">
        <v>3</v>
      </c>
      <c r="G1142" s="1">
        <v>0</v>
      </c>
      <c r="H1142" t="s">
        <v>17</v>
      </c>
      <c r="I1142" t="s">
        <v>236</v>
      </c>
      <c r="J1142" t="s">
        <v>2388</v>
      </c>
      <c r="K1142" s="3">
        <v>46053</v>
      </c>
      <c r="L1142" t="s">
        <v>271</v>
      </c>
      <c r="M1142">
        <v>7.4999999999999997E-2</v>
      </c>
      <c r="N1142">
        <v>2688</v>
      </c>
      <c r="O1142">
        <f t="shared" si="51"/>
        <v>0.22499999999999998</v>
      </c>
      <c r="P1142">
        <f t="shared" si="52"/>
        <v>1.1160714285714285E-3</v>
      </c>
      <c r="Q1142" t="str">
        <f t="shared" si="53"/>
        <v>Q27-01</v>
      </c>
    </row>
    <row r="1143" spans="1:17" x14ac:dyDescent="0.25">
      <c r="A1143" t="s">
        <v>61</v>
      </c>
      <c r="B1143" t="s">
        <v>456</v>
      </c>
      <c r="C1143" t="s">
        <v>457</v>
      </c>
      <c r="D1143" t="s">
        <v>77</v>
      </c>
      <c r="E1143" t="s">
        <v>2421</v>
      </c>
      <c r="F1143" s="1">
        <v>3</v>
      </c>
      <c r="G1143" s="1">
        <v>0</v>
      </c>
      <c r="H1143" t="s">
        <v>17</v>
      </c>
      <c r="I1143" t="s">
        <v>459</v>
      </c>
      <c r="J1143" t="s">
        <v>2388</v>
      </c>
      <c r="K1143" s="3">
        <v>46022</v>
      </c>
      <c r="L1143" t="s">
        <v>2422</v>
      </c>
      <c r="M1143">
        <v>0.22600000000000001</v>
      </c>
      <c r="N1143">
        <v>1680</v>
      </c>
      <c r="O1143">
        <f t="shared" si="51"/>
        <v>0.67800000000000005</v>
      </c>
      <c r="P1143">
        <f t="shared" si="52"/>
        <v>1.7857142857142857E-3</v>
      </c>
      <c r="Q1143" t="str">
        <f t="shared" si="53"/>
        <v>Q27-01</v>
      </c>
    </row>
    <row r="1144" spans="1:17" x14ac:dyDescent="0.25">
      <c r="A1144" t="s">
        <v>61</v>
      </c>
      <c r="B1144" t="s">
        <v>219</v>
      </c>
      <c r="C1144" t="s">
        <v>220</v>
      </c>
      <c r="D1144" t="s">
        <v>77</v>
      </c>
      <c r="E1144" t="s">
        <v>2423</v>
      </c>
      <c r="F1144" s="1">
        <v>2</v>
      </c>
      <c r="G1144" s="1">
        <v>0</v>
      </c>
      <c r="H1144" t="s">
        <v>17</v>
      </c>
      <c r="I1144" t="s">
        <v>222</v>
      </c>
      <c r="J1144" t="s">
        <v>2388</v>
      </c>
      <c r="K1144" s="3">
        <v>46022</v>
      </c>
      <c r="L1144" t="s">
        <v>2424</v>
      </c>
      <c r="M1144">
        <v>0.3</v>
      </c>
      <c r="N1144">
        <v>1680</v>
      </c>
      <c r="O1144">
        <f t="shared" si="51"/>
        <v>0.6</v>
      </c>
      <c r="P1144">
        <f t="shared" si="52"/>
        <v>1.1904761904761906E-3</v>
      </c>
      <c r="Q1144" t="str">
        <f t="shared" si="53"/>
        <v>Q27-01</v>
      </c>
    </row>
    <row r="1145" spans="1:17" x14ac:dyDescent="0.25">
      <c r="A1145" t="s">
        <v>61</v>
      </c>
      <c r="B1145" t="s">
        <v>456</v>
      </c>
      <c r="C1145" t="s">
        <v>457</v>
      </c>
      <c r="D1145" t="s">
        <v>69</v>
      </c>
      <c r="E1145" t="s">
        <v>2425</v>
      </c>
      <c r="F1145" s="1">
        <v>1</v>
      </c>
      <c r="G1145" s="1">
        <v>0</v>
      </c>
      <c r="H1145" t="s">
        <v>17</v>
      </c>
      <c r="I1145" t="s">
        <v>459</v>
      </c>
      <c r="J1145" t="s">
        <v>2388</v>
      </c>
      <c r="K1145" s="3">
        <v>46112</v>
      </c>
      <c r="L1145" t="s">
        <v>461</v>
      </c>
      <c r="M1145">
        <v>0.22600000000000001</v>
      </c>
      <c r="N1145">
        <v>1680</v>
      </c>
      <c r="O1145">
        <f t="shared" si="51"/>
        <v>0.22600000000000001</v>
      </c>
      <c r="P1145">
        <f t="shared" si="52"/>
        <v>5.9523809523809529E-4</v>
      </c>
      <c r="Q1145" t="str">
        <f t="shared" si="53"/>
        <v>Q27-01</v>
      </c>
    </row>
    <row r="1146" spans="1:17" x14ac:dyDescent="0.25">
      <c r="A1146" t="s">
        <v>61</v>
      </c>
      <c r="B1146" t="s">
        <v>456</v>
      </c>
      <c r="C1146" t="s">
        <v>457</v>
      </c>
      <c r="D1146" t="s">
        <v>240</v>
      </c>
      <c r="E1146" t="s">
        <v>2426</v>
      </c>
      <c r="F1146" s="1">
        <v>2</v>
      </c>
      <c r="G1146" s="1">
        <v>0</v>
      </c>
      <c r="H1146" t="s">
        <v>17</v>
      </c>
      <c r="I1146" t="s">
        <v>459</v>
      </c>
      <c r="J1146" t="s">
        <v>2388</v>
      </c>
      <c r="K1146" s="3">
        <v>46142</v>
      </c>
      <c r="L1146" t="s">
        <v>510</v>
      </c>
      <c r="M1146">
        <v>0.22600000000000001</v>
      </c>
      <c r="N1146">
        <v>1680</v>
      </c>
      <c r="O1146">
        <f t="shared" si="51"/>
        <v>0.45200000000000001</v>
      </c>
      <c r="P1146">
        <f t="shared" si="52"/>
        <v>1.1904761904761906E-3</v>
      </c>
      <c r="Q1146" t="str">
        <f t="shared" si="53"/>
        <v>Q27-03</v>
      </c>
    </row>
    <row r="1147" spans="1:17" x14ac:dyDescent="0.25">
      <c r="A1147" t="s">
        <v>61</v>
      </c>
      <c r="B1147" t="s">
        <v>891</v>
      </c>
      <c r="C1147" t="s">
        <v>892</v>
      </c>
      <c r="D1147" t="s">
        <v>77</v>
      </c>
      <c r="E1147" t="s">
        <v>2427</v>
      </c>
      <c r="F1147" s="1">
        <v>6</v>
      </c>
      <c r="G1147" s="1">
        <v>0</v>
      </c>
      <c r="H1147" t="s">
        <v>17</v>
      </c>
      <c r="I1147" t="s">
        <v>894</v>
      </c>
      <c r="J1147" t="s">
        <v>2388</v>
      </c>
      <c r="K1147" s="3">
        <v>45991</v>
      </c>
      <c r="L1147" t="s">
        <v>2428</v>
      </c>
      <c r="M1147">
        <v>0.312</v>
      </c>
      <c r="N1147">
        <v>1680</v>
      </c>
      <c r="O1147">
        <f t="shared" si="51"/>
        <v>1.8719999999999999</v>
      </c>
      <c r="P1147">
        <f t="shared" si="52"/>
        <v>3.5714285714285713E-3</v>
      </c>
      <c r="Q1147" t="str">
        <f t="shared" si="53"/>
        <v>Q27-01</v>
      </c>
    </row>
    <row r="1148" spans="1:17" x14ac:dyDescent="0.25">
      <c r="A1148" t="s">
        <v>2411</v>
      </c>
      <c r="B1148" t="s">
        <v>2429</v>
      </c>
      <c r="C1148" t="s">
        <v>2430</v>
      </c>
      <c r="D1148" t="s">
        <v>44</v>
      </c>
      <c r="E1148" t="s">
        <v>2431</v>
      </c>
      <c r="F1148" s="1">
        <v>1</v>
      </c>
      <c r="G1148" s="1">
        <v>0</v>
      </c>
      <c r="H1148" t="s">
        <v>17</v>
      </c>
      <c r="I1148" t="s">
        <v>2432</v>
      </c>
      <c r="J1148" t="s">
        <v>2416</v>
      </c>
      <c r="K1148" s="3">
        <v>46545</v>
      </c>
      <c r="L1148" t="s">
        <v>2433</v>
      </c>
      <c r="M1148">
        <v>7.8E-2</v>
      </c>
      <c r="N1148">
        <v>800</v>
      </c>
      <c r="O1148">
        <f t="shared" si="51"/>
        <v>7.8E-2</v>
      </c>
      <c r="P1148">
        <f t="shared" si="52"/>
        <v>1.25E-3</v>
      </c>
      <c r="Q1148" t="str">
        <f t="shared" si="53"/>
        <v>Q26-01</v>
      </c>
    </row>
    <row r="1149" spans="1:17" x14ac:dyDescent="0.25">
      <c r="A1149" t="s">
        <v>61</v>
      </c>
      <c r="B1149" t="s">
        <v>71</v>
      </c>
      <c r="C1149" t="s">
        <v>72</v>
      </c>
      <c r="D1149" t="s">
        <v>69</v>
      </c>
      <c r="E1149" t="s">
        <v>2434</v>
      </c>
      <c r="F1149" s="1">
        <v>12</v>
      </c>
      <c r="G1149" s="1">
        <v>0</v>
      </c>
      <c r="H1149" t="s">
        <v>17</v>
      </c>
      <c r="I1149" t="s">
        <v>75</v>
      </c>
      <c r="J1149" t="s">
        <v>2388</v>
      </c>
      <c r="K1149" s="3">
        <v>46112</v>
      </c>
      <c r="L1149" t="s">
        <v>566</v>
      </c>
      <c r="M1149">
        <v>0.3</v>
      </c>
      <c r="N1149">
        <v>1680</v>
      </c>
      <c r="O1149">
        <f t="shared" si="51"/>
        <v>3.5999999999999996</v>
      </c>
      <c r="P1149">
        <f t="shared" si="52"/>
        <v>7.1428571428571426E-3</v>
      </c>
      <c r="Q1149" t="str">
        <f t="shared" si="53"/>
        <v>Q27-01</v>
      </c>
    </row>
    <row r="1150" spans="1:17" x14ac:dyDescent="0.25">
      <c r="A1150" t="s">
        <v>61</v>
      </c>
      <c r="B1150" t="s">
        <v>71</v>
      </c>
      <c r="C1150" t="s">
        <v>72</v>
      </c>
      <c r="D1150" t="s">
        <v>382</v>
      </c>
      <c r="E1150" t="s">
        <v>2435</v>
      </c>
      <c r="F1150" s="1">
        <v>5</v>
      </c>
      <c r="G1150" s="1">
        <v>0</v>
      </c>
      <c r="H1150" t="s">
        <v>17</v>
      </c>
      <c r="I1150" t="s">
        <v>75</v>
      </c>
      <c r="J1150" t="s">
        <v>2436</v>
      </c>
      <c r="K1150" s="3">
        <v>46630</v>
      </c>
      <c r="L1150" t="s">
        <v>2437</v>
      </c>
      <c r="M1150">
        <v>0.3</v>
      </c>
      <c r="N1150">
        <v>1680</v>
      </c>
      <c r="O1150">
        <f t="shared" si="51"/>
        <v>1.5</v>
      </c>
      <c r="P1150">
        <f t="shared" si="52"/>
        <v>2.976190476190476E-3</v>
      </c>
      <c r="Q1150" t="str">
        <f t="shared" si="53"/>
        <v>Q27-03</v>
      </c>
    </row>
    <row r="1151" spans="1:17" x14ac:dyDescent="0.25">
      <c r="A1151" t="s">
        <v>12</v>
      </c>
      <c r="B1151" t="s">
        <v>2438</v>
      </c>
      <c r="C1151" t="s">
        <v>2439</v>
      </c>
      <c r="D1151" t="s">
        <v>57</v>
      </c>
      <c r="E1151" t="s">
        <v>2440</v>
      </c>
      <c r="F1151" s="1">
        <v>22</v>
      </c>
      <c r="G1151" s="1">
        <v>0</v>
      </c>
      <c r="H1151" t="s">
        <v>17</v>
      </c>
      <c r="I1151" t="s">
        <v>2441</v>
      </c>
      <c r="J1151" t="s">
        <v>2442</v>
      </c>
      <c r="K1151" s="3">
        <v>46998</v>
      </c>
      <c r="L1151" t="s">
        <v>2443</v>
      </c>
      <c r="M1151">
        <v>0.09</v>
      </c>
      <c r="N1151">
        <v>3456</v>
      </c>
      <c r="O1151">
        <f t="shared" si="51"/>
        <v>1.98</v>
      </c>
      <c r="P1151">
        <f t="shared" si="52"/>
        <v>6.3657407407407404E-3</v>
      </c>
      <c r="Q1151" t="str">
        <f t="shared" si="53"/>
        <v>Q26-03</v>
      </c>
    </row>
    <row r="1152" spans="1:17" x14ac:dyDescent="0.25">
      <c r="A1152" t="s">
        <v>12</v>
      </c>
      <c r="B1152" t="s">
        <v>2438</v>
      </c>
      <c r="C1152" t="s">
        <v>2439</v>
      </c>
      <c r="D1152" t="s">
        <v>57</v>
      </c>
      <c r="E1152" t="s">
        <v>2444</v>
      </c>
      <c r="F1152" s="1">
        <v>16</v>
      </c>
      <c r="G1152" s="1">
        <v>0</v>
      </c>
      <c r="H1152" t="s">
        <v>17</v>
      </c>
      <c r="I1152" t="s">
        <v>2441</v>
      </c>
      <c r="J1152" t="s">
        <v>2442</v>
      </c>
      <c r="K1152" s="3">
        <v>46998</v>
      </c>
      <c r="L1152" t="s">
        <v>2443</v>
      </c>
      <c r="M1152">
        <v>0.09</v>
      </c>
      <c r="N1152">
        <v>3456</v>
      </c>
      <c r="O1152">
        <f t="shared" si="51"/>
        <v>1.44</v>
      </c>
      <c r="P1152">
        <f t="shared" si="52"/>
        <v>4.6296296296296294E-3</v>
      </c>
      <c r="Q1152" t="str">
        <f t="shared" si="53"/>
        <v>Q26-03</v>
      </c>
    </row>
    <row r="1153" spans="1:17" x14ac:dyDescent="0.25">
      <c r="A1153" t="s">
        <v>12</v>
      </c>
      <c r="B1153" t="s">
        <v>2272</v>
      </c>
      <c r="C1153" t="s">
        <v>2273</v>
      </c>
      <c r="D1153" t="s">
        <v>57</v>
      </c>
      <c r="E1153" t="s">
        <v>2445</v>
      </c>
      <c r="F1153" s="1">
        <v>1</v>
      </c>
      <c r="G1153" s="1">
        <v>0</v>
      </c>
      <c r="H1153" t="s">
        <v>17</v>
      </c>
      <c r="I1153" t="s">
        <v>2275</v>
      </c>
      <c r="J1153" t="s">
        <v>2446</v>
      </c>
      <c r="K1153" s="3">
        <v>46477</v>
      </c>
      <c r="L1153" t="s">
        <v>2277</v>
      </c>
      <c r="M1153">
        <v>3.7999999999999999E-2</v>
      </c>
      <c r="N1153">
        <v>2304</v>
      </c>
      <c r="O1153">
        <f t="shared" si="51"/>
        <v>3.7999999999999999E-2</v>
      </c>
      <c r="P1153">
        <f t="shared" si="52"/>
        <v>4.3402777777777775E-4</v>
      </c>
      <c r="Q1153" t="str">
        <f t="shared" si="53"/>
        <v>Q26-03</v>
      </c>
    </row>
    <row r="1154" spans="1:17" x14ac:dyDescent="0.25">
      <c r="A1154" t="s">
        <v>12</v>
      </c>
      <c r="B1154" t="s">
        <v>1221</v>
      </c>
      <c r="C1154" t="s">
        <v>1222</v>
      </c>
      <c r="D1154" t="s">
        <v>144</v>
      </c>
      <c r="E1154" t="s">
        <v>2447</v>
      </c>
      <c r="F1154" s="2">
        <v>2361</v>
      </c>
      <c r="G1154" s="1">
        <v>0</v>
      </c>
      <c r="H1154" t="s">
        <v>17</v>
      </c>
      <c r="I1154" t="s">
        <v>84</v>
      </c>
      <c r="J1154" t="s">
        <v>90</v>
      </c>
      <c r="K1154" s="3">
        <v>46712</v>
      </c>
      <c r="L1154" t="s">
        <v>2448</v>
      </c>
      <c r="M1154">
        <v>0</v>
      </c>
      <c r="N1154">
        <v>0</v>
      </c>
      <c r="O1154">
        <f t="shared" si="51"/>
        <v>0</v>
      </c>
      <c r="Q1154" t="str">
        <f t="shared" si="53"/>
        <v>QM4-01</v>
      </c>
    </row>
    <row r="1155" spans="1:17" x14ac:dyDescent="0.25">
      <c r="A1155" t="s">
        <v>12</v>
      </c>
      <c r="B1155" t="s">
        <v>1221</v>
      </c>
      <c r="C1155" t="s">
        <v>1222</v>
      </c>
      <c r="D1155" t="s">
        <v>144</v>
      </c>
      <c r="E1155" t="s">
        <v>2449</v>
      </c>
      <c r="F1155" s="2">
        <v>2238</v>
      </c>
      <c r="G1155" s="1">
        <v>0</v>
      </c>
      <c r="H1155" t="s">
        <v>17</v>
      </c>
      <c r="I1155" t="s">
        <v>84</v>
      </c>
      <c r="J1155" t="s">
        <v>90</v>
      </c>
      <c r="K1155" s="3">
        <v>46712</v>
      </c>
      <c r="L1155" t="s">
        <v>2450</v>
      </c>
      <c r="M1155">
        <v>0</v>
      </c>
      <c r="N1155">
        <v>0</v>
      </c>
      <c r="O1155">
        <f t="shared" ref="O1155:O1218" si="54">F1155*M1155</f>
        <v>0</v>
      </c>
      <c r="Q1155" t="str">
        <f t="shared" ref="Q1155:Q1218" si="55">LEFT(D1155,6)</f>
        <v>QM4-01</v>
      </c>
    </row>
    <row r="1156" spans="1:17" x14ac:dyDescent="0.25">
      <c r="A1156" t="s">
        <v>12</v>
      </c>
      <c r="B1156" t="s">
        <v>2451</v>
      </c>
      <c r="C1156" t="s">
        <v>2452</v>
      </c>
      <c r="D1156" t="s">
        <v>44</v>
      </c>
      <c r="E1156" t="s">
        <v>2453</v>
      </c>
      <c r="F1156" s="1">
        <v>1</v>
      </c>
      <c r="G1156" s="1">
        <v>0</v>
      </c>
      <c r="H1156" t="s">
        <v>17</v>
      </c>
      <c r="I1156" t="s">
        <v>2454</v>
      </c>
      <c r="J1156" t="s">
        <v>2455</v>
      </c>
      <c r="K1156" s="3">
        <v>46936</v>
      </c>
      <c r="L1156" t="s">
        <v>2448</v>
      </c>
      <c r="M1156">
        <v>3.4000000000000002E-2</v>
      </c>
      <c r="N1156">
        <v>4620</v>
      </c>
      <c r="O1156">
        <f t="shared" si="54"/>
        <v>3.4000000000000002E-2</v>
      </c>
      <c r="P1156">
        <f t="shared" ref="P1155:P1218" si="56">F1156/N1156</f>
        <v>2.1645021645021645E-4</v>
      </c>
      <c r="Q1156" t="str">
        <f t="shared" si="55"/>
        <v>Q26-01</v>
      </c>
    </row>
    <row r="1157" spans="1:17" x14ac:dyDescent="0.25">
      <c r="A1157" t="s">
        <v>61</v>
      </c>
      <c r="B1157" t="s">
        <v>71</v>
      </c>
      <c r="C1157" t="s">
        <v>72</v>
      </c>
      <c r="D1157" t="s">
        <v>382</v>
      </c>
      <c r="E1157" t="s">
        <v>2456</v>
      </c>
      <c r="F1157" s="1">
        <v>3</v>
      </c>
      <c r="G1157" s="1">
        <v>0</v>
      </c>
      <c r="H1157" t="s">
        <v>17</v>
      </c>
      <c r="I1157" t="s">
        <v>75</v>
      </c>
      <c r="J1157" t="s">
        <v>2457</v>
      </c>
      <c r="K1157" s="3">
        <v>46599</v>
      </c>
      <c r="L1157" t="s">
        <v>2458</v>
      </c>
      <c r="M1157">
        <v>0.3</v>
      </c>
      <c r="N1157">
        <v>1680</v>
      </c>
      <c r="O1157">
        <f t="shared" si="54"/>
        <v>0.89999999999999991</v>
      </c>
      <c r="P1157">
        <f t="shared" si="56"/>
        <v>1.7857142857142857E-3</v>
      </c>
      <c r="Q1157" t="str">
        <f t="shared" si="55"/>
        <v>Q27-03</v>
      </c>
    </row>
    <row r="1158" spans="1:17" x14ac:dyDescent="0.25">
      <c r="A1158" t="s">
        <v>61</v>
      </c>
      <c r="B1158" t="s">
        <v>71</v>
      </c>
      <c r="C1158" t="s">
        <v>72</v>
      </c>
      <c r="D1158" t="s">
        <v>382</v>
      </c>
      <c r="E1158" t="s">
        <v>2459</v>
      </c>
      <c r="F1158" s="1">
        <v>3</v>
      </c>
      <c r="G1158" s="1">
        <v>0</v>
      </c>
      <c r="H1158" t="s">
        <v>17</v>
      </c>
      <c r="I1158" t="s">
        <v>75</v>
      </c>
      <c r="J1158" t="s">
        <v>2457</v>
      </c>
      <c r="K1158" s="3">
        <v>46599</v>
      </c>
      <c r="L1158" t="s">
        <v>2458</v>
      </c>
      <c r="M1158">
        <v>0.3</v>
      </c>
      <c r="N1158">
        <v>1680</v>
      </c>
      <c r="O1158">
        <f t="shared" si="54"/>
        <v>0.89999999999999991</v>
      </c>
      <c r="P1158">
        <f t="shared" si="56"/>
        <v>1.7857142857142857E-3</v>
      </c>
      <c r="Q1158" t="str">
        <f t="shared" si="55"/>
        <v>Q27-03</v>
      </c>
    </row>
    <row r="1159" spans="1:17" x14ac:dyDescent="0.25">
      <c r="A1159" t="s">
        <v>61</v>
      </c>
      <c r="B1159" t="s">
        <v>71</v>
      </c>
      <c r="C1159" t="s">
        <v>72</v>
      </c>
      <c r="D1159" t="s">
        <v>382</v>
      </c>
      <c r="E1159" t="s">
        <v>2460</v>
      </c>
      <c r="F1159" s="1">
        <v>4</v>
      </c>
      <c r="G1159" s="1">
        <v>0</v>
      </c>
      <c r="H1159" t="s">
        <v>17</v>
      </c>
      <c r="I1159" t="s">
        <v>75</v>
      </c>
      <c r="J1159" t="s">
        <v>2457</v>
      </c>
      <c r="K1159" s="3">
        <v>46599</v>
      </c>
      <c r="L1159" t="s">
        <v>2458</v>
      </c>
      <c r="M1159">
        <v>0.3</v>
      </c>
      <c r="N1159">
        <v>1680</v>
      </c>
      <c r="O1159">
        <f t="shared" si="54"/>
        <v>1.2</v>
      </c>
      <c r="P1159">
        <f t="shared" si="56"/>
        <v>2.3809523809523812E-3</v>
      </c>
      <c r="Q1159" t="str">
        <f t="shared" si="55"/>
        <v>Q27-03</v>
      </c>
    </row>
    <row r="1160" spans="1:17" x14ac:dyDescent="0.25">
      <c r="A1160" t="s">
        <v>61</v>
      </c>
      <c r="B1160" t="s">
        <v>71</v>
      </c>
      <c r="C1160" t="s">
        <v>72</v>
      </c>
      <c r="D1160" t="s">
        <v>195</v>
      </c>
      <c r="E1160" t="s">
        <v>2461</v>
      </c>
      <c r="F1160" s="1">
        <v>1</v>
      </c>
      <c r="G1160" s="1">
        <v>0</v>
      </c>
      <c r="H1160" t="s">
        <v>17</v>
      </c>
      <c r="I1160" t="s">
        <v>75</v>
      </c>
      <c r="J1160" t="s">
        <v>2457</v>
      </c>
      <c r="K1160" s="3">
        <v>46599</v>
      </c>
      <c r="L1160" t="s">
        <v>2458</v>
      </c>
      <c r="M1160">
        <v>0.3</v>
      </c>
      <c r="N1160">
        <v>1680</v>
      </c>
      <c r="O1160">
        <f t="shared" si="54"/>
        <v>0.3</v>
      </c>
      <c r="P1160">
        <f t="shared" si="56"/>
        <v>5.9523809523809529E-4</v>
      </c>
      <c r="Q1160" t="str">
        <f t="shared" si="55"/>
        <v>Q27-03</v>
      </c>
    </row>
    <row r="1161" spans="1:17" x14ac:dyDescent="0.25">
      <c r="A1161" t="s">
        <v>61</v>
      </c>
      <c r="B1161" t="s">
        <v>71</v>
      </c>
      <c r="C1161" t="s">
        <v>72</v>
      </c>
      <c r="D1161" t="s">
        <v>244</v>
      </c>
      <c r="E1161" t="s">
        <v>2462</v>
      </c>
      <c r="F1161" s="1">
        <v>34</v>
      </c>
      <c r="G1161" s="1">
        <v>0</v>
      </c>
      <c r="H1161" t="s">
        <v>17</v>
      </c>
      <c r="I1161" t="s">
        <v>75</v>
      </c>
      <c r="J1161" t="s">
        <v>2457</v>
      </c>
      <c r="K1161" s="3">
        <v>46599</v>
      </c>
      <c r="L1161" t="s">
        <v>2006</v>
      </c>
      <c r="M1161">
        <v>0.3</v>
      </c>
      <c r="N1161">
        <v>1680</v>
      </c>
      <c r="O1161">
        <f t="shared" si="54"/>
        <v>10.199999999999999</v>
      </c>
      <c r="P1161">
        <f t="shared" si="56"/>
        <v>2.0238095238095239E-2</v>
      </c>
      <c r="Q1161" t="str">
        <f t="shared" si="55"/>
        <v>Q27-03</v>
      </c>
    </row>
    <row r="1162" spans="1:17" x14ac:dyDescent="0.25">
      <c r="A1162" t="s">
        <v>61</v>
      </c>
      <c r="B1162" t="s">
        <v>71</v>
      </c>
      <c r="C1162" t="s">
        <v>72</v>
      </c>
      <c r="D1162" t="s">
        <v>382</v>
      </c>
      <c r="E1162" t="s">
        <v>2463</v>
      </c>
      <c r="F1162" s="1">
        <v>15</v>
      </c>
      <c r="G1162" s="1">
        <v>0</v>
      </c>
      <c r="H1162" t="s">
        <v>17</v>
      </c>
      <c r="I1162" t="s">
        <v>75</v>
      </c>
      <c r="J1162" t="s">
        <v>2457</v>
      </c>
      <c r="K1162" s="3">
        <v>46599</v>
      </c>
      <c r="L1162" t="s">
        <v>2464</v>
      </c>
      <c r="M1162">
        <v>0.3</v>
      </c>
      <c r="N1162">
        <v>1680</v>
      </c>
      <c r="O1162">
        <f t="shared" si="54"/>
        <v>4.5</v>
      </c>
      <c r="P1162">
        <f t="shared" si="56"/>
        <v>8.9285714285714281E-3</v>
      </c>
      <c r="Q1162" t="str">
        <f t="shared" si="55"/>
        <v>Q27-03</v>
      </c>
    </row>
    <row r="1163" spans="1:17" x14ac:dyDescent="0.25">
      <c r="A1163" t="s">
        <v>61</v>
      </c>
      <c r="B1163" t="s">
        <v>71</v>
      </c>
      <c r="C1163" t="s">
        <v>72</v>
      </c>
      <c r="D1163" t="s">
        <v>382</v>
      </c>
      <c r="E1163" t="s">
        <v>2465</v>
      </c>
      <c r="F1163" s="1">
        <v>6</v>
      </c>
      <c r="G1163" s="1">
        <v>0</v>
      </c>
      <c r="H1163" t="s">
        <v>17</v>
      </c>
      <c r="I1163" t="s">
        <v>75</v>
      </c>
      <c r="J1163" t="s">
        <v>2457</v>
      </c>
      <c r="K1163" s="3">
        <v>46599</v>
      </c>
      <c r="L1163" t="s">
        <v>2464</v>
      </c>
      <c r="M1163">
        <v>0.3</v>
      </c>
      <c r="N1163">
        <v>1680</v>
      </c>
      <c r="O1163">
        <f t="shared" si="54"/>
        <v>1.7999999999999998</v>
      </c>
      <c r="P1163">
        <f t="shared" si="56"/>
        <v>3.5714285714285713E-3</v>
      </c>
      <c r="Q1163" t="str">
        <f t="shared" si="55"/>
        <v>Q27-03</v>
      </c>
    </row>
    <row r="1164" spans="1:17" x14ac:dyDescent="0.25">
      <c r="A1164" t="s">
        <v>61</v>
      </c>
      <c r="B1164" t="s">
        <v>71</v>
      </c>
      <c r="C1164" t="s">
        <v>72</v>
      </c>
      <c r="D1164" t="s">
        <v>382</v>
      </c>
      <c r="E1164" t="s">
        <v>2466</v>
      </c>
      <c r="F1164" s="1">
        <v>27</v>
      </c>
      <c r="G1164" s="1">
        <v>0</v>
      </c>
      <c r="H1164" t="s">
        <v>17</v>
      </c>
      <c r="I1164" t="s">
        <v>75</v>
      </c>
      <c r="J1164" t="s">
        <v>2457</v>
      </c>
      <c r="K1164" s="3">
        <v>46599</v>
      </c>
      <c r="L1164" t="s">
        <v>2464</v>
      </c>
      <c r="M1164">
        <v>0.3</v>
      </c>
      <c r="N1164">
        <v>1680</v>
      </c>
      <c r="O1164">
        <f t="shared" si="54"/>
        <v>8.1</v>
      </c>
      <c r="P1164">
        <f t="shared" si="56"/>
        <v>1.607142857142857E-2</v>
      </c>
      <c r="Q1164" t="str">
        <f t="shared" si="55"/>
        <v>Q27-03</v>
      </c>
    </row>
    <row r="1165" spans="1:17" x14ac:dyDescent="0.25">
      <c r="A1165" t="s">
        <v>61</v>
      </c>
      <c r="B1165" t="s">
        <v>71</v>
      </c>
      <c r="C1165" t="s">
        <v>72</v>
      </c>
      <c r="D1165" t="s">
        <v>382</v>
      </c>
      <c r="E1165" t="s">
        <v>2467</v>
      </c>
      <c r="F1165" s="1">
        <v>1</v>
      </c>
      <c r="G1165" s="1">
        <v>0</v>
      </c>
      <c r="H1165" t="s">
        <v>17</v>
      </c>
      <c r="I1165" t="s">
        <v>75</v>
      </c>
      <c r="J1165" t="s">
        <v>2457</v>
      </c>
      <c r="K1165" s="3">
        <v>46599</v>
      </c>
      <c r="L1165" t="s">
        <v>2464</v>
      </c>
      <c r="M1165">
        <v>0.3</v>
      </c>
      <c r="N1165">
        <v>1680</v>
      </c>
      <c r="O1165">
        <f t="shared" si="54"/>
        <v>0.3</v>
      </c>
      <c r="P1165">
        <f t="shared" si="56"/>
        <v>5.9523809523809529E-4</v>
      </c>
      <c r="Q1165" t="str">
        <f t="shared" si="55"/>
        <v>Q27-03</v>
      </c>
    </row>
    <row r="1166" spans="1:17" x14ac:dyDescent="0.25">
      <c r="A1166" t="s">
        <v>12</v>
      </c>
      <c r="B1166" t="s">
        <v>2295</v>
      </c>
      <c r="C1166" t="s">
        <v>2296</v>
      </c>
      <c r="D1166" t="s">
        <v>44</v>
      </c>
      <c r="E1166" t="s">
        <v>2468</v>
      </c>
      <c r="F1166" s="1">
        <v>2</v>
      </c>
      <c r="G1166" s="1">
        <v>0</v>
      </c>
      <c r="H1166" t="s">
        <v>17</v>
      </c>
      <c r="I1166" t="s">
        <v>2298</v>
      </c>
      <c r="J1166" t="s">
        <v>2469</v>
      </c>
      <c r="K1166" s="3">
        <v>46605</v>
      </c>
      <c r="L1166" t="s">
        <v>2470</v>
      </c>
      <c r="M1166">
        <v>0.14399999999999999</v>
      </c>
      <c r="N1166">
        <v>1728</v>
      </c>
      <c r="O1166">
        <f t="shared" si="54"/>
        <v>0.28799999999999998</v>
      </c>
      <c r="P1166">
        <f t="shared" si="56"/>
        <v>1.1574074074074073E-3</v>
      </c>
      <c r="Q1166" t="str">
        <f t="shared" si="55"/>
        <v>Q26-01</v>
      </c>
    </row>
    <row r="1167" spans="1:17" x14ac:dyDescent="0.25">
      <c r="A1167" t="s">
        <v>12</v>
      </c>
      <c r="B1167" t="s">
        <v>2350</v>
      </c>
      <c r="C1167" t="s">
        <v>2351</v>
      </c>
      <c r="D1167" t="s">
        <v>44</v>
      </c>
      <c r="E1167" t="s">
        <v>2471</v>
      </c>
      <c r="F1167" s="1">
        <v>1</v>
      </c>
      <c r="G1167" s="1">
        <v>0</v>
      </c>
      <c r="H1167" t="s">
        <v>17</v>
      </c>
      <c r="I1167" t="s">
        <v>2353</v>
      </c>
      <c r="J1167" t="s">
        <v>2469</v>
      </c>
      <c r="K1167" s="3">
        <v>46561</v>
      </c>
      <c r="L1167" t="s">
        <v>2355</v>
      </c>
      <c r="M1167">
        <v>6.6000000000000003E-2</v>
      </c>
      <c r="N1167">
        <v>1344</v>
      </c>
      <c r="O1167">
        <f t="shared" si="54"/>
        <v>6.6000000000000003E-2</v>
      </c>
      <c r="P1167">
        <f t="shared" si="56"/>
        <v>7.4404761904761901E-4</v>
      </c>
      <c r="Q1167" t="str">
        <f t="shared" si="55"/>
        <v>Q26-01</v>
      </c>
    </row>
    <row r="1168" spans="1:17" x14ac:dyDescent="0.25">
      <c r="A1168" t="s">
        <v>12</v>
      </c>
      <c r="B1168" t="s">
        <v>2295</v>
      </c>
      <c r="C1168" t="s">
        <v>2296</v>
      </c>
      <c r="D1168" t="s">
        <v>44</v>
      </c>
      <c r="E1168" t="s">
        <v>2472</v>
      </c>
      <c r="F1168" s="1">
        <v>1</v>
      </c>
      <c r="G1168" s="1">
        <v>0</v>
      </c>
      <c r="H1168" t="s">
        <v>17</v>
      </c>
      <c r="I1168" t="s">
        <v>2298</v>
      </c>
      <c r="J1168" t="s">
        <v>2469</v>
      </c>
      <c r="K1168" s="3">
        <v>46602</v>
      </c>
      <c r="L1168" t="s">
        <v>2473</v>
      </c>
      <c r="M1168">
        <v>0.14399999999999999</v>
      </c>
      <c r="N1168">
        <v>1728</v>
      </c>
      <c r="O1168">
        <f t="shared" si="54"/>
        <v>0.14399999999999999</v>
      </c>
      <c r="P1168">
        <f t="shared" si="56"/>
        <v>5.7870370370370367E-4</v>
      </c>
      <c r="Q1168" t="str">
        <f t="shared" si="55"/>
        <v>Q26-01</v>
      </c>
    </row>
    <row r="1169" spans="1:17" x14ac:dyDescent="0.25">
      <c r="A1169" t="s">
        <v>12</v>
      </c>
      <c r="B1169" t="s">
        <v>2295</v>
      </c>
      <c r="C1169" t="s">
        <v>2296</v>
      </c>
      <c r="D1169" t="s">
        <v>44</v>
      </c>
      <c r="E1169" t="s">
        <v>2474</v>
      </c>
      <c r="F1169" s="1">
        <v>4</v>
      </c>
      <c r="G1169" s="1">
        <v>0</v>
      </c>
      <c r="H1169" t="s">
        <v>17</v>
      </c>
      <c r="I1169" t="s">
        <v>2298</v>
      </c>
      <c r="J1169" t="s">
        <v>2469</v>
      </c>
      <c r="K1169" s="3">
        <v>46564</v>
      </c>
      <c r="L1169" t="s">
        <v>2300</v>
      </c>
      <c r="M1169">
        <v>0.14399999999999999</v>
      </c>
      <c r="N1169">
        <v>1728</v>
      </c>
      <c r="O1169">
        <f t="shared" si="54"/>
        <v>0.57599999999999996</v>
      </c>
      <c r="P1169">
        <f t="shared" si="56"/>
        <v>2.3148148148148147E-3</v>
      </c>
      <c r="Q1169" t="str">
        <f t="shared" si="55"/>
        <v>Q26-01</v>
      </c>
    </row>
    <row r="1170" spans="1:17" x14ac:dyDescent="0.25">
      <c r="A1170" t="s">
        <v>12</v>
      </c>
      <c r="B1170" t="s">
        <v>2301</v>
      </c>
      <c r="C1170" t="s">
        <v>2302</v>
      </c>
      <c r="D1170" t="s">
        <v>44</v>
      </c>
      <c r="E1170" t="s">
        <v>2475</v>
      </c>
      <c r="F1170" s="1">
        <v>13</v>
      </c>
      <c r="G1170" s="1">
        <v>0</v>
      </c>
      <c r="H1170" t="s">
        <v>17</v>
      </c>
      <c r="I1170" t="s">
        <v>2304</v>
      </c>
      <c r="J1170" t="s">
        <v>2469</v>
      </c>
      <c r="K1170" s="3">
        <v>46616</v>
      </c>
      <c r="L1170" t="s">
        <v>2476</v>
      </c>
      <c r="M1170">
        <v>0.14399999999999999</v>
      </c>
      <c r="N1170">
        <v>1728</v>
      </c>
      <c r="O1170">
        <f t="shared" si="54"/>
        <v>1.8719999999999999</v>
      </c>
      <c r="P1170">
        <f t="shared" si="56"/>
        <v>7.5231481481481477E-3</v>
      </c>
      <c r="Q1170" t="str">
        <f t="shared" si="55"/>
        <v>Q26-01</v>
      </c>
    </row>
    <row r="1171" spans="1:17" x14ac:dyDescent="0.25">
      <c r="A1171" t="s">
        <v>12</v>
      </c>
      <c r="B1171" t="s">
        <v>2301</v>
      </c>
      <c r="C1171" t="s">
        <v>2302</v>
      </c>
      <c r="D1171" t="s">
        <v>44</v>
      </c>
      <c r="E1171" t="s">
        <v>2477</v>
      </c>
      <c r="F1171" s="1">
        <v>9</v>
      </c>
      <c r="G1171" s="1">
        <v>0</v>
      </c>
      <c r="H1171" t="s">
        <v>17</v>
      </c>
      <c r="I1171" t="s">
        <v>2304</v>
      </c>
      <c r="J1171" t="s">
        <v>2469</v>
      </c>
      <c r="K1171" s="3">
        <v>46639</v>
      </c>
      <c r="L1171" t="s">
        <v>2478</v>
      </c>
      <c r="M1171">
        <v>0.14399999999999999</v>
      </c>
      <c r="N1171">
        <v>1728</v>
      </c>
      <c r="O1171">
        <f t="shared" si="54"/>
        <v>1.2959999999999998</v>
      </c>
      <c r="P1171">
        <f t="shared" si="56"/>
        <v>5.208333333333333E-3</v>
      </c>
      <c r="Q1171" t="str">
        <f t="shared" si="55"/>
        <v>Q26-01</v>
      </c>
    </row>
    <row r="1172" spans="1:17" x14ac:dyDescent="0.25">
      <c r="A1172" t="s">
        <v>385</v>
      </c>
      <c r="B1172" t="s">
        <v>2479</v>
      </c>
      <c r="C1172" t="s">
        <v>2480</v>
      </c>
      <c r="D1172" t="s">
        <v>57</v>
      </c>
      <c r="E1172" t="s">
        <v>2481</v>
      </c>
      <c r="F1172" s="1">
        <v>2</v>
      </c>
      <c r="G1172" s="1">
        <v>0</v>
      </c>
      <c r="H1172" t="s">
        <v>17</v>
      </c>
      <c r="I1172" t="s">
        <v>2482</v>
      </c>
      <c r="J1172" t="s">
        <v>2483</v>
      </c>
      <c r="K1172" s="3">
        <v>46634</v>
      </c>
      <c r="L1172" t="s">
        <v>2484</v>
      </c>
      <c r="M1172">
        <v>0.23599999999999999</v>
      </c>
      <c r="N1172">
        <v>1344</v>
      </c>
      <c r="O1172">
        <f t="shared" si="54"/>
        <v>0.47199999999999998</v>
      </c>
      <c r="P1172">
        <f t="shared" si="56"/>
        <v>1.488095238095238E-3</v>
      </c>
      <c r="Q1172" t="str">
        <f t="shared" si="55"/>
        <v>Q26-03</v>
      </c>
    </row>
    <row r="1173" spans="1:17" x14ac:dyDescent="0.25">
      <c r="A1173" t="s">
        <v>385</v>
      </c>
      <c r="B1173" t="s">
        <v>2479</v>
      </c>
      <c r="C1173" t="s">
        <v>2480</v>
      </c>
      <c r="D1173" t="s">
        <v>57</v>
      </c>
      <c r="E1173" t="s">
        <v>2485</v>
      </c>
      <c r="F1173" s="1">
        <v>5</v>
      </c>
      <c r="G1173" s="1">
        <v>0</v>
      </c>
      <c r="H1173" t="s">
        <v>17</v>
      </c>
      <c r="I1173" t="s">
        <v>2482</v>
      </c>
      <c r="J1173" t="s">
        <v>2483</v>
      </c>
      <c r="K1173" s="3">
        <v>46634</v>
      </c>
      <c r="L1173" t="s">
        <v>2486</v>
      </c>
      <c r="M1173">
        <v>0.23599999999999999</v>
      </c>
      <c r="N1173">
        <v>1344</v>
      </c>
      <c r="O1173">
        <f t="shared" si="54"/>
        <v>1.18</v>
      </c>
      <c r="P1173">
        <f t="shared" si="56"/>
        <v>3.720238095238095E-3</v>
      </c>
      <c r="Q1173" t="str">
        <f t="shared" si="55"/>
        <v>Q26-03</v>
      </c>
    </row>
    <row r="1174" spans="1:17" x14ac:dyDescent="0.25">
      <c r="A1174" t="s">
        <v>385</v>
      </c>
      <c r="B1174" t="s">
        <v>2479</v>
      </c>
      <c r="C1174" t="s">
        <v>2480</v>
      </c>
      <c r="D1174" t="s">
        <v>57</v>
      </c>
      <c r="E1174" t="s">
        <v>2487</v>
      </c>
      <c r="F1174" s="1">
        <v>1</v>
      </c>
      <c r="G1174" s="1">
        <v>0</v>
      </c>
      <c r="H1174" t="s">
        <v>17</v>
      </c>
      <c r="I1174" t="s">
        <v>2482</v>
      </c>
      <c r="J1174" t="s">
        <v>2483</v>
      </c>
      <c r="K1174" s="3">
        <v>46634</v>
      </c>
      <c r="L1174" t="s">
        <v>2486</v>
      </c>
      <c r="M1174">
        <v>0.23599999999999999</v>
      </c>
      <c r="N1174">
        <v>1344</v>
      </c>
      <c r="O1174">
        <f t="shared" si="54"/>
        <v>0.23599999999999999</v>
      </c>
      <c r="P1174">
        <f t="shared" si="56"/>
        <v>7.4404761904761901E-4</v>
      </c>
      <c r="Q1174" t="str">
        <f t="shared" si="55"/>
        <v>Q26-03</v>
      </c>
    </row>
    <row r="1175" spans="1:17" x14ac:dyDescent="0.25">
      <c r="A1175" t="s">
        <v>12</v>
      </c>
      <c r="B1175" t="s">
        <v>1241</v>
      </c>
      <c r="C1175" t="s">
        <v>1242</v>
      </c>
      <c r="D1175" t="s">
        <v>44</v>
      </c>
      <c r="E1175" t="s">
        <v>2488</v>
      </c>
      <c r="F1175" s="1">
        <v>1</v>
      </c>
      <c r="G1175" s="1">
        <v>0</v>
      </c>
      <c r="H1175" t="s">
        <v>17</v>
      </c>
      <c r="I1175" t="s">
        <v>1244</v>
      </c>
      <c r="J1175" t="s">
        <v>2489</v>
      </c>
      <c r="K1175" s="3">
        <v>46446</v>
      </c>
      <c r="L1175" t="s">
        <v>1246</v>
      </c>
      <c r="M1175">
        <v>4.1000000000000002E-2</v>
      </c>
      <c r="N1175">
        <v>2592</v>
      </c>
      <c r="O1175">
        <f t="shared" si="54"/>
        <v>4.1000000000000002E-2</v>
      </c>
      <c r="P1175">
        <f t="shared" si="56"/>
        <v>3.8580246913580245E-4</v>
      </c>
      <c r="Q1175" t="str">
        <f t="shared" si="55"/>
        <v>Q26-01</v>
      </c>
    </row>
    <row r="1176" spans="1:17" x14ac:dyDescent="0.25">
      <c r="A1176" t="s">
        <v>12</v>
      </c>
      <c r="B1176" t="s">
        <v>1844</v>
      </c>
      <c r="C1176" t="s">
        <v>1837</v>
      </c>
      <c r="D1176" t="s">
        <v>77</v>
      </c>
      <c r="E1176" t="s">
        <v>2490</v>
      </c>
      <c r="F1176" s="1">
        <v>24</v>
      </c>
      <c r="G1176" s="1">
        <v>0</v>
      </c>
      <c r="H1176" t="s">
        <v>17</v>
      </c>
      <c r="I1176" t="s">
        <v>1846</v>
      </c>
      <c r="J1176" t="s">
        <v>2491</v>
      </c>
      <c r="K1176" s="3">
        <v>45973</v>
      </c>
      <c r="L1176" t="s">
        <v>2492</v>
      </c>
      <c r="M1176">
        <v>0.159</v>
      </c>
      <c r="N1176">
        <v>2496</v>
      </c>
      <c r="O1176">
        <f t="shared" si="54"/>
        <v>3.8159999999999998</v>
      </c>
      <c r="P1176">
        <f t="shared" si="56"/>
        <v>9.6153846153846159E-3</v>
      </c>
      <c r="Q1176" t="str">
        <f t="shared" si="55"/>
        <v>Q27-01</v>
      </c>
    </row>
    <row r="1177" spans="1:17" x14ac:dyDescent="0.25">
      <c r="A1177" t="s">
        <v>12</v>
      </c>
      <c r="B1177" t="s">
        <v>2493</v>
      </c>
      <c r="C1177" t="s">
        <v>2494</v>
      </c>
      <c r="D1177" t="s">
        <v>77</v>
      </c>
      <c r="E1177" t="s">
        <v>2495</v>
      </c>
      <c r="F1177" s="1">
        <v>1</v>
      </c>
      <c r="G1177" s="1">
        <v>0</v>
      </c>
      <c r="H1177" t="s">
        <v>17</v>
      </c>
      <c r="I1177" t="s">
        <v>84</v>
      </c>
      <c r="J1177" t="s">
        <v>2496</v>
      </c>
      <c r="K1177" s="3">
        <v>46019</v>
      </c>
      <c r="L1177" t="s">
        <v>2497</v>
      </c>
      <c r="M1177">
        <v>0.17399999999999999</v>
      </c>
      <c r="N1177">
        <v>0</v>
      </c>
      <c r="O1177">
        <f t="shared" si="54"/>
        <v>0.17399999999999999</v>
      </c>
      <c r="Q1177" t="str">
        <f t="shared" si="55"/>
        <v>Q27-01</v>
      </c>
    </row>
    <row r="1178" spans="1:17" x14ac:dyDescent="0.25">
      <c r="A1178" t="s">
        <v>12</v>
      </c>
      <c r="B1178" t="s">
        <v>644</v>
      </c>
      <c r="C1178" t="s">
        <v>645</v>
      </c>
      <c r="D1178" t="s">
        <v>57</v>
      </c>
      <c r="E1178" t="s">
        <v>2498</v>
      </c>
      <c r="F1178" s="1">
        <v>22</v>
      </c>
      <c r="G1178" s="1">
        <v>0</v>
      </c>
      <c r="H1178" t="s">
        <v>17</v>
      </c>
      <c r="I1178" t="s">
        <v>647</v>
      </c>
      <c r="J1178" t="s">
        <v>2499</v>
      </c>
      <c r="K1178" s="3">
        <v>46658</v>
      </c>
      <c r="L1178" t="s">
        <v>2500</v>
      </c>
      <c r="M1178">
        <v>9.4E-2</v>
      </c>
      <c r="N1178">
        <v>2475</v>
      </c>
      <c r="O1178">
        <f t="shared" si="54"/>
        <v>2.0680000000000001</v>
      </c>
      <c r="P1178">
        <f t="shared" si="56"/>
        <v>8.8888888888888889E-3</v>
      </c>
      <c r="Q1178" t="str">
        <f t="shared" si="55"/>
        <v>Q26-03</v>
      </c>
    </row>
    <row r="1179" spans="1:17" x14ac:dyDescent="0.25">
      <c r="A1179" t="s">
        <v>2411</v>
      </c>
      <c r="B1179" t="s">
        <v>2501</v>
      </c>
      <c r="C1179" t="s">
        <v>2502</v>
      </c>
      <c r="D1179" t="s">
        <v>44</v>
      </c>
      <c r="E1179" t="s">
        <v>2503</v>
      </c>
      <c r="F1179" s="1">
        <v>1</v>
      </c>
      <c r="G1179" s="1">
        <v>0</v>
      </c>
      <c r="H1179" t="s">
        <v>17</v>
      </c>
      <c r="I1179" t="s">
        <v>2415</v>
      </c>
      <c r="J1179" t="s">
        <v>2504</v>
      </c>
      <c r="K1179" s="3">
        <v>46569</v>
      </c>
      <c r="L1179" t="s">
        <v>2505</v>
      </c>
      <c r="M1179">
        <v>0.05</v>
      </c>
      <c r="N1179">
        <v>1500</v>
      </c>
      <c r="O1179">
        <f t="shared" si="54"/>
        <v>0.05</v>
      </c>
      <c r="P1179">
        <f t="shared" si="56"/>
        <v>6.6666666666666664E-4</v>
      </c>
      <c r="Q1179" t="str">
        <f t="shared" si="55"/>
        <v>Q26-01</v>
      </c>
    </row>
    <row r="1180" spans="1:17" x14ac:dyDescent="0.25">
      <c r="A1180" t="s">
        <v>2411</v>
      </c>
      <c r="B1180" t="s">
        <v>2501</v>
      </c>
      <c r="C1180" t="s">
        <v>2502</v>
      </c>
      <c r="D1180" t="s">
        <v>44</v>
      </c>
      <c r="E1180" t="s">
        <v>2506</v>
      </c>
      <c r="F1180" s="1">
        <v>1</v>
      </c>
      <c r="G1180" s="1">
        <v>0</v>
      </c>
      <c r="H1180" t="s">
        <v>17</v>
      </c>
      <c r="I1180" t="s">
        <v>2415</v>
      </c>
      <c r="J1180" t="s">
        <v>2504</v>
      </c>
      <c r="K1180" s="3">
        <v>46774</v>
      </c>
      <c r="L1180" t="s">
        <v>2507</v>
      </c>
      <c r="M1180">
        <v>0.05</v>
      </c>
      <c r="N1180">
        <v>1500</v>
      </c>
      <c r="O1180">
        <f t="shared" si="54"/>
        <v>0.05</v>
      </c>
      <c r="P1180">
        <f t="shared" si="56"/>
        <v>6.6666666666666664E-4</v>
      </c>
      <c r="Q1180" t="str">
        <f t="shared" si="55"/>
        <v>Q26-01</v>
      </c>
    </row>
    <row r="1181" spans="1:17" x14ac:dyDescent="0.25">
      <c r="A1181" t="s">
        <v>2411</v>
      </c>
      <c r="B1181" t="s">
        <v>439</v>
      </c>
      <c r="C1181" t="s">
        <v>440</v>
      </c>
      <c r="D1181" t="s">
        <v>44</v>
      </c>
      <c r="E1181" t="s">
        <v>2508</v>
      </c>
      <c r="F1181" s="1">
        <v>2</v>
      </c>
      <c r="G1181" s="1">
        <v>0</v>
      </c>
      <c r="H1181" t="s">
        <v>17</v>
      </c>
      <c r="I1181" t="s">
        <v>2509</v>
      </c>
      <c r="J1181" t="s">
        <v>2510</v>
      </c>
      <c r="K1181" s="3">
        <v>46544</v>
      </c>
      <c r="L1181" t="s">
        <v>2511</v>
      </c>
      <c r="M1181">
        <v>8.3000000000000004E-2</v>
      </c>
      <c r="N1181">
        <v>1200</v>
      </c>
      <c r="O1181">
        <f t="shared" si="54"/>
        <v>0.16600000000000001</v>
      </c>
      <c r="P1181">
        <f t="shared" si="56"/>
        <v>1.6666666666666668E-3</v>
      </c>
      <c r="Q1181" t="str">
        <f t="shared" si="55"/>
        <v>Q26-01</v>
      </c>
    </row>
    <row r="1182" spans="1:17" x14ac:dyDescent="0.25">
      <c r="A1182" t="s">
        <v>12</v>
      </c>
      <c r="B1182" t="s">
        <v>644</v>
      </c>
      <c r="C1182" t="s">
        <v>645</v>
      </c>
      <c r="D1182" t="s">
        <v>57</v>
      </c>
      <c r="E1182" t="s">
        <v>2512</v>
      </c>
      <c r="F1182" s="1">
        <v>7</v>
      </c>
      <c r="G1182" s="1">
        <v>0</v>
      </c>
      <c r="H1182" t="s">
        <v>17</v>
      </c>
      <c r="I1182" t="s">
        <v>647</v>
      </c>
      <c r="J1182" t="s">
        <v>2513</v>
      </c>
      <c r="K1182" s="3">
        <v>46660</v>
      </c>
      <c r="L1182" t="s">
        <v>2514</v>
      </c>
      <c r="M1182">
        <v>9.4E-2</v>
      </c>
      <c r="N1182">
        <v>2475</v>
      </c>
      <c r="O1182">
        <f t="shared" si="54"/>
        <v>0.65800000000000003</v>
      </c>
      <c r="P1182">
        <f t="shared" si="56"/>
        <v>2.8282828282828283E-3</v>
      </c>
      <c r="Q1182" t="str">
        <f t="shared" si="55"/>
        <v>Q26-03</v>
      </c>
    </row>
    <row r="1183" spans="1:17" x14ac:dyDescent="0.25">
      <c r="A1183" t="s">
        <v>12</v>
      </c>
      <c r="B1183" t="s">
        <v>589</v>
      </c>
      <c r="C1183" t="s">
        <v>590</v>
      </c>
      <c r="D1183" t="s">
        <v>57</v>
      </c>
      <c r="E1183" t="s">
        <v>2515</v>
      </c>
      <c r="F1183" s="1">
        <v>1</v>
      </c>
      <c r="G1183" s="1">
        <v>0</v>
      </c>
      <c r="H1183" t="s">
        <v>17</v>
      </c>
      <c r="I1183" t="s">
        <v>592</v>
      </c>
      <c r="J1183" t="s">
        <v>2516</v>
      </c>
      <c r="K1183" s="3">
        <v>46314</v>
      </c>
      <c r="L1183" t="s">
        <v>2517</v>
      </c>
      <c r="M1183">
        <v>4.1000000000000002E-2</v>
      </c>
      <c r="N1183">
        <v>1280</v>
      </c>
      <c r="O1183">
        <f t="shared" si="54"/>
        <v>4.1000000000000002E-2</v>
      </c>
      <c r="P1183">
        <f t="shared" si="56"/>
        <v>7.8125000000000004E-4</v>
      </c>
      <c r="Q1183" t="str">
        <f t="shared" si="55"/>
        <v>Q26-03</v>
      </c>
    </row>
    <row r="1184" spans="1:17" x14ac:dyDescent="0.25">
      <c r="A1184" t="s">
        <v>12</v>
      </c>
      <c r="B1184" t="s">
        <v>2059</v>
      </c>
      <c r="C1184" t="s">
        <v>2060</v>
      </c>
      <c r="D1184" t="s">
        <v>144</v>
      </c>
      <c r="E1184" t="s">
        <v>2518</v>
      </c>
      <c r="F1184" s="1">
        <v>599</v>
      </c>
      <c r="G1184" s="1">
        <v>0</v>
      </c>
      <c r="H1184" t="s">
        <v>17</v>
      </c>
      <c r="I1184" t="s">
        <v>84</v>
      </c>
      <c r="J1184" t="s">
        <v>90</v>
      </c>
      <c r="K1184" s="3">
        <v>46719</v>
      </c>
      <c r="L1184" t="s">
        <v>2519</v>
      </c>
      <c r="M1184">
        <v>0</v>
      </c>
      <c r="N1184">
        <v>0</v>
      </c>
      <c r="O1184">
        <f t="shared" si="54"/>
        <v>0</v>
      </c>
      <c r="Q1184" t="str">
        <f t="shared" si="55"/>
        <v>QM4-01</v>
      </c>
    </row>
    <row r="1185" spans="1:17" x14ac:dyDescent="0.25">
      <c r="A1185" t="s">
        <v>385</v>
      </c>
      <c r="B1185" t="s">
        <v>644</v>
      </c>
      <c r="C1185" t="s">
        <v>645</v>
      </c>
      <c r="D1185" t="s">
        <v>57</v>
      </c>
      <c r="E1185" t="s">
        <v>2520</v>
      </c>
      <c r="F1185" s="1">
        <v>1</v>
      </c>
      <c r="G1185" s="1">
        <v>0</v>
      </c>
      <c r="H1185" t="s">
        <v>17</v>
      </c>
      <c r="I1185" t="s">
        <v>647</v>
      </c>
      <c r="J1185" t="s">
        <v>2521</v>
      </c>
      <c r="K1185" s="3">
        <v>46623</v>
      </c>
      <c r="L1185" t="s">
        <v>2522</v>
      </c>
      <c r="M1185">
        <v>9.4E-2</v>
      </c>
      <c r="N1185">
        <v>2475</v>
      </c>
      <c r="O1185">
        <f t="shared" si="54"/>
        <v>9.4E-2</v>
      </c>
      <c r="P1185">
        <f t="shared" si="56"/>
        <v>4.0404040404040404E-4</v>
      </c>
      <c r="Q1185" t="str">
        <f t="shared" si="55"/>
        <v>Q26-03</v>
      </c>
    </row>
    <row r="1186" spans="1:17" x14ac:dyDescent="0.25">
      <c r="A1186" t="s">
        <v>61</v>
      </c>
      <c r="B1186" t="s">
        <v>225</v>
      </c>
      <c r="C1186" t="s">
        <v>226</v>
      </c>
      <c r="D1186" t="s">
        <v>244</v>
      </c>
      <c r="E1186" t="s">
        <v>2523</v>
      </c>
      <c r="F1186" s="1">
        <v>8</v>
      </c>
      <c r="G1186" s="1">
        <v>0</v>
      </c>
      <c r="H1186" t="s">
        <v>17</v>
      </c>
      <c r="I1186" t="s">
        <v>228</v>
      </c>
      <c r="J1186" t="s">
        <v>2524</v>
      </c>
      <c r="K1186" s="3">
        <v>46812</v>
      </c>
      <c r="L1186" t="s">
        <v>2219</v>
      </c>
      <c r="M1186">
        <v>5.8000000000000003E-2</v>
      </c>
      <c r="N1186">
        <v>2880</v>
      </c>
      <c r="O1186">
        <f t="shared" si="54"/>
        <v>0.46400000000000002</v>
      </c>
      <c r="P1186">
        <f t="shared" si="56"/>
        <v>2.7777777777777779E-3</v>
      </c>
      <c r="Q1186" t="str">
        <f t="shared" si="55"/>
        <v>Q27-03</v>
      </c>
    </row>
    <row r="1187" spans="1:17" x14ac:dyDescent="0.25">
      <c r="A1187" t="s">
        <v>61</v>
      </c>
      <c r="B1187" t="s">
        <v>219</v>
      </c>
      <c r="C1187" t="s">
        <v>220</v>
      </c>
      <c r="D1187" t="s">
        <v>244</v>
      </c>
      <c r="E1187" t="s">
        <v>2525</v>
      </c>
      <c r="F1187" s="1">
        <v>3</v>
      </c>
      <c r="G1187" s="1">
        <v>0</v>
      </c>
      <c r="H1187" t="s">
        <v>17</v>
      </c>
      <c r="I1187" t="s">
        <v>222</v>
      </c>
      <c r="J1187" t="s">
        <v>2524</v>
      </c>
      <c r="K1187" s="3">
        <v>46507</v>
      </c>
      <c r="L1187" t="s">
        <v>2221</v>
      </c>
      <c r="M1187">
        <v>0.3</v>
      </c>
      <c r="N1187">
        <v>1680</v>
      </c>
      <c r="O1187">
        <f t="shared" si="54"/>
        <v>0.89999999999999991</v>
      </c>
      <c r="P1187">
        <f t="shared" si="56"/>
        <v>1.7857142857142857E-3</v>
      </c>
      <c r="Q1187" t="str">
        <f t="shared" si="55"/>
        <v>Q27-03</v>
      </c>
    </row>
    <row r="1188" spans="1:17" x14ac:dyDescent="0.25">
      <c r="A1188" t="s">
        <v>61</v>
      </c>
      <c r="B1188" t="s">
        <v>317</v>
      </c>
      <c r="C1188" t="s">
        <v>318</v>
      </c>
      <c r="D1188" t="s">
        <v>382</v>
      </c>
      <c r="E1188" t="s">
        <v>2526</v>
      </c>
      <c r="F1188" s="1">
        <v>1</v>
      </c>
      <c r="G1188" s="1">
        <v>0</v>
      </c>
      <c r="H1188" t="s">
        <v>17</v>
      </c>
      <c r="I1188" t="s">
        <v>320</v>
      </c>
      <c r="J1188" t="s">
        <v>2524</v>
      </c>
      <c r="K1188" s="3">
        <v>46812</v>
      </c>
      <c r="L1188" t="s">
        <v>2039</v>
      </c>
      <c r="M1188">
        <v>0.04</v>
      </c>
      <c r="N1188">
        <v>2688</v>
      </c>
      <c r="O1188">
        <f t="shared" si="54"/>
        <v>0.04</v>
      </c>
      <c r="P1188">
        <f t="shared" si="56"/>
        <v>3.720238095238095E-4</v>
      </c>
      <c r="Q1188" t="str">
        <f t="shared" si="55"/>
        <v>Q27-03</v>
      </c>
    </row>
    <row r="1189" spans="1:17" x14ac:dyDescent="0.25">
      <c r="A1189" t="s">
        <v>61</v>
      </c>
      <c r="B1189" t="s">
        <v>317</v>
      </c>
      <c r="C1189" t="s">
        <v>318</v>
      </c>
      <c r="D1189" t="s">
        <v>382</v>
      </c>
      <c r="E1189" t="s">
        <v>2527</v>
      </c>
      <c r="F1189" s="1">
        <v>1</v>
      </c>
      <c r="G1189" s="1">
        <v>0</v>
      </c>
      <c r="H1189" t="s">
        <v>17</v>
      </c>
      <c r="I1189" t="s">
        <v>320</v>
      </c>
      <c r="J1189" t="s">
        <v>2524</v>
      </c>
      <c r="K1189" s="3">
        <v>46812</v>
      </c>
      <c r="L1189" t="s">
        <v>2039</v>
      </c>
      <c r="M1189">
        <v>0.04</v>
      </c>
      <c r="N1189">
        <v>2688</v>
      </c>
      <c r="O1189">
        <f t="shared" si="54"/>
        <v>0.04</v>
      </c>
      <c r="P1189">
        <f t="shared" si="56"/>
        <v>3.720238095238095E-4</v>
      </c>
      <c r="Q1189" t="str">
        <f t="shared" si="55"/>
        <v>Q27-03</v>
      </c>
    </row>
    <row r="1190" spans="1:17" x14ac:dyDescent="0.25">
      <c r="A1190" t="s">
        <v>61</v>
      </c>
      <c r="B1190" t="s">
        <v>317</v>
      </c>
      <c r="C1190" t="s">
        <v>318</v>
      </c>
      <c r="D1190" t="s">
        <v>336</v>
      </c>
      <c r="E1190" t="s">
        <v>2528</v>
      </c>
      <c r="F1190" s="1">
        <v>4</v>
      </c>
      <c r="G1190" s="1">
        <v>0</v>
      </c>
      <c r="H1190" t="s">
        <v>17</v>
      </c>
      <c r="I1190" t="s">
        <v>320</v>
      </c>
      <c r="J1190" t="s">
        <v>2524</v>
      </c>
      <c r="K1190" s="3">
        <v>46812</v>
      </c>
      <c r="L1190" t="s">
        <v>2039</v>
      </c>
      <c r="M1190">
        <v>0.04</v>
      </c>
      <c r="N1190">
        <v>2688</v>
      </c>
      <c r="O1190">
        <f t="shared" si="54"/>
        <v>0.16</v>
      </c>
      <c r="P1190">
        <f t="shared" si="56"/>
        <v>1.488095238095238E-3</v>
      </c>
      <c r="Q1190" t="str">
        <f t="shared" si="55"/>
        <v>Q27-03</v>
      </c>
    </row>
    <row r="1191" spans="1:17" x14ac:dyDescent="0.25">
      <c r="A1191" t="s">
        <v>61</v>
      </c>
      <c r="B1191" t="s">
        <v>317</v>
      </c>
      <c r="C1191" t="s">
        <v>318</v>
      </c>
      <c r="D1191" t="s">
        <v>336</v>
      </c>
      <c r="E1191" t="s">
        <v>2529</v>
      </c>
      <c r="F1191" s="1">
        <v>2</v>
      </c>
      <c r="G1191" s="1">
        <v>0</v>
      </c>
      <c r="H1191" t="s">
        <v>17</v>
      </c>
      <c r="I1191" t="s">
        <v>320</v>
      </c>
      <c r="J1191" t="s">
        <v>2524</v>
      </c>
      <c r="K1191" s="3">
        <v>46812</v>
      </c>
      <c r="L1191" t="s">
        <v>2039</v>
      </c>
      <c r="M1191">
        <v>0.04</v>
      </c>
      <c r="N1191">
        <v>2688</v>
      </c>
      <c r="O1191">
        <f t="shared" si="54"/>
        <v>0.08</v>
      </c>
      <c r="P1191">
        <f t="shared" si="56"/>
        <v>7.4404761904761901E-4</v>
      </c>
      <c r="Q1191" t="str">
        <f t="shared" si="55"/>
        <v>Q27-03</v>
      </c>
    </row>
    <row r="1192" spans="1:17" x14ac:dyDescent="0.25">
      <c r="A1192" t="s">
        <v>61</v>
      </c>
      <c r="B1192" t="s">
        <v>317</v>
      </c>
      <c r="C1192" t="s">
        <v>318</v>
      </c>
      <c r="D1192" t="s">
        <v>240</v>
      </c>
      <c r="E1192" t="s">
        <v>2530</v>
      </c>
      <c r="F1192" s="1">
        <v>1</v>
      </c>
      <c r="G1192" s="1">
        <v>0</v>
      </c>
      <c r="H1192" t="s">
        <v>17</v>
      </c>
      <c r="I1192" t="s">
        <v>320</v>
      </c>
      <c r="J1192" t="s">
        <v>2524</v>
      </c>
      <c r="K1192" s="3">
        <v>46812</v>
      </c>
      <c r="L1192" t="s">
        <v>1810</v>
      </c>
      <c r="M1192">
        <v>0.04</v>
      </c>
      <c r="N1192">
        <v>2688</v>
      </c>
      <c r="O1192">
        <f t="shared" si="54"/>
        <v>0.04</v>
      </c>
      <c r="P1192">
        <f t="shared" si="56"/>
        <v>3.720238095238095E-4</v>
      </c>
      <c r="Q1192" t="str">
        <f t="shared" si="55"/>
        <v>Q27-03</v>
      </c>
    </row>
    <row r="1193" spans="1:17" x14ac:dyDescent="0.25">
      <c r="A1193" t="s">
        <v>61</v>
      </c>
      <c r="B1193" t="s">
        <v>317</v>
      </c>
      <c r="C1193" t="s">
        <v>318</v>
      </c>
      <c r="D1193" t="s">
        <v>195</v>
      </c>
      <c r="E1193" t="s">
        <v>2531</v>
      </c>
      <c r="F1193" s="1">
        <v>2</v>
      </c>
      <c r="G1193" s="1">
        <v>0</v>
      </c>
      <c r="H1193" t="s">
        <v>17</v>
      </c>
      <c r="I1193" t="s">
        <v>320</v>
      </c>
      <c r="J1193" t="s">
        <v>2524</v>
      </c>
      <c r="K1193" s="3">
        <v>46812</v>
      </c>
      <c r="L1193" t="s">
        <v>1810</v>
      </c>
      <c r="M1193">
        <v>0.04</v>
      </c>
      <c r="N1193">
        <v>2688</v>
      </c>
      <c r="O1193">
        <f t="shared" si="54"/>
        <v>0.08</v>
      </c>
      <c r="P1193">
        <f t="shared" si="56"/>
        <v>7.4404761904761901E-4</v>
      </c>
      <c r="Q1193" t="str">
        <f t="shared" si="55"/>
        <v>Q27-03</v>
      </c>
    </row>
    <row r="1194" spans="1:17" x14ac:dyDescent="0.25">
      <c r="A1194" t="s">
        <v>12</v>
      </c>
      <c r="B1194" t="s">
        <v>2532</v>
      </c>
      <c r="C1194" t="s">
        <v>2533</v>
      </c>
      <c r="D1194" t="s">
        <v>44</v>
      </c>
      <c r="E1194" t="s">
        <v>2534</v>
      </c>
      <c r="F1194" s="1">
        <v>39</v>
      </c>
      <c r="G1194" s="1">
        <v>0</v>
      </c>
      <c r="H1194" t="s">
        <v>17</v>
      </c>
      <c r="I1194" t="s">
        <v>2535</v>
      </c>
      <c r="J1194" t="s">
        <v>2536</v>
      </c>
      <c r="K1194" s="3">
        <v>46059</v>
      </c>
      <c r="L1194" t="s">
        <v>2537</v>
      </c>
      <c r="M1194">
        <v>2.5000000000000001E-2</v>
      </c>
      <c r="N1194">
        <v>3500</v>
      </c>
      <c r="O1194">
        <f t="shared" si="54"/>
        <v>0.97500000000000009</v>
      </c>
      <c r="P1194">
        <f t="shared" si="56"/>
        <v>1.1142857142857144E-2</v>
      </c>
      <c r="Q1194" t="str">
        <f t="shared" si="55"/>
        <v>Q26-01</v>
      </c>
    </row>
    <row r="1195" spans="1:17" x14ac:dyDescent="0.25">
      <c r="A1195" t="s">
        <v>12</v>
      </c>
      <c r="B1195" t="s">
        <v>2538</v>
      </c>
      <c r="C1195" t="s">
        <v>2539</v>
      </c>
      <c r="D1195" t="s">
        <v>44</v>
      </c>
      <c r="E1195" t="s">
        <v>2540</v>
      </c>
      <c r="F1195" s="1">
        <v>4</v>
      </c>
      <c r="G1195" s="1">
        <v>0</v>
      </c>
      <c r="H1195" t="s">
        <v>17</v>
      </c>
      <c r="I1195" t="s">
        <v>2541</v>
      </c>
      <c r="J1195" t="s">
        <v>2542</v>
      </c>
      <c r="K1195" s="3">
        <v>46387</v>
      </c>
      <c r="L1195" t="s">
        <v>2543</v>
      </c>
      <c r="M1195">
        <v>4.8000000000000001E-2</v>
      </c>
      <c r="N1195">
        <v>2500</v>
      </c>
      <c r="O1195">
        <f t="shared" si="54"/>
        <v>0.192</v>
      </c>
      <c r="P1195">
        <f t="shared" si="56"/>
        <v>1.6000000000000001E-3</v>
      </c>
      <c r="Q1195" t="str">
        <f t="shared" si="55"/>
        <v>Q26-01</v>
      </c>
    </row>
    <row r="1196" spans="1:17" x14ac:dyDescent="0.25">
      <c r="A1196" t="s">
        <v>12</v>
      </c>
      <c r="B1196" t="s">
        <v>2544</v>
      </c>
      <c r="C1196" t="s">
        <v>2545</v>
      </c>
      <c r="D1196" t="s">
        <v>44</v>
      </c>
      <c r="E1196" t="s">
        <v>2546</v>
      </c>
      <c r="F1196" s="1">
        <v>30</v>
      </c>
      <c r="G1196" s="1">
        <v>0</v>
      </c>
      <c r="H1196" t="s">
        <v>17</v>
      </c>
      <c r="I1196" t="s">
        <v>2547</v>
      </c>
      <c r="J1196" t="s">
        <v>2542</v>
      </c>
      <c r="K1196" s="3">
        <v>46599</v>
      </c>
      <c r="L1196" t="s">
        <v>2548</v>
      </c>
      <c r="M1196">
        <v>1.6E-2</v>
      </c>
      <c r="N1196">
        <v>5760</v>
      </c>
      <c r="O1196">
        <f t="shared" si="54"/>
        <v>0.48</v>
      </c>
      <c r="P1196">
        <f t="shared" si="56"/>
        <v>5.208333333333333E-3</v>
      </c>
      <c r="Q1196" t="str">
        <f t="shared" si="55"/>
        <v>Q26-01</v>
      </c>
    </row>
    <row r="1197" spans="1:17" x14ac:dyDescent="0.25">
      <c r="A1197" t="s">
        <v>61</v>
      </c>
      <c r="B1197" t="s">
        <v>456</v>
      </c>
      <c r="C1197" t="s">
        <v>457</v>
      </c>
      <c r="D1197" t="s">
        <v>240</v>
      </c>
      <c r="E1197" t="s">
        <v>2549</v>
      </c>
      <c r="F1197" s="1">
        <v>50</v>
      </c>
      <c r="G1197" s="1">
        <v>0</v>
      </c>
      <c r="H1197" t="s">
        <v>17</v>
      </c>
      <c r="I1197" t="s">
        <v>459</v>
      </c>
      <c r="J1197" t="s">
        <v>2550</v>
      </c>
      <c r="K1197" s="3">
        <v>46142</v>
      </c>
      <c r="L1197" t="s">
        <v>616</v>
      </c>
      <c r="M1197">
        <v>0.22600000000000001</v>
      </c>
      <c r="N1197">
        <v>1680</v>
      </c>
      <c r="O1197">
        <f t="shared" si="54"/>
        <v>11.3</v>
      </c>
      <c r="P1197">
        <f t="shared" si="56"/>
        <v>2.976190476190476E-2</v>
      </c>
      <c r="Q1197" t="str">
        <f t="shared" si="55"/>
        <v>Q27-03</v>
      </c>
    </row>
    <row r="1198" spans="1:17" x14ac:dyDescent="0.25">
      <c r="A1198" t="s">
        <v>12</v>
      </c>
      <c r="B1198" t="s">
        <v>2551</v>
      </c>
      <c r="C1198" t="s">
        <v>2552</v>
      </c>
      <c r="D1198" t="s">
        <v>407</v>
      </c>
      <c r="E1198" t="s">
        <v>2553</v>
      </c>
      <c r="F1198" s="1">
        <v>1</v>
      </c>
      <c r="G1198" s="1">
        <v>0</v>
      </c>
      <c r="H1198" t="s">
        <v>17</v>
      </c>
      <c r="I1198" t="s">
        <v>2554</v>
      </c>
      <c r="J1198" t="s">
        <v>2555</v>
      </c>
      <c r="K1198" s="3">
        <v>46965</v>
      </c>
      <c r="L1198" t="s">
        <v>2556</v>
      </c>
      <c r="M1198">
        <v>0.01</v>
      </c>
      <c r="N1198">
        <v>7500</v>
      </c>
      <c r="O1198">
        <f t="shared" si="54"/>
        <v>0.01</v>
      </c>
      <c r="P1198">
        <f t="shared" si="56"/>
        <v>1.3333333333333334E-4</v>
      </c>
      <c r="Q1198" t="str">
        <f t="shared" si="55"/>
        <v>Q27-01</v>
      </c>
    </row>
    <row r="1199" spans="1:17" x14ac:dyDescent="0.25">
      <c r="A1199" t="s">
        <v>12</v>
      </c>
      <c r="B1199" t="s">
        <v>2301</v>
      </c>
      <c r="C1199" t="s">
        <v>2302</v>
      </c>
      <c r="D1199" t="s">
        <v>57</v>
      </c>
      <c r="E1199" t="s">
        <v>2557</v>
      </c>
      <c r="F1199" s="1">
        <v>5</v>
      </c>
      <c r="G1199" s="1">
        <v>0</v>
      </c>
      <c r="H1199" t="s">
        <v>17</v>
      </c>
      <c r="I1199" t="s">
        <v>2304</v>
      </c>
      <c r="J1199" t="s">
        <v>2558</v>
      </c>
      <c r="K1199" s="3">
        <v>46639</v>
      </c>
      <c r="L1199" t="s">
        <v>2478</v>
      </c>
      <c r="M1199">
        <v>0.14399999999999999</v>
      </c>
      <c r="N1199">
        <v>1728</v>
      </c>
      <c r="O1199">
        <f t="shared" si="54"/>
        <v>0.72</v>
      </c>
      <c r="P1199">
        <f t="shared" si="56"/>
        <v>2.8935185185185184E-3</v>
      </c>
      <c r="Q1199" t="str">
        <f t="shared" si="55"/>
        <v>Q26-03</v>
      </c>
    </row>
    <row r="1200" spans="1:17" x14ac:dyDescent="0.25">
      <c r="A1200" t="s">
        <v>12</v>
      </c>
      <c r="B1200" t="s">
        <v>2366</v>
      </c>
      <c r="C1200" t="s">
        <v>2367</v>
      </c>
      <c r="D1200" t="s">
        <v>57</v>
      </c>
      <c r="E1200" t="s">
        <v>2559</v>
      </c>
      <c r="F1200" s="1">
        <v>3</v>
      </c>
      <c r="G1200" s="1">
        <v>0</v>
      </c>
      <c r="H1200" t="s">
        <v>17</v>
      </c>
      <c r="I1200" t="s">
        <v>2369</v>
      </c>
      <c r="J1200" t="s">
        <v>2558</v>
      </c>
      <c r="K1200" s="3">
        <v>46793</v>
      </c>
      <c r="L1200" t="s">
        <v>2560</v>
      </c>
      <c r="M1200">
        <v>0.12</v>
      </c>
      <c r="N1200">
        <v>1920</v>
      </c>
      <c r="O1200">
        <f t="shared" si="54"/>
        <v>0.36</v>
      </c>
      <c r="P1200">
        <f t="shared" si="56"/>
        <v>1.5625000000000001E-3</v>
      </c>
      <c r="Q1200" t="str">
        <f t="shared" si="55"/>
        <v>Q26-03</v>
      </c>
    </row>
    <row r="1201" spans="1:17" x14ac:dyDescent="0.25">
      <c r="A1201" t="s">
        <v>12</v>
      </c>
      <c r="B1201" t="s">
        <v>2009</v>
      </c>
      <c r="C1201" t="s">
        <v>2010</v>
      </c>
      <c r="D1201" t="s">
        <v>121</v>
      </c>
      <c r="E1201" t="s">
        <v>2561</v>
      </c>
      <c r="F1201" s="2">
        <v>1915</v>
      </c>
      <c r="G1201" s="1">
        <v>0</v>
      </c>
      <c r="H1201" t="s">
        <v>17</v>
      </c>
      <c r="I1201" t="s">
        <v>475</v>
      </c>
      <c r="J1201" t="s">
        <v>90</v>
      </c>
      <c r="K1201" s="3">
        <v>46726</v>
      </c>
      <c r="L1201" t="s">
        <v>123</v>
      </c>
      <c r="M1201">
        <v>0</v>
      </c>
      <c r="N1201">
        <v>0</v>
      </c>
      <c r="O1201">
        <f t="shared" si="54"/>
        <v>0</v>
      </c>
      <c r="Q1201" t="str">
        <f t="shared" si="55"/>
        <v>Q27-01</v>
      </c>
    </row>
    <row r="1202" spans="1:17" x14ac:dyDescent="0.25">
      <c r="A1202" t="s">
        <v>12</v>
      </c>
      <c r="B1202" t="s">
        <v>1018</v>
      </c>
      <c r="C1202" t="s">
        <v>1019</v>
      </c>
      <c r="D1202" t="s">
        <v>44</v>
      </c>
      <c r="E1202" t="s">
        <v>2562</v>
      </c>
      <c r="F1202" s="1">
        <v>1</v>
      </c>
      <c r="G1202" s="1">
        <v>0</v>
      </c>
      <c r="H1202" t="s">
        <v>17</v>
      </c>
      <c r="I1202" t="s">
        <v>2563</v>
      </c>
      <c r="J1202" t="s">
        <v>2564</v>
      </c>
      <c r="K1202" s="3">
        <v>46660</v>
      </c>
      <c r="L1202" t="s">
        <v>2565</v>
      </c>
      <c r="M1202">
        <v>1.9E-2</v>
      </c>
      <c r="N1202">
        <v>5184</v>
      </c>
      <c r="O1202">
        <f t="shared" si="54"/>
        <v>1.9E-2</v>
      </c>
      <c r="P1202">
        <f t="shared" si="56"/>
        <v>1.9290123456790122E-4</v>
      </c>
      <c r="Q1202" t="str">
        <f t="shared" si="55"/>
        <v>Q26-01</v>
      </c>
    </row>
    <row r="1203" spans="1:17" x14ac:dyDescent="0.25">
      <c r="A1203" t="s">
        <v>12</v>
      </c>
      <c r="B1203" t="s">
        <v>2566</v>
      </c>
      <c r="C1203" t="s">
        <v>2567</v>
      </c>
      <c r="D1203" t="s">
        <v>57</v>
      </c>
      <c r="E1203" t="s">
        <v>2568</v>
      </c>
      <c r="F1203" s="1">
        <v>20</v>
      </c>
      <c r="G1203" s="1">
        <v>0</v>
      </c>
      <c r="H1203" t="s">
        <v>17</v>
      </c>
      <c r="I1203" t="s">
        <v>2569</v>
      </c>
      <c r="J1203" t="s">
        <v>2570</v>
      </c>
      <c r="K1203" s="3">
        <v>46457</v>
      </c>
      <c r="L1203" t="s">
        <v>2571</v>
      </c>
      <c r="M1203">
        <v>1.4E-2</v>
      </c>
      <c r="N1203">
        <v>5760</v>
      </c>
      <c r="O1203">
        <f t="shared" si="54"/>
        <v>0.28000000000000003</v>
      </c>
      <c r="P1203">
        <f t="shared" si="56"/>
        <v>3.472222222222222E-3</v>
      </c>
      <c r="Q1203" t="str">
        <f t="shared" si="55"/>
        <v>Q26-03</v>
      </c>
    </row>
    <row r="1204" spans="1:17" x14ac:dyDescent="0.25">
      <c r="A1204" t="s">
        <v>12</v>
      </c>
      <c r="B1204" t="s">
        <v>2572</v>
      </c>
      <c r="C1204" t="s">
        <v>2573</v>
      </c>
      <c r="D1204" t="s">
        <v>57</v>
      </c>
      <c r="E1204" t="s">
        <v>2574</v>
      </c>
      <c r="F1204" s="1">
        <v>18</v>
      </c>
      <c r="G1204" s="1">
        <v>0</v>
      </c>
      <c r="H1204" t="s">
        <v>17</v>
      </c>
      <c r="I1204" t="s">
        <v>2575</v>
      </c>
      <c r="J1204" t="s">
        <v>2570</v>
      </c>
      <c r="K1204" s="3">
        <v>46446</v>
      </c>
      <c r="L1204" t="s">
        <v>2576</v>
      </c>
      <c r="M1204">
        <v>0.01</v>
      </c>
      <c r="N1204">
        <v>7200</v>
      </c>
      <c r="O1204">
        <f t="shared" si="54"/>
        <v>0.18</v>
      </c>
      <c r="P1204">
        <f t="shared" si="56"/>
        <v>2.5000000000000001E-3</v>
      </c>
      <c r="Q1204" t="str">
        <f t="shared" si="55"/>
        <v>Q26-03</v>
      </c>
    </row>
    <row r="1205" spans="1:17" x14ac:dyDescent="0.25">
      <c r="A1205" t="s">
        <v>61</v>
      </c>
      <c r="B1205" t="s">
        <v>2577</v>
      </c>
      <c r="C1205" t="s">
        <v>2578</v>
      </c>
      <c r="D1205" t="s">
        <v>144</v>
      </c>
      <c r="E1205" t="s">
        <v>2579</v>
      </c>
      <c r="F1205" s="2">
        <v>1651</v>
      </c>
      <c r="G1205" s="1">
        <v>0</v>
      </c>
      <c r="H1205" t="s">
        <v>17</v>
      </c>
      <c r="I1205" t="s">
        <v>84</v>
      </c>
      <c r="J1205" t="s">
        <v>90</v>
      </c>
      <c r="K1205" s="3">
        <v>46729</v>
      </c>
      <c r="L1205" t="s">
        <v>123</v>
      </c>
      <c r="M1205">
        <v>0</v>
      </c>
      <c r="N1205">
        <v>0</v>
      </c>
      <c r="O1205">
        <f t="shared" si="54"/>
        <v>0</v>
      </c>
      <c r="Q1205" t="str">
        <f t="shared" si="55"/>
        <v>QM4-01</v>
      </c>
    </row>
    <row r="1206" spans="1:17" x14ac:dyDescent="0.25">
      <c r="A1206" t="s">
        <v>61</v>
      </c>
      <c r="B1206" t="s">
        <v>2580</v>
      </c>
      <c r="C1206" t="s">
        <v>2581</v>
      </c>
      <c r="D1206" t="s">
        <v>144</v>
      </c>
      <c r="E1206" t="s">
        <v>2582</v>
      </c>
      <c r="F1206" s="1">
        <v>790</v>
      </c>
      <c r="G1206" s="1">
        <v>0</v>
      </c>
      <c r="H1206" t="s">
        <v>17</v>
      </c>
      <c r="I1206" t="s">
        <v>84</v>
      </c>
      <c r="J1206" t="s">
        <v>90</v>
      </c>
      <c r="K1206" s="3">
        <v>46729</v>
      </c>
      <c r="L1206" t="s">
        <v>123</v>
      </c>
      <c r="M1206">
        <v>0</v>
      </c>
      <c r="N1206">
        <v>0</v>
      </c>
      <c r="O1206">
        <f t="shared" si="54"/>
        <v>0</v>
      </c>
      <c r="Q1206" t="str">
        <f t="shared" si="55"/>
        <v>QM4-01</v>
      </c>
    </row>
    <row r="1207" spans="1:17" x14ac:dyDescent="0.25">
      <c r="A1207" t="s">
        <v>61</v>
      </c>
      <c r="B1207" t="s">
        <v>891</v>
      </c>
      <c r="C1207" t="s">
        <v>892</v>
      </c>
      <c r="D1207" t="s">
        <v>382</v>
      </c>
      <c r="E1207" t="s">
        <v>2583</v>
      </c>
      <c r="F1207" s="1">
        <v>5</v>
      </c>
      <c r="G1207" s="1">
        <v>0</v>
      </c>
      <c r="H1207" t="s">
        <v>17</v>
      </c>
      <c r="I1207" t="s">
        <v>894</v>
      </c>
      <c r="J1207" t="s">
        <v>2584</v>
      </c>
      <c r="K1207" s="3">
        <v>46599</v>
      </c>
      <c r="L1207" t="s">
        <v>2585</v>
      </c>
      <c r="M1207">
        <v>0.312</v>
      </c>
      <c r="N1207">
        <v>1680</v>
      </c>
      <c r="O1207">
        <f t="shared" si="54"/>
        <v>1.56</v>
      </c>
      <c r="P1207">
        <f t="shared" si="56"/>
        <v>2.976190476190476E-3</v>
      </c>
      <c r="Q1207" t="str">
        <f t="shared" si="55"/>
        <v>Q27-03</v>
      </c>
    </row>
    <row r="1208" spans="1:17" x14ac:dyDescent="0.25">
      <c r="A1208" t="s">
        <v>61</v>
      </c>
      <c r="B1208" t="s">
        <v>359</v>
      </c>
      <c r="C1208" t="s">
        <v>360</v>
      </c>
      <c r="D1208" t="s">
        <v>382</v>
      </c>
      <c r="E1208" t="s">
        <v>2586</v>
      </c>
      <c r="F1208" s="1">
        <v>3</v>
      </c>
      <c r="G1208" s="1">
        <v>0</v>
      </c>
      <c r="H1208" t="s">
        <v>17</v>
      </c>
      <c r="I1208" t="s">
        <v>362</v>
      </c>
      <c r="J1208" t="s">
        <v>2584</v>
      </c>
      <c r="K1208" s="3">
        <v>46843</v>
      </c>
      <c r="L1208" t="s">
        <v>2587</v>
      </c>
      <c r="M1208">
        <v>5.3999999999999999E-2</v>
      </c>
      <c r="N1208">
        <v>2880</v>
      </c>
      <c r="O1208">
        <f t="shared" si="54"/>
        <v>0.16200000000000001</v>
      </c>
      <c r="P1208">
        <f t="shared" si="56"/>
        <v>1.0416666666666667E-3</v>
      </c>
      <c r="Q1208" t="str">
        <f t="shared" si="55"/>
        <v>Q27-03</v>
      </c>
    </row>
    <row r="1209" spans="1:17" x14ac:dyDescent="0.25">
      <c r="A1209" t="s">
        <v>61</v>
      </c>
      <c r="B1209" t="s">
        <v>891</v>
      </c>
      <c r="C1209" t="s">
        <v>892</v>
      </c>
      <c r="D1209" t="s">
        <v>244</v>
      </c>
      <c r="E1209" t="s">
        <v>2588</v>
      </c>
      <c r="F1209" s="1">
        <v>6</v>
      </c>
      <c r="G1209" s="1">
        <v>0</v>
      </c>
      <c r="H1209" t="s">
        <v>17</v>
      </c>
      <c r="I1209" t="s">
        <v>894</v>
      </c>
      <c r="J1209" t="s">
        <v>2584</v>
      </c>
      <c r="K1209" s="3">
        <v>46630</v>
      </c>
      <c r="L1209" t="s">
        <v>2589</v>
      </c>
      <c r="M1209">
        <v>0.312</v>
      </c>
      <c r="N1209">
        <v>1680</v>
      </c>
      <c r="O1209">
        <f t="shared" si="54"/>
        <v>1.8719999999999999</v>
      </c>
      <c r="P1209">
        <f t="shared" si="56"/>
        <v>3.5714285714285713E-3</v>
      </c>
      <c r="Q1209" t="str">
        <f t="shared" si="55"/>
        <v>Q27-03</v>
      </c>
    </row>
    <row r="1210" spans="1:17" x14ac:dyDescent="0.25">
      <c r="A1210" t="s">
        <v>61</v>
      </c>
      <c r="B1210" t="s">
        <v>364</v>
      </c>
      <c r="C1210" t="s">
        <v>365</v>
      </c>
      <c r="D1210" t="s">
        <v>244</v>
      </c>
      <c r="E1210" t="s">
        <v>2590</v>
      </c>
      <c r="F1210" s="1">
        <v>3</v>
      </c>
      <c r="G1210" s="1">
        <v>0</v>
      </c>
      <c r="H1210" t="s">
        <v>17</v>
      </c>
      <c r="I1210" t="s">
        <v>367</v>
      </c>
      <c r="J1210" t="s">
        <v>2584</v>
      </c>
      <c r="K1210" s="3">
        <v>46904</v>
      </c>
      <c r="L1210" t="s">
        <v>2591</v>
      </c>
      <c r="M1210">
        <v>0.158</v>
      </c>
      <c r="N1210">
        <v>1152</v>
      </c>
      <c r="O1210">
        <f t="shared" si="54"/>
        <v>0.47399999999999998</v>
      </c>
      <c r="P1210">
        <f t="shared" si="56"/>
        <v>2.6041666666666665E-3</v>
      </c>
      <c r="Q1210" t="str">
        <f t="shared" si="55"/>
        <v>Q27-03</v>
      </c>
    </row>
    <row r="1211" spans="1:17" x14ac:dyDescent="0.25">
      <c r="A1211" t="s">
        <v>61</v>
      </c>
      <c r="B1211" t="s">
        <v>364</v>
      </c>
      <c r="C1211" t="s">
        <v>365</v>
      </c>
      <c r="D1211" t="s">
        <v>244</v>
      </c>
      <c r="E1211" t="s">
        <v>2592</v>
      </c>
      <c r="F1211" s="1">
        <v>7</v>
      </c>
      <c r="G1211" s="1">
        <v>0</v>
      </c>
      <c r="H1211" t="s">
        <v>17</v>
      </c>
      <c r="I1211" t="s">
        <v>367</v>
      </c>
      <c r="J1211" t="s">
        <v>2584</v>
      </c>
      <c r="K1211" s="3">
        <v>46904</v>
      </c>
      <c r="L1211" t="s">
        <v>2591</v>
      </c>
      <c r="M1211">
        <v>0.158</v>
      </c>
      <c r="N1211">
        <v>1152</v>
      </c>
      <c r="O1211">
        <f t="shared" si="54"/>
        <v>1.1060000000000001</v>
      </c>
      <c r="P1211">
        <f t="shared" si="56"/>
        <v>6.076388888888889E-3</v>
      </c>
      <c r="Q1211" t="str">
        <f t="shared" si="55"/>
        <v>Q27-03</v>
      </c>
    </row>
    <row r="1212" spans="1:17" x14ac:dyDescent="0.25">
      <c r="A1212" t="s">
        <v>61</v>
      </c>
      <c r="B1212" t="s">
        <v>364</v>
      </c>
      <c r="C1212" t="s">
        <v>365</v>
      </c>
      <c r="D1212" t="s">
        <v>244</v>
      </c>
      <c r="E1212" t="s">
        <v>2593</v>
      </c>
      <c r="F1212" s="1">
        <v>7</v>
      </c>
      <c r="G1212" s="1">
        <v>0</v>
      </c>
      <c r="H1212" t="s">
        <v>17</v>
      </c>
      <c r="I1212" t="s">
        <v>367</v>
      </c>
      <c r="J1212" t="s">
        <v>2584</v>
      </c>
      <c r="K1212" s="3">
        <v>46904</v>
      </c>
      <c r="L1212" t="s">
        <v>2591</v>
      </c>
      <c r="M1212">
        <v>0.158</v>
      </c>
      <c r="N1212">
        <v>1152</v>
      </c>
      <c r="O1212">
        <f t="shared" si="54"/>
        <v>1.1060000000000001</v>
      </c>
      <c r="P1212">
        <f t="shared" si="56"/>
        <v>6.076388888888889E-3</v>
      </c>
      <c r="Q1212" t="str">
        <f t="shared" si="55"/>
        <v>Q27-03</v>
      </c>
    </row>
    <row r="1213" spans="1:17" x14ac:dyDescent="0.25">
      <c r="A1213" t="s">
        <v>61</v>
      </c>
      <c r="B1213" t="s">
        <v>364</v>
      </c>
      <c r="C1213" t="s">
        <v>365</v>
      </c>
      <c r="D1213" t="s">
        <v>244</v>
      </c>
      <c r="E1213" t="s">
        <v>2594</v>
      </c>
      <c r="F1213" s="1">
        <v>10</v>
      </c>
      <c r="G1213" s="1">
        <v>0</v>
      </c>
      <c r="H1213" t="s">
        <v>17</v>
      </c>
      <c r="I1213" t="s">
        <v>367</v>
      </c>
      <c r="J1213" t="s">
        <v>2584</v>
      </c>
      <c r="K1213" s="3">
        <v>46904</v>
      </c>
      <c r="L1213" t="s">
        <v>2591</v>
      </c>
      <c r="M1213">
        <v>0.158</v>
      </c>
      <c r="N1213">
        <v>1152</v>
      </c>
      <c r="O1213">
        <f t="shared" si="54"/>
        <v>1.58</v>
      </c>
      <c r="P1213">
        <f t="shared" si="56"/>
        <v>8.6805555555555559E-3</v>
      </c>
      <c r="Q1213" t="str">
        <f t="shared" si="55"/>
        <v>Q27-03</v>
      </c>
    </row>
    <row r="1214" spans="1:17" x14ac:dyDescent="0.25">
      <c r="A1214" t="s">
        <v>61</v>
      </c>
      <c r="B1214" t="s">
        <v>364</v>
      </c>
      <c r="C1214" t="s">
        <v>365</v>
      </c>
      <c r="D1214" t="s">
        <v>382</v>
      </c>
      <c r="E1214" t="s">
        <v>2595</v>
      </c>
      <c r="F1214" s="1">
        <v>11</v>
      </c>
      <c r="G1214" s="1">
        <v>0</v>
      </c>
      <c r="H1214" t="s">
        <v>17</v>
      </c>
      <c r="I1214" t="s">
        <v>367</v>
      </c>
      <c r="J1214" t="s">
        <v>2584</v>
      </c>
      <c r="K1214" s="3">
        <v>46904</v>
      </c>
      <c r="L1214" t="s">
        <v>2591</v>
      </c>
      <c r="M1214">
        <v>0.158</v>
      </c>
      <c r="N1214">
        <v>1152</v>
      </c>
      <c r="O1214">
        <f t="shared" si="54"/>
        <v>1.738</v>
      </c>
      <c r="P1214">
        <f t="shared" si="56"/>
        <v>9.5486111111111119E-3</v>
      </c>
      <c r="Q1214" t="str">
        <f t="shared" si="55"/>
        <v>Q27-03</v>
      </c>
    </row>
    <row r="1215" spans="1:17" x14ac:dyDescent="0.25">
      <c r="A1215" t="s">
        <v>61</v>
      </c>
      <c r="B1215" t="s">
        <v>891</v>
      </c>
      <c r="C1215" t="s">
        <v>892</v>
      </c>
      <c r="D1215" t="s">
        <v>382</v>
      </c>
      <c r="E1215" t="s">
        <v>2596</v>
      </c>
      <c r="F1215" s="1">
        <v>19</v>
      </c>
      <c r="G1215" s="1">
        <v>0</v>
      </c>
      <c r="H1215" t="s">
        <v>17</v>
      </c>
      <c r="I1215" t="s">
        <v>894</v>
      </c>
      <c r="J1215" t="s">
        <v>2584</v>
      </c>
      <c r="K1215" s="3">
        <v>46599</v>
      </c>
      <c r="L1215" t="s">
        <v>2597</v>
      </c>
      <c r="M1215">
        <v>0.312</v>
      </c>
      <c r="N1215">
        <v>1680</v>
      </c>
      <c r="O1215">
        <f t="shared" si="54"/>
        <v>5.9279999999999999</v>
      </c>
      <c r="P1215">
        <f t="shared" si="56"/>
        <v>1.1309523809523809E-2</v>
      </c>
      <c r="Q1215" t="str">
        <f t="shared" si="55"/>
        <v>Q27-03</v>
      </c>
    </row>
    <row r="1216" spans="1:17" x14ac:dyDescent="0.25">
      <c r="A1216" t="s">
        <v>12</v>
      </c>
      <c r="B1216" t="s">
        <v>2598</v>
      </c>
      <c r="C1216" t="s">
        <v>2599</v>
      </c>
      <c r="D1216" t="s">
        <v>57</v>
      </c>
      <c r="E1216" t="s">
        <v>2600</v>
      </c>
      <c r="F1216" s="1">
        <v>1</v>
      </c>
      <c r="G1216" s="1">
        <v>0</v>
      </c>
      <c r="H1216" t="s">
        <v>17</v>
      </c>
      <c r="I1216" t="s">
        <v>2601</v>
      </c>
      <c r="J1216" t="s">
        <v>2602</v>
      </c>
      <c r="K1216" s="3">
        <v>46312</v>
      </c>
      <c r="L1216" t="s">
        <v>2603</v>
      </c>
      <c r="M1216">
        <v>0.20799999999999999</v>
      </c>
      <c r="N1216">
        <v>240</v>
      </c>
      <c r="O1216">
        <f t="shared" si="54"/>
        <v>0.20799999999999999</v>
      </c>
      <c r="P1216">
        <f t="shared" si="56"/>
        <v>4.1666666666666666E-3</v>
      </c>
      <c r="Q1216" t="str">
        <f t="shared" si="55"/>
        <v>Q26-03</v>
      </c>
    </row>
    <row r="1217" spans="1:17" x14ac:dyDescent="0.25">
      <c r="A1217" t="s">
        <v>12</v>
      </c>
      <c r="B1217" t="s">
        <v>2604</v>
      </c>
      <c r="C1217" t="s">
        <v>2605</v>
      </c>
      <c r="D1217" t="s">
        <v>57</v>
      </c>
      <c r="E1217" t="s">
        <v>2606</v>
      </c>
      <c r="F1217" s="1">
        <v>6</v>
      </c>
      <c r="G1217" s="1">
        <v>0</v>
      </c>
      <c r="H1217" t="s">
        <v>17</v>
      </c>
      <c r="I1217" t="s">
        <v>2607</v>
      </c>
      <c r="J1217" t="s">
        <v>2608</v>
      </c>
      <c r="K1217" s="3">
        <v>46757</v>
      </c>
      <c r="L1217" t="s">
        <v>2609</v>
      </c>
      <c r="M1217">
        <v>0.02</v>
      </c>
      <c r="N1217">
        <v>2560</v>
      </c>
      <c r="O1217">
        <f t="shared" si="54"/>
        <v>0.12</v>
      </c>
      <c r="P1217">
        <f t="shared" si="56"/>
        <v>2.3437499999999999E-3</v>
      </c>
      <c r="Q1217" t="str">
        <f t="shared" si="55"/>
        <v>Q26-03</v>
      </c>
    </row>
    <row r="1218" spans="1:17" x14ac:dyDescent="0.25">
      <c r="A1218" t="s">
        <v>12</v>
      </c>
      <c r="B1218" t="s">
        <v>2604</v>
      </c>
      <c r="C1218" t="s">
        <v>2605</v>
      </c>
      <c r="D1218" t="s">
        <v>57</v>
      </c>
      <c r="E1218" t="s">
        <v>2610</v>
      </c>
      <c r="F1218" s="1">
        <v>9</v>
      </c>
      <c r="G1218" s="1">
        <v>0</v>
      </c>
      <c r="H1218" t="s">
        <v>17</v>
      </c>
      <c r="I1218" t="s">
        <v>2607</v>
      </c>
      <c r="J1218" t="s">
        <v>2608</v>
      </c>
      <c r="K1218" s="3">
        <v>46861</v>
      </c>
      <c r="L1218" t="s">
        <v>2611</v>
      </c>
      <c r="M1218">
        <v>0.02</v>
      </c>
      <c r="N1218">
        <v>2560</v>
      </c>
      <c r="O1218">
        <f t="shared" si="54"/>
        <v>0.18</v>
      </c>
      <c r="P1218">
        <f t="shared" si="56"/>
        <v>3.5156250000000001E-3</v>
      </c>
      <c r="Q1218" t="str">
        <f t="shared" si="55"/>
        <v>Q26-03</v>
      </c>
    </row>
    <row r="1219" spans="1:17" x14ac:dyDescent="0.25">
      <c r="A1219" t="s">
        <v>12</v>
      </c>
      <c r="B1219" t="s">
        <v>2612</v>
      </c>
      <c r="C1219" t="s">
        <v>2613</v>
      </c>
      <c r="D1219" t="s">
        <v>57</v>
      </c>
      <c r="E1219" t="s">
        <v>2614</v>
      </c>
      <c r="F1219" s="1">
        <v>3</v>
      </c>
      <c r="G1219" s="1">
        <v>0</v>
      </c>
      <c r="H1219" t="s">
        <v>17</v>
      </c>
      <c r="I1219" t="s">
        <v>2615</v>
      </c>
      <c r="J1219" t="s">
        <v>2616</v>
      </c>
      <c r="K1219" s="3">
        <v>46565</v>
      </c>
      <c r="L1219" t="s">
        <v>2617</v>
      </c>
      <c r="M1219">
        <v>4.3999999999999997E-2</v>
      </c>
      <c r="N1219">
        <v>3600</v>
      </c>
      <c r="O1219">
        <f t="shared" ref="O1219:O1282" si="57">F1219*M1219</f>
        <v>0.13200000000000001</v>
      </c>
      <c r="P1219">
        <f t="shared" ref="P1219:P1282" si="58">F1219/N1219</f>
        <v>8.3333333333333339E-4</v>
      </c>
      <c r="Q1219" t="str">
        <f t="shared" ref="Q1219:Q1282" si="59">LEFT(D1219,6)</f>
        <v>Q26-03</v>
      </c>
    </row>
    <row r="1220" spans="1:17" x14ac:dyDescent="0.25">
      <c r="A1220" t="s">
        <v>61</v>
      </c>
      <c r="B1220" t="s">
        <v>364</v>
      </c>
      <c r="C1220" t="s">
        <v>365</v>
      </c>
      <c r="D1220" t="s">
        <v>336</v>
      </c>
      <c r="E1220" t="s">
        <v>2618</v>
      </c>
      <c r="F1220" s="1">
        <v>13</v>
      </c>
      <c r="G1220" s="1">
        <v>0</v>
      </c>
      <c r="H1220" t="s">
        <v>17</v>
      </c>
      <c r="I1220" t="s">
        <v>367</v>
      </c>
      <c r="J1220" t="s">
        <v>2619</v>
      </c>
      <c r="K1220" s="3">
        <v>46934</v>
      </c>
      <c r="L1220" t="s">
        <v>2620</v>
      </c>
      <c r="M1220">
        <v>0.158</v>
      </c>
      <c r="N1220">
        <v>1152</v>
      </c>
      <c r="O1220">
        <f t="shared" si="57"/>
        <v>2.0539999999999998</v>
      </c>
      <c r="P1220">
        <f t="shared" si="58"/>
        <v>1.1284722222222222E-2</v>
      </c>
      <c r="Q1220" t="str">
        <f t="shared" si="59"/>
        <v>Q27-03</v>
      </c>
    </row>
    <row r="1221" spans="1:17" x14ac:dyDescent="0.25">
      <c r="A1221" t="s">
        <v>61</v>
      </c>
      <c r="B1221" t="s">
        <v>364</v>
      </c>
      <c r="C1221" t="s">
        <v>365</v>
      </c>
      <c r="D1221" t="s">
        <v>336</v>
      </c>
      <c r="E1221" t="s">
        <v>2621</v>
      </c>
      <c r="F1221" s="1">
        <v>12</v>
      </c>
      <c r="G1221" s="1">
        <v>0</v>
      </c>
      <c r="H1221" t="s">
        <v>17</v>
      </c>
      <c r="I1221" t="s">
        <v>367</v>
      </c>
      <c r="J1221" t="s">
        <v>2619</v>
      </c>
      <c r="K1221" s="3">
        <v>46934</v>
      </c>
      <c r="L1221" t="s">
        <v>2620</v>
      </c>
      <c r="M1221">
        <v>0.158</v>
      </c>
      <c r="N1221">
        <v>1152</v>
      </c>
      <c r="O1221">
        <f t="shared" si="57"/>
        <v>1.8959999999999999</v>
      </c>
      <c r="P1221">
        <f t="shared" si="58"/>
        <v>1.0416666666666666E-2</v>
      </c>
      <c r="Q1221" t="str">
        <f t="shared" si="59"/>
        <v>Q27-03</v>
      </c>
    </row>
    <row r="1222" spans="1:17" x14ac:dyDescent="0.25">
      <c r="A1222" t="s">
        <v>61</v>
      </c>
      <c r="B1222" t="s">
        <v>364</v>
      </c>
      <c r="C1222" t="s">
        <v>365</v>
      </c>
      <c r="D1222" t="s">
        <v>240</v>
      </c>
      <c r="E1222" t="s">
        <v>2622</v>
      </c>
      <c r="F1222" s="1">
        <v>8</v>
      </c>
      <c r="G1222" s="1">
        <v>0</v>
      </c>
      <c r="H1222" t="s">
        <v>17</v>
      </c>
      <c r="I1222" t="s">
        <v>367</v>
      </c>
      <c r="J1222" t="s">
        <v>2619</v>
      </c>
      <c r="K1222" s="3">
        <v>46934</v>
      </c>
      <c r="L1222" t="s">
        <v>2620</v>
      </c>
      <c r="M1222">
        <v>0.158</v>
      </c>
      <c r="N1222">
        <v>1152</v>
      </c>
      <c r="O1222">
        <f t="shared" si="57"/>
        <v>1.264</v>
      </c>
      <c r="P1222">
        <f t="shared" si="58"/>
        <v>6.9444444444444441E-3</v>
      </c>
      <c r="Q1222" t="str">
        <f t="shared" si="59"/>
        <v>Q27-03</v>
      </c>
    </row>
    <row r="1223" spans="1:17" x14ac:dyDescent="0.25">
      <c r="A1223" t="s">
        <v>61</v>
      </c>
      <c r="B1223" t="s">
        <v>364</v>
      </c>
      <c r="C1223" t="s">
        <v>365</v>
      </c>
      <c r="D1223" t="s">
        <v>195</v>
      </c>
      <c r="E1223" t="s">
        <v>2623</v>
      </c>
      <c r="F1223" s="1">
        <v>31</v>
      </c>
      <c r="G1223" s="1">
        <v>0</v>
      </c>
      <c r="H1223" t="s">
        <v>17</v>
      </c>
      <c r="I1223" t="s">
        <v>367</v>
      </c>
      <c r="J1223" t="s">
        <v>2619</v>
      </c>
      <c r="K1223" s="3">
        <v>46934</v>
      </c>
      <c r="L1223" t="s">
        <v>2620</v>
      </c>
      <c r="M1223">
        <v>0.158</v>
      </c>
      <c r="N1223">
        <v>1152</v>
      </c>
      <c r="O1223">
        <f t="shared" si="57"/>
        <v>4.8979999999999997</v>
      </c>
      <c r="P1223">
        <f t="shared" si="58"/>
        <v>2.6909722222222224E-2</v>
      </c>
      <c r="Q1223" t="str">
        <f t="shared" si="59"/>
        <v>Q27-03</v>
      </c>
    </row>
    <row r="1224" spans="1:17" x14ac:dyDescent="0.25">
      <c r="A1224" t="s">
        <v>61</v>
      </c>
      <c r="B1224" t="s">
        <v>420</v>
      </c>
      <c r="C1224" t="s">
        <v>421</v>
      </c>
      <c r="D1224" t="s">
        <v>336</v>
      </c>
      <c r="E1224" t="s">
        <v>2624</v>
      </c>
      <c r="F1224" s="1">
        <v>10</v>
      </c>
      <c r="G1224" s="1">
        <v>0</v>
      </c>
      <c r="H1224" t="s">
        <v>17</v>
      </c>
      <c r="I1224" t="s">
        <v>423</v>
      </c>
      <c r="J1224" t="s">
        <v>2619</v>
      </c>
      <c r="K1224" s="3">
        <v>46812</v>
      </c>
      <c r="L1224" t="s">
        <v>2625</v>
      </c>
      <c r="M1224">
        <v>0.156</v>
      </c>
      <c r="N1224">
        <v>1152</v>
      </c>
      <c r="O1224">
        <f t="shared" si="57"/>
        <v>1.56</v>
      </c>
      <c r="P1224">
        <f t="shared" si="58"/>
        <v>8.6805555555555559E-3</v>
      </c>
      <c r="Q1224" t="str">
        <f t="shared" si="59"/>
        <v>Q27-03</v>
      </c>
    </row>
    <row r="1225" spans="1:17" x14ac:dyDescent="0.25">
      <c r="A1225" t="s">
        <v>61</v>
      </c>
      <c r="B1225" t="s">
        <v>420</v>
      </c>
      <c r="C1225" t="s">
        <v>421</v>
      </c>
      <c r="D1225" t="s">
        <v>240</v>
      </c>
      <c r="E1225" t="s">
        <v>2626</v>
      </c>
      <c r="F1225" s="1">
        <v>2</v>
      </c>
      <c r="G1225" s="1">
        <v>0</v>
      </c>
      <c r="H1225" t="s">
        <v>17</v>
      </c>
      <c r="I1225" t="s">
        <v>423</v>
      </c>
      <c r="J1225" t="s">
        <v>2619</v>
      </c>
      <c r="K1225" s="3">
        <v>46812</v>
      </c>
      <c r="L1225" t="s">
        <v>2625</v>
      </c>
      <c r="M1225">
        <v>0.156</v>
      </c>
      <c r="N1225">
        <v>1152</v>
      </c>
      <c r="O1225">
        <f t="shared" si="57"/>
        <v>0.312</v>
      </c>
      <c r="P1225">
        <f t="shared" si="58"/>
        <v>1.736111111111111E-3</v>
      </c>
      <c r="Q1225" t="str">
        <f t="shared" si="59"/>
        <v>Q27-03</v>
      </c>
    </row>
    <row r="1226" spans="1:17" x14ac:dyDescent="0.25">
      <c r="A1226" t="s">
        <v>61</v>
      </c>
      <c r="B1226" t="s">
        <v>420</v>
      </c>
      <c r="C1226" t="s">
        <v>421</v>
      </c>
      <c r="D1226" t="s">
        <v>240</v>
      </c>
      <c r="E1226" t="s">
        <v>2627</v>
      </c>
      <c r="F1226" s="1">
        <v>24</v>
      </c>
      <c r="G1226" s="1">
        <v>0</v>
      </c>
      <c r="H1226" t="s">
        <v>17</v>
      </c>
      <c r="I1226" t="s">
        <v>423</v>
      </c>
      <c r="J1226" t="s">
        <v>2619</v>
      </c>
      <c r="K1226" s="3">
        <v>46812</v>
      </c>
      <c r="L1226" t="s">
        <v>2625</v>
      </c>
      <c r="M1226">
        <v>0.156</v>
      </c>
      <c r="N1226">
        <v>1152</v>
      </c>
      <c r="O1226">
        <f t="shared" si="57"/>
        <v>3.7439999999999998</v>
      </c>
      <c r="P1226">
        <f t="shared" si="58"/>
        <v>2.0833333333333332E-2</v>
      </c>
      <c r="Q1226" t="str">
        <f t="shared" si="59"/>
        <v>Q27-03</v>
      </c>
    </row>
    <row r="1227" spans="1:17" x14ac:dyDescent="0.25">
      <c r="A1227" t="s">
        <v>12</v>
      </c>
      <c r="B1227" t="s">
        <v>2628</v>
      </c>
      <c r="C1227" t="s">
        <v>2629</v>
      </c>
      <c r="D1227" t="s">
        <v>77</v>
      </c>
      <c r="E1227" t="s">
        <v>2630</v>
      </c>
      <c r="F1227" s="1">
        <v>2</v>
      </c>
      <c r="G1227" s="1">
        <v>0</v>
      </c>
      <c r="H1227" t="s">
        <v>17</v>
      </c>
      <c r="I1227" t="s">
        <v>2631</v>
      </c>
      <c r="J1227" t="s">
        <v>2632</v>
      </c>
      <c r="K1227" s="3">
        <v>46022</v>
      </c>
      <c r="L1227" t="s">
        <v>2633</v>
      </c>
      <c r="M1227">
        <v>1.034</v>
      </c>
      <c r="N1227">
        <v>288</v>
      </c>
      <c r="O1227">
        <f t="shared" si="57"/>
        <v>2.0680000000000001</v>
      </c>
      <c r="P1227">
        <f t="shared" si="58"/>
        <v>6.9444444444444441E-3</v>
      </c>
      <c r="Q1227" t="str">
        <f t="shared" si="59"/>
        <v>Q27-01</v>
      </c>
    </row>
    <row r="1228" spans="1:17" x14ac:dyDescent="0.25">
      <c r="A1228" t="s">
        <v>12</v>
      </c>
      <c r="B1228" t="s">
        <v>1330</v>
      </c>
      <c r="C1228" t="s">
        <v>1331</v>
      </c>
      <c r="D1228" t="s">
        <v>57</v>
      </c>
      <c r="E1228" t="s">
        <v>2634</v>
      </c>
      <c r="F1228" s="1">
        <v>3</v>
      </c>
      <c r="G1228" s="1">
        <v>0</v>
      </c>
      <c r="H1228" t="s">
        <v>17</v>
      </c>
      <c r="I1228" t="s">
        <v>2635</v>
      </c>
      <c r="J1228" t="s">
        <v>2636</v>
      </c>
      <c r="K1228" s="3">
        <v>46512</v>
      </c>
      <c r="L1228" t="s">
        <v>2637</v>
      </c>
      <c r="M1228">
        <v>0.04</v>
      </c>
      <c r="N1228">
        <v>9000</v>
      </c>
      <c r="O1228">
        <f t="shared" si="57"/>
        <v>0.12</v>
      </c>
      <c r="P1228">
        <f t="shared" si="58"/>
        <v>3.3333333333333332E-4</v>
      </c>
      <c r="Q1228" t="str">
        <f t="shared" si="59"/>
        <v>Q26-03</v>
      </c>
    </row>
    <row r="1229" spans="1:17" x14ac:dyDescent="0.25">
      <c r="A1229" t="s">
        <v>2411</v>
      </c>
      <c r="B1229" t="s">
        <v>439</v>
      </c>
      <c r="C1229" t="s">
        <v>440</v>
      </c>
      <c r="D1229" t="s">
        <v>44</v>
      </c>
      <c r="E1229" t="s">
        <v>2638</v>
      </c>
      <c r="F1229" s="1">
        <v>1</v>
      </c>
      <c r="G1229" s="1">
        <v>0</v>
      </c>
      <c r="H1229" t="s">
        <v>17</v>
      </c>
      <c r="I1229" t="s">
        <v>443</v>
      </c>
      <c r="J1229" t="s">
        <v>2639</v>
      </c>
      <c r="K1229" s="3">
        <v>46347</v>
      </c>
      <c r="L1229" t="s">
        <v>2640</v>
      </c>
      <c r="M1229">
        <v>8.3000000000000004E-2</v>
      </c>
      <c r="N1229">
        <v>1200</v>
      </c>
      <c r="O1229">
        <f t="shared" si="57"/>
        <v>8.3000000000000004E-2</v>
      </c>
      <c r="P1229">
        <f t="shared" si="58"/>
        <v>8.3333333333333339E-4</v>
      </c>
      <c r="Q1229" t="str">
        <f t="shared" si="59"/>
        <v>Q26-01</v>
      </c>
    </row>
    <row r="1230" spans="1:17" x14ac:dyDescent="0.25">
      <c r="A1230" t="s">
        <v>2411</v>
      </c>
      <c r="B1230" t="s">
        <v>439</v>
      </c>
      <c r="C1230" t="s">
        <v>440</v>
      </c>
      <c r="D1230" t="s">
        <v>44</v>
      </c>
      <c r="E1230" t="s">
        <v>2641</v>
      </c>
      <c r="F1230" s="1">
        <v>1</v>
      </c>
      <c r="G1230" s="1">
        <v>0</v>
      </c>
      <c r="H1230" t="s">
        <v>17</v>
      </c>
      <c r="I1230" t="s">
        <v>2509</v>
      </c>
      <c r="J1230" t="s">
        <v>2639</v>
      </c>
      <c r="K1230" s="3">
        <v>46637</v>
      </c>
      <c r="L1230" t="s">
        <v>2642</v>
      </c>
      <c r="M1230">
        <v>8.3000000000000004E-2</v>
      </c>
      <c r="N1230">
        <v>1200</v>
      </c>
      <c r="O1230">
        <f t="shared" si="57"/>
        <v>8.3000000000000004E-2</v>
      </c>
      <c r="P1230">
        <f t="shared" si="58"/>
        <v>8.3333333333333339E-4</v>
      </c>
      <c r="Q1230" t="str">
        <f t="shared" si="59"/>
        <v>Q26-01</v>
      </c>
    </row>
    <row r="1231" spans="1:17" x14ac:dyDescent="0.25">
      <c r="A1231" t="s">
        <v>385</v>
      </c>
      <c r="B1231" t="s">
        <v>2479</v>
      </c>
      <c r="C1231" t="s">
        <v>2480</v>
      </c>
      <c r="D1231" t="s">
        <v>388</v>
      </c>
      <c r="E1231" t="s">
        <v>2643</v>
      </c>
      <c r="F1231" s="1">
        <v>5</v>
      </c>
      <c r="G1231" s="1">
        <v>0</v>
      </c>
      <c r="H1231" t="s">
        <v>17</v>
      </c>
      <c r="I1231" t="s">
        <v>2482</v>
      </c>
      <c r="J1231" t="s">
        <v>90</v>
      </c>
      <c r="K1231" s="3">
        <v>46634</v>
      </c>
      <c r="L1231" t="s">
        <v>2484</v>
      </c>
      <c r="M1231">
        <v>0.23599999999999999</v>
      </c>
      <c r="N1231">
        <v>1344</v>
      </c>
      <c r="O1231">
        <f t="shared" si="57"/>
        <v>1.18</v>
      </c>
      <c r="P1231">
        <f t="shared" si="58"/>
        <v>3.720238095238095E-3</v>
      </c>
      <c r="Q1231" t="str">
        <f t="shared" si="59"/>
        <v>Q26-03</v>
      </c>
    </row>
    <row r="1232" spans="1:17" x14ac:dyDescent="0.25">
      <c r="A1232" t="s">
        <v>12</v>
      </c>
      <c r="B1232" t="s">
        <v>756</v>
      </c>
      <c r="C1232" t="s">
        <v>757</v>
      </c>
      <c r="D1232" t="s">
        <v>44</v>
      </c>
      <c r="E1232" t="s">
        <v>2644</v>
      </c>
      <c r="F1232" s="1">
        <v>1</v>
      </c>
      <c r="G1232" s="1">
        <v>0</v>
      </c>
      <c r="H1232" t="s">
        <v>17</v>
      </c>
      <c r="I1232" t="s">
        <v>759</v>
      </c>
      <c r="J1232" t="s">
        <v>2645</v>
      </c>
      <c r="K1232" s="3">
        <v>46996</v>
      </c>
      <c r="L1232" t="s">
        <v>2646</v>
      </c>
      <c r="M1232">
        <v>0.09</v>
      </c>
      <c r="N1232">
        <v>2160</v>
      </c>
      <c r="O1232">
        <f t="shared" si="57"/>
        <v>0.09</v>
      </c>
      <c r="P1232">
        <f t="shared" si="58"/>
        <v>4.6296296296296298E-4</v>
      </c>
      <c r="Q1232" t="str">
        <f t="shared" si="59"/>
        <v>Q26-01</v>
      </c>
    </row>
    <row r="1233" spans="1:17" x14ac:dyDescent="0.25">
      <c r="A1233" t="s">
        <v>12</v>
      </c>
      <c r="B1233" t="s">
        <v>2598</v>
      </c>
      <c r="C1233" t="s">
        <v>2599</v>
      </c>
      <c r="D1233" t="s">
        <v>57</v>
      </c>
      <c r="E1233" t="s">
        <v>2647</v>
      </c>
      <c r="F1233" s="1">
        <v>1</v>
      </c>
      <c r="G1233" s="1">
        <v>0</v>
      </c>
      <c r="H1233" t="s">
        <v>17</v>
      </c>
      <c r="I1233" t="s">
        <v>2601</v>
      </c>
      <c r="J1233" t="s">
        <v>2648</v>
      </c>
      <c r="K1233" s="3">
        <v>46326</v>
      </c>
      <c r="L1233" t="s">
        <v>2649</v>
      </c>
      <c r="M1233">
        <v>0.20799999999999999</v>
      </c>
      <c r="N1233">
        <v>240</v>
      </c>
      <c r="O1233">
        <f t="shared" si="57"/>
        <v>0.20799999999999999</v>
      </c>
      <c r="P1233">
        <f t="shared" si="58"/>
        <v>4.1666666666666666E-3</v>
      </c>
      <c r="Q1233" t="str">
        <f t="shared" si="59"/>
        <v>Q26-03</v>
      </c>
    </row>
    <row r="1234" spans="1:17" x14ac:dyDescent="0.25">
      <c r="A1234" t="s">
        <v>12</v>
      </c>
      <c r="B1234" t="s">
        <v>756</v>
      </c>
      <c r="C1234" t="s">
        <v>757</v>
      </c>
      <c r="D1234" t="s">
        <v>44</v>
      </c>
      <c r="E1234" t="s">
        <v>2650</v>
      </c>
      <c r="F1234" s="1">
        <v>1</v>
      </c>
      <c r="G1234" s="1">
        <v>0</v>
      </c>
      <c r="H1234" t="s">
        <v>17</v>
      </c>
      <c r="I1234" t="s">
        <v>759</v>
      </c>
      <c r="J1234" t="s">
        <v>2651</v>
      </c>
      <c r="K1234" s="3">
        <v>47026</v>
      </c>
      <c r="L1234" t="s">
        <v>2652</v>
      </c>
      <c r="M1234">
        <v>0.09</v>
      </c>
      <c r="N1234">
        <v>2160</v>
      </c>
      <c r="O1234">
        <f t="shared" si="57"/>
        <v>0.09</v>
      </c>
      <c r="P1234">
        <f t="shared" si="58"/>
        <v>4.6296296296296298E-4</v>
      </c>
      <c r="Q1234" t="str">
        <f t="shared" si="59"/>
        <v>Q26-01</v>
      </c>
    </row>
    <row r="1235" spans="1:17" x14ac:dyDescent="0.25">
      <c r="A1235" t="s">
        <v>12</v>
      </c>
      <c r="B1235" t="s">
        <v>2653</v>
      </c>
      <c r="C1235" t="s">
        <v>2654</v>
      </c>
      <c r="D1235" t="s">
        <v>57</v>
      </c>
      <c r="E1235" t="s">
        <v>2655</v>
      </c>
      <c r="F1235" s="1">
        <v>12</v>
      </c>
      <c r="G1235" s="1">
        <v>0</v>
      </c>
      <c r="H1235" t="s">
        <v>17</v>
      </c>
      <c r="I1235" t="s">
        <v>2656</v>
      </c>
      <c r="J1235" t="s">
        <v>2657</v>
      </c>
      <c r="K1235" s="3">
        <v>46444</v>
      </c>
      <c r="L1235" t="s">
        <v>2658</v>
      </c>
      <c r="M1235">
        <v>0.13700000000000001</v>
      </c>
      <c r="N1235">
        <v>1200</v>
      </c>
      <c r="O1235">
        <f t="shared" si="57"/>
        <v>1.6440000000000001</v>
      </c>
      <c r="P1235">
        <f t="shared" si="58"/>
        <v>0.01</v>
      </c>
      <c r="Q1235" t="str">
        <f t="shared" si="59"/>
        <v>Q26-03</v>
      </c>
    </row>
    <row r="1236" spans="1:17" x14ac:dyDescent="0.25">
      <c r="A1236" t="s">
        <v>12</v>
      </c>
      <c r="B1236" t="s">
        <v>1330</v>
      </c>
      <c r="C1236" t="s">
        <v>1331</v>
      </c>
      <c r="D1236" t="s">
        <v>1332</v>
      </c>
      <c r="E1236" t="s">
        <v>2659</v>
      </c>
      <c r="F1236" s="1">
        <v>76</v>
      </c>
      <c r="G1236" s="1">
        <v>0</v>
      </c>
      <c r="H1236" t="s">
        <v>17</v>
      </c>
      <c r="I1236" t="s">
        <v>1334</v>
      </c>
      <c r="J1236" t="s">
        <v>2660</v>
      </c>
      <c r="K1236" s="3">
        <v>46117</v>
      </c>
      <c r="L1236" t="s">
        <v>2661</v>
      </c>
      <c r="M1236">
        <v>0.04</v>
      </c>
      <c r="N1236">
        <v>9000</v>
      </c>
      <c r="O1236">
        <f t="shared" si="57"/>
        <v>3.04</v>
      </c>
      <c r="P1236">
        <f t="shared" si="58"/>
        <v>8.4444444444444437E-3</v>
      </c>
      <c r="Q1236" t="str">
        <f t="shared" si="59"/>
        <v>Q26-01</v>
      </c>
    </row>
    <row r="1237" spans="1:17" x14ac:dyDescent="0.25">
      <c r="A1237" t="s">
        <v>12</v>
      </c>
      <c r="B1237" t="s">
        <v>2662</v>
      </c>
      <c r="C1237" t="s">
        <v>2663</v>
      </c>
      <c r="D1237" t="s">
        <v>2664</v>
      </c>
      <c r="E1237" t="s">
        <v>2665</v>
      </c>
      <c r="F1237" s="1">
        <v>1</v>
      </c>
      <c r="G1237" s="1">
        <v>0</v>
      </c>
      <c r="H1237" t="s">
        <v>17</v>
      </c>
      <c r="I1237" t="s">
        <v>2666</v>
      </c>
      <c r="J1237" t="s">
        <v>2667</v>
      </c>
      <c r="K1237" s="3">
        <v>46203</v>
      </c>
      <c r="L1237" t="s">
        <v>2668</v>
      </c>
      <c r="M1237">
        <v>0.03</v>
      </c>
      <c r="N1237">
        <v>1440</v>
      </c>
      <c r="O1237">
        <f t="shared" si="57"/>
        <v>0.03</v>
      </c>
      <c r="P1237">
        <f t="shared" si="58"/>
        <v>6.9444444444444447E-4</v>
      </c>
      <c r="Q1237" t="str">
        <f t="shared" si="59"/>
        <v>QC1-01</v>
      </c>
    </row>
    <row r="1238" spans="1:17" x14ac:dyDescent="0.25">
      <c r="A1238" t="s">
        <v>12</v>
      </c>
      <c r="B1238" t="s">
        <v>2669</v>
      </c>
      <c r="C1238" t="s">
        <v>2670</v>
      </c>
      <c r="D1238" t="s">
        <v>121</v>
      </c>
      <c r="E1238" t="s">
        <v>2671</v>
      </c>
      <c r="F1238" s="1">
        <v>1</v>
      </c>
      <c r="G1238" s="1">
        <v>0</v>
      </c>
      <c r="H1238" t="s">
        <v>17</v>
      </c>
      <c r="I1238" t="s">
        <v>84</v>
      </c>
      <c r="J1238" t="s">
        <v>90</v>
      </c>
      <c r="K1238" s="3">
        <v>46725</v>
      </c>
      <c r="L1238" t="s">
        <v>123</v>
      </c>
      <c r="M1238">
        <v>0</v>
      </c>
      <c r="N1238">
        <v>0</v>
      </c>
      <c r="O1238">
        <f t="shared" si="57"/>
        <v>0</v>
      </c>
      <c r="Q1238" t="str">
        <f t="shared" si="59"/>
        <v>Q27-01</v>
      </c>
    </row>
    <row r="1239" spans="1:17" x14ac:dyDescent="0.25">
      <c r="A1239" t="s">
        <v>12</v>
      </c>
      <c r="B1239" t="s">
        <v>1169</v>
      </c>
      <c r="C1239" t="s">
        <v>1170</v>
      </c>
      <c r="D1239" t="s">
        <v>1332</v>
      </c>
      <c r="E1239" t="s">
        <v>2672</v>
      </c>
      <c r="F1239" s="1">
        <v>705</v>
      </c>
      <c r="G1239" s="1">
        <v>0</v>
      </c>
      <c r="H1239" t="s">
        <v>17</v>
      </c>
      <c r="I1239" t="s">
        <v>2673</v>
      </c>
      <c r="J1239" t="s">
        <v>2674</v>
      </c>
      <c r="K1239" s="3">
        <v>46033</v>
      </c>
      <c r="L1239" t="s">
        <v>1175</v>
      </c>
      <c r="M1239">
        <v>0.02</v>
      </c>
      <c r="N1239">
        <v>1650</v>
      </c>
      <c r="O1239">
        <f t="shared" si="57"/>
        <v>14.1</v>
      </c>
      <c r="P1239">
        <f t="shared" si="58"/>
        <v>0.42727272727272725</v>
      </c>
      <c r="Q1239" t="str">
        <f t="shared" si="59"/>
        <v>Q26-01</v>
      </c>
    </row>
    <row r="1240" spans="1:17" x14ac:dyDescent="0.25">
      <c r="A1240" t="s">
        <v>12</v>
      </c>
      <c r="B1240" t="s">
        <v>1673</v>
      </c>
      <c r="C1240" t="s">
        <v>1674</v>
      </c>
      <c r="D1240" t="s">
        <v>44</v>
      </c>
      <c r="E1240" t="s">
        <v>2675</v>
      </c>
      <c r="F1240" s="1">
        <v>95</v>
      </c>
      <c r="G1240" s="1">
        <v>0</v>
      </c>
      <c r="H1240" t="s">
        <v>17</v>
      </c>
      <c r="I1240" t="s">
        <v>1676</v>
      </c>
      <c r="J1240" t="s">
        <v>2674</v>
      </c>
      <c r="K1240" s="3">
        <v>46024</v>
      </c>
      <c r="L1240" t="s">
        <v>1678</v>
      </c>
      <c r="M1240">
        <v>2.8000000000000001E-2</v>
      </c>
      <c r="N1240">
        <v>6160</v>
      </c>
      <c r="O1240">
        <f t="shared" si="57"/>
        <v>2.66</v>
      </c>
      <c r="P1240">
        <f t="shared" si="58"/>
        <v>1.5422077922077922E-2</v>
      </c>
      <c r="Q1240" t="str">
        <f t="shared" si="59"/>
        <v>Q26-01</v>
      </c>
    </row>
    <row r="1241" spans="1:17" x14ac:dyDescent="0.25">
      <c r="A1241" t="s">
        <v>12</v>
      </c>
      <c r="B1241" t="s">
        <v>24</v>
      </c>
      <c r="C1241" t="s">
        <v>25</v>
      </c>
      <c r="D1241" t="s">
        <v>57</v>
      </c>
      <c r="E1241" t="s">
        <v>2676</v>
      </c>
      <c r="F1241" s="1">
        <v>3</v>
      </c>
      <c r="G1241" s="1">
        <v>0</v>
      </c>
      <c r="H1241" t="s">
        <v>17</v>
      </c>
      <c r="I1241" t="s">
        <v>28</v>
      </c>
      <c r="J1241" t="s">
        <v>2677</v>
      </c>
      <c r="K1241" s="3">
        <v>47559</v>
      </c>
      <c r="L1241" t="s">
        <v>2678</v>
      </c>
      <c r="M1241">
        <v>2.9000000000000001E-2</v>
      </c>
      <c r="N1241">
        <v>2880</v>
      </c>
      <c r="O1241">
        <f t="shared" si="57"/>
        <v>8.7000000000000008E-2</v>
      </c>
      <c r="P1241">
        <f t="shared" si="58"/>
        <v>1.0416666666666667E-3</v>
      </c>
      <c r="Q1241" t="str">
        <f t="shared" si="59"/>
        <v>Q26-03</v>
      </c>
    </row>
    <row r="1242" spans="1:17" x14ac:dyDescent="0.25">
      <c r="A1242" t="s">
        <v>12</v>
      </c>
      <c r="B1242" t="s">
        <v>992</v>
      </c>
      <c r="C1242" t="s">
        <v>993</v>
      </c>
      <c r="D1242" t="s">
        <v>121</v>
      </c>
      <c r="E1242" t="s">
        <v>2679</v>
      </c>
      <c r="F1242" s="2">
        <v>1449</v>
      </c>
      <c r="G1242" s="1">
        <v>0</v>
      </c>
      <c r="H1242" t="s">
        <v>17</v>
      </c>
      <c r="I1242" t="s">
        <v>475</v>
      </c>
      <c r="J1242" t="s">
        <v>90</v>
      </c>
      <c r="K1242" s="3">
        <v>46737</v>
      </c>
      <c r="L1242" t="s">
        <v>123</v>
      </c>
      <c r="M1242">
        <v>0</v>
      </c>
      <c r="N1242">
        <v>0</v>
      </c>
      <c r="O1242">
        <f t="shared" si="57"/>
        <v>0</v>
      </c>
      <c r="Q1242" t="str">
        <f t="shared" si="59"/>
        <v>Q27-01</v>
      </c>
    </row>
    <row r="1243" spans="1:17" x14ac:dyDescent="0.25">
      <c r="A1243" t="s">
        <v>12</v>
      </c>
      <c r="B1243" t="s">
        <v>1689</v>
      </c>
      <c r="C1243" t="s">
        <v>1690</v>
      </c>
      <c r="D1243" t="s">
        <v>144</v>
      </c>
      <c r="E1243" t="s">
        <v>2680</v>
      </c>
      <c r="F1243" s="2">
        <v>2558</v>
      </c>
      <c r="G1243" s="1">
        <v>0</v>
      </c>
      <c r="H1243" t="s">
        <v>17</v>
      </c>
      <c r="I1243" t="s">
        <v>475</v>
      </c>
      <c r="J1243" t="s">
        <v>90</v>
      </c>
      <c r="K1243" s="3">
        <v>46737</v>
      </c>
      <c r="L1243" t="s">
        <v>123</v>
      </c>
      <c r="M1243">
        <v>0</v>
      </c>
      <c r="N1243">
        <v>0</v>
      </c>
      <c r="O1243">
        <f t="shared" si="57"/>
        <v>0</v>
      </c>
      <c r="Q1243" t="str">
        <f t="shared" si="59"/>
        <v>QM4-01</v>
      </c>
    </row>
    <row r="1244" spans="1:17" x14ac:dyDescent="0.25">
      <c r="A1244" t="s">
        <v>12</v>
      </c>
      <c r="B1244" t="s">
        <v>2092</v>
      </c>
      <c r="C1244" t="s">
        <v>2093</v>
      </c>
      <c r="D1244" t="s">
        <v>144</v>
      </c>
      <c r="E1244" t="s">
        <v>2681</v>
      </c>
      <c r="F1244" s="2">
        <v>3192</v>
      </c>
      <c r="G1244" s="1">
        <v>0</v>
      </c>
      <c r="H1244" t="s">
        <v>17</v>
      </c>
      <c r="I1244" t="s">
        <v>475</v>
      </c>
      <c r="J1244" t="s">
        <v>90</v>
      </c>
      <c r="K1244" s="3">
        <v>46737</v>
      </c>
      <c r="L1244" t="s">
        <v>123</v>
      </c>
      <c r="M1244">
        <v>0</v>
      </c>
      <c r="N1244">
        <v>0</v>
      </c>
      <c r="O1244">
        <f t="shared" si="57"/>
        <v>0</v>
      </c>
      <c r="Q1244" t="str">
        <f t="shared" si="59"/>
        <v>QM4-01</v>
      </c>
    </row>
    <row r="1245" spans="1:17" x14ac:dyDescent="0.25">
      <c r="A1245" t="s">
        <v>12</v>
      </c>
      <c r="B1245" t="s">
        <v>1673</v>
      </c>
      <c r="C1245" t="s">
        <v>1674</v>
      </c>
      <c r="D1245" t="s">
        <v>44</v>
      </c>
      <c r="E1245" t="s">
        <v>2682</v>
      </c>
      <c r="F1245" s="1">
        <v>10</v>
      </c>
      <c r="G1245" s="1">
        <v>0</v>
      </c>
      <c r="H1245" t="s">
        <v>17</v>
      </c>
      <c r="I1245" t="s">
        <v>1676</v>
      </c>
      <c r="J1245" t="s">
        <v>2683</v>
      </c>
      <c r="K1245" s="3">
        <v>46024</v>
      </c>
      <c r="L1245" t="s">
        <v>1678</v>
      </c>
      <c r="M1245">
        <v>2.8000000000000001E-2</v>
      </c>
      <c r="N1245">
        <v>6160</v>
      </c>
      <c r="O1245">
        <f t="shared" si="57"/>
        <v>0.28000000000000003</v>
      </c>
      <c r="P1245">
        <f t="shared" si="58"/>
        <v>1.6233766233766235E-3</v>
      </c>
      <c r="Q1245" t="str">
        <f t="shared" si="59"/>
        <v>Q26-01</v>
      </c>
    </row>
    <row r="1246" spans="1:17" x14ac:dyDescent="0.25">
      <c r="A1246" t="s">
        <v>12</v>
      </c>
      <c r="B1246" t="s">
        <v>1018</v>
      </c>
      <c r="C1246" t="s">
        <v>1019</v>
      </c>
      <c r="D1246" t="s">
        <v>388</v>
      </c>
      <c r="E1246" t="s">
        <v>2684</v>
      </c>
      <c r="F1246" s="1">
        <v>66</v>
      </c>
      <c r="G1246" s="1">
        <v>0</v>
      </c>
      <c r="H1246" t="s">
        <v>17</v>
      </c>
      <c r="I1246" t="s">
        <v>2563</v>
      </c>
      <c r="J1246" t="s">
        <v>2685</v>
      </c>
      <c r="K1246" s="3">
        <v>46660</v>
      </c>
      <c r="L1246" t="s">
        <v>2686</v>
      </c>
      <c r="M1246">
        <v>1.9E-2</v>
      </c>
      <c r="N1246">
        <v>5184</v>
      </c>
      <c r="O1246">
        <f t="shared" si="57"/>
        <v>1.254</v>
      </c>
      <c r="P1246">
        <f t="shared" si="58"/>
        <v>1.2731481481481481E-2</v>
      </c>
      <c r="Q1246" t="str">
        <f t="shared" si="59"/>
        <v>Q26-03</v>
      </c>
    </row>
    <row r="1247" spans="1:17" x14ac:dyDescent="0.25">
      <c r="A1247" t="s">
        <v>12</v>
      </c>
      <c r="B1247" t="s">
        <v>1018</v>
      </c>
      <c r="C1247" t="s">
        <v>1019</v>
      </c>
      <c r="D1247" t="s">
        <v>388</v>
      </c>
      <c r="E1247" t="s">
        <v>2687</v>
      </c>
      <c r="F1247" s="1">
        <v>46</v>
      </c>
      <c r="G1247" s="1">
        <v>0</v>
      </c>
      <c r="H1247" t="s">
        <v>17</v>
      </c>
      <c r="I1247" t="s">
        <v>2563</v>
      </c>
      <c r="J1247" t="s">
        <v>2685</v>
      </c>
      <c r="K1247" s="3">
        <v>46660</v>
      </c>
      <c r="L1247" t="s">
        <v>2686</v>
      </c>
      <c r="M1247">
        <v>1.9E-2</v>
      </c>
      <c r="N1247">
        <v>5184</v>
      </c>
      <c r="O1247">
        <f t="shared" si="57"/>
        <v>0.874</v>
      </c>
      <c r="P1247">
        <f t="shared" si="58"/>
        <v>8.8734567901234563E-3</v>
      </c>
      <c r="Q1247" t="str">
        <f t="shared" si="59"/>
        <v>Q26-03</v>
      </c>
    </row>
    <row r="1248" spans="1:17" x14ac:dyDescent="0.25">
      <c r="A1248" t="s">
        <v>12</v>
      </c>
      <c r="B1248" t="s">
        <v>2688</v>
      </c>
      <c r="C1248" t="s">
        <v>2689</v>
      </c>
      <c r="D1248" t="s">
        <v>57</v>
      </c>
      <c r="E1248" t="s">
        <v>2690</v>
      </c>
      <c r="F1248" s="1">
        <v>3</v>
      </c>
      <c r="G1248" s="1">
        <v>0</v>
      </c>
      <c r="H1248" t="s">
        <v>17</v>
      </c>
      <c r="I1248" t="s">
        <v>2691</v>
      </c>
      <c r="J1248" t="s">
        <v>2692</v>
      </c>
      <c r="K1248" s="3">
        <v>46783</v>
      </c>
      <c r="L1248" t="s">
        <v>2693</v>
      </c>
      <c r="M1248">
        <v>0.19600000000000001</v>
      </c>
      <c r="N1248">
        <v>1920</v>
      </c>
      <c r="O1248">
        <f t="shared" si="57"/>
        <v>0.58800000000000008</v>
      </c>
      <c r="P1248">
        <f t="shared" si="58"/>
        <v>1.5625000000000001E-3</v>
      </c>
      <c r="Q1248" t="str">
        <f t="shared" si="59"/>
        <v>Q26-03</v>
      </c>
    </row>
    <row r="1249" spans="1:17" x14ac:dyDescent="0.25">
      <c r="A1249" t="s">
        <v>12</v>
      </c>
      <c r="B1249" t="s">
        <v>1169</v>
      </c>
      <c r="C1249" t="s">
        <v>1170</v>
      </c>
      <c r="D1249" t="s">
        <v>1171</v>
      </c>
      <c r="E1249" t="s">
        <v>1172</v>
      </c>
      <c r="F1249" s="1">
        <v>143</v>
      </c>
      <c r="G1249" s="1">
        <v>0</v>
      </c>
      <c r="H1249" t="s">
        <v>17</v>
      </c>
      <c r="I1249" t="s">
        <v>1173</v>
      </c>
      <c r="J1249" t="s">
        <v>2694</v>
      </c>
      <c r="K1249" s="3">
        <v>46033</v>
      </c>
      <c r="L1249" t="s">
        <v>1175</v>
      </c>
      <c r="M1249">
        <v>0.02</v>
      </c>
      <c r="N1249">
        <v>1650</v>
      </c>
      <c r="O1249">
        <f t="shared" si="57"/>
        <v>2.86</v>
      </c>
      <c r="P1249">
        <f t="shared" si="58"/>
        <v>8.666666666666667E-2</v>
      </c>
      <c r="Q1249" t="str">
        <f t="shared" si="59"/>
        <v>Q26-01</v>
      </c>
    </row>
    <row r="1250" spans="1:17" x14ac:dyDescent="0.25">
      <c r="A1250" t="s">
        <v>12</v>
      </c>
      <c r="B1250" t="s">
        <v>1169</v>
      </c>
      <c r="C1250" t="s">
        <v>1170</v>
      </c>
      <c r="D1250" t="s">
        <v>1176</v>
      </c>
      <c r="E1250" t="s">
        <v>1177</v>
      </c>
      <c r="F1250" s="1">
        <v>352</v>
      </c>
      <c r="G1250" s="1">
        <v>0</v>
      </c>
      <c r="H1250" t="s">
        <v>17</v>
      </c>
      <c r="I1250" t="s">
        <v>1173</v>
      </c>
      <c r="J1250" t="s">
        <v>2694</v>
      </c>
      <c r="K1250" s="3">
        <v>46033</v>
      </c>
      <c r="L1250" t="s">
        <v>1175</v>
      </c>
      <c r="M1250">
        <v>0.02</v>
      </c>
      <c r="N1250">
        <v>1650</v>
      </c>
      <c r="O1250">
        <f t="shared" si="57"/>
        <v>7.04</v>
      </c>
      <c r="P1250">
        <f t="shared" si="58"/>
        <v>0.21333333333333335</v>
      </c>
      <c r="Q1250" t="str">
        <f t="shared" si="59"/>
        <v>Q26-01</v>
      </c>
    </row>
    <row r="1251" spans="1:17" x14ac:dyDescent="0.25">
      <c r="A1251" t="s">
        <v>12</v>
      </c>
      <c r="B1251" t="s">
        <v>24</v>
      </c>
      <c r="C1251" t="s">
        <v>25</v>
      </c>
      <c r="D1251" t="s">
        <v>57</v>
      </c>
      <c r="E1251" t="s">
        <v>2695</v>
      </c>
      <c r="F1251" s="1">
        <v>7</v>
      </c>
      <c r="G1251" s="1">
        <v>0</v>
      </c>
      <c r="H1251" t="s">
        <v>17</v>
      </c>
      <c r="I1251" t="s">
        <v>28</v>
      </c>
      <c r="J1251" t="s">
        <v>2696</v>
      </c>
      <c r="K1251" s="3">
        <v>47559</v>
      </c>
      <c r="L1251" t="s">
        <v>2678</v>
      </c>
      <c r="M1251">
        <v>2.9000000000000001E-2</v>
      </c>
      <c r="N1251">
        <v>2880</v>
      </c>
      <c r="O1251">
        <f t="shared" si="57"/>
        <v>0.20300000000000001</v>
      </c>
      <c r="P1251">
        <f t="shared" si="58"/>
        <v>2.4305555555555556E-3</v>
      </c>
      <c r="Q1251" t="str">
        <f t="shared" si="59"/>
        <v>Q26-03</v>
      </c>
    </row>
    <row r="1252" spans="1:17" x14ac:dyDescent="0.25">
      <c r="A1252" t="s">
        <v>12</v>
      </c>
      <c r="B1252" t="s">
        <v>2697</v>
      </c>
      <c r="C1252" t="s">
        <v>2698</v>
      </c>
      <c r="D1252" t="s">
        <v>57</v>
      </c>
      <c r="E1252" t="s">
        <v>2699</v>
      </c>
      <c r="F1252" s="1">
        <v>1</v>
      </c>
      <c r="G1252" s="1">
        <v>0</v>
      </c>
      <c r="H1252" t="s">
        <v>17</v>
      </c>
      <c r="I1252" t="s">
        <v>2700</v>
      </c>
      <c r="J1252" t="s">
        <v>2701</v>
      </c>
      <c r="K1252" s="3">
        <v>46219</v>
      </c>
      <c r="L1252" t="s">
        <v>2702</v>
      </c>
      <c r="M1252">
        <v>0.02</v>
      </c>
      <c r="N1252">
        <v>3888</v>
      </c>
      <c r="O1252">
        <f t="shared" si="57"/>
        <v>0.02</v>
      </c>
      <c r="P1252">
        <f t="shared" si="58"/>
        <v>2.57201646090535E-4</v>
      </c>
      <c r="Q1252" t="str">
        <f t="shared" si="59"/>
        <v>Q26-03</v>
      </c>
    </row>
    <row r="1253" spans="1:17" x14ac:dyDescent="0.25">
      <c r="A1253" t="s">
        <v>12</v>
      </c>
      <c r="B1253" t="s">
        <v>2301</v>
      </c>
      <c r="C1253" t="s">
        <v>2302</v>
      </c>
      <c r="D1253" t="s">
        <v>57</v>
      </c>
      <c r="E1253" t="s">
        <v>2703</v>
      </c>
      <c r="F1253" s="1">
        <v>3</v>
      </c>
      <c r="G1253" s="1">
        <v>0</v>
      </c>
      <c r="H1253" t="s">
        <v>17</v>
      </c>
      <c r="I1253" t="s">
        <v>2304</v>
      </c>
      <c r="J1253" t="s">
        <v>2704</v>
      </c>
      <c r="K1253" s="3">
        <v>46639</v>
      </c>
      <c r="L1253" t="s">
        <v>2478</v>
      </c>
      <c r="M1253">
        <v>0.14399999999999999</v>
      </c>
      <c r="N1253">
        <v>1728</v>
      </c>
      <c r="O1253">
        <f t="shared" si="57"/>
        <v>0.43199999999999994</v>
      </c>
      <c r="P1253">
        <f t="shared" si="58"/>
        <v>1.736111111111111E-3</v>
      </c>
      <c r="Q1253" t="str">
        <f t="shared" si="59"/>
        <v>Q26-03</v>
      </c>
    </row>
    <row r="1254" spans="1:17" x14ac:dyDescent="0.25">
      <c r="A1254" t="s">
        <v>12</v>
      </c>
      <c r="B1254" t="s">
        <v>2366</v>
      </c>
      <c r="C1254" t="s">
        <v>2367</v>
      </c>
      <c r="D1254" t="s">
        <v>57</v>
      </c>
      <c r="E1254" t="s">
        <v>2705</v>
      </c>
      <c r="F1254" s="1">
        <v>2</v>
      </c>
      <c r="G1254" s="1">
        <v>0</v>
      </c>
      <c r="H1254" t="s">
        <v>17</v>
      </c>
      <c r="I1254" t="s">
        <v>2369</v>
      </c>
      <c r="J1254" t="s">
        <v>2704</v>
      </c>
      <c r="K1254" s="3">
        <v>46793</v>
      </c>
      <c r="L1254" t="s">
        <v>2560</v>
      </c>
      <c r="M1254">
        <v>0.12</v>
      </c>
      <c r="N1254">
        <v>1920</v>
      </c>
      <c r="O1254">
        <f t="shared" si="57"/>
        <v>0.24</v>
      </c>
      <c r="P1254">
        <f t="shared" si="58"/>
        <v>1.0416666666666667E-3</v>
      </c>
      <c r="Q1254" t="str">
        <f t="shared" si="59"/>
        <v>Q26-03</v>
      </c>
    </row>
    <row r="1255" spans="1:17" x14ac:dyDescent="0.25">
      <c r="A1255" t="s">
        <v>12</v>
      </c>
      <c r="B1255" t="s">
        <v>2653</v>
      </c>
      <c r="C1255" t="s">
        <v>2654</v>
      </c>
      <c r="D1255" t="s">
        <v>57</v>
      </c>
      <c r="E1255" t="s">
        <v>2706</v>
      </c>
      <c r="F1255" s="1">
        <v>8</v>
      </c>
      <c r="G1255" s="1">
        <v>0</v>
      </c>
      <c r="H1255" t="s">
        <v>17</v>
      </c>
      <c r="I1255" t="s">
        <v>2656</v>
      </c>
      <c r="J1255" t="s">
        <v>2707</v>
      </c>
      <c r="K1255" s="3">
        <v>46444</v>
      </c>
      <c r="L1255" t="s">
        <v>2658</v>
      </c>
      <c r="M1255">
        <v>0.13700000000000001</v>
      </c>
      <c r="N1255">
        <v>1200</v>
      </c>
      <c r="O1255">
        <f t="shared" si="57"/>
        <v>1.0960000000000001</v>
      </c>
      <c r="P1255">
        <f t="shared" si="58"/>
        <v>6.6666666666666671E-3</v>
      </c>
      <c r="Q1255" t="str">
        <f t="shared" si="59"/>
        <v>Q26-03</v>
      </c>
    </row>
    <row r="1256" spans="1:17" x14ac:dyDescent="0.25">
      <c r="A1256" t="s">
        <v>2411</v>
      </c>
      <c r="B1256" t="s">
        <v>2708</v>
      </c>
      <c r="C1256" t="s">
        <v>2709</v>
      </c>
      <c r="D1256" t="s">
        <v>44</v>
      </c>
      <c r="E1256" t="s">
        <v>2710</v>
      </c>
      <c r="F1256" s="1">
        <v>17</v>
      </c>
      <c r="G1256" s="1">
        <v>0</v>
      </c>
      <c r="H1256" t="s">
        <v>17</v>
      </c>
      <c r="I1256" t="s">
        <v>84</v>
      </c>
      <c r="J1256" t="s">
        <v>2711</v>
      </c>
      <c r="K1256" s="3">
        <v>73050</v>
      </c>
      <c r="L1256" t="s">
        <v>123</v>
      </c>
      <c r="M1256">
        <v>2.4E-2</v>
      </c>
      <c r="N1256">
        <v>0</v>
      </c>
      <c r="O1256">
        <f t="shared" si="57"/>
        <v>0.40800000000000003</v>
      </c>
      <c r="Q1256" t="str">
        <f t="shared" si="59"/>
        <v>Q26-01</v>
      </c>
    </row>
    <row r="1257" spans="1:17" x14ac:dyDescent="0.25">
      <c r="A1257" t="s">
        <v>2411</v>
      </c>
      <c r="B1257" t="s">
        <v>2712</v>
      </c>
      <c r="C1257" t="s">
        <v>2713</v>
      </c>
      <c r="D1257" t="s">
        <v>2714</v>
      </c>
      <c r="E1257" t="s">
        <v>2715</v>
      </c>
      <c r="F1257" s="2">
        <v>3479</v>
      </c>
      <c r="G1257" s="1">
        <v>0</v>
      </c>
      <c r="H1257" t="s">
        <v>17</v>
      </c>
      <c r="I1257" t="s">
        <v>84</v>
      </c>
      <c r="J1257" t="s">
        <v>2716</v>
      </c>
      <c r="K1257" s="3">
        <v>73050</v>
      </c>
      <c r="L1257" t="s">
        <v>123</v>
      </c>
      <c r="M1257">
        <v>2.5999999999999999E-2</v>
      </c>
      <c r="N1257">
        <v>0</v>
      </c>
      <c r="O1257">
        <f t="shared" si="57"/>
        <v>90.453999999999994</v>
      </c>
      <c r="Q1257" t="str">
        <f t="shared" si="59"/>
        <v>Q26-01</v>
      </c>
    </row>
    <row r="1258" spans="1:17" x14ac:dyDescent="0.25">
      <c r="A1258" t="s">
        <v>12</v>
      </c>
      <c r="B1258" t="s">
        <v>830</v>
      </c>
      <c r="C1258" t="s">
        <v>831</v>
      </c>
      <c r="D1258" t="s">
        <v>407</v>
      </c>
      <c r="E1258" t="s">
        <v>2717</v>
      </c>
      <c r="F1258" s="1">
        <v>358</v>
      </c>
      <c r="G1258" s="1">
        <v>0</v>
      </c>
      <c r="H1258" t="s">
        <v>17</v>
      </c>
      <c r="I1258" t="s">
        <v>833</v>
      </c>
      <c r="J1258" t="s">
        <v>2718</v>
      </c>
      <c r="K1258" s="3">
        <v>46022</v>
      </c>
      <c r="L1258" t="s">
        <v>835</v>
      </c>
      <c r="M1258">
        <v>0.04</v>
      </c>
      <c r="N1258">
        <v>3120</v>
      </c>
      <c r="O1258">
        <f t="shared" si="57"/>
        <v>14.32</v>
      </c>
      <c r="P1258">
        <f t="shared" si="58"/>
        <v>0.11474358974358974</v>
      </c>
      <c r="Q1258" t="str">
        <f t="shared" si="59"/>
        <v>Q27-01</v>
      </c>
    </row>
    <row r="1259" spans="1:17" x14ac:dyDescent="0.25">
      <c r="A1259" t="s">
        <v>12</v>
      </c>
      <c r="B1259" t="s">
        <v>2719</v>
      </c>
      <c r="C1259" t="s">
        <v>2720</v>
      </c>
      <c r="D1259" t="s">
        <v>2721</v>
      </c>
      <c r="E1259" t="s">
        <v>2722</v>
      </c>
      <c r="F1259" s="1">
        <v>2</v>
      </c>
      <c r="G1259" s="1">
        <v>0</v>
      </c>
      <c r="H1259" t="s">
        <v>17</v>
      </c>
      <c r="I1259" t="s">
        <v>2723</v>
      </c>
      <c r="J1259" t="s">
        <v>2724</v>
      </c>
      <c r="K1259" s="3">
        <v>46661</v>
      </c>
      <c r="L1259" t="s">
        <v>2725</v>
      </c>
      <c r="M1259">
        <v>0.03</v>
      </c>
      <c r="N1259">
        <v>6400</v>
      </c>
      <c r="O1259">
        <f t="shared" si="57"/>
        <v>0.06</v>
      </c>
      <c r="P1259">
        <f t="shared" si="58"/>
        <v>3.1250000000000001E-4</v>
      </c>
      <c r="Q1259" t="str">
        <f t="shared" si="59"/>
        <v>Q26-03</v>
      </c>
    </row>
    <row r="1260" spans="1:17" x14ac:dyDescent="0.25">
      <c r="A1260" t="s">
        <v>61</v>
      </c>
      <c r="B1260" t="s">
        <v>456</v>
      </c>
      <c r="C1260" t="s">
        <v>457</v>
      </c>
      <c r="D1260" t="s">
        <v>2726</v>
      </c>
      <c r="E1260" t="s">
        <v>2727</v>
      </c>
      <c r="F1260" s="1">
        <v>55</v>
      </c>
      <c r="G1260" s="1">
        <v>0</v>
      </c>
      <c r="H1260" t="s">
        <v>17</v>
      </c>
      <c r="I1260" t="s">
        <v>459</v>
      </c>
      <c r="J1260" t="s">
        <v>2728</v>
      </c>
      <c r="K1260" s="3">
        <v>46203</v>
      </c>
      <c r="L1260" t="s">
        <v>623</v>
      </c>
      <c r="M1260">
        <v>0.22600000000000001</v>
      </c>
      <c r="N1260">
        <v>1680</v>
      </c>
      <c r="O1260">
        <f t="shared" si="57"/>
        <v>12.43</v>
      </c>
      <c r="P1260">
        <f t="shared" si="58"/>
        <v>3.273809523809524E-2</v>
      </c>
      <c r="Q1260" t="str">
        <f t="shared" si="59"/>
        <v>Q27-03</v>
      </c>
    </row>
    <row r="1261" spans="1:17" x14ac:dyDescent="0.25">
      <c r="A1261" t="s">
        <v>61</v>
      </c>
      <c r="B1261" t="s">
        <v>456</v>
      </c>
      <c r="C1261" t="s">
        <v>457</v>
      </c>
      <c r="D1261" t="s">
        <v>2726</v>
      </c>
      <c r="E1261" t="s">
        <v>2729</v>
      </c>
      <c r="F1261" s="1">
        <v>161</v>
      </c>
      <c r="G1261" s="1">
        <v>0</v>
      </c>
      <c r="H1261" t="s">
        <v>17</v>
      </c>
      <c r="I1261" t="s">
        <v>459</v>
      </c>
      <c r="J1261" t="s">
        <v>2728</v>
      </c>
      <c r="K1261" s="3">
        <v>46203</v>
      </c>
      <c r="L1261" t="s">
        <v>792</v>
      </c>
      <c r="M1261">
        <v>0.22600000000000001</v>
      </c>
      <c r="N1261">
        <v>1680</v>
      </c>
      <c r="O1261">
        <f t="shared" si="57"/>
        <v>36.386000000000003</v>
      </c>
      <c r="P1261">
        <f t="shared" si="58"/>
        <v>9.583333333333334E-2</v>
      </c>
      <c r="Q1261" t="str">
        <f t="shared" si="59"/>
        <v>Q27-03</v>
      </c>
    </row>
    <row r="1262" spans="1:17" x14ac:dyDescent="0.25">
      <c r="A1262" t="s">
        <v>61</v>
      </c>
      <c r="B1262" t="s">
        <v>219</v>
      </c>
      <c r="C1262" t="s">
        <v>220</v>
      </c>
      <c r="D1262" t="s">
        <v>2726</v>
      </c>
      <c r="E1262" t="s">
        <v>2730</v>
      </c>
      <c r="F1262" s="1">
        <v>11</v>
      </c>
      <c r="G1262" s="1">
        <v>0</v>
      </c>
      <c r="H1262" t="s">
        <v>17</v>
      </c>
      <c r="I1262" t="s">
        <v>222</v>
      </c>
      <c r="J1262" t="s">
        <v>2728</v>
      </c>
      <c r="K1262" s="3">
        <v>46387</v>
      </c>
      <c r="L1262" t="s">
        <v>1200</v>
      </c>
      <c r="M1262">
        <v>0.3</v>
      </c>
      <c r="N1262">
        <v>1680</v>
      </c>
      <c r="O1262">
        <f t="shared" si="57"/>
        <v>3.3</v>
      </c>
      <c r="P1262">
        <f t="shared" si="58"/>
        <v>6.5476190476190478E-3</v>
      </c>
      <c r="Q1262" t="str">
        <f t="shared" si="59"/>
        <v>Q27-03</v>
      </c>
    </row>
    <row r="1263" spans="1:17" x14ac:dyDescent="0.25">
      <c r="A1263" t="s">
        <v>61</v>
      </c>
      <c r="B1263" t="s">
        <v>166</v>
      </c>
      <c r="C1263" t="s">
        <v>167</v>
      </c>
      <c r="D1263" t="s">
        <v>2726</v>
      </c>
      <c r="E1263" t="s">
        <v>2731</v>
      </c>
      <c r="F1263" s="1">
        <v>563</v>
      </c>
      <c r="G1263" s="1">
        <v>0</v>
      </c>
      <c r="H1263" t="s">
        <v>17</v>
      </c>
      <c r="I1263" t="s">
        <v>170</v>
      </c>
      <c r="J1263" t="s">
        <v>2728</v>
      </c>
      <c r="K1263" s="3">
        <v>46173</v>
      </c>
      <c r="L1263" t="s">
        <v>179</v>
      </c>
      <c r="M1263">
        <v>9.2999999999999999E-2</v>
      </c>
      <c r="N1263">
        <v>1536</v>
      </c>
      <c r="O1263">
        <f t="shared" si="57"/>
        <v>52.359000000000002</v>
      </c>
      <c r="P1263">
        <f t="shared" si="58"/>
        <v>0.36653645833333331</v>
      </c>
      <c r="Q1263" t="str">
        <f t="shared" si="59"/>
        <v>Q27-03</v>
      </c>
    </row>
    <row r="1264" spans="1:17" x14ac:dyDescent="0.25">
      <c r="A1264" t="s">
        <v>61</v>
      </c>
      <c r="B1264" t="s">
        <v>166</v>
      </c>
      <c r="C1264" t="s">
        <v>167</v>
      </c>
      <c r="D1264" t="s">
        <v>2726</v>
      </c>
      <c r="E1264" t="s">
        <v>2732</v>
      </c>
      <c r="F1264" s="1">
        <v>374</v>
      </c>
      <c r="G1264" s="1">
        <v>0</v>
      </c>
      <c r="H1264" t="s">
        <v>17</v>
      </c>
      <c r="I1264" t="s">
        <v>170</v>
      </c>
      <c r="J1264" t="s">
        <v>2728</v>
      </c>
      <c r="K1264" s="3">
        <v>46173</v>
      </c>
      <c r="L1264" t="s">
        <v>189</v>
      </c>
      <c r="M1264">
        <v>9.2999999999999999E-2</v>
      </c>
      <c r="N1264">
        <v>1536</v>
      </c>
      <c r="O1264">
        <f t="shared" si="57"/>
        <v>34.781999999999996</v>
      </c>
      <c r="P1264">
        <f t="shared" si="58"/>
        <v>0.24348958333333334</v>
      </c>
      <c r="Q1264" t="str">
        <f t="shared" si="59"/>
        <v>Q27-03</v>
      </c>
    </row>
    <row r="1265" spans="1:17" x14ac:dyDescent="0.25">
      <c r="A1265" t="s">
        <v>61</v>
      </c>
      <c r="B1265" t="s">
        <v>456</v>
      </c>
      <c r="C1265" t="s">
        <v>457</v>
      </c>
      <c r="D1265" t="s">
        <v>2726</v>
      </c>
      <c r="E1265" t="s">
        <v>2733</v>
      </c>
      <c r="F1265" s="1">
        <v>6</v>
      </c>
      <c r="G1265" s="1">
        <v>0</v>
      </c>
      <c r="H1265" t="s">
        <v>17</v>
      </c>
      <c r="I1265" t="s">
        <v>459</v>
      </c>
      <c r="J1265" t="s">
        <v>2728</v>
      </c>
      <c r="K1265" s="3">
        <v>46234</v>
      </c>
      <c r="L1265" t="s">
        <v>911</v>
      </c>
      <c r="M1265">
        <v>0.22600000000000001</v>
      </c>
      <c r="N1265">
        <v>1680</v>
      </c>
      <c r="O1265">
        <f t="shared" si="57"/>
        <v>1.3560000000000001</v>
      </c>
      <c r="P1265">
        <f t="shared" si="58"/>
        <v>3.5714285714285713E-3</v>
      </c>
      <c r="Q1265" t="str">
        <f t="shared" si="59"/>
        <v>Q27-03</v>
      </c>
    </row>
    <row r="1266" spans="1:17" x14ac:dyDescent="0.25">
      <c r="A1266" t="s">
        <v>61</v>
      </c>
      <c r="B1266" t="s">
        <v>317</v>
      </c>
      <c r="C1266" t="s">
        <v>318</v>
      </c>
      <c r="D1266" t="s">
        <v>2726</v>
      </c>
      <c r="E1266" t="s">
        <v>2734</v>
      </c>
      <c r="F1266" s="1">
        <v>2</v>
      </c>
      <c r="G1266" s="1">
        <v>0</v>
      </c>
      <c r="H1266" t="s">
        <v>17</v>
      </c>
      <c r="I1266" t="s">
        <v>320</v>
      </c>
      <c r="J1266" t="s">
        <v>2728</v>
      </c>
      <c r="K1266" s="3">
        <v>46142</v>
      </c>
      <c r="L1266" t="s">
        <v>343</v>
      </c>
      <c r="M1266">
        <v>0.04</v>
      </c>
      <c r="N1266">
        <v>2688</v>
      </c>
      <c r="O1266">
        <f t="shared" si="57"/>
        <v>0.08</v>
      </c>
      <c r="P1266">
        <f t="shared" si="58"/>
        <v>7.4404761904761901E-4</v>
      </c>
      <c r="Q1266" t="str">
        <f t="shared" si="59"/>
        <v>Q27-03</v>
      </c>
    </row>
    <row r="1267" spans="1:17" x14ac:dyDescent="0.25">
      <c r="A1267" t="s">
        <v>61</v>
      </c>
      <c r="B1267" t="s">
        <v>456</v>
      </c>
      <c r="C1267" t="s">
        <v>457</v>
      </c>
      <c r="D1267" t="s">
        <v>2726</v>
      </c>
      <c r="E1267" t="s">
        <v>2735</v>
      </c>
      <c r="F1267" s="1">
        <v>14</v>
      </c>
      <c r="G1267" s="1">
        <v>0</v>
      </c>
      <c r="H1267" t="s">
        <v>17</v>
      </c>
      <c r="I1267" t="s">
        <v>459</v>
      </c>
      <c r="J1267" t="s">
        <v>2728</v>
      </c>
      <c r="K1267" s="3">
        <v>46295</v>
      </c>
      <c r="L1267" t="s">
        <v>946</v>
      </c>
      <c r="M1267">
        <v>0.22600000000000001</v>
      </c>
      <c r="N1267">
        <v>1680</v>
      </c>
      <c r="O1267">
        <f t="shared" si="57"/>
        <v>3.1640000000000001</v>
      </c>
      <c r="P1267">
        <f t="shared" si="58"/>
        <v>8.3333333333333332E-3</v>
      </c>
      <c r="Q1267" t="str">
        <f t="shared" si="59"/>
        <v>Q27-03</v>
      </c>
    </row>
    <row r="1268" spans="1:17" x14ac:dyDescent="0.25">
      <c r="A1268" t="s">
        <v>61</v>
      </c>
      <c r="B1268" t="s">
        <v>219</v>
      </c>
      <c r="C1268" t="s">
        <v>220</v>
      </c>
      <c r="D1268" t="s">
        <v>2726</v>
      </c>
      <c r="E1268" t="s">
        <v>2736</v>
      </c>
      <c r="F1268" s="1">
        <v>9</v>
      </c>
      <c r="G1268" s="1">
        <v>0</v>
      </c>
      <c r="H1268" t="s">
        <v>17</v>
      </c>
      <c r="I1268" t="s">
        <v>222</v>
      </c>
      <c r="J1268" t="s">
        <v>2728</v>
      </c>
      <c r="K1268" s="3">
        <v>46234</v>
      </c>
      <c r="L1268" t="s">
        <v>789</v>
      </c>
      <c r="M1268">
        <v>0.3</v>
      </c>
      <c r="N1268">
        <v>1680</v>
      </c>
      <c r="O1268">
        <f t="shared" si="57"/>
        <v>2.6999999999999997</v>
      </c>
      <c r="P1268">
        <f t="shared" si="58"/>
        <v>5.3571428571428572E-3</v>
      </c>
      <c r="Q1268" t="str">
        <f t="shared" si="59"/>
        <v>Q27-03</v>
      </c>
    </row>
    <row r="1269" spans="1:17" x14ac:dyDescent="0.25">
      <c r="A1269" t="s">
        <v>61</v>
      </c>
      <c r="B1269" t="s">
        <v>71</v>
      </c>
      <c r="C1269" t="s">
        <v>72</v>
      </c>
      <c r="D1269" t="s">
        <v>2726</v>
      </c>
      <c r="E1269" t="s">
        <v>2737</v>
      </c>
      <c r="F1269" s="1">
        <v>10</v>
      </c>
      <c r="G1269" s="1">
        <v>0</v>
      </c>
      <c r="H1269" t="s">
        <v>17</v>
      </c>
      <c r="I1269" t="s">
        <v>75</v>
      </c>
      <c r="J1269" t="s">
        <v>2728</v>
      </c>
      <c r="K1269" s="3">
        <v>46356</v>
      </c>
      <c r="L1269" t="s">
        <v>1149</v>
      </c>
      <c r="M1269">
        <v>0.3</v>
      </c>
      <c r="N1269">
        <v>1680</v>
      </c>
      <c r="O1269">
        <f t="shared" si="57"/>
        <v>3</v>
      </c>
      <c r="P1269">
        <f t="shared" si="58"/>
        <v>5.9523809523809521E-3</v>
      </c>
      <c r="Q1269" t="str">
        <f t="shared" si="59"/>
        <v>Q27-03</v>
      </c>
    </row>
    <row r="1270" spans="1:17" x14ac:dyDescent="0.25">
      <c r="A1270" t="s">
        <v>61</v>
      </c>
      <c r="B1270" t="s">
        <v>219</v>
      </c>
      <c r="C1270" t="s">
        <v>220</v>
      </c>
      <c r="D1270" t="s">
        <v>69</v>
      </c>
      <c r="E1270" t="s">
        <v>2738</v>
      </c>
      <c r="F1270" s="1">
        <v>3</v>
      </c>
      <c r="G1270" s="1">
        <v>0</v>
      </c>
      <c r="H1270" t="s">
        <v>17</v>
      </c>
      <c r="I1270" t="s">
        <v>222</v>
      </c>
      <c r="J1270" t="s">
        <v>2728</v>
      </c>
      <c r="K1270" s="3">
        <v>46081</v>
      </c>
      <c r="L1270" t="s">
        <v>224</v>
      </c>
      <c r="M1270">
        <v>0.3</v>
      </c>
      <c r="N1270">
        <v>1680</v>
      </c>
      <c r="O1270">
        <f t="shared" si="57"/>
        <v>0.89999999999999991</v>
      </c>
      <c r="P1270">
        <f t="shared" si="58"/>
        <v>1.7857142857142857E-3</v>
      </c>
      <c r="Q1270" t="str">
        <f t="shared" si="59"/>
        <v>Q27-01</v>
      </c>
    </row>
    <row r="1271" spans="1:17" x14ac:dyDescent="0.25">
      <c r="A1271" t="s">
        <v>61</v>
      </c>
      <c r="B1271" t="s">
        <v>71</v>
      </c>
      <c r="C1271" t="s">
        <v>72</v>
      </c>
      <c r="D1271" t="s">
        <v>2726</v>
      </c>
      <c r="E1271" t="s">
        <v>2739</v>
      </c>
      <c r="F1271" s="1">
        <v>4</v>
      </c>
      <c r="G1271" s="1">
        <v>0</v>
      </c>
      <c r="H1271" t="s">
        <v>17</v>
      </c>
      <c r="I1271" t="s">
        <v>75</v>
      </c>
      <c r="J1271" t="s">
        <v>2728</v>
      </c>
      <c r="K1271" s="3">
        <v>46295</v>
      </c>
      <c r="L1271" t="s">
        <v>1005</v>
      </c>
      <c r="M1271">
        <v>0.3</v>
      </c>
      <c r="N1271">
        <v>1680</v>
      </c>
      <c r="O1271">
        <f t="shared" si="57"/>
        <v>1.2</v>
      </c>
      <c r="P1271">
        <f t="shared" si="58"/>
        <v>2.3809523809523812E-3</v>
      </c>
      <c r="Q1271" t="str">
        <f t="shared" si="59"/>
        <v>Q27-03</v>
      </c>
    </row>
    <row r="1272" spans="1:17" x14ac:dyDescent="0.25">
      <c r="A1272" t="s">
        <v>61</v>
      </c>
      <c r="B1272" t="s">
        <v>71</v>
      </c>
      <c r="C1272" t="s">
        <v>72</v>
      </c>
      <c r="D1272" t="s">
        <v>2726</v>
      </c>
      <c r="E1272" t="s">
        <v>2740</v>
      </c>
      <c r="F1272" s="1">
        <v>4</v>
      </c>
      <c r="G1272" s="1">
        <v>0</v>
      </c>
      <c r="H1272" t="s">
        <v>17</v>
      </c>
      <c r="I1272" t="s">
        <v>75</v>
      </c>
      <c r="J1272" t="s">
        <v>2728</v>
      </c>
      <c r="K1272" s="3">
        <v>46538</v>
      </c>
      <c r="L1272" t="s">
        <v>1900</v>
      </c>
      <c r="M1272">
        <v>0.3</v>
      </c>
      <c r="N1272">
        <v>1680</v>
      </c>
      <c r="O1272">
        <f t="shared" si="57"/>
        <v>1.2</v>
      </c>
      <c r="P1272">
        <f t="shared" si="58"/>
        <v>2.3809523809523812E-3</v>
      </c>
      <c r="Q1272" t="str">
        <f t="shared" si="59"/>
        <v>Q27-03</v>
      </c>
    </row>
    <row r="1273" spans="1:17" x14ac:dyDescent="0.25">
      <c r="A1273" t="s">
        <v>61</v>
      </c>
      <c r="B1273" t="s">
        <v>219</v>
      </c>
      <c r="C1273" t="s">
        <v>220</v>
      </c>
      <c r="D1273" t="s">
        <v>2726</v>
      </c>
      <c r="E1273" t="s">
        <v>2741</v>
      </c>
      <c r="F1273" s="1">
        <v>13</v>
      </c>
      <c r="G1273" s="1">
        <v>0</v>
      </c>
      <c r="H1273" t="s">
        <v>17</v>
      </c>
      <c r="I1273" t="s">
        <v>222</v>
      </c>
      <c r="J1273" t="s">
        <v>2728</v>
      </c>
      <c r="K1273" s="3">
        <v>46234</v>
      </c>
      <c r="L1273" t="s">
        <v>902</v>
      </c>
      <c r="M1273">
        <v>0.3</v>
      </c>
      <c r="N1273">
        <v>1680</v>
      </c>
      <c r="O1273">
        <f t="shared" si="57"/>
        <v>3.9</v>
      </c>
      <c r="P1273">
        <f t="shared" si="58"/>
        <v>7.7380952380952384E-3</v>
      </c>
      <c r="Q1273" t="str">
        <f t="shared" si="59"/>
        <v>Q27-03</v>
      </c>
    </row>
    <row r="1274" spans="1:17" x14ac:dyDescent="0.25">
      <c r="A1274" t="s">
        <v>61</v>
      </c>
      <c r="B1274" t="s">
        <v>456</v>
      </c>
      <c r="C1274" t="s">
        <v>457</v>
      </c>
      <c r="D1274" t="s">
        <v>2726</v>
      </c>
      <c r="E1274" t="s">
        <v>2742</v>
      </c>
      <c r="F1274" s="1">
        <v>9</v>
      </c>
      <c r="G1274" s="1">
        <v>0</v>
      </c>
      <c r="H1274" t="s">
        <v>17</v>
      </c>
      <c r="I1274" t="s">
        <v>459</v>
      </c>
      <c r="J1274" t="s">
        <v>2728</v>
      </c>
      <c r="K1274" s="3">
        <v>46387</v>
      </c>
      <c r="L1274" t="s">
        <v>1213</v>
      </c>
      <c r="M1274">
        <v>0.22600000000000001</v>
      </c>
      <c r="N1274">
        <v>1680</v>
      </c>
      <c r="O1274">
        <f t="shared" si="57"/>
        <v>2.0340000000000003</v>
      </c>
      <c r="P1274">
        <f t="shared" si="58"/>
        <v>5.3571428571428572E-3</v>
      </c>
      <c r="Q1274" t="str">
        <f t="shared" si="59"/>
        <v>Q27-03</v>
      </c>
    </row>
    <row r="1275" spans="1:17" x14ac:dyDescent="0.25">
      <c r="A1275" t="s">
        <v>61</v>
      </c>
      <c r="B1275" t="s">
        <v>456</v>
      </c>
      <c r="C1275" t="s">
        <v>457</v>
      </c>
      <c r="D1275" t="s">
        <v>2726</v>
      </c>
      <c r="E1275" t="s">
        <v>2743</v>
      </c>
      <c r="F1275" s="1">
        <v>5</v>
      </c>
      <c r="G1275" s="1">
        <v>0</v>
      </c>
      <c r="H1275" t="s">
        <v>17</v>
      </c>
      <c r="I1275" t="s">
        <v>459</v>
      </c>
      <c r="J1275" t="s">
        <v>2728</v>
      </c>
      <c r="K1275" s="3">
        <v>46264</v>
      </c>
      <c r="L1275" t="s">
        <v>778</v>
      </c>
      <c r="M1275">
        <v>0.22600000000000001</v>
      </c>
      <c r="N1275">
        <v>1680</v>
      </c>
      <c r="O1275">
        <f t="shared" si="57"/>
        <v>1.1300000000000001</v>
      </c>
      <c r="P1275">
        <f t="shared" si="58"/>
        <v>2.976190476190476E-3</v>
      </c>
      <c r="Q1275" t="str">
        <f t="shared" si="59"/>
        <v>Q27-03</v>
      </c>
    </row>
    <row r="1276" spans="1:17" x14ac:dyDescent="0.25">
      <c r="A1276" t="s">
        <v>61</v>
      </c>
      <c r="B1276" t="s">
        <v>71</v>
      </c>
      <c r="C1276" t="s">
        <v>72</v>
      </c>
      <c r="D1276" t="s">
        <v>2726</v>
      </c>
      <c r="E1276" t="s">
        <v>2744</v>
      </c>
      <c r="F1276" s="1">
        <v>18</v>
      </c>
      <c r="G1276" s="1">
        <v>0</v>
      </c>
      <c r="H1276" t="s">
        <v>17</v>
      </c>
      <c r="I1276" t="s">
        <v>75</v>
      </c>
      <c r="J1276" t="s">
        <v>2728</v>
      </c>
      <c r="K1276" s="3">
        <v>46142</v>
      </c>
      <c r="L1276" t="s">
        <v>534</v>
      </c>
      <c r="M1276">
        <v>0.3</v>
      </c>
      <c r="N1276">
        <v>1680</v>
      </c>
      <c r="O1276">
        <f t="shared" si="57"/>
        <v>5.3999999999999995</v>
      </c>
      <c r="P1276">
        <f t="shared" si="58"/>
        <v>1.0714285714285714E-2</v>
      </c>
      <c r="Q1276" t="str">
        <f t="shared" si="59"/>
        <v>Q27-03</v>
      </c>
    </row>
    <row r="1277" spans="1:17" x14ac:dyDescent="0.25">
      <c r="A1277" t="s">
        <v>61</v>
      </c>
      <c r="B1277" t="s">
        <v>219</v>
      </c>
      <c r="C1277" t="s">
        <v>220</v>
      </c>
      <c r="D1277" t="s">
        <v>2726</v>
      </c>
      <c r="E1277" t="s">
        <v>2745</v>
      </c>
      <c r="F1277" s="1">
        <v>18</v>
      </c>
      <c r="G1277" s="1">
        <v>0</v>
      </c>
      <c r="H1277" t="s">
        <v>17</v>
      </c>
      <c r="I1277" t="s">
        <v>222</v>
      </c>
      <c r="J1277" t="s">
        <v>2728</v>
      </c>
      <c r="K1277" s="3">
        <v>46265</v>
      </c>
      <c r="L1277" t="s">
        <v>1000</v>
      </c>
      <c r="M1277">
        <v>0.3</v>
      </c>
      <c r="N1277">
        <v>1680</v>
      </c>
      <c r="O1277">
        <f t="shared" si="57"/>
        <v>5.3999999999999995</v>
      </c>
      <c r="P1277">
        <f t="shared" si="58"/>
        <v>1.0714285714285714E-2</v>
      </c>
      <c r="Q1277" t="str">
        <f t="shared" si="59"/>
        <v>Q27-03</v>
      </c>
    </row>
    <row r="1278" spans="1:17" x14ac:dyDescent="0.25">
      <c r="A1278" t="s">
        <v>61</v>
      </c>
      <c r="B1278" t="s">
        <v>456</v>
      </c>
      <c r="C1278" t="s">
        <v>457</v>
      </c>
      <c r="D1278" t="s">
        <v>2726</v>
      </c>
      <c r="E1278" t="s">
        <v>2746</v>
      </c>
      <c r="F1278" s="1">
        <v>29</v>
      </c>
      <c r="G1278" s="1">
        <v>0</v>
      </c>
      <c r="H1278" t="s">
        <v>17</v>
      </c>
      <c r="I1278" t="s">
        <v>459</v>
      </c>
      <c r="J1278" t="s">
        <v>2728</v>
      </c>
      <c r="K1278" s="3">
        <v>46203</v>
      </c>
      <c r="L1278" t="s">
        <v>584</v>
      </c>
      <c r="M1278">
        <v>0.22600000000000001</v>
      </c>
      <c r="N1278">
        <v>1680</v>
      </c>
      <c r="O1278">
        <f t="shared" si="57"/>
        <v>6.5540000000000003</v>
      </c>
      <c r="P1278">
        <f t="shared" si="58"/>
        <v>1.7261904761904763E-2</v>
      </c>
      <c r="Q1278" t="str">
        <f t="shared" si="59"/>
        <v>Q27-03</v>
      </c>
    </row>
    <row r="1279" spans="1:17" x14ac:dyDescent="0.25">
      <c r="A1279" t="s">
        <v>61</v>
      </c>
      <c r="B1279" t="s">
        <v>219</v>
      </c>
      <c r="C1279" t="s">
        <v>220</v>
      </c>
      <c r="D1279" t="s">
        <v>2726</v>
      </c>
      <c r="E1279" t="s">
        <v>2747</v>
      </c>
      <c r="F1279" s="1">
        <v>2</v>
      </c>
      <c r="G1279" s="1">
        <v>0</v>
      </c>
      <c r="H1279" t="s">
        <v>17</v>
      </c>
      <c r="I1279" t="s">
        <v>222</v>
      </c>
      <c r="J1279" t="s">
        <v>2728</v>
      </c>
      <c r="K1279" s="3">
        <v>46446</v>
      </c>
      <c r="L1279" t="s">
        <v>1467</v>
      </c>
      <c r="M1279">
        <v>0.3</v>
      </c>
      <c r="N1279">
        <v>1680</v>
      </c>
      <c r="O1279">
        <f t="shared" si="57"/>
        <v>0.6</v>
      </c>
      <c r="P1279">
        <f t="shared" si="58"/>
        <v>1.1904761904761906E-3</v>
      </c>
      <c r="Q1279" t="str">
        <f t="shared" si="59"/>
        <v>Q27-03</v>
      </c>
    </row>
    <row r="1280" spans="1:17" x14ac:dyDescent="0.25">
      <c r="A1280" t="s">
        <v>61</v>
      </c>
      <c r="B1280" t="s">
        <v>456</v>
      </c>
      <c r="C1280" t="s">
        <v>457</v>
      </c>
      <c r="D1280" t="s">
        <v>64</v>
      </c>
      <c r="E1280" t="s">
        <v>2748</v>
      </c>
      <c r="F1280" s="1">
        <v>4</v>
      </c>
      <c r="G1280" s="1">
        <v>0</v>
      </c>
      <c r="H1280" t="s">
        <v>17</v>
      </c>
      <c r="I1280" t="s">
        <v>459</v>
      </c>
      <c r="J1280" t="s">
        <v>2728</v>
      </c>
      <c r="K1280" s="3">
        <v>46112</v>
      </c>
      <c r="L1280" t="s">
        <v>461</v>
      </c>
      <c r="M1280">
        <v>0.22600000000000001</v>
      </c>
      <c r="N1280">
        <v>1680</v>
      </c>
      <c r="O1280">
        <f t="shared" si="57"/>
        <v>0.90400000000000003</v>
      </c>
      <c r="P1280">
        <f t="shared" si="58"/>
        <v>2.3809523809523812E-3</v>
      </c>
      <c r="Q1280" t="str">
        <f t="shared" si="59"/>
        <v>Q27-01</v>
      </c>
    </row>
    <row r="1281" spans="1:17" x14ac:dyDescent="0.25">
      <c r="A1281" t="s">
        <v>61</v>
      </c>
      <c r="B1281" t="s">
        <v>71</v>
      </c>
      <c r="C1281" t="s">
        <v>72</v>
      </c>
      <c r="D1281" t="s">
        <v>2726</v>
      </c>
      <c r="E1281" t="s">
        <v>2749</v>
      </c>
      <c r="F1281" s="1">
        <v>14</v>
      </c>
      <c r="G1281" s="1">
        <v>0</v>
      </c>
      <c r="H1281" t="s">
        <v>17</v>
      </c>
      <c r="I1281" t="s">
        <v>75</v>
      </c>
      <c r="J1281" t="s">
        <v>2728</v>
      </c>
      <c r="K1281" s="3">
        <v>46265</v>
      </c>
      <c r="L1281" t="s">
        <v>949</v>
      </c>
      <c r="M1281">
        <v>0.3</v>
      </c>
      <c r="N1281">
        <v>1680</v>
      </c>
      <c r="O1281">
        <f t="shared" si="57"/>
        <v>4.2</v>
      </c>
      <c r="P1281">
        <f t="shared" si="58"/>
        <v>8.3333333333333332E-3</v>
      </c>
      <c r="Q1281" t="str">
        <f t="shared" si="59"/>
        <v>Q27-03</v>
      </c>
    </row>
    <row r="1282" spans="1:17" x14ac:dyDescent="0.25">
      <c r="A1282" t="s">
        <v>61</v>
      </c>
      <c r="B1282" t="s">
        <v>219</v>
      </c>
      <c r="C1282" t="s">
        <v>220</v>
      </c>
      <c r="D1282" t="s">
        <v>2726</v>
      </c>
      <c r="E1282" t="s">
        <v>2750</v>
      </c>
      <c r="F1282" s="1">
        <v>8</v>
      </c>
      <c r="G1282" s="1">
        <v>0</v>
      </c>
      <c r="H1282" t="s">
        <v>17</v>
      </c>
      <c r="I1282" t="s">
        <v>222</v>
      </c>
      <c r="J1282" t="s">
        <v>2728</v>
      </c>
      <c r="K1282" s="3">
        <v>46477</v>
      </c>
      <c r="L1282" t="s">
        <v>1646</v>
      </c>
      <c r="M1282">
        <v>0.3</v>
      </c>
      <c r="N1282">
        <v>1680</v>
      </c>
      <c r="O1282">
        <f t="shared" si="57"/>
        <v>2.4</v>
      </c>
      <c r="P1282">
        <f t="shared" si="58"/>
        <v>4.7619047619047623E-3</v>
      </c>
      <c r="Q1282" t="str">
        <f t="shared" si="59"/>
        <v>Q27-03</v>
      </c>
    </row>
    <row r="1283" spans="1:17" x14ac:dyDescent="0.25">
      <c r="A1283" t="s">
        <v>61</v>
      </c>
      <c r="B1283" t="s">
        <v>71</v>
      </c>
      <c r="C1283" t="s">
        <v>72</v>
      </c>
      <c r="D1283" t="s">
        <v>2726</v>
      </c>
      <c r="E1283" t="s">
        <v>2751</v>
      </c>
      <c r="F1283" s="1">
        <v>6</v>
      </c>
      <c r="G1283" s="1">
        <v>0</v>
      </c>
      <c r="H1283" t="s">
        <v>17</v>
      </c>
      <c r="I1283" t="s">
        <v>75</v>
      </c>
      <c r="J1283" t="s">
        <v>2728</v>
      </c>
      <c r="K1283" s="3">
        <v>46265</v>
      </c>
      <c r="L1283" t="s">
        <v>2752</v>
      </c>
      <c r="M1283">
        <v>0.3</v>
      </c>
      <c r="N1283">
        <v>1680</v>
      </c>
      <c r="O1283">
        <f t="shared" ref="O1283:O1346" si="60">F1283*M1283</f>
        <v>1.7999999999999998</v>
      </c>
      <c r="P1283">
        <f t="shared" ref="P1283:P1346" si="61">F1283/N1283</f>
        <v>3.5714285714285713E-3</v>
      </c>
      <c r="Q1283" t="str">
        <f t="shared" ref="Q1283:Q1346" si="62">LEFT(D1283,6)</f>
        <v>Q27-03</v>
      </c>
    </row>
    <row r="1284" spans="1:17" x14ac:dyDescent="0.25">
      <c r="A1284" t="s">
        <v>61</v>
      </c>
      <c r="B1284" t="s">
        <v>219</v>
      </c>
      <c r="C1284" t="s">
        <v>220</v>
      </c>
      <c r="D1284" t="s">
        <v>69</v>
      </c>
      <c r="E1284" t="s">
        <v>2753</v>
      </c>
      <c r="F1284" s="1">
        <v>4</v>
      </c>
      <c r="G1284" s="1">
        <v>0</v>
      </c>
      <c r="H1284" t="s">
        <v>17</v>
      </c>
      <c r="I1284" t="s">
        <v>222</v>
      </c>
      <c r="J1284" t="s">
        <v>2728</v>
      </c>
      <c r="K1284" s="3">
        <v>46081</v>
      </c>
      <c r="L1284" t="s">
        <v>539</v>
      </c>
      <c r="M1284">
        <v>0.3</v>
      </c>
      <c r="N1284">
        <v>1680</v>
      </c>
      <c r="O1284">
        <f t="shared" si="60"/>
        <v>1.2</v>
      </c>
      <c r="P1284">
        <f t="shared" si="61"/>
        <v>2.3809523809523812E-3</v>
      </c>
      <c r="Q1284" t="str">
        <f t="shared" si="62"/>
        <v>Q27-01</v>
      </c>
    </row>
    <row r="1285" spans="1:17" x14ac:dyDescent="0.25">
      <c r="A1285" t="s">
        <v>61</v>
      </c>
      <c r="B1285" t="s">
        <v>456</v>
      </c>
      <c r="C1285" t="s">
        <v>457</v>
      </c>
      <c r="D1285" t="s">
        <v>2726</v>
      </c>
      <c r="E1285" t="s">
        <v>2754</v>
      </c>
      <c r="F1285" s="1">
        <v>2</v>
      </c>
      <c r="G1285" s="1">
        <v>0</v>
      </c>
      <c r="H1285" t="s">
        <v>17</v>
      </c>
      <c r="I1285" t="s">
        <v>459</v>
      </c>
      <c r="J1285" t="s">
        <v>2728</v>
      </c>
      <c r="K1285" s="3">
        <v>46295</v>
      </c>
      <c r="L1285" t="s">
        <v>1448</v>
      </c>
      <c r="M1285">
        <v>0.22600000000000001</v>
      </c>
      <c r="N1285">
        <v>1680</v>
      </c>
      <c r="O1285">
        <f t="shared" si="60"/>
        <v>0.45200000000000001</v>
      </c>
      <c r="P1285">
        <f t="shared" si="61"/>
        <v>1.1904761904761906E-3</v>
      </c>
      <c r="Q1285" t="str">
        <f t="shared" si="62"/>
        <v>Q27-03</v>
      </c>
    </row>
    <row r="1286" spans="1:17" x14ac:dyDescent="0.25">
      <c r="A1286" t="s">
        <v>61</v>
      </c>
      <c r="B1286" t="s">
        <v>71</v>
      </c>
      <c r="C1286" t="s">
        <v>72</v>
      </c>
      <c r="D1286" t="s">
        <v>2726</v>
      </c>
      <c r="E1286" t="s">
        <v>2755</v>
      </c>
      <c r="F1286" s="1">
        <v>1</v>
      </c>
      <c r="G1286" s="1">
        <v>0</v>
      </c>
      <c r="H1286" t="s">
        <v>17</v>
      </c>
      <c r="I1286" t="s">
        <v>75</v>
      </c>
      <c r="J1286" t="s">
        <v>2728</v>
      </c>
      <c r="K1286" s="3">
        <v>46599</v>
      </c>
      <c r="L1286" t="s">
        <v>2006</v>
      </c>
      <c r="M1286">
        <v>0.3</v>
      </c>
      <c r="N1286">
        <v>1680</v>
      </c>
      <c r="O1286">
        <f t="shared" si="60"/>
        <v>0.3</v>
      </c>
      <c r="P1286">
        <f t="shared" si="61"/>
        <v>5.9523809523809529E-4</v>
      </c>
      <c r="Q1286" t="str">
        <f t="shared" si="62"/>
        <v>Q27-03</v>
      </c>
    </row>
    <row r="1287" spans="1:17" x14ac:dyDescent="0.25">
      <c r="A1287" t="s">
        <v>61</v>
      </c>
      <c r="B1287" t="s">
        <v>456</v>
      </c>
      <c r="C1287" t="s">
        <v>457</v>
      </c>
      <c r="D1287" t="s">
        <v>2726</v>
      </c>
      <c r="E1287" t="s">
        <v>2756</v>
      </c>
      <c r="F1287" s="1">
        <v>1</v>
      </c>
      <c r="G1287" s="1">
        <v>0</v>
      </c>
      <c r="H1287" t="s">
        <v>17</v>
      </c>
      <c r="I1287" t="s">
        <v>459</v>
      </c>
      <c r="J1287" t="s">
        <v>2728</v>
      </c>
      <c r="K1287" s="3">
        <v>46507</v>
      </c>
      <c r="L1287" t="s">
        <v>2034</v>
      </c>
      <c r="M1287">
        <v>0.22600000000000001</v>
      </c>
      <c r="N1287">
        <v>1680</v>
      </c>
      <c r="O1287">
        <f t="shared" si="60"/>
        <v>0.22600000000000001</v>
      </c>
      <c r="P1287">
        <f t="shared" si="61"/>
        <v>5.9523809523809529E-4</v>
      </c>
      <c r="Q1287" t="str">
        <f t="shared" si="62"/>
        <v>Q27-03</v>
      </c>
    </row>
    <row r="1288" spans="1:17" x14ac:dyDescent="0.25">
      <c r="A1288" t="s">
        <v>61</v>
      </c>
      <c r="B1288" t="s">
        <v>219</v>
      </c>
      <c r="C1288" t="s">
        <v>220</v>
      </c>
      <c r="D1288" t="s">
        <v>69</v>
      </c>
      <c r="E1288" t="s">
        <v>2757</v>
      </c>
      <c r="F1288" s="1">
        <v>1</v>
      </c>
      <c r="G1288" s="1">
        <v>0</v>
      </c>
      <c r="H1288" t="s">
        <v>17</v>
      </c>
      <c r="I1288" t="s">
        <v>222</v>
      </c>
      <c r="J1288" t="s">
        <v>2728</v>
      </c>
      <c r="K1288" s="3">
        <v>46022</v>
      </c>
      <c r="L1288" t="s">
        <v>2424</v>
      </c>
      <c r="M1288">
        <v>0.3</v>
      </c>
      <c r="N1288">
        <v>1680</v>
      </c>
      <c r="O1288">
        <f t="shared" si="60"/>
        <v>0.3</v>
      </c>
      <c r="P1288">
        <f t="shared" si="61"/>
        <v>5.9523809523809529E-4</v>
      </c>
      <c r="Q1288" t="str">
        <f t="shared" si="62"/>
        <v>Q27-01</v>
      </c>
    </row>
    <row r="1289" spans="1:17" x14ac:dyDescent="0.25">
      <c r="A1289" t="s">
        <v>61</v>
      </c>
      <c r="B1289" t="s">
        <v>456</v>
      </c>
      <c r="C1289" t="s">
        <v>457</v>
      </c>
      <c r="D1289" t="s">
        <v>2726</v>
      </c>
      <c r="E1289" t="s">
        <v>2758</v>
      </c>
      <c r="F1289" s="1">
        <v>10</v>
      </c>
      <c r="G1289" s="1">
        <v>0</v>
      </c>
      <c r="H1289" t="s">
        <v>17</v>
      </c>
      <c r="I1289" t="s">
        <v>459</v>
      </c>
      <c r="J1289" t="s">
        <v>2728</v>
      </c>
      <c r="K1289" s="3">
        <v>46142</v>
      </c>
      <c r="L1289" t="s">
        <v>616</v>
      </c>
      <c r="M1289">
        <v>0.22600000000000001</v>
      </c>
      <c r="N1289">
        <v>1680</v>
      </c>
      <c r="O1289">
        <f t="shared" si="60"/>
        <v>2.2600000000000002</v>
      </c>
      <c r="P1289">
        <f t="shared" si="61"/>
        <v>5.9523809523809521E-3</v>
      </c>
      <c r="Q1289" t="str">
        <f t="shared" si="62"/>
        <v>Q27-03</v>
      </c>
    </row>
    <row r="1290" spans="1:17" x14ac:dyDescent="0.25">
      <c r="A1290" t="s">
        <v>61</v>
      </c>
      <c r="B1290" t="s">
        <v>317</v>
      </c>
      <c r="C1290" t="s">
        <v>318</v>
      </c>
      <c r="D1290" t="s">
        <v>2726</v>
      </c>
      <c r="E1290" t="s">
        <v>2759</v>
      </c>
      <c r="F1290" s="1">
        <v>3</v>
      </c>
      <c r="G1290" s="1">
        <v>0</v>
      </c>
      <c r="H1290" t="s">
        <v>17</v>
      </c>
      <c r="I1290" t="s">
        <v>320</v>
      </c>
      <c r="J1290" t="s">
        <v>2728</v>
      </c>
      <c r="K1290" s="3">
        <v>46173</v>
      </c>
      <c r="L1290" t="s">
        <v>321</v>
      </c>
      <c r="M1290">
        <v>0.04</v>
      </c>
      <c r="N1290">
        <v>2688</v>
      </c>
      <c r="O1290">
        <f t="shared" si="60"/>
        <v>0.12</v>
      </c>
      <c r="P1290">
        <f t="shared" si="61"/>
        <v>1.1160714285714285E-3</v>
      </c>
      <c r="Q1290" t="str">
        <f t="shared" si="62"/>
        <v>Q27-03</v>
      </c>
    </row>
    <row r="1291" spans="1:17" x14ac:dyDescent="0.25">
      <c r="A1291" t="s">
        <v>61</v>
      </c>
      <c r="B1291" t="s">
        <v>71</v>
      </c>
      <c r="C1291" t="s">
        <v>72</v>
      </c>
      <c r="D1291" t="s">
        <v>2726</v>
      </c>
      <c r="E1291" t="s">
        <v>2760</v>
      </c>
      <c r="F1291" s="1">
        <v>7</v>
      </c>
      <c r="G1291" s="1">
        <v>0</v>
      </c>
      <c r="H1291" t="s">
        <v>17</v>
      </c>
      <c r="I1291" t="s">
        <v>75</v>
      </c>
      <c r="J1291" t="s">
        <v>2728</v>
      </c>
      <c r="K1291" s="3">
        <v>46142</v>
      </c>
      <c r="L1291" t="s">
        <v>561</v>
      </c>
      <c r="M1291">
        <v>0.3</v>
      </c>
      <c r="N1291">
        <v>1680</v>
      </c>
      <c r="O1291">
        <f t="shared" si="60"/>
        <v>2.1</v>
      </c>
      <c r="P1291">
        <f t="shared" si="61"/>
        <v>4.1666666666666666E-3</v>
      </c>
      <c r="Q1291" t="str">
        <f t="shared" si="62"/>
        <v>Q27-03</v>
      </c>
    </row>
    <row r="1292" spans="1:17" x14ac:dyDescent="0.25">
      <c r="A1292" t="s">
        <v>61</v>
      </c>
      <c r="B1292" t="s">
        <v>233</v>
      </c>
      <c r="C1292" t="s">
        <v>234</v>
      </c>
      <c r="D1292" t="s">
        <v>2726</v>
      </c>
      <c r="E1292" t="s">
        <v>2761</v>
      </c>
      <c r="F1292" s="1">
        <v>17</v>
      </c>
      <c r="G1292" s="1">
        <v>0</v>
      </c>
      <c r="H1292" t="s">
        <v>17</v>
      </c>
      <c r="I1292" t="s">
        <v>236</v>
      </c>
      <c r="J1292" t="s">
        <v>2728</v>
      </c>
      <c r="K1292" s="3">
        <v>46142</v>
      </c>
      <c r="L1292" t="s">
        <v>250</v>
      </c>
      <c r="M1292">
        <v>7.4999999999999997E-2</v>
      </c>
      <c r="N1292">
        <v>2688</v>
      </c>
      <c r="O1292">
        <f t="shared" si="60"/>
        <v>1.2749999999999999</v>
      </c>
      <c r="P1292">
        <f t="shared" si="61"/>
        <v>6.324404761904762E-3</v>
      </c>
      <c r="Q1292" t="str">
        <f t="shared" si="62"/>
        <v>Q27-03</v>
      </c>
    </row>
    <row r="1293" spans="1:17" x14ac:dyDescent="0.25">
      <c r="A1293" t="s">
        <v>61</v>
      </c>
      <c r="B1293" t="s">
        <v>364</v>
      </c>
      <c r="C1293" t="s">
        <v>365</v>
      </c>
      <c r="D1293" t="s">
        <v>2726</v>
      </c>
      <c r="E1293" t="s">
        <v>2762</v>
      </c>
      <c r="F1293" s="1">
        <v>2</v>
      </c>
      <c r="G1293" s="1">
        <v>0</v>
      </c>
      <c r="H1293" t="s">
        <v>17</v>
      </c>
      <c r="I1293" t="s">
        <v>367</v>
      </c>
      <c r="J1293" t="s">
        <v>2728</v>
      </c>
      <c r="K1293" s="3">
        <v>46356</v>
      </c>
      <c r="L1293" t="s">
        <v>419</v>
      </c>
      <c r="M1293">
        <v>0.158</v>
      </c>
      <c r="N1293">
        <v>1152</v>
      </c>
      <c r="O1293">
        <f t="shared" si="60"/>
        <v>0.316</v>
      </c>
      <c r="P1293">
        <f t="shared" si="61"/>
        <v>1.736111111111111E-3</v>
      </c>
      <c r="Q1293" t="str">
        <f t="shared" si="62"/>
        <v>Q27-03</v>
      </c>
    </row>
    <row r="1294" spans="1:17" x14ac:dyDescent="0.25">
      <c r="A1294" t="s">
        <v>61</v>
      </c>
      <c r="B1294" t="s">
        <v>166</v>
      </c>
      <c r="C1294" t="s">
        <v>167</v>
      </c>
      <c r="D1294" t="s">
        <v>2726</v>
      </c>
      <c r="E1294" t="s">
        <v>2763</v>
      </c>
      <c r="F1294" s="1">
        <v>4</v>
      </c>
      <c r="G1294" s="1">
        <v>0</v>
      </c>
      <c r="H1294" t="s">
        <v>17</v>
      </c>
      <c r="I1294" t="s">
        <v>170</v>
      </c>
      <c r="J1294" t="s">
        <v>2728</v>
      </c>
      <c r="K1294" s="3">
        <v>46446</v>
      </c>
      <c r="L1294" t="s">
        <v>907</v>
      </c>
      <c r="M1294">
        <v>9.2999999999999999E-2</v>
      </c>
      <c r="N1294">
        <v>1536</v>
      </c>
      <c r="O1294">
        <f t="shared" si="60"/>
        <v>0.372</v>
      </c>
      <c r="P1294">
        <f t="shared" si="61"/>
        <v>2.6041666666666665E-3</v>
      </c>
      <c r="Q1294" t="str">
        <f t="shared" si="62"/>
        <v>Q27-03</v>
      </c>
    </row>
    <row r="1295" spans="1:17" x14ac:dyDescent="0.25">
      <c r="A1295" t="s">
        <v>61</v>
      </c>
      <c r="B1295" t="s">
        <v>233</v>
      </c>
      <c r="C1295" t="s">
        <v>234</v>
      </c>
      <c r="D1295" t="s">
        <v>64</v>
      </c>
      <c r="E1295" t="s">
        <v>2764</v>
      </c>
      <c r="F1295" s="1">
        <v>1</v>
      </c>
      <c r="G1295" s="1">
        <v>0</v>
      </c>
      <c r="H1295" t="s">
        <v>17</v>
      </c>
      <c r="I1295" t="s">
        <v>236</v>
      </c>
      <c r="J1295" t="s">
        <v>2728</v>
      </c>
      <c r="K1295" s="3">
        <v>46053</v>
      </c>
      <c r="L1295" t="s">
        <v>273</v>
      </c>
      <c r="M1295">
        <v>7.4999999999999997E-2</v>
      </c>
      <c r="N1295">
        <v>2688</v>
      </c>
      <c r="O1295">
        <f t="shared" si="60"/>
        <v>7.4999999999999997E-2</v>
      </c>
      <c r="P1295">
        <f t="shared" si="61"/>
        <v>3.720238095238095E-4</v>
      </c>
      <c r="Q1295" t="str">
        <f t="shared" si="62"/>
        <v>Q27-01</v>
      </c>
    </row>
    <row r="1296" spans="1:17" x14ac:dyDescent="0.25">
      <c r="A1296" t="s">
        <v>61</v>
      </c>
      <c r="B1296" t="s">
        <v>233</v>
      </c>
      <c r="C1296" t="s">
        <v>234</v>
      </c>
      <c r="D1296" t="s">
        <v>2726</v>
      </c>
      <c r="E1296" t="s">
        <v>2765</v>
      </c>
      <c r="F1296" s="1">
        <v>2</v>
      </c>
      <c r="G1296" s="1">
        <v>0</v>
      </c>
      <c r="H1296" t="s">
        <v>17</v>
      </c>
      <c r="I1296" t="s">
        <v>236</v>
      </c>
      <c r="J1296" t="s">
        <v>2728</v>
      </c>
      <c r="K1296" s="3">
        <v>47057</v>
      </c>
      <c r="L1296" t="s">
        <v>1156</v>
      </c>
      <c r="M1296">
        <v>7.4999999999999997E-2</v>
      </c>
      <c r="N1296">
        <v>2688</v>
      </c>
      <c r="O1296">
        <f t="shared" si="60"/>
        <v>0.15</v>
      </c>
      <c r="P1296">
        <f t="shared" si="61"/>
        <v>7.4404761904761901E-4</v>
      </c>
      <c r="Q1296" t="str">
        <f t="shared" si="62"/>
        <v>Q27-03</v>
      </c>
    </row>
    <row r="1297" spans="1:17" x14ac:dyDescent="0.25">
      <c r="A1297" t="s">
        <v>61</v>
      </c>
      <c r="B1297" t="s">
        <v>71</v>
      </c>
      <c r="C1297" t="s">
        <v>72</v>
      </c>
      <c r="D1297" t="s">
        <v>2726</v>
      </c>
      <c r="E1297" t="s">
        <v>2766</v>
      </c>
      <c r="F1297" s="1">
        <v>5</v>
      </c>
      <c r="G1297" s="1">
        <v>0</v>
      </c>
      <c r="H1297" t="s">
        <v>17</v>
      </c>
      <c r="I1297" t="s">
        <v>75</v>
      </c>
      <c r="J1297" t="s">
        <v>2728</v>
      </c>
      <c r="K1297" s="3">
        <v>46477</v>
      </c>
      <c r="L1297" t="s">
        <v>1778</v>
      </c>
      <c r="M1297">
        <v>0.3</v>
      </c>
      <c r="N1297">
        <v>1680</v>
      </c>
      <c r="O1297">
        <f t="shared" si="60"/>
        <v>1.5</v>
      </c>
      <c r="P1297">
        <f t="shared" si="61"/>
        <v>2.976190476190476E-3</v>
      </c>
      <c r="Q1297" t="str">
        <f t="shared" si="62"/>
        <v>Q27-03</v>
      </c>
    </row>
    <row r="1298" spans="1:17" x14ac:dyDescent="0.25">
      <c r="A1298" t="s">
        <v>61</v>
      </c>
      <c r="B1298" t="s">
        <v>456</v>
      </c>
      <c r="C1298" t="s">
        <v>457</v>
      </c>
      <c r="D1298" t="s">
        <v>2726</v>
      </c>
      <c r="E1298" t="s">
        <v>2767</v>
      </c>
      <c r="F1298" s="1">
        <v>2</v>
      </c>
      <c r="G1298" s="1">
        <v>0</v>
      </c>
      <c r="H1298" t="s">
        <v>17</v>
      </c>
      <c r="I1298" t="s">
        <v>459</v>
      </c>
      <c r="J1298" t="s">
        <v>2728</v>
      </c>
      <c r="K1298" s="3">
        <v>46234</v>
      </c>
      <c r="L1298" t="s">
        <v>768</v>
      </c>
      <c r="M1298">
        <v>0.22600000000000001</v>
      </c>
      <c r="N1298">
        <v>1680</v>
      </c>
      <c r="O1298">
        <f t="shared" si="60"/>
        <v>0.45200000000000001</v>
      </c>
      <c r="P1298">
        <f t="shared" si="61"/>
        <v>1.1904761904761906E-3</v>
      </c>
      <c r="Q1298" t="str">
        <f t="shared" si="62"/>
        <v>Q27-03</v>
      </c>
    </row>
    <row r="1299" spans="1:17" x14ac:dyDescent="0.25">
      <c r="A1299" t="s">
        <v>61</v>
      </c>
      <c r="B1299" t="s">
        <v>317</v>
      </c>
      <c r="C1299" t="s">
        <v>318</v>
      </c>
      <c r="D1299" t="s">
        <v>2726</v>
      </c>
      <c r="E1299" t="s">
        <v>2768</v>
      </c>
      <c r="F1299" s="1">
        <v>3</v>
      </c>
      <c r="G1299" s="1">
        <v>0</v>
      </c>
      <c r="H1299" t="s">
        <v>17</v>
      </c>
      <c r="I1299" t="s">
        <v>320</v>
      </c>
      <c r="J1299" t="s">
        <v>2728</v>
      </c>
      <c r="K1299" s="3">
        <v>46538</v>
      </c>
      <c r="L1299" t="s">
        <v>697</v>
      </c>
      <c r="M1299">
        <v>0.04</v>
      </c>
      <c r="N1299">
        <v>2688</v>
      </c>
      <c r="O1299">
        <f t="shared" si="60"/>
        <v>0.12</v>
      </c>
      <c r="P1299">
        <f t="shared" si="61"/>
        <v>1.1160714285714285E-3</v>
      </c>
      <c r="Q1299" t="str">
        <f t="shared" si="62"/>
        <v>Q27-03</v>
      </c>
    </row>
    <row r="1300" spans="1:17" x14ac:dyDescent="0.25">
      <c r="A1300" t="s">
        <v>61</v>
      </c>
      <c r="B1300" t="s">
        <v>317</v>
      </c>
      <c r="C1300" t="s">
        <v>318</v>
      </c>
      <c r="D1300" t="s">
        <v>2726</v>
      </c>
      <c r="E1300" t="s">
        <v>2769</v>
      </c>
      <c r="F1300" s="1">
        <v>4</v>
      </c>
      <c r="G1300" s="1">
        <v>0</v>
      </c>
      <c r="H1300" t="s">
        <v>17</v>
      </c>
      <c r="I1300" t="s">
        <v>320</v>
      </c>
      <c r="J1300" t="s">
        <v>2728</v>
      </c>
      <c r="K1300" s="3">
        <v>46568</v>
      </c>
      <c r="L1300" t="s">
        <v>1622</v>
      </c>
      <c r="M1300">
        <v>0.04</v>
      </c>
      <c r="N1300">
        <v>2688</v>
      </c>
      <c r="O1300">
        <f t="shared" si="60"/>
        <v>0.16</v>
      </c>
      <c r="P1300">
        <f t="shared" si="61"/>
        <v>1.488095238095238E-3</v>
      </c>
      <c r="Q1300" t="str">
        <f t="shared" si="62"/>
        <v>Q27-03</v>
      </c>
    </row>
    <row r="1301" spans="1:17" x14ac:dyDescent="0.25">
      <c r="A1301" t="s">
        <v>61</v>
      </c>
      <c r="B1301" t="s">
        <v>233</v>
      </c>
      <c r="C1301" t="s">
        <v>234</v>
      </c>
      <c r="D1301" t="s">
        <v>2726</v>
      </c>
      <c r="E1301" t="s">
        <v>2770</v>
      </c>
      <c r="F1301" s="1">
        <v>2</v>
      </c>
      <c r="G1301" s="1">
        <v>0</v>
      </c>
      <c r="H1301" t="s">
        <v>17</v>
      </c>
      <c r="I1301" t="s">
        <v>236</v>
      </c>
      <c r="J1301" t="s">
        <v>2728</v>
      </c>
      <c r="K1301" s="3">
        <v>47057</v>
      </c>
      <c r="L1301" t="s">
        <v>1154</v>
      </c>
      <c r="M1301">
        <v>7.4999999999999997E-2</v>
      </c>
      <c r="N1301">
        <v>2688</v>
      </c>
      <c r="O1301">
        <f t="shared" si="60"/>
        <v>0.15</v>
      </c>
      <c r="P1301">
        <f t="shared" si="61"/>
        <v>7.4404761904761901E-4</v>
      </c>
      <c r="Q1301" t="str">
        <f t="shared" si="62"/>
        <v>Q27-03</v>
      </c>
    </row>
    <row r="1302" spans="1:17" x14ac:dyDescent="0.25">
      <c r="A1302" t="s">
        <v>61</v>
      </c>
      <c r="B1302" t="s">
        <v>166</v>
      </c>
      <c r="C1302" t="s">
        <v>167</v>
      </c>
      <c r="D1302" t="s">
        <v>2726</v>
      </c>
      <c r="E1302" t="s">
        <v>2771</v>
      </c>
      <c r="F1302" s="1">
        <v>2</v>
      </c>
      <c r="G1302" s="1">
        <v>0</v>
      </c>
      <c r="H1302" t="s">
        <v>17</v>
      </c>
      <c r="I1302" t="s">
        <v>170</v>
      </c>
      <c r="J1302" t="s">
        <v>2728</v>
      </c>
      <c r="K1302" s="3">
        <v>46660</v>
      </c>
      <c r="L1302" t="s">
        <v>1343</v>
      </c>
      <c r="M1302">
        <v>9.2999999999999999E-2</v>
      </c>
      <c r="N1302">
        <v>1536</v>
      </c>
      <c r="O1302">
        <f t="shared" si="60"/>
        <v>0.186</v>
      </c>
      <c r="P1302">
        <f t="shared" si="61"/>
        <v>1.3020833333333333E-3</v>
      </c>
      <c r="Q1302" t="str">
        <f t="shared" si="62"/>
        <v>Q27-03</v>
      </c>
    </row>
    <row r="1303" spans="1:17" x14ac:dyDescent="0.25">
      <c r="A1303" t="s">
        <v>61</v>
      </c>
      <c r="B1303" t="s">
        <v>233</v>
      </c>
      <c r="C1303" t="s">
        <v>234</v>
      </c>
      <c r="D1303" t="s">
        <v>2726</v>
      </c>
      <c r="E1303" t="s">
        <v>2772</v>
      </c>
      <c r="F1303" s="1">
        <v>2</v>
      </c>
      <c r="G1303" s="1">
        <v>0</v>
      </c>
      <c r="H1303" t="s">
        <v>17</v>
      </c>
      <c r="I1303" t="s">
        <v>236</v>
      </c>
      <c r="J1303" t="s">
        <v>2728</v>
      </c>
      <c r="K1303" s="3">
        <v>46599</v>
      </c>
      <c r="L1303" t="s">
        <v>246</v>
      </c>
      <c r="M1303">
        <v>7.4999999999999997E-2</v>
      </c>
      <c r="N1303">
        <v>2688</v>
      </c>
      <c r="O1303">
        <f t="shared" si="60"/>
        <v>0.15</v>
      </c>
      <c r="P1303">
        <f t="shared" si="61"/>
        <v>7.4404761904761901E-4</v>
      </c>
      <c r="Q1303" t="str">
        <f t="shared" si="62"/>
        <v>Q27-03</v>
      </c>
    </row>
    <row r="1304" spans="1:17" x14ac:dyDescent="0.25">
      <c r="A1304" t="s">
        <v>61</v>
      </c>
      <c r="B1304" t="s">
        <v>166</v>
      </c>
      <c r="C1304" t="s">
        <v>167</v>
      </c>
      <c r="D1304" t="s">
        <v>69</v>
      </c>
      <c r="E1304" t="s">
        <v>2773</v>
      </c>
      <c r="F1304" s="1">
        <v>2</v>
      </c>
      <c r="G1304" s="1">
        <v>0</v>
      </c>
      <c r="H1304" t="s">
        <v>17</v>
      </c>
      <c r="I1304" t="s">
        <v>170</v>
      </c>
      <c r="J1304" t="s">
        <v>2728</v>
      </c>
      <c r="K1304" s="3">
        <v>46112</v>
      </c>
      <c r="L1304" t="s">
        <v>172</v>
      </c>
      <c r="M1304">
        <v>9.2999999999999999E-2</v>
      </c>
      <c r="N1304">
        <v>1536</v>
      </c>
      <c r="O1304">
        <f t="shared" si="60"/>
        <v>0.186</v>
      </c>
      <c r="P1304">
        <f t="shared" si="61"/>
        <v>1.3020833333333333E-3</v>
      </c>
      <c r="Q1304" t="str">
        <f t="shared" si="62"/>
        <v>Q27-01</v>
      </c>
    </row>
    <row r="1305" spans="1:17" x14ac:dyDescent="0.25">
      <c r="A1305" t="s">
        <v>61</v>
      </c>
      <c r="B1305" t="s">
        <v>364</v>
      </c>
      <c r="C1305" t="s">
        <v>365</v>
      </c>
      <c r="D1305" t="s">
        <v>2726</v>
      </c>
      <c r="E1305" t="s">
        <v>2774</v>
      </c>
      <c r="F1305" s="1">
        <v>1</v>
      </c>
      <c r="G1305" s="1">
        <v>0</v>
      </c>
      <c r="H1305" t="s">
        <v>17</v>
      </c>
      <c r="I1305" t="s">
        <v>367</v>
      </c>
      <c r="J1305" t="s">
        <v>2728</v>
      </c>
      <c r="K1305" s="3">
        <v>46326</v>
      </c>
      <c r="L1305" t="s">
        <v>368</v>
      </c>
      <c r="M1305">
        <v>0.158</v>
      </c>
      <c r="N1305">
        <v>1152</v>
      </c>
      <c r="O1305">
        <f t="shared" si="60"/>
        <v>0.158</v>
      </c>
      <c r="P1305">
        <f t="shared" si="61"/>
        <v>8.6805555555555551E-4</v>
      </c>
      <c r="Q1305" t="str">
        <f t="shared" si="62"/>
        <v>Q27-03</v>
      </c>
    </row>
    <row r="1306" spans="1:17" x14ac:dyDescent="0.25">
      <c r="A1306" t="s">
        <v>61</v>
      </c>
      <c r="B1306" t="s">
        <v>317</v>
      </c>
      <c r="C1306" t="s">
        <v>318</v>
      </c>
      <c r="D1306" t="s">
        <v>2726</v>
      </c>
      <c r="E1306" t="s">
        <v>2775</v>
      </c>
      <c r="F1306" s="1">
        <v>1</v>
      </c>
      <c r="G1306" s="1">
        <v>0</v>
      </c>
      <c r="H1306" t="s">
        <v>17</v>
      </c>
      <c r="I1306" t="s">
        <v>320</v>
      </c>
      <c r="J1306" t="s">
        <v>2728</v>
      </c>
      <c r="K1306" s="3">
        <v>46507</v>
      </c>
      <c r="L1306" t="s">
        <v>683</v>
      </c>
      <c r="M1306">
        <v>0.04</v>
      </c>
      <c r="N1306">
        <v>2688</v>
      </c>
      <c r="O1306">
        <f t="shared" si="60"/>
        <v>0.04</v>
      </c>
      <c r="P1306">
        <f t="shared" si="61"/>
        <v>3.720238095238095E-4</v>
      </c>
      <c r="Q1306" t="str">
        <f t="shared" si="62"/>
        <v>Q27-03</v>
      </c>
    </row>
    <row r="1307" spans="1:17" x14ac:dyDescent="0.25">
      <c r="A1307" t="s">
        <v>61</v>
      </c>
      <c r="B1307" t="s">
        <v>317</v>
      </c>
      <c r="C1307" t="s">
        <v>318</v>
      </c>
      <c r="D1307" t="s">
        <v>2726</v>
      </c>
      <c r="E1307" t="s">
        <v>2776</v>
      </c>
      <c r="F1307" s="1">
        <v>7</v>
      </c>
      <c r="G1307" s="1">
        <v>0</v>
      </c>
      <c r="H1307" t="s">
        <v>17</v>
      </c>
      <c r="I1307" t="s">
        <v>320</v>
      </c>
      <c r="J1307" t="s">
        <v>2728</v>
      </c>
      <c r="K1307" s="3">
        <v>46721</v>
      </c>
      <c r="L1307" t="s">
        <v>1636</v>
      </c>
      <c r="M1307">
        <v>0.04</v>
      </c>
      <c r="N1307">
        <v>2688</v>
      </c>
      <c r="O1307">
        <f t="shared" si="60"/>
        <v>0.28000000000000003</v>
      </c>
      <c r="P1307">
        <f t="shared" si="61"/>
        <v>2.6041666666666665E-3</v>
      </c>
      <c r="Q1307" t="str">
        <f t="shared" si="62"/>
        <v>Q27-03</v>
      </c>
    </row>
    <row r="1308" spans="1:17" x14ac:dyDescent="0.25">
      <c r="A1308" t="s">
        <v>61</v>
      </c>
      <c r="B1308" t="s">
        <v>225</v>
      </c>
      <c r="C1308" t="s">
        <v>226</v>
      </c>
      <c r="D1308" t="s">
        <v>2726</v>
      </c>
      <c r="E1308" t="s">
        <v>2777</v>
      </c>
      <c r="F1308" s="1">
        <v>1</v>
      </c>
      <c r="G1308" s="1">
        <v>0</v>
      </c>
      <c r="H1308" t="s">
        <v>17</v>
      </c>
      <c r="I1308" t="s">
        <v>228</v>
      </c>
      <c r="J1308" t="s">
        <v>2728</v>
      </c>
      <c r="K1308" s="3">
        <v>46387</v>
      </c>
      <c r="L1308" t="s">
        <v>1233</v>
      </c>
      <c r="M1308">
        <v>5.8000000000000003E-2</v>
      </c>
      <c r="N1308">
        <v>2880</v>
      </c>
      <c r="O1308">
        <f t="shared" si="60"/>
        <v>5.8000000000000003E-2</v>
      </c>
      <c r="P1308">
        <f t="shared" si="61"/>
        <v>3.4722222222222224E-4</v>
      </c>
      <c r="Q1308" t="str">
        <f t="shared" si="62"/>
        <v>Q27-03</v>
      </c>
    </row>
    <row r="1309" spans="1:17" x14ac:dyDescent="0.25">
      <c r="A1309" t="s">
        <v>61</v>
      </c>
      <c r="B1309" t="s">
        <v>1523</v>
      </c>
      <c r="C1309" t="s">
        <v>1524</v>
      </c>
      <c r="D1309" t="s">
        <v>2726</v>
      </c>
      <c r="E1309" t="s">
        <v>2778</v>
      </c>
      <c r="F1309" s="1">
        <v>96</v>
      </c>
      <c r="G1309" s="1">
        <v>0</v>
      </c>
      <c r="H1309" t="s">
        <v>17</v>
      </c>
      <c r="I1309" t="s">
        <v>1526</v>
      </c>
      <c r="J1309" t="s">
        <v>2728</v>
      </c>
      <c r="K1309" s="3">
        <v>46142</v>
      </c>
      <c r="L1309" t="s">
        <v>1527</v>
      </c>
      <c r="M1309">
        <v>4.9000000000000002E-2</v>
      </c>
      <c r="N1309">
        <v>2880</v>
      </c>
      <c r="O1309">
        <f t="shared" si="60"/>
        <v>4.7040000000000006</v>
      </c>
      <c r="P1309">
        <f t="shared" si="61"/>
        <v>3.3333333333333333E-2</v>
      </c>
      <c r="Q1309" t="str">
        <f t="shared" si="62"/>
        <v>Q27-03</v>
      </c>
    </row>
    <row r="1310" spans="1:17" x14ac:dyDescent="0.25">
      <c r="A1310" t="s">
        <v>61</v>
      </c>
      <c r="B1310" t="s">
        <v>352</v>
      </c>
      <c r="C1310" t="s">
        <v>353</v>
      </c>
      <c r="D1310" t="s">
        <v>2726</v>
      </c>
      <c r="E1310" t="s">
        <v>2779</v>
      </c>
      <c r="F1310" s="1">
        <v>136</v>
      </c>
      <c r="G1310" s="1">
        <v>0</v>
      </c>
      <c r="H1310" t="s">
        <v>17</v>
      </c>
      <c r="I1310" t="s">
        <v>355</v>
      </c>
      <c r="J1310" t="s">
        <v>2728</v>
      </c>
      <c r="K1310" s="3">
        <v>46234</v>
      </c>
      <c r="L1310" t="s">
        <v>357</v>
      </c>
      <c r="M1310">
        <v>5.0999999999999997E-2</v>
      </c>
      <c r="N1310">
        <v>2880</v>
      </c>
      <c r="O1310">
        <f t="shared" si="60"/>
        <v>6.9359999999999999</v>
      </c>
      <c r="P1310">
        <f t="shared" si="61"/>
        <v>4.7222222222222221E-2</v>
      </c>
      <c r="Q1310" t="str">
        <f t="shared" si="62"/>
        <v>Q27-03</v>
      </c>
    </row>
    <row r="1311" spans="1:17" x14ac:dyDescent="0.25">
      <c r="A1311" t="s">
        <v>61</v>
      </c>
      <c r="B1311" t="s">
        <v>281</v>
      </c>
      <c r="C1311" t="s">
        <v>282</v>
      </c>
      <c r="D1311" t="s">
        <v>2726</v>
      </c>
      <c r="E1311" t="s">
        <v>2780</v>
      </c>
      <c r="F1311" s="1">
        <v>75</v>
      </c>
      <c r="G1311" s="1">
        <v>0</v>
      </c>
      <c r="H1311" t="s">
        <v>17</v>
      </c>
      <c r="I1311" t="s">
        <v>284</v>
      </c>
      <c r="J1311" t="s">
        <v>2728</v>
      </c>
      <c r="K1311" s="3">
        <v>46173</v>
      </c>
      <c r="L1311" t="s">
        <v>298</v>
      </c>
      <c r="M1311">
        <v>6.8000000000000005E-2</v>
      </c>
      <c r="N1311">
        <v>2240</v>
      </c>
      <c r="O1311">
        <f t="shared" si="60"/>
        <v>5.1000000000000005</v>
      </c>
      <c r="P1311">
        <f t="shared" si="61"/>
        <v>3.3482142857142856E-2</v>
      </c>
      <c r="Q1311" t="str">
        <f t="shared" si="62"/>
        <v>Q27-03</v>
      </c>
    </row>
    <row r="1312" spans="1:17" x14ac:dyDescent="0.25">
      <c r="A1312" t="s">
        <v>61</v>
      </c>
      <c r="B1312" t="s">
        <v>166</v>
      </c>
      <c r="C1312" t="s">
        <v>167</v>
      </c>
      <c r="D1312" t="s">
        <v>2726</v>
      </c>
      <c r="E1312" t="s">
        <v>2781</v>
      </c>
      <c r="F1312" s="1">
        <v>29</v>
      </c>
      <c r="G1312" s="1">
        <v>0</v>
      </c>
      <c r="H1312" t="s">
        <v>17</v>
      </c>
      <c r="I1312" t="s">
        <v>170</v>
      </c>
      <c r="J1312" t="s">
        <v>2728</v>
      </c>
      <c r="K1312" s="3">
        <v>46173</v>
      </c>
      <c r="L1312" t="s">
        <v>214</v>
      </c>
      <c r="M1312">
        <v>9.2999999999999999E-2</v>
      </c>
      <c r="N1312">
        <v>1536</v>
      </c>
      <c r="O1312">
        <f t="shared" si="60"/>
        <v>2.6970000000000001</v>
      </c>
      <c r="P1312">
        <f t="shared" si="61"/>
        <v>1.8880208333333332E-2</v>
      </c>
      <c r="Q1312" t="str">
        <f t="shared" si="62"/>
        <v>Q27-03</v>
      </c>
    </row>
    <row r="1313" spans="1:17" x14ac:dyDescent="0.25">
      <c r="A1313" t="s">
        <v>61</v>
      </c>
      <c r="B1313" t="s">
        <v>281</v>
      </c>
      <c r="C1313" t="s">
        <v>282</v>
      </c>
      <c r="D1313" t="s">
        <v>2726</v>
      </c>
      <c r="E1313" t="s">
        <v>2782</v>
      </c>
      <c r="F1313" s="1">
        <v>1</v>
      </c>
      <c r="G1313" s="1">
        <v>0</v>
      </c>
      <c r="H1313" t="s">
        <v>17</v>
      </c>
      <c r="I1313" t="s">
        <v>284</v>
      </c>
      <c r="J1313" t="s">
        <v>2728</v>
      </c>
      <c r="K1313" s="3">
        <v>46265</v>
      </c>
      <c r="L1313" t="s">
        <v>304</v>
      </c>
      <c r="M1313">
        <v>6.8000000000000005E-2</v>
      </c>
      <c r="N1313">
        <v>2240</v>
      </c>
      <c r="O1313">
        <f t="shared" si="60"/>
        <v>6.8000000000000005E-2</v>
      </c>
      <c r="P1313">
        <f t="shared" si="61"/>
        <v>4.4642857142857141E-4</v>
      </c>
      <c r="Q1313" t="str">
        <f t="shared" si="62"/>
        <v>Q27-03</v>
      </c>
    </row>
    <row r="1314" spans="1:17" x14ac:dyDescent="0.25">
      <c r="A1314" t="s">
        <v>61</v>
      </c>
      <c r="B1314" t="s">
        <v>364</v>
      </c>
      <c r="C1314" t="s">
        <v>365</v>
      </c>
      <c r="D1314" t="s">
        <v>2726</v>
      </c>
      <c r="E1314" t="s">
        <v>2783</v>
      </c>
      <c r="F1314" s="1">
        <v>7</v>
      </c>
      <c r="G1314" s="1">
        <v>0</v>
      </c>
      <c r="H1314" t="s">
        <v>17</v>
      </c>
      <c r="I1314" t="s">
        <v>367</v>
      </c>
      <c r="J1314" t="s">
        <v>2728</v>
      </c>
      <c r="K1314" s="3">
        <v>46721</v>
      </c>
      <c r="L1314" t="s">
        <v>1191</v>
      </c>
      <c r="M1314">
        <v>0.158</v>
      </c>
      <c r="N1314">
        <v>1152</v>
      </c>
      <c r="O1314">
        <f t="shared" si="60"/>
        <v>1.1060000000000001</v>
      </c>
      <c r="P1314">
        <f t="shared" si="61"/>
        <v>6.076388888888889E-3</v>
      </c>
      <c r="Q1314" t="str">
        <f t="shared" si="62"/>
        <v>Q27-03</v>
      </c>
    </row>
    <row r="1315" spans="1:17" x14ac:dyDescent="0.25">
      <c r="A1315" t="s">
        <v>61</v>
      </c>
      <c r="B1315" t="s">
        <v>317</v>
      </c>
      <c r="C1315" t="s">
        <v>318</v>
      </c>
      <c r="D1315" t="s">
        <v>2726</v>
      </c>
      <c r="E1315" t="s">
        <v>2784</v>
      </c>
      <c r="F1315" s="1">
        <v>6</v>
      </c>
      <c r="G1315" s="1">
        <v>0</v>
      </c>
      <c r="H1315" t="s">
        <v>17</v>
      </c>
      <c r="I1315" t="s">
        <v>320</v>
      </c>
      <c r="J1315" t="s">
        <v>2728</v>
      </c>
      <c r="K1315" s="3">
        <v>46691</v>
      </c>
      <c r="L1315" t="s">
        <v>1348</v>
      </c>
      <c r="M1315">
        <v>0.04</v>
      </c>
      <c r="N1315">
        <v>2688</v>
      </c>
      <c r="O1315">
        <f t="shared" si="60"/>
        <v>0.24</v>
      </c>
      <c r="P1315">
        <f t="shared" si="61"/>
        <v>2.232142857142857E-3</v>
      </c>
      <c r="Q1315" t="str">
        <f t="shared" si="62"/>
        <v>Q27-03</v>
      </c>
    </row>
    <row r="1316" spans="1:17" x14ac:dyDescent="0.25">
      <c r="A1316" t="s">
        <v>61</v>
      </c>
      <c r="B1316" t="s">
        <v>891</v>
      </c>
      <c r="C1316" t="s">
        <v>892</v>
      </c>
      <c r="D1316" t="s">
        <v>2726</v>
      </c>
      <c r="E1316" t="s">
        <v>2785</v>
      </c>
      <c r="F1316" s="1">
        <v>4</v>
      </c>
      <c r="G1316" s="1">
        <v>0</v>
      </c>
      <c r="H1316" t="s">
        <v>17</v>
      </c>
      <c r="I1316" t="s">
        <v>894</v>
      </c>
      <c r="J1316" t="s">
        <v>2728</v>
      </c>
      <c r="K1316" s="3">
        <v>46418</v>
      </c>
      <c r="L1316" t="s">
        <v>1180</v>
      </c>
      <c r="M1316">
        <v>0.312</v>
      </c>
      <c r="N1316">
        <v>1680</v>
      </c>
      <c r="O1316">
        <f t="shared" si="60"/>
        <v>1.248</v>
      </c>
      <c r="P1316">
        <f t="shared" si="61"/>
        <v>2.3809523809523812E-3</v>
      </c>
      <c r="Q1316" t="str">
        <f t="shared" si="62"/>
        <v>Q27-03</v>
      </c>
    </row>
    <row r="1317" spans="1:17" x14ac:dyDescent="0.25">
      <c r="A1317" t="s">
        <v>61</v>
      </c>
      <c r="B1317" t="s">
        <v>281</v>
      </c>
      <c r="C1317" t="s">
        <v>282</v>
      </c>
      <c r="D1317" t="s">
        <v>2726</v>
      </c>
      <c r="E1317" t="s">
        <v>2786</v>
      </c>
      <c r="F1317" s="1">
        <v>1</v>
      </c>
      <c r="G1317" s="1">
        <v>0</v>
      </c>
      <c r="H1317" t="s">
        <v>17</v>
      </c>
      <c r="I1317" t="s">
        <v>284</v>
      </c>
      <c r="J1317" t="s">
        <v>2728</v>
      </c>
      <c r="K1317" s="3">
        <v>46234</v>
      </c>
      <c r="L1317" t="s">
        <v>285</v>
      </c>
      <c r="M1317">
        <v>6.8000000000000005E-2</v>
      </c>
      <c r="N1317">
        <v>2240</v>
      </c>
      <c r="O1317">
        <f t="shared" si="60"/>
        <v>6.8000000000000005E-2</v>
      </c>
      <c r="P1317">
        <f t="shared" si="61"/>
        <v>4.4642857142857141E-4</v>
      </c>
      <c r="Q1317" t="str">
        <f t="shared" si="62"/>
        <v>Q27-03</v>
      </c>
    </row>
    <row r="1318" spans="1:17" x14ac:dyDescent="0.25">
      <c r="A1318" t="s">
        <v>61</v>
      </c>
      <c r="B1318" t="s">
        <v>891</v>
      </c>
      <c r="C1318" t="s">
        <v>892</v>
      </c>
      <c r="D1318" t="s">
        <v>2726</v>
      </c>
      <c r="E1318" t="s">
        <v>2787</v>
      </c>
      <c r="F1318" s="1">
        <v>1</v>
      </c>
      <c r="G1318" s="1">
        <v>0</v>
      </c>
      <c r="H1318" t="s">
        <v>17</v>
      </c>
      <c r="I1318" t="s">
        <v>894</v>
      </c>
      <c r="J1318" t="s">
        <v>2728</v>
      </c>
      <c r="K1318" s="3">
        <v>46234</v>
      </c>
      <c r="L1318" t="s">
        <v>896</v>
      </c>
      <c r="M1318">
        <v>0.312</v>
      </c>
      <c r="N1318">
        <v>1680</v>
      </c>
      <c r="O1318">
        <f t="shared" si="60"/>
        <v>0.312</v>
      </c>
      <c r="P1318">
        <f t="shared" si="61"/>
        <v>5.9523809523809529E-4</v>
      </c>
      <c r="Q1318" t="str">
        <f t="shared" si="62"/>
        <v>Q27-03</v>
      </c>
    </row>
    <row r="1319" spans="1:17" x14ac:dyDescent="0.25">
      <c r="A1319" t="s">
        <v>61</v>
      </c>
      <c r="B1319" t="s">
        <v>317</v>
      </c>
      <c r="C1319" t="s">
        <v>318</v>
      </c>
      <c r="D1319" t="s">
        <v>2726</v>
      </c>
      <c r="E1319" t="s">
        <v>2788</v>
      </c>
      <c r="F1319" s="1">
        <v>1</v>
      </c>
      <c r="G1319" s="1">
        <v>0</v>
      </c>
      <c r="H1319" t="s">
        <v>17</v>
      </c>
      <c r="I1319" t="s">
        <v>320</v>
      </c>
      <c r="J1319" t="s">
        <v>2728</v>
      </c>
      <c r="K1319" s="3">
        <v>46418</v>
      </c>
      <c r="L1319" t="s">
        <v>478</v>
      </c>
      <c r="M1319">
        <v>0.04</v>
      </c>
      <c r="N1319">
        <v>2688</v>
      </c>
      <c r="O1319">
        <f t="shared" si="60"/>
        <v>0.04</v>
      </c>
      <c r="P1319">
        <f t="shared" si="61"/>
        <v>3.720238095238095E-4</v>
      </c>
      <c r="Q1319" t="str">
        <f t="shared" si="62"/>
        <v>Q27-03</v>
      </c>
    </row>
    <row r="1320" spans="1:17" x14ac:dyDescent="0.25">
      <c r="A1320" t="s">
        <v>61</v>
      </c>
      <c r="B1320" t="s">
        <v>317</v>
      </c>
      <c r="C1320" t="s">
        <v>318</v>
      </c>
      <c r="D1320" t="s">
        <v>2726</v>
      </c>
      <c r="E1320" t="s">
        <v>2789</v>
      </c>
      <c r="F1320" s="1">
        <v>1</v>
      </c>
      <c r="G1320" s="1">
        <v>0</v>
      </c>
      <c r="H1320" t="s">
        <v>17</v>
      </c>
      <c r="I1320" t="s">
        <v>320</v>
      </c>
      <c r="J1320" t="s">
        <v>2728</v>
      </c>
      <c r="K1320" s="3">
        <v>46599</v>
      </c>
      <c r="L1320" t="s">
        <v>1010</v>
      </c>
      <c r="M1320">
        <v>0.04</v>
      </c>
      <c r="N1320">
        <v>2688</v>
      </c>
      <c r="O1320">
        <f t="shared" si="60"/>
        <v>0.04</v>
      </c>
      <c r="P1320">
        <f t="shared" si="61"/>
        <v>3.720238095238095E-4</v>
      </c>
      <c r="Q1320" t="str">
        <f t="shared" si="62"/>
        <v>Q27-03</v>
      </c>
    </row>
    <row r="1321" spans="1:17" x14ac:dyDescent="0.25">
      <c r="A1321" t="s">
        <v>61</v>
      </c>
      <c r="B1321" t="s">
        <v>317</v>
      </c>
      <c r="C1321" t="s">
        <v>318</v>
      </c>
      <c r="D1321" t="s">
        <v>2726</v>
      </c>
      <c r="E1321" t="s">
        <v>2790</v>
      </c>
      <c r="F1321" s="1">
        <v>8</v>
      </c>
      <c r="G1321" s="1">
        <v>0</v>
      </c>
      <c r="H1321" t="s">
        <v>17</v>
      </c>
      <c r="I1321" t="s">
        <v>320</v>
      </c>
      <c r="J1321" t="s">
        <v>2728</v>
      </c>
      <c r="K1321" s="3">
        <v>46599</v>
      </c>
      <c r="L1321" t="s">
        <v>1117</v>
      </c>
      <c r="M1321">
        <v>0.04</v>
      </c>
      <c r="N1321">
        <v>2688</v>
      </c>
      <c r="O1321">
        <f t="shared" si="60"/>
        <v>0.32</v>
      </c>
      <c r="P1321">
        <f t="shared" si="61"/>
        <v>2.976190476190476E-3</v>
      </c>
      <c r="Q1321" t="str">
        <f t="shared" si="62"/>
        <v>Q27-03</v>
      </c>
    </row>
    <row r="1322" spans="1:17" x14ac:dyDescent="0.25">
      <c r="A1322" t="s">
        <v>61</v>
      </c>
      <c r="B1322" t="s">
        <v>317</v>
      </c>
      <c r="C1322" t="s">
        <v>318</v>
      </c>
      <c r="D1322" t="s">
        <v>2726</v>
      </c>
      <c r="E1322" t="s">
        <v>2791</v>
      </c>
      <c r="F1322" s="1">
        <v>1</v>
      </c>
      <c r="G1322" s="1">
        <v>0</v>
      </c>
      <c r="H1322" t="s">
        <v>17</v>
      </c>
      <c r="I1322" t="s">
        <v>320</v>
      </c>
      <c r="J1322" t="s">
        <v>2728</v>
      </c>
      <c r="K1322" s="3">
        <v>46752</v>
      </c>
      <c r="L1322" t="s">
        <v>1785</v>
      </c>
      <c r="M1322">
        <v>0.04</v>
      </c>
      <c r="N1322">
        <v>2688</v>
      </c>
      <c r="O1322">
        <f t="shared" si="60"/>
        <v>0.04</v>
      </c>
      <c r="P1322">
        <f t="shared" si="61"/>
        <v>3.720238095238095E-4</v>
      </c>
      <c r="Q1322" t="str">
        <f t="shared" si="62"/>
        <v>Q27-03</v>
      </c>
    </row>
    <row r="1323" spans="1:17" x14ac:dyDescent="0.25">
      <c r="A1323" t="s">
        <v>61</v>
      </c>
      <c r="B1323" t="s">
        <v>225</v>
      </c>
      <c r="C1323" t="s">
        <v>226</v>
      </c>
      <c r="D1323" t="s">
        <v>2726</v>
      </c>
      <c r="E1323" t="s">
        <v>2792</v>
      </c>
      <c r="F1323" s="1">
        <v>1</v>
      </c>
      <c r="G1323" s="1">
        <v>0</v>
      </c>
      <c r="H1323" t="s">
        <v>17</v>
      </c>
      <c r="I1323" t="s">
        <v>228</v>
      </c>
      <c r="J1323" t="s">
        <v>2728</v>
      </c>
      <c r="K1323" s="3">
        <v>46387</v>
      </c>
      <c r="L1323" t="s">
        <v>497</v>
      </c>
      <c r="M1323">
        <v>5.8000000000000003E-2</v>
      </c>
      <c r="N1323">
        <v>2880</v>
      </c>
      <c r="O1323">
        <f t="shared" si="60"/>
        <v>5.8000000000000003E-2</v>
      </c>
      <c r="P1323">
        <f t="shared" si="61"/>
        <v>3.4722222222222224E-4</v>
      </c>
      <c r="Q1323" t="str">
        <f t="shared" si="62"/>
        <v>Q27-03</v>
      </c>
    </row>
    <row r="1324" spans="1:17" x14ac:dyDescent="0.25">
      <c r="A1324" t="s">
        <v>61</v>
      </c>
      <c r="B1324" t="s">
        <v>891</v>
      </c>
      <c r="C1324" t="s">
        <v>892</v>
      </c>
      <c r="D1324" t="s">
        <v>2726</v>
      </c>
      <c r="E1324" t="s">
        <v>2793</v>
      </c>
      <c r="F1324" s="1">
        <v>1</v>
      </c>
      <c r="G1324" s="1">
        <v>0</v>
      </c>
      <c r="H1324" t="s">
        <v>17</v>
      </c>
      <c r="I1324" t="s">
        <v>894</v>
      </c>
      <c r="J1324" t="s">
        <v>2728</v>
      </c>
      <c r="K1324" s="3">
        <v>46538</v>
      </c>
      <c r="L1324" t="s">
        <v>2794</v>
      </c>
      <c r="M1324">
        <v>0.312</v>
      </c>
      <c r="N1324">
        <v>1680</v>
      </c>
      <c r="O1324">
        <f t="shared" si="60"/>
        <v>0.312</v>
      </c>
      <c r="P1324">
        <f t="shared" si="61"/>
        <v>5.9523809523809529E-4</v>
      </c>
      <c r="Q1324" t="str">
        <f t="shared" si="62"/>
        <v>Q27-03</v>
      </c>
    </row>
    <row r="1325" spans="1:17" x14ac:dyDescent="0.25">
      <c r="A1325" t="s">
        <v>61</v>
      </c>
      <c r="B1325" t="s">
        <v>225</v>
      </c>
      <c r="C1325" t="s">
        <v>226</v>
      </c>
      <c r="D1325" t="s">
        <v>2726</v>
      </c>
      <c r="E1325" t="s">
        <v>2795</v>
      </c>
      <c r="F1325" s="1">
        <v>1</v>
      </c>
      <c r="G1325" s="1">
        <v>0</v>
      </c>
      <c r="H1325" t="s">
        <v>17</v>
      </c>
      <c r="I1325" t="s">
        <v>228</v>
      </c>
      <c r="J1325" t="s">
        <v>2728</v>
      </c>
      <c r="K1325" s="3">
        <v>46660</v>
      </c>
      <c r="L1325" t="s">
        <v>1231</v>
      </c>
      <c r="M1325">
        <v>5.8000000000000003E-2</v>
      </c>
      <c r="N1325">
        <v>2880</v>
      </c>
      <c r="O1325">
        <f t="shared" si="60"/>
        <v>5.8000000000000003E-2</v>
      </c>
      <c r="P1325">
        <f t="shared" si="61"/>
        <v>3.4722222222222224E-4</v>
      </c>
      <c r="Q1325" t="str">
        <f t="shared" si="62"/>
        <v>Q27-03</v>
      </c>
    </row>
    <row r="1326" spans="1:17" x14ac:dyDescent="0.25">
      <c r="A1326" t="s">
        <v>61</v>
      </c>
      <c r="B1326" t="s">
        <v>225</v>
      </c>
      <c r="C1326" t="s">
        <v>226</v>
      </c>
      <c r="D1326" t="s">
        <v>2726</v>
      </c>
      <c r="E1326" t="s">
        <v>2796</v>
      </c>
      <c r="F1326" s="1">
        <v>19</v>
      </c>
      <c r="G1326" s="1">
        <v>0</v>
      </c>
      <c r="H1326" t="s">
        <v>17</v>
      </c>
      <c r="I1326" t="s">
        <v>228</v>
      </c>
      <c r="J1326" t="s">
        <v>2728</v>
      </c>
      <c r="K1326" s="3">
        <v>46234</v>
      </c>
      <c r="L1326" t="s">
        <v>230</v>
      </c>
      <c r="M1326">
        <v>5.8000000000000003E-2</v>
      </c>
      <c r="N1326">
        <v>2880</v>
      </c>
      <c r="O1326">
        <f t="shared" si="60"/>
        <v>1.1020000000000001</v>
      </c>
      <c r="P1326">
        <f t="shared" si="61"/>
        <v>6.5972222222222222E-3</v>
      </c>
      <c r="Q1326" t="str">
        <f t="shared" si="62"/>
        <v>Q27-03</v>
      </c>
    </row>
    <row r="1327" spans="1:17" x14ac:dyDescent="0.25">
      <c r="A1327" t="s">
        <v>61</v>
      </c>
      <c r="B1327" t="s">
        <v>1523</v>
      </c>
      <c r="C1327" t="s">
        <v>1524</v>
      </c>
      <c r="D1327" t="s">
        <v>2726</v>
      </c>
      <c r="E1327" t="s">
        <v>2797</v>
      </c>
      <c r="F1327" s="1">
        <v>26</v>
      </c>
      <c r="G1327" s="1">
        <v>0</v>
      </c>
      <c r="H1327" t="s">
        <v>17</v>
      </c>
      <c r="I1327" t="s">
        <v>1526</v>
      </c>
      <c r="J1327" t="s">
        <v>2728</v>
      </c>
      <c r="K1327" s="3">
        <v>46203</v>
      </c>
      <c r="L1327" t="s">
        <v>2148</v>
      </c>
      <c r="M1327">
        <v>4.9000000000000002E-2</v>
      </c>
      <c r="N1327">
        <v>2880</v>
      </c>
      <c r="O1327">
        <f t="shared" si="60"/>
        <v>1.274</v>
      </c>
      <c r="P1327">
        <f t="shared" si="61"/>
        <v>9.0277777777777769E-3</v>
      </c>
      <c r="Q1327" t="str">
        <f t="shared" si="62"/>
        <v>Q27-03</v>
      </c>
    </row>
    <row r="1328" spans="1:17" x14ac:dyDescent="0.25">
      <c r="A1328" t="s">
        <v>61</v>
      </c>
      <c r="B1328" t="s">
        <v>281</v>
      </c>
      <c r="C1328" t="s">
        <v>282</v>
      </c>
      <c r="D1328" t="s">
        <v>2726</v>
      </c>
      <c r="E1328" t="s">
        <v>2798</v>
      </c>
      <c r="F1328" s="1">
        <v>1</v>
      </c>
      <c r="G1328" s="1">
        <v>0</v>
      </c>
      <c r="H1328" t="s">
        <v>17</v>
      </c>
      <c r="I1328" t="s">
        <v>284</v>
      </c>
      <c r="J1328" t="s">
        <v>2728</v>
      </c>
      <c r="K1328" s="3">
        <v>46691</v>
      </c>
      <c r="L1328" t="s">
        <v>1782</v>
      </c>
      <c r="M1328">
        <v>6.8000000000000005E-2</v>
      </c>
      <c r="N1328">
        <v>2240</v>
      </c>
      <c r="O1328">
        <f t="shared" si="60"/>
        <v>6.8000000000000005E-2</v>
      </c>
      <c r="P1328">
        <f t="shared" si="61"/>
        <v>4.4642857142857141E-4</v>
      </c>
      <c r="Q1328" t="str">
        <f t="shared" si="62"/>
        <v>Q27-03</v>
      </c>
    </row>
    <row r="1329" spans="1:17" x14ac:dyDescent="0.25">
      <c r="A1329" t="s">
        <v>61</v>
      </c>
      <c r="B1329" t="s">
        <v>364</v>
      </c>
      <c r="C1329" t="s">
        <v>365</v>
      </c>
      <c r="D1329" t="s">
        <v>2726</v>
      </c>
      <c r="E1329" t="s">
        <v>2799</v>
      </c>
      <c r="F1329" s="1">
        <v>1</v>
      </c>
      <c r="G1329" s="1">
        <v>0</v>
      </c>
      <c r="H1329" t="s">
        <v>17</v>
      </c>
      <c r="I1329" t="s">
        <v>367</v>
      </c>
      <c r="J1329" t="s">
        <v>2728</v>
      </c>
      <c r="K1329" s="3">
        <v>46752</v>
      </c>
      <c r="L1329" t="s">
        <v>1766</v>
      </c>
      <c r="M1329">
        <v>0.158</v>
      </c>
      <c r="N1329">
        <v>1152</v>
      </c>
      <c r="O1329">
        <f t="shared" si="60"/>
        <v>0.158</v>
      </c>
      <c r="P1329">
        <f t="shared" si="61"/>
        <v>8.6805555555555551E-4</v>
      </c>
      <c r="Q1329" t="str">
        <f t="shared" si="62"/>
        <v>Q27-03</v>
      </c>
    </row>
    <row r="1330" spans="1:17" x14ac:dyDescent="0.25">
      <c r="A1330" t="s">
        <v>61</v>
      </c>
      <c r="B1330" t="s">
        <v>281</v>
      </c>
      <c r="C1330" t="s">
        <v>282</v>
      </c>
      <c r="D1330" t="s">
        <v>2726</v>
      </c>
      <c r="E1330" t="s">
        <v>2800</v>
      </c>
      <c r="F1330" s="1">
        <v>12</v>
      </c>
      <c r="G1330" s="1">
        <v>0</v>
      </c>
      <c r="H1330" t="s">
        <v>17</v>
      </c>
      <c r="I1330" t="s">
        <v>284</v>
      </c>
      <c r="J1330" t="s">
        <v>2728</v>
      </c>
      <c r="K1330" s="3">
        <v>46203</v>
      </c>
      <c r="L1330" t="s">
        <v>289</v>
      </c>
      <c r="M1330">
        <v>6.8000000000000005E-2</v>
      </c>
      <c r="N1330">
        <v>2240</v>
      </c>
      <c r="O1330">
        <f t="shared" si="60"/>
        <v>0.81600000000000006</v>
      </c>
      <c r="P1330">
        <f t="shared" si="61"/>
        <v>5.3571428571428572E-3</v>
      </c>
      <c r="Q1330" t="str">
        <f t="shared" si="62"/>
        <v>Q27-03</v>
      </c>
    </row>
    <row r="1331" spans="1:17" x14ac:dyDescent="0.25">
      <c r="A1331" t="s">
        <v>61</v>
      </c>
      <c r="B1331" t="s">
        <v>281</v>
      </c>
      <c r="C1331" t="s">
        <v>282</v>
      </c>
      <c r="D1331" t="s">
        <v>2726</v>
      </c>
      <c r="E1331" t="s">
        <v>2801</v>
      </c>
      <c r="F1331" s="1">
        <v>1</v>
      </c>
      <c r="G1331" s="1">
        <v>0</v>
      </c>
      <c r="H1331" t="s">
        <v>17</v>
      </c>
      <c r="I1331" t="s">
        <v>284</v>
      </c>
      <c r="J1331" t="s">
        <v>2728</v>
      </c>
      <c r="K1331" s="3">
        <v>46752</v>
      </c>
      <c r="L1331" t="s">
        <v>2802</v>
      </c>
      <c r="M1331">
        <v>6.8000000000000005E-2</v>
      </c>
      <c r="N1331">
        <v>2240</v>
      </c>
      <c r="O1331">
        <f t="shared" si="60"/>
        <v>6.8000000000000005E-2</v>
      </c>
      <c r="P1331">
        <f t="shared" si="61"/>
        <v>4.4642857142857141E-4</v>
      </c>
      <c r="Q1331" t="str">
        <f t="shared" si="62"/>
        <v>Q27-03</v>
      </c>
    </row>
    <row r="1332" spans="1:17" x14ac:dyDescent="0.25">
      <c r="A1332" t="s">
        <v>61</v>
      </c>
      <c r="B1332" t="s">
        <v>281</v>
      </c>
      <c r="C1332" t="s">
        <v>282</v>
      </c>
      <c r="D1332" t="s">
        <v>2726</v>
      </c>
      <c r="E1332" t="s">
        <v>2803</v>
      </c>
      <c r="F1332" s="1">
        <v>1</v>
      </c>
      <c r="G1332" s="1">
        <v>0</v>
      </c>
      <c r="H1332" t="s">
        <v>17</v>
      </c>
      <c r="I1332" t="s">
        <v>284</v>
      </c>
      <c r="J1332" t="s">
        <v>2728</v>
      </c>
      <c r="K1332" s="3">
        <v>46173</v>
      </c>
      <c r="L1332" t="s">
        <v>293</v>
      </c>
      <c r="M1332">
        <v>6.8000000000000005E-2</v>
      </c>
      <c r="N1332">
        <v>2240</v>
      </c>
      <c r="O1332">
        <f t="shared" si="60"/>
        <v>6.8000000000000005E-2</v>
      </c>
      <c r="P1332">
        <f t="shared" si="61"/>
        <v>4.4642857142857141E-4</v>
      </c>
      <c r="Q1332" t="str">
        <f t="shared" si="62"/>
        <v>Q27-03</v>
      </c>
    </row>
    <row r="1333" spans="1:17" x14ac:dyDescent="0.25">
      <c r="A1333" t="s">
        <v>61</v>
      </c>
      <c r="B1333" t="s">
        <v>233</v>
      </c>
      <c r="C1333" t="s">
        <v>234</v>
      </c>
      <c r="D1333" t="s">
        <v>2726</v>
      </c>
      <c r="E1333" t="s">
        <v>2804</v>
      </c>
      <c r="F1333" s="1">
        <v>1</v>
      </c>
      <c r="G1333" s="1">
        <v>0</v>
      </c>
      <c r="H1333" t="s">
        <v>17</v>
      </c>
      <c r="I1333" t="s">
        <v>236</v>
      </c>
      <c r="J1333" t="s">
        <v>2728</v>
      </c>
      <c r="K1333" s="3">
        <v>46934</v>
      </c>
      <c r="L1333" t="s">
        <v>900</v>
      </c>
      <c r="M1333">
        <v>7.4999999999999997E-2</v>
      </c>
      <c r="N1333">
        <v>2688</v>
      </c>
      <c r="O1333">
        <f t="shared" si="60"/>
        <v>7.4999999999999997E-2</v>
      </c>
      <c r="P1333">
        <f t="shared" si="61"/>
        <v>3.720238095238095E-4</v>
      </c>
      <c r="Q1333" t="str">
        <f t="shared" si="62"/>
        <v>Q27-03</v>
      </c>
    </row>
    <row r="1334" spans="1:17" x14ac:dyDescent="0.25">
      <c r="A1334" t="s">
        <v>61</v>
      </c>
      <c r="B1334" t="s">
        <v>233</v>
      </c>
      <c r="C1334" t="s">
        <v>234</v>
      </c>
      <c r="D1334" t="s">
        <v>2726</v>
      </c>
      <c r="E1334" t="s">
        <v>2805</v>
      </c>
      <c r="F1334" s="1">
        <v>1</v>
      </c>
      <c r="G1334" s="1">
        <v>0</v>
      </c>
      <c r="H1334" t="s">
        <v>17</v>
      </c>
      <c r="I1334" t="s">
        <v>236</v>
      </c>
      <c r="J1334" t="s">
        <v>2728</v>
      </c>
      <c r="K1334" s="3">
        <v>46599</v>
      </c>
      <c r="L1334" t="s">
        <v>237</v>
      </c>
      <c r="M1334">
        <v>7.4999999999999997E-2</v>
      </c>
      <c r="N1334">
        <v>2688</v>
      </c>
      <c r="O1334">
        <f t="shared" si="60"/>
        <v>7.4999999999999997E-2</v>
      </c>
      <c r="P1334">
        <f t="shared" si="61"/>
        <v>3.720238095238095E-4</v>
      </c>
      <c r="Q1334" t="str">
        <f t="shared" si="62"/>
        <v>Q27-03</v>
      </c>
    </row>
    <row r="1335" spans="1:17" x14ac:dyDescent="0.25">
      <c r="A1335" t="s">
        <v>61</v>
      </c>
      <c r="B1335" t="s">
        <v>225</v>
      </c>
      <c r="C1335" t="s">
        <v>226</v>
      </c>
      <c r="D1335" t="s">
        <v>2726</v>
      </c>
      <c r="E1335" t="s">
        <v>2806</v>
      </c>
      <c r="F1335" s="1">
        <v>8</v>
      </c>
      <c r="G1335" s="1">
        <v>0</v>
      </c>
      <c r="H1335" t="s">
        <v>17</v>
      </c>
      <c r="I1335" t="s">
        <v>228</v>
      </c>
      <c r="J1335" t="s">
        <v>2728</v>
      </c>
      <c r="K1335" s="3">
        <v>46234</v>
      </c>
      <c r="L1335" t="s">
        <v>232</v>
      </c>
      <c r="M1335">
        <v>5.8000000000000003E-2</v>
      </c>
      <c r="N1335">
        <v>2880</v>
      </c>
      <c r="O1335">
        <f t="shared" si="60"/>
        <v>0.46400000000000002</v>
      </c>
      <c r="P1335">
        <f t="shared" si="61"/>
        <v>2.7777777777777779E-3</v>
      </c>
      <c r="Q1335" t="str">
        <f t="shared" si="62"/>
        <v>Q27-03</v>
      </c>
    </row>
    <row r="1336" spans="1:17" x14ac:dyDescent="0.25">
      <c r="A1336" t="s">
        <v>12</v>
      </c>
      <c r="B1336" t="s">
        <v>2807</v>
      </c>
      <c r="C1336" t="s">
        <v>2808</v>
      </c>
      <c r="D1336" t="s">
        <v>121</v>
      </c>
      <c r="E1336" t="s">
        <v>2809</v>
      </c>
      <c r="F1336" s="1">
        <v>192</v>
      </c>
      <c r="G1336" s="1">
        <v>0</v>
      </c>
      <c r="H1336" t="s">
        <v>17</v>
      </c>
      <c r="I1336" t="s">
        <v>84</v>
      </c>
      <c r="J1336" t="s">
        <v>90</v>
      </c>
      <c r="K1336" s="3">
        <v>46746</v>
      </c>
      <c r="L1336" t="s">
        <v>123</v>
      </c>
      <c r="M1336">
        <v>0</v>
      </c>
      <c r="N1336">
        <v>0</v>
      </c>
      <c r="O1336">
        <f t="shared" si="60"/>
        <v>0</v>
      </c>
      <c r="Q1336" t="str">
        <f t="shared" si="62"/>
        <v>Q27-01</v>
      </c>
    </row>
    <row r="1337" spans="1:17" x14ac:dyDescent="0.25">
      <c r="A1337" t="s">
        <v>12</v>
      </c>
      <c r="B1337" t="s">
        <v>2807</v>
      </c>
      <c r="C1337" t="s">
        <v>2808</v>
      </c>
      <c r="D1337" t="s">
        <v>121</v>
      </c>
      <c r="E1337" t="s">
        <v>2810</v>
      </c>
      <c r="F1337" s="1">
        <v>768</v>
      </c>
      <c r="G1337" s="1">
        <v>0</v>
      </c>
      <c r="H1337" t="s">
        <v>17</v>
      </c>
      <c r="I1337" t="s">
        <v>84</v>
      </c>
      <c r="J1337" t="s">
        <v>90</v>
      </c>
      <c r="K1337" s="3">
        <v>46746</v>
      </c>
      <c r="L1337" t="s">
        <v>123</v>
      </c>
      <c r="M1337">
        <v>0</v>
      </c>
      <c r="N1337">
        <v>0</v>
      </c>
      <c r="O1337">
        <f t="shared" si="60"/>
        <v>0</v>
      </c>
      <c r="Q1337" t="str">
        <f t="shared" si="62"/>
        <v>Q27-01</v>
      </c>
    </row>
    <row r="1338" spans="1:17" x14ac:dyDescent="0.25">
      <c r="A1338" t="s">
        <v>12</v>
      </c>
      <c r="B1338" t="s">
        <v>2811</v>
      </c>
      <c r="C1338" t="s">
        <v>2812</v>
      </c>
      <c r="D1338" t="s">
        <v>382</v>
      </c>
      <c r="E1338" t="s">
        <v>2813</v>
      </c>
      <c r="F1338" s="1">
        <v>1</v>
      </c>
      <c r="G1338" s="1">
        <v>0</v>
      </c>
      <c r="H1338" t="s">
        <v>17</v>
      </c>
      <c r="I1338" t="s">
        <v>84</v>
      </c>
      <c r="J1338" t="s">
        <v>2814</v>
      </c>
      <c r="K1338" s="3">
        <v>47251</v>
      </c>
      <c r="L1338" t="s">
        <v>2815</v>
      </c>
      <c r="M1338">
        <v>0.14199999999999999</v>
      </c>
      <c r="N1338">
        <v>2240</v>
      </c>
      <c r="O1338">
        <f t="shared" si="60"/>
        <v>0.14199999999999999</v>
      </c>
      <c r="P1338">
        <f t="shared" si="61"/>
        <v>4.4642857142857141E-4</v>
      </c>
      <c r="Q1338" t="str">
        <f t="shared" si="62"/>
        <v>Q27-03</v>
      </c>
    </row>
    <row r="1339" spans="1:17" x14ac:dyDescent="0.25">
      <c r="A1339" t="s">
        <v>12</v>
      </c>
      <c r="B1339" t="s">
        <v>2360</v>
      </c>
      <c r="C1339" t="s">
        <v>2361</v>
      </c>
      <c r="D1339" t="s">
        <v>44</v>
      </c>
      <c r="E1339" t="s">
        <v>2816</v>
      </c>
      <c r="F1339" s="1">
        <v>7</v>
      </c>
      <c r="G1339" s="1">
        <v>0</v>
      </c>
      <c r="H1339" t="s">
        <v>17</v>
      </c>
      <c r="I1339" t="s">
        <v>2363</v>
      </c>
      <c r="J1339" t="s">
        <v>2817</v>
      </c>
      <c r="K1339" s="3">
        <v>46676</v>
      </c>
      <c r="L1339" t="s">
        <v>2818</v>
      </c>
      <c r="M1339">
        <v>0.154</v>
      </c>
      <c r="N1339">
        <v>1536</v>
      </c>
      <c r="O1339">
        <f t="shared" si="60"/>
        <v>1.0780000000000001</v>
      </c>
      <c r="P1339">
        <f t="shared" si="61"/>
        <v>4.557291666666667E-3</v>
      </c>
      <c r="Q1339" t="str">
        <f t="shared" si="62"/>
        <v>Q26-01</v>
      </c>
    </row>
    <row r="1340" spans="1:17" x14ac:dyDescent="0.25">
      <c r="A1340" t="s">
        <v>61</v>
      </c>
      <c r="B1340" t="s">
        <v>891</v>
      </c>
      <c r="C1340" t="s">
        <v>892</v>
      </c>
      <c r="D1340" t="s">
        <v>69</v>
      </c>
      <c r="E1340" t="s">
        <v>2819</v>
      </c>
      <c r="F1340" s="1">
        <v>2</v>
      </c>
      <c r="G1340" s="1">
        <v>0</v>
      </c>
      <c r="H1340" t="s">
        <v>17</v>
      </c>
      <c r="I1340" t="s">
        <v>894</v>
      </c>
      <c r="J1340" t="s">
        <v>2820</v>
      </c>
      <c r="K1340" s="3">
        <v>45991</v>
      </c>
      <c r="L1340" t="s">
        <v>2409</v>
      </c>
      <c r="M1340">
        <v>0.312</v>
      </c>
      <c r="N1340">
        <v>1680</v>
      </c>
      <c r="O1340">
        <f t="shared" si="60"/>
        <v>0.624</v>
      </c>
      <c r="P1340">
        <f t="shared" si="61"/>
        <v>1.1904761904761906E-3</v>
      </c>
      <c r="Q1340" t="str">
        <f t="shared" si="62"/>
        <v>Q27-01</v>
      </c>
    </row>
    <row r="1341" spans="1:17" x14ac:dyDescent="0.25">
      <c r="A1341" t="s">
        <v>61</v>
      </c>
      <c r="B1341" t="s">
        <v>2821</v>
      </c>
      <c r="C1341" t="s">
        <v>2822</v>
      </c>
      <c r="D1341" t="s">
        <v>69</v>
      </c>
      <c r="E1341" t="s">
        <v>2823</v>
      </c>
      <c r="F1341" s="1">
        <v>34</v>
      </c>
      <c r="G1341" s="1">
        <v>0</v>
      </c>
      <c r="H1341" t="s">
        <v>17</v>
      </c>
      <c r="I1341" t="s">
        <v>2824</v>
      </c>
      <c r="J1341" t="s">
        <v>2820</v>
      </c>
      <c r="K1341" s="3">
        <v>46022</v>
      </c>
      <c r="L1341" t="s">
        <v>2825</v>
      </c>
      <c r="M1341">
        <v>4.2000000000000003E-2</v>
      </c>
      <c r="N1341">
        <v>2880</v>
      </c>
      <c r="O1341">
        <f t="shared" si="60"/>
        <v>1.4280000000000002</v>
      </c>
      <c r="P1341">
        <f t="shared" si="61"/>
        <v>1.1805555555555555E-2</v>
      </c>
      <c r="Q1341" t="str">
        <f t="shared" si="62"/>
        <v>Q27-01</v>
      </c>
    </row>
    <row r="1342" spans="1:17" x14ac:dyDescent="0.25">
      <c r="A1342" t="s">
        <v>61</v>
      </c>
      <c r="B1342" t="s">
        <v>1701</v>
      </c>
      <c r="C1342" t="s">
        <v>1702</v>
      </c>
      <c r="D1342" t="s">
        <v>69</v>
      </c>
      <c r="E1342" t="s">
        <v>2826</v>
      </c>
      <c r="F1342" s="1">
        <v>5</v>
      </c>
      <c r="G1342" s="1">
        <v>0</v>
      </c>
      <c r="H1342" t="s">
        <v>17</v>
      </c>
      <c r="I1342" t="s">
        <v>1704</v>
      </c>
      <c r="J1342" t="s">
        <v>2820</v>
      </c>
      <c r="K1342" s="3">
        <v>46022</v>
      </c>
      <c r="L1342" t="s">
        <v>2827</v>
      </c>
      <c r="M1342">
        <v>6.0999999999999999E-2</v>
      </c>
      <c r="N1342">
        <v>2688</v>
      </c>
      <c r="O1342">
        <f t="shared" si="60"/>
        <v>0.30499999999999999</v>
      </c>
      <c r="P1342">
        <f t="shared" si="61"/>
        <v>1.8601190476190475E-3</v>
      </c>
      <c r="Q1342" t="str">
        <f t="shared" si="62"/>
        <v>Q27-01</v>
      </c>
    </row>
    <row r="1343" spans="1:17" x14ac:dyDescent="0.25">
      <c r="A1343" t="s">
        <v>61</v>
      </c>
      <c r="B1343" t="s">
        <v>309</v>
      </c>
      <c r="C1343" t="s">
        <v>310</v>
      </c>
      <c r="D1343" t="s">
        <v>69</v>
      </c>
      <c r="E1343" t="s">
        <v>2828</v>
      </c>
      <c r="F1343" s="1">
        <v>1</v>
      </c>
      <c r="G1343" s="1">
        <v>0</v>
      </c>
      <c r="H1343" t="s">
        <v>17</v>
      </c>
      <c r="I1343" t="s">
        <v>312</v>
      </c>
      <c r="J1343" t="s">
        <v>2820</v>
      </c>
      <c r="K1343" s="3">
        <v>46053</v>
      </c>
      <c r="L1343" t="s">
        <v>314</v>
      </c>
      <c r="M1343">
        <v>7.1999999999999995E-2</v>
      </c>
      <c r="N1343">
        <v>1920</v>
      </c>
      <c r="O1343">
        <f t="shared" si="60"/>
        <v>7.1999999999999995E-2</v>
      </c>
      <c r="P1343">
        <f t="shared" si="61"/>
        <v>5.2083333333333333E-4</v>
      </c>
      <c r="Q1343" t="str">
        <f t="shared" si="62"/>
        <v>Q27-01</v>
      </c>
    </row>
    <row r="1344" spans="1:17" x14ac:dyDescent="0.25">
      <c r="A1344" t="s">
        <v>61</v>
      </c>
      <c r="B1344" t="s">
        <v>359</v>
      </c>
      <c r="C1344" t="s">
        <v>360</v>
      </c>
      <c r="D1344" t="s">
        <v>64</v>
      </c>
      <c r="E1344" t="s">
        <v>2829</v>
      </c>
      <c r="F1344" s="1">
        <v>14</v>
      </c>
      <c r="G1344" s="1">
        <v>0</v>
      </c>
      <c r="H1344" t="s">
        <v>17</v>
      </c>
      <c r="I1344" t="s">
        <v>362</v>
      </c>
      <c r="J1344" t="s">
        <v>2820</v>
      </c>
      <c r="K1344" s="3">
        <v>46053</v>
      </c>
      <c r="L1344" t="s">
        <v>363</v>
      </c>
      <c r="M1344">
        <v>5.3999999999999999E-2</v>
      </c>
      <c r="N1344">
        <v>2880</v>
      </c>
      <c r="O1344">
        <f t="shared" si="60"/>
        <v>0.75600000000000001</v>
      </c>
      <c r="P1344">
        <f t="shared" si="61"/>
        <v>4.8611111111111112E-3</v>
      </c>
      <c r="Q1344" t="str">
        <f t="shared" si="62"/>
        <v>Q27-01</v>
      </c>
    </row>
    <row r="1345" spans="1:17" x14ac:dyDescent="0.25">
      <c r="A1345" t="s">
        <v>12</v>
      </c>
      <c r="B1345" t="s">
        <v>2830</v>
      </c>
      <c r="C1345" t="s">
        <v>2831</v>
      </c>
      <c r="D1345" t="s">
        <v>77</v>
      </c>
      <c r="E1345" t="s">
        <v>2832</v>
      </c>
      <c r="F1345" s="1">
        <v>1</v>
      </c>
      <c r="G1345" s="1">
        <v>0</v>
      </c>
      <c r="H1345" t="s">
        <v>17</v>
      </c>
      <c r="I1345" t="s">
        <v>2833</v>
      </c>
      <c r="J1345" t="s">
        <v>2834</v>
      </c>
      <c r="K1345" s="3">
        <v>45961</v>
      </c>
      <c r="L1345" t="s">
        <v>2835</v>
      </c>
      <c r="M1345">
        <v>0.02</v>
      </c>
      <c r="N1345">
        <v>6000</v>
      </c>
      <c r="O1345">
        <f t="shared" si="60"/>
        <v>0.02</v>
      </c>
      <c r="P1345">
        <f t="shared" si="61"/>
        <v>1.6666666666666666E-4</v>
      </c>
      <c r="Q1345" t="str">
        <f t="shared" si="62"/>
        <v>Q27-01</v>
      </c>
    </row>
    <row r="1346" spans="1:17" x14ac:dyDescent="0.25">
      <c r="A1346" t="s">
        <v>61</v>
      </c>
      <c r="B1346" t="s">
        <v>2821</v>
      </c>
      <c r="C1346" t="s">
        <v>2822</v>
      </c>
      <c r="D1346" t="s">
        <v>69</v>
      </c>
      <c r="E1346" t="s">
        <v>2836</v>
      </c>
      <c r="F1346" s="1">
        <v>51</v>
      </c>
      <c r="G1346" s="1">
        <v>0</v>
      </c>
      <c r="H1346" t="s">
        <v>17</v>
      </c>
      <c r="I1346" t="s">
        <v>2824</v>
      </c>
      <c r="J1346" t="s">
        <v>2837</v>
      </c>
      <c r="K1346" s="3">
        <v>46022</v>
      </c>
      <c r="L1346" t="s">
        <v>2825</v>
      </c>
      <c r="M1346">
        <v>4.2000000000000003E-2</v>
      </c>
      <c r="N1346">
        <v>2880</v>
      </c>
      <c r="O1346">
        <f t="shared" si="60"/>
        <v>2.1420000000000003</v>
      </c>
      <c r="P1346">
        <f t="shared" si="61"/>
        <v>1.7708333333333333E-2</v>
      </c>
      <c r="Q1346" t="str">
        <f t="shared" si="62"/>
        <v>Q27-01</v>
      </c>
    </row>
    <row r="1347" spans="1:17" x14ac:dyDescent="0.25">
      <c r="A1347" t="s">
        <v>61</v>
      </c>
      <c r="B1347" t="s">
        <v>456</v>
      </c>
      <c r="C1347" t="s">
        <v>457</v>
      </c>
      <c r="D1347" t="s">
        <v>69</v>
      </c>
      <c r="E1347" t="s">
        <v>2838</v>
      </c>
      <c r="F1347" s="1">
        <v>2</v>
      </c>
      <c r="G1347" s="1">
        <v>0</v>
      </c>
      <c r="H1347" t="s">
        <v>17</v>
      </c>
      <c r="I1347" t="s">
        <v>459</v>
      </c>
      <c r="J1347" t="s">
        <v>2837</v>
      </c>
      <c r="K1347" s="3">
        <v>46022</v>
      </c>
      <c r="L1347" t="s">
        <v>2422</v>
      </c>
      <c r="M1347">
        <v>0.22600000000000001</v>
      </c>
      <c r="N1347">
        <v>1680</v>
      </c>
      <c r="O1347">
        <f t="shared" ref="O1347:O1410" si="63">F1347*M1347</f>
        <v>0.45200000000000001</v>
      </c>
      <c r="P1347">
        <f t="shared" ref="P1347:P1410" si="64">F1347/N1347</f>
        <v>1.1904761904761906E-3</v>
      </c>
      <c r="Q1347" t="str">
        <f t="shared" ref="Q1347:Q1410" si="65">LEFT(D1347,6)</f>
        <v>Q27-01</v>
      </c>
    </row>
    <row r="1348" spans="1:17" x14ac:dyDescent="0.25">
      <c r="A1348" t="s">
        <v>61</v>
      </c>
      <c r="B1348" t="s">
        <v>233</v>
      </c>
      <c r="C1348" t="s">
        <v>234</v>
      </c>
      <c r="D1348" t="s">
        <v>64</v>
      </c>
      <c r="E1348" t="s">
        <v>2839</v>
      </c>
      <c r="F1348" s="1">
        <v>7</v>
      </c>
      <c r="G1348" s="1">
        <v>0</v>
      </c>
      <c r="H1348" t="s">
        <v>17</v>
      </c>
      <c r="I1348" t="s">
        <v>236</v>
      </c>
      <c r="J1348" t="s">
        <v>2837</v>
      </c>
      <c r="K1348" s="3">
        <v>46053</v>
      </c>
      <c r="L1348" t="s">
        <v>273</v>
      </c>
      <c r="M1348">
        <v>7.4999999999999997E-2</v>
      </c>
      <c r="N1348">
        <v>2688</v>
      </c>
      <c r="O1348">
        <f t="shared" si="63"/>
        <v>0.52500000000000002</v>
      </c>
      <c r="P1348">
        <f t="shared" si="64"/>
        <v>2.6041666666666665E-3</v>
      </c>
      <c r="Q1348" t="str">
        <f t="shared" si="65"/>
        <v>Q27-01</v>
      </c>
    </row>
    <row r="1349" spans="1:17" x14ac:dyDescent="0.25">
      <c r="A1349" t="s">
        <v>61</v>
      </c>
      <c r="B1349" t="s">
        <v>1701</v>
      </c>
      <c r="C1349" t="s">
        <v>1702</v>
      </c>
      <c r="D1349" t="s">
        <v>69</v>
      </c>
      <c r="E1349" t="s">
        <v>2840</v>
      </c>
      <c r="F1349" s="1">
        <v>21</v>
      </c>
      <c r="G1349" s="1">
        <v>0</v>
      </c>
      <c r="H1349" t="s">
        <v>17</v>
      </c>
      <c r="I1349" t="s">
        <v>1704</v>
      </c>
      <c r="J1349" t="s">
        <v>2837</v>
      </c>
      <c r="K1349" s="3">
        <v>46022</v>
      </c>
      <c r="L1349" t="s">
        <v>2827</v>
      </c>
      <c r="M1349">
        <v>6.0999999999999999E-2</v>
      </c>
      <c r="N1349">
        <v>2688</v>
      </c>
      <c r="O1349">
        <f t="shared" si="63"/>
        <v>1.2809999999999999</v>
      </c>
      <c r="P1349">
        <f t="shared" si="64"/>
        <v>7.8125E-3</v>
      </c>
      <c r="Q1349" t="str">
        <f t="shared" si="65"/>
        <v>Q27-01</v>
      </c>
    </row>
    <row r="1350" spans="1:17" x14ac:dyDescent="0.25">
      <c r="A1350" t="s">
        <v>61</v>
      </c>
      <c r="B1350" t="s">
        <v>309</v>
      </c>
      <c r="C1350" t="s">
        <v>310</v>
      </c>
      <c r="D1350" t="s">
        <v>69</v>
      </c>
      <c r="E1350" t="s">
        <v>2841</v>
      </c>
      <c r="F1350" s="1">
        <v>8</v>
      </c>
      <c r="G1350" s="1">
        <v>0</v>
      </c>
      <c r="H1350" t="s">
        <v>17</v>
      </c>
      <c r="I1350" t="s">
        <v>312</v>
      </c>
      <c r="J1350" t="s">
        <v>2837</v>
      </c>
      <c r="K1350" s="3">
        <v>46053</v>
      </c>
      <c r="L1350" t="s">
        <v>314</v>
      </c>
      <c r="M1350">
        <v>7.1999999999999995E-2</v>
      </c>
      <c r="N1350">
        <v>1920</v>
      </c>
      <c r="O1350">
        <f t="shared" si="63"/>
        <v>0.57599999999999996</v>
      </c>
      <c r="P1350">
        <f t="shared" si="64"/>
        <v>4.1666666666666666E-3</v>
      </c>
      <c r="Q1350" t="str">
        <f t="shared" si="65"/>
        <v>Q27-01</v>
      </c>
    </row>
    <row r="1351" spans="1:17" x14ac:dyDescent="0.25">
      <c r="A1351" t="s">
        <v>61</v>
      </c>
      <c r="B1351" t="s">
        <v>233</v>
      </c>
      <c r="C1351" t="s">
        <v>234</v>
      </c>
      <c r="D1351" t="s">
        <v>69</v>
      </c>
      <c r="E1351" t="s">
        <v>2842</v>
      </c>
      <c r="F1351" s="1">
        <v>1</v>
      </c>
      <c r="G1351" s="1">
        <v>0</v>
      </c>
      <c r="H1351" t="s">
        <v>17</v>
      </c>
      <c r="I1351" t="s">
        <v>236</v>
      </c>
      <c r="J1351" t="s">
        <v>2837</v>
      </c>
      <c r="K1351" s="3">
        <v>46053</v>
      </c>
      <c r="L1351" t="s">
        <v>255</v>
      </c>
      <c r="M1351">
        <v>7.4999999999999997E-2</v>
      </c>
      <c r="N1351">
        <v>2688</v>
      </c>
      <c r="O1351">
        <f t="shared" si="63"/>
        <v>7.4999999999999997E-2</v>
      </c>
      <c r="P1351">
        <f t="shared" si="64"/>
        <v>3.720238095238095E-4</v>
      </c>
      <c r="Q1351" t="str">
        <f t="shared" si="65"/>
        <v>Q27-01</v>
      </c>
    </row>
    <row r="1352" spans="1:17" x14ac:dyDescent="0.25">
      <c r="A1352" t="s">
        <v>61</v>
      </c>
      <c r="B1352" t="s">
        <v>71</v>
      </c>
      <c r="C1352" t="s">
        <v>72</v>
      </c>
      <c r="D1352" t="s">
        <v>69</v>
      </c>
      <c r="E1352" t="s">
        <v>2843</v>
      </c>
      <c r="F1352" s="1">
        <v>2</v>
      </c>
      <c r="G1352" s="1">
        <v>0</v>
      </c>
      <c r="H1352" t="s">
        <v>17</v>
      </c>
      <c r="I1352" t="s">
        <v>75</v>
      </c>
      <c r="J1352" t="s">
        <v>2837</v>
      </c>
      <c r="K1352" s="3">
        <v>46081</v>
      </c>
      <c r="L1352" t="s">
        <v>76</v>
      </c>
      <c r="M1352">
        <v>0.3</v>
      </c>
      <c r="N1352">
        <v>1680</v>
      </c>
      <c r="O1352">
        <f t="shared" si="63"/>
        <v>0.6</v>
      </c>
      <c r="P1352">
        <f t="shared" si="64"/>
        <v>1.1904761904761906E-3</v>
      </c>
      <c r="Q1352" t="str">
        <f t="shared" si="65"/>
        <v>Q27-01</v>
      </c>
    </row>
    <row r="1353" spans="1:17" x14ac:dyDescent="0.25">
      <c r="A1353" t="s">
        <v>61</v>
      </c>
      <c r="B1353" t="s">
        <v>219</v>
      </c>
      <c r="C1353" t="s">
        <v>220</v>
      </c>
      <c r="D1353" t="s">
        <v>69</v>
      </c>
      <c r="E1353" t="s">
        <v>2844</v>
      </c>
      <c r="F1353" s="1">
        <v>3</v>
      </c>
      <c r="G1353" s="1">
        <v>0</v>
      </c>
      <c r="H1353" t="s">
        <v>17</v>
      </c>
      <c r="I1353" t="s">
        <v>222</v>
      </c>
      <c r="J1353" t="s">
        <v>2837</v>
      </c>
      <c r="K1353" s="3">
        <v>46081</v>
      </c>
      <c r="L1353" t="s">
        <v>539</v>
      </c>
      <c r="M1353">
        <v>0.3</v>
      </c>
      <c r="N1353">
        <v>1680</v>
      </c>
      <c r="O1353">
        <f t="shared" si="63"/>
        <v>0.89999999999999991</v>
      </c>
      <c r="P1353">
        <f t="shared" si="64"/>
        <v>1.7857142857142857E-3</v>
      </c>
      <c r="Q1353" t="str">
        <f t="shared" si="65"/>
        <v>Q27-01</v>
      </c>
    </row>
    <row r="1354" spans="1:17" x14ac:dyDescent="0.25">
      <c r="A1354" t="s">
        <v>61</v>
      </c>
      <c r="B1354" t="s">
        <v>71</v>
      </c>
      <c r="C1354" t="s">
        <v>72</v>
      </c>
      <c r="D1354" t="s">
        <v>69</v>
      </c>
      <c r="E1354" t="s">
        <v>2845</v>
      </c>
      <c r="F1354" s="1">
        <v>3</v>
      </c>
      <c r="G1354" s="1">
        <v>0</v>
      </c>
      <c r="H1354" t="s">
        <v>17</v>
      </c>
      <c r="I1354" t="s">
        <v>75</v>
      </c>
      <c r="J1354" t="s">
        <v>2837</v>
      </c>
      <c r="K1354" s="3">
        <v>46022</v>
      </c>
      <c r="L1354" t="s">
        <v>2407</v>
      </c>
      <c r="M1354">
        <v>0.3</v>
      </c>
      <c r="N1354">
        <v>1680</v>
      </c>
      <c r="O1354">
        <f t="shared" si="63"/>
        <v>0.89999999999999991</v>
      </c>
      <c r="P1354">
        <f t="shared" si="64"/>
        <v>1.7857142857142857E-3</v>
      </c>
      <c r="Q1354" t="str">
        <f t="shared" si="65"/>
        <v>Q27-01</v>
      </c>
    </row>
    <row r="1355" spans="1:17" x14ac:dyDescent="0.25">
      <c r="A1355" t="s">
        <v>61</v>
      </c>
      <c r="B1355" t="s">
        <v>219</v>
      </c>
      <c r="C1355" t="s">
        <v>220</v>
      </c>
      <c r="D1355" t="s">
        <v>69</v>
      </c>
      <c r="E1355" t="s">
        <v>2846</v>
      </c>
      <c r="F1355" s="1">
        <v>3</v>
      </c>
      <c r="G1355" s="1">
        <v>0</v>
      </c>
      <c r="H1355" t="s">
        <v>17</v>
      </c>
      <c r="I1355" t="s">
        <v>222</v>
      </c>
      <c r="J1355" t="s">
        <v>2837</v>
      </c>
      <c r="K1355" s="3">
        <v>46022</v>
      </c>
      <c r="L1355" t="s">
        <v>2424</v>
      </c>
      <c r="M1355">
        <v>0.3</v>
      </c>
      <c r="N1355">
        <v>1680</v>
      </c>
      <c r="O1355">
        <f t="shared" si="63"/>
        <v>0.89999999999999991</v>
      </c>
      <c r="P1355">
        <f t="shared" si="64"/>
        <v>1.7857142857142857E-3</v>
      </c>
      <c r="Q1355" t="str">
        <f t="shared" si="65"/>
        <v>Q27-01</v>
      </c>
    </row>
    <row r="1356" spans="1:17" x14ac:dyDescent="0.25">
      <c r="A1356" t="s">
        <v>61</v>
      </c>
      <c r="B1356" t="s">
        <v>359</v>
      </c>
      <c r="C1356" t="s">
        <v>360</v>
      </c>
      <c r="D1356" t="s">
        <v>69</v>
      </c>
      <c r="E1356" t="s">
        <v>2847</v>
      </c>
      <c r="F1356" s="1">
        <v>74</v>
      </c>
      <c r="G1356" s="1">
        <v>0</v>
      </c>
      <c r="H1356" t="s">
        <v>17</v>
      </c>
      <c r="I1356" t="s">
        <v>362</v>
      </c>
      <c r="J1356" t="s">
        <v>2837</v>
      </c>
      <c r="K1356" s="3">
        <v>46053</v>
      </c>
      <c r="L1356" t="s">
        <v>363</v>
      </c>
      <c r="M1356">
        <v>5.3999999999999999E-2</v>
      </c>
      <c r="N1356">
        <v>2880</v>
      </c>
      <c r="O1356">
        <f t="shared" si="63"/>
        <v>3.996</v>
      </c>
      <c r="P1356">
        <f t="shared" si="64"/>
        <v>2.5694444444444443E-2</v>
      </c>
      <c r="Q1356" t="str">
        <f t="shared" si="65"/>
        <v>Q27-01</v>
      </c>
    </row>
    <row r="1357" spans="1:17" x14ac:dyDescent="0.25">
      <c r="A1357" t="s">
        <v>61</v>
      </c>
      <c r="B1357" t="s">
        <v>233</v>
      </c>
      <c r="C1357" t="s">
        <v>234</v>
      </c>
      <c r="D1357" t="s">
        <v>64</v>
      </c>
      <c r="E1357" t="s">
        <v>2848</v>
      </c>
      <c r="F1357" s="1">
        <v>20</v>
      </c>
      <c r="G1357" s="1">
        <v>0</v>
      </c>
      <c r="H1357" t="s">
        <v>17</v>
      </c>
      <c r="I1357" t="s">
        <v>236</v>
      </c>
      <c r="J1357" t="s">
        <v>2837</v>
      </c>
      <c r="K1357" s="3">
        <v>46053</v>
      </c>
      <c r="L1357" t="s">
        <v>271</v>
      </c>
      <c r="M1357">
        <v>7.4999999999999997E-2</v>
      </c>
      <c r="N1357">
        <v>2688</v>
      </c>
      <c r="O1357">
        <f t="shared" si="63"/>
        <v>1.5</v>
      </c>
      <c r="P1357">
        <f t="shared" si="64"/>
        <v>7.4404761904761901E-3</v>
      </c>
      <c r="Q1357" t="str">
        <f t="shared" si="65"/>
        <v>Q27-01</v>
      </c>
    </row>
    <row r="1358" spans="1:17" x14ac:dyDescent="0.25">
      <c r="A1358" t="s">
        <v>61</v>
      </c>
      <c r="B1358" t="s">
        <v>225</v>
      </c>
      <c r="C1358" t="s">
        <v>226</v>
      </c>
      <c r="D1358" t="s">
        <v>244</v>
      </c>
      <c r="E1358" t="s">
        <v>2849</v>
      </c>
      <c r="F1358" s="1">
        <v>4</v>
      </c>
      <c r="G1358" s="1">
        <v>0</v>
      </c>
      <c r="H1358" t="s">
        <v>17</v>
      </c>
      <c r="I1358" t="s">
        <v>228</v>
      </c>
      <c r="J1358" t="s">
        <v>2850</v>
      </c>
      <c r="K1358" s="3">
        <v>46904</v>
      </c>
      <c r="L1358" t="s">
        <v>2851</v>
      </c>
      <c r="M1358">
        <v>5.8000000000000003E-2</v>
      </c>
      <c r="N1358">
        <v>2880</v>
      </c>
      <c r="O1358">
        <f t="shared" si="63"/>
        <v>0.23200000000000001</v>
      </c>
      <c r="P1358">
        <f t="shared" si="64"/>
        <v>1.3888888888888889E-3</v>
      </c>
      <c r="Q1358" t="str">
        <f t="shared" si="65"/>
        <v>Q27-03</v>
      </c>
    </row>
    <row r="1359" spans="1:17" x14ac:dyDescent="0.25">
      <c r="A1359" t="s">
        <v>61</v>
      </c>
      <c r="B1359" t="s">
        <v>317</v>
      </c>
      <c r="C1359" t="s">
        <v>318</v>
      </c>
      <c r="D1359" t="s">
        <v>244</v>
      </c>
      <c r="E1359" t="s">
        <v>2852</v>
      </c>
      <c r="F1359" s="1">
        <v>3</v>
      </c>
      <c r="G1359" s="1">
        <v>0</v>
      </c>
      <c r="H1359" t="s">
        <v>17</v>
      </c>
      <c r="I1359" t="s">
        <v>320</v>
      </c>
      <c r="J1359" t="s">
        <v>2850</v>
      </c>
      <c r="K1359" s="3">
        <v>46812</v>
      </c>
      <c r="L1359" t="s">
        <v>2853</v>
      </c>
      <c r="M1359">
        <v>0.04</v>
      </c>
      <c r="N1359">
        <v>2688</v>
      </c>
      <c r="O1359">
        <f t="shared" si="63"/>
        <v>0.12</v>
      </c>
      <c r="P1359">
        <f t="shared" si="64"/>
        <v>1.1160714285714285E-3</v>
      </c>
      <c r="Q1359" t="str">
        <f t="shared" si="65"/>
        <v>Q27-03</v>
      </c>
    </row>
    <row r="1360" spans="1:17" x14ac:dyDescent="0.25">
      <c r="A1360" t="s">
        <v>61</v>
      </c>
      <c r="B1360" t="s">
        <v>317</v>
      </c>
      <c r="C1360" t="s">
        <v>318</v>
      </c>
      <c r="D1360" t="s">
        <v>244</v>
      </c>
      <c r="E1360" t="s">
        <v>2854</v>
      </c>
      <c r="F1360" s="1">
        <v>8</v>
      </c>
      <c r="G1360" s="1">
        <v>0</v>
      </c>
      <c r="H1360" t="s">
        <v>17</v>
      </c>
      <c r="I1360" t="s">
        <v>320</v>
      </c>
      <c r="J1360" t="s">
        <v>2850</v>
      </c>
      <c r="K1360" s="3">
        <v>46812</v>
      </c>
      <c r="L1360" t="s">
        <v>2853</v>
      </c>
      <c r="M1360">
        <v>0.04</v>
      </c>
      <c r="N1360">
        <v>2688</v>
      </c>
      <c r="O1360">
        <f t="shared" si="63"/>
        <v>0.32</v>
      </c>
      <c r="P1360">
        <f t="shared" si="64"/>
        <v>2.976190476190476E-3</v>
      </c>
      <c r="Q1360" t="str">
        <f t="shared" si="65"/>
        <v>Q27-03</v>
      </c>
    </row>
    <row r="1361" spans="1:17" x14ac:dyDescent="0.25">
      <c r="A1361" t="s">
        <v>61</v>
      </c>
      <c r="B1361" t="s">
        <v>317</v>
      </c>
      <c r="C1361" t="s">
        <v>318</v>
      </c>
      <c r="D1361" t="s">
        <v>244</v>
      </c>
      <c r="E1361" t="s">
        <v>2855</v>
      </c>
      <c r="F1361" s="1">
        <v>8</v>
      </c>
      <c r="G1361" s="1">
        <v>0</v>
      </c>
      <c r="H1361" t="s">
        <v>17</v>
      </c>
      <c r="I1361" t="s">
        <v>320</v>
      </c>
      <c r="J1361" t="s">
        <v>2850</v>
      </c>
      <c r="K1361" s="3">
        <v>46812</v>
      </c>
      <c r="L1361" t="s">
        <v>2853</v>
      </c>
      <c r="M1361">
        <v>0.04</v>
      </c>
      <c r="N1361">
        <v>2688</v>
      </c>
      <c r="O1361">
        <f t="shared" si="63"/>
        <v>0.32</v>
      </c>
      <c r="P1361">
        <f t="shared" si="64"/>
        <v>2.976190476190476E-3</v>
      </c>
      <c r="Q1361" t="str">
        <f t="shared" si="65"/>
        <v>Q27-03</v>
      </c>
    </row>
    <row r="1362" spans="1:17" x14ac:dyDescent="0.25">
      <c r="A1362" t="s">
        <v>61</v>
      </c>
      <c r="B1362" t="s">
        <v>317</v>
      </c>
      <c r="C1362" t="s">
        <v>318</v>
      </c>
      <c r="D1362" t="s">
        <v>382</v>
      </c>
      <c r="E1362" t="s">
        <v>2856</v>
      </c>
      <c r="F1362" s="1">
        <v>1</v>
      </c>
      <c r="G1362" s="1">
        <v>0</v>
      </c>
      <c r="H1362" t="s">
        <v>17</v>
      </c>
      <c r="I1362" t="s">
        <v>320</v>
      </c>
      <c r="J1362" t="s">
        <v>2850</v>
      </c>
      <c r="K1362" s="3">
        <v>46812</v>
      </c>
      <c r="L1362" t="s">
        <v>2853</v>
      </c>
      <c r="M1362">
        <v>0.04</v>
      </c>
      <c r="N1362">
        <v>2688</v>
      </c>
      <c r="O1362">
        <f t="shared" si="63"/>
        <v>0.04</v>
      </c>
      <c r="P1362">
        <f t="shared" si="64"/>
        <v>3.720238095238095E-4</v>
      </c>
      <c r="Q1362" t="str">
        <f t="shared" si="65"/>
        <v>Q27-03</v>
      </c>
    </row>
    <row r="1363" spans="1:17" x14ac:dyDescent="0.25">
      <c r="A1363" t="s">
        <v>61</v>
      </c>
      <c r="B1363" t="s">
        <v>317</v>
      </c>
      <c r="C1363" t="s">
        <v>318</v>
      </c>
      <c r="D1363" t="s">
        <v>382</v>
      </c>
      <c r="E1363" t="s">
        <v>2857</v>
      </c>
      <c r="F1363" s="1">
        <v>6</v>
      </c>
      <c r="G1363" s="1">
        <v>0</v>
      </c>
      <c r="H1363" t="s">
        <v>17</v>
      </c>
      <c r="I1363" t="s">
        <v>320</v>
      </c>
      <c r="J1363" t="s">
        <v>2850</v>
      </c>
      <c r="K1363" s="3">
        <v>46812</v>
      </c>
      <c r="L1363" t="s">
        <v>2853</v>
      </c>
      <c r="M1363">
        <v>0.04</v>
      </c>
      <c r="N1363">
        <v>2688</v>
      </c>
      <c r="O1363">
        <f t="shared" si="63"/>
        <v>0.24</v>
      </c>
      <c r="P1363">
        <f t="shared" si="64"/>
        <v>2.232142857142857E-3</v>
      </c>
      <c r="Q1363" t="str">
        <f t="shared" si="65"/>
        <v>Q27-03</v>
      </c>
    </row>
    <row r="1364" spans="1:17" x14ac:dyDescent="0.25">
      <c r="A1364" t="s">
        <v>61</v>
      </c>
      <c r="B1364" t="s">
        <v>317</v>
      </c>
      <c r="C1364" t="s">
        <v>318</v>
      </c>
      <c r="D1364" t="s">
        <v>382</v>
      </c>
      <c r="E1364" t="s">
        <v>2858</v>
      </c>
      <c r="F1364" s="1">
        <v>6</v>
      </c>
      <c r="G1364" s="1">
        <v>0</v>
      </c>
      <c r="H1364" t="s">
        <v>17</v>
      </c>
      <c r="I1364" t="s">
        <v>320</v>
      </c>
      <c r="J1364" t="s">
        <v>2850</v>
      </c>
      <c r="K1364" s="3">
        <v>46812</v>
      </c>
      <c r="L1364" t="s">
        <v>2853</v>
      </c>
      <c r="M1364">
        <v>0.04</v>
      </c>
      <c r="N1364">
        <v>2688</v>
      </c>
      <c r="O1364">
        <f t="shared" si="63"/>
        <v>0.24</v>
      </c>
      <c r="P1364">
        <f t="shared" si="64"/>
        <v>2.232142857142857E-3</v>
      </c>
      <c r="Q1364" t="str">
        <f t="shared" si="65"/>
        <v>Q27-03</v>
      </c>
    </row>
    <row r="1365" spans="1:17" x14ac:dyDescent="0.25">
      <c r="A1365" t="s">
        <v>61</v>
      </c>
      <c r="B1365" t="s">
        <v>317</v>
      </c>
      <c r="C1365" t="s">
        <v>318</v>
      </c>
      <c r="D1365" t="s">
        <v>382</v>
      </c>
      <c r="E1365" t="s">
        <v>2859</v>
      </c>
      <c r="F1365" s="1">
        <v>1</v>
      </c>
      <c r="G1365" s="1">
        <v>0</v>
      </c>
      <c r="H1365" t="s">
        <v>17</v>
      </c>
      <c r="I1365" t="s">
        <v>320</v>
      </c>
      <c r="J1365" t="s">
        <v>2850</v>
      </c>
      <c r="K1365" s="3">
        <v>46812</v>
      </c>
      <c r="L1365" t="s">
        <v>2853</v>
      </c>
      <c r="M1365">
        <v>0.04</v>
      </c>
      <c r="N1365">
        <v>2688</v>
      </c>
      <c r="O1365">
        <f t="shared" si="63"/>
        <v>0.04</v>
      </c>
      <c r="P1365">
        <f t="shared" si="64"/>
        <v>3.720238095238095E-4</v>
      </c>
      <c r="Q1365" t="str">
        <f t="shared" si="65"/>
        <v>Q27-03</v>
      </c>
    </row>
    <row r="1366" spans="1:17" x14ac:dyDescent="0.25">
      <c r="A1366" t="s">
        <v>61</v>
      </c>
      <c r="B1366" t="s">
        <v>317</v>
      </c>
      <c r="C1366" t="s">
        <v>318</v>
      </c>
      <c r="D1366" t="s">
        <v>382</v>
      </c>
      <c r="E1366" t="s">
        <v>2860</v>
      </c>
      <c r="F1366" s="1">
        <v>1</v>
      </c>
      <c r="G1366" s="1">
        <v>0</v>
      </c>
      <c r="H1366" t="s">
        <v>17</v>
      </c>
      <c r="I1366" t="s">
        <v>320</v>
      </c>
      <c r="J1366" t="s">
        <v>2850</v>
      </c>
      <c r="K1366" s="3">
        <v>46812</v>
      </c>
      <c r="L1366" t="s">
        <v>2853</v>
      </c>
      <c r="M1366">
        <v>0.04</v>
      </c>
      <c r="N1366">
        <v>2688</v>
      </c>
      <c r="O1366">
        <f t="shared" si="63"/>
        <v>0.04</v>
      </c>
      <c r="P1366">
        <f t="shared" si="64"/>
        <v>3.720238095238095E-4</v>
      </c>
      <c r="Q1366" t="str">
        <f t="shared" si="65"/>
        <v>Q27-03</v>
      </c>
    </row>
    <row r="1367" spans="1:17" x14ac:dyDescent="0.25">
      <c r="A1367" t="s">
        <v>61</v>
      </c>
      <c r="B1367" t="s">
        <v>456</v>
      </c>
      <c r="C1367" t="s">
        <v>457</v>
      </c>
      <c r="D1367" t="s">
        <v>336</v>
      </c>
      <c r="E1367" t="s">
        <v>2861</v>
      </c>
      <c r="F1367" s="1">
        <v>1</v>
      </c>
      <c r="G1367" s="1">
        <v>0</v>
      </c>
      <c r="H1367" t="s">
        <v>17</v>
      </c>
      <c r="I1367" t="s">
        <v>459</v>
      </c>
      <c r="J1367" t="s">
        <v>2850</v>
      </c>
      <c r="K1367" s="3">
        <v>46599</v>
      </c>
      <c r="L1367" t="s">
        <v>2862</v>
      </c>
      <c r="M1367">
        <v>0.22600000000000001</v>
      </c>
      <c r="N1367">
        <v>1680</v>
      </c>
      <c r="O1367">
        <f t="shared" si="63"/>
        <v>0.22600000000000001</v>
      </c>
      <c r="P1367">
        <f t="shared" si="64"/>
        <v>5.9523809523809529E-4</v>
      </c>
      <c r="Q1367" t="str">
        <f t="shared" si="65"/>
        <v>Q27-03</v>
      </c>
    </row>
    <row r="1368" spans="1:17" x14ac:dyDescent="0.25">
      <c r="A1368" t="s">
        <v>61</v>
      </c>
      <c r="B1368" t="s">
        <v>456</v>
      </c>
      <c r="C1368" t="s">
        <v>457</v>
      </c>
      <c r="D1368" t="s">
        <v>240</v>
      </c>
      <c r="E1368" t="s">
        <v>2863</v>
      </c>
      <c r="F1368" s="1">
        <v>16</v>
      </c>
      <c r="G1368" s="1">
        <v>0</v>
      </c>
      <c r="H1368" t="s">
        <v>17</v>
      </c>
      <c r="I1368" t="s">
        <v>459</v>
      </c>
      <c r="J1368" t="s">
        <v>2850</v>
      </c>
      <c r="K1368" s="3">
        <v>46599</v>
      </c>
      <c r="L1368" t="s">
        <v>2862</v>
      </c>
      <c r="M1368">
        <v>0.22600000000000001</v>
      </c>
      <c r="N1368">
        <v>1680</v>
      </c>
      <c r="O1368">
        <f t="shared" si="63"/>
        <v>3.6160000000000001</v>
      </c>
      <c r="P1368">
        <f t="shared" si="64"/>
        <v>9.5238095238095247E-3</v>
      </c>
      <c r="Q1368" t="str">
        <f t="shared" si="65"/>
        <v>Q27-03</v>
      </c>
    </row>
    <row r="1369" spans="1:17" x14ac:dyDescent="0.25">
      <c r="A1369" t="s">
        <v>61</v>
      </c>
      <c r="B1369" t="s">
        <v>219</v>
      </c>
      <c r="C1369" t="s">
        <v>220</v>
      </c>
      <c r="D1369" t="s">
        <v>336</v>
      </c>
      <c r="E1369" t="s">
        <v>2864</v>
      </c>
      <c r="F1369" s="1">
        <v>2</v>
      </c>
      <c r="G1369" s="1">
        <v>0</v>
      </c>
      <c r="H1369" t="s">
        <v>17</v>
      </c>
      <c r="I1369" t="s">
        <v>222</v>
      </c>
      <c r="J1369" t="s">
        <v>2850</v>
      </c>
      <c r="K1369" s="3">
        <v>46630</v>
      </c>
      <c r="L1369" t="s">
        <v>2865</v>
      </c>
      <c r="M1369">
        <v>0.3</v>
      </c>
      <c r="N1369">
        <v>1680</v>
      </c>
      <c r="O1369">
        <f t="shared" si="63"/>
        <v>0.6</v>
      </c>
      <c r="P1369">
        <f t="shared" si="64"/>
        <v>1.1904761904761906E-3</v>
      </c>
      <c r="Q1369" t="str">
        <f t="shared" si="65"/>
        <v>Q27-03</v>
      </c>
    </row>
    <row r="1370" spans="1:17" x14ac:dyDescent="0.25">
      <c r="A1370" t="s">
        <v>61</v>
      </c>
      <c r="B1370" t="s">
        <v>219</v>
      </c>
      <c r="C1370" t="s">
        <v>220</v>
      </c>
      <c r="D1370" t="s">
        <v>240</v>
      </c>
      <c r="E1370" t="s">
        <v>2866</v>
      </c>
      <c r="F1370" s="1">
        <v>2</v>
      </c>
      <c r="G1370" s="1">
        <v>0</v>
      </c>
      <c r="H1370" t="s">
        <v>17</v>
      </c>
      <c r="I1370" t="s">
        <v>222</v>
      </c>
      <c r="J1370" t="s">
        <v>2850</v>
      </c>
      <c r="K1370" s="3">
        <v>46630</v>
      </c>
      <c r="L1370" t="s">
        <v>2865</v>
      </c>
      <c r="M1370">
        <v>0.3</v>
      </c>
      <c r="N1370">
        <v>1680</v>
      </c>
      <c r="O1370">
        <f t="shared" si="63"/>
        <v>0.6</v>
      </c>
      <c r="P1370">
        <f t="shared" si="64"/>
        <v>1.1904761904761906E-3</v>
      </c>
      <c r="Q1370" t="str">
        <f t="shared" si="65"/>
        <v>Q27-03</v>
      </c>
    </row>
    <row r="1371" spans="1:17" x14ac:dyDescent="0.25">
      <c r="A1371" t="s">
        <v>12</v>
      </c>
      <c r="B1371" t="s">
        <v>1241</v>
      </c>
      <c r="C1371" t="s">
        <v>1242</v>
      </c>
      <c r="D1371" t="s">
        <v>388</v>
      </c>
      <c r="E1371" t="s">
        <v>2867</v>
      </c>
      <c r="F1371" s="1">
        <v>1</v>
      </c>
      <c r="G1371" s="1">
        <v>0</v>
      </c>
      <c r="H1371" t="s">
        <v>17</v>
      </c>
      <c r="I1371" t="s">
        <v>1244</v>
      </c>
      <c r="J1371" t="s">
        <v>2868</v>
      </c>
      <c r="K1371" s="3">
        <v>46599</v>
      </c>
      <c r="L1371" t="s">
        <v>2869</v>
      </c>
      <c r="M1371">
        <v>4.1000000000000002E-2</v>
      </c>
      <c r="N1371">
        <v>2592</v>
      </c>
      <c r="O1371">
        <f t="shared" si="63"/>
        <v>4.1000000000000002E-2</v>
      </c>
      <c r="P1371">
        <f t="shared" si="64"/>
        <v>3.8580246913580245E-4</v>
      </c>
      <c r="Q1371" t="str">
        <f t="shared" si="65"/>
        <v>Q26-03</v>
      </c>
    </row>
    <row r="1372" spans="1:17" x14ac:dyDescent="0.25">
      <c r="A1372" t="s">
        <v>12</v>
      </c>
      <c r="B1372" t="s">
        <v>1556</v>
      </c>
      <c r="C1372" t="s">
        <v>1557</v>
      </c>
      <c r="D1372" t="s">
        <v>388</v>
      </c>
      <c r="E1372" t="s">
        <v>2870</v>
      </c>
      <c r="F1372" s="1">
        <v>1</v>
      </c>
      <c r="G1372" s="1">
        <v>0</v>
      </c>
      <c r="H1372" t="s">
        <v>17</v>
      </c>
      <c r="I1372" t="s">
        <v>1559</v>
      </c>
      <c r="J1372" t="s">
        <v>2871</v>
      </c>
      <c r="K1372" s="3">
        <v>46377</v>
      </c>
      <c r="L1372" t="s">
        <v>1561</v>
      </c>
      <c r="M1372">
        <v>2.1000000000000001E-2</v>
      </c>
      <c r="N1372">
        <v>7150</v>
      </c>
      <c r="O1372">
        <f t="shared" si="63"/>
        <v>2.1000000000000001E-2</v>
      </c>
      <c r="P1372">
        <f t="shared" si="64"/>
        <v>1.3986013986013986E-4</v>
      </c>
      <c r="Q1372" t="str">
        <f t="shared" si="65"/>
        <v>Q26-03</v>
      </c>
    </row>
    <row r="1373" spans="1:17" x14ac:dyDescent="0.25">
      <c r="A1373" t="s">
        <v>12</v>
      </c>
      <c r="B1373" t="s">
        <v>2366</v>
      </c>
      <c r="C1373" t="s">
        <v>2367</v>
      </c>
      <c r="D1373" t="s">
        <v>44</v>
      </c>
      <c r="E1373" t="s">
        <v>2872</v>
      </c>
      <c r="F1373" s="1">
        <v>2</v>
      </c>
      <c r="G1373" s="1">
        <v>0</v>
      </c>
      <c r="H1373" t="s">
        <v>17</v>
      </c>
      <c r="I1373" t="s">
        <v>2369</v>
      </c>
      <c r="J1373" t="s">
        <v>2873</v>
      </c>
      <c r="K1373" s="3">
        <v>46793</v>
      </c>
      <c r="L1373" t="s">
        <v>2560</v>
      </c>
      <c r="M1373">
        <v>0.12</v>
      </c>
      <c r="N1373">
        <v>1920</v>
      </c>
      <c r="O1373">
        <f t="shared" si="63"/>
        <v>0.24</v>
      </c>
      <c r="P1373">
        <f t="shared" si="64"/>
        <v>1.0416666666666667E-3</v>
      </c>
      <c r="Q1373" t="str">
        <f t="shared" si="65"/>
        <v>Q26-01</v>
      </c>
    </row>
    <row r="1374" spans="1:17" x14ac:dyDescent="0.25">
      <c r="A1374" t="s">
        <v>12</v>
      </c>
      <c r="B1374" t="s">
        <v>2301</v>
      </c>
      <c r="C1374" t="s">
        <v>2302</v>
      </c>
      <c r="D1374" t="s">
        <v>44</v>
      </c>
      <c r="E1374" t="s">
        <v>2874</v>
      </c>
      <c r="F1374" s="1">
        <v>8</v>
      </c>
      <c r="G1374" s="1">
        <v>0</v>
      </c>
      <c r="H1374" t="s">
        <v>17</v>
      </c>
      <c r="I1374" t="s">
        <v>2304</v>
      </c>
      <c r="J1374" t="s">
        <v>2873</v>
      </c>
      <c r="K1374" s="3">
        <v>46639</v>
      </c>
      <c r="L1374" t="s">
        <v>2875</v>
      </c>
      <c r="M1374">
        <v>0.14399999999999999</v>
      </c>
      <c r="N1374">
        <v>1728</v>
      </c>
      <c r="O1374">
        <f t="shared" si="63"/>
        <v>1.1519999999999999</v>
      </c>
      <c r="P1374">
        <f t="shared" si="64"/>
        <v>4.6296296296296294E-3</v>
      </c>
      <c r="Q1374" t="str">
        <f t="shared" si="65"/>
        <v>Q26-01</v>
      </c>
    </row>
    <row r="1375" spans="1:17" x14ac:dyDescent="0.25">
      <c r="A1375" t="s">
        <v>12</v>
      </c>
      <c r="B1375" t="s">
        <v>2876</v>
      </c>
      <c r="C1375" t="s">
        <v>2877</v>
      </c>
      <c r="D1375" t="s">
        <v>57</v>
      </c>
      <c r="E1375" t="s">
        <v>2878</v>
      </c>
      <c r="F1375" s="1">
        <v>3</v>
      </c>
      <c r="G1375" s="1">
        <v>0</v>
      </c>
      <c r="H1375" t="s">
        <v>17</v>
      </c>
      <c r="I1375" t="s">
        <v>2879</v>
      </c>
      <c r="J1375" t="s">
        <v>2880</v>
      </c>
      <c r="K1375" s="3">
        <v>46696</v>
      </c>
      <c r="L1375" t="s">
        <v>2881</v>
      </c>
      <c r="M1375">
        <v>1.2E-2</v>
      </c>
      <c r="N1375">
        <v>5940</v>
      </c>
      <c r="O1375">
        <f t="shared" si="63"/>
        <v>3.6000000000000004E-2</v>
      </c>
      <c r="P1375">
        <f t="shared" si="64"/>
        <v>5.0505050505050505E-4</v>
      </c>
      <c r="Q1375" t="str">
        <f t="shared" si="65"/>
        <v>Q26-03</v>
      </c>
    </row>
    <row r="1376" spans="1:17" x14ac:dyDescent="0.25">
      <c r="A1376" t="s">
        <v>12</v>
      </c>
      <c r="B1376" t="s">
        <v>1241</v>
      </c>
      <c r="C1376" t="s">
        <v>1242</v>
      </c>
      <c r="D1376" t="s">
        <v>388</v>
      </c>
      <c r="E1376" t="s">
        <v>2882</v>
      </c>
      <c r="F1376" s="1">
        <v>14</v>
      </c>
      <c r="G1376" s="1">
        <v>0</v>
      </c>
      <c r="H1376" t="s">
        <v>17</v>
      </c>
      <c r="I1376" t="s">
        <v>1244</v>
      </c>
      <c r="J1376" t="s">
        <v>2883</v>
      </c>
      <c r="K1376" s="3">
        <v>46691</v>
      </c>
      <c r="L1376" t="s">
        <v>2884</v>
      </c>
      <c r="M1376">
        <v>4.1000000000000002E-2</v>
      </c>
      <c r="N1376">
        <v>2592</v>
      </c>
      <c r="O1376">
        <f t="shared" si="63"/>
        <v>0.57400000000000007</v>
      </c>
      <c r="P1376">
        <f t="shared" si="64"/>
        <v>5.4012345679012343E-3</v>
      </c>
      <c r="Q1376" t="str">
        <f t="shared" si="65"/>
        <v>Q26-03</v>
      </c>
    </row>
    <row r="1377" spans="1:17" x14ac:dyDescent="0.25">
      <c r="A1377" t="s">
        <v>12</v>
      </c>
      <c r="B1377" t="s">
        <v>1241</v>
      </c>
      <c r="C1377" t="s">
        <v>1242</v>
      </c>
      <c r="D1377" t="s">
        <v>57</v>
      </c>
      <c r="E1377" t="s">
        <v>2885</v>
      </c>
      <c r="F1377" s="1">
        <v>1</v>
      </c>
      <c r="G1377" s="1">
        <v>0</v>
      </c>
      <c r="H1377" t="s">
        <v>17</v>
      </c>
      <c r="I1377" t="s">
        <v>1244</v>
      </c>
      <c r="J1377" t="s">
        <v>2886</v>
      </c>
      <c r="K1377" s="3">
        <v>46691</v>
      </c>
      <c r="L1377" t="s">
        <v>2887</v>
      </c>
      <c r="M1377">
        <v>4.1000000000000002E-2</v>
      </c>
      <c r="N1377">
        <v>2592</v>
      </c>
      <c r="O1377">
        <f t="shared" si="63"/>
        <v>4.1000000000000002E-2</v>
      </c>
      <c r="P1377">
        <f t="shared" si="64"/>
        <v>3.8580246913580245E-4</v>
      </c>
      <c r="Q1377" t="str">
        <f t="shared" si="65"/>
        <v>Q26-03</v>
      </c>
    </row>
    <row r="1378" spans="1:17" x14ac:dyDescent="0.25">
      <c r="A1378" t="s">
        <v>12</v>
      </c>
      <c r="B1378" t="s">
        <v>1241</v>
      </c>
      <c r="C1378" t="s">
        <v>1242</v>
      </c>
      <c r="D1378" t="s">
        <v>57</v>
      </c>
      <c r="E1378" t="s">
        <v>2888</v>
      </c>
      <c r="F1378" s="1">
        <v>13</v>
      </c>
      <c r="G1378" s="1">
        <v>0</v>
      </c>
      <c r="H1378" t="s">
        <v>17</v>
      </c>
      <c r="I1378" t="s">
        <v>1244</v>
      </c>
      <c r="J1378" t="s">
        <v>2886</v>
      </c>
      <c r="K1378" s="3">
        <v>46691</v>
      </c>
      <c r="L1378" t="s">
        <v>2889</v>
      </c>
      <c r="M1378">
        <v>4.1000000000000002E-2</v>
      </c>
      <c r="N1378">
        <v>2592</v>
      </c>
      <c r="O1378">
        <f t="shared" si="63"/>
        <v>0.53300000000000003</v>
      </c>
      <c r="P1378">
        <f t="shared" si="64"/>
        <v>5.0154320987654318E-3</v>
      </c>
      <c r="Q1378" t="str">
        <f t="shared" si="65"/>
        <v>Q26-03</v>
      </c>
    </row>
    <row r="1379" spans="1:17" x14ac:dyDescent="0.25">
      <c r="A1379" t="s">
        <v>12</v>
      </c>
      <c r="B1379" t="s">
        <v>1241</v>
      </c>
      <c r="C1379" t="s">
        <v>1242</v>
      </c>
      <c r="D1379" t="s">
        <v>388</v>
      </c>
      <c r="E1379" t="s">
        <v>2890</v>
      </c>
      <c r="F1379" s="1">
        <v>1</v>
      </c>
      <c r="G1379" s="1">
        <v>0</v>
      </c>
      <c r="H1379" t="s">
        <v>17</v>
      </c>
      <c r="I1379" t="s">
        <v>1244</v>
      </c>
      <c r="J1379" t="s">
        <v>2886</v>
      </c>
      <c r="K1379" s="3">
        <v>46691</v>
      </c>
      <c r="L1379" t="s">
        <v>2891</v>
      </c>
      <c r="M1379">
        <v>4.1000000000000002E-2</v>
      </c>
      <c r="N1379">
        <v>2592</v>
      </c>
      <c r="O1379">
        <f t="shared" si="63"/>
        <v>4.1000000000000002E-2</v>
      </c>
      <c r="P1379">
        <f t="shared" si="64"/>
        <v>3.8580246913580245E-4</v>
      </c>
      <c r="Q1379" t="str">
        <f t="shared" si="65"/>
        <v>Q26-03</v>
      </c>
    </row>
    <row r="1380" spans="1:17" x14ac:dyDescent="0.25">
      <c r="A1380" t="s">
        <v>12</v>
      </c>
      <c r="B1380" t="s">
        <v>2892</v>
      </c>
      <c r="C1380" t="s">
        <v>2893</v>
      </c>
      <c r="D1380" t="s">
        <v>407</v>
      </c>
      <c r="E1380" t="s">
        <v>2894</v>
      </c>
      <c r="F1380" s="1">
        <v>1</v>
      </c>
      <c r="G1380" s="1">
        <v>0</v>
      </c>
      <c r="H1380" t="s">
        <v>17</v>
      </c>
      <c r="I1380" t="s">
        <v>2895</v>
      </c>
      <c r="J1380" t="s">
        <v>2896</v>
      </c>
      <c r="K1380" s="3">
        <v>47057</v>
      </c>
      <c r="L1380" t="s">
        <v>2897</v>
      </c>
      <c r="M1380">
        <v>1.2E-2</v>
      </c>
      <c r="N1380">
        <v>5760</v>
      </c>
      <c r="O1380">
        <f t="shared" si="63"/>
        <v>1.2E-2</v>
      </c>
      <c r="P1380">
        <f t="shared" si="64"/>
        <v>1.7361111111111112E-4</v>
      </c>
      <c r="Q1380" t="str">
        <f t="shared" si="65"/>
        <v>Q27-01</v>
      </c>
    </row>
    <row r="1381" spans="1:17" x14ac:dyDescent="0.25">
      <c r="A1381" t="s">
        <v>2411</v>
      </c>
      <c r="B1381" t="s">
        <v>2898</v>
      </c>
      <c r="C1381" t="s">
        <v>2899</v>
      </c>
      <c r="D1381" t="s">
        <v>77</v>
      </c>
      <c r="E1381" t="s">
        <v>2900</v>
      </c>
      <c r="F1381" s="1">
        <v>2</v>
      </c>
      <c r="G1381" s="1">
        <v>0</v>
      </c>
      <c r="H1381" t="s">
        <v>17</v>
      </c>
      <c r="I1381" t="s">
        <v>2901</v>
      </c>
      <c r="J1381" t="s">
        <v>2902</v>
      </c>
      <c r="K1381" s="3">
        <v>46923</v>
      </c>
      <c r="L1381" t="s">
        <v>2903</v>
      </c>
      <c r="M1381">
        <v>7.1999999999999995E-2</v>
      </c>
      <c r="N1381">
        <v>1600</v>
      </c>
      <c r="O1381">
        <f t="shared" si="63"/>
        <v>0.14399999999999999</v>
      </c>
      <c r="P1381">
        <f t="shared" si="64"/>
        <v>1.25E-3</v>
      </c>
      <c r="Q1381" t="str">
        <f t="shared" si="65"/>
        <v>Q27-01</v>
      </c>
    </row>
    <row r="1382" spans="1:17" x14ac:dyDescent="0.25">
      <c r="A1382" t="s">
        <v>12</v>
      </c>
      <c r="B1382" t="s">
        <v>2095</v>
      </c>
      <c r="C1382" t="s">
        <v>2096</v>
      </c>
      <c r="D1382" t="s">
        <v>144</v>
      </c>
      <c r="E1382" t="s">
        <v>2904</v>
      </c>
      <c r="F1382" s="2">
        <v>2200</v>
      </c>
      <c r="G1382" s="1">
        <v>0</v>
      </c>
      <c r="H1382" t="s">
        <v>17</v>
      </c>
      <c r="I1382" t="s">
        <v>475</v>
      </c>
      <c r="J1382" t="s">
        <v>90</v>
      </c>
      <c r="K1382" s="3">
        <v>46752</v>
      </c>
      <c r="L1382" t="s">
        <v>123</v>
      </c>
      <c r="M1382">
        <v>0</v>
      </c>
      <c r="N1382">
        <v>0</v>
      </c>
      <c r="O1382">
        <f t="shared" si="63"/>
        <v>0</v>
      </c>
      <c r="Q1382" t="str">
        <f t="shared" si="65"/>
        <v>QM4-01</v>
      </c>
    </row>
    <row r="1383" spans="1:17" x14ac:dyDescent="0.25">
      <c r="A1383" t="s">
        <v>2411</v>
      </c>
      <c r="B1383" t="s">
        <v>2905</v>
      </c>
      <c r="C1383" t="s">
        <v>2906</v>
      </c>
      <c r="D1383" t="s">
        <v>407</v>
      </c>
      <c r="E1383" t="s">
        <v>2907</v>
      </c>
      <c r="F1383" s="1">
        <v>703</v>
      </c>
      <c r="G1383" s="1">
        <v>0</v>
      </c>
      <c r="H1383" t="s">
        <v>17</v>
      </c>
      <c r="I1383" t="s">
        <v>84</v>
      </c>
      <c r="J1383" t="s">
        <v>2908</v>
      </c>
      <c r="K1383" s="3">
        <v>73050</v>
      </c>
      <c r="L1383" t="s">
        <v>123</v>
      </c>
      <c r="M1383">
        <v>3.7999999999999999E-2</v>
      </c>
      <c r="N1383">
        <v>0</v>
      </c>
      <c r="O1383">
        <f t="shared" si="63"/>
        <v>26.713999999999999</v>
      </c>
      <c r="Q1383" t="str">
        <f t="shared" si="65"/>
        <v>Q27-01</v>
      </c>
    </row>
    <row r="1384" spans="1:17" x14ac:dyDescent="0.25">
      <c r="A1384" t="s">
        <v>2411</v>
      </c>
      <c r="B1384" t="s">
        <v>2909</v>
      </c>
      <c r="C1384" t="s">
        <v>2910</v>
      </c>
      <c r="D1384" t="s">
        <v>407</v>
      </c>
      <c r="E1384" t="s">
        <v>2911</v>
      </c>
      <c r="F1384" s="1">
        <v>55</v>
      </c>
      <c r="G1384" s="1">
        <v>0</v>
      </c>
      <c r="H1384" t="s">
        <v>17</v>
      </c>
      <c r="I1384" t="s">
        <v>84</v>
      </c>
      <c r="J1384" t="s">
        <v>2912</v>
      </c>
      <c r="K1384" s="3">
        <v>73050</v>
      </c>
      <c r="L1384" t="s">
        <v>123</v>
      </c>
      <c r="M1384">
        <v>3.7999999999999999E-2</v>
      </c>
      <c r="N1384">
        <v>3600</v>
      </c>
      <c r="O1384">
        <f t="shared" si="63"/>
        <v>2.09</v>
      </c>
      <c r="P1384">
        <f t="shared" si="64"/>
        <v>1.5277777777777777E-2</v>
      </c>
      <c r="Q1384" t="str">
        <f t="shared" si="65"/>
        <v>Q27-01</v>
      </c>
    </row>
    <row r="1385" spans="1:17" x14ac:dyDescent="0.25">
      <c r="A1385" t="s">
        <v>12</v>
      </c>
      <c r="B1385" t="s">
        <v>1241</v>
      </c>
      <c r="C1385" t="s">
        <v>1242</v>
      </c>
      <c r="D1385" t="s">
        <v>57</v>
      </c>
      <c r="E1385" t="s">
        <v>2913</v>
      </c>
      <c r="F1385" s="1">
        <v>7</v>
      </c>
      <c r="G1385" s="1">
        <v>0</v>
      </c>
      <c r="H1385" t="s">
        <v>17</v>
      </c>
      <c r="I1385" t="s">
        <v>1244</v>
      </c>
      <c r="J1385" t="s">
        <v>2914</v>
      </c>
      <c r="K1385" s="3">
        <v>46691</v>
      </c>
      <c r="L1385" t="s">
        <v>2915</v>
      </c>
      <c r="M1385">
        <v>4.1000000000000002E-2</v>
      </c>
      <c r="N1385">
        <v>2592</v>
      </c>
      <c r="O1385">
        <f t="shared" si="63"/>
        <v>0.28700000000000003</v>
      </c>
      <c r="P1385">
        <f t="shared" si="64"/>
        <v>2.7006172839506171E-3</v>
      </c>
      <c r="Q1385" t="str">
        <f t="shared" si="65"/>
        <v>Q26-03</v>
      </c>
    </row>
    <row r="1386" spans="1:17" x14ac:dyDescent="0.25">
      <c r="A1386" t="s">
        <v>12</v>
      </c>
      <c r="B1386" t="s">
        <v>1241</v>
      </c>
      <c r="C1386" t="s">
        <v>1242</v>
      </c>
      <c r="D1386" t="s">
        <v>57</v>
      </c>
      <c r="E1386" t="s">
        <v>2916</v>
      </c>
      <c r="F1386" s="1">
        <v>3</v>
      </c>
      <c r="G1386" s="1">
        <v>0</v>
      </c>
      <c r="H1386" t="s">
        <v>17</v>
      </c>
      <c r="I1386" t="s">
        <v>1244</v>
      </c>
      <c r="J1386" t="s">
        <v>2914</v>
      </c>
      <c r="K1386" s="3">
        <v>46691</v>
      </c>
      <c r="L1386" t="s">
        <v>2887</v>
      </c>
      <c r="M1386">
        <v>4.1000000000000002E-2</v>
      </c>
      <c r="N1386">
        <v>2592</v>
      </c>
      <c r="O1386">
        <f t="shared" si="63"/>
        <v>0.123</v>
      </c>
      <c r="P1386">
        <f t="shared" si="64"/>
        <v>1.1574074074074073E-3</v>
      </c>
      <c r="Q1386" t="str">
        <f t="shared" si="65"/>
        <v>Q26-03</v>
      </c>
    </row>
    <row r="1387" spans="1:17" x14ac:dyDescent="0.25">
      <c r="A1387" t="s">
        <v>61</v>
      </c>
      <c r="B1387" t="s">
        <v>166</v>
      </c>
      <c r="C1387" t="s">
        <v>167</v>
      </c>
      <c r="D1387" t="s">
        <v>244</v>
      </c>
      <c r="E1387" t="s">
        <v>2917</v>
      </c>
      <c r="F1387" s="1">
        <v>1</v>
      </c>
      <c r="G1387" s="1">
        <v>0</v>
      </c>
      <c r="H1387" t="s">
        <v>17</v>
      </c>
      <c r="I1387" t="s">
        <v>170</v>
      </c>
      <c r="J1387" t="s">
        <v>2918</v>
      </c>
      <c r="K1387" s="3">
        <v>46173</v>
      </c>
      <c r="L1387" t="s">
        <v>179</v>
      </c>
      <c r="M1387">
        <v>9.2999999999999999E-2</v>
      </c>
      <c r="N1387">
        <v>1536</v>
      </c>
      <c r="O1387">
        <f t="shared" si="63"/>
        <v>9.2999999999999999E-2</v>
      </c>
      <c r="P1387">
        <f t="shared" si="64"/>
        <v>6.5104166666666663E-4</v>
      </c>
      <c r="Q1387" t="str">
        <f t="shared" si="65"/>
        <v>Q27-03</v>
      </c>
    </row>
    <row r="1388" spans="1:17" x14ac:dyDescent="0.25">
      <c r="A1388" t="s">
        <v>12</v>
      </c>
      <c r="B1388" t="s">
        <v>2919</v>
      </c>
      <c r="C1388" t="s">
        <v>2920</v>
      </c>
      <c r="D1388" t="s">
        <v>77</v>
      </c>
      <c r="E1388" t="s">
        <v>2921</v>
      </c>
      <c r="F1388" s="1">
        <v>2</v>
      </c>
      <c r="G1388" s="1">
        <v>0</v>
      </c>
      <c r="H1388" t="s">
        <v>17</v>
      </c>
      <c r="I1388" t="s">
        <v>84</v>
      </c>
      <c r="J1388" t="s">
        <v>2922</v>
      </c>
      <c r="K1388" s="3">
        <v>45689</v>
      </c>
      <c r="L1388" t="s">
        <v>2923</v>
      </c>
      <c r="M1388">
        <v>0.11799999999999999</v>
      </c>
      <c r="N1388">
        <v>0</v>
      </c>
      <c r="O1388">
        <f t="shared" si="63"/>
        <v>0.23599999999999999</v>
      </c>
      <c r="Q1388" t="str">
        <f t="shared" si="65"/>
        <v>Q27-01</v>
      </c>
    </row>
    <row r="1389" spans="1:17" x14ac:dyDescent="0.25">
      <c r="A1389" t="s">
        <v>12</v>
      </c>
      <c r="B1389" t="s">
        <v>2924</v>
      </c>
      <c r="C1389" t="s">
        <v>2925</v>
      </c>
      <c r="D1389" t="s">
        <v>77</v>
      </c>
      <c r="E1389" t="s">
        <v>2921</v>
      </c>
      <c r="F1389" s="1">
        <v>1</v>
      </c>
      <c r="G1389" s="1">
        <v>0</v>
      </c>
      <c r="H1389" t="s">
        <v>17</v>
      </c>
      <c r="I1389" t="s">
        <v>84</v>
      </c>
      <c r="J1389" t="s">
        <v>2922</v>
      </c>
      <c r="K1389" s="3">
        <v>45749</v>
      </c>
      <c r="L1389" t="s">
        <v>2926</v>
      </c>
      <c r="M1389">
        <v>0.11799999999999999</v>
      </c>
      <c r="N1389">
        <v>0</v>
      </c>
      <c r="O1389">
        <f t="shared" si="63"/>
        <v>0.11799999999999999</v>
      </c>
      <c r="Q1389" t="str">
        <f t="shared" si="65"/>
        <v>Q27-01</v>
      </c>
    </row>
    <row r="1390" spans="1:17" x14ac:dyDescent="0.25">
      <c r="A1390" t="s">
        <v>12</v>
      </c>
      <c r="B1390" t="s">
        <v>2927</v>
      </c>
      <c r="C1390" t="s">
        <v>2928</v>
      </c>
      <c r="D1390" t="s">
        <v>77</v>
      </c>
      <c r="E1390" t="s">
        <v>2921</v>
      </c>
      <c r="F1390" s="1">
        <v>1</v>
      </c>
      <c r="G1390" s="1">
        <v>0</v>
      </c>
      <c r="H1390" t="s">
        <v>17</v>
      </c>
      <c r="I1390" t="s">
        <v>84</v>
      </c>
      <c r="J1390" t="s">
        <v>2922</v>
      </c>
      <c r="K1390" s="3">
        <v>45716</v>
      </c>
      <c r="L1390" t="s">
        <v>2929</v>
      </c>
      <c r="M1390">
        <v>0.11799999999999999</v>
      </c>
      <c r="N1390">
        <v>0</v>
      </c>
      <c r="O1390">
        <f t="shared" si="63"/>
        <v>0.11799999999999999</v>
      </c>
      <c r="Q1390" t="str">
        <f t="shared" si="65"/>
        <v>Q27-01</v>
      </c>
    </row>
    <row r="1391" spans="1:17" x14ac:dyDescent="0.25">
      <c r="A1391" t="s">
        <v>12</v>
      </c>
      <c r="B1391" t="s">
        <v>2930</v>
      </c>
      <c r="C1391" t="s">
        <v>2931</v>
      </c>
      <c r="D1391" t="s">
        <v>77</v>
      </c>
      <c r="E1391" t="s">
        <v>2921</v>
      </c>
      <c r="F1391" s="1">
        <v>1</v>
      </c>
      <c r="G1391" s="1">
        <v>0</v>
      </c>
      <c r="H1391" t="s">
        <v>17</v>
      </c>
      <c r="I1391" t="s">
        <v>84</v>
      </c>
      <c r="J1391" t="s">
        <v>2922</v>
      </c>
      <c r="K1391" s="3">
        <v>45692</v>
      </c>
      <c r="L1391" t="s">
        <v>2932</v>
      </c>
      <c r="M1391">
        <v>0.11799999999999999</v>
      </c>
      <c r="N1391">
        <v>0</v>
      </c>
      <c r="O1391">
        <f t="shared" si="63"/>
        <v>0.11799999999999999</v>
      </c>
      <c r="Q1391" t="str">
        <f t="shared" si="65"/>
        <v>Q27-01</v>
      </c>
    </row>
    <row r="1392" spans="1:17" x14ac:dyDescent="0.25">
      <c r="A1392" t="s">
        <v>12</v>
      </c>
      <c r="B1392" t="s">
        <v>2933</v>
      </c>
      <c r="C1392" t="s">
        <v>2934</v>
      </c>
      <c r="D1392" t="s">
        <v>77</v>
      </c>
      <c r="E1392" t="s">
        <v>2921</v>
      </c>
      <c r="F1392" s="1">
        <v>1</v>
      </c>
      <c r="G1392" s="1">
        <v>0</v>
      </c>
      <c r="H1392" t="s">
        <v>17</v>
      </c>
      <c r="I1392" t="s">
        <v>84</v>
      </c>
      <c r="J1392" t="s">
        <v>2922</v>
      </c>
      <c r="K1392" s="3">
        <v>45757</v>
      </c>
      <c r="L1392" t="s">
        <v>2935</v>
      </c>
      <c r="M1392">
        <v>0.11799999999999999</v>
      </c>
      <c r="N1392">
        <v>0</v>
      </c>
      <c r="O1392">
        <f t="shared" si="63"/>
        <v>0.11799999999999999</v>
      </c>
      <c r="Q1392" t="str">
        <f t="shared" si="65"/>
        <v>Q27-01</v>
      </c>
    </row>
    <row r="1393" spans="1:17" x14ac:dyDescent="0.25">
      <c r="A1393" t="s">
        <v>12</v>
      </c>
      <c r="B1393" t="s">
        <v>2936</v>
      </c>
      <c r="C1393" t="s">
        <v>2937</v>
      </c>
      <c r="D1393" t="s">
        <v>805</v>
      </c>
      <c r="E1393" t="s">
        <v>2938</v>
      </c>
      <c r="F1393" s="1">
        <v>5</v>
      </c>
      <c r="G1393" s="1">
        <v>0</v>
      </c>
      <c r="H1393" t="s">
        <v>17</v>
      </c>
      <c r="I1393" t="s">
        <v>2939</v>
      </c>
      <c r="J1393" t="s">
        <v>2940</v>
      </c>
      <c r="K1393" s="3">
        <v>46630</v>
      </c>
      <c r="L1393" t="s">
        <v>2941</v>
      </c>
      <c r="M1393">
        <v>0.05</v>
      </c>
      <c r="N1393">
        <v>7056</v>
      </c>
      <c r="O1393">
        <f t="shared" si="63"/>
        <v>0.25</v>
      </c>
      <c r="P1393">
        <f t="shared" si="64"/>
        <v>7.0861678004535147E-4</v>
      </c>
      <c r="Q1393" t="str">
        <f t="shared" si="65"/>
        <v>Q27-03</v>
      </c>
    </row>
    <row r="1394" spans="1:17" x14ac:dyDescent="0.25">
      <c r="A1394" t="s">
        <v>12</v>
      </c>
      <c r="B1394" t="s">
        <v>2942</v>
      </c>
      <c r="C1394" t="s">
        <v>2943</v>
      </c>
      <c r="D1394" t="s">
        <v>144</v>
      </c>
      <c r="E1394" t="s">
        <v>2944</v>
      </c>
      <c r="F1394" s="1">
        <v>563</v>
      </c>
      <c r="G1394" s="1">
        <v>0</v>
      </c>
      <c r="H1394" t="s">
        <v>17</v>
      </c>
      <c r="I1394" t="s">
        <v>84</v>
      </c>
      <c r="J1394" t="s">
        <v>90</v>
      </c>
      <c r="K1394" s="3">
        <v>46757</v>
      </c>
      <c r="L1394" t="s">
        <v>123</v>
      </c>
      <c r="M1394">
        <v>0</v>
      </c>
      <c r="N1394">
        <v>0</v>
      </c>
      <c r="O1394">
        <f t="shared" si="63"/>
        <v>0</v>
      </c>
      <c r="Q1394" t="str">
        <f t="shared" si="65"/>
        <v>QM4-01</v>
      </c>
    </row>
    <row r="1395" spans="1:17" x14ac:dyDescent="0.25">
      <c r="A1395" t="s">
        <v>12</v>
      </c>
      <c r="B1395" t="s">
        <v>2344</v>
      </c>
      <c r="C1395" t="s">
        <v>2345</v>
      </c>
      <c r="D1395" t="s">
        <v>44</v>
      </c>
      <c r="E1395" t="s">
        <v>2945</v>
      </c>
      <c r="F1395" s="1">
        <v>3</v>
      </c>
      <c r="G1395" s="1">
        <v>0</v>
      </c>
      <c r="H1395" t="s">
        <v>17</v>
      </c>
      <c r="I1395" t="s">
        <v>2347</v>
      </c>
      <c r="J1395" t="s">
        <v>2946</v>
      </c>
      <c r="K1395" s="3">
        <v>46599</v>
      </c>
      <c r="L1395" t="s">
        <v>2947</v>
      </c>
      <c r="M1395">
        <v>4.8000000000000001E-2</v>
      </c>
      <c r="N1395">
        <v>2592</v>
      </c>
      <c r="O1395">
        <f t="shared" si="63"/>
        <v>0.14400000000000002</v>
      </c>
      <c r="P1395">
        <f t="shared" si="64"/>
        <v>1.1574074074074073E-3</v>
      </c>
      <c r="Q1395" t="str">
        <f t="shared" si="65"/>
        <v>Q26-01</v>
      </c>
    </row>
    <row r="1396" spans="1:17" x14ac:dyDescent="0.25">
      <c r="A1396" t="s">
        <v>12</v>
      </c>
      <c r="B1396" t="s">
        <v>2948</v>
      </c>
      <c r="C1396" t="s">
        <v>2949</v>
      </c>
      <c r="D1396" t="s">
        <v>77</v>
      </c>
      <c r="E1396" t="s">
        <v>2950</v>
      </c>
      <c r="F1396" s="1">
        <v>1</v>
      </c>
      <c r="G1396" s="1">
        <v>0</v>
      </c>
      <c r="H1396" t="s">
        <v>17</v>
      </c>
      <c r="I1396" t="s">
        <v>84</v>
      </c>
      <c r="J1396" t="s">
        <v>2951</v>
      </c>
      <c r="K1396" s="3">
        <v>46081</v>
      </c>
      <c r="L1396" t="s">
        <v>2952</v>
      </c>
      <c r="M1396">
        <v>0.17399999999999999</v>
      </c>
      <c r="N1396">
        <v>0</v>
      </c>
      <c r="O1396">
        <f t="shared" si="63"/>
        <v>0.17399999999999999</v>
      </c>
      <c r="Q1396" t="str">
        <f t="shared" si="65"/>
        <v>Q27-01</v>
      </c>
    </row>
    <row r="1397" spans="1:17" x14ac:dyDescent="0.25">
      <c r="A1397" t="s">
        <v>12</v>
      </c>
      <c r="B1397" t="s">
        <v>2953</v>
      </c>
      <c r="C1397" t="s">
        <v>2954</v>
      </c>
      <c r="D1397" t="s">
        <v>77</v>
      </c>
      <c r="E1397" t="s">
        <v>2955</v>
      </c>
      <c r="F1397" s="1">
        <v>1</v>
      </c>
      <c r="G1397" s="1">
        <v>0</v>
      </c>
      <c r="H1397" t="s">
        <v>17</v>
      </c>
      <c r="I1397" t="s">
        <v>84</v>
      </c>
      <c r="J1397" t="s">
        <v>2956</v>
      </c>
      <c r="K1397" s="3">
        <v>46387</v>
      </c>
      <c r="L1397" t="s">
        <v>2957</v>
      </c>
      <c r="M1397">
        <v>0.17399999999999999</v>
      </c>
      <c r="N1397">
        <v>0</v>
      </c>
      <c r="O1397">
        <f t="shared" si="63"/>
        <v>0.17399999999999999</v>
      </c>
      <c r="Q1397" t="str">
        <f t="shared" si="65"/>
        <v>Q27-01</v>
      </c>
    </row>
    <row r="1398" spans="1:17" x14ac:dyDescent="0.25">
      <c r="A1398" t="s">
        <v>61</v>
      </c>
      <c r="B1398" t="s">
        <v>71</v>
      </c>
      <c r="C1398" t="s">
        <v>72</v>
      </c>
      <c r="D1398" t="s">
        <v>382</v>
      </c>
      <c r="E1398" t="s">
        <v>2958</v>
      </c>
      <c r="F1398" s="1">
        <v>2</v>
      </c>
      <c r="G1398" s="1">
        <v>0</v>
      </c>
      <c r="H1398" t="s">
        <v>17</v>
      </c>
      <c r="I1398" t="s">
        <v>75</v>
      </c>
      <c r="J1398" t="s">
        <v>2959</v>
      </c>
      <c r="K1398" s="3">
        <v>46660</v>
      </c>
      <c r="L1398" t="s">
        <v>2960</v>
      </c>
      <c r="M1398">
        <v>0.3</v>
      </c>
      <c r="N1398">
        <v>1680</v>
      </c>
      <c r="O1398">
        <f t="shared" si="63"/>
        <v>0.6</v>
      </c>
      <c r="P1398">
        <f t="shared" si="64"/>
        <v>1.1904761904761906E-3</v>
      </c>
      <c r="Q1398" t="str">
        <f t="shared" si="65"/>
        <v>Q27-03</v>
      </c>
    </row>
    <row r="1399" spans="1:17" x14ac:dyDescent="0.25">
      <c r="A1399" t="s">
        <v>61</v>
      </c>
      <c r="B1399" t="s">
        <v>71</v>
      </c>
      <c r="C1399" t="s">
        <v>72</v>
      </c>
      <c r="D1399" t="s">
        <v>382</v>
      </c>
      <c r="E1399" t="s">
        <v>2961</v>
      </c>
      <c r="F1399" s="1">
        <v>7</v>
      </c>
      <c r="G1399" s="1">
        <v>0</v>
      </c>
      <c r="H1399" t="s">
        <v>17</v>
      </c>
      <c r="I1399" t="s">
        <v>75</v>
      </c>
      <c r="J1399" t="s">
        <v>2959</v>
      </c>
      <c r="K1399" s="3">
        <v>46660</v>
      </c>
      <c r="L1399" t="s">
        <v>2960</v>
      </c>
      <c r="M1399">
        <v>0.3</v>
      </c>
      <c r="N1399">
        <v>1680</v>
      </c>
      <c r="O1399">
        <f t="shared" si="63"/>
        <v>2.1</v>
      </c>
      <c r="P1399">
        <f t="shared" si="64"/>
        <v>4.1666666666666666E-3</v>
      </c>
      <c r="Q1399" t="str">
        <f t="shared" si="65"/>
        <v>Q27-03</v>
      </c>
    </row>
    <row r="1400" spans="1:17" x14ac:dyDescent="0.25">
      <c r="A1400" t="s">
        <v>61</v>
      </c>
      <c r="B1400" t="s">
        <v>71</v>
      </c>
      <c r="C1400" t="s">
        <v>72</v>
      </c>
      <c r="D1400" t="s">
        <v>382</v>
      </c>
      <c r="E1400" t="s">
        <v>2962</v>
      </c>
      <c r="F1400" s="1">
        <v>3</v>
      </c>
      <c r="G1400" s="1">
        <v>0</v>
      </c>
      <c r="H1400" t="s">
        <v>17</v>
      </c>
      <c r="I1400" t="s">
        <v>75</v>
      </c>
      <c r="J1400" t="s">
        <v>2959</v>
      </c>
      <c r="K1400" s="3">
        <v>46660</v>
      </c>
      <c r="L1400" t="s">
        <v>2960</v>
      </c>
      <c r="M1400">
        <v>0.3</v>
      </c>
      <c r="N1400">
        <v>1680</v>
      </c>
      <c r="O1400">
        <f t="shared" si="63"/>
        <v>0.89999999999999991</v>
      </c>
      <c r="P1400">
        <f t="shared" si="64"/>
        <v>1.7857142857142857E-3</v>
      </c>
      <c r="Q1400" t="str">
        <f t="shared" si="65"/>
        <v>Q27-03</v>
      </c>
    </row>
    <row r="1401" spans="1:17" x14ac:dyDescent="0.25">
      <c r="A1401" t="s">
        <v>61</v>
      </c>
      <c r="B1401" t="s">
        <v>71</v>
      </c>
      <c r="C1401" t="s">
        <v>72</v>
      </c>
      <c r="D1401" t="s">
        <v>805</v>
      </c>
      <c r="E1401" t="s">
        <v>2963</v>
      </c>
      <c r="F1401" s="1">
        <v>17</v>
      </c>
      <c r="G1401" s="1">
        <v>0</v>
      </c>
      <c r="H1401" t="s">
        <v>17</v>
      </c>
      <c r="I1401" t="s">
        <v>75</v>
      </c>
      <c r="J1401" t="s">
        <v>2959</v>
      </c>
      <c r="K1401" s="3">
        <v>46660</v>
      </c>
      <c r="L1401" t="s">
        <v>2960</v>
      </c>
      <c r="M1401">
        <v>0.3</v>
      </c>
      <c r="N1401">
        <v>1680</v>
      </c>
      <c r="O1401">
        <f t="shared" si="63"/>
        <v>5.0999999999999996</v>
      </c>
      <c r="P1401">
        <f t="shared" si="64"/>
        <v>1.011904761904762E-2</v>
      </c>
      <c r="Q1401" t="str">
        <f t="shared" si="65"/>
        <v>Q27-03</v>
      </c>
    </row>
    <row r="1402" spans="1:17" x14ac:dyDescent="0.25">
      <c r="A1402" t="s">
        <v>61</v>
      </c>
      <c r="B1402" t="s">
        <v>281</v>
      </c>
      <c r="C1402" t="s">
        <v>282</v>
      </c>
      <c r="D1402" t="s">
        <v>805</v>
      </c>
      <c r="E1402" t="s">
        <v>2964</v>
      </c>
      <c r="F1402" s="1">
        <v>72</v>
      </c>
      <c r="G1402" s="1">
        <v>0</v>
      </c>
      <c r="H1402" t="s">
        <v>17</v>
      </c>
      <c r="I1402" t="s">
        <v>284</v>
      </c>
      <c r="J1402" t="s">
        <v>2959</v>
      </c>
      <c r="K1402" s="3">
        <v>46904</v>
      </c>
      <c r="L1402" t="s">
        <v>2965</v>
      </c>
      <c r="M1402">
        <v>6.8000000000000005E-2</v>
      </c>
      <c r="N1402">
        <v>2240</v>
      </c>
      <c r="O1402">
        <f t="shared" si="63"/>
        <v>4.8960000000000008</v>
      </c>
      <c r="P1402">
        <f t="shared" si="64"/>
        <v>3.214285714285714E-2</v>
      </c>
      <c r="Q1402" t="str">
        <f t="shared" si="65"/>
        <v>Q27-03</v>
      </c>
    </row>
    <row r="1403" spans="1:17" x14ac:dyDescent="0.25">
      <c r="A1403" t="s">
        <v>61</v>
      </c>
      <c r="B1403" t="s">
        <v>456</v>
      </c>
      <c r="C1403" t="s">
        <v>457</v>
      </c>
      <c r="D1403" t="s">
        <v>382</v>
      </c>
      <c r="E1403" t="s">
        <v>2966</v>
      </c>
      <c r="F1403" s="1">
        <v>1</v>
      </c>
      <c r="G1403" s="1">
        <v>0</v>
      </c>
      <c r="H1403" t="s">
        <v>17</v>
      </c>
      <c r="I1403" t="s">
        <v>459</v>
      </c>
      <c r="J1403" t="s">
        <v>2959</v>
      </c>
      <c r="K1403" s="3">
        <v>46568</v>
      </c>
      <c r="L1403" t="s">
        <v>2967</v>
      </c>
      <c r="M1403">
        <v>0.22600000000000001</v>
      </c>
      <c r="N1403">
        <v>1680</v>
      </c>
      <c r="O1403">
        <f t="shared" si="63"/>
        <v>0.22600000000000001</v>
      </c>
      <c r="P1403">
        <f t="shared" si="64"/>
        <v>5.9523809523809529E-4</v>
      </c>
      <c r="Q1403" t="str">
        <f t="shared" si="65"/>
        <v>Q27-03</v>
      </c>
    </row>
    <row r="1404" spans="1:17" x14ac:dyDescent="0.25">
      <c r="A1404" t="s">
        <v>61</v>
      </c>
      <c r="B1404" t="s">
        <v>456</v>
      </c>
      <c r="C1404" t="s">
        <v>457</v>
      </c>
      <c r="D1404" t="s">
        <v>244</v>
      </c>
      <c r="E1404" t="s">
        <v>2968</v>
      </c>
      <c r="F1404" s="1">
        <v>2</v>
      </c>
      <c r="G1404" s="1">
        <v>0</v>
      </c>
      <c r="H1404" t="s">
        <v>17</v>
      </c>
      <c r="I1404" t="s">
        <v>459</v>
      </c>
      <c r="J1404" t="s">
        <v>2959</v>
      </c>
      <c r="K1404" s="3">
        <v>46599</v>
      </c>
      <c r="L1404" t="s">
        <v>2862</v>
      </c>
      <c r="M1404">
        <v>0.22600000000000001</v>
      </c>
      <c r="N1404">
        <v>1680</v>
      </c>
      <c r="O1404">
        <f t="shared" si="63"/>
        <v>0.45200000000000001</v>
      </c>
      <c r="P1404">
        <f t="shared" si="64"/>
        <v>1.1904761904761906E-3</v>
      </c>
      <c r="Q1404" t="str">
        <f t="shared" si="65"/>
        <v>Q27-03</v>
      </c>
    </row>
    <row r="1405" spans="1:17" x14ac:dyDescent="0.25">
      <c r="A1405" t="s">
        <v>61</v>
      </c>
      <c r="B1405" t="s">
        <v>456</v>
      </c>
      <c r="C1405" t="s">
        <v>457</v>
      </c>
      <c r="D1405" t="s">
        <v>382</v>
      </c>
      <c r="E1405" t="s">
        <v>2969</v>
      </c>
      <c r="F1405" s="1">
        <v>1</v>
      </c>
      <c r="G1405" s="1">
        <v>0</v>
      </c>
      <c r="H1405" t="s">
        <v>17</v>
      </c>
      <c r="I1405" t="s">
        <v>459</v>
      </c>
      <c r="J1405" t="s">
        <v>2959</v>
      </c>
      <c r="K1405" s="3">
        <v>46599</v>
      </c>
      <c r="L1405" t="s">
        <v>2862</v>
      </c>
      <c r="M1405">
        <v>0.22600000000000001</v>
      </c>
      <c r="N1405">
        <v>1680</v>
      </c>
      <c r="O1405">
        <f t="shared" si="63"/>
        <v>0.22600000000000001</v>
      </c>
      <c r="P1405">
        <f t="shared" si="64"/>
        <v>5.9523809523809529E-4</v>
      </c>
      <c r="Q1405" t="str">
        <f t="shared" si="65"/>
        <v>Q27-03</v>
      </c>
    </row>
    <row r="1406" spans="1:17" x14ac:dyDescent="0.25">
      <c r="A1406" t="s">
        <v>61</v>
      </c>
      <c r="B1406" t="s">
        <v>219</v>
      </c>
      <c r="C1406" t="s">
        <v>220</v>
      </c>
      <c r="D1406" t="s">
        <v>244</v>
      </c>
      <c r="E1406" t="s">
        <v>2970</v>
      </c>
      <c r="F1406" s="1">
        <v>5</v>
      </c>
      <c r="G1406" s="1">
        <v>0</v>
      </c>
      <c r="H1406" t="s">
        <v>17</v>
      </c>
      <c r="I1406" t="s">
        <v>222</v>
      </c>
      <c r="J1406" t="s">
        <v>2959</v>
      </c>
      <c r="K1406" s="3">
        <v>46660</v>
      </c>
      <c r="L1406" t="s">
        <v>2971</v>
      </c>
      <c r="M1406">
        <v>0.3</v>
      </c>
      <c r="N1406">
        <v>1680</v>
      </c>
      <c r="O1406">
        <f t="shared" si="63"/>
        <v>1.5</v>
      </c>
      <c r="P1406">
        <f t="shared" si="64"/>
        <v>2.976190476190476E-3</v>
      </c>
      <c r="Q1406" t="str">
        <f t="shared" si="65"/>
        <v>Q27-03</v>
      </c>
    </row>
    <row r="1407" spans="1:17" x14ac:dyDescent="0.25">
      <c r="A1407" t="s">
        <v>385</v>
      </c>
      <c r="B1407" t="s">
        <v>644</v>
      </c>
      <c r="C1407" t="s">
        <v>645</v>
      </c>
      <c r="D1407" t="s">
        <v>388</v>
      </c>
      <c r="E1407" t="s">
        <v>2972</v>
      </c>
      <c r="F1407" s="1">
        <v>1</v>
      </c>
      <c r="G1407" s="1">
        <v>0</v>
      </c>
      <c r="H1407" t="s">
        <v>17</v>
      </c>
      <c r="I1407" t="s">
        <v>647</v>
      </c>
      <c r="J1407" t="s">
        <v>2973</v>
      </c>
      <c r="K1407" s="3">
        <v>46435</v>
      </c>
      <c r="L1407" t="s">
        <v>1364</v>
      </c>
      <c r="M1407">
        <v>9.4E-2</v>
      </c>
      <c r="N1407">
        <v>2475</v>
      </c>
      <c r="O1407">
        <f t="shared" si="63"/>
        <v>9.4E-2</v>
      </c>
      <c r="P1407">
        <f t="shared" si="64"/>
        <v>4.0404040404040404E-4</v>
      </c>
      <c r="Q1407" t="str">
        <f t="shared" si="65"/>
        <v>Q26-03</v>
      </c>
    </row>
    <row r="1408" spans="1:17" x14ac:dyDescent="0.25">
      <c r="A1408" t="s">
        <v>12</v>
      </c>
      <c r="B1408" t="s">
        <v>1389</v>
      </c>
      <c r="C1408" t="s">
        <v>1390</v>
      </c>
      <c r="D1408" t="s">
        <v>77</v>
      </c>
      <c r="E1408" t="s">
        <v>2974</v>
      </c>
      <c r="F1408" s="1">
        <v>5</v>
      </c>
      <c r="G1408" s="1">
        <v>0</v>
      </c>
      <c r="H1408" t="s">
        <v>17</v>
      </c>
      <c r="I1408" t="s">
        <v>1392</v>
      </c>
      <c r="J1408" t="s">
        <v>2975</v>
      </c>
      <c r="K1408" s="3">
        <v>46709</v>
      </c>
      <c r="L1408" t="s">
        <v>1394</v>
      </c>
      <c r="M1408">
        <v>0.156</v>
      </c>
      <c r="N1408">
        <v>2400</v>
      </c>
      <c r="O1408">
        <f t="shared" si="63"/>
        <v>0.78</v>
      </c>
      <c r="P1408">
        <f t="shared" si="64"/>
        <v>2.0833333333333333E-3</v>
      </c>
      <c r="Q1408" t="str">
        <f t="shared" si="65"/>
        <v>Q27-01</v>
      </c>
    </row>
    <row r="1409" spans="1:17" x14ac:dyDescent="0.25">
      <c r="A1409" t="s">
        <v>2411</v>
      </c>
      <c r="B1409" t="s">
        <v>2501</v>
      </c>
      <c r="C1409" t="s">
        <v>2502</v>
      </c>
      <c r="D1409" t="s">
        <v>44</v>
      </c>
      <c r="E1409" t="s">
        <v>2976</v>
      </c>
      <c r="F1409" s="1">
        <v>2</v>
      </c>
      <c r="G1409" s="1">
        <v>0</v>
      </c>
      <c r="H1409" t="s">
        <v>17</v>
      </c>
      <c r="I1409" t="s">
        <v>2415</v>
      </c>
      <c r="J1409" t="s">
        <v>2977</v>
      </c>
      <c r="K1409" s="3">
        <v>46774</v>
      </c>
      <c r="L1409" t="s">
        <v>2507</v>
      </c>
      <c r="M1409">
        <v>0.05</v>
      </c>
      <c r="N1409">
        <v>1500</v>
      </c>
      <c r="O1409">
        <f t="shared" si="63"/>
        <v>0.1</v>
      </c>
      <c r="P1409">
        <f t="shared" si="64"/>
        <v>1.3333333333333333E-3</v>
      </c>
      <c r="Q1409" t="str">
        <f t="shared" si="65"/>
        <v>Q26-01</v>
      </c>
    </row>
    <row r="1410" spans="1:17" x14ac:dyDescent="0.25">
      <c r="A1410" t="s">
        <v>61</v>
      </c>
      <c r="B1410" t="s">
        <v>233</v>
      </c>
      <c r="C1410" t="s">
        <v>234</v>
      </c>
      <c r="D1410" t="s">
        <v>244</v>
      </c>
      <c r="E1410" t="s">
        <v>2978</v>
      </c>
      <c r="F1410" s="1">
        <v>6</v>
      </c>
      <c r="G1410" s="1">
        <v>0</v>
      </c>
      <c r="H1410" t="s">
        <v>17</v>
      </c>
      <c r="I1410" t="s">
        <v>236</v>
      </c>
      <c r="J1410" t="s">
        <v>2979</v>
      </c>
      <c r="K1410" s="3">
        <v>47391</v>
      </c>
      <c r="L1410" t="s">
        <v>2980</v>
      </c>
      <c r="M1410">
        <v>7.4999999999999997E-2</v>
      </c>
      <c r="N1410">
        <v>2688</v>
      </c>
      <c r="O1410">
        <f t="shared" si="63"/>
        <v>0.44999999999999996</v>
      </c>
      <c r="P1410">
        <f t="shared" si="64"/>
        <v>2.232142857142857E-3</v>
      </c>
      <c r="Q1410" t="str">
        <f t="shared" si="65"/>
        <v>Q27-03</v>
      </c>
    </row>
    <row r="1411" spans="1:17" x14ac:dyDescent="0.25">
      <c r="A1411" t="s">
        <v>61</v>
      </c>
      <c r="B1411" t="s">
        <v>233</v>
      </c>
      <c r="C1411" t="s">
        <v>234</v>
      </c>
      <c r="D1411" t="s">
        <v>336</v>
      </c>
      <c r="E1411" t="s">
        <v>2981</v>
      </c>
      <c r="F1411" s="1">
        <v>5</v>
      </c>
      <c r="G1411" s="1">
        <v>0</v>
      </c>
      <c r="H1411" t="s">
        <v>17</v>
      </c>
      <c r="I1411" t="s">
        <v>236</v>
      </c>
      <c r="J1411" t="s">
        <v>2979</v>
      </c>
      <c r="K1411" s="3">
        <v>47391</v>
      </c>
      <c r="L1411" t="s">
        <v>2980</v>
      </c>
      <c r="M1411">
        <v>7.4999999999999997E-2</v>
      </c>
      <c r="N1411">
        <v>2688</v>
      </c>
      <c r="O1411">
        <f t="shared" ref="O1411:O1474" si="66">F1411*M1411</f>
        <v>0.375</v>
      </c>
      <c r="P1411">
        <f t="shared" ref="P1411:P1474" si="67">F1411/N1411</f>
        <v>1.8601190476190475E-3</v>
      </c>
      <c r="Q1411" t="str">
        <f t="shared" ref="Q1411:Q1474" si="68">LEFT(D1411,6)</f>
        <v>Q27-03</v>
      </c>
    </row>
    <row r="1412" spans="1:17" x14ac:dyDescent="0.25">
      <c r="A1412" t="s">
        <v>61</v>
      </c>
      <c r="B1412" t="s">
        <v>233</v>
      </c>
      <c r="C1412" t="s">
        <v>234</v>
      </c>
      <c r="D1412" t="s">
        <v>244</v>
      </c>
      <c r="E1412" t="s">
        <v>2982</v>
      </c>
      <c r="F1412" s="1">
        <v>17</v>
      </c>
      <c r="G1412" s="1">
        <v>0</v>
      </c>
      <c r="H1412" t="s">
        <v>17</v>
      </c>
      <c r="I1412" t="s">
        <v>236</v>
      </c>
      <c r="J1412" t="s">
        <v>2979</v>
      </c>
      <c r="K1412" s="3">
        <v>47391</v>
      </c>
      <c r="L1412" t="s">
        <v>2983</v>
      </c>
      <c r="M1412">
        <v>7.4999999999999997E-2</v>
      </c>
      <c r="N1412">
        <v>2688</v>
      </c>
      <c r="O1412">
        <f t="shared" si="66"/>
        <v>1.2749999999999999</v>
      </c>
      <c r="P1412">
        <f t="shared" si="67"/>
        <v>6.324404761904762E-3</v>
      </c>
      <c r="Q1412" t="str">
        <f t="shared" si="68"/>
        <v>Q27-03</v>
      </c>
    </row>
    <row r="1413" spans="1:17" x14ac:dyDescent="0.25">
      <c r="A1413" t="s">
        <v>61</v>
      </c>
      <c r="B1413" t="s">
        <v>233</v>
      </c>
      <c r="C1413" t="s">
        <v>234</v>
      </c>
      <c r="D1413" t="s">
        <v>336</v>
      </c>
      <c r="E1413" t="s">
        <v>2984</v>
      </c>
      <c r="F1413" s="1">
        <v>6</v>
      </c>
      <c r="G1413" s="1">
        <v>0</v>
      </c>
      <c r="H1413" t="s">
        <v>17</v>
      </c>
      <c r="I1413" t="s">
        <v>236</v>
      </c>
      <c r="J1413" t="s">
        <v>2979</v>
      </c>
      <c r="K1413" s="3">
        <v>47391</v>
      </c>
      <c r="L1413" t="s">
        <v>2983</v>
      </c>
      <c r="M1413">
        <v>7.4999999999999997E-2</v>
      </c>
      <c r="N1413">
        <v>2688</v>
      </c>
      <c r="O1413">
        <f t="shared" si="66"/>
        <v>0.44999999999999996</v>
      </c>
      <c r="P1413">
        <f t="shared" si="67"/>
        <v>2.232142857142857E-3</v>
      </c>
      <c r="Q1413" t="str">
        <f t="shared" si="68"/>
        <v>Q27-03</v>
      </c>
    </row>
    <row r="1414" spans="1:17" x14ac:dyDescent="0.25">
      <c r="A1414" t="s">
        <v>12</v>
      </c>
      <c r="B1414" t="s">
        <v>24</v>
      </c>
      <c r="C1414" t="s">
        <v>25</v>
      </c>
      <c r="D1414" t="s">
        <v>388</v>
      </c>
      <c r="E1414" t="s">
        <v>2985</v>
      </c>
      <c r="F1414" s="1">
        <v>1</v>
      </c>
      <c r="G1414" s="1">
        <v>0</v>
      </c>
      <c r="H1414" t="s">
        <v>17</v>
      </c>
      <c r="I1414" t="s">
        <v>28</v>
      </c>
      <c r="J1414" t="s">
        <v>2986</v>
      </c>
      <c r="K1414" s="3">
        <v>47133</v>
      </c>
      <c r="L1414" t="s">
        <v>2987</v>
      </c>
      <c r="M1414">
        <v>2.9000000000000001E-2</v>
      </c>
      <c r="N1414">
        <v>2880</v>
      </c>
      <c r="O1414">
        <f t="shared" si="66"/>
        <v>2.9000000000000001E-2</v>
      </c>
      <c r="P1414">
        <f t="shared" si="67"/>
        <v>3.4722222222222224E-4</v>
      </c>
      <c r="Q1414" t="str">
        <f t="shared" si="68"/>
        <v>Q26-03</v>
      </c>
    </row>
    <row r="1415" spans="1:17" x14ac:dyDescent="0.25">
      <c r="A1415" t="s">
        <v>12</v>
      </c>
      <c r="B1415" t="s">
        <v>2988</v>
      </c>
      <c r="C1415" t="s">
        <v>2989</v>
      </c>
      <c r="D1415" t="s">
        <v>388</v>
      </c>
      <c r="E1415" t="s">
        <v>2990</v>
      </c>
      <c r="F1415" s="1">
        <v>4</v>
      </c>
      <c r="G1415" s="1">
        <v>0</v>
      </c>
      <c r="H1415" t="s">
        <v>17</v>
      </c>
      <c r="I1415" t="s">
        <v>2991</v>
      </c>
      <c r="J1415" t="s">
        <v>2992</v>
      </c>
      <c r="K1415" s="3">
        <v>46867</v>
      </c>
      <c r="L1415" t="s">
        <v>2993</v>
      </c>
      <c r="M1415">
        <v>0.5</v>
      </c>
      <c r="N1415">
        <v>1920</v>
      </c>
      <c r="O1415">
        <f t="shared" si="66"/>
        <v>2</v>
      </c>
      <c r="P1415">
        <f t="shared" si="67"/>
        <v>2.0833333333333333E-3</v>
      </c>
      <c r="Q1415" t="str">
        <f t="shared" si="68"/>
        <v>Q26-03</v>
      </c>
    </row>
    <row r="1416" spans="1:17" x14ac:dyDescent="0.25">
      <c r="A1416" t="s">
        <v>12</v>
      </c>
      <c r="B1416" t="s">
        <v>2994</v>
      </c>
      <c r="C1416" t="s">
        <v>2995</v>
      </c>
      <c r="D1416" t="s">
        <v>44</v>
      </c>
      <c r="E1416" t="s">
        <v>2996</v>
      </c>
      <c r="F1416" s="1">
        <v>3</v>
      </c>
      <c r="G1416" s="1">
        <v>0</v>
      </c>
      <c r="H1416" t="s">
        <v>17</v>
      </c>
      <c r="I1416" t="s">
        <v>2997</v>
      </c>
      <c r="J1416" t="s">
        <v>2998</v>
      </c>
      <c r="K1416" s="3">
        <v>46965</v>
      </c>
      <c r="L1416" t="s">
        <v>2999</v>
      </c>
      <c r="M1416">
        <v>3.2000000000000001E-2</v>
      </c>
      <c r="N1416">
        <v>960</v>
      </c>
      <c r="O1416">
        <f t="shared" si="66"/>
        <v>9.6000000000000002E-2</v>
      </c>
      <c r="P1416">
        <f t="shared" si="67"/>
        <v>3.1250000000000002E-3</v>
      </c>
      <c r="Q1416" t="str">
        <f t="shared" si="68"/>
        <v>Q26-01</v>
      </c>
    </row>
    <row r="1417" spans="1:17" x14ac:dyDescent="0.25">
      <c r="A1417" t="s">
        <v>12</v>
      </c>
      <c r="B1417" t="s">
        <v>1254</v>
      </c>
      <c r="C1417" t="s">
        <v>1255</v>
      </c>
      <c r="D1417" t="s">
        <v>244</v>
      </c>
      <c r="E1417" t="s">
        <v>3000</v>
      </c>
      <c r="F1417" s="2">
        <v>1089</v>
      </c>
      <c r="G1417" s="1">
        <v>0</v>
      </c>
      <c r="H1417" t="s">
        <v>17</v>
      </c>
      <c r="I1417" t="s">
        <v>1257</v>
      </c>
      <c r="J1417" t="s">
        <v>3001</v>
      </c>
      <c r="K1417" s="3">
        <v>46326</v>
      </c>
      <c r="L1417" t="s">
        <v>3002</v>
      </c>
      <c r="M1417">
        <v>0.1</v>
      </c>
      <c r="N1417">
        <v>3600</v>
      </c>
      <c r="O1417">
        <f t="shared" si="66"/>
        <v>108.9</v>
      </c>
      <c r="P1417">
        <f t="shared" si="67"/>
        <v>0.30249999999999999</v>
      </c>
      <c r="Q1417" t="str">
        <f t="shared" si="68"/>
        <v>Q27-03</v>
      </c>
    </row>
    <row r="1418" spans="1:17" x14ac:dyDescent="0.25">
      <c r="A1418" t="s">
        <v>12</v>
      </c>
      <c r="B1418" t="s">
        <v>2350</v>
      </c>
      <c r="C1418" t="s">
        <v>2351</v>
      </c>
      <c r="D1418" t="s">
        <v>44</v>
      </c>
      <c r="E1418" t="s">
        <v>3003</v>
      </c>
      <c r="F1418" s="1">
        <v>1</v>
      </c>
      <c r="G1418" s="1">
        <v>0</v>
      </c>
      <c r="H1418" t="s">
        <v>17</v>
      </c>
      <c r="I1418" t="s">
        <v>2353</v>
      </c>
      <c r="J1418" t="s">
        <v>3004</v>
      </c>
      <c r="K1418" s="3">
        <v>46639</v>
      </c>
      <c r="L1418" t="s">
        <v>3005</v>
      </c>
      <c r="M1418">
        <v>6.6000000000000003E-2</v>
      </c>
      <c r="N1418">
        <v>1344</v>
      </c>
      <c r="O1418">
        <f t="shared" si="66"/>
        <v>6.6000000000000003E-2</v>
      </c>
      <c r="P1418">
        <f t="shared" si="67"/>
        <v>7.4404761904761901E-4</v>
      </c>
      <c r="Q1418" t="str">
        <f t="shared" si="68"/>
        <v>Q26-01</v>
      </c>
    </row>
    <row r="1419" spans="1:17" x14ac:dyDescent="0.25">
      <c r="A1419" t="s">
        <v>12</v>
      </c>
      <c r="B1419" t="s">
        <v>2063</v>
      </c>
      <c r="C1419" t="s">
        <v>2064</v>
      </c>
      <c r="D1419" t="s">
        <v>44</v>
      </c>
      <c r="E1419" t="s">
        <v>3006</v>
      </c>
      <c r="F1419" s="1">
        <v>1</v>
      </c>
      <c r="G1419" s="1">
        <v>0</v>
      </c>
      <c r="H1419" t="s">
        <v>17</v>
      </c>
      <c r="I1419" t="s">
        <v>2066</v>
      </c>
      <c r="J1419" t="s">
        <v>3007</v>
      </c>
      <c r="K1419" s="3">
        <v>46387</v>
      </c>
      <c r="L1419" t="s">
        <v>3008</v>
      </c>
      <c r="M1419">
        <v>5.1999999999999998E-2</v>
      </c>
      <c r="N1419">
        <v>1152</v>
      </c>
      <c r="O1419">
        <f t="shared" si="66"/>
        <v>5.1999999999999998E-2</v>
      </c>
      <c r="P1419">
        <f t="shared" si="67"/>
        <v>8.6805555555555551E-4</v>
      </c>
      <c r="Q1419" t="str">
        <f t="shared" si="68"/>
        <v>Q26-01</v>
      </c>
    </row>
    <row r="1420" spans="1:17" x14ac:dyDescent="0.25">
      <c r="A1420" t="s">
        <v>12</v>
      </c>
      <c r="B1420" t="s">
        <v>3009</v>
      </c>
      <c r="C1420" t="s">
        <v>3010</v>
      </c>
      <c r="D1420" t="s">
        <v>57</v>
      </c>
      <c r="E1420" t="s">
        <v>3011</v>
      </c>
      <c r="F1420" s="1">
        <v>3</v>
      </c>
      <c r="G1420" s="1">
        <v>0</v>
      </c>
      <c r="H1420" t="s">
        <v>17</v>
      </c>
      <c r="I1420" t="s">
        <v>3012</v>
      </c>
      <c r="J1420" t="s">
        <v>3013</v>
      </c>
      <c r="K1420" s="3">
        <v>46721</v>
      </c>
      <c r="L1420" t="s">
        <v>3014</v>
      </c>
      <c r="M1420">
        <v>1.6E-2</v>
      </c>
      <c r="N1420">
        <v>5184</v>
      </c>
      <c r="O1420">
        <f t="shared" si="66"/>
        <v>4.8000000000000001E-2</v>
      </c>
      <c r="P1420">
        <f t="shared" si="67"/>
        <v>5.7870370370370367E-4</v>
      </c>
      <c r="Q1420" t="str">
        <f t="shared" si="68"/>
        <v>Q26-03</v>
      </c>
    </row>
    <row r="1421" spans="1:17" x14ac:dyDescent="0.25">
      <c r="A1421" t="s">
        <v>12</v>
      </c>
      <c r="B1421" t="s">
        <v>3009</v>
      </c>
      <c r="C1421" t="s">
        <v>3010</v>
      </c>
      <c r="D1421" t="s">
        <v>727</v>
      </c>
      <c r="E1421" t="s">
        <v>3015</v>
      </c>
      <c r="F1421" s="1">
        <v>1</v>
      </c>
      <c r="G1421" s="1">
        <v>0</v>
      </c>
      <c r="H1421" t="s">
        <v>17</v>
      </c>
      <c r="I1421" t="s">
        <v>3012</v>
      </c>
      <c r="J1421" t="s">
        <v>3013</v>
      </c>
      <c r="K1421" s="3">
        <v>46721</v>
      </c>
      <c r="L1421" t="s">
        <v>3016</v>
      </c>
      <c r="M1421">
        <v>1.6E-2</v>
      </c>
      <c r="N1421">
        <v>5184</v>
      </c>
      <c r="O1421">
        <f t="shared" si="66"/>
        <v>1.6E-2</v>
      </c>
      <c r="P1421">
        <f t="shared" si="67"/>
        <v>1.9290123456790122E-4</v>
      </c>
      <c r="Q1421" t="str">
        <f t="shared" si="68"/>
        <v>Q26-03</v>
      </c>
    </row>
    <row r="1422" spans="1:17" x14ac:dyDescent="0.25">
      <c r="A1422" t="s">
        <v>12</v>
      </c>
      <c r="B1422" t="s">
        <v>3009</v>
      </c>
      <c r="C1422" t="s">
        <v>3010</v>
      </c>
      <c r="D1422" t="s">
        <v>407</v>
      </c>
      <c r="E1422" t="s">
        <v>3017</v>
      </c>
      <c r="F1422" s="1">
        <v>1</v>
      </c>
      <c r="G1422" s="1">
        <v>0</v>
      </c>
      <c r="H1422" t="s">
        <v>17</v>
      </c>
      <c r="I1422" t="s">
        <v>3012</v>
      </c>
      <c r="J1422" t="s">
        <v>3013</v>
      </c>
      <c r="K1422" s="3">
        <v>46721</v>
      </c>
      <c r="L1422" t="s">
        <v>3016</v>
      </c>
      <c r="M1422">
        <v>1.6E-2</v>
      </c>
      <c r="N1422">
        <v>5184</v>
      </c>
      <c r="O1422">
        <f t="shared" si="66"/>
        <v>1.6E-2</v>
      </c>
      <c r="P1422">
        <f t="shared" si="67"/>
        <v>1.9290123456790122E-4</v>
      </c>
      <c r="Q1422" t="str">
        <f t="shared" si="68"/>
        <v>Q27-01</v>
      </c>
    </row>
    <row r="1423" spans="1:17" x14ac:dyDescent="0.25">
      <c r="A1423" t="s">
        <v>12</v>
      </c>
      <c r="B1423" t="s">
        <v>3009</v>
      </c>
      <c r="C1423" t="s">
        <v>3010</v>
      </c>
      <c r="D1423" t="s">
        <v>57</v>
      </c>
      <c r="E1423" t="s">
        <v>3018</v>
      </c>
      <c r="F1423" s="1">
        <v>1</v>
      </c>
      <c r="G1423" s="1">
        <v>0</v>
      </c>
      <c r="H1423" t="s">
        <v>17</v>
      </c>
      <c r="I1423" t="s">
        <v>3012</v>
      </c>
      <c r="J1423" t="s">
        <v>3013</v>
      </c>
      <c r="K1423" s="3">
        <v>46721</v>
      </c>
      <c r="L1423" t="s">
        <v>3019</v>
      </c>
      <c r="M1423">
        <v>1.6E-2</v>
      </c>
      <c r="N1423">
        <v>5184</v>
      </c>
      <c r="O1423">
        <f t="shared" si="66"/>
        <v>1.6E-2</v>
      </c>
      <c r="P1423">
        <f t="shared" si="67"/>
        <v>1.9290123456790122E-4</v>
      </c>
      <c r="Q1423" t="str">
        <f t="shared" si="68"/>
        <v>Q26-03</v>
      </c>
    </row>
    <row r="1424" spans="1:17" x14ac:dyDescent="0.25">
      <c r="A1424" t="s">
        <v>12</v>
      </c>
      <c r="B1424" t="s">
        <v>1550</v>
      </c>
      <c r="C1424" t="s">
        <v>1551</v>
      </c>
      <c r="D1424" t="s">
        <v>144</v>
      </c>
      <c r="E1424" t="s">
        <v>3020</v>
      </c>
      <c r="F1424" s="2">
        <v>1998</v>
      </c>
      <c r="G1424" s="1">
        <v>0</v>
      </c>
      <c r="H1424" t="s">
        <v>17</v>
      </c>
      <c r="I1424" t="s">
        <v>84</v>
      </c>
      <c r="J1424" t="s">
        <v>90</v>
      </c>
      <c r="K1424" s="3">
        <v>46769</v>
      </c>
      <c r="L1424" t="s">
        <v>123</v>
      </c>
      <c r="M1424">
        <v>0</v>
      </c>
      <c r="N1424">
        <v>0</v>
      </c>
      <c r="O1424">
        <f t="shared" si="66"/>
        <v>0</v>
      </c>
      <c r="Q1424" t="str">
        <f t="shared" si="68"/>
        <v>QM4-01</v>
      </c>
    </row>
    <row r="1425" spans="1:17" x14ac:dyDescent="0.25">
      <c r="A1425" t="s">
        <v>12</v>
      </c>
      <c r="B1425" t="s">
        <v>589</v>
      </c>
      <c r="C1425" t="s">
        <v>590</v>
      </c>
      <c r="D1425" t="s">
        <v>727</v>
      </c>
      <c r="E1425" t="s">
        <v>3021</v>
      </c>
      <c r="F1425" s="1">
        <v>1</v>
      </c>
      <c r="G1425" s="1">
        <v>0</v>
      </c>
      <c r="H1425" t="s">
        <v>17</v>
      </c>
      <c r="I1425" t="s">
        <v>592</v>
      </c>
      <c r="J1425" t="s">
        <v>3022</v>
      </c>
      <c r="K1425" s="3">
        <v>46314</v>
      </c>
      <c r="L1425" t="s">
        <v>2517</v>
      </c>
      <c r="M1425">
        <v>4.1000000000000002E-2</v>
      </c>
      <c r="N1425">
        <v>1280</v>
      </c>
      <c r="O1425">
        <f t="shared" si="66"/>
        <v>4.1000000000000002E-2</v>
      </c>
      <c r="P1425">
        <f t="shared" si="67"/>
        <v>7.8125000000000004E-4</v>
      </c>
      <c r="Q1425" t="str">
        <f t="shared" si="68"/>
        <v>Q26-03</v>
      </c>
    </row>
    <row r="1426" spans="1:17" x14ac:dyDescent="0.25">
      <c r="A1426" t="s">
        <v>12</v>
      </c>
      <c r="B1426" t="s">
        <v>3023</v>
      </c>
      <c r="C1426" t="s">
        <v>3024</v>
      </c>
      <c r="D1426" t="s">
        <v>77</v>
      </c>
      <c r="E1426" t="s">
        <v>3025</v>
      </c>
      <c r="F1426" s="1">
        <v>1</v>
      </c>
      <c r="G1426" s="1">
        <v>0</v>
      </c>
      <c r="H1426" t="s">
        <v>17</v>
      </c>
      <c r="I1426" t="s">
        <v>3026</v>
      </c>
      <c r="J1426" t="s">
        <v>3027</v>
      </c>
      <c r="K1426" s="3">
        <v>46418</v>
      </c>
      <c r="L1426" t="s">
        <v>3028</v>
      </c>
      <c r="M1426">
        <v>0.1</v>
      </c>
      <c r="N1426">
        <v>3600</v>
      </c>
      <c r="O1426">
        <f t="shared" si="66"/>
        <v>0.1</v>
      </c>
      <c r="P1426">
        <f t="shared" si="67"/>
        <v>2.7777777777777778E-4</v>
      </c>
      <c r="Q1426" t="str">
        <f t="shared" si="68"/>
        <v>Q27-01</v>
      </c>
    </row>
    <row r="1427" spans="1:17" x14ac:dyDescent="0.25">
      <c r="A1427" t="s">
        <v>12</v>
      </c>
      <c r="B1427" t="s">
        <v>891</v>
      </c>
      <c r="C1427" t="s">
        <v>892</v>
      </c>
      <c r="D1427" t="s">
        <v>382</v>
      </c>
      <c r="E1427" t="s">
        <v>3029</v>
      </c>
      <c r="F1427" s="1">
        <v>1</v>
      </c>
      <c r="G1427" s="1">
        <v>0</v>
      </c>
      <c r="H1427" t="s">
        <v>17</v>
      </c>
      <c r="I1427" t="s">
        <v>894</v>
      </c>
      <c r="J1427" t="s">
        <v>3030</v>
      </c>
      <c r="K1427" s="3">
        <v>46599</v>
      </c>
      <c r="L1427" t="s">
        <v>2585</v>
      </c>
      <c r="M1427">
        <v>0.312</v>
      </c>
      <c r="N1427">
        <v>1680</v>
      </c>
      <c r="O1427">
        <f t="shared" si="66"/>
        <v>0.312</v>
      </c>
      <c r="P1427">
        <f t="shared" si="67"/>
        <v>5.9523809523809529E-4</v>
      </c>
      <c r="Q1427" t="str">
        <f t="shared" si="68"/>
        <v>Q27-03</v>
      </c>
    </row>
    <row r="1428" spans="1:17" x14ac:dyDescent="0.25">
      <c r="A1428" t="s">
        <v>61</v>
      </c>
      <c r="B1428" t="s">
        <v>891</v>
      </c>
      <c r="C1428" t="s">
        <v>892</v>
      </c>
      <c r="D1428" t="s">
        <v>382</v>
      </c>
      <c r="E1428" t="s">
        <v>3031</v>
      </c>
      <c r="F1428" s="1">
        <v>4</v>
      </c>
      <c r="G1428" s="1">
        <v>0</v>
      </c>
      <c r="H1428" t="s">
        <v>17</v>
      </c>
      <c r="I1428" t="s">
        <v>894</v>
      </c>
      <c r="J1428" t="s">
        <v>3032</v>
      </c>
      <c r="K1428" s="3">
        <v>46660</v>
      </c>
      <c r="L1428" t="s">
        <v>3033</v>
      </c>
      <c r="M1428">
        <v>0.312</v>
      </c>
      <c r="N1428">
        <v>1680</v>
      </c>
      <c r="O1428">
        <f t="shared" si="66"/>
        <v>1.248</v>
      </c>
      <c r="P1428">
        <f t="shared" si="67"/>
        <v>2.3809523809523812E-3</v>
      </c>
      <c r="Q1428" t="str">
        <f t="shared" si="68"/>
        <v>Q27-03</v>
      </c>
    </row>
    <row r="1429" spans="1:17" x14ac:dyDescent="0.25">
      <c r="A1429" t="s">
        <v>12</v>
      </c>
      <c r="B1429" t="s">
        <v>3034</v>
      </c>
      <c r="C1429" t="s">
        <v>3035</v>
      </c>
      <c r="D1429" t="s">
        <v>727</v>
      </c>
      <c r="E1429" t="s">
        <v>3036</v>
      </c>
      <c r="F1429" s="1">
        <v>1</v>
      </c>
      <c r="G1429" s="1">
        <v>0</v>
      </c>
      <c r="H1429" t="s">
        <v>17</v>
      </c>
      <c r="I1429" t="s">
        <v>1559</v>
      </c>
      <c r="J1429" t="s">
        <v>3037</v>
      </c>
      <c r="K1429" s="3">
        <v>46609</v>
      </c>
      <c r="L1429" t="s">
        <v>3038</v>
      </c>
      <c r="M1429">
        <v>2.1999999999999999E-2</v>
      </c>
      <c r="N1429">
        <v>7150</v>
      </c>
      <c r="O1429">
        <f t="shared" si="66"/>
        <v>2.1999999999999999E-2</v>
      </c>
      <c r="P1429">
        <f t="shared" si="67"/>
        <v>1.3986013986013986E-4</v>
      </c>
      <c r="Q1429" t="str">
        <f t="shared" si="68"/>
        <v>Q26-03</v>
      </c>
    </row>
    <row r="1430" spans="1:17" x14ac:dyDescent="0.25">
      <c r="A1430" t="s">
        <v>12</v>
      </c>
      <c r="B1430" t="s">
        <v>3039</v>
      </c>
      <c r="C1430" t="s">
        <v>3040</v>
      </c>
      <c r="D1430" t="s">
        <v>44</v>
      </c>
      <c r="E1430" t="s">
        <v>3041</v>
      </c>
      <c r="F1430" s="1">
        <v>6</v>
      </c>
      <c r="G1430" s="1">
        <v>0</v>
      </c>
      <c r="H1430" t="s">
        <v>17</v>
      </c>
      <c r="I1430" t="s">
        <v>3042</v>
      </c>
      <c r="J1430" t="s">
        <v>3043</v>
      </c>
      <c r="K1430" s="3">
        <v>46727</v>
      </c>
      <c r="L1430" t="s">
        <v>3044</v>
      </c>
      <c r="M1430">
        <v>3.7999999999999999E-2</v>
      </c>
      <c r="N1430">
        <v>4800</v>
      </c>
      <c r="O1430">
        <f t="shared" si="66"/>
        <v>0.22799999999999998</v>
      </c>
      <c r="P1430">
        <f t="shared" si="67"/>
        <v>1.25E-3</v>
      </c>
      <c r="Q1430" t="str">
        <f t="shared" si="68"/>
        <v>Q26-01</v>
      </c>
    </row>
    <row r="1431" spans="1:17" x14ac:dyDescent="0.25">
      <c r="A1431" t="s">
        <v>12</v>
      </c>
      <c r="B1431" t="s">
        <v>2350</v>
      </c>
      <c r="C1431" t="s">
        <v>2351</v>
      </c>
      <c r="D1431" t="s">
        <v>44</v>
      </c>
      <c r="E1431" t="s">
        <v>3045</v>
      </c>
      <c r="F1431" s="1">
        <v>2</v>
      </c>
      <c r="G1431" s="1">
        <v>0</v>
      </c>
      <c r="H1431" t="s">
        <v>17</v>
      </c>
      <c r="I1431" t="s">
        <v>2353</v>
      </c>
      <c r="J1431" t="s">
        <v>3043</v>
      </c>
      <c r="K1431" s="3">
        <v>46639</v>
      </c>
      <c r="L1431" t="s">
        <v>3005</v>
      </c>
      <c r="M1431">
        <v>6.6000000000000003E-2</v>
      </c>
      <c r="N1431">
        <v>1344</v>
      </c>
      <c r="O1431">
        <f t="shared" si="66"/>
        <v>0.13200000000000001</v>
      </c>
      <c r="P1431">
        <f t="shared" si="67"/>
        <v>1.488095238095238E-3</v>
      </c>
      <c r="Q1431" t="str">
        <f t="shared" si="68"/>
        <v>Q26-01</v>
      </c>
    </row>
    <row r="1432" spans="1:17" x14ac:dyDescent="0.25">
      <c r="A1432" t="s">
        <v>12</v>
      </c>
      <c r="B1432" t="s">
        <v>2301</v>
      </c>
      <c r="C1432" t="s">
        <v>2302</v>
      </c>
      <c r="D1432" t="s">
        <v>44</v>
      </c>
      <c r="E1432" t="s">
        <v>3046</v>
      </c>
      <c r="F1432" s="1">
        <v>3</v>
      </c>
      <c r="G1432" s="1">
        <v>0</v>
      </c>
      <c r="H1432" t="s">
        <v>17</v>
      </c>
      <c r="I1432" t="s">
        <v>2304</v>
      </c>
      <c r="J1432" t="s">
        <v>3043</v>
      </c>
      <c r="K1432" s="3">
        <v>46639</v>
      </c>
      <c r="L1432" t="s">
        <v>2875</v>
      </c>
      <c r="M1432">
        <v>0.14399999999999999</v>
      </c>
      <c r="N1432">
        <v>1728</v>
      </c>
      <c r="O1432">
        <f t="shared" si="66"/>
        <v>0.43199999999999994</v>
      </c>
      <c r="P1432">
        <f t="shared" si="67"/>
        <v>1.736111111111111E-3</v>
      </c>
      <c r="Q1432" t="str">
        <f t="shared" si="68"/>
        <v>Q26-01</v>
      </c>
    </row>
    <row r="1433" spans="1:17" x14ac:dyDescent="0.25">
      <c r="A1433" t="s">
        <v>12</v>
      </c>
      <c r="B1433" t="s">
        <v>2295</v>
      </c>
      <c r="C1433" t="s">
        <v>2296</v>
      </c>
      <c r="D1433" t="s">
        <v>388</v>
      </c>
      <c r="E1433" t="s">
        <v>3047</v>
      </c>
      <c r="F1433" s="1">
        <v>1</v>
      </c>
      <c r="G1433" s="1">
        <v>0</v>
      </c>
      <c r="H1433" t="s">
        <v>17</v>
      </c>
      <c r="I1433" t="s">
        <v>2298</v>
      </c>
      <c r="J1433" t="s">
        <v>3048</v>
      </c>
      <c r="K1433" s="3">
        <v>46417</v>
      </c>
      <c r="L1433" t="s">
        <v>3049</v>
      </c>
      <c r="M1433">
        <v>0.14399999999999999</v>
      </c>
      <c r="N1433">
        <v>1728</v>
      </c>
      <c r="O1433">
        <f t="shared" si="66"/>
        <v>0.14399999999999999</v>
      </c>
      <c r="P1433">
        <f t="shared" si="67"/>
        <v>5.7870370370370367E-4</v>
      </c>
      <c r="Q1433" t="str">
        <f t="shared" si="68"/>
        <v>Q26-03</v>
      </c>
    </row>
    <row r="1434" spans="1:17" x14ac:dyDescent="0.25">
      <c r="A1434" t="s">
        <v>12</v>
      </c>
      <c r="B1434" t="s">
        <v>706</v>
      </c>
      <c r="C1434" t="s">
        <v>707</v>
      </c>
      <c r="D1434" t="s">
        <v>57</v>
      </c>
      <c r="E1434" t="s">
        <v>3050</v>
      </c>
      <c r="F1434" s="1">
        <v>5</v>
      </c>
      <c r="G1434" s="1">
        <v>0</v>
      </c>
      <c r="H1434" t="s">
        <v>17</v>
      </c>
      <c r="I1434" t="s">
        <v>3051</v>
      </c>
      <c r="J1434" t="s">
        <v>3052</v>
      </c>
      <c r="K1434" s="3">
        <v>46721</v>
      </c>
      <c r="L1434" t="s">
        <v>3053</v>
      </c>
      <c r="M1434">
        <v>0.02</v>
      </c>
      <c r="N1434">
        <v>4928</v>
      </c>
      <c r="O1434">
        <f t="shared" si="66"/>
        <v>0.1</v>
      </c>
      <c r="P1434">
        <f t="shared" si="67"/>
        <v>1.0146103896103895E-3</v>
      </c>
      <c r="Q1434" t="str">
        <f t="shared" si="68"/>
        <v>Q26-03</v>
      </c>
    </row>
    <row r="1435" spans="1:17" x14ac:dyDescent="0.25">
      <c r="A1435" t="s">
        <v>12</v>
      </c>
      <c r="B1435" t="s">
        <v>1917</v>
      </c>
      <c r="C1435" t="s">
        <v>1918</v>
      </c>
      <c r="D1435" t="s">
        <v>44</v>
      </c>
      <c r="E1435" t="s">
        <v>3054</v>
      </c>
      <c r="F1435" s="1">
        <v>154</v>
      </c>
      <c r="G1435" s="1">
        <v>0</v>
      </c>
      <c r="H1435" t="s">
        <v>17</v>
      </c>
      <c r="I1435" t="s">
        <v>1920</v>
      </c>
      <c r="J1435" t="s">
        <v>3055</v>
      </c>
      <c r="K1435" s="3">
        <v>46112</v>
      </c>
      <c r="L1435" t="s">
        <v>1922</v>
      </c>
      <c r="M1435">
        <v>0.02</v>
      </c>
      <c r="N1435">
        <v>0</v>
      </c>
      <c r="O1435">
        <f t="shared" si="66"/>
        <v>3.08</v>
      </c>
      <c r="Q1435" t="str">
        <f t="shared" si="68"/>
        <v>Q26-01</v>
      </c>
    </row>
    <row r="1436" spans="1:17" x14ac:dyDescent="0.25">
      <c r="A1436" t="s">
        <v>12</v>
      </c>
      <c r="B1436" t="s">
        <v>1673</v>
      </c>
      <c r="C1436" t="s">
        <v>1674</v>
      </c>
      <c r="D1436" t="s">
        <v>44</v>
      </c>
      <c r="E1436" t="s">
        <v>3056</v>
      </c>
      <c r="F1436" s="1">
        <v>68</v>
      </c>
      <c r="G1436" s="1">
        <v>0</v>
      </c>
      <c r="H1436" t="s">
        <v>17</v>
      </c>
      <c r="I1436" t="s">
        <v>1676</v>
      </c>
      <c r="J1436" t="s">
        <v>3055</v>
      </c>
      <c r="K1436" s="3">
        <v>46093</v>
      </c>
      <c r="L1436" t="s">
        <v>1944</v>
      </c>
      <c r="M1436">
        <v>2.8000000000000001E-2</v>
      </c>
      <c r="N1436">
        <v>6160</v>
      </c>
      <c r="O1436">
        <f t="shared" si="66"/>
        <v>1.9040000000000001</v>
      </c>
      <c r="P1436">
        <f t="shared" si="67"/>
        <v>1.1038961038961039E-2</v>
      </c>
      <c r="Q1436" t="str">
        <f t="shared" si="68"/>
        <v>Q26-01</v>
      </c>
    </row>
    <row r="1437" spans="1:17" x14ac:dyDescent="0.25">
      <c r="A1437" t="s">
        <v>12</v>
      </c>
      <c r="B1437" t="s">
        <v>1407</v>
      </c>
      <c r="C1437" t="s">
        <v>1408</v>
      </c>
      <c r="D1437" t="s">
        <v>38</v>
      </c>
      <c r="E1437" t="s">
        <v>3057</v>
      </c>
      <c r="F1437" s="1">
        <v>1</v>
      </c>
      <c r="G1437" s="1">
        <v>0</v>
      </c>
      <c r="H1437" t="s">
        <v>17</v>
      </c>
      <c r="I1437" t="s">
        <v>84</v>
      </c>
      <c r="J1437" t="s">
        <v>3055</v>
      </c>
      <c r="K1437" s="3">
        <v>46112</v>
      </c>
      <c r="L1437" t="s">
        <v>1413</v>
      </c>
      <c r="M1437">
        <v>0.30399999999999999</v>
      </c>
      <c r="N1437">
        <v>0</v>
      </c>
      <c r="O1437">
        <f t="shared" si="66"/>
        <v>0.30399999999999999</v>
      </c>
      <c r="Q1437" t="str">
        <f t="shared" si="68"/>
        <v>Q26-01</v>
      </c>
    </row>
    <row r="1438" spans="1:17" x14ac:dyDescent="0.25">
      <c r="A1438" t="s">
        <v>385</v>
      </c>
      <c r="B1438" t="s">
        <v>706</v>
      </c>
      <c r="C1438" t="s">
        <v>707</v>
      </c>
      <c r="D1438" t="s">
        <v>57</v>
      </c>
      <c r="E1438" t="s">
        <v>3058</v>
      </c>
      <c r="F1438" s="1">
        <v>12</v>
      </c>
      <c r="G1438" s="1">
        <v>0</v>
      </c>
      <c r="H1438" t="s">
        <v>17</v>
      </c>
      <c r="I1438" t="s">
        <v>3051</v>
      </c>
      <c r="J1438" t="s">
        <v>3052</v>
      </c>
      <c r="K1438" s="3">
        <v>46721</v>
      </c>
      <c r="L1438" t="s">
        <v>3053</v>
      </c>
      <c r="M1438">
        <v>0.02</v>
      </c>
      <c r="N1438">
        <v>4928</v>
      </c>
      <c r="O1438">
        <f t="shared" si="66"/>
        <v>0.24</v>
      </c>
      <c r="P1438">
        <f t="shared" si="67"/>
        <v>2.435064935064935E-3</v>
      </c>
      <c r="Q1438" t="str">
        <f t="shared" si="68"/>
        <v>Q26-03</v>
      </c>
    </row>
    <row r="1439" spans="1:17" x14ac:dyDescent="0.25">
      <c r="A1439" t="s">
        <v>12</v>
      </c>
      <c r="B1439" t="s">
        <v>36</v>
      </c>
      <c r="C1439" t="s">
        <v>37</v>
      </c>
      <c r="D1439" t="s">
        <v>44</v>
      </c>
      <c r="E1439" t="s">
        <v>3059</v>
      </c>
      <c r="F1439" s="1">
        <v>27</v>
      </c>
      <c r="G1439" s="1">
        <v>0</v>
      </c>
      <c r="H1439" t="s">
        <v>17</v>
      </c>
      <c r="I1439" t="s">
        <v>40</v>
      </c>
      <c r="J1439" t="s">
        <v>3060</v>
      </c>
      <c r="K1439" s="3">
        <v>46085</v>
      </c>
      <c r="L1439" t="s">
        <v>42</v>
      </c>
      <c r="M1439">
        <v>2.8000000000000001E-2</v>
      </c>
      <c r="N1439">
        <v>3780</v>
      </c>
      <c r="O1439">
        <f t="shared" si="66"/>
        <v>0.75600000000000001</v>
      </c>
      <c r="P1439">
        <f t="shared" si="67"/>
        <v>7.1428571428571426E-3</v>
      </c>
      <c r="Q1439" t="str">
        <f t="shared" si="68"/>
        <v>Q26-01</v>
      </c>
    </row>
    <row r="1440" spans="1:17" x14ac:dyDescent="0.25">
      <c r="A1440" t="s">
        <v>12</v>
      </c>
      <c r="B1440" t="s">
        <v>36</v>
      </c>
      <c r="C1440" t="s">
        <v>37</v>
      </c>
      <c r="D1440" t="s">
        <v>44</v>
      </c>
      <c r="E1440" t="s">
        <v>3061</v>
      </c>
      <c r="F1440" s="1">
        <v>23</v>
      </c>
      <c r="G1440" s="1">
        <v>0</v>
      </c>
      <c r="H1440" t="s">
        <v>17</v>
      </c>
      <c r="I1440" t="s">
        <v>40</v>
      </c>
      <c r="J1440" t="s">
        <v>3060</v>
      </c>
      <c r="K1440" s="3">
        <v>46085</v>
      </c>
      <c r="L1440" t="s">
        <v>46</v>
      </c>
      <c r="M1440">
        <v>2.8000000000000001E-2</v>
      </c>
      <c r="N1440">
        <v>3780</v>
      </c>
      <c r="O1440">
        <f t="shared" si="66"/>
        <v>0.64400000000000002</v>
      </c>
      <c r="P1440">
        <f t="shared" si="67"/>
        <v>6.084656084656085E-3</v>
      </c>
      <c r="Q1440" t="str">
        <f t="shared" si="68"/>
        <v>Q26-01</v>
      </c>
    </row>
    <row r="1441" spans="1:17" x14ac:dyDescent="0.25">
      <c r="A1441" t="s">
        <v>12</v>
      </c>
      <c r="B1441" t="s">
        <v>1917</v>
      </c>
      <c r="C1441" t="s">
        <v>1918</v>
      </c>
      <c r="D1441" t="s">
        <v>44</v>
      </c>
      <c r="E1441" t="s">
        <v>3062</v>
      </c>
      <c r="F1441" s="1">
        <v>18</v>
      </c>
      <c r="G1441" s="1">
        <v>0</v>
      </c>
      <c r="H1441" t="s">
        <v>17</v>
      </c>
      <c r="I1441" t="s">
        <v>1920</v>
      </c>
      <c r="J1441" t="s">
        <v>3063</v>
      </c>
      <c r="K1441" s="3">
        <v>46112</v>
      </c>
      <c r="L1441" t="s">
        <v>3064</v>
      </c>
      <c r="M1441">
        <v>0.02</v>
      </c>
      <c r="N1441">
        <v>0</v>
      </c>
      <c r="O1441">
        <f t="shared" si="66"/>
        <v>0.36</v>
      </c>
      <c r="Q1441" t="str">
        <f t="shared" si="68"/>
        <v>Q26-01</v>
      </c>
    </row>
    <row r="1442" spans="1:17" x14ac:dyDescent="0.25">
      <c r="A1442" t="s">
        <v>12</v>
      </c>
      <c r="B1442" t="s">
        <v>1673</v>
      </c>
      <c r="C1442" t="s">
        <v>1674</v>
      </c>
      <c r="D1442" t="s">
        <v>44</v>
      </c>
      <c r="E1442" t="s">
        <v>3065</v>
      </c>
      <c r="F1442" s="1">
        <v>59</v>
      </c>
      <c r="G1442" s="1">
        <v>0</v>
      </c>
      <c r="H1442" t="s">
        <v>17</v>
      </c>
      <c r="I1442" t="s">
        <v>1676</v>
      </c>
      <c r="J1442" t="s">
        <v>3063</v>
      </c>
      <c r="K1442" s="3">
        <v>46093</v>
      </c>
      <c r="L1442" t="s">
        <v>1944</v>
      </c>
      <c r="M1442">
        <v>2.8000000000000001E-2</v>
      </c>
      <c r="N1442">
        <v>6160</v>
      </c>
      <c r="O1442">
        <f t="shared" si="66"/>
        <v>1.6520000000000001</v>
      </c>
      <c r="P1442">
        <f t="shared" si="67"/>
        <v>9.5779220779220776E-3</v>
      </c>
      <c r="Q1442" t="str">
        <f t="shared" si="68"/>
        <v>Q26-01</v>
      </c>
    </row>
    <row r="1443" spans="1:17" x14ac:dyDescent="0.25">
      <c r="A1443" t="s">
        <v>12</v>
      </c>
      <c r="B1443" t="s">
        <v>1917</v>
      </c>
      <c r="C1443" t="s">
        <v>1918</v>
      </c>
      <c r="D1443" t="s">
        <v>44</v>
      </c>
      <c r="E1443" t="s">
        <v>3066</v>
      </c>
      <c r="F1443" s="1">
        <v>150</v>
      </c>
      <c r="G1443" s="1">
        <v>0</v>
      </c>
      <c r="H1443" t="s">
        <v>17</v>
      </c>
      <c r="I1443" t="s">
        <v>1920</v>
      </c>
      <c r="J1443" t="s">
        <v>3063</v>
      </c>
      <c r="K1443" s="3">
        <v>46112</v>
      </c>
      <c r="L1443" t="s">
        <v>1922</v>
      </c>
      <c r="M1443">
        <v>0.02</v>
      </c>
      <c r="N1443">
        <v>0</v>
      </c>
      <c r="O1443">
        <f t="shared" si="66"/>
        <v>3</v>
      </c>
      <c r="Q1443" t="str">
        <f t="shared" si="68"/>
        <v>Q26-01</v>
      </c>
    </row>
    <row r="1444" spans="1:17" x14ac:dyDescent="0.25">
      <c r="A1444" t="s">
        <v>61</v>
      </c>
      <c r="B1444" t="s">
        <v>364</v>
      </c>
      <c r="C1444" t="s">
        <v>365</v>
      </c>
      <c r="D1444" t="s">
        <v>3067</v>
      </c>
      <c r="E1444" t="s">
        <v>3068</v>
      </c>
      <c r="F1444" s="1">
        <v>14</v>
      </c>
      <c r="G1444" s="1">
        <v>0</v>
      </c>
      <c r="H1444" t="s">
        <v>17</v>
      </c>
      <c r="I1444" t="s">
        <v>367</v>
      </c>
      <c r="J1444" t="s">
        <v>3069</v>
      </c>
      <c r="K1444" s="3">
        <v>46326</v>
      </c>
      <c r="L1444" t="s">
        <v>417</v>
      </c>
      <c r="M1444">
        <v>0.158</v>
      </c>
      <c r="N1444">
        <v>1152</v>
      </c>
      <c r="O1444">
        <f t="shared" si="66"/>
        <v>2.2120000000000002</v>
      </c>
      <c r="P1444">
        <f t="shared" si="67"/>
        <v>1.2152777777777778E-2</v>
      </c>
      <c r="Q1444" t="str">
        <f t="shared" si="68"/>
        <v>Q27-03</v>
      </c>
    </row>
    <row r="1445" spans="1:17" x14ac:dyDescent="0.25">
      <c r="A1445" t="s">
        <v>61</v>
      </c>
      <c r="B1445" t="s">
        <v>456</v>
      </c>
      <c r="C1445" t="s">
        <v>457</v>
      </c>
      <c r="D1445" t="s">
        <v>3067</v>
      </c>
      <c r="E1445" t="s">
        <v>3070</v>
      </c>
      <c r="F1445" s="1">
        <v>21</v>
      </c>
      <c r="G1445" s="1">
        <v>0</v>
      </c>
      <c r="H1445" t="s">
        <v>17</v>
      </c>
      <c r="I1445" t="s">
        <v>459</v>
      </c>
      <c r="J1445" t="s">
        <v>3069</v>
      </c>
      <c r="K1445" s="3">
        <v>46387</v>
      </c>
      <c r="L1445" t="s">
        <v>1213</v>
      </c>
      <c r="M1445">
        <v>0.22600000000000001</v>
      </c>
      <c r="N1445">
        <v>1680</v>
      </c>
      <c r="O1445">
        <f t="shared" si="66"/>
        <v>4.7460000000000004</v>
      </c>
      <c r="P1445">
        <f t="shared" si="67"/>
        <v>1.2500000000000001E-2</v>
      </c>
      <c r="Q1445" t="str">
        <f t="shared" si="68"/>
        <v>Q27-03</v>
      </c>
    </row>
    <row r="1446" spans="1:17" x14ac:dyDescent="0.25">
      <c r="A1446" t="s">
        <v>61</v>
      </c>
      <c r="B1446" t="s">
        <v>317</v>
      </c>
      <c r="C1446" t="s">
        <v>318</v>
      </c>
      <c r="D1446" t="s">
        <v>3067</v>
      </c>
      <c r="E1446" t="s">
        <v>3071</v>
      </c>
      <c r="F1446" s="1">
        <v>10</v>
      </c>
      <c r="G1446" s="1">
        <v>0</v>
      </c>
      <c r="H1446" t="s">
        <v>17</v>
      </c>
      <c r="I1446" t="s">
        <v>320</v>
      </c>
      <c r="J1446" t="s">
        <v>3069</v>
      </c>
      <c r="K1446" s="3">
        <v>46477</v>
      </c>
      <c r="L1446" t="s">
        <v>434</v>
      </c>
      <c r="M1446">
        <v>0.04</v>
      </c>
      <c r="N1446">
        <v>2688</v>
      </c>
      <c r="O1446">
        <f t="shared" si="66"/>
        <v>0.4</v>
      </c>
      <c r="P1446">
        <f t="shared" si="67"/>
        <v>3.720238095238095E-3</v>
      </c>
      <c r="Q1446" t="str">
        <f t="shared" si="68"/>
        <v>Q27-03</v>
      </c>
    </row>
    <row r="1447" spans="1:17" x14ac:dyDescent="0.25">
      <c r="A1447" t="s">
        <v>61</v>
      </c>
      <c r="B1447" t="s">
        <v>281</v>
      </c>
      <c r="C1447" t="s">
        <v>282</v>
      </c>
      <c r="D1447" t="s">
        <v>64</v>
      </c>
      <c r="E1447" t="s">
        <v>3072</v>
      </c>
      <c r="F1447" s="1">
        <v>2</v>
      </c>
      <c r="G1447" s="1">
        <v>0</v>
      </c>
      <c r="H1447" t="s">
        <v>17</v>
      </c>
      <c r="I1447" t="s">
        <v>284</v>
      </c>
      <c r="J1447" t="s">
        <v>3069</v>
      </c>
      <c r="K1447" s="3">
        <v>46081</v>
      </c>
      <c r="L1447" t="s">
        <v>1529</v>
      </c>
      <c r="M1447">
        <v>6.8000000000000005E-2</v>
      </c>
      <c r="N1447">
        <v>2240</v>
      </c>
      <c r="O1447">
        <f t="shared" si="66"/>
        <v>0.13600000000000001</v>
      </c>
      <c r="P1447">
        <f t="shared" si="67"/>
        <v>8.9285714285714283E-4</v>
      </c>
      <c r="Q1447" t="str">
        <f t="shared" si="68"/>
        <v>Q27-01</v>
      </c>
    </row>
    <row r="1448" spans="1:17" x14ac:dyDescent="0.25">
      <c r="A1448" t="s">
        <v>61</v>
      </c>
      <c r="B1448" t="s">
        <v>71</v>
      </c>
      <c r="C1448" t="s">
        <v>72</v>
      </c>
      <c r="D1448" t="s">
        <v>3067</v>
      </c>
      <c r="E1448" t="s">
        <v>3073</v>
      </c>
      <c r="F1448" s="1">
        <v>2</v>
      </c>
      <c r="G1448" s="1">
        <v>0</v>
      </c>
      <c r="H1448" t="s">
        <v>17</v>
      </c>
      <c r="I1448" t="s">
        <v>75</v>
      </c>
      <c r="J1448" t="s">
        <v>3069</v>
      </c>
      <c r="K1448" s="3">
        <v>46265</v>
      </c>
      <c r="L1448" t="s">
        <v>2752</v>
      </c>
      <c r="M1448">
        <v>0.3</v>
      </c>
      <c r="N1448">
        <v>1680</v>
      </c>
      <c r="O1448">
        <f t="shared" si="66"/>
        <v>0.6</v>
      </c>
      <c r="P1448">
        <f t="shared" si="67"/>
        <v>1.1904761904761906E-3</v>
      </c>
      <c r="Q1448" t="str">
        <f t="shared" si="68"/>
        <v>Q27-03</v>
      </c>
    </row>
    <row r="1449" spans="1:17" x14ac:dyDescent="0.25">
      <c r="A1449" t="s">
        <v>61</v>
      </c>
      <c r="B1449" t="s">
        <v>281</v>
      </c>
      <c r="C1449" t="s">
        <v>282</v>
      </c>
      <c r="D1449" t="s">
        <v>3067</v>
      </c>
      <c r="E1449" t="s">
        <v>3074</v>
      </c>
      <c r="F1449" s="1">
        <v>1</v>
      </c>
      <c r="G1449" s="1">
        <v>0</v>
      </c>
      <c r="H1449" t="s">
        <v>17</v>
      </c>
      <c r="I1449" t="s">
        <v>284</v>
      </c>
      <c r="J1449" t="s">
        <v>3069</v>
      </c>
      <c r="K1449" s="3">
        <v>46265</v>
      </c>
      <c r="L1449" t="s">
        <v>304</v>
      </c>
      <c r="M1449">
        <v>6.8000000000000005E-2</v>
      </c>
      <c r="N1449">
        <v>2240</v>
      </c>
      <c r="O1449">
        <f t="shared" si="66"/>
        <v>6.8000000000000005E-2</v>
      </c>
      <c r="P1449">
        <f t="shared" si="67"/>
        <v>4.4642857142857141E-4</v>
      </c>
      <c r="Q1449" t="str">
        <f t="shared" si="68"/>
        <v>Q27-03</v>
      </c>
    </row>
    <row r="1450" spans="1:17" x14ac:dyDescent="0.25">
      <c r="A1450" t="s">
        <v>61</v>
      </c>
      <c r="B1450" t="s">
        <v>71</v>
      </c>
      <c r="C1450" t="s">
        <v>72</v>
      </c>
      <c r="D1450" t="s">
        <v>3067</v>
      </c>
      <c r="E1450" t="s">
        <v>3075</v>
      </c>
      <c r="F1450" s="1">
        <v>1</v>
      </c>
      <c r="G1450" s="1">
        <v>0</v>
      </c>
      <c r="H1450" t="s">
        <v>17</v>
      </c>
      <c r="I1450" t="s">
        <v>75</v>
      </c>
      <c r="J1450" t="s">
        <v>3069</v>
      </c>
      <c r="K1450" s="3">
        <v>46265</v>
      </c>
      <c r="L1450" t="s">
        <v>949</v>
      </c>
      <c r="M1450">
        <v>0.3</v>
      </c>
      <c r="N1450">
        <v>1680</v>
      </c>
      <c r="O1450">
        <f t="shared" si="66"/>
        <v>0.3</v>
      </c>
      <c r="P1450">
        <f t="shared" si="67"/>
        <v>5.9523809523809529E-4</v>
      </c>
      <c r="Q1450" t="str">
        <f t="shared" si="68"/>
        <v>Q27-03</v>
      </c>
    </row>
    <row r="1451" spans="1:17" x14ac:dyDescent="0.25">
      <c r="A1451" t="s">
        <v>61</v>
      </c>
      <c r="B1451" t="s">
        <v>317</v>
      </c>
      <c r="C1451" t="s">
        <v>318</v>
      </c>
      <c r="D1451" t="s">
        <v>3067</v>
      </c>
      <c r="E1451" t="s">
        <v>3076</v>
      </c>
      <c r="F1451" s="1">
        <v>11</v>
      </c>
      <c r="G1451" s="1">
        <v>0</v>
      </c>
      <c r="H1451" t="s">
        <v>17</v>
      </c>
      <c r="I1451" t="s">
        <v>320</v>
      </c>
      <c r="J1451" t="s">
        <v>3069</v>
      </c>
      <c r="K1451" s="3">
        <v>46599</v>
      </c>
      <c r="L1451" t="s">
        <v>1010</v>
      </c>
      <c r="M1451">
        <v>0.04</v>
      </c>
      <c r="N1451">
        <v>2688</v>
      </c>
      <c r="O1451">
        <f t="shared" si="66"/>
        <v>0.44</v>
      </c>
      <c r="P1451">
        <f t="shared" si="67"/>
        <v>4.092261904761905E-3</v>
      </c>
      <c r="Q1451" t="str">
        <f t="shared" si="68"/>
        <v>Q27-03</v>
      </c>
    </row>
    <row r="1452" spans="1:17" x14ac:dyDescent="0.25">
      <c r="A1452" t="s">
        <v>61</v>
      </c>
      <c r="B1452" t="s">
        <v>233</v>
      </c>
      <c r="C1452" t="s">
        <v>234</v>
      </c>
      <c r="D1452" t="s">
        <v>69</v>
      </c>
      <c r="E1452" t="s">
        <v>3077</v>
      </c>
      <c r="F1452" s="1">
        <v>2</v>
      </c>
      <c r="G1452" s="1">
        <v>0</v>
      </c>
      <c r="H1452" t="s">
        <v>17</v>
      </c>
      <c r="I1452" t="s">
        <v>236</v>
      </c>
      <c r="J1452" t="s">
        <v>3069</v>
      </c>
      <c r="K1452" s="3">
        <v>46053</v>
      </c>
      <c r="L1452" t="s">
        <v>271</v>
      </c>
      <c r="M1452">
        <v>7.4999999999999997E-2</v>
      </c>
      <c r="N1452">
        <v>2688</v>
      </c>
      <c r="O1452">
        <f t="shared" si="66"/>
        <v>0.15</v>
      </c>
      <c r="P1452">
        <f t="shared" si="67"/>
        <v>7.4404761904761901E-4</v>
      </c>
      <c r="Q1452" t="str">
        <f t="shared" si="68"/>
        <v>Q27-01</v>
      </c>
    </row>
    <row r="1453" spans="1:17" x14ac:dyDescent="0.25">
      <c r="A1453" t="s">
        <v>61</v>
      </c>
      <c r="B1453" t="s">
        <v>456</v>
      </c>
      <c r="C1453" t="s">
        <v>457</v>
      </c>
      <c r="D1453" t="s">
        <v>3067</v>
      </c>
      <c r="E1453" t="s">
        <v>3078</v>
      </c>
      <c r="F1453" s="1">
        <v>1</v>
      </c>
      <c r="G1453" s="1">
        <v>0</v>
      </c>
      <c r="H1453" t="s">
        <v>17</v>
      </c>
      <c r="I1453" t="s">
        <v>459</v>
      </c>
      <c r="J1453" t="s">
        <v>3069</v>
      </c>
      <c r="K1453" s="3">
        <v>46234</v>
      </c>
      <c r="L1453" t="s">
        <v>911</v>
      </c>
      <c r="M1453">
        <v>0.22600000000000001</v>
      </c>
      <c r="N1453">
        <v>1680</v>
      </c>
      <c r="O1453">
        <f t="shared" si="66"/>
        <v>0.22600000000000001</v>
      </c>
      <c r="P1453">
        <f t="shared" si="67"/>
        <v>5.9523809523809529E-4</v>
      </c>
      <c r="Q1453" t="str">
        <f t="shared" si="68"/>
        <v>Q27-03</v>
      </c>
    </row>
    <row r="1454" spans="1:17" x14ac:dyDescent="0.25">
      <c r="A1454" t="s">
        <v>61</v>
      </c>
      <c r="B1454" t="s">
        <v>317</v>
      </c>
      <c r="C1454" t="s">
        <v>318</v>
      </c>
      <c r="D1454" t="s">
        <v>3067</v>
      </c>
      <c r="E1454" t="s">
        <v>3079</v>
      </c>
      <c r="F1454" s="1">
        <v>9</v>
      </c>
      <c r="G1454" s="1">
        <v>0</v>
      </c>
      <c r="H1454" t="s">
        <v>17</v>
      </c>
      <c r="I1454" t="s">
        <v>320</v>
      </c>
      <c r="J1454" t="s">
        <v>3069</v>
      </c>
      <c r="K1454" s="3">
        <v>46142</v>
      </c>
      <c r="L1454" t="s">
        <v>343</v>
      </c>
      <c r="M1454">
        <v>0.04</v>
      </c>
      <c r="N1454">
        <v>2688</v>
      </c>
      <c r="O1454">
        <f t="shared" si="66"/>
        <v>0.36</v>
      </c>
      <c r="P1454">
        <f t="shared" si="67"/>
        <v>3.3482142857142855E-3</v>
      </c>
      <c r="Q1454" t="str">
        <f t="shared" si="68"/>
        <v>Q27-03</v>
      </c>
    </row>
    <row r="1455" spans="1:17" x14ac:dyDescent="0.25">
      <c r="A1455" t="s">
        <v>61</v>
      </c>
      <c r="B1455" t="s">
        <v>317</v>
      </c>
      <c r="C1455" t="s">
        <v>318</v>
      </c>
      <c r="D1455" t="s">
        <v>3067</v>
      </c>
      <c r="E1455" t="s">
        <v>3080</v>
      </c>
      <c r="F1455" s="1">
        <v>17</v>
      </c>
      <c r="G1455" s="1">
        <v>0</v>
      </c>
      <c r="H1455" t="s">
        <v>17</v>
      </c>
      <c r="I1455" t="s">
        <v>320</v>
      </c>
      <c r="J1455" t="s">
        <v>3069</v>
      </c>
      <c r="K1455" s="3">
        <v>46265</v>
      </c>
      <c r="L1455" t="s">
        <v>338</v>
      </c>
      <c r="M1455">
        <v>0.04</v>
      </c>
      <c r="N1455">
        <v>2688</v>
      </c>
      <c r="O1455">
        <f t="shared" si="66"/>
        <v>0.68</v>
      </c>
      <c r="P1455">
        <f t="shared" si="67"/>
        <v>6.324404761904762E-3</v>
      </c>
      <c r="Q1455" t="str">
        <f t="shared" si="68"/>
        <v>Q27-03</v>
      </c>
    </row>
    <row r="1456" spans="1:17" x14ac:dyDescent="0.25">
      <c r="A1456" t="s">
        <v>61</v>
      </c>
      <c r="B1456" t="s">
        <v>317</v>
      </c>
      <c r="C1456" t="s">
        <v>318</v>
      </c>
      <c r="D1456" t="s">
        <v>3067</v>
      </c>
      <c r="E1456" t="s">
        <v>3081</v>
      </c>
      <c r="F1456" s="1">
        <v>23</v>
      </c>
      <c r="G1456" s="1">
        <v>0</v>
      </c>
      <c r="H1456" t="s">
        <v>17</v>
      </c>
      <c r="I1456" t="s">
        <v>320</v>
      </c>
      <c r="J1456" t="s">
        <v>3069</v>
      </c>
      <c r="K1456" s="3">
        <v>46538</v>
      </c>
      <c r="L1456" t="s">
        <v>697</v>
      </c>
      <c r="M1456">
        <v>0.04</v>
      </c>
      <c r="N1456">
        <v>2688</v>
      </c>
      <c r="O1456">
        <f t="shared" si="66"/>
        <v>0.92</v>
      </c>
      <c r="P1456">
        <f t="shared" si="67"/>
        <v>8.5565476190476199E-3</v>
      </c>
      <c r="Q1456" t="str">
        <f t="shared" si="68"/>
        <v>Q27-03</v>
      </c>
    </row>
    <row r="1457" spans="1:17" x14ac:dyDescent="0.25">
      <c r="A1457" t="s">
        <v>61</v>
      </c>
      <c r="B1457" t="s">
        <v>364</v>
      </c>
      <c r="C1457" t="s">
        <v>365</v>
      </c>
      <c r="D1457" t="s">
        <v>3067</v>
      </c>
      <c r="E1457" t="s">
        <v>3082</v>
      </c>
      <c r="F1457" s="1">
        <v>14</v>
      </c>
      <c r="G1457" s="1">
        <v>0</v>
      </c>
      <c r="H1457" t="s">
        <v>17</v>
      </c>
      <c r="I1457" t="s">
        <v>367</v>
      </c>
      <c r="J1457" t="s">
        <v>3069</v>
      </c>
      <c r="K1457" s="3">
        <v>46356</v>
      </c>
      <c r="L1457" t="s">
        <v>419</v>
      </c>
      <c r="M1457">
        <v>0.158</v>
      </c>
      <c r="N1457">
        <v>1152</v>
      </c>
      <c r="O1457">
        <f t="shared" si="66"/>
        <v>2.2120000000000002</v>
      </c>
      <c r="P1457">
        <f t="shared" si="67"/>
        <v>1.2152777777777778E-2</v>
      </c>
      <c r="Q1457" t="str">
        <f t="shared" si="68"/>
        <v>Q27-03</v>
      </c>
    </row>
    <row r="1458" spans="1:17" x14ac:dyDescent="0.25">
      <c r="A1458" t="s">
        <v>61</v>
      </c>
      <c r="B1458" t="s">
        <v>317</v>
      </c>
      <c r="C1458" t="s">
        <v>318</v>
      </c>
      <c r="D1458" t="s">
        <v>3067</v>
      </c>
      <c r="E1458" t="s">
        <v>3083</v>
      </c>
      <c r="F1458" s="1">
        <v>7</v>
      </c>
      <c r="G1458" s="1">
        <v>0</v>
      </c>
      <c r="H1458" t="s">
        <v>17</v>
      </c>
      <c r="I1458" t="s">
        <v>320</v>
      </c>
      <c r="J1458" t="s">
        <v>3069</v>
      </c>
      <c r="K1458" s="3">
        <v>46173</v>
      </c>
      <c r="L1458" t="s">
        <v>321</v>
      </c>
      <c r="M1458">
        <v>0.04</v>
      </c>
      <c r="N1458">
        <v>2688</v>
      </c>
      <c r="O1458">
        <f t="shared" si="66"/>
        <v>0.28000000000000003</v>
      </c>
      <c r="P1458">
        <f t="shared" si="67"/>
        <v>2.6041666666666665E-3</v>
      </c>
      <c r="Q1458" t="str">
        <f t="shared" si="68"/>
        <v>Q27-03</v>
      </c>
    </row>
    <row r="1459" spans="1:17" x14ac:dyDescent="0.25">
      <c r="A1459" t="s">
        <v>61</v>
      </c>
      <c r="B1459" t="s">
        <v>891</v>
      </c>
      <c r="C1459" t="s">
        <v>892</v>
      </c>
      <c r="D1459" t="s">
        <v>3067</v>
      </c>
      <c r="E1459" t="s">
        <v>3084</v>
      </c>
      <c r="F1459" s="1">
        <v>2</v>
      </c>
      <c r="G1459" s="1">
        <v>0</v>
      </c>
      <c r="H1459" t="s">
        <v>17</v>
      </c>
      <c r="I1459" t="s">
        <v>894</v>
      </c>
      <c r="J1459" t="s">
        <v>3069</v>
      </c>
      <c r="K1459" s="3">
        <v>46418</v>
      </c>
      <c r="L1459" t="s">
        <v>1180</v>
      </c>
      <c r="M1459">
        <v>0.312</v>
      </c>
      <c r="N1459">
        <v>1680</v>
      </c>
      <c r="O1459">
        <f t="shared" si="66"/>
        <v>0.624</v>
      </c>
      <c r="P1459">
        <f t="shared" si="67"/>
        <v>1.1904761904761906E-3</v>
      </c>
      <c r="Q1459" t="str">
        <f t="shared" si="68"/>
        <v>Q27-03</v>
      </c>
    </row>
    <row r="1460" spans="1:17" x14ac:dyDescent="0.25">
      <c r="A1460" t="s">
        <v>61</v>
      </c>
      <c r="B1460" t="s">
        <v>317</v>
      </c>
      <c r="C1460" t="s">
        <v>318</v>
      </c>
      <c r="D1460" t="s">
        <v>3067</v>
      </c>
      <c r="E1460" t="s">
        <v>3085</v>
      </c>
      <c r="F1460" s="1">
        <v>13</v>
      </c>
      <c r="G1460" s="1">
        <v>0</v>
      </c>
      <c r="H1460" t="s">
        <v>17</v>
      </c>
      <c r="I1460" t="s">
        <v>320</v>
      </c>
      <c r="J1460" t="s">
        <v>3069</v>
      </c>
      <c r="K1460" s="3">
        <v>46418</v>
      </c>
      <c r="L1460" t="s">
        <v>478</v>
      </c>
      <c r="M1460">
        <v>0.04</v>
      </c>
      <c r="N1460">
        <v>2688</v>
      </c>
      <c r="O1460">
        <f t="shared" si="66"/>
        <v>0.52</v>
      </c>
      <c r="P1460">
        <f t="shared" si="67"/>
        <v>4.836309523809524E-3</v>
      </c>
      <c r="Q1460" t="str">
        <f t="shared" si="68"/>
        <v>Q27-03</v>
      </c>
    </row>
    <row r="1461" spans="1:17" x14ac:dyDescent="0.25">
      <c r="A1461" t="s">
        <v>61</v>
      </c>
      <c r="B1461" t="s">
        <v>352</v>
      </c>
      <c r="C1461" t="s">
        <v>353</v>
      </c>
      <c r="D1461" t="s">
        <v>3067</v>
      </c>
      <c r="E1461" t="s">
        <v>3086</v>
      </c>
      <c r="F1461" s="1">
        <v>96</v>
      </c>
      <c r="G1461" s="1">
        <v>0</v>
      </c>
      <c r="H1461" t="s">
        <v>17</v>
      </c>
      <c r="I1461" t="s">
        <v>355</v>
      </c>
      <c r="J1461" t="s">
        <v>3069</v>
      </c>
      <c r="K1461" s="3">
        <v>46234</v>
      </c>
      <c r="L1461" t="s">
        <v>357</v>
      </c>
      <c r="M1461">
        <v>5.0999999999999997E-2</v>
      </c>
      <c r="N1461">
        <v>2880</v>
      </c>
      <c r="O1461">
        <f t="shared" si="66"/>
        <v>4.8959999999999999</v>
      </c>
      <c r="P1461">
        <f t="shared" si="67"/>
        <v>3.3333333333333333E-2</v>
      </c>
      <c r="Q1461" t="str">
        <f t="shared" si="68"/>
        <v>Q27-03</v>
      </c>
    </row>
    <row r="1462" spans="1:17" x14ac:dyDescent="0.25">
      <c r="A1462" t="s">
        <v>61</v>
      </c>
      <c r="B1462" t="s">
        <v>71</v>
      </c>
      <c r="C1462" t="s">
        <v>72</v>
      </c>
      <c r="D1462" t="s">
        <v>3067</v>
      </c>
      <c r="E1462" t="s">
        <v>3087</v>
      </c>
      <c r="F1462" s="1">
        <v>43</v>
      </c>
      <c r="G1462" s="1">
        <v>0</v>
      </c>
      <c r="H1462" t="s">
        <v>17</v>
      </c>
      <c r="I1462" t="s">
        <v>75</v>
      </c>
      <c r="J1462" t="s">
        <v>3069</v>
      </c>
      <c r="K1462" s="3">
        <v>46142</v>
      </c>
      <c r="L1462" t="s">
        <v>534</v>
      </c>
      <c r="M1462">
        <v>0.3</v>
      </c>
      <c r="N1462">
        <v>1680</v>
      </c>
      <c r="O1462">
        <f t="shared" si="66"/>
        <v>12.9</v>
      </c>
      <c r="P1462">
        <f t="shared" si="67"/>
        <v>2.5595238095238095E-2</v>
      </c>
      <c r="Q1462" t="str">
        <f t="shared" si="68"/>
        <v>Q27-03</v>
      </c>
    </row>
    <row r="1463" spans="1:17" x14ac:dyDescent="0.25">
      <c r="A1463" t="s">
        <v>61</v>
      </c>
      <c r="B1463" t="s">
        <v>219</v>
      </c>
      <c r="C1463" t="s">
        <v>220</v>
      </c>
      <c r="D1463" t="s">
        <v>64</v>
      </c>
      <c r="E1463" t="s">
        <v>3088</v>
      </c>
      <c r="F1463" s="1">
        <v>6</v>
      </c>
      <c r="G1463" s="1">
        <v>0</v>
      </c>
      <c r="H1463" t="s">
        <v>17</v>
      </c>
      <c r="I1463" t="s">
        <v>222</v>
      </c>
      <c r="J1463" t="s">
        <v>3069</v>
      </c>
      <c r="K1463" s="3">
        <v>46081</v>
      </c>
      <c r="L1463" t="s">
        <v>539</v>
      </c>
      <c r="M1463">
        <v>0.3</v>
      </c>
      <c r="N1463">
        <v>1680</v>
      </c>
      <c r="O1463">
        <f t="shared" si="66"/>
        <v>1.7999999999999998</v>
      </c>
      <c r="P1463">
        <f t="shared" si="67"/>
        <v>3.5714285714285713E-3</v>
      </c>
      <c r="Q1463" t="str">
        <f t="shared" si="68"/>
        <v>Q27-01</v>
      </c>
    </row>
    <row r="1464" spans="1:17" x14ac:dyDescent="0.25">
      <c r="A1464" t="s">
        <v>61</v>
      </c>
      <c r="B1464" t="s">
        <v>71</v>
      </c>
      <c r="C1464" t="s">
        <v>72</v>
      </c>
      <c r="D1464" t="s">
        <v>3067</v>
      </c>
      <c r="E1464" t="s">
        <v>3089</v>
      </c>
      <c r="F1464" s="1">
        <v>3</v>
      </c>
      <c r="G1464" s="1">
        <v>0</v>
      </c>
      <c r="H1464" t="s">
        <v>17</v>
      </c>
      <c r="I1464" t="s">
        <v>75</v>
      </c>
      <c r="J1464" t="s">
        <v>3069</v>
      </c>
      <c r="K1464" s="3">
        <v>46295</v>
      </c>
      <c r="L1464" t="s">
        <v>1005</v>
      </c>
      <c r="M1464">
        <v>0.3</v>
      </c>
      <c r="N1464">
        <v>1680</v>
      </c>
      <c r="O1464">
        <f t="shared" si="66"/>
        <v>0.89999999999999991</v>
      </c>
      <c r="P1464">
        <f t="shared" si="67"/>
        <v>1.7857142857142857E-3</v>
      </c>
      <c r="Q1464" t="str">
        <f t="shared" si="68"/>
        <v>Q27-03</v>
      </c>
    </row>
    <row r="1465" spans="1:17" x14ac:dyDescent="0.25">
      <c r="A1465" t="s">
        <v>61</v>
      </c>
      <c r="B1465" t="s">
        <v>219</v>
      </c>
      <c r="C1465" t="s">
        <v>220</v>
      </c>
      <c r="D1465" t="s">
        <v>3067</v>
      </c>
      <c r="E1465" t="s">
        <v>3090</v>
      </c>
      <c r="F1465" s="1">
        <v>12</v>
      </c>
      <c r="G1465" s="1">
        <v>0</v>
      </c>
      <c r="H1465" t="s">
        <v>17</v>
      </c>
      <c r="I1465" t="s">
        <v>222</v>
      </c>
      <c r="J1465" t="s">
        <v>3069</v>
      </c>
      <c r="K1465" s="3">
        <v>46387</v>
      </c>
      <c r="L1465" t="s">
        <v>1200</v>
      </c>
      <c r="M1465">
        <v>0.3</v>
      </c>
      <c r="N1465">
        <v>1680</v>
      </c>
      <c r="O1465">
        <f t="shared" si="66"/>
        <v>3.5999999999999996</v>
      </c>
      <c r="P1465">
        <f t="shared" si="67"/>
        <v>7.1428571428571426E-3</v>
      </c>
      <c r="Q1465" t="str">
        <f t="shared" si="68"/>
        <v>Q27-03</v>
      </c>
    </row>
    <row r="1466" spans="1:17" x14ac:dyDescent="0.25">
      <c r="A1466" t="s">
        <v>61</v>
      </c>
      <c r="B1466" t="s">
        <v>166</v>
      </c>
      <c r="C1466" t="s">
        <v>167</v>
      </c>
      <c r="D1466" t="s">
        <v>3067</v>
      </c>
      <c r="E1466" t="s">
        <v>3091</v>
      </c>
      <c r="F1466" s="1">
        <v>268</v>
      </c>
      <c r="G1466" s="1">
        <v>0</v>
      </c>
      <c r="H1466" t="s">
        <v>17</v>
      </c>
      <c r="I1466" t="s">
        <v>170</v>
      </c>
      <c r="J1466" t="s">
        <v>3069</v>
      </c>
      <c r="K1466" s="3">
        <v>46173</v>
      </c>
      <c r="L1466" t="s">
        <v>179</v>
      </c>
      <c r="M1466">
        <v>9.2999999999999999E-2</v>
      </c>
      <c r="N1466">
        <v>1536</v>
      </c>
      <c r="O1466">
        <f t="shared" si="66"/>
        <v>24.923999999999999</v>
      </c>
      <c r="P1466">
        <f t="shared" si="67"/>
        <v>0.17447916666666666</v>
      </c>
      <c r="Q1466" t="str">
        <f t="shared" si="68"/>
        <v>Q27-03</v>
      </c>
    </row>
    <row r="1467" spans="1:17" x14ac:dyDescent="0.25">
      <c r="A1467" t="s">
        <v>61</v>
      </c>
      <c r="B1467" t="s">
        <v>317</v>
      </c>
      <c r="C1467" t="s">
        <v>318</v>
      </c>
      <c r="D1467" t="s">
        <v>3067</v>
      </c>
      <c r="E1467" t="s">
        <v>3092</v>
      </c>
      <c r="F1467" s="1">
        <v>22</v>
      </c>
      <c r="G1467" s="1">
        <v>0</v>
      </c>
      <c r="H1467" t="s">
        <v>17</v>
      </c>
      <c r="I1467" t="s">
        <v>320</v>
      </c>
      <c r="J1467" t="s">
        <v>3069</v>
      </c>
      <c r="K1467" s="3">
        <v>46568</v>
      </c>
      <c r="L1467" t="s">
        <v>1622</v>
      </c>
      <c r="M1467">
        <v>0.04</v>
      </c>
      <c r="N1467">
        <v>2688</v>
      </c>
      <c r="O1467">
        <f t="shared" si="66"/>
        <v>0.88</v>
      </c>
      <c r="P1467">
        <f t="shared" si="67"/>
        <v>8.1845238095238099E-3</v>
      </c>
      <c r="Q1467" t="str">
        <f t="shared" si="68"/>
        <v>Q27-03</v>
      </c>
    </row>
    <row r="1468" spans="1:17" x14ac:dyDescent="0.25">
      <c r="A1468" t="s">
        <v>61</v>
      </c>
      <c r="B1468" t="s">
        <v>456</v>
      </c>
      <c r="C1468" t="s">
        <v>457</v>
      </c>
      <c r="D1468" t="s">
        <v>3067</v>
      </c>
      <c r="E1468" t="s">
        <v>3093</v>
      </c>
      <c r="F1468" s="1">
        <v>2</v>
      </c>
      <c r="G1468" s="1">
        <v>0</v>
      </c>
      <c r="H1468" t="s">
        <v>17</v>
      </c>
      <c r="I1468" t="s">
        <v>459</v>
      </c>
      <c r="J1468" t="s">
        <v>3069</v>
      </c>
      <c r="K1468" s="3">
        <v>46142</v>
      </c>
      <c r="L1468" t="s">
        <v>510</v>
      </c>
      <c r="M1468">
        <v>0.22600000000000001</v>
      </c>
      <c r="N1468">
        <v>1680</v>
      </c>
      <c r="O1468">
        <f t="shared" si="66"/>
        <v>0.45200000000000001</v>
      </c>
      <c r="P1468">
        <f t="shared" si="67"/>
        <v>1.1904761904761906E-3</v>
      </c>
      <c r="Q1468" t="str">
        <f t="shared" si="68"/>
        <v>Q27-03</v>
      </c>
    </row>
    <row r="1469" spans="1:17" x14ac:dyDescent="0.25">
      <c r="A1469" t="s">
        <v>61</v>
      </c>
      <c r="B1469" t="s">
        <v>317</v>
      </c>
      <c r="C1469" t="s">
        <v>318</v>
      </c>
      <c r="D1469" t="s">
        <v>3067</v>
      </c>
      <c r="E1469" t="s">
        <v>3094</v>
      </c>
      <c r="F1469" s="1">
        <v>32</v>
      </c>
      <c r="G1469" s="1">
        <v>0</v>
      </c>
      <c r="H1469" t="s">
        <v>17</v>
      </c>
      <c r="I1469" t="s">
        <v>320</v>
      </c>
      <c r="J1469" t="s">
        <v>3069</v>
      </c>
      <c r="K1469" s="3">
        <v>46507</v>
      </c>
      <c r="L1469" t="s">
        <v>683</v>
      </c>
      <c r="M1469">
        <v>0.04</v>
      </c>
      <c r="N1469">
        <v>2688</v>
      </c>
      <c r="O1469">
        <f t="shared" si="66"/>
        <v>1.28</v>
      </c>
      <c r="P1469">
        <f t="shared" si="67"/>
        <v>1.1904761904761904E-2</v>
      </c>
      <c r="Q1469" t="str">
        <f t="shared" si="68"/>
        <v>Q27-03</v>
      </c>
    </row>
    <row r="1470" spans="1:17" x14ac:dyDescent="0.25">
      <c r="A1470" t="s">
        <v>61</v>
      </c>
      <c r="B1470" t="s">
        <v>281</v>
      </c>
      <c r="C1470" t="s">
        <v>282</v>
      </c>
      <c r="D1470" t="s">
        <v>3067</v>
      </c>
      <c r="E1470" t="s">
        <v>3095</v>
      </c>
      <c r="F1470" s="1">
        <v>32</v>
      </c>
      <c r="G1470" s="1">
        <v>0</v>
      </c>
      <c r="H1470" t="s">
        <v>17</v>
      </c>
      <c r="I1470" t="s">
        <v>284</v>
      </c>
      <c r="J1470" t="s">
        <v>3069</v>
      </c>
      <c r="K1470" s="3">
        <v>46173</v>
      </c>
      <c r="L1470" t="s">
        <v>293</v>
      </c>
      <c r="M1470">
        <v>6.8000000000000005E-2</v>
      </c>
      <c r="N1470">
        <v>2240</v>
      </c>
      <c r="O1470">
        <f t="shared" si="66"/>
        <v>2.1760000000000002</v>
      </c>
      <c r="P1470">
        <f t="shared" si="67"/>
        <v>1.4285714285714285E-2</v>
      </c>
      <c r="Q1470" t="str">
        <f t="shared" si="68"/>
        <v>Q27-03</v>
      </c>
    </row>
    <row r="1471" spans="1:17" x14ac:dyDescent="0.25">
      <c r="A1471" t="s">
        <v>61</v>
      </c>
      <c r="B1471" t="s">
        <v>317</v>
      </c>
      <c r="C1471" t="s">
        <v>318</v>
      </c>
      <c r="D1471" t="s">
        <v>3067</v>
      </c>
      <c r="E1471" t="s">
        <v>3096</v>
      </c>
      <c r="F1471" s="1">
        <v>1</v>
      </c>
      <c r="G1471" s="1">
        <v>0</v>
      </c>
      <c r="H1471" t="s">
        <v>17</v>
      </c>
      <c r="I1471" t="s">
        <v>320</v>
      </c>
      <c r="J1471" t="s">
        <v>3069</v>
      </c>
      <c r="K1471" s="3">
        <v>46752</v>
      </c>
      <c r="L1471" t="s">
        <v>1452</v>
      </c>
      <c r="M1471">
        <v>0.04</v>
      </c>
      <c r="N1471">
        <v>2688</v>
      </c>
      <c r="O1471">
        <f t="shared" si="66"/>
        <v>0.04</v>
      </c>
      <c r="P1471">
        <f t="shared" si="67"/>
        <v>3.720238095238095E-4</v>
      </c>
      <c r="Q1471" t="str">
        <f t="shared" si="68"/>
        <v>Q27-03</v>
      </c>
    </row>
    <row r="1472" spans="1:17" x14ac:dyDescent="0.25">
      <c r="A1472" t="s">
        <v>61</v>
      </c>
      <c r="B1472" t="s">
        <v>219</v>
      </c>
      <c r="C1472" t="s">
        <v>220</v>
      </c>
      <c r="D1472" t="s">
        <v>3067</v>
      </c>
      <c r="E1472" t="s">
        <v>3097</v>
      </c>
      <c r="F1472" s="1">
        <v>13</v>
      </c>
      <c r="G1472" s="1">
        <v>0</v>
      </c>
      <c r="H1472" t="s">
        <v>17</v>
      </c>
      <c r="I1472" t="s">
        <v>222</v>
      </c>
      <c r="J1472" t="s">
        <v>3069</v>
      </c>
      <c r="K1472" s="3">
        <v>46234</v>
      </c>
      <c r="L1472" t="s">
        <v>902</v>
      </c>
      <c r="M1472">
        <v>0.3</v>
      </c>
      <c r="N1472">
        <v>1680</v>
      </c>
      <c r="O1472">
        <f t="shared" si="66"/>
        <v>3.9</v>
      </c>
      <c r="P1472">
        <f t="shared" si="67"/>
        <v>7.7380952380952384E-3</v>
      </c>
      <c r="Q1472" t="str">
        <f t="shared" si="68"/>
        <v>Q27-03</v>
      </c>
    </row>
    <row r="1473" spans="1:17" x14ac:dyDescent="0.25">
      <c r="A1473" t="s">
        <v>61</v>
      </c>
      <c r="B1473" t="s">
        <v>891</v>
      </c>
      <c r="C1473" t="s">
        <v>892</v>
      </c>
      <c r="D1473" t="s">
        <v>3067</v>
      </c>
      <c r="E1473" t="s">
        <v>3098</v>
      </c>
      <c r="F1473" s="1">
        <v>10</v>
      </c>
      <c r="G1473" s="1">
        <v>0</v>
      </c>
      <c r="H1473" t="s">
        <v>17</v>
      </c>
      <c r="I1473" t="s">
        <v>894</v>
      </c>
      <c r="J1473" t="s">
        <v>3069</v>
      </c>
      <c r="K1473" s="3">
        <v>46326</v>
      </c>
      <c r="L1473" t="s">
        <v>1054</v>
      </c>
      <c r="M1473">
        <v>0.312</v>
      </c>
      <c r="N1473">
        <v>1680</v>
      </c>
      <c r="O1473">
        <f t="shared" si="66"/>
        <v>3.12</v>
      </c>
      <c r="P1473">
        <f t="shared" si="67"/>
        <v>5.9523809523809521E-3</v>
      </c>
      <c r="Q1473" t="str">
        <f t="shared" si="68"/>
        <v>Q27-03</v>
      </c>
    </row>
    <row r="1474" spans="1:17" x14ac:dyDescent="0.25">
      <c r="A1474" t="s">
        <v>61</v>
      </c>
      <c r="B1474" t="s">
        <v>219</v>
      </c>
      <c r="C1474" t="s">
        <v>220</v>
      </c>
      <c r="D1474" t="s">
        <v>3067</v>
      </c>
      <c r="E1474" t="s">
        <v>3099</v>
      </c>
      <c r="F1474" s="1">
        <v>4</v>
      </c>
      <c r="G1474" s="1">
        <v>0</v>
      </c>
      <c r="H1474" t="s">
        <v>17</v>
      </c>
      <c r="I1474" t="s">
        <v>222</v>
      </c>
      <c r="J1474" t="s">
        <v>3069</v>
      </c>
      <c r="K1474" s="3">
        <v>46477</v>
      </c>
      <c r="L1474" t="s">
        <v>1646</v>
      </c>
      <c r="M1474">
        <v>0.3</v>
      </c>
      <c r="N1474">
        <v>1680</v>
      </c>
      <c r="O1474">
        <f t="shared" si="66"/>
        <v>1.2</v>
      </c>
      <c r="P1474">
        <f t="shared" si="67"/>
        <v>2.3809523809523812E-3</v>
      </c>
      <c r="Q1474" t="str">
        <f t="shared" si="68"/>
        <v>Q27-03</v>
      </c>
    </row>
    <row r="1475" spans="1:17" x14ac:dyDescent="0.25">
      <c r="A1475" t="s">
        <v>61</v>
      </c>
      <c r="B1475" t="s">
        <v>281</v>
      </c>
      <c r="C1475" t="s">
        <v>282</v>
      </c>
      <c r="D1475" t="s">
        <v>3067</v>
      </c>
      <c r="E1475" t="s">
        <v>3100</v>
      </c>
      <c r="F1475" s="1">
        <v>20</v>
      </c>
      <c r="G1475" s="1">
        <v>0</v>
      </c>
      <c r="H1475" t="s">
        <v>17</v>
      </c>
      <c r="I1475" t="s">
        <v>284</v>
      </c>
      <c r="J1475" t="s">
        <v>3069</v>
      </c>
      <c r="K1475" s="3">
        <v>46203</v>
      </c>
      <c r="L1475" t="s">
        <v>289</v>
      </c>
      <c r="M1475">
        <v>6.8000000000000005E-2</v>
      </c>
      <c r="N1475">
        <v>2240</v>
      </c>
      <c r="O1475">
        <f t="shared" ref="O1475:O1538" si="69">F1475*M1475</f>
        <v>1.36</v>
      </c>
      <c r="P1475">
        <f t="shared" ref="P1475:P1538" si="70">F1475/N1475</f>
        <v>8.9285714285714281E-3</v>
      </c>
      <c r="Q1475" t="str">
        <f t="shared" ref="Q1475:Q1538" si="71">LEFT(D1475,6)</f>
        <v>Q27-03</v>
      </c>
    </row>
    <row r="1476" spans="1:17" x14ac:dyDescent="0.25">
      <c r="A1476" t="s">
        <v>61</v>
      </c>
      <c r="B1476" t="s">
        <v>166</v>
      </c>
      <c r="C1476" t="s">
        <v>167</v>
      </c>
      <c r="D1476" t="s">
        <v>3067</v>
      </c>
      <c r="E1476" t="s">
        <v>3101</v>
      </c>
      <c r="F1476" s="1">
        <v>64</v>
      </c>
      <c r="G1476" s="1">
        <v>0</v>
      </c>
      <c r="H1476" t="s">
        <v>17</v>
      </c>
      <c r="I1476" t="s">
        <v>170</v>
      </c>
      <c r="J1476" t="s">
        <v>3069</v>
      </c>
      <c r="K1476" s="3">
        <v>46173</v>
      </c>
      <c r="L1476" t="s">
        <v>189</v>
      </c>
      <c r="M1476">
        <v>9.2999999999999999E-2</v>
      </c>
      <c r="N1476">
        <v>1536</v>
      </c>
      <c r="O1476">
        <f t="shared" si="69"/>
        <v>5.952</v>
      </c>
      <c r="P1476">
        <f t="shared" si="70"/>
        <v>4.1666666666666664E-2</v>
      </c>
      <c r="Q1476" t="str">
        <f t="shared" si="71"/>
        <v>Q27-03</v>
      </c>
    </row>
    <row r="1477" spans="1:17" x14ac:dyDescent="0.25">
      <c r="A1477" t="s">
        <v>61</v>
      </c>
      <c r="B1477" t="s">
        <v>166</v>
      </c>
      <c r="C1477" t="s">
        <v>167</v>
      </c>
      <c r="D1477" t="s">
        <v>69</v>
      </c>
      <c r="E1477" t="s">
        <v>3102</v>
      </c>
      <c r="F1477" s="1">
        <v>4</v>
      </c>
      <c r="G1477" s="1">
        <v>0</v>
      </c>
      <c r="H1477" t="s">
        <v>17</v>
      </c>
      <c r="I1477" t="s">
        <v>170</v>
      </c>
      <c r="J1477" t="s">
        <v>3069</v>
      </c>
      <c r="K1477" s="3">
        <v>46112</v>
      </c>
      <c r="L1477" t="s">
        <v>172</v>
      </c>
      <c r="M1477">
        <v>9.2999999999999999E-2</v>
      </c>
      <c r="N1477">
        <v>1536</v>
      </c>
      <c r="O1477">
        <f t="shared" si="69"/>
        <v>0.372</v>
      </c>
      <c r="P1477">
        <f t="shared" si="70"/>
        <v>2.6041666666666665E-3</v>
      </c>
      <c r="Q1477" t="str">
        <f t="shared" si="71"/>
        <v>Q27-01</v>
      </c>
    </row>
    <row r="1478" spans="1:17" x14ac:dyDescent="0.25">
      <c r="A1478" t="s">
        <v>61</v>
      </c>
      <c r="B1478" t="s">
        <v>166</v>
      </c>
      <c r="C1478" t="s">
        <v>167</v>
      </c>
      <c r="D1478" t="s">
        <v>3067</v>
      </c>
      <c r="E1478" t="s">
        <v>3103</v>
      </c>
      <c r="F1478" s="1">
        <v>6</v>
      </c>
      <c r="G1478" s="1">
        <v>0</v>
      </c>
      <c r="H1478" t="s">
        <v>17</v>
      </c>
      <c r="I1478" t="s">
        <v>170</v>
      </c>
      <c r="J1478" t="s">
        <v>3069</v>
      </c>
      <c r="K1478" s="3">
        <v>46446</v>
      </c>
      <c r="L1478" t="s">
        <v>907</v>
      </c>
      <c r="M1478">
        <v>9.2999999999999999E-2</v>
      </c>
      <c r="N1478">
        <v>1536</v>
      </c>
      <c r="O1478">
        <f t="shared" si="69"/>
        <v>0.55800000000000005</v>
      </c>
      <c r="P1478">
        <f t="shared" si="70"/>
        <v>3.90625E-3</v>
      </c>
      <c r="Q1478" t="str">
        <f t="shared" si="71"/>
        <v>Q27-03</v>
      </c>
    </row>
    <row r="1479" spans="1:17" x14ac:dyDescent="0.25">
      <c r="A1479" t="s">
        <v>61</v>
      </c>
      <c r="B1479" t="s">
        <v>317</v>
      </c>
      <c r="C1479" t="s">
        <v>318</v>
      </c>
      <c r="D1479" t="s">
        <v>3067</v>
      </c>
      <c r="E1479" t="s">
        <v>3104</v>
      </c>
      <c r="F1479" s="1">
        <v>4</v>
      </c>
      <c r="G1479" s="1">
        <v>0</v>
      </c>
      <c r="H1479" t="s">
        <v>17</v>
      </c>
      <c r="I1479" t="s">
        <v>320</v>
      </c>
      <c r="J1479" t="s">
        <v>3069</v>
      </c>
      <c r="K1479" s="3">
        <v>46721</v>
      </c>
      <c r="L1479" t="s">
        <v>1636</v>
      </c>
      <c r="M1479">
        <v>0.04</v>
      </c>
      <c r="N1479">
        <v>2688</v>
      </c>
      <c r="O1479">
        <f t="shared" si="69"/>
        <v>0.16</v>
      </c>
      <c r="P1479">
        <f t="shared" si="70"/>
        <v>1.488095238095238E-3</v>
      </c>
      <c r="Q1479" t="str">
        <f t="shared" si="71"/>
        <v>Q27-03</v>
      </c>
    </row>
    <row r="1480" spans="1:17" x14ac:dyDescent="0.25">
      <c r="A1480" t="s">
        <v>61</v>
      </c>
      <c r="B1480" t="s">
        <v>317</v>
      </c>
      <c r="C1480" t="s">
        <v>318</v>
      </c>
      <c r="D1480" t="s">
        <v>3067</v>
      </c>
      <c r="E1480" t="s">
        <v>3105</v>
      </c>
      <c r="F1480" s="1">
        <v>4</v>
      </c>
      <c r="G1480" s="1">
        <v>0</v>
      </c>
      <c r="H1480" t="s">
        <v>17</v>
      </c>
      <c r="I1480" t="s">
        <v>320</v>
      </c>
      <c r="J1480" t="s">
        <v>3069</v>
      </c>
      <c r="K1480" s="3">
        <v>46691</v>
      </c>
      <c r="L1480" t="s">
        <v>1348</v>
      </c>
      <c r="M1480">
        <v>0.04</v>
      </c>
      <c r="N1480">
        <v>2688</v>
      </c>
      <c r="O1480">
        <f t="shared" si="69"/>
        <v>0.16</v>
      </c>
      <c r="P1480">
        <f t="shared" si="70"/>
        <v>1.488095238095238E-3</v>
      </c>
      <c r="Q1480" t="str">
        <f t="shared" si="71"/>
        <v>Q27-03</v>
      </c>
    </row>
    <row r="1481" spans="1:17" x14ac:dyDescent="0.25">
      <c r="A1481" t="s">
        <v>61</v>
      </c>
      <c r="B1481" t="s">
        <v>456</v>
      </c>
      <c r="C1481" t="s">
        <v>457</v>
      </c>
      <c r="D1481" t="s">
        <v>3067</v>
      </c>
      <c r="E1481" t="s">
        <v>3106</v>
      </c>
      <c r="F1481" s="1">
        <v>5</v>
      </c>
      <c r="G1481" s="1">
        <v>0</v>
      </c>
      <c r="H1481" t="s">
        <v>17</v>
      </c>
      <c r="I1481" t="s">
        <v>459</v>
      </c>
      <c r="J1481" t="s">
        <v>3069</v>
      </c>
      <c r="K1481" s="3">
        <v>46295</v>
      </c>
      <c r="L1481" t="s">
        <v>946</v>
      </c>
      <c r="M1481">
        <v>0.22600000000000001</v>
      </c>
      <c r="N1481">
        <v>1680</v>
      </c>
      <c r="O1481">
        <f t="shared" si="69"/>
        <v>1.1300000000000001</v>
      </c>
      <c r="P1481">
        <f t="shared" si="70"/>
        <v>2.976190476190476E-3</v>
      </c>
      <c r="Q1481" t="str">
        <f t="shared" si="71"/>
        <v>Q27-03</v>
      </c>
    </row>
    <row r="1482" spans="1:17" x14ac:dyDescent="0.25">
      <c r="A1482" t="s">
        <v>61</v>
      </c>
      <c r="B1482" t="s">
        <v>364</v>
      </c>
      <c r="C1482" t="s">
        <v>365</v>
      </c>
      <c r="D1482" t="s">
        <v>3067</v>
      </c>
      <c r="E1482" t="s">
        <v>3107</v>
      </c>
      <c r="F1482" s="1">
        <v>10</v>
      </c>
      <c r="G1482" s="1">
        <v>0</v>
      </c>
      <c r="H1482" t="s">
        <v>17</v>
      </c>
      <c r="I1482" t="s">
        <v>367</v>
      </c>
      <c r="J1482" t="s">
        <v>3069</v>
      </c>
      <c r="K1482" s="3">
        <v>46446</v>
      </c>
      <c r="L1482" t="s">
        <v>536</v>
      </c>
      <c r="M1482">
        <v>0.158</v>
      </c>
      <c r="N1482">
        <v>1152</v>
      </c>
      <c r="O1482">
        <f t="shared" si="69"/>
        <v>1.58</v>
      </c>
      <c r="P1482">
        <f t="shared" si="70"/>
        <v>8.6805555555555559E-3</v>
      </c>
      <c r="Q1482" t="str">
        <f t="shared" si="71"/>
        <v>Q27-03</v>
      </c>
    </row>
    <row r="1483" spans="1:17" x14ac:dyDescent="0.25">
      <c r="A1483" t="s">
        <v>61</v>
      </c>
      <c r="B1483" t="s">
        <v>317</v>
      </c>
      <c r="C1483" t="s">
        <v>318</v>
      </c>
      <c r="D1483" t="s">
        <v>3067</v>
      </c>
      <c r="E1483" t="s">
        <v>3108</v>
      </c>
      <c r="F1483" s="1">
        <v>15</v>
      </c>
      <c r="G1483" s="1">
        <v>0</v>
      </c>
      <c r="H1483" t="s">
        <v>17</v>
      </c>
      <c r="I1483" t="s">
        <v>320</v>
      </c>
      <c r="J1483" t="s">
        <v>3069</v>
      </c>
      <c r="K1483" s="3">
        <v>46446</v>
      </c>
      <c r="L1483" t="s">
        <v>651</v>
      </c>
      <c r="M1483">
        <v>0.04</v>
      </c>
      <c r="N1483">
        <v>2688</v>
      </c>
      <c r="O1483">
        <f t="shared" si="69"/>
        <v>0.6</v>
      </c>
      <c r="P1483">
        <f t="shared" si="70"/>
        <v>5.580357142857143E-3</v>
      </c>
      <c r="Q1483" t="str">
        <f t="shared" si="71"/>
        <v>Q27-03</v>
      </c>
    </row>
    <row r="1484" spans="1:17" x14ac:dyDescent="0.25">
      <c r="A1484" t="s">
        <v>61</v>
      </c>
      <c r="B1484" t="s">
        <v>317</v>
      </c>
      <c r="C1484" t="s">
        <v>318</v>
      </c>
      <c r="D1484" t="s">
        <v>3067</v>
      </c>
      <c r="E1484" t="s">
        <v>3109</v>
      </c>
      <c r="F1484" s="1">
        <v>4</v>
      </c>
      <c r="G1484" s="1">
        <v>0</v>
      </c>
      <c r="H1484" t="s">
        <v>17</v>
      </c>
      <c r="I1484" t="s">
        <v>320</v>
      </c>
      <c r="J1484" t="s">
        <v>3069</v>
      </c>
      <c r="K1484" s="3">
        <v>46752</v>
      </c>
      <c r="L1484" t="s">
        <v>1785</v>
      </c>
      <c r="M1484">
        <v>0.04</v>
      </c>
      <c r="N1484">
        <v>2688</v>
      </c>
      <c r="O1484">
        <f t="shared" si="69"/>
        <v>0.16</v>
      </c>
      <c r="P1484">
        <f t="shared" si="70"/>
        <v>1.488095238095238E-3</v>
      </c>
      <c r="Q1484" t="str">
        <f t="shared" si="71"/>
        <v>Q27-03</v>
      </c>
    </row>
    <row r="1485" spans="1:17" x14ac:dyDescent="0.25">
      <c r="A1485" t="s">
        <v>61</v>
      </c>
      <c r="B1485" t="s">
        <v>1523</v>
      </c>
      <c r="C1485" t="s">
        <v>1524</v>
      </c>
      <c r="D1485" t="s">
        <v>3067</v>
      </c>
      <c r="E1485" t="s">
        <v>3110</v>
      </c>
      <c r="F1485" s="1">
        <v>53</v>
      </c>
      <c r="G1485" s="1">
        <v>0</v>
      </c>
      <c r="H1485" t="s">
        <v>17</v>
      </c>
      <c r="I1485" t="s">
        <v>1526</v>
      </c>
      <c r="J1485" t="s">
        <v>3069</v>
      </c>
      <c r="K1485" s="3">
        <v>46203</v>
      </c>
      <c r="L1485" t="s">
        <v>2148</v>
      </c>
      <c r="M1485">
        <v>4.9000000000000002E-2</v>
      </c>
      <c r="N1485">
        <v>2880</v>
      </c>
      <c r="O1485">
        <f t="shared" si="69"/>
        <v>2.597</v>
      </c>
      <c r="P1485">
        <f t="shared" si="70"/>
        <v>1.8402777777777778E-2</v>
      </c>
      <c r="Q1485" t="str">
        <f t="shared" si="71"/>
        <v>Q27-03</v>
      </c>
    </row>
    <row r="1486" spans="1:17" x14ac:dyDescent="0.25">
      <c r="A1486" t="s">
        <v>61</v>
      </c>
      <c r="B1486" t="s">
        <v>219</v>
      </c>
      <c r="C1486" t="s">
        <v>220</v>
      </c>
      <c r="D1486" t="s">
        <v>3067</v>
      </c>
      <c r="E1486" t="s">
        <v>3111</v>
      </c>
      <c r="F1486" s="1">
        <v>12</v>
      </c>
      <c r="G1486" s="1">
        <v>0</v>
      </c>
      <c r="H1486" t="s">
        <v>17</v>
      </c>
      <c r="I1486" t="s">
        <v>222</v>
      </c>
      <c r="J1486" t="s">
        <v>3069</v>
      </c>
      <c r="K1486" s="3">
        <v>46265</v>
      </c>
      <c r="L1486" t="s">
        <v>1000</v>
      </c>
      <c r="M1486">
        <v>0.3</v>
      </c>
      <c r="N1486">
        <v>1680</v>
      </c>
      <c r="O1486">
        <f t="shared" si="69"/>
        <v>3.5999999999999996</v>
      </c>
      <c r="P1486">
        <f t="shared" si="70"/>
        <v>7.1428571428571426E-3</v>
      </c>
      <c r="Q1486" t="str">
        <f t="shared" si="71"/>
        <v>Q27-03</v>
      </c>
    </row>
    <row r="1487" spans="1:17" x14ac:dyDescent="0.25">
      <c r="A1487" t="s">
        <v>61</v>
      </c>
      <c r="B1487" t="s">
        <v>71</v>
      </c>
      <c r="C1487" t="s">
        <v>72</v>
      </c>
      <c r="D1487" t="s">
        <v>69</v>
      </c>
      <c r="E1487" t="s">
        <v>3112</v>
      </c>
      <c r="F1487" s="1">
        <v>5</v>
      </c>
      <c r="G1487" s="1">
        <v>0</v>
      </c>
      <c r="H1487" t="s">
        <v>17</v>
      </c>
      <c r="I1487" t="s">
        <v>75</v>
      </c>
      <c r="J1487" t="s">
        <v>3069</v>
      </c>
      <c r="K1487" s="3">
        <v>46022</v>
      </c>
      <c r="L1487" t="s">
        <v>2407</v>
      </c>
      <c r="M1487">
        <v>0.3</v>
      </c>
      <c r="N1487">
        <v>1680</v>
      </c>
      <c r="O1487">
        <f t="shared" si="69"/>
        <v>1.5</v>
      </c>
      <c r="P1487">
        <f t="shared" si="70"/>
        <v>2.976190476190476E-3</v>
      </c>
      <c r="Q1487" t="str">
        <f t="shared" si="71"/>
        <v>Q27-01</v>
      </c>
    </row>
    <row r="1488" spans="1:17" x14ac:dyDescent="0.25">
      <c r="A1488" t="s">
        <v>61</v>
      </c>
      <c r="B1488" t="s">
        <v>456</v>
      </c>
      <c r="C1488" t="s">
        <v>457</v>
      </c>
      <c r="D1488" t="s">
        <v>3067</v>
      </c>
      <c r="E1488" t="s">
        <v>3113</v>
      </c>
      <c r="F1488" s="1">
        <v>5</v>
      </c>
      <c r="G1488" s="1">
        <v>0</v>
      </c>
      <c r="H1488" t="s">
        <v>17</v>
      </c>
      <c r="I1488" t="s">
        <v>459</v>
      </c>
      <c r="J1488" t="s">
        <v>3069</v>
      </c>
      <c r="K1488" s="3">
        <v>46264</v>
      </c>
      <c r="L1488" t="s">
        <v>778</v>
      </c>
      <c r="M1488">
        <v>0.22600000000000001</v>
      </c>
      <c r="N1488">
        <v>1680</v>
      </c>
      <c r="O1488">
        <f t="shared" si="69"/>
        <v>1.1300000000000001</v>
      </c>
      <c r="P1488">
        <f t="shared" si="70"/>
        <v>2.976190476190476E-3</v>
      </c>
      <c r="Q1488" t="str">
        <f t="shared" si="71"/>
        <v>Q27-03</v>
      </c>
    </row>
    <row r="1489" spans="1:17" x14ac:dyDescent="0.25">
      <c r="A1489" t="s">
        <v>61</v>
      </c>
      <c r="B1489" t="s">
        <v>456</v>
      </c>
      <c r="C1489" t="s">
        <v>457</v>
      </c>
      <c r="D1489" t="s">
        <v>3067</v>
      </c>
      <c r="E1489" t="s">
        <v>3114</v>
      </c>
      <c r="F1489" s="1">
        <v>27</v>
      </c>
      <c r="G1489" s="1">
        <v>0</v>
      </c>
      <c r="H1489" t="s">
        <v>17</v>
      </c>
      <c r="I1489" t="s">
        <v>459</v>
      </c>
      <c r="J1489" t="s">
        <v>3069</v>
      </c>
      <c r="K1489" s="3">
        <v>46203</v>
      </c>
      <c r="L1489" t="s">
        <v>792</v>
      </c>
      <c r="M1489">
        <v>0.22600000000000001</v>
      </c>
      <c r="N1489">
        <v>1680</v>
      </c>
      <c r="O1489">
        <f t="shared" si="69"/>
        <v>6.1020000000000003</v>
      </c>
      <c r="P1489">
        <f t="shared" si="70"/>
        <v>1.607142857142857E-2</v>
      </c>
      <c r="Q1489" t="str">
        <f t="shared" si="71"/>
        <v>Q27-03</v>
      </c>
    </row>
    <row r="1490" spans="1:17" x14ac:dyDescent="0.25">
      <c r="A1490" t="s">
        <v>61</v>
      </c>
      <c r="B1490" t="s">
        <v>317</v>
      </c>
      <c r="C1490" t="s">
        <v>318</v>
      </c>
      <c r="D1490" t="s">
        <v>3067</v>
      </c>
      <c r="E1490" t="s">
        <v>3115</v>
      </c>
      <c r="F1490" s="1">
        <v>12</v>
      </c>
      <c r="G1490" s="1">
        <v>0</v>
      </c>
      <c r="H1490" t="s">
        <v>17</v>
      </c>
      <c r="I1490" t="s">
        <v>320</v>
      </c>
      <c r="J1490" t="s">
        <v>3069</v>
      </c>
      <c r="K1490" s="3">
        <v>46142</v>
      </c>
      <c r="L1490" t="s">
        <v>328</v>
      </c>
      <c r="M1490">
        <v>0.04</v>
      </c>
      <c r="N1490">
        <v>2688</v>
      </c>
      <c r="O1490">
        <f t="shared" si="69"/>
        <v>0.48</v>
      </c>
      <c r="P1490">
        <f t="shared" si="70"/>
        <v>4.464285714285714E-3</v>
      </c>
      <c r="Q1490" t="str">
        <f t="shared" si="71"/>
        <v>Q27-03</v>
      </c>
    </row>
    <row r="1491" spans="1:17" x14ac:dyDescent="0.25">
      <c r="A1491" t="s">
        <v>61</v>
      </c>
      <c r="B1491" t="s">
        <v>364</v>
      </c>
      <c r="C1491" t="s">
        <v>365</v>
      </c>
      <c r="D1491" t="s">
        <v>3067</v>
      </c>
      <c r="E1491" t="s">
        <v>3116</v>
      </c>
      <c r="F1491" s="1">
        <v>3</v>
      </c>
      <c r="G1491" s="1">
        <v>0</v>
      </c>
      <c r="H1491" t="s">
        <v>17</v>
      </c>
      <c r="I1491" t="s">
        <v>367</v>
      </c>
      <c r="J1491" t="s">
        <v>3069</v>
      </c>
      <c r="K1491" s="3">
        <v>46721</v>
      </c>
      <c r="L1491" t="s">
        <v>1191</v>
      </c>
      <c r="M1491">
        <v>0.158</v>
      </c>
      <c r="N1491">
        <v>1152</v>
      </c>
      <c r="O1491">
        <f t="shared" si="69"/>
        <v>0.47399999999999998</v>
      </c>
      <c r="P1491">
        <f t="shared" si="70"/>
        <v>2.6041666666666665E-3</v>
      </c>
      <c r="Q1491" t="str">
        <f t="shared" si="71"/>
        <v>Q27-03</v>
      </c>
    </row>
    <row r="1492" spans="1:17" x14ac:dyDescent="0.25">
      <c r="A1492" t="s">
        <v>61</v>
      </c>
      <c r="B1492" t="s">
        <v>364</v>
      </c>
      <c r="C1492" t="s">
        <v>365</v>
      </c>
      <c r="D1492" t="s">
        <v>3067</v>
      </c>
      <c r="E1492" t="s">
        <v>3117</v>
      </c>
      <c r="F1492" s="1">
        <v>10</v>
      </c>
      <c r="G1492" s="1">
        <v>0</v>
      </c>
      <c r="H1492" t="s">
        <v>17</v>
      </c>
      <c r="I1492" t="s">
        <v>367</v>
      </c>
      <c r="J1492" t="s">
        <v>3069</v>
      </c>
      <c r="K1492" s="3">
        <v>46326</v>
      </c>
      <c r="L1492" t="s">
        <v>368</v>
      </c>
      <c r="M1492">
        <v>0.158</v>
      </c>
      <c r="N1492">
        <v>1152</v>
      </c>
      <c r="O1492">
        <f t="shared" si="69"/>
        <v>1.58</v>
      </c>
      <c r="P1492">
        <f t="shared" si="70"/>
        <v>8.6805555555555559E-3</v>
      </c>
      <c r="Q1492" t="str">
        <f t="shared" si="71"/>
        <v>Q27-03</v>
      </c>
    </row>
    <row r="1493" spans="1:17" x14ac:dyDescent="0.25">
      <c r="A1493" t="s">
        <v>61</v>
      </c>
      <c r="B1493" t="s">
        <v>71</v>
      </c>
      <c r="C1493" t="s">
        <v>72</v>
      </c>
      <c r="D1493" t="s">
        <v>3067</v>
      </c>
      <c r="E1493" t="s">
        <v>3118</v>
      </c>
      <c r="F1493" s="1">
        <v>1</v>
      </c>
      <c r="G1493" s="1">
        <v>0</v>
      </c>
      <c r="H1493" t="s">
        <v>17</v>
      </c>
      <c r="I1493" t="s">
        <v>75</v>
      </c>
      <c r="J1493" t="s">
        <v>3069</v>
      </c>
      <c r="K1493" s="3">
        <v>46507</v>
      </c>
      <c r="L1493" t="s">
        <v>2036</v>
      </c>
      <c r="M1493">
        <v>0.3</v>
      </c>
      <c r="N1493">
        <v>1680</v>
      </c>
      <c r="O1493">
        <f t="shared" si="69"/>
        <v>0.3</v>
      </c>
      <c r="P1493">
        <f t="shared" si="70"/>
        <v>5.9523809523809529E-4</v>
      </c>
      <c r="Q1493" t="str">
        <f t="shared" si="71"/>
        <v>Q27-03</v>
      </c>
    </row>
    <row r="1494" spans="1:17" x14ac:dyDescent="0.25">
      <c r="A1494" t="s">
        <v>61</v>
      </c>
      <c r="B1494" t="s">
        <v>364</v>
      </c>
      <c r="C1494" t="s">
        <v>365</v>
      </c>
      <c r="D1494" t="s">
        <v>3067</v>
      </c>
      <c r="E1494" t="s">
        <v>3119</v>
      </c>
      <c r="F1494" s="1">
        <v>7</v>
      </c>
      <c r="G1494" s="1">
        <v>0</v>
      </c>
      <c r="H1494" t="s">
        <v>17</v>
      </c>
      <c r="I1494" t="s">
        <v>367</v>
      </c>
      <c r="J1494" t="s">
        <v>3069</v>
      </c>
      <c r="K1494" s="3">
        <v>46295</v>
      </c>
      <c r="L1494" t="s">
        <v>373</v>
      </c>
      <c r="M1494">
        <v>0.158</v>
      </c>
      <c r="N1494">
        <v>1152</v>
      </c>
      <c r="O1494">
        <f t="shared" si="69"/>
        <v>1.1060000000000001</v>
      </c>
      <c r="P1494">
        <f t="shared" si="70"/>
        <v>6.076388888888889E-3</v>
      </c>
      <c r="Q1494" t="str">
        <f t="shared" si="71"/>
        <v>Q27-03</v>
      </c>
    </row>
    <row r="1495" spans="1:17" x14ac:dyDescent="0.25">
      <c r="A1495" t="s">
        <v>61</v>
      </c>
      <c r="B1495" t="s">
        <v>219</v>
      </c>
      <c r="C1495" t="s">
        <v>220</v>
      </c>
      <c r="D1495" t="s">
        <v>3067</v>
      </c>
      <c r="E1495" t="s">
        <v>3120</v>
      </c>
      <c r="F1495" s="1">
        <v>8</v>
      </c>
      <c r="G1495" s="1">
        <v>0</v>
      </c>
      <c r="H1495" t="s">
        <v>17</v>
      </c>
      <c r="I1495" t="s">
        <v>222</v>
      </c>
      <c r="J1495" t="s">
        <v>3069</v>
      </c>
      <c r="K1495" s="3">
        <v>46234</v>
      </c>
      <c r="L1495" t="s">
        <v>789</v>
      </c>
      <c r="M1495">
        <v>0.3</v>
      </c>
      <c r="N1495">
        <v>1680</v>
      </c>
      <c r="O1495">
        <f t="shared" si="69"/>
        <v>2.4</v>
      </c>
      <c r="P1495">
        <f t="shared" si="70"/>
        <v>4.7619047619047623E-3</v>
      </c>
      <c r="Q1495" t="str">
        <f t="shared" si="71"/>
        <v>Q27-03</v>
      </c>
    </row>
    <row r="1496" spans="1:17" x14ac:dyDescent="0.25">
      <c r="A1496" t="s">
        <v>61</v>
      </c>
      <c r="B1496" t="s">
        <v>71</v>
      </c>
      <c r="C1496" t="s">
        <v>72</v>
      </c>
      <c r="D1496" t="s">
        <v>3067</v>
      </c>
      <c r="E1496" t="s">
        <v>3121</v>
      </c>
      <c r="F1496" s="1">
        <v>6</v>
      </c>
      <c r="G1496" s="1">
        <v>0</v>
      </c>
      <c r="H1496" t="s">
        <v>17</v>
      </c>
      <c r="I1496" t="s">
        <v>75</v>
      </c>
      <c r="J1496" t="s">
        <v>3069</v>
      </c>
      <c r="K1496" s="3">
        <v>46356</v>
      </c>
      <c r="L1496" t="s">
        <v>1147</v>
      </c>
      <c r="M1496">
        <v>0.3</v>
      </c>
      <c r="N1496">
        <v>1680</v>
      </c>
      <c r="O1496">
        <f t="shared" si="69"/>
        <v>1.7999999999999998</v>
      </c>
      <c r="P1496">
        <f t="shared" si="70"/>
        <v>3.5714285714285713E-3</v>
      </c>
      <c r="Q1496" t="str">
        <f t="shared" si="71"/>
        <v>Q27-03</v>
      </c>
    </row>
    <row r="1497" spans="1:17" x14ac:dyDescent="0.25">
      <c r="A1497" t="s">
        <v>61</v>
      </c>
      <c r="B1497" t="s">
        <v>233</v>
      </c>
      <c r="C1497" t="s">
        <v>234</v>
      </c>
      <c r="D1497" t="s">
        <v>64</v>
      </c>
      <c r="E1497" t="s">
        <v>3122</v>
      </c>
      <c r="F1497" s="1">
        <v>3</v>
      </c>
      <c r="G1497" s="1">
        <v>0</v>
      </c>
      <c r="H1497" t="s">
        <v>17</v>
      </c>
      <c r="I1497" t="s">
        <v>236</v>
      </c>
      <c r="J1497" t="s">
        <v>3069</v>
      </c>
      <c r="K1497" s="3">
        <v>46053</v>
      </c>
      <c r="L1497" t="s">
        <v>264</v>
      </c>
      <c r="M1497">
        <v>7.4999999999999997E-2</v>
      </c>
      <c r="N1497">
        <v>2688</v>
      </c>
      <c r="O1497">
        <f t="shared" si="69"/>
        <v>0.22499999999999998</v>
      </c>
      <c r="P1497">
        <f t="shared" si="70"/>
        <v>1.1160714285714285E-3</v>
      </c>
      <c r="Q1497" t="str">
        <f t="shared" si="71"/>
        <v>Q27-01</v>
      </c>
    </row>
    <row r="1498" spans="1:17" x14ac:dyDescent="0.25">
      <c r="A1498" t="s">
        <v>61</v>
      </c>
      <c r="B1498" t="s">
        <v>71</v>
      </c>
      <c r="C1498" t="s">
        <v>72</v>
      </c>
      <c r="D1498" t="s">
        <v>3067</v>
      </c>
      <c r="E1498" t="s">
        <v>3123</v>
      </c>
      <c r="F1498" s="1">
        <v>4</v>
      </c>
      <c r="G1498" s="1">
        <v>0</v>
      </c>
      <c r="H1498" t="s">
        <v>17</v>
      </c>
      <c r="I1498" t="s">
        <v>75</v>
      </c>
      <c r="J1498" t="s">
        <v>3069</v>
      </c>
      <c r="K1498" s="3">
        <v>46142</v>
      </c>
      <c r="L1498" t="s">
        <v>561</v>
      </c>
      <c r="M1498">
        <v>0.3</v>
      </c>
      <c r="N1498">
        <v>1680</v>
      </c>
      <c r="O1498">
        <f t="shared" si="69"/>
        <v>1.2</v>
      </c>
      <c r="P1498">
        <f t="shared" si="70"/>
        <v>2.3809523809523812E-3</v>
      </c>
      <c r="Q1498" t="str">
        <f t="shared" si="71"/>
        <v>Q27-03</v>
      </c>
    </row>
    <row r="1499" spans="1:17" x14ac:dyDescent="0.25">
      <c r="A1499" t="s">
        <v>61</v>
      </c>
      <c r="B1499" t="s">
        <v>71</v>
      </c>
      <c r="C1499" t="s">
        <v>72</v>
      </c>
      <c r="D1499" t="s">
        <v>69</v>
      </c>
      <c r="E1499" t="s">
        <v>3124</v>
      </c>
      <c r="F1499" s="1">
        <v>3</v>
      </c>
      <c r="G1499" s="1">
        <v>0</v>
      </c>
      <c r="H1499" t="s">
        <v>17</v>
      </c>
      <c r="I1499" t="s">
        <v>75</v>
      </c>
      <c r="J1499" t="s">
        <v>3069</v>
      </c>
      <c r="K1499" s="3">
        <v>46112</v>
      </c>
      <c r="L1499" t="s">
        <v>566</v>
      </c>
      <c r="M1499">
        <v>0.3</v>
      </c>
      <c r="N1499">
        <v>1680</v>
      </c>
      <c r="O1499">
        <f t="shared" si="69"/>
        <v>0.89999999999999991</v>
      </c>
      <c r="P1499">
        <f t="shared" si="70"/>
        <v>1.7857142857142857E-3</v>
      </c>
      <c r="Q1499" t="str">
        <f t="shared" si="71"/>
        <v>Q27-01</v>
      </c>
    </row>
    <row r="1500" spans="1:17" x14ac:dyDescent="0.25">
      <c r="A1500" t="s">
        <v>61</v>
      </c>
      <c r="B1500" t="s">
        <v>233</v>
      </c>
      <c r="C1500" t="s">
        <v>234</v>
      </c>
      <c r="D1500" t="s">
        <v>3067</v>
      </c>
      <c r="E1500" t="s">
        <v>3125</v>
      </c>
      <c r="F1500" s="1">
        <v>4</v>
      </c>
      <c r="G1500" s="1">
        <v>0</v>
      </c>
      <c r="H1500" t="s">
        <v>17</v>
      </c>
      <c r="I1500" t="s">
        <v>236</v>
      </c>
      <c r="J1500" t="s">
        <v>3069</v>
      </c>
      <c r="K1500" s="3">
        <v>47057</v>
      </c>
      <c r="L1500" t="s">
        <v>1154</v>
      </c>
      <c r="M1500">
        <v>7.4999999999999997E-2</v>
      </c>
      <c r="N1500">
        <v>2688</v>
      </c>
      <c r="O1500">
        <f t="shared" si="69"/>
        <v>0.3</v>
      </c>
      <c r="P1500">
        <f t="shared" si="70"/>
        <v>1.488095238095238E-3</v>
      </c>
      <c r="Q1500" t="str">
        <f t="shared" si="71"/>
        <v>Q27-03</v>
      </c>
    </row>
    <row r="1501" spans="1:17" x14ac:dyDescent="0.25">
      <c r="A1501" t="s">
        <v>61</v>
      </c>
      <c r="B1501" t="s">
        <v>233</v>
      </c>
      <c r="C1501" t="s">
        <v>234</v>
      </c>
      <c r="D1501" t="s">
        <v>3067</v>
      </c>
      <c r="E1501" t="s">
        <v>3126</v>
      </c>
      <c r="F1501" s="1">
        <v>1</v>
      </c>
      <c r="G1501" s="1">
        <v>0</v>
      </c>
      <c r="H1501" t="s">
        <v>17</v>
      </c>
      <c r="I1501" t="s">
        <v>236</v>
      </c>
      <c r="J1501" t="s">
        <v>3069</v>
      </c>
      <c r="K1501" s="3">
        <v>46934</v>
      </c>
      <c r="L1501" t="s">
        <v>900</v>
      </c>
      <c r="M1501">
        <v>7.4999999999999997E-2</v>
      </c>
      <c r="N1501">
        <v>2688</v>
      </c>
      <c r="O1501">
        <f t="shared" si="69"/>
        <v>7.4999999999999997E-2</v>
      </c>
      <c r="P1501">
        <f t="shared" si="70"/>
        <v>3.720238095238095E-4</v>
      </c>
      <c r="Q1501" t="str">
        <f t="shared" si="71"/>
        <v>Q27-03</v>
      </c>
    </row>
    <row r="1502" spans="1:17" x14ac:dyDescent="0.25">
      <c r="A1502" t="s">
        <v>61</v>
      </c>
      <c r="B1502" t="s">
        <v>71</v>
      </c>
      <c r="C1502" t="s">
        <v>72</v>
      </c>
      <c r="D1502" t="s">
        <v>69</v>
      </c>
      <c r="E1502" t="s">
        <v>3127</v>
      </c>
      <c r="F1502" s="1">
        <v>4</v>
      </c>
      <c r="G1502" s="1">
        <v>0</v>
      </c>
      <c r="H1502" t="s">
        <v>17</v>
      </c>
      <c r="I1502" t="s">
        <v>75</v>
      </c>
      <c r="J1502" t="s">
        <v>3069</v>
      </c>
      <c r="K1502" s="3">
        <v>46081</v>
      </c>
      <c r="L1502" t="s">
        <v>549</v>
      </c>
      <c r="M1502">
        <v>0.3</v>
      </c>
      <c r="N1502">
        <v>1680</v>
      </c>
      <c r="O1502">
        <f t="shared" si="69"/>
        <v>1.2</v>
      </c>
      <c r="P1502">
        <f t="shared" si="70"/>
        <v>2.3809523809523812E-3</v>
      </c>
      <c r="Q1502" t="str">
        <f t="shared" si="71"/>
        <v>Q27-01</v>
      </c>
    </row>
    <row r="1503" spans="1:17" x14ac:dyDescent="0.25">
      <c r="A1503" t="s">
        <v>61</v>
      </c>
      <c r="B1503" t="s">
        <v>1523</v>
      </c>
      <c r="C1503" t="s">
        <v>1524</v>
      </c>
      <c r="D1503" t="s">
        <v>3067</v>
      </c>
      <c r="E1503" t="s">
        <v>3128</v>
      </c>
      <c r="F1503" s="1">
        <v>62</v>
      </c>
      <c r="G1503" s="1">
        <v>0</v>
      </c>
      <c r="H1503" t="s">
        <v>17</v>
      </c>
      <c r="I1503" t="s">
        <v>1526</v>
      </c>
      <c r="J1503" t="s">
        <v>3069</v>
      </c>
      <c r="K1503" s="3">
        <v>46142</v>
      </c>
      <c r="L1503" t="s">
        <v>1527</v>
      </c>
      <c r="M1503">
        <v>4.9000000000000002E-2</v>
      </c>
      <c r="N1503">
        <v>2880</v>
      </c>
      <c r="O1503">
        <f t="shared" si="69"/>
        <v>3.0380000000000003</v>
      </c>
      <c r="P1503">
        <f t="shared" si="70"/>
        <v>2.1527777777777778E-2</v>
      </c>
      <c r="Q1503" t="str">
        <f t="shared" si="71"/>
        <v>Q27-03</v>
      </c>
    </row>
    <row r="1504" spans="1:17" x14ac:dyDescent="0.25">
      <c r="A1504" t="s">
        <v>61</v>
      </c>
      <c r="B1504" t="s">
        <v>317</v>
      </c>
      <c r="C1504" t="s">
        <v>318</v>
      </c>
      <c r="D1504" t="s">
        <v>3067</v>
      </c>
      <c r="E1504" t="s">
        <v>3129</v>
      </c>
      <c r="F1504" s="1">
        <v>7</v>
      </c>
      <c r="G1504" s="1">
        <v>0</v>
      </c>
      <c r="H1504" t="s">
        <v>17</v>
      </c>
      <c r="I1504" t="s">
        <v>320</v>
      </c>
      <c r="J1504" t="s">
        <v>3069</v>
      </c>
      <c r="K1504" s="3">
        <v>46599</v>
      </c>
      <c r="L1504" t="s">
        <v>1117</v>
      </c>
      <c r="M1504">
        <v>0.04</v>
      </c>
      <c r="N1504">
        <v>2688</v>
      </c>
      <c r="O1504">
        <f t="shared" si="69"/>
        <v>0.28000000000000003</v>
      </c>
      <c r="P1504">
        <f t="shared" si="70"/>
        <v>2.6041666666666665E-3</v>
      </c>
      <c r="Q1504" t="str">
        <f t="shared" si="71"/>
        <v>Q27-03</v>
      </c>
    </row>
    <row r="1505" spans="1:17" x14ac:dyDescent="0.25">
      <c r="A1505" t="s">
        <v>61</v>
      </c>
      <c r="B1505" t="s">
        <v>219</v>
      </c>
      <c r="C1505" t="s">
        <v>220</v>
      </c>
      <c r="D1505" t="s">
        <v>3067</v>
      </c>
      <c r="E1505" t="s">
        <v>3130</v>
      </c>
      <c r="F1505" s="1">
        <v>1</v>
      </c>
      <c r="G1505" s="1">
        <v>0</v>
      </c>
      <c r="H1505" t="s">
        <v>17</v>
      </c>
      <c r="I1505" t="s">
        <v>222</v>
      </c>
      <c r="J1505" t="s">
        <v>3069</v>
      </c>
      <c r="K1505" s="3">
        <v>46446</v>
      </c>
      <c r="L1505" t="s">
        <v>1467</v>
      </c>
      <c r="M1505">
        <v>0.3</v>
      </c>
      <c r="N1505">
        <v>1680</v>
      </c>
      <c r="O1505">
        <f t="shared" si="69"/>
        <v>0.3</v>
      </c>
      <c r="P1505">
        <f t="shared" si="70"/>
        <v>5.9523809523809529E-4</v>
      </c>
      <c r="Q1505" t="str">
        <f t="shared" si="71"/>
        <v>Q27-03</v>
      </c>
    </row>
    <row r="1506" spans="1:17" x14ac:dyDescent="0.25">
      <c r="A1506" t="s">
        <v>61</v>
      </c>
      <c r="B1506" t="s">
        <v>166</v>
      </c>
      <c r="C1506" t="s">
        <v>167</v>
      </c>
      <c r="D1506" t="s">
        <v>3067</v>
      </c>
      <c r="E1506" t="s">
        <v>3131</v>
      </c>
      <c r="F1506" s="1">
        <v>10</v>
      </c>
      <c r="G1506" s="1">
        <v>0</v>
      </c>
      <c r="H1506" t="s">
        <v>17</v>
      </c>
      <c r="I1506" t="s">
        <v>170</v>
      </c>
      <c r="J1506" t="s">
        <v>3069</v>
      </c>
      <c r="K1506" s="3">
        <v>46173</v>
      </c>
      <c r="L1506" t="s">
        <v>214</v>
      </c>
      <c r="M1506">
        <v>9.2999999999999999E-2</v>
      </c>
      <c r="N1506">
        <v>1536</v>
      </c>
      <c r="O1506">
        <f t="shared" si="69"/>
        <v>0.92999999999999994</v>
      </c>
      <c r="P1506">
        <f t="shared" si="70"/>
        <v>6.510416666666667E-3</v>
      </c>
      <c r="Q1506" t="str">
        <f t="shared" si="71"/>
        <v>Q27-03</v>
      </c>
    </row>
    <row r="1507" spans="1:17" x14ac:dyDescent="0.25">
      <c r="A1507" t="s">
        <v>61</v>
      </c>
      <c r="B1507" t="s">
        <v>891</v>
      </c>
      <c r="C1507" t="s">
        <v>892</v>
      </c>
      <c r="D1507" t="s">
        <v>3067</v>
      </c>
      <c r="E1507" t="s">
        <v>3132</v>
      </c>
      <c r="F1507" s="1">
        <v>3</v>
      </c>
      <c r="G1507" s="1">
        <v>0</v>
      </c>
      <c r="H1507" t="s">
        <v>17</v>
      </c>
      <c r="I1507" t="s">
        <v>894</v>
      </c>
      <c r="J1507" t="s">
        <v>3069</v>
      </c>
      <c r="K1507" s="3">
        <v>46356</v>
      </c>
      <c r="L1507" t="s">
        <v>1219</v>
      </c>
      <c r="M1507">
        <v>0.312</v>
      </c>
      <c r="N1507">
        <v>1680</v>
      </c>
      <c r="O1507">
        <f t="shared" si="69"/>
        <v>0.93599999999999994</v>
      </c>
      <c r="P1507">
        <f t="shared" si="70"/>
        <v>1.7857142857142857E-3</v>
      </c>
      <c r="Q1507" t="str">
        <f t="shared" si="71"/>
        <v>Q27-03</v>
      </c>
    </row>
    <row r="1508" spans="1:17" x14ac:dyDescent="0.25">
      <c r="A1508" t="s">
        <v>61</v>
      </c>
      <c r="B1508" t="s">
        <v>456</v>
      </c>
      <c r="C1508" t="s">
        <v>457</v>
      </c>
      <c r="D1508" t="s">
        <v>3067</v>
      </c>
      <c r="E1508" t="s">
        <v>3133</v>
      </c>
      <c r="F1508" s="1">
        <v>5</v>
      </c>
      <c r="G1508" s="1">
        <v>0</v>
      </c>
      <c r="H1508" t="s">
        <v>17</v>
      </c>
      <c r="I1508" t="s">
        <v>459</v>
      </c>
      <c r="J1508" t="s">
        <v>3069</v>
      </c>
      <c r="K1508" s="3">
        <v>46203</v>
      </c>
      <c r="L1508" t="s">
        <v>623</v>
      </c>
      <c r="M1508">
        <v>0.22600000000000001</v>
      </c>
      <c r="N1508">
        <v>1680</v>
      </c>
      <c r="O1508">
        <f t="shared" si="69"/>
        <v>1.1300000000000001</v>
      </c>
      <c r="P1508">
        <f t="shared" si="70"/>
        <v>2.976190476190476E-3</v>
      </c>
      <c r="Q1508" t="str">
        <f t="shared" si="71"/>
        <v>Q27-03</v>
      </c>
    </row>
    <row r="1509" spans="1:17" x14ac:dyDescent="0.25">
      <c r="A1509" t="s">
        <v>61</v>
      </c>
      <c r="B1509" t="s">
        <v>891</v>
      </c>
      <c r="C1509" t="s">
        <v>892</v>
      </c>
      <c r="D1509" t="s">
        <v>69</v>
      </c>
      <c r="E1509" t="s">
        <v>3134</v>
      </c>
      <c r="F1509" s="1">
        <v>8</v>
      </c>
      <c r="G1509" s="1">
        <v>0</v>
      </c>
      <c r="H1509" t="s">
        <v>17</v>
      </c>
      <c r="I1509" t="s">
        <v>894</v>
      </c>
      <c r="J1509" t="s">
        <v>3069</v>
      </c>
      <c r="K1509" s="3">
        <v>46112</v>
      </c>
      <c r="L1509" t="s">
        <v>1601</v>
      </c>
      <c r="M1509">
        <v>0.312</v>
      </c>
      <c r="N1509">
        <v>1680</v>
      </c>
      <c r="O1509">
        <f t="shared" si="69"/>
        <v>2.496</v>
      </c>
      <c r="P1509">
        <f t="shared" si="70"/>
        <v>4.7619047619047623E-3</v>
      </c>
      <c r="Q1509" t="str">
        <f t="shared" si="71"/>
        <v>Q27-01</v>
      </c>
    </row>
    <row r="1510" spans="1:17" x14ac:dyDescent="0.25">
      <c r="A1510" t="s">
        <v>61</v>
      </c>
      <c r="B1510" t="s">
        <v>281</v>
      </c>
      <c r="C1510" t="s">
        <v>282</v>
      </c>
      <c r="D1510" t="s">
        <v>3067</v>
      </c>
      <c r="E1510" t="s">
        <v>3135</v>
      </c>
      <c r="F1510" s="1">
        <v>65</v>
      </c>
      <c r="G1510" s="1">
        <v>0</v>
      </c>
      <c r="H1510" t="s">
        <v>17</v>
      </c>
      <c r="I1510" t="s">
        <v>284</v>
      </c>
      <c r="J1510" t="s">
        <v>3069</v>
      </c>
      <c r="K1510" s="3">
        <v>46173</v>
      </c>
      <c r="L1510" t="s">
        <v>298</v>
      </c>
      <c r="M1510">
        <v>6.8000000000000005E-2</v>
      </c>
      <c r="N1510">
        <v>2240</v>
      </c>
      <c r="O1510">
        <f t="shared" si="69"/>
        <v>4.42</v>
      </c>
      <c r="P1510">
        <f t="shared" si="70"/>
        <v>2.9017857142857144E-2</v>
      </c>
      <c r="Q1510" t="str">
        <f t="shared" si="71"/>
        <v>Q27-03</v>
      </c>
    </row>
    <row r="1511" spans="1:17" x14ac:dyDescent="0.25">
      <c r="A1511" t="s">
        <v>61</v>
      </c>
      <c r="B1511" t="s">
        <v>456</v>
      </c>
      <c r="C1511" t="s">
        <v>457</v>
      </c>
      <c r="D1511" t="s">
        <v>3067</v>
      </c>
      <c r="E1511" t="s">
        <v>3136</v>
      </c>
      <c r="F1511" s="1">
        <v>1</v>
      </c>
      <c r="G1511" s="1">
        <v>0</v>
      </c>
      <c r="H1511" t="s">
        <v>17</v>
      </c>
      <c r="I1511" t="s">
        <v>459</v>
      </c>
      <c r="J1511" t="s">
        <v>3069</v>
      </c>
      <c r="K1511" s="3">
        <v>46265</v>
      </c>
      <c r="L1511" t="s">
        <v>1002</v>
      </c>
      <c r="M1511">
        <v>0.22600000000000001</v>
      </c>
      <c r="N1511">
        <v>1680</v>
      </c>
      <c r="O1511">
        <f t="shared" si="69"/>
        <v>0.22600000000000001</v>
      </c>
      <c r="P1511">
        <f t="shared" si="70"/>
        <v>5.9523809523809529E-4</v>
      </c>
      <c r="Q1511" t="str">
        <f t="shared" si="71"/>
        <v>Q27-03</v>
      </c>
    </row>
    <row r="1512" spans="1:17" x14ac:dyDescent="0.25">
      <c r="A1512" t="s">
        <v>61</v>
      </c>
      <c r="B1512" t="s">
        <v>71</v>
      </c>
      <c r="C1512" t="s">
        <v>72</v>
      </c>
      <c r="D1512" t="s">
        <v>3067</v>
      </c>
      <c r="E1512" t="s">
        <v>3137</v>
      </c>
      <c r="F1512" s="1">
        <v>9</v>
      </c>
      <c r="G1512" s="1">
        <v>0</v>
      </c>
      <c r="H1512" t="s">
        <v>17</v>
      </c>
      <c r="I1512" t="s">
        <v>75</v>
      </c>
      <c r="J1512" t="s">
        <v>3069</v>
      </c>
      <c r="K1512" s="3">
        <v>46356</v>
      </c>
      <c r="L1512" t="s">
        <v>1149</v>
      </c>
      <c r="M1512">
        <v>0.3</v>
      </c>
      <c r="N1512">
        <v>1680</v>
      </c>
      <c r="O1512">
        <f t="shared" si="69"/>
        <v>2.6999999999999997</v>
      </c>
      <c r="P1512">
        <f t="shared" si="70"/>
        <v>5.3571428571428572E-3</v>
      </c>
      <c r="Q1512" t="str">
        <f t="shared" si="71"/>
        <v>Q27-03</v>
      </c>
    </row>
    <row r="1513" spans="1:17" x14ac:dyDescent="0.25">
      <c r="A1513" t="s">
        <v>61</v>
      </c>
      <c r="B1513" t="s">
        <v>225</v>
      </c>
      <c r="C1513" t="s">
        <v>226</v>
      </c>
      <c r="D1513" t="s">
        <v>3067</v>
      </c>
      <c r="E1513" t="s">
        <v>3138</v>
      </c>
      <c r="F1513" s="1">
        <v>19</v>
      </c>
      <c r="G1513" s="1">
        <v>0</v>
      </c>
      <c r="H1513" t="s">
        <v>17</v>
      </c>
      <c r="I1513" t="s">
        <v>228</v>
      </c>
      <c r="J1513" t="s">
        <v>3069</v>
      </c>
      <c r="K1513" s="3">
        <v>46234</v>
      </c>
      <c r="L1513" t="s">
        <v>232</v>
      </c>
      <c r="M1513">
        <v>5.8000000000000003E-2</v>
      </c>
      <c r="N1513">
        <v>2880</v>
      </c>
      <c r="O1513">
        <f t="shared" si="69"/>
        <v>1.1020000000000001</v>
      </c>
      <c r="P1513">
        <f t="shared" si="70"/>
        <v>6.5972222222222222E-3</v>
      </c>
      <c r="Q1513" t="str">
        <f t="shared" si="71"/>
        <v>Q27-03</v>
      </c>
    </row>
    <row r="1514" spans="1:17" x14ac:dyDescent="0.25">
      <c r="A1514" t="s">
        <v>61</v>
      </c>
      <c r="B1514" t="s">
        <v>225</v>
      </c>
      <c r="C1514" t="s">
        <v>226</v>
      </c>
      <c r="D1514" t="s">
        <v>3067</v>
      </c>
      <c r="E1514" t="s">
        <v>3139</v>
      </c>
      <c r="F1514" s="1">
        <v>3</v>
      </c>
      <c r="G1514" s="1">
        <v>0</v>
      </c>
      <c r="H1514" t="s">
        <v>17</v>
      </c>
      <c r="I1514" t="s">
        <v>228</v>
      </c>
      <c r="J1514" t="s">
        <v>3069</v>
      </c>
      <c r="K1514" s="3">
        <v>46234</v>
      </c>
      <c r="L1514" t="s">
        <v>230</v>
      </c>
      <c r="M1514">
        <v>5.8000000000000003E-2</v>
      </c>
      <c r="N1514">
        <v>2880</v>
      </c>
      <c r="O1514">
        <f t="shared" si="69"/>
        <v>0.17400000000000002</v>
      </c>
      <c r="P1514">
        <f t="shared" si="70"/>
        <v>1.0416666666666667E-3</v>
      </c>
      <c r="Q1514" t="str">
        <f t="shared" si="71"/>
        <v>Q27-03</v>
      </c>
    </row>
    <row r="1515" spans="1:17" x14ac:dyDescent="0.25">
      <c r="A1515" t="s">
        <v>61</v>
      </c>
      <c r="B1515" t="s">
        <v>281</v>
      </c>
      <c r="C1515" t="s">
        <v>282</v>
      </c>
      <c r="D1515" t="s">
        <v>3067</v>
      </c>
      <c r="E1515" t="s">
        <v>3140</v>
      </c>
      <c r="F1515" s="1">
        <v>10</v>
      </c>
      <c r="G1515" s="1">
        <v>0</v>
      </c>
      <c r="H1515" t="s">
        <v>17</v>
      </c>
      <c r="I1515" t="s">
        <v>284</v>
      </c>
      <c r="J1515" t="s">
        <v>3069</v>
      </c>
      <c r="K1515" s="3">
        <v>46142</v>
      </c>
      <c r="L1515" t="s">
        <v>295</v>
      </c>
      <c r="M1515">
        <v>6.8000000000000005E-2</v>
      </c>
      <c r="N1515">
        <v>2240</v>
      </c>
      <c r="O1515">
        <f t="shared" si="69"/>
        <v>0.68</v>
      </c>
      <c r="P1515">
        <f t="shared" si="70"/>
        <v>4.464285714285714E-3</v>
      </c>
      <c r="Q1515" t="str">
        <f t="shared" si="71"/>
        <v>Q27-03</v>
      </c>
    </row>
    <row r="1516" spans="1:17" x14ac:dyDescent="0.25">
      <c r="A1516" t="s">
        <v>61</v>
      </c>
      <c r="B1516" t="s">
        <v>456</v>
      </c>
      <c r="C1516" t="s">
        <v>457</v>
      </c>
      <c r="D1516" t="s">
        <v>3067</v>
      </c>
      <c r="E1516" t="s">
        <v>3141</v>
      </c>
      <c r="F1516" s="1">
        <v>4</v>
      </c>
      <c r="G1516" s="1">
        <v>0</v>
      </c>
      <c r="H1516" t="s">
        <v>17</v>
      </c>
      <c r="I1516" t="s">
        <v>459</v>
      </c>
      <c r="J1516" t="s">
        <v>3069</v>
      </c>
      <c r="K1516" s="3">
        <v>46142</v>
      </c>
      <c r="L1516" t="s">
        <v>616</v>
      </c>
      <c r="M1516">
        <v>0.22600000000000001</v>
      </c>
      <c r="N1516">
        <v>1680</v>
      </c>
      <c r="O1516">
        <f t="shared" si="69"/>
        <v>0.90400000000000003</v>
      </c>
      <c r="P1516">
        <f t="shared" si="70"/>
        <v>2.3809523809523812E-3</v>
      </c>
      <c r="Q1516" t="str">
        <f t="shared" si="71"/>
        <v>Q27-03</v>
      </c>
    </row>
    <row r="1517" spans="1:17" x14ac:dyDescent="0.25">
      <c r="A1517" t="s">
        <v>61</v>
      </c>
      <c r="B1517" t="s">
        <v>219</v>
      </c>
      <c r="C1517" t="s">
        <v>220</v>
      </c>
      <c r="D1517" t="s">
        <v>64</v>
      </c>
      <c r="E1517" t="s">
        <v>3142</v>
      </c>
      <c r="F1517" s="1">
        <v>5</v>
      </c>
      <c r="G1517" s="1">
        <v>0</v>
      </c>
      <c r="H1517" t="s">
        <v>17</v>
      </c>
      <c r="I1517" t="s">
        <v>222</v>
      </c>
      <c r="J1517" t="s">
        <v>3069</v>
      </c>
      <c r="K1517" s="3">
        <v>46081</v>
      </c>
      <c r="L1517" t="s">
        <v>224</v>
      </c>
      <c r="M1517">
        <v>0.3</v>
      </c>
      <c r="N1517">
        <v>1680</v>
      </c>
      <c r="O1517">
        <f t="shared" si="69"/>
        <v>1.5</v>
      </c>
      <c r="P1517">
        <f t="shared" si="70"/>
        <v>2.976190476190476E-3</v>
      </c>
      <c r="Q1517" t="str">
        <f t="shared" si="71"/>
        <v>Q27-01</v>
      </c>
    </row>
    <row r="1518" spans="1:17" x14ac:dyDescent="0.25">
      <c r="A1518" t="s">
        <v>61</v>
      </c>
      <c r="B1518" t="s">
        <v>456</v>
      </c>
      <c r="C1518" t="s">
        <v>457</v>
      </c>
      <c r="D1518" t="s">
        <v>69</v>
      </c>
      <c r="E1518" t="s">
        <v>3143</v>
      </c>
      <c r="F1518" s="1">
        <v>3</v>
      </c>
      <c r="G1518" s="1">
        <v>0</v>
      </c>
      <c r="H1518" t="s">
        <v>17</v>
      </c>
      <c r="I1518" t="s">
        <v>459</v>
      </c>
      <c r="J1518" t="s">
        <v>3069</v>
      </c>
      <c r="K1518" s="3">
        <v>46112</v>
      </c>
      <c r="L1518" t="s">
        <v>461</v>
      </c>
      <c r="M1518">
        <v>0.22600000000000001</v>
      </c>
      <c r="N1518">
        <v>1680</v>
      </c>
      <c r="O1518">
        <f t="shared" si="69"/>
        <v>0.67800000000000005</v>
      </c>
      <c r="P1518">
        <f t="shared" si="70"/>
        <v>1.7857142857142857E-3</v>
      </c>
      <c r="Q1518" t="str">
        <f t="shared" si="71"/>
        <v>Q27-01</v>
      </c>
    </row>
    <row r="1519" spans="1:17" x14ac:dyDescent="0.25">
      <c r="A1519" t="s">
        <v>12</v>
      </c>
      <c r="B1519" t="s">
        <v>1254</v>
      </c>
      <c r="C1519" t="s">
        <v>1255</v>
      </c>
      <c r="D1519" t="s">
        <v>77</v>
      </c>
      <c r="E1519" t="s">
        <v>3144</v>
      </c>
      <c r="F1519" s="1">
        <v>1</v>
      </c>
      <c r="G1519" s="1">
        <v>0</v>
      </c>
      <c r="H1519" t="s">
        <v>17</v>
      </c>
      <c r="I1519" t="s">
        <v>1257</v>
      </c>
      <c r="J1519" t="s">
        <v>3145</v>
      </c>
      <c r="K1519" s="3">
        <v>46326</v>
      </c>
      <c r="L1519" t="s">
        <v>3002</v>
      </c>
      <c r="M1519">
        <v>0.1</v>
      </c>
      <c r="N1519">
        <v>3600</v>
      </c>
      <c r="O1519">
        <f t="shared" si="69"/>
        <v>0.1</v>
      </c>
      <c r="P1519">
        <f t="shared" si="70"/>
        <v>2.7777777777777778E-4</v>
      </c>
      <c r="Q1519" t="str">
        <f t="shared" si="71"/>
        <v>Q27-01</v>
      </c>
    </row>
    <row r="1520" spans="1:17" x14ac:dyDescent="0.25">
      <c r="A1520" t="s">
        <v>61</v>
      </c>
      <c r="B1520" t="s">
        <v>233</v>
      </c>
      <c r="C1520" t="s">
        <v>234</v>
      </c>
      <c r="D1520" t="s">
        <v>244</v>
      </c>
      <c r="E1520" t="s">
        <v>3146</v>
      </c>
      <c r="F1520" s="1">
        <v>2</v>
      </c>
      <c r="G1520" s="1">
        <v>0</v>
      </c>
      <c r="H1520" t="s">
        <v>17</v>
      </c>
      <c r="I1520" t="s">
        <v>236</v>
      </c>
      <c r="J1520" t="s">
        <v>3147</v>
      </c>
      <c r="K1520" s="3">
        <v>47422</v>
      </c>
      <c r="L1520" t="s">
        <v>3148</v>
      </c>
      <c r="M1520">
        <v>7.4999999999999997E-2</v>
      </c>
      <c r="N1520">
        <v>2688</v>
      </c>
      <c r="O1520">
        <f t="shared" si="69"/>
        <v>0.15</v>
      </c>
      <c r="P1520">
        <f t="shared" si="70"/>
        <v>7.4404761904761901E-4</v>
      </c>
      <c r="Q1520" t="str">
        <f t="shared" si="71"/>
        <v>Q27-03</v>
      </c>
    </row>
    <row r="1521" spans="1:17" x14ac:dyDescent="0.25">
      <c r="A1521" t="s">
        <v>61</v>
      </c>
      <c r="B1521" t="s">
        <v>233</v>
      </c>
      <c r="C1521" t="s">
        <v>234</v>
      </c>
      <c r="D1521" t="s">
        <v>805</v>
      </c>
      <c r="E1521" t="s">
        <v>3149</v>
      </c>
      <c r="F1521" s="1">
        <v>2</v>
      </c>
      <c r="G1521" s="1">
        <v>0</v>
      </c>
      <c r="H1521" t="s">
        <v>17</v>
      </c>
      <c r="I1521" t="s">
        <v>236</v>
      </c>
      <c r="J1521" t="s">
        <v>3147</v>
      </c>
      <c r="K1521" s="3">
        <v>47422</v>
      </c>
      <c r="L1521" t="s">
        <v>3148</v>
      </c>
      <c r="M1521">
        <v>7.4999999999999997E-2</v>
      </c>
      <c r="N1521">
        <v>2688</v>
      </c>
      <c r="O1521">
        <f t="shared" si="69"/>
        <v>0.15</v>
      </c>
      <c r="P1521">
        <f t="shared" si="70"/>
        <v>7.4404761904761901E-4</v>
      </c>
      <c r="Q1521" t="str">
        <f t="shared" si="71"/>
        <v>Q27-03</v>
      </c>
    </row>
    <row r="1522" spans="1:17" x14ac:dyDescent="0.25">
      <c r="A1522" t="s">
        <v>61</v>
      </c>
      <c r="B1522" t="s">
        <v>233</v>
      </c>
      <c r="C1522" t="s">
        <v>234</v>
      </c>
      <c r="D1522" t="s">
        <v>244</v>
      </c>
      <c r="E1522" t="s">
        <v>3150</v>
      </c>
      <c r="F1522" s="1">
        <v>9</v>
      </c>
      <c r="G1522" s="1">
        <v>0</v>
      </c>
      <c r="H1522" t="s">
        <v>17</v>
      </c>
      <c r="I1522" t="s">
        <v>236</v>
      </c>
      <c r="J1522" t="s">
        <v>3147</v>
      </c>
      <c r="K1522" s="3">
        <v>47422</v>
      </c>
      <c r="L1522" t="s">
        <v>3151</v>
      </c>
      <c r="M1522">
        <v>7.4999999999999997E-2</v>
      </c>
      <c r="N1522">
        <v>2688</v>
      </c>
      <c r="O1522">
        <f t="shared" si="69"/>
        <v>0.67499999999999993</v>
      </c>
      <c r="P1522">
        <f t="shared" si="70"/>
        <v>3.3482142857142855E-3</v>
      </c>
      <c r="Q1522" t="str">
        <f t="shared" si="71"/>
        <v>Q27-03</v>
      </c>
    </row>
    <row r="1523" spans="1:17" x14ac:dyDescent="0.25">
      <c r="A1523" t="s">
        <v>61</v>
      </c>
      <c r="B1523" t="s">
        <v>233</v>
      </c>
      <c r="C1523" t="s">
        <v>234</v>
      </c>
      <c r="D1523" t="s">
        <v>244</v>
      </c>
      <c r="E1523" t="s">
        <v>3152</v>
      </c>
      <c r="F1523" s="1">
        <v>4</v>
      </c>
      <c r="G1523" s="1">
        <v>0</v>
      </c>
      <c r="H1523" t="s">
        <v>17</v>
      </c>
      <c r="I1523" t="s">
        <v>236</v>
      </c>
      <c r="J1523" t="s">
        <v>3147</v>
      </c>
      <c r="K1523" s="3">
        <v>47422</v>
      </c>
      <c r="L1523" t="s">
        <v>3151</v>
      </c>
      <c r="M1523">
        <v>7.4999999999999997E-2</v>
      </c>
      <c r="N1523">
        <v>2688</v>
      </c>
      <c r="O1523">
        <f t="shared" si="69"/>
        <v>0.3</v>
      </c>
      <c r="P1523">
        <f t="shared" si="70"/>
        <v>1.488095238095238E-3</v>
      </c>
      <c r="Q1523" t="str">
        <f t="shared" si="71"/>
        <v>Q27-03</v>
      </c>
    </row>
    <row r="1524" spans="1:17" x14ac:dyDescent="0.25">
      <c r="A1524" t="s">
        <v>61</v>
      </c>
      <c r="B1524" t="s">
        <v>233</v>
      </c>
      <c r="C1524" t="s">
        <v>234</v>
      </c>
      <c r="D1524" t="s">
        <v>382</v>
      </c>
      <c r="E1524" t="s">
        <v>3153</v>
      </c>
      <c r="F1524" s="1">
        <v>2</v>
      </c>
      <c r="G1524" s="1">
        <v>0</v>
      </c>
      <c r="H1524" t="s">
        <v>17</v>
      </c>
      <c r="I1524" t="s">
        <v>236</v>
      </c>
      <c r="J1524" t="s">
        <v>3147</v>
      </c>
      <c r="K1524" s="3">
        <v>47422</v>
      </c>
      <c r="L1524" t="s">
        <v>3151</v>
      </c>
      <c r="M1524">
        <v>7.4999999999999997E-2</v>
      </c>
      <c r="N1524">
        <v>2688</v>
      </c>
      <c r="O1524">
        <f t="shared" si="69"/>
        <v>0.15</v>
      </c>
      <c r="P1524">
        <f t="shared" si="70"/>
        <v>7.4404761904761901E-4</v>
      </c>
      <c r="Q1524" t="str">
        <f t="shared" si="71"/>
        <v>Q27-03</v>
      </c>
    </row>
    <row r="1525" spans="1:17" x14ac:dyDescent="0.25">
      <c r="A1525" t="s">
        <v>61</v>
      </c>
      <c r="B1525" t="s">
        <v>233</v>
      </c>
      <c r="C1525" t="s">
        <v>234</v>
      </c>
      <c r="D1525" t="s">
        <v>805</v>
      </c>
      <c r="E1525" t="s">
        <v>3154</v>
      </c>
      <c r="F1525" s="1">
        <v>6</v>
      </c>
      <c r="G1525" s="1">
        <v>0</v>
      </c>
      <c r="H1525" t="s">
        <v>17</v>
      </c>
      <c r="I1525" t="s">
        <v>236</v>
      </c>
      <c r="J1525" t="s">
        <v>3147</v>
      </c>
      <c r="K1525" s="3">
        <v>47422</v>
      </c>
      <c r="L1525" t="s">
        <v>3151</v>
      </c>
      <c r="M1525">
        <v>7.4999999999999997E-2</v>
      </c>
      <c r="N1525">
        <v>2688</v>
      </c>
      <c r="O1525">
        <f t="shared" si="69"/>
        <v>0.44999999999999996</v>
      </c>
      <c r="P1525">
        <f t="shared" si="70"/>
        <v>2.232142857142857E-3</v>
      </c>
      <c r="Q1525" t="str">
        <f t="shared" si="71"/>
        <v>Q27-03</v>
      </c>
    </row>
    <row r="1526" spans="1:17" x14ac:dyDescent="0.25">
      <c r="A1526" t="s">
        <v>61</v>
      </c>
      <c r="B1526" t="s">
        <v>233</v>
      </c>
      <c r="C1526" t="s">
        <v>234</v>
      </c>
      <c r="D1526" t="s">
        <v>244</v>
      </c>
      <c r="E1526" t="s">
        <v>3155</v>
      </c>
      <c r="F1526" s="1">
        <v>8</v>
      </c>
      <c r="G1526" s="1">
        <v>0</v>
      </c>
      <c r="H1526" t="s">
        <v>17</v>
      </c>
      <c r="I1526" t="s">
        <v>236</v>
      </c>
      <c r="J1526" t="s">
        <v>3147</v>
      </c>
      <c r="K1526" s="3">
        <v>47422</v>
      </c>
      <c r="L1526" t="s">
        <v>3156</v>
      </c>
      <c r="M1526">
        <v>7.4999999999999997E-2</v>
      </c>
      <c r="N1526">
        <v>2688</v>
      </c>
      <c r="O1526">
        <f t="shared" si="69"/>
        <v>0.6</v>
      </c>
      <c r="P1526">
        <f t="shared" si="70"/>
        <v>2.976190476190476E-3</v>
      </c>
      <c r="Q1526" t="str">
        <f t="shared" si="71"/>
        <v>Q27-03</v>
      </c>
    </row>
    <row r="1527" spans="1:17" x14ac:dyDescent="0.25">
      <c r="A1527" t="s">
        <v>12</v>
      </c>
      <c r="B1527" t="s">
        <v>3157</v>
      </c>
      <c r="C1527" t="s">
        <v>3158</v>
      </c>
      <c r="D1527" t="s">
        <v>44</v>
      </c>
      <c r="E1527" t="s">
        <v>3159</v>
      </c>
      <c r="F1527" s="1">
        <v>3</v>
      </c>
      <c r="G1527" s="1">
        <v>0</v>
      </c>
      <c r="H1527" t="s">
        <v>17</v>
      </c>
      <c r="I1527" t="s">
        <v>3160</v>
      </c>
      <c r="J1527" t="s">
        <v>3161</v>
      </c>
      <c r="K1527" s="3">
        <v>47065</v>
      </c>
      <c r="L1527" t="s">
        <v>3162</v>
      </c>
      <c r="M1527">
        <v>0.18</v>
      </c>
      <c r="N1527">
        <v>1440</v>
      </c>
      <c r="O1527">
        <f t="shared" si="69"/>
        <v>0.54</v>
      </c>
      <c r="P1527">
        <f t="shared" si="70"/>
        <v>2.0833333333333333E-3</v>
      </c>
      <c r="Q1527" t="str">
        <f t="shared" si="71"/>
        <v>Q26-01</v>
      </c>
    </row>
    <row r="1528" spans="1:17" x14ac:dyDescent="0.25">
      <c r="A1528" t="s">
        <v>12</v>
      </c>
      <c r="B1528" t="s">
        <v>1221</v>
      </c>
      <c r="C1528" t="s">
        <v>1222</v>
      </c>
      <c r="D1528" t="s">
        <v>144</v>
      </c>
      <c r="E1528" t="s">
        <v>3163</v>
      </c>
      <c r="F1528" s="2">
        <v>1796</v>
      </c>
      <c r="G1528" s="1">
        <v>0</v>
      </c>
      <c r="H1528" t="s">
        <v>17</v>
      </c>
      <c r="I1528" t="s">
        <v>84</v>
      </c>
      <c r="J1528" t="s">
        <v>90</v>
      </c>
      <c r="K1528" s="3">
        <v>46781</v>
      </c>
      <c r="L1528" t="s">
        <v>3164</v>
      </c>
      <c r="M1528">
        <v>0</v>
      </c>
      <c r="N1528">
        <v>0</v>
      </c>
      <c r="O1528">
        <f t="shared" si="69"/>
        <v>0</v>
      </c>
      <c r="Q1528" t="str">
        <f t="shared" si="71"/>
        <v>QM4-01</v>
      </c>
    </row>
    <row r="1529" spans="1:17" x14ac:dyDescent="0.25">
      <c r="A1529" t="s">
        <v>12</v>
      </c>
      <c r="B1529" t="s">
        <v>1221</v>
      </c>
      <c r="C1529" t="s">
        <v>1222</v>
      </c>
      <c r="D1529" t="s">
        <v>144</v>
      </c>
      <c r="E1529" t="s">
        <v>3165</v>
      </c>
      <c r="F1529" s="1">
        <v>706</v>
      </c>
      <c r="G1529" s="1">
        <v>0</v>
      </c>
      <c r="H1529" t="s">
        <v>17</v>
      </c>
      <c r="I1529" t="s">
        <v>84</v>
      </c>
      <c r="J1529" t="s">
        <v>90</v>
      </c>
      <c r="K1529" s="3">
        <v>46781</v>
      </c>
      <c r="L1529" t="s">
        <v>3166</v>
      </c>
      <c r="M1529">
        <v>0</v>
      </c>
      <c r="N1529">
        <v>0</v>
      </c>
      <c r="O1529">
        <f t="shared" si="69"/>
        <v>0</v>
      </c>
      <c r="Q1529" t="str">
        <f t="shared" si="71"/>
        <v>QM4-01</v>
      </c>
    </row>
    <row r="1530" spans="1:17" x14ac:dyDescent="0.25">
      <c r="A1530" t="s">
        <v>12</v>
      </c>
      <c r="B1530" t="s">
        <v>2807</v>
      </c>
      <c r="C1530" t="s">
        <v>2808</v>
      </c>
      <c r="D1530" t="s">
        <v>144</v>
      </c>
      <c r="E1530" t="s">
        <v>3167</v>
      </c>
      <c r="F1530" s="1">
        <v>384</v>
      </c>
      <c r="G1530" s="1">
        <v>0</v>
      </c>
      <c r="H1530" t="s">
        <v>17</v>
      </c>
      <c r="I1530" t="s">
        <v>84</v>
      </c>
      <c r="J1530" t="s">
        <v>90</v>
      </c>
      <c r="K1530" s="3">
        <v>46781</v>
      </c>
      <c r="L1530" t="s">
        <v>123</v>
      </c>
      <c r="M1530">
        <v>0</v>
      </c>
      <c r="N1530">
        <v>0</v>
      </c>
      <c r="O1530">
        <f t="shared" si="69"/>
        <v>0</v>
      </c>
      <c r="Q1530" t="str">
        <f t="shared" si="71"/>
        <v>QM4-01</v>
      </c>
    </row>
    <row r="1531" spans="1:17" x14ac:dyDescent="0.25">
      <c r="A1531" t="s">
        <v>12</v>
      </c>
      <c r="B1531" t="s">
        <v>1844</v>
      </c>
      <c r="C1531" t="s">
        <v>1837</v>
      </c>
      <c r="D1531" t="s">
        <v>38</v>
      </c>
      <c r="E1531" t="s">
        <v>3168</v>
      </c>
      <c r="F1531" s="1">
        <v>6</v>
      </c>
      <c r="G1531" s="1">
        <v>0</v>
      </c>
      <c r="H1531" t="s">
        <v>17</v>
      </c>
      <c r="I1531" t="s">
        <v>1846</v>
      </c>
      <c r="J1531" t="s">
        <v>3169</v>
      </c>
      <c r="K1531" s="3">
        <v>46065</v>
      </c>
      <c r="L1531" t="s">
        <v>3170</v>
      </c>
      <c r="M1531">
        <v>0.159</v>
      </c>
      <c r="N1531">
        <v>2496</v>
      </c>
      <c r="O1531">
        <f t="shared" si="69"/>
        <v>0.95399999999999996</v>
      </c>
      <c r="P1531">
        <f t="shared" si="70"/>
        <v>2.403846153846154E-3</v>
      </c>
      <c r="Q1531" t="str">
        <f t="shared" si="71"/>
        <v>Q26-01</v>
      </c>
    </row>
    <row r="1532" spans="1:17" x14ac:dyDescent="0.25">
      <c r="A1532" t="s">
        <v>12</v>
      </c>
      <c r="B1532" t="s">
        <v>2344</v>
      </c>
      <c r="C1532" t="s">
        <v>2345</v>
      </c>
      <c r="D1532" t="s">
        <v>407</v>
      </c>
      <c r="E1532" t="s">
        <v>3171</v>
      </c>
      <c r="F1532" s="1">
        <v>1</v>
      </c>
      <c r="G1532" s="1">
        <v>0</v>
      </c>
      <c r="H1532" t="s">
        <v>17</v>
      </c>
      <c r="I1532" t="s">
        <v>2347</v>
      </c>
      <c r="J1532" t="s">
        <v>3172</v>
      </c>
      <c r="K1532" s="3">
        <v>46660</v>
      </c>
      <c r="L1532" t="s">
        <v>2349</v>
      </c>
      <c r="M1532">
        <v>4.8000000000000001E-2</v>
      </c>
      <c r="N1532">
        <v>2592</v>
      </c>
      <c r="O1532">
        <f t="shared" si="69"/>
        <v>4.8000000000000001E-2</v>
      </c>
      <c r="P1532">
        <f t="shared" si="70"/>
        <v>3.8580246913580245E-4</v>
      </c>
      <c r="Q1532" t="str">
        <f t="shared" si="71"/>
        <v>Q27-01</v>
      </c>
    </row>
    <row r="1533" spans="1:17" x14ac:dyDescent="0.25">
      <c r="A1533" t="s">
        <v>12</v>
      </c>
      <c r="B1533" t="s">
        <v>1018</v>
      </c>
      <c r="C1533" t="s">
        <v>1019</v>
      </c>
      <c r="D1533" t="s">
        <v>388</v>
      </c>
      <c r="E1533" t="s">
        <v>3173</v>
      </c>
      <c r="F1533" s="1">
        <v>1</v>
      </c>
      <c r="G1533" s="1">
        <v>0</v>
      </c>
      <c r="H1533" t="s">
        <v>17</v>
      </c>
      <c r="I1533" t="s">
        <v>2563</v>
      </c>
      <c r="J1533" t="s">
        <v>3174</v>
      </c>
      <c r="K1533" s="3">
        <v>46660</v>
      </c>
      <c r="L1533" t="s">
        <v>2565</v>
      </c>
      <c r="M1533">
        <v>1.9E-2</v>
      </c>
      <c r="N1533">
        <v>5184</v>
      </c>
      <c r="O1533">
        <f t="shared" si="69"/>
        <v>1.9E-2</v>
      </c>
      <c r="P1533">
        <f t="shared" si="70"/>
        <v>1.9290123456790122E-4</v>
      </c>
      <c r="Q1533" t="str">
        <f t="shared" si="71"/>
        <v>Q26-03</v>
      </c>
    </row>
    <row r="1534" spans="1:17" x14ac:dyDescent="0.25">
      <c r="A1534" t="s">
        <v>12</v>
      </c>
      <c r="B1534" t="s">
        <v>3175</v>
      </c>
      <c r="C1534" t="s">
        <v>3176</v>
      </c>
      <c r="D1534" t="s">
        <v>388</v>
      </c>
      <c r="E1534" t="s">
        <v>3177</v>
      </c>
      <c r="F1534" s="1">
        <v>5</v>
      </c>
      <c r="G1534" s="1">
        <v>0</v>
      </c>
      <c r="H1534" t="s">
        <v>17</v>
      </c>
      <c r="I1534" t="s">
        <v>3178</v>
      </c>
      <c r="J1534" t="s">
        <v>3179</v>
      </c>
      <c r="K1534" s="3">
        <v>46996</v>
      </c>
      <c r="L1534" t="s">
        <v>3180</v>
      </c>
      <c r="M1534">
        <v>1.6E-2</v>
      </c>
      <c r="N1534">
        <v>6480</v>
      </c>
      <c r="O1534">
        <f t="shared" si="69"/>
        <v>0.08</v>
      </c>
      <c r="P1534">
        <f t="shared" si="70"/>
        <v>7.716049382716049E-4</v>
      </c>
      <c r="Q1534" t="str">
        <f t="shared" si="71"/>
        <v>Q26-03</v>
      </c>
    </row>
    <row r="1535" spans="1:17" x14ac:dyDescent="0.25">
      <c r="A1535" t="s">
        <v>12</v>
      </c>
      <c r="B1535" t="s">
        <v>1844</v>
      </c>
      <c r="C1535" t="s">
        <v>1837</v>
      </c>
      <c r="D1535" t="s">
        <v>38</v>
      </c>
      <c r="E1535" t="s">
        <v>3168</v>
      </c>
      <c r="F1535" s="1">
        <v>208</v>
      </c>
      <c r="G1535" s="1">
        <v>0</v>
      </c>
      <c r="H1535" t="s">
        <v>17</v>
      </c>
      <c r="I1535" t="s">
        <v>1846</v>
      </c>
      <c r="J1535" t="s">
        <v>3181</v>
      </c>
      <c r="K1535" s="3">
        <v>46065</v>
      </c>
      <c r="L1535" t="s">
        <v>3170</v>
      </c>
      <c r="M1535">
        <v>0.159</v>
      </c>
      <c r="N1535">
        <v>2496</v>
      </c>
      <c r="O1535">
        <f t="shared" si="69"/>
        <v>33.072000000000003</v>
      </c>
      <c r="P1535">
        <f t="shared" si="70"/>
        <v>8.3333333333333329E-2</v>
      </c>
      <c r="Q1535" t="str">
        <f t="shared" si="71"/>
        <v>Q26-01</v>
      </c>
    </row>
    <row r="1536" spans="1:17" x14ac:dyDescent="0.25">
      <c r="A1536" t="s">
        <v>12</v>
      </c>
      <c r="B1536" t="s">
        <v>2994</v>
      </c>
      <c r="C1536" t="s">
        <v>2995</v>
      </c>
      <c r="D1536" t="s">
        <v>3182</v>
      </c>
      <c r="E1536" t="s">
        <v>3183</v>
      </c>
      <c r="F1536" s="2">
        <v>8400</v>
      </c>
      <c r="G1536" s="1">
        <v>0</v>
      </c>
      <c r="H1536" t="s">
        <v>17</v>
      </c>
      <c r="I1536" t="s">
        <v>2997</v>
      </c>
      <c r="J1536" t="s">
        <v>3184</v>
      </c>
      <c r="K1536" s="3">
        <v>46873</v>
      </c>
      <c r="L1536" t="s">
        <v>3185</v>
      </c>
      <c r="M1536">
        <v>3.2000000000000001E-2</v>
      </c>
      <c r="N1536">
        <v>8400</v>
      </c>
      <c r="O1536">
        <f t="shared" si="69"/>
        <v>268.8</v>
      </c>
      <c r="P1536">
        <f t="shared" si="70"/>
        <v>1</v>
      </c>
      <c r="Q1536" t="str">
        <f t="shared" si="71"/>
        <v>Q26-01</v>
      </c>
    </row>
    <row r="1537" spans="1:17" x14ac:dyDescent="0.25">
      <c r="A1537" t="s">
        <v>12</v>
      </c>
      <c r="B1537" t="s">
        <v>2994</v>
      </c>
      <c r="C1537" t="s">
        <v>2995</v>
      </c>
      <c r="D1537" t="s">
        <v>3186</v>
      </c>
      <c r="E1537" t="s">
        <v>3187</v>
      </c>
      <c r="F1537" s="2">
        <v>8400</v>
      </c>
      <c r="G1537" s="1">
        <v>0</v>
      </c>
      <c r="H1537" t="s">
        <v>17</v>
      </c>
      <c r="I1537" t="s">
        <v>2997</v>
      </c>
      <c r="J1537" t="s">
        <v>3184</v>
      </c>
      <c r="K1537" s="3">
        <v>46873</v>
      </c>
      <c r="L1537" t="s">
        <v>3185</v>
      </c>
      <c r="M1537">
        <v>3.2000000000000001E-2</v>
      </c>
      <c r="N1537">
        <v>8400</v>
      </c>
      <c r="O1537">
        <f t="shared" si="69"/>
        <v>268.8</v>
      </c>
      <c r="P1537">
        <f t="shared" si="70"/>
        <v>1</v>
      </c>
      <c r="Q1537" t="str">
        <f t="shared" si="71"/>
        <v>Q26-01</v>
      </c>
    </row>
    <row r="1538" spans="1:17" x14ac:dyDescent="0.25">
      <c r="A1538" t="s">
        <v>12</v>
      </c>
      <c r="B1538" t="s">
        <v>2994</v>
      </c>
      <c r="C1538" t="s">
        <v>2995</v>
      </c>
      <c r="D1538" t="s">
        <v>3188</v>
      </c>
      <c r="E1538" t="s">
        <v>3189</v>
      </c>
      <c r="F1538" s="2">
        <v>8400</v>
      </c>
      <c r="G1538" s="1">
        <v>0</v>
      </c>
      <c r="H1538" t="s">
        <v>17</v>
      </c>
      <c r="I1538" t="s">
        <v>2997</v>
      </c>
      <c r="J1538" t="s">
        <v>3184</v>
      </c>
      <c r="K1538" s="3">
        <v>46873</v>
      </c>
      <c r="L1538" t="s">
        <v>3185</v>
      </c>
      <c r="M1538">
        <v>3.2000000000000001E-2</v>
      </c>
      <c r="N1538">
        <v>8400</v>
      </c>
      <c r="O1538">
        <f t="shared" si="69"/>
        <v>268.8</v>
      </c>
      <c r="P1538">
        <f t="shared" si="70"/>
        <v>1</v>
      </c>
      <c r="Q1538" t="str">
        <f t="shared" si="71"/>
        <v>Q26-01</v>
      </c>
    </row>
    <row r="1539" spans="1:17" x14ac:dyDescent="0.25">
      <c r="A1539" t="s">
        <v>12</v>
      </c>
      <c r="B1539" t="s">
        <v>2994</v>
      </c>
      <c r="C1539" t="s">
        <v>2995</v>
      </c>
      <c r="D1539" t="s">
        <v>3190</v>
      </c>
      <c r="E1539" t="s">
        <v>3191</v>
      </c>
      <c r="F1539" s="2">
        <v>8400</v>
      </c>
      <c r="G1539" s="1">
        <v>0</v>
      </c>
      <c r="H1539" t="s">
        <v>17</v>
      </c>
      <c r="I1539" t="s">
        <v>2997</v>
      </c>
      <c r="J1539" t="s">
        <v>3184</v>
      </c>
      <c r="K1539" s="3">
        <v>46873</v>
      </c>
      <c r="L1539" t="s">
        <v>3185</v>
      </c>
      <c r="M1539">
        <v>3.2000000000000001E-2</v>
      </c>
      <c r="N1539">
        <v>8400</v>
      </c>
      <c r="O1539">
        <f t="shared" ref="O1539:O1602" si="72">F1539*M1539</f>
        <v>268.8</v>
      </c>
      <c r="P1539">
        <f t="shared" ref="P1539:P1602" si="73">F1539/N1539</f>
        <v>1</v>
      </c>
      <c r="Q1539" t="str">
        <f t="shared" ref="Q1539:Q1602" si="74">LEFT(D1539,6)</f>
        <v>Q26-01</v>
      </c>
    </row>
    <row r="1540" spans="1:17" x14ac:dyDescent="0.25">
      <c r="A1540" t="s">
        <v>12</v>
      </c>
      <c r="B1540" t="s">
        <v>2994</v>
      </c>
      <c r="C1540" t="s">
        <v>2995</v>
      </c>
      <c r="D1540" t="s">
        <v>3192</v>
      </c>
      <c r="E1540" t="s">
        <v>3193</v>
      </c>
      <c r="F1540" s="2">
        <v>8400</v>
      </c>
      <c r="G1540" s="1">
        <v>0</v>
      </c>
      <c r="H1540" t="s">
        <v>17</v>
      </c>
      <c r="I1540" t="s">
        <v>2997</v>
      </c>
      <c r="J1540" t="s">
        <v>3184</v>
      </c>
      <c r="K1540" s="3">
        <v>46873</v>
      </c>
      <c r="L1540" t="s">
        <v>3185</v>
      </c>
      <c r="M1540">
        <v>3.2000000000000001E-2</v>
      </c>
      <c r="N1540">
        <v>8400</v>
      </c>
      <c r="O1540">
        <f t="shared" si="72"/>
        <v>268.8</v>
      </c>
      <c r="P1540">
        <f t="shared" si="73"/>
        <v>1</v>
      </c>
      <c r="Q1540" t="str">
        <f t="shared" si="74"/>
        <v>Q26-01</v>
      </c>
    </row>
    <row r="1541" spans="1:17" x14ac:dyDescent="0.25">
      <c r="A1541" t="s">
        <v>12</v>
      </c>
      <c r="B1541" t="s">
        <v>2994</v>
      </c>
      <c r="C1541" t="s">
        <v>2995</v>
      </c>
      <c r="D1541" t="s">
        <v>3194</v>
      </c>
      <c r="E1541" t="s">
        <v>3195</v>
      </c>
      <c r="F1541" s="2">
        <v>5420</v>
      </c>
      <c r="G1541" s="1">
        <v>0</v>
      </c>
      <c r="H1541" t="s">
        <v>17</v>
      </c>
      <c r="I1541" t="s">
        <v>2997</v>
      </c>
      <c r="J1541" t="s">
        <v>3184</v>
      </c>
      <c r="K1541" s="3">
        <v>46873</v>
      </c>
      <c r="L1541" t="s">
        <v>3185</v>
      </c>
      <c r="M1541">
        <v>3.2000000000000001E-2</v>
      </c>
      <c r="N1541">
        <v>8400</v>
      </c>
      <c r="O1541">
        <f t="shared" si="72"/>
        <v>173.44</v>
      </c>
      <c r="P1541">
        <f t="shared" si="73"/>
        <v>0.64523809523809528</v>
      </c>
      <c r="Q1541" t="str">
        <f t="shared" si="74"/>
        <v>Q26-01</v>
      </c>
    </row>
    <row r="1542" spans="1:17" x14ac:dyDescent="0.25">
      <c r="A1542" t="s">
        <v>12</v>
      </c>
      <c r="B1542" t="s">
        <v>2994</v>
      </c>
      <c r="C1542" t="s">
        <v>2995</v>
      </c>
      <c r="D1542" t="s">
        <v>3196</v>
      </c>
      <c r="E1542" t="s">
        <v>3197</v>
      </c>
      <c r="F1542" s="2">
        <v>8400</v>
      </c>
      <c r="G1542" s="1">
        <v>0</v>
      </c>
      <c r="H1542" t="s">
        <v>17</v>
      </c>
      <c r="I1542" t="s">
        <v>2997</v>
      </c>
      <c r="J1542" t="s">
        <v>3184</v>
      </c>
      <c r="K1542" s="3">
        <v>46873</v>
      </c>
      <c r="L1542" t="s">
        <v>3185</v>
      </c>
      <c r="M1542">
        <v>3.2000000000000001E-2</v>
      </c>
      <c r="N1542">
        <v>8400</v>
      </c>
      <c r="O1542">
        <f t="shared" si="72"/>
        <v>268.8</v>
      </c>
      <c r="P1542">
        <f t="shared" si="73"/>
        <v>1</v>
      </c>
      <c r="Q1542" t="str">
        <f t="shared" si="74"/>
        <v>Q27-01</v>
      </c>
    </row>
    <row r="1543" spans="1:17" x14ac:dyDescent="0.25">
      <c r="A1543" t="s">
        <v>12</v>
      </c>
      <c r="B1543" t="s">
        <v>3198</v>
      </c>
      <c r="C1543" t="s">
        <v>3199</v>
      </c>
      <c r="D1543" t="s">
        <v>1303</v>
      </c>
      <c r="E1543" t="s">
        <v>3200</v>
      </c>
      <c r="F1543" s="1">
        <v>1</v>
      </c>
      <c r="G1543" s="1">
        <v>0</v>
      </c>
      <c r="H1543" t="s">
        <v>17</v>
      </c>
      <c r="I1543" t="s">
        <v>3201</v>
      </c>
      <c r="J1543" t="s">
        <v>3202</v>
      </c>
      <c r="K1543" s="3">
        <v>47025</v>
      </c>
      <c r="L1543" t="s">
        <v>3203</v>
      </c>
      <c r="M1543">
        <v>2.9000000000000001E-2</v>
      </c>
      <c r="N1543">
        <v>8000</v>
      </c>
      <c r="O1543">
        <f t="shared" si="72"/>
        <v>2.9000000000000001E-2</v>
      </c>
      <c r="P1543">
        <f t="shared" si="73"/>
        <v>1.25E-4</v>
      </c>
      <c r="Q1543" t="str">
        <f t="shared" si="74"/>
        <v>Q26-02</v>
      </c>
    </row>
    <row r="1544" spans="1:17" x14ac:dyDescent="0.25">
      <c r="A1544" t="s">
        <v>12</v>
      </c>
      <c r="B1544" t="s">
        <v>3204</v>
      </c>
      <c r="C1544" t="s">
        <v>3205</v>
      </c>
      <c r="D1544" t="s">
        <v>1303</v>
      </c>
      <c r="E1544" t="s">
        <v>3206</v>
      </c>
      <c r="F1544" s="1">
        <v>3</v>
      </c>
      <c r="G1544" s="1">
        <v>0</v>
      </c>
      <c r="H1544" t="s">
        <v>17</v>
      </c>
      <c r="I1544" t="s">
        <v>3207</v>
      </c>
      <c r="J1544" t="s">
        <v>3208</v>
      </c>
      <c r="K1544" s="3">
        <v>46977</v>
      </c>
      <c r="L1544" t="s">
        <v>3209</v>
      </c>
      <c r="M1544">
        <v>2.9000000000000001E-2</v>
      </c>
      <c r="N1544">
        <v>8000</v>
      </c>
      <c r="O1544">
        <f t="shared" si="72"/>
        <v>8.7000000000000008E-2</v>
      </c>
      <c r="P1544">
        <f t="shared" si="73"/>
        <v>3.7500000000000001E-4</v>
      </c>
      <c r="Q1544" t="str">
        <f t="shared" si="74"/>
        <v>Q26-02</v>
      </c>
    </row>
    <row r="1545" spans="1:17" x14ac:dyDescent="0.25">
      <c r="A1545" t="s">
        <v>12</v>
      </c>
      <c r="B1545" t="s">
        <v>3210</v>
      </c>
      <c r="C1545" t="s">
        <v>3211</v>
      </c>
      <c r="D1545" t="s">
        <v>1303</v>
      </c>
      <c r="E1545" t="s">
        <v>3212</v>
      </c>
      <c r="F1545" s="1">
        <v>6</v>
      </c>
      <c r="G1545" s="1">
        <v>0</v>
      </c>
      <c r="H1545" t="s">
        <v>17</v>
      </c>
      <c r="I1545" t="s">
        <v>3213</v>
      </c>
      <c r="J1545" t="s">
        <v>3208</v>
      </c>
      <c r="K1545" s="3">
        <v>46807</v>
      </c>
      <c r="L1545" t="s">
        <v>3214</v>
      </c>
      <c r="M1545">
        <v>0.03</v>
      </c>
      <c r="N1545">
        <v>8000</v>
      </c>
      <c r="O1545">
        <f t="shared" si="72"/>
        <v>0.18</v>
      </c>
      <c r="P1545">
        <f t="shared" si="73"/>
        <v>7.5000000000000002E-4</v>
      </c>
      <c r="Q1545" t="str">
        <f t="shared" si="74"/>
        <v>Q26-02</v>
      </c>
    </row>
    <row r="1546" spans="1:17" x14ac:dyDescent="0.25">
      <c r="A1546" t="s">
        <v>12</v>
      </c>
      <c r="B1546" t="s">
        <v>3215</v>
      </c>
      <c r="C1546" t="s">
        <v>3216</v>
      </c>
      <c r="D1546" t="s">
        <v>1303</v>
      </c>
      <c r="E1546" t="s">
        <v>3217</v>
      </c>
      <c r="F1546" s="1">
        <v>5</v>
      </c>
      <c r="G1546" s="1">
        <v>0</v>
      </c>
      <c r="H1546" t="s">
        <v>17</v>
      </c>
      <c r="I1546" t="s">
        <v>3218</v>
      </c>
      <c r="J1546" t="s">
        <v>3219</v>
      </c>
      <c r="K1546" s="3">
        <v>46971</v>
      </c>
      <c r="L1546" t="s">
        <v>3220</v>
      </c>
      <c r="M1546">
        <v>2.9000000000000001E-2</v>
      </c>
      <c r="N1546">
        <v>8000</v>
      </c>
      <c r="O1546">
        <f t="shared" si="72"/>
        <v>0.14500000000000002</v>
      </c>
      <c r="P1546">
        <f t="shared" si="73"/>
        <v>6.2500000000000001E-4</v>
      </c>
      <c r="Q1546" t="str">
        <f t="shared" si="74"/>
        <v>Q26-02</v>
      </c>
    </row>
    <row r="1547" spans="1:17" x14ac:dyDescent="0.25">
      <c r="A1547" t="s">
        <v>12</v>
      </c>
      <c r="B1547" t="s">
        <v>1844</v>
      </c>
      <c r="C1547" t="s">
        <v>1837</v>
      </c>
      <c r="D1547" t="s">
        <v>38</v>
      </c>
      <c r="E1547" t="s">
        <v>3168</v>
      </c>
      <c r="F1547" s="1">
        <v>144</v>
      </c>
      <c r="G1547" s="1">
        <v>0</v>
      </c>
      <c r="H1547" t="s">
        <v>17</v>
      </c>
      <c r="I1547" t="s">
        <v>1846</v>
      </c>
      <c r="J1547" t="s">
        <v>3221</v>
      </c>
      <c r="K1547" s="3">
        <v>46065</v>
      </c>
      <c r="L1547" t="s">
        <v>3170</v>
      </c>
      <c r="M1547">
        <v>0.159</v>
      </c>
      <c r="N1547">
        <v>2496</v>
      </c>
      <c r="O1547">
        <f t="shared" si="72"/>
        <v>22.896000000000001</v>
      </c>
      <c r="P1547">
        <f t="shared" si="73"/>
        <v>5.7692307692307696E-2</v>
      </c>
      <c r="Q1547" t="str">
        <f t="shared" si="74"/>
        <v>Q26-01</v>
      </c>
    </row>
    <row r="1548" spans="1:17" x14ac:dyDescent="0.25">
      <c r="A1548" t="s">
        <v>2411</v>
      </c>
      <c r="B1548" t="s">
        <v>2501</v>
      </c>
      <c r="C1548" t="s">
        <v>2502</v>
      </c>
      <c r="D1548" t="s">
        <v>44</v>
      </c>
      <c r="E1548" t="s">
        <v>3222</v>
      </c>
      <c r="F1548" s="1">
        <v>1</v>
      </c>
      <c r="G1548" s="1">
        <v>0</v>
      </c>
      <c r="H1548" t="s">
        <v>17</v>
      </c>
      <c r="I1548" t="s">
        <v>2415</v>
      </c>
      <c r="J1548" t="s">
        <v>3223</v>
      </c>
      <c r="K1548" s="3">
        <v>46793</v>
      </c>
      <c r="L1548" t="s">
        <v>3224</v>
      </c>
      <c r="M1548">
        <v>0.05</v>
      </c>
      <c r="N1548">
        <v>1500</v>
      </c>
      <c r="O1548">
        <f t="shared" si="72"/>
        <v>0.05</v>
      </c>
      <c r="P1548">
        <f t="shared" si="73"/>
        <v>6.6666666666666664E-4</v>
      </c>
      <c r="Q1548" t="str">
        <f t="shared" si="74"/>
        <v>Q26-01</v>
      </c>
    </row>
    <row r="1549" spans="1:17" x14ac:dyDescent="0.25">
      <c r="A1549" t="s">
        <v>2411</v>
      </c>
      <c r="B1549" t="s">
        <v>2412</v>
      </c>
      <c r="C1549" t="s">
        <v>2413</v>
      </c>
      <c r="D1549" t="s">
        <v>44</v>
      </c>
      <c r="E1549" t="s">
        <v>3225</v>
      </c>
      <c r="F1549" s="1">
        <v>3</v>
      </c>
      <c r="G1549" s="1">
        <v>0</v>
      </c>
      <c r="H1549" t="s">
        <v>17</v>
      </c>
      <c r="I1549" t="s">
        <v>2415</v>
      </c>
      <c r="J1549" t="s">
        <v>3226</v>
      </c>
      <c r="K1549" s="3">
        <v>46541</v>
      </c>
      <c r="L1549" t="s">
        <v>2417</v>
      </c>
      <c r="M1549">
        <v>0.03</v>
      </c>
      <c r="N1549">
        <v>2200</v>
      </c>
      <c r="O1549">
        <f t="shared" si="72"/>
        <v>0.09</v>
      </c>
      <c r="P1549">
        <f t="shared" si="73"/>
        <v>1.3636363636363637E-3</v>
      </c>
      <c r="Q1549" t="str">
        <f t="shared" si="74"/>
        <v>Q26-01</v>
      </c>
    </row>
    <row r="1550" spans="1:17" x14ac:dyDescent="0.25">
      <c r="A1550" t="s">
        <v>12</v>
      </c>
      <c r="B1550" t="s">
        <v>3227</v>
      </c>
      <c r="C1550" t="s">
        <v>3228</v>
      </c>
      <c r="D1550" t="s">
        <v>407</v>
      </c>
      <c r="E1550" t="s">
        <v>3229</v>
      </c>
      <c r="F1550" s="1">
        <v>21</v>
      </c>
      <c r="G1550" s="1">
        <v>0</v>
      </c>
      <c r="H1550" t="s">
        <v>17</v>
      </c>
      <c r="I1550" t="s">
        <v>1404</v>
      </c>
      <c r="J1550" t="s">
        <v>3230</v>
      </c>
      <c r="K1550" s="3">
        <v>47269</v>
      </c>
      <c r="L1550" t="s">
        <v>3231</v>
      </c>
      <c r="M1550">
        <v>7.8E-2</v>
      </c>
      <c r="N1550">
        <v>1344</v>
      </c>
      <c r="O1550">
        <f t="shared" si="72"/>
        <v>1.6379999999999999</v>
      </c>
      <c r="P1550">
        <f t="shared" si="73"/>
        <v>1.5625E-2</v>
      </c>
      <c r="Q1550" t="str">
        <f t="shared" si="74"/>
        <v>Q27-01</v>
      </c>
    </row>
    <row r="1551" spans="1:17" x14ac:dyDescent="0.25">
      <c r="A1551" t="s">
        <v>12</v>
      </c>
      <c r="B1551" t="s">
        <v>3227</v>
      </c>
      <c r="C1551" t="s">
        <v>3228</v>
      </c>
      <c r="D1551" t="s">
        <v>407</v>
      </c>
      <c r="E1551" t="s">
        <v>3232</v>
      </c>
      <c r="F1551" s="1">
        <v>1</v>
      </c>
      <c r="G1551" s="1">
        <v>0</v>
      </c>
      <c r="H1551" t="s">
        <v>17</v>
      </c>
      <c r="I1551" t="s">
        <v>1404</v>
      </c>
      <c r="J1551" t="s">
        <v>3230</v>
      </c>
      <c r="K1551" s="3">
        <v>47269</v>
      </c>
      <c r="L1551" t="s">
        <v>3231</v>
      </c>
      <c r="M1551">
        <v>7.8E-2</v>
      </c>
      <c r="N1551">
        <v>1344</v>
      </c>
      <c r="O1551">
        <f t="shared" si="72"/>
        <v>7.8E-2</v>
      </c>
      <c r="P1551">
        <f t="shared" si="73"/>
        <v>7.4404761904761901E-4</v>
      </c>
      <c r="Q1551" t="str">
        <f t="shared" si="74"/>
        <v>Q27-01</v>
      </c>
    </row>
    <row r="1552" spans="1:17" x14ac:dyDescent="0.25">
      <c r="A1552" t="s">
        <v>12</v>
      </c>
      <c r="B1552" t="s">
        <v>2360</v>
      </c>
      <c r="C1552" t="s">
        <v>2361</v>
      </c>
      <c r="D1552" t="s">
        <v>44</v>
      </c>
      <c r="E1552" t="s">
        <v>3233</v>
      </c>
      <c r="F1552" s="1">
        <v>6</v>
      </c>
      <c r="G1552" s="1">
        <v>0</v>
      </c>
      <c r="H1552" t="s">
        <v>17</v>
      </c>
      <c r="I1552" t="s">
        <v>2363</v>
      </c>
      <c r="J1552" t="s">
        <v>3234</v>
      </c>
      <c r="K1552" s="3">
        <v>46698</v>
      </c>
      <c r="L1552" t="s">
        <v>3235</v>
      </c>
      <c r="M1552">
        <v>0.154</v>
      </c>
      <c r="N1552">
        <v>1536</v>
      </c>
      <c r="O1552">
        <f t="shared" si="72"/>
        <v>0.92399999999999993</v>
      </c>
      <c r="P1552">
        <f t="shared" si="73"/>
        <v>3.90625E-3</v>
      </c>
      <c r="Q1552" t="str">
        <f t="shared" si="74"/>
        <v>Q26-01</v>
      </c>
    </row>
    <row r="1553" spans="1:17" x14ac:dyDescent="0.25">
      <c r="A1553" t="s">
        <v>12</v>
      </c>
      <c r="B1553" t="s">
        <v>756</v>
      </c>
      <c r="C1553" t="s">
        <v>757</v>
      </c>
      <c r="D1553" t="s">
        <v>388</v>
      </c>
      <c r="E1553" t="s">
        <v>3236</v>
      </c>
      <c r="F1553" s="1">
        <v>0.25</v>
      </c>
      <c r="G1553" s="1">
        <v>0</v>
      </c>
      <c r="H1553" t="s">
        <v>17</v>
      </c>
      <c r="I1553" t="s">
        <v>759</v>
      </c>
      <c r="J1553" t="s">
        <v>3237</v>
      </c>
      <c r="K1553" s="3">
        <v>46965</v>
      </c>
      <c r="L1553" t="s">
        <v>3238</v>
      </c>
      <c r="M1553">
        <v>0.09</v>
      </c>
      <c r="N1553">
        <v>2160</v>
      </c>
      <c r="O1553">
        <f t="shared" si="72"/>
        <v>2.2499999999999999E-2</v>
      </c>
      <c r="P1553">
        <f t="shared" si="73"/>
        <v>1.1574074074074075E-4</v>
      </c>
      <c r="Q1553" t="str">
        <f t="shared" si="74"/>
        <v>Q26-03</v>
      </c>
    </row>
    <row r="1554" spans="1:17" x14ac:dyDescent="0.25">
      <c r="A1554" t="s">
        <v>12</v>
      </c>
      <c r="B1554" t="s">
        <v>2258</v>
      </c>
      <c r="C1554" t="s">
        <v>2259</v>
      </c>
      <c r="D1554" t="s">
        <v>244</v>
      </c>
      <c r="E1554" t="s">
        <v>2263</v>
      </c>
      <c r="F1554" s="1">
        <v>30</v>
      </c>
      <c r="G1554" s="1">
        <v>0</v>
      </c>
      <c r="H1554" t="s">
        <v>17</v>
      </c>
      <c r="I1554" t="s">
        <v>2261</v>
      </c>
      <c r="J1554" t="s">
        <v>3239</v>
      </c>
      <c r="K1554" s="3">
        <v>46326</v>
      </c>
      <c r="L1554" t="s">
        <v>2262</v>
      </c>
      <c r="M1554">
        <v>0.1</v>
      </c>
      <c r="N1554">
        <v>4800</v>
      </c>
      <c r="O1554">
        <f t="shared" si="72"/>
        <v>3</v>
      </c>
      <c r="P1554">
        <f t="shared" si="73"/>
        <v>6.2500000000000003E-3</v>
      </c>
      <c r="Q1554" t="str">
        <f t="shared" si="74"/>
        <v>Q27-03</v>
      </c>
    </row>
    <row r="1555" spans="1:17" x14ac:dyDescent="0.25">
      <c r="A1555" t="s">
        <v>12</v>
      </c>
      <c r="B1555" t="s">
        <v>1330</v>
      </c>
      <c r="C1555" t="s">
        <v>1331</v>
      </c>
      <c r="D1555" t="s">
        <v>1332</v>
      </c>
      <c r="E1555" t="s">
        <v>3240</v>
      </c>
      <c r="F1555" s="1">
        <v>6</v>
      </c>
      <c r="G1555" s="1">
        <v>0</v>
      </c>
      <c r="H1555" t="s">
        <v>17</v>
      </c>
      <c r="I1555" t="s">
        <v>2635</v>
      </c>
      <c r="J1555" t="s">
        <v>3239</v>
      </c>
      <c r="K1555" s="3">
        <v>46225</v>
      </c>
      <c r="L1555" t="s">
        <v>3241</v>
      </c>
      <c r="M1555">
        <v>0.04</v>
      </c>
      <c r="N1555">
        <v>9000</v>
      </c>
      <c r="O1555">
        <f t="shared" si="72"/>
        <v>0.24</v>
      </c>
      <c r="P1555">
        <f t="shared" si="73"/>
        <v>6.6666666666666664E-4</v>
      </c>
      <c r="Q1555" t="str">
        <f t="shared" si="74"/>
        <v>Q26-01</v>
      </c>
    </row>
    <row r="1556" spans="1:17" x14ac:dyDescent="0.25">
      <c r="A1556" t="s">
        <v>61</v>
      </c>
      <c r="B1556" t="s">
        <v>456</v>
      </c>
      <c r="C1556" t="s">
        <v>457</v>
      </c>
      <c r="D1556" t="s">
        <v>64</v>
      </c>
      <c r="E1556" t="s">
        <v>3242</v>
      </c>
      <c r="F1556" s="1">
        <v>10</v>
      </c>
      <c r="G1556" s="1">
        <v>0</v>
      </c>
      <c r="H1556" t="s">
        <v>17</v>
      </c>
      <c r="I1556" t="s">
        <v>459</v>
      </c>
      <c r="J1556" t="s">
        <v>3243</v>
      </c>
      <c r="K1556" s="3">
        <v>46234</v>
      </c>
      <c r="L1556" t="s">
        <v>768</v>
      </c>
      <c r="M1556">
        <v>0.22600000000000001</v>
      </c>
      <c r="N1556">
        <v>1680</v>
      </c>
      <c r="O1556">
        <f t="shared" si="72"/>
        <v>2.2600000000000002</v>
      </c>
      <c r="P1556">
        <f t="shared" si="73"/>
        <v>5.9523809523809521E-3</v>
      </c>
      <c r="Q1556" t="str">
        <f t="shared" si="74"/>
        <v>Q27-01</v>
      </c>
    </row>
    <row r="1557" spans="1:17" x14ac:dyDescent="0.25">
      <c r="A1557" t="s">
        <v>61</v>
      </c>
      <c r="B1557" t="s">
        <v>456</v>
      </c>
      <c r="C1557" t="s">
        <v>457</v>
      </c>
      <c r="D1557" t="s">
        <v>64</v>
      </c>
      <c r="E1557" t="s">
        <v>3244</v>
      </c>
      <c r="F1557" s="1">
        <v>4</v>
      </c>
      <c r="G1557" s="1">
        <v>0</v>
      </c>
      <c r="H1557" t="s">
        <v>17</v>
      </c>
      <c r="I1557" t="s">
        <v>459</v>
      </c>
      <c r="J1557" t="s">
        <v>3243</v>
      </c>
      <c r="K1557" s="3">
        <v>46295</v>
      </c>
      <c r="L1557" t="s">
        <v>946</v>
      </c>
      <c r="M1557">
        <v>0.22600000000000001</v>
      </c>
      <c r="N1557">
        <v>1680</v>
      </c>
      <c r="O1557">
        <f t="shared" si="72"/>
        <v>0.90400000000000003</v>
      </c>
      <c r="P1557">
        <f t="shared" si="73"/>
        <v>2.3809523809523812E-3</v>
      </c>
      <c r="Q1557" t="str">
        <f t="shared" si="74"/>
        <v>Q27-01</v>
      </c>
    </row>
    <row r="1558" spans="1:17" x14ac:dyDescent="0.25">
      <c r="A1558" t="s">
        <v>61</v>
      </c>
      <c r="B1558" t="s">
        <v>456</v>
      </c>
      <c r="C1558" t="s">
        <v>457</v>
      </c>
      <c r="D1558" t="s">
        <v>64</v>
      </c>
      <c r="E1558" t="s">
        <v>3245</v>
      </c>
      <c r="F1558" s="1">
        <v>14</v>
      </c>
      <c r="G1558" s="1">
        <v>0</v>
      </c>
      <c r="H1558" t="s">
        <v>17</v>
      </c>
      <c r="I1558" t="s">
        <v>459</v>
      </c>
      <c r="J1558" t="s">
        <v>3243</v>
      </c>
      <c r="K1558" s="3">
        <v>46203</v>
      </c>
      <c r="L1558" t="s">
        <v>623</v>
      </c>
      <c r="M1558">
        <v>0.22600000000000001</v>
      </c>
      <c r="N1558">
        <v>1680</v>
      </c>
      <c r="O1558">
        <f t="shared" si="72"/>
        <v>3.1640000000000001</v>
      </c>
      <c r="P1558">
        <f t="shared" si="73"/>
        <v>8.3333333333333332E-3</v>
      </c>
      <c r="Q1558" t="str">
        <f t="shared" si="74"/>
        <v>Q27-01</v>
      </c>
    </row>
    <row r="1559" spans="1:17" x14ac:dyDescent="0.25">
      <c r="A1559" t="s">
        <v>61</v>
      </c>
      <c r="B1559" t="s">
        <v>456</v>
      </c>
      <c r="C1559" t="s">
        <v>457</v>
      </c>
      <c r="D1559" t="s">
        <v>64</v>
      </c>
      <c r="E1559" t="s">
        <v>3246</v>
      </c>
      <c r="F1559" s="1">
        <v>12</v>
      </c>
      <c r="G1559" s="1">
        <v>0</v>
      </c>
      <c r="H1559" t="s">
        <v>17</v>
      </c>
      <c r="I1559" t="s">
        <v>459</v>
      </c>
      <c r="J1559" t="s">
        <v>3243</v>
      </c>
      <c r="K1559" s="3">
        <v>46265</v>
      </c>
      <c r="L1559" t="s">
        <v>1002</v>
      </c>
      <c r="M1559">
        <v>0.22600000000000001</v>
      </c>
      <c r="N1559">
        <v>1680</v>
      </c>
      <c r="O1559">
        <f t="shared" si="72"/>
        <v>2.7120000000000002</v>
      </c>
      <c r="P1559">
        <f t="shared" si="73"/>
        <v>7.1428571428571426E-3</v>
      </c>
      <c r="Q1559" t="str">
        <f t="shared" si="74"/>
        <v>Q27-01</v>
      </c>
    </row>
    <row r="1560" spans="1:17" x14ac:dyDescent="0.25">
      <c r="A1560" t="s">
        <v>61</v>
      </c>
      <c r="B1560" t="s">
        <v>456</v>
      </c>
      <c r="C1560" t="s">
        <v>457</v>
      </c>
      <c r="D1560" t="s">
        <v>64</v>
      </c>
      <c r="E1560" t="s">
        <v>3247</v>
      </c>
      <c r="F1560" s="1">
        <v>41</v>
      </c>
      <c r="G1560" s="1">
        <v>0</v>
      </c>
      <c r="H1560" t="s">
        <v>17</v>
      </c>
      <c r="I1560" t="s">
        <v>459</v>
      </c>
      <c r="J1560" t="s">
        <v>3243</v>
      </c>
      <c r="K1560" s="3">
        <v>46234</v>
      </c>
      <c r="L1560" t="s">
        <v>911</v>
      </c>
      <c r="M1560">
        <v>0.22600000000000001</v>
      </c>
      <c r="N1560">
        <v>1680</v>
      </c>
      <c r="O1560">
        <f t="shared" si="72"/>
        <v>9.266</v>
      </c>
      <c r="P1560">
        <f t="shared" si="73"/>
        <v>2.4404761904761905E-2</v>
      </c>
      <c r="Q1560" t="str">
        <f t="shared" si="74"/>
        <v>Q27-01</v>
      </c>
    </row>
    <row r="1561" spans="1:17" x14ac:dyDescent="0.25">
      <c r="A1561" t="s">
        <v>61</v>
      </c>
      <c r="B1561" t="s">
        <v>456</v>
      </c>
      <c r="C1561" t="s">
        <v>457</v>
      </c>
      <c r="D1561" t="s">
        <v>64</v>
      </c>
      <c r="E1561" t="s">
        <v>3248</v>
      </c>
      <c r="F1561" s="1">
        <v>26</v>
      </c>
      <c r="G1561" s="1">
        <v>0</v>
      </c>
      <c r="H1561" t="s">
        <v>17</v>
      </c>
      <c r="I1561" t="s">
        <v>459</v>
      </c>
      <c r="J1561" t="s">
        <v>3243</v>
      </c>
      <c r="K1561" s="3">
        <v>46264</v>
      </c>
      <c r="L1561" t="s">
        <v>778</v>
      </c>
      <c r="M1561">
        <v>0.22600000000000001</v>
      </c>
      <c r="N1561">
        <v>1680</v>
      </c>
      <c r="O1561">
        <f t="shared" si="72"/>
        <v>5.8760000000000003</v>
      </c>
      <c r="P1561">
        <f t="shared" si="73"/>
        <v>1.5476190476190477E-2</v>
      </c>
      <c r="Q1561" t="str">
        <f t="shared" si="74"/>
        <v>Q27-01</v>
      </c>
    </row>
    <row r="1562" spans="1:17" x14ac:dyDescent="0.25">
      <c r="A1562" t="s">
        <v>61</v>
      </c>
      <c r="B1562" t="s">
        <v>281</v>
      </c>
      <c r="C1562" t="s">
        <v>282</v>
      </c>
      <c r="D1562" t="s">
        <v>64</v>
      </c>
      <c r="E1562" t="s">
        <v>3249</v>
      </c>
      <c r="F1562" s="1">
        <v>7</v>
      </c>
      <c r="G1562" s="1">
        <v>0</v>
      </c>
      <c r="H1562" t="s">
        <v>17</v>
      </c>
      <c r="I1562" t="s">
        <v>284</v>
      </c>
      <c r="J1562" t="s">
        <v>3243</v>
      </c>
      <c r="K1562" s="3">
        <v>46265</v>
      </c>
      <c r="L1562" t="s">
        <v>304</v>
      </c>
      <c r="M1562">
        <v>6.8000000000000005E-2</v>
      </c>
      <c r="N1562">
        <v>2240</v>
      </c>
      <c r="O1562">
        <f t="shared" si="72"/>
        <v>0.47600000000000003</v>
      </c>
      <c r="P1562">
        <f t="shared" si="73"/>
        <v>3.1250000000000002E-3</v>
      </c>
      <c r="Q1562" t="str">
        <f t="shared" si="74"/>
        <v>Q27-01</v>
      </c>
    </row>
    <row r="1563" spans="1:17" x14ac:dyDescent="0.25">
      <c r="A1563" t="s">
        <v>61</v>
      </c>
      <c r="B1563" t="s">
        <v>281</v>
      </c>
      <c r="C1563" t="s">
        <v>282</v>
      </c>
      <c r="D1563" t="s">
        <v>64</v>
      </c>
      <c r="E1563" t="s">
        <v>3250</v>
      </c>
      <c r="F1563" s="1">
        <v>3</v>
      </c>
      <c r="G1563" s="1">
        <v>0</v>
      </c>
      <c r="H1563" t="s">
        <v>17</v>
      </c>
      <c r="I1563" t="s">
        <v>284</v>
      </c>
      <c r="J1563" t="s">
        <v>3243</v>
      </c>
      <c r="K1563" s="3">
        <v>46173</v>
      </c>
      <c r="L1563" t="s">
        <v>298</v>
      </c>
      <c r="M1563">
        <v>6.8000000000000005E-2</v>
      </c>
      <c r="N1563">
        <v>2240</v>
      </c>
      <c r="O1563">
        <f t="shared" si="72"/>
        <v>0.20400000000000001</v>
      </c>
      <c r="P1563">
        <f t="shared" si="73"/>
        <v>1.3392857142857143E-3</v>
      </c>
      <c r="Q1563" t="str">
        <f t="shared" si="74"/>
        <v>Q27-01</v>
      </c>
    </row>
    <row r="1564" spans="1:17" x14ac:dyDescent="0.25">
      <c r="A1564" t="s">
        <v>61</v>
      </c>
      <c r="B1564" t="s">
        <v>281</v>
      </c>
      <c r="C1564" t="s">
        <v>282</v>
      </c>
      <c r="D1564" t="s">
        <v>64</v>
      </c>
      <c r="E1564" t="s">
        <v>3251</v>
      </c>
      <c r="F1564" s="1">
        <v>1</v>
      </c>
      <c r="G1564" s="1">
        <v>0</v>
      </c>
      <c r="H1564" t="s">
        <v>17</v>
      </c>
      <c r="I1564" t="s">
        <v>284</v>
      </c>
      <c r="J1564" t="s">
        <v>3243</v>
      </c>
      <c r="K1564" s="3">
        <v>46691</v>
      </c>
      <c r="L1564" t="s">
        <v>1782</v>
      </c>
      <c r="M1564">
        <v>6.8000000000000005E-2</v>
      </c>
      <c r="N1564">
        <v>2240</v>
      </c>
      <c r="O1564">
        <f t="shared" si="72"/>
        <v>6.8000000000000005E-2</v>
      </c>
      <c r="P1564">
        <f t="shared" si="73"/>
        <v>4.4642857142857141E-4</v>
      </c>
      <c r="Q1564" t="str">
        <f t="shared" si="74"/>
        <v>Q27-01</v>
      </c>
    </row>
    <row r="1565" spans="1:17" x14ac:dyDescent="0.25">
      <c r="A1565" t="s">
        <v>61</v>
      </c>
      <c r="B1565" t="s">
        <v>281</v>
      </c>
      <c r="C1565" t="s">
        <v>282</v>
      </c>
      <c r="D1565" t="s">
        <v>64</v>
      </c>
      <c r="E1565" t="s">
        <v>3252</v>
      </c>
      <c r="F1565" s="1">
        <v>4</v>
      </c>
      <c r="G1565" s="1">
        <v>0</v>
      </c>
      <c r="H1565" t="s">
        <v>17</v>
      </c>
      <c r="I1565" t="s">
        <v>284</v>
      </c>
      <c r="J1565" t="s">
        <v>3243</v>
      </c>
      <c r="K1565" s="3">
        <v>46234</v>
      </c>
      <c r="L1565" t="s">
        <v>285</v>
      </c>
      <c r="M1565">
        <v>6.8000000000000005E-2</v>
      </c>
      <c r="N1565">
        <v>2240</v>
      </c>
      <c r="O1565">
        <f t="shared" si="72"/>
        <v>0.27200000000000002</v>
      </c>
      <c r="P1565">
        <f t="shared" si="73"/>
        <v>1.7857142857142857E-3</v>
      </c>
      <c r="Q1565" t="str">
        <f t="shared" si="74"/>
        <v>Q27-01</v>
      </c>
    </row>
    <row r="1566" spans="1:17" x14ac:dyDescent="0.25">
      <c r="A1566" t="s">
        <v>61</v>
      </c>
      <c r="B1566" t="s">
        <v>281</v>
      </c>
      <c r="C1566" t="s">
        <v>282</v>
      </c>
      <c r="D1566" t="s">
        <v>64</v>
      </c>
      <c r="E1566" t="s">
        <v>3253</v>
      </c>
      <c r="F1566" s="1">
        <v>1</v>
      </c>
      <c r="G1566" s="1">
        <v>0</v>
      </c>
      <c r="H1566" t="s">
        <v>17</v>
      </c>
      <c r="I1566" t="s">
        <v>284</v>
      </c>
      <c r="J1566" t="s">
        <v>3243</v>
      </c>
      <c r="K1566" s="3">
        <v>46752</v>
      </c>
      <c r="L1566" t="s">
        <v>2802</v>
      </c>
      <c r="M1566">
        <v>6.8000000000000005E-2</v>
      </c>
      <c r="N1566">
        <v>2240</v>
      </c>
      <c r="O1566">
        <f t="shared" si="72"/>
        <v>6.8000000000000005E-2</v>
      </c>
      <c r="P1566">
        <f t="shared" si="73"/>
        <v>4.4642857142857141E-4</v>
      </c>
      <c r="Q1566" t="str">
        <f t="shared" si="74"/>
        <v>Q27-01</v>
      </c>
    </row>
    <row r="1567" spans="1:17" x14ac:dyDescent="0.25">
      <c r="A1567" t="s">
        <v>61</v>
      </c>
      <c r="B1567" t="s">
        <v>166</v>
      </c>
      <c r="C1567" t="s">
        <v>167</v>
      </c>
      <c r="D1567" t="s">
        <v>64</v>
      </c>
      <c r="E1567" t="s">
        <v>3254</v>
      </c>
      <c r="F1567" s="1">
        <v>2</v>
      </c>
      <c r="G1567" s="1">
        <v>0</v>
      </c>
      <c r="H1567" t="s">
        <v>17</v>
      </c>
      <c r="I1567" t="s">
        <v>170</v>
      </c>
      <c r="J1567" t="s">
        <v>3243</v>
      </c>
      <c r="K1567" s="3">
        <v>46446</v>
      </c>
      <c r="L1567" t="s">
        <v>907</v>
      </c>
      <c r="M1567">
        <v>9.2999999999999999E-2</v>
      </c>
      <c r="N1567">
        <v>1536</v>
      </c>
      <c r="O1567">
        <f t="shared" si="72"/>
        <v>0.186</v>
      </c>
      <c r="P1567">
        <f t="shared" si="73"/>
        <v>1.3020833333333333E-3</v>
      </c>
      <c r="Q1567" t="str">
        <f t="shared" si="74"/>
        <v>Q27-01</v>
      </c>
    </row>
    <row r="1568" spans="1:17" x14ac:dyDescent="0.25">
      <c r="A1568" t="s">
        <v>61</v>
      </c>
      <c r="B1568" t="s">
        <v>166</v>
      </c>
      <c r="C1568" t="s">
        <v>167</v>
      </c>
      <c r="D1568" t="s">
        <v>64</v>
      </c>
      <c r="E1568" t="s">
        <v>3255</v>
      </c>
      <c r="F1568" s="1">
        <v>23</v>
      </c>
      <c r="G1568" s="1">
        <v>0</v>
      </c>
      <c r="H1568" t="s">
        <v>17</v>
      </c>
      <c r="I1568" t="s">
        <v>170</v>
      </c>
      <c r="J1568" t="s">
        <v>3243</v>
      </c>
      <c r="K1568" s="3">
        <v>46173</v>
      </c>
      <c r="L1568" t="s">
        <v>179</v>
      </c>
      <c r="M1568">
        <v>9.2999999999999999E-2</v>
      </c>
      <c r="N1568">
        <v>1536</v>
      </c>
      <c r="O1568">
        <f t="shared" si="72"/>
        <v>2.1389999999999998</v>
      </c>
      <c r="P1568">
        <f t="shared" si="73"/>
        <v>1.4973958333333334E-2</v>
      </c>
      <c r="Q1568" t="str">
        <f t="shared" si="74"/>
        <v>Q27-01</v>
      </c>
    </row>
    <row r="1569" spans="1:17" x14ac:dyDescent="0.25">
      <c r="A1569" t="s">
        <v>61</v>
      </c>
      <c r="B1569" t="s">
        <v>166</v>
      </c>
      <c r="C1569" t="s">
        <v>167</v>
      </c>
      <c r="D1569" t="s">
        <v>64</v>
      </c>
      <c r="E1569" t="s">
        <v>3256</v>
      </c>
      <c r="F1569" s="1">
        <v>2</v>
      </c>
      <c r="G1569" s="1">
        <v>0</v>
      </c>
      <c r="H1569" t="s">
        <v>17</v>
      </c>
      <c r="I1569" t="s">
        <v>170</v>
      </c>
      <c r="J1569" t="s">
        <v>3243</v>
      </c>
      <c r="K1569" s="3">
        <v>46660</v>
      </c>
      <c r="L1569" t="s">
        <v>1343</v>
      </c>
      <c r="M1569">
        <v>9.2999999999999999E-2</v>
      </c>
      <c r="N1569">
        <v>1536</v>
      </c>
      <c r="O1569">
        <f t="shared" si="72"/>
        <v>0.186</v>
      </c>
      <c r="P1569">
        <f t="shared" si="73"/>
        <v>1.3020833333333333E-3</v>
      </c>
      <c r="Q1569" t="str">
        <f t="shared" si="74"/>
        <v>Q27-01</v>
      </c>
    </row>
    <row r="1570" spans="1:17" x14ac:dyDescent="0.25">
      <c r="A1570" t="s">
        <v>61</v>
      </c>
      <c r="B1570" t="s">
        <v>166</v>
      </c>
      <c r="C1570" t="s">
        <v>167</v>
      </c>
      <c r="D1570" t="s">
        <v>64</v>
      </c>
      <c r="E1570" t="s">
        <v>3257</v>
      </c>
      <c r="F1570" s="1">
        <v>13</v>
      </c>
      <c r="G1570" s="1">
        <v>0</v>
      </c>
      <c r="H1570" t="s">
        <v>17</v>
      </c>
      <c r="I1570" t="s">
        <v>170</v>
      </c>
      <c r="J1570" t="s">
        <v>3243</v>
      </c>
      <c r="K1570" s="3">
        <v>46173</v>
      </c>
      <c r="L1570" t="s">
        <v>189</v>
      </c>
      <c r="M1570">
        <v>9.2999999999999999E-2</v>
      </c>
      <c r="N1570">
        <v>1536</v>
      </c>
      <c r="O1570">
        <f t="shared" si="72"/>
        <v>1.2090000000000001</v>
      </c>
      <c r="P1570">
        <f t="shared" si="73"/>
        <v>8.4635416666666661E-3</v>
      </c>
      <c r="Q1570" t="str">
        <f t="shared" si="74"/>
        <v>Q27-01</v>
      </c>
    </row>
    <row r="1571" spans="1:17" x14ac:dyDescent="0.25">
      <c r="A1571" t="s">
        <v>61</v>
      </c>
      <c r="B1571" t="s">
        <v>166</v>
      </c>
      <c r="C1571" t="s">
        <v>167</v>
      </c>
      <c r="D1571" t="s">
        <v>64</v>
      </c>
      <c r="E1571" t="s">
        <v>3258</v>
      </c>
      <c r="F1571" s="1">
        <v>1</v>
      </c>
      <c r="G1571" s="1">
        <v>0</v>
      </c>
      <c r="H1571" t="s">
        <v>17</v>
      </c>
      <c r="I1571" t="s">
        <v>170</v>
      </c>
      <c r="J1571" t="s">
        <v>3243</v>
      </c>
      <c r="K1571" s="3">
        <v>46173</v>
      </c>
      <c r="L1571" t="s">
        <v>214</v>
      </c>
      <c r="M1571">
        <v>9.2999999999999999E-2</v>
      </c>
      <c r="N1571">
        <v>1536</v>
      </c>
      <c r="O1571">
        <f t="shared" si="72"/>
        <v>9.2999999999999999E-2</v>
      </c>
      <c r="P1571">
        <f t="shared" si="73"/>
        <v>6.5104166666666663E-4</v>
      </c>
      <c r="Q1571" t="str">
        <f t="shared" si="74"/>
        <v>Q27-01</v>
      </c>
    </row>
    <row r="1572" spans="1:17" x14ac:dyDescent="0.25">
      <c r="A1572" t="s">
        <v>61</v>
      </c>
      <c r="B1572" t="s">
        <v>219</v>
      </c>
      <c r="C1572" t="s">
        <v>220</v>
      </c>
      <c r="D1572" t="s">
        <v>64</v>
      </c>
      <c r="E1572" t="s">
        <v>3259</v>
      </c>
      <c r="F1572" s="1">
        <v>31</v>
      </c>
      <c r="G1572" s="1">
        <v>0</v>
      </c>
      <c r="H1572" t="s">
        <v>17</v>
      </c>
      <c r="I1572" t="s">
        <v>222</v>
      </c>
      <c r="J1572" t="s">
        <v>3243</v>
      </c>
      <c r="K1572" s="3">
        <v>46234</v>
      </c>
      <c r="L1572" t="s">
        <v>902</v>
      </c>
      <c r="M1572">
        <v>0.3</v>
      </c>
      <c r="N1572">
        <v>1680</v>
      </c>
      <c r="O1572">
        <f t="shared" si="72"/>
        <v>9.2999999999999989</v>
      </c>
      <c r="P1572">
        <f t="shared" si="73"/>
        <v>1.8452380952380953E-2</v>
      </c>
      <c r="Q1572" t="str">
        <f t="shared" si="74"/>
        <v>Q27-01</v>
      </c>
    </row>
    <row r="1573" spans="1:17" x14ac:dyDescent="0.25">
      <c r="A1573" t="s">
        <v>61</v>
      </c>
      <c r="B1573" t="s">
        <v>219</v>
      </c>
      <c r="C1573" t="s">
        <v>220</v>
      </c>
      <c r="D1573" t="s">
        <v>64</v>
      </c>
      <c r="E1573" t="s">
        <v>3260</v>
      </c>
      <c r="F1573" s="1">
        <v>2</v>
      </c>
      <c r="G1573" s="1">
        <v>0</v>
      </c>
      <c r="H1573" t="s">
        <v>17</v>
      </c>
      <c r="I1573" t="s">
        <v>222</v>
      </c>
      <c r="J1573" t="s">
        <v>3243</v>
      </c>
      <c r="K1573" s="3">
        <v>46477</v>
      </c>
      <c r="L1573" t="s">
        <v>1646</v>
      </c>
      <c r="M1573">
        <v>0.3</v>
      </c>
      <c r="N1573">
        <v>1680</v>
      </c>
      <c r="O1573">
        <f t="shared" si="72"/>
        <v>0.6</v>
      </c>
      <c r="P1573">
        <f t="shared" si="73"/>
        <v>1.1904761904761906E-3</v>
      </c>
      <c r="Q1573" t="str">
        <f t="shared" si="74"/>
        <v>Q27-01</v>
      </c>
    </row>
    <row r="1574" spans="1:17" x14ac:dyDescent="0.25">
      <c r="A1574" t="s">
        <v>61</v>
      </c>
      <c r="B1574" t="s">
        <v>219</v>
      </c>
      <c r="C1574" t="s">
        <v>220</v>
      </c>
      <c r="D1574" t="s">
        <v>64</v>
      </c>
      <c r="E1574" t="s">
        <v>3261</v>
      </c>
      <c r="F1574" s="1">
        <v>1</v>
      </c>
      <c r="G1574" s="1">
        <v>0</v>
      </c>
      <c r="H1574" t="s">
        <v>17</v>
      </c>
      <c r="I1574" t="s">
        <v>222</v>
      </c>
      <c r="J1574" t="s">
        <v>3243</v>
      </c>
      <c r="K1574" s="3">
        <v>46446</v>
      </c>
      <c r="L1574" t="s">
        <v>1467</v>
      </c>
      <c r="M1574">
        <v>0.3</v>
      </c>
      <c r="N1574">
        <v>1680</v>
      </c>
      <c r="O1574">
        <f t="shared" si="72"/>
        <v>0.3</v>
      </c>
      <c r="P1574">
        <f t="shared" si="73"/>
        <v>5.9523809523809529E-4</v>
      </c>
      <c r="Q1574" t="str">
        <f t="shared" si="74"/>
        <v>Q27-01</v>
      </c>
    </row>
    <row r="1575" spans="1:17" x14ac:dyDescent="0.25">
      <c r="A1575" t="s">
        <v>61</v>
      </c>
      <c r="B1575" t="s">
        <v>219</v>
      </c>
      <c r="C1575" t="s">
        <v>220</v>
      </c>
      <c r="D1575" t="s">
        <v>64</v>
      </c>
      <c r="E1575" t="s">
        <v>3262</v>
      </c>
      <c r="F1575" s="1">
        <v>1</v>
      </c>
      <c r="G1575" s="1">
        <v>0</v>
      </c>
      <c r="H1575" t="s">
        <v>17</v>
      </c>
      <c r="I1575" t="s">
        <v>222</v>
      </c>
      <c r="J1575" t="s">
        <v>3243</v>
      </c>
      <c r="K1575" s="3">
        <v>46507</v>
      </c>
      <c r="L1575" t="s">
        <v>2024</v>
      </c>
      <c r="M1575">
        <v>0.3</v>
      </c>
      <c r="N1575">
        <v>1680</v>
      </c>
      <c r="O1575">
        <f t="shared" si="72"/>
        <v>0.3</v>
      </c>
      <c r="P1575">
        <f t="shared" si="73"/>
        <v>5.9523809523809529E-4</v>
      </c>
      <c r="Q1575" t="str">
        <f t="shared" si="74"/>
        <v>Q27-01</v>
      </c>
    </row>
    <row r="1576" spans="1:17" x14ac:dyDescent="0.25">
      <c r="A1576" t="s">
        <v>61</v>
      </c>
      <c r="B1576" t="s">
        <v>219</v>
      </c>
      <c r="C1576" t="s">
        <v>220</v>
      </c>
      <c r="D1576" t="s">
        <v>64</v>
      </c>
      <c r="E1576" t="s">
        <v>3263</v>
      </c>
      <c r="F1576" s="1">
        <v>1</v>
      </c>
      <c r="G1576" s="1">
        <v>0</v>
      </c>
      <c r="H1576" t="s">
        <v>17</v>
      </c>
      <c r="I1576" t="s">
        <v>222</v>
      </c>
      <c r="J1576" t="s">
        <v>3243</v>
      </c>
      <c r="K1576" s="3">
        <v>46507</v>
      </c>
      <c r="L1576" t="s">
        <v>2221</v>
      </c>
      <c r="M1576">
        <v>0.3</v>
      </c>
      <c r="N1576">
        <v>1680</v>
      </c>
      <c r="O1576">
        <f t="shared" si="72"/>
        <v>0.3</v>
      </c>
      <c r="P1576">
        <f t="shared" si="73"/>
        <v>5.9523809523809529E-4</v>
      </c>
      <c r="Q1576" t="str">
        <f t="shared" si="74"/>
        <v>Q27-01</v>
      </c>
    </row>
    <row r="1577" spans="1:17" x14ac:dyDescent="0.25">
      <c r="A1577" t="s">
        <v>61</v>
      </c>
      <c r="B1577" t="s">
        <v>219</v>
      </c>
      <c r="C1577" t="s">
        <v>220</v>
      </c>
      <c r="D1577" t="s">
        <v>64</v>
      </c>
      <c r="E1577" t="s">
        <v>3264</v>
      </c>
      <c r="F1577" s="1">
        <v>2</v>
      </c>
      <c r="G1577" s="1">
        <v>0</v>
      </c>
      <c r="H1577" t="s">
        <v>17</v>
      </c>
      <c r="I1577" t="s">
        <v>222</v>
      </c>
      <c r="J1577" t="s">
        <v>3243</v>
      </c>
      <c r="K1577" s="3">
        <v>46477</v>
      </c>
      <c r="L1577" t="s">
        <v>1776</v>
      </c>
      <c r="M1577">
        <v>0.3</v>
      </c>
      <c r="N1577">
        <v>1680</v>
      </c>
      <c r="O1577">
        <f t="shared" si="72"/>
        <v>0.6</v>
      </c>
      <c r="P1577">
        <f t="shared" si="73"/>
        <v>1.1904761904761906E-3</v>
      </c>
      <c r="Q1577" t="str">
        <f t="shared" si="74"/>
        <v>Q27-01</v>
      </c>
    </row>
    <row r="1578" spans="1:17" x14ac:dyDescent="0.25">
      <c r="A1578" t="s">
        <v>61</v>
      </c>
      <c r="B1578" t="s">
        <v>219</v>
      </c>
      <c r="C1578" t="s">
        <v>220</v>
      </c>
      <c r="D1578" t="s">
        <v>64</v>
      </c>
      <c r="E1578" t="s">
        <v>3265</v>
      </c>
      <c r="F1578" s="1">
        <v>11</v>
      </c>
      <c r="G1578" s="1">
        <v>0</v>
      </c>
      <c r="H1578" t="s">
        <v>17</v>
      </c>
      <c r="I1578" t="s">
        <v>222</v>
      </c>
      <c r="J1578" t="s">
        <v>3243</v>
      </c>
      <c r="K1578" s="3">
        <v>46265</v>
      </c>
      <c r="L1578" t="s">
        <v>1000</v>
      </c>
      <c r="M1578">
        <v>0.3</v>
      </c>
      <c r="N1578">
        <v>1680</v>
      </c>
      <c r="O1578">
        <f t="shared" si="72"/>
        <v>3.3</v>
      </c>
      <c r="P1578">
        <f t="shared" si="73"/>
        <v>6.5476190476190478E-3</v>
      </c>
      <c r="Q1578" t="str">
        <f t="shared" si="74"/>
        <v>Q27-01</v>
      </c>
    </row>
    <row r="1579" spans="1:17" x14ac:dyDescent="0.25">
      <c r="A1579" t="s">
        <v>61</v>
      </c>
      <c r="B1579" t="s">
        <v>219</v>
      </c>
      <c r="C1579" t="s">
        <v>220</v>
      </c>
      <c r="D1579" t="s">
        <v>64</v>
      </c>
      <c r="E1579" t="s">
        <v>3266</v>
      </c>
      <c r="F1579" s="1">
        <v>16</v>
      </c>
      <c r="G1579" s="1">
        <v>0</v>
      </c>
      <c r="H1579" t="s">
        <v>17</v>
      </c>
      <c r="I1579" t="s">
        <v>222</v>
      </c>
      <c r="J1579" t="s">
        <v>3243</v>
      </c>
      <c r="K1579" s="3">
        <v>46234</v>
      </c>
      <c r="L1579" t="s">
        <v>789</v>
      </c>
      <c r="M1579">
        <v>0.3</v>
      </c>
      <c r="N1579">
        <v>1680</v>
      </c>
      <c r="O1579">
        <f t="shared" si="72"/>
        <v>4.8</v>
      </c>
      <c r="P1579">
        <f t="shared" si="73"/>
        <v>9.5238095238095247E-3</v>
      </c>
      <c r="Q1579" t="str">
        <f t="shared" si="74"/>
        <v>Q27-01</v>
      </c>
    </row>
    <row r="1580" spans="1:17" x14ac:dyDescent="0.25">
      <c r="A1580" t="s">
        <v>61</v>
      </c>
      <c r="B1580" t="s">
        <v>219</v>
      </c>
      <c r="C1580" t="s">
        <v>220</v>
      </c>
      <c r="D1580" t="s">
        <v>64</v>
      </c>
      <c r="E1580" t="s">
        <v>3267</v>
      </c>
      <c r="F1580" s="1">
        <v>5</v>
      </c>
      <c r="G1580" s="1">
        <v>0</v>
      </c>
      <c r="H1580" t="s">
        <v>17</v>
      </c>
      <c r="I1580" t="s">
        <v>222</v>
      </c>
      <c r="J1580" t="s">
        <v>3243</v>
      </c>
      <c r="K1580" s="3">
        <v>46387</v>
      </c>
      <c r="L1580" t="s">
        <v>1200</v>
      </c>
      <c r="M1580">
        <v>0.3</v>
      </c>
      <c r="N1580">
        <v>1680</v>
      </c>
      <c r="O1580">
        <f t="shared" si="72"/>
        <v>1.5</v>
      </c>
      <c r="P1580">
        <f t="shared" si="73"/>
        <v>2.976190476190476E-3</v>
      </c>
      <c r="Q1580" t="str">
        <f t="shared" si="74"/>
        <v>Q27-01</v>
      </c>
    </row>
    <row r="1581" spans="1:17" x14ac:dyDescent="0.25">
      <c r="A1581" t="s">
        <v>61</v>
      </c>
      <c r="B1581" t="s">
        <v>352</v>
      </c>
      <c r="C1581" t="s">
        <v>353</v>
      </c>
      <c r="D1581" t="s">
        <v>64</v>
      </c>
      <c r="E1581" t="s">
        <v>3268</v>
      </c>
      <c r="F1581" s="1">
        <v>473</v>
      </c>
      <c r="G1581" s="1">
        <v>0</v>
      </c>
      <c r="H1581" t="s">
        <v>17</v>
      </c>
      <c r="I1581" t="s">
        <v>355</v>
      </c>
      <c r="J1581" t="s">
        <v>3243</v>
      </c>
      <c r="K1581" s="3">
        <v>46234</v>
      </c>
      <c r="L1581" t="s">
        <v>357</v>
      </c>
      <c r="M1581">
        <v>5.0999999999999997E-2</v>
      </c>
      <c r="N1581">
        <v>2880</v>
      </c>
      <c r="O1581">
        <f t="shared" si="72"/>
        <v>24.122999999999998</v>
      </c>
      <c r="P1581">
        <f t="shared" si="73"/>
        <v>0.16423611111111111</v>
      </c>
      <c r="Q1581" t="str">
        <f t="shared" si="74"/>
        <v>Q27-01</v>
      </c>
    </row>
    <row r="1582" spans="1:17" x14ac:dyDescent="0.25">
      <c r="A1582" t="s">
        <v>61</v>
      </c>
      <c r="B1582" t="s">
        <v>317</v>
      </c>
      <c r="C1582" t="s">
        <v>318</v>
      </c>
      <c r="D1582" t="s">
        <v>64</v>
      </c>
      <c r="E1582" t="s">
        <v>3269</v>
      </c>
      <c r="F1582" s="1">
        <v>2</v>
      </c>
      <c r="G1582" s="1">
        <v>0</v>
      </c>
      <c r="H1582" t="s">
        <v>17</v>
      </c>
      <c r="I1582" t="s">
        <v>320</v>
      </c>
      <c r="J1582" t="s">
        <v>3243</v>
      </c>
      <c r="K1582" s="3">
        <v>46752</v>
      </c>
      <c r="L1582" t="s">
        <v>1785</v>
      </c>
      <c r="M1582">
        <v>0.04</v>
      </c>
      <c r="N1582">
        <v>2688</v>
      </c>
      <c r="O1582">
        <f t="shared" si="72"/>
        <v>0.08</v>
      </c>
      <c r="P1582">
        <f t="shared" si="73"/>
        <v>7.4404761904761901E-4</v>
      </c>
      <c r="Q1582" t="str">
        <f t="shared" si="74"/>
        <v>Q27-01</v>
      </c>
    </row>
    <row r="1583" spans="1:17" x14ac:dyDescent="0.25">
      <c r="A1583" t="s">
        <v>61</v>
      </c>
      <c r="B1583" t="s">
        <v>317</v>
      </c>
      <c r="C1583" t="s">
        <v>318</v>
      </c>
      <c r="D1583" t="s">
        <v>64</v>
      </c>
      <c r="E1583" t="s">
        <v>3270</v>
      </c>
      <c r="F1583" s="1">
        <v>1</v>
      </c>
      <c r="G1583" s="1">
        <v>0</v>
      </c>
      <c r="H1583" t="s">
        <v>17</v>
      </c>
      <c r="I1583" t="s">
        <v>320</v>
      </c>
      <c r="J1583" t="s">
        <v>3243</v>
      </c>
      <c r="K1583" s="3">
        <v>46752</v>
      </c>
      <c r="L1583" t="s">
        <v>1790</v>
      </c>
      <c r="M1583">
        <v>0.04</v>
      </c>
      <c r="N1583">
        <v>2688</v>
      </c>
      <c r="O1583">
        <f t="shared" si="72"/>
        <v>0.04</v>
      </c>
      <c r="P1583">
        <f t="shared" si="73"/>
        <v>3.720238095238095E-4</v>
      </c>
      <c r="Q1583" t="str">
        <f t="shared" si="74"/>
        <v>Q27-01</v>
      </c>
    </row>
    <row r="1584" spans="1:17" x14ac:dyDescent="0.25">
      <c r="A1584" t="s">
        <v>61</v>
      </c>
      <c r="B1584" t="s">
        <v>317</v>
      </c>
      <c r="C1584" t="s">
        <v>318</v>
      </c>
      <c r="D1584" t="s">
        <v>64</v>
      </c>
      <c r="E1584" t="s">
        <v>3271</v>
      </c>
      <c r="F1584" s="1">
        <v>1</v>
      </c>
      <c r="G1584" s="1">
        <v>0</v>
      </c>
      <c r="H1584" t="s">
        <v>17</v>
      </c>
      <c r="I1584" t="s">
        <v>320</v>
      </c>
      <c r="J1584" t="s">
        <v>3243</v>
      </c>
      <c r="K1584" s="3">
        <v>46691</v>
      </c>
      <c r="L1584" t="s">
        <v>1348</v>
      </c>
      <c r="M1584">
        <v>0.04</v>
      </c>
      <c r="N1584">
        <v>2688</v>
      </c>
      <c r="O1584">
        <f t="shared" si="72"/>
        <v>0.04</v>
      </c>
      <c r="P1584">
        <f t="shared" si="73"/>
        <v>3.720238095238095E-4</v>
      </c>
      <c r="Q1584" t="str">
        <f t="shared" si="74"/>
        <v>Q27-01</v>
      </c>
    </row>
    <row r="1585" spans="1:17" x14ac:dyDescent="0.25">
      <c r="A1585" t="s">
        <v>61</v>
      </c>
      <c r="B1585" t="s">
        <v>1523</v>
      </c>
      <c r="C1585" t="s">
        <v>1524</v>
      </c>
      <c r="D1585" t="s">
        <v>64</v>
      </c>
      <c r="E1585" t="s">
        <v>3272</v>
      </c>
      <c r="F1585" s="1">
        <v>3</v>
      </c>
      <c r="G1585" s="1">
        <v>0</v>
      </c>
      <c r="H1585" t="s">
        <v>17</v>
      </c>
      <c r="I1585" t="s">
        <v>1526</v>
      </c>
      <c r="J1585" t="s">
        <v>3243</v>
      </c>
      <c r="K1585" s="3">
        <v>46203</v>
      </c>
      <c r="L1585" t="s">
        <v>2148</v>
      </c>
      <c r="M1585">
        <v>4.9000000000000002E-2</v>
      </c>
      <c r="N1585">
        <v>2880</v>
      </c>
      <c r="O1585">
        <f t="shared" si="72"/>
        <v>0.14700000000000002</v>
      </c>
      <c r="P1585">
        <f t="shared" si="73"/>
        <v>1.0416666666666667E-3</v>
      </c>
      <c r="Q1585" t="str">
        <f t="shared" si="74"/>
        <v>Q27-01</v>
      </c>
    </row>
    <row r="1586" spans="1:17" x14ac:dyDescent="0.25">
      <c r="A1586" t="s">
        <v>61</v>
      </c>
      <c r="B1586" t="s">
        <v>1523</v>
      </c>
      <c r="C1586" t="s">
        <v>1524</v>
      </c>
      <c r="D1586" t="s">
        <v>64</v>
      </c>
      <c r="E1586" t="s">
        <v>3273</v>
      </c>
      <c r="F1586" s="1">
        <v>1</v>
      </c>
      <c r="G1586" s="1">
        <v>0</v>
      </c>
      <c r="H1586" t="s">
        <v>17</v>
      </c>
      <c r="I1586" t="s">
        <v>1526</v>
      </c>
      <c r="J1586" t="s">
        <v>3243</v>
      </c>
      <c r="K1586" s="3">
        <v>46691</v>
      </c>
      <c r="L1586" t="s">
        <v>1862</v>
      </c>
      <c r="M1586">
        <v>4.9000000000000002E-2</v>
      </c>
      <c r="N1586">
        <v>2880</v>
      </c>
      <c r="O1586">
        <f t="shared" si="72"/>
        <v>4.9000000000000002E-2</v>
      </c>
      <c r="P1586">
        <f t="shared" si="73"/>
        <v>3.4722222222222224E-4</v>
      </c>
      <c r="Q1586" t="str">
        <f t="shared" si="74"/>
        <v>Q27-01</v>
      </c>
    </row>
    <row r="1587" spans="1:17" x14ac:dyDescent="0.25">
      <c r="A1587" t="s">
        <v>61</v>
      </c>
      <c r="B1587" t="s">
        <v>71</v>
      </c>
      <c r="C1587" t="s">
        <v>72</v>
      </c>
      <c r="D1587" t="s">
        <v>64</v>
      </c>
      <c r="E1587" t="s">
        <v>3274</v>
      </c>
      <c r="F1587" s="1">
        <v>3</v>
      </c>
      <c r="G1587" s="1">
        <v>0</v>
      </c>
      <c r="H1587" t="s">
        <v>17</v>
      </c>
      <c r="I1587" t="s">
        <v>75</v>
      </c>
      <c r="J1587" t="s">
        <v>3243</v>
      </c>
      <c r="K1587" s="3">
        <v>46356</v>
      </c>
      <c r="L1587" t="s">
        <v>1149</v>
      </c>
      <c r="M1587">
        <v>0.3</v>
      </c>
      <c r="N1587">
        <v>1680</v>
      </c>
      <c r="O1587">
        <f t="shared" si="72"/>
        <v>0.89999999999999991</v>
      </c>
      <c r="P1587">
        <f t="shared" si="73"/>
        <v>1.7857142857142857E-3</v>
      </c>
      <c r="Q1587" t="str">
        <f t="shared" si="74"/>
        <v>Q27-01</v>
      </c>
    </row>
    <row r="1588" spans="1:17" x14ac:dyDescent="0.25">
      <c r="A1588" t="s">
        <v>61</v>
      </c>
      <c r="B1588" t="s">
        <v>71</v>
      </c>
      <c r="C1588" t="s">
        <v>72</v>
      </c>
      <c r="D1588" t="s">
        <v>64</v>
      </c>
      <c r="E1588" t="s">
        <v>3275</v>
      </c>
      <c r="F1588" s="1">
        <v>2</v>
      </c>
      <c r="G1588" s="1">
        <v>0</v>
      </c>
      <c r="H1588" t="s">
        <v>17</v>
      </c>
      <c r="I1588" t="s">
        <v>75</v>
      </c>
      <c r="J1588" t="s">
        <v>3243</v>
      </c>
      <c r="K1588" s="3">
        <v>46265</v>
      </c>
      <c r="L1588" t="s">
        <v>949</v>
      </c>
      <c r="M1588">
        <v>0.3</v>
      </c>
      <c r="N1588">
        <v>1680</v>
      </c>
      <c r="O1588">
        <f t="shared" si="72"/>
        <v>0.6</v>
      </c>
      <c r="P1588">
        <f t="shared" si="73"/>
        <v>1.1904761904761906E-3</v>
      </c>
      <c r="Q1588" t="str">
        <f t="shared" si="74"/>
        <v>Q27-01</v>
      </c>
    </row>
    <row r="1589" spans="1:17" x14ac:dyDescent="0.25">
      <c r="A1589" t="s">
        <v>61</v>
      </c>
      <c r="B1589" t="s">
        <v>71</v>
      </c>
      <c r="C1589" t="s">
        <v>72</v>
      </c>
      <c r="D1589" t="s">
        <v>64</v>
      </c>
      <c r="E1589" t="s">
        <v>3276</v>
      </c>
      <c r="F1589" s="1">
        <v>3</v>
      </c>
      <c r="G1589" s="1">
        <v>0</v>
      </c>
      <c r="H1589" t="s">
        <v>17</v>
      </c>
      <c r="I1589" t="s">
        <v>75</v>
      </c>
      <c r="J1589" t="s">
        <v>3243</v>
      </c>
      <c r="K1589" s="3">
        <v>46265</v>
      </c>
      <c r="L1589" t="s">
        <v>949</v>
      </c>
      <c r="M1589">
        <v>0.3</v>
      </c>
      <c r="N1589">
        <v>1680</v>
      </c>
      <c r="O1589">
        <f t="shared" si="72"/>
        <v>0.89999999999999991</v>
      </c>
      <c r="P1589">
        <f t="shared" si="73"/>
        <v>1.7857142857142857E-3</v>
      </c>
      <c r="Q1589" t="str">
        <f t="shared" si="74"/>
        <v>Q27-01</v>
      </c>
    </row>
    <row r="1590" spans="1:17" x14ac:dyDescent="0.25">
      <c r="A1590" t="s">
        <v>61</v>
      </c>
      <c r="B1590" t="s">
        <v>71</v>
      </c>
      <c r="C1590" t="s">
        <v>72</v>
      </c>
      <c r="D1590" t="s">
        <v>64</v>
      </c>
      <c r="E1590" t="s">
        <v>3277</v>
      </c>
      <c r="F1590" s="1">
        <v>1</v>
      </c>
      <c r="G1590" s="1">
        <v>0</v>
      </c>
      <c r="H1590" t="s">
        <v>17</v>
      </c>
      <c r="I1590" t="s">
        <v>75</v>
      </c>
      <c r="J1590" t="s">
        <v>3243</v>
      </c>
      <c r="K1590" s="3">
        <v>46265</v>
      </c>
      <c r="L1590" t="s">
        <v>2752</v>
      </c>
      <c r="M1590">
        <v>0.3</v>
      </c>
      <c r="N1590">
        <v>1680</v>
      </c>
      <c r="O1590">
        <f t="shared" si="72"/>
        <v>0.3</v>
      </c>
      <c r="P1590">
        <f t="shared" si="73"/>
        <v>5.9523809523809529E-4</v>
      </c>
      <c r="Q1590" t="str">
        <f t="shared" si="74"/>
        <v>Q27-01</v>
      </c>
    </row>
    <row r="1591" spans="1:17" x14ac:dyDescent="0.25">
      <c r="A1591" t="s">
        <v>61</v>
      </c>
      <c r="B1591" t="s">
        <v>71</v>
      </c>
      <c r="C1591" t="s">
        <v>72</v>
      </c>
      <c r="D1591" t="s">
        <v>64</v>
      </c>
      <c r="E1591" t="s">
        <v>3278</v>
      </c>
      <c r="F1591" s="1">
        <v>4</v>
      </c>
      <c r="G1591" s="1">
        <v>0</v>
      </c>
      <c r="H1591" t="s">
        <v>17</v>
      </c>
      <c r="I1591" t="s">
        <v>75</v>
      </c>
      <c r="J1591" t="s">
        <v>3243</v>
      </c>
      <c r="K1591" s="3">
        <v>46599</v>
      </c>
      <c r="L1591" t="s">
        <v>2006</v>
      </c>
      <c r="M1591">
        <v>0.3</v>
      </c>
      <c r="N1591">
        <v>1680</v>
      </c>
      <c r="O1591">
        <f t="shared" si="72"/>
        <v>1.2</v>
      </c>
      <c r="P1591">
        <f t="shared" si="73"/>
        <v>2.3809523809523812E-3</v>
      </c>
      <c r="Q1591" t="str">
        <f t="shared" si="74"/>
        <v>Q27-01</v>
      </c>
    </row>
    <row r="1592" spans="1:17" x14ac:dyDescent="0.25">
      <c r="A1592" t="s">
        <v>61</v>
      </c>
      <c r="B1592" t="s">
        <v>225</v>
      </c>
      <c r="C1592" t="s">
        <v>226</v>
      </c>
      <c r="D1592" t="s">
        <v>64</v>
      </c>
      <c r="E1592" t="s">
        <v>3279</v>
      </c>
      <c r="F1592" s="1">
        <v>80</v>
      </c>
      <c r="G1592" s="1">
        <v>0</v>
      </c>
      <c r="H1592" t="s">
        <v>17</v>
      </c>
      <c r="I1592" t="s">
        <v>228</v>
      </c>
      <c r="J1592" t="s">
        <v>3243</v>
      </c>
      <c r="K1592" s="3">
        <v>46234</v>
      </c>
      <c r="L1592" t="s">
        <v>230</v>
      </c>
      <c r="M1592">
        <v>5.8000000000000003E-2</v>
      </c>
      <c r="N1592">
        <v>2880</v>
      </c>
      <c r="O1592">
        <f t="shared" si="72"/>
        <v>4.6400000000000006</v>
      </c>
      <c r="P1592">
        <f t="shared" si="73"/>
        <v>2.7777777777777776E-2</v>
      </c>
      <c r="Q1592" t="str">
        <f t="shared" si="74"/>
        <v>Q27-01</v>
      </c>
    </row>
    <row r="1593" spans="1:17" x14ac:dyDescent="0.25">
      <c r="A1593" t="s">
        <v>61</v>
      </c>
      <c r="B1593" t="s">
        <v>891</v>
      </c>
      <c r="C1593" t="s">
        <v>892</v>
      </c>
      <c r="D1593" t="s">
        <v>64</v>
      </c>
      <c r="E1593" t="s">
        <v>3280</v>
      </c>
      <c r="F1593" s="1">
        <v>9</v>
      </c>
      <c r="G1593" s="1">
        <v>0</v>
      </c>
      <c r="H1593" t="s">
        <v>17</v>
      </c>
      <c r="I1593" t="s">
        <v>894</v>
      </c>
      <c r="J1593" t="s">
        <v>3243</v>
      </c>
      <c r="K1593" s="3">
        <v>46234</v>
      </c>
      <c r="L1593" t="s">
        <v>896</v>
      </c>
      <c r="M1593">
        <v>0.312</v>
      </c>
      <c r="N1593">
        <v>1680</v>
      </c>
      <c r="O1593">
        <f t="shared" si="72"/>
        <v>2.8079999999999998</v>
      </c>
      <c r="P1593">
        <f t="shared" si="73"/>
        <v>5.3571428571428572E-3</v>
      </c>
      <c r="Q1593" t="str">
        <f t="shared" si="74"/>
        <v>Q27-01</v>
      </c>
    </row>
    <row r="1594" spans="1:17" x14ac:dyDescent="0.25">
      <c r="A1594" t="s">
        <v>61</v>
      </c>
      <c r="B1594" t="s">
        <v>225</v>
      </c>
      <c r="C1594" t="s">
        <v>226</v>
      </c>
      <c r="D1594" t="s">
        <v>64</v>
      </c>
      <c r="E1594" t="s">
        <v>3281</v>
      </c>
      <c r="F1594" s="1">
        <v>20</v>
      </c>
      <c r="G1594" s="1">
        <v>0</v>
      </c>
      <c r="H1594" t="s">
        <v>17</v>
      </c>
      <c r="I1594" t="s">
        <v>228</v>
      </c>
      <c r="J1594" t="s">
        <v>3243</v>
      </c>
      <c r="K1594" s="3">
        <v>46234</v>
      </c>
      <c r="L1594" t="s">
        <v>232</v>
      </c>
      <c r="M1594">
        <v>5.8000000000000003E-2</v>
      </c>
      <c r="N1594">
        <v>2880</v>
      </c>
      <c r="O1594">
        <f t="shared" si="72"/>
        <v>1.1600000000000001</v>
      </c>
      <c r="P1594">
        <f t="shared" si="73"/>
        <v>6.9444444444444441E-3</v>
      </c>
      <c r="Q1594" t="str">
        <f t="shared" si="74"/>
        <v>Q27-01</v>
      </c>
    </row>
    <row r="1595" spans="1:17" x14ac:dyDescent="0.25">
      <c r="A1595" t="s">
        <v>61</v>
      </c>
      <c r="B1595" t="s">
        <v>233</v>
      </c>
      <c r="C1595" t="s">
        <v>234</v>
      </c>
      <c r="D1595" t="s">
        <v>64</v>
      </c>
      <c r="E1595" t="s">
        <v>3282</v>
      </c>
      <c r="F1595" s="1">
        <v>1</v>
      </c>
      <c r="G1595" s="1">
        <v>0</v>
      </c>
      <c r="H1595" t="s">
        <v>17</v>
      </c>
      <c r="I1595" t="s">
        <v>236</v>
      </c>
      <c r="J1595" t="s">
        <v>3243</v>
      </c>
      <c r="K1595" s="3">
        <v>46142</v>
      </c>
      <c r="L1595" t="s">
        <v>250</v>
      </c>
      <c r="M1595">
        <v>7.4999999999999997E-2</v>
      </c>
      <c r="N1595">
        <v>2688</v>
      </c>
      <c r="O1595">
        <f t="shared" si="72"/>
        <v>7.4999999999999997E-2</v>
      </c>
      <c r="P1595">
        <f t="shared" si="73"/>
        <v>3.720238095238095E-4</v>
      </c>
      <c r="Q1595" t="str">
        <f t="shared" si="74"/>
        <v>Q27-01</v>
      </c>
    </row>
    <row r="1596" spans="1:17" x14ac:dyDescent="0.25">
      <c r="A1596" t="s">
        <v>61</v>
      </c>
      <c r="B1596" t="s">
        <v>233</v>
      </c>
      <c r="C1596" t="s">
        <v>234</v>
      </c>
      <c r="D1596" t="s">
        <v>64</v>
      </c>
      <c r="E1596" t="s">
        <v>3283</v>
      </c>
      <c r="F1596" s="1">
        <v>2</v>
      </c>
      <c r="G1596" s="1">
        <v>0</v>
      </c>
      <c r="H1596" t="s">
        <v>17</v>
      </c>
      <c r="I1596" t="s">
        <v>236</v>
      </c>
      <c r="J1596" t="s">
        <v>3243</v>
      </c>
      <c r="K1596" s="3">
        <v>47057</v>
      </c>
      <c r="L1596" t="s">
        <v>1154</v>
      </c>
      <c r="M1596">
        <v>7.4999999999999997E-2</v>
      </c>
      <c r="N1596">
        <v>2688</v>
      </c>
      <c r="O1596">
        <f t="shared" si="72"/>
        <v>0.15</v>
      </c>
      <c r="P1596">
        <f t="shared" si="73"/>
        <v>7.4404761904761901E-4</v>
      </c>
      <c r="Q1596" t="str">
        <f t="shared" si="74"/>
        <v>Q27-01</v>
      </c>
    </row>
    <row r="1597" spans="1:17" x14ac:dyDescent="0.25">
      <c r="A1597" t="s">
        <v>61</v>
      </c>
      <c r="B1597" t="s">
        <v>71</v>
      </c>
      <c r="C1597" t="s">
        <v>72</v>
      </c>
      <c r="D1597" t="s">
        <v>64</v>
      </c>
      <c r="E1597" t="s">
        <v>3284</v>
      </c>
      <c r="F1597" s="1">
        <v>2</v>
      </c>
      <c r="G1597" s="1">
        <v>0</v>
      </c>
      <c r="H1597" t="s">
        <v>17</v>
      </c>
      <c r="I1597" t="s">
        <v>75</v>
      </c>
      <c r="J1597" t="s">
        <v>3243</v>
      </c>
      <c r="K1597" s="3">
        <v>46507</v>
      </c>
      <c r="L1597" t="s">
        <v>2036</v>
      </c>
      <c r="M1597">
        <v>0.3</v>
      </c>
      <c r="N1597">
        <v>1680</v>
      </c>
      <c r="O1597">
        <f t="shared" si="72"/>
        <v>0.6</v>
      </c>
      <c r="P1597">
        <f t="shared" si="73"/>
        <v>1.1904761904761906E-3</v>
      </c>
      <c r="Q1597" t="str">
        <f t="shared" si="74"/>
        <v>Q27-01</v>
      </c>
    </row>
    <row r="1598" spans="1:17" x14ac:dyDescent="0.25">
      <c r="A1598" t="s">
        <v>12</v>
      </c>
      <c r="B1598" t="s">
        <v>3285</v>
      </c>
      <c r="C1598" t="s">
        <v>3286</v>
      </c>
      <c r="D1598" t="s">
        <v>388</v>
      </c>
      <c r="E1598" t="s">
        <v>3287</v>
      </c>
      <c r="F1598" s="1">
        <v>18</v>
      </c>
      <c r="G1598" s="1">
        <v>0</v>
      </c>
      <c r="H1598" t="s">
        <v>17</v>
      </c>
      <c r="I1598" t="s">
        <v>3288</v>
      </c>
      <c r="J1598" t="s">
        <v>3289</v>
      </c>
      <c r="K1598" s="3">
        <v>46568</v>
      </c>
      <c r="L1598" t="s">
        <v>3290</v>
      </c>
      <c r="M1598">
        <v>2.5000000000000001E-2</v>
      </c>
      <c r="N1598">
        <v>2880</v>
      </c>
      <c r="O1598">
        <f t="shared" si="72"/>
        <v>0.45</v>
      </c>
      <c r="P1598">
        <f t="shared" si="73"/>
        <v>6.2500000000000003E-3</v>
      </c>
      <c r="Q1598" t="str">
        <f t="shared" si="74"/>
        <v>Q26-03</v>
      </c>
    </row>
    <row r="1599" spans="1:17" x14ac:dyDescent="0.25">
      <c r="A1599" t="s">
        <v>12</v>
      </c>
      <c r="B1599" t="s">
        <v>3285</v>
      </c>
      <c r="C1599" t="s">
        <v>3286</v>
      </c>
      <c r="D1599" t="s">
        <v>407</v>
      </c>
      <c r="E1599" t="s">
        <v>3291</v>
      </c>
      <c r="F1599" s="1">
        <v>1</v>
      </c>
      <c r="G1599" s="1">
        <v>0</v>
      </c>
      <c r="H1599" t="s">
        <v>17</v>
      </c>
      <c r="I1599" t="s">
        <v>3288</v>
      </c>
      <c r="J1599" t="s">
        <v>3289</v>
      </c>
      <c r="K1599" s="3">
        <v>46568</v>
      </c>
      <c r="L1599" t="s">
        <v>3290</v>
      </c>
      <c r="M1599">
        <v>2.5000000000000001E-2</v>
      </c>
      <c r="N1599">
        <v>2880</v>
      </c>
      <c r="O1599">
        <f t="shared" si="72"/>
        <v>2.5000000000000001E-2</v>
      </c>
      <c r="P1599">
        <f t="shared" si="73"/>
        <v>3.4722222222222224E-4</v>
      </c>
      <c r="Q1599" t="str">
        <f t="shared" si="74"/>
        <v>Q27-01</v>
      </c>
    </row>
    <row r="1600" spans="1:17" x14ac:dyDescent="0.25">
      <c r="A1600" t="s">
        <v>12</v>
      </c>
      <c r="B1600" t="s">
        <v>3292</v>
      </c>
      <c r="C1600" t="s">
        <v>3293</v>
      </c>
      <c r="D1600" t="s">
        <v>44</v>
      </c>
      <c r="E1600" t="s">
        <v>3294</v>
      </c>
      <c r="F1600" s="1">
        <v>5</v>
      </c>
      <c r="G1600" s="1">
        <v>0</v>
      </c>
      <c r="H1600" t="s">
        <v>17</v>
      </c>
      <c r="I1600" t="s">
        <v>3295</v>
      </c>
      <c r="J1600" t="s">
        <v>3296</v>
      </c>
      <c r="K1600" s="3">
        <v>46079</v>
      </c>
      <c r="L1600" t="s">
        <v>3297</v>
      </c>
      <c r="M1600">
        <v>5.1999999999999998E-2</v>
      </c>
      <c r="N1600">
        <v>1440</v>
      </c>
      <c r="O1600">
        <f t="shared" si="72"/>
        <v>0.26</v>
      </c>
      <c r="P1600">
        <f t="shared" si="73"/>
        <v>3.472222222222222E-3</v>
      </c>
      <c r="Q1600" t="str">
        <f t="shared" si="74"/>
        <v>Q26-01</v>
      </c>
    </row>
    <row r="1601" spans="1:17" x14ac:dyDescent="0.25">
      <c r="A1601" t="s">
        <v>12</v>
      </c>
      <c r="B1601" t="s">
        <v>3298</v>
      </c>
      <c r="C1601" t="s">
        <v>3299</v>
      </c>
      <c r="D1601" t="s">
        <v>77</v>
      </c>
      <c r="E1601" t="s">
        <v>3300</v>
      </c>
      <c r="F1601" s="1">
        <v>9</v>
      </c>
      <c r="G1601" s="1">
        <v>0</v>
      </c>
      <c r="H1601" t="s">
        <v>17</v>
      </c>
      <c r="I1601" t="s">
        <v>3301</v>
      </c>
      <c r="J1601" t="s">
        <v>3296</v>
      </c>
      <c r="K1601" s="3">
        <v>46142</v>
      </c>
      <c r="L1601" t="s">
        <v>3302</v>
      </c>
      <c r="M1601">
        <v>0.16300000000000001</v>
      </c>
      <c r="N1601">
        <v>1920</v>
      </c>
      <c r="O1601">
        <f t="shared" si="72"/>
        <v>1.4670000000000001</v>
      </c>
      <c r="P1601">
        <f t="shared" si="73"/>
        <v>4.6874999999999998E-3</v>
      </c>
      <c r="Q1601" t="str">
        <f t="shared" si="74"/>
        <v>Q27-01</v>
      </c>
    </row>
    <row r="1602" spans="1:17" x14ac:dyDescent="0.25">
      <c r="A1602" t="s">
        <v>12</v>
      </c>
      <c r="B1602" t="s">
        <v>1018</v>
      </c>
      <c r="C1602" t="s">
        <v>1019</v>
      </c>
      <c r="D1602" t="s">
        <v>44</v>
      </c>
      <c r="E1602" t="s">
        <v>3303</v>
      </c>
      <c r="F1602" s="1">
        <v>3</v>
      </c>
      <c r="G1602" s="1">
        <v>0</v>
      </c>
      <c r="H1602" t="s">
        <v>17</v>
      </c>
      <c r="I1602" t="s">
        <v>2563</v>
      </c>
      <c r="J1602" t="s">
        <v>3304</v>
      </c>
      <c r="K1602" s="3">
        <v>46752</v>
      </c>
      <c r="L1602" t="s">
        <v>3305</v>
      </c>
      <c r="M1602">
        <v>1.9E-2</v>
      </c>
      <c r="N1602">
        <v>5184</v>
      </c>
      <c r="O1602">
        <f t="shared" si="72"/>
        <v>5.6999999999999995E-2</v>
      </c>
      <c r="P1602">
        <f t="shared" si="73"/>
        <v>5.7870370370370367E-4</v>
      </c>
      <c r="Q1602" t="str">
        <f t="shared" si="74"/>
        <v>Q26-01</v>
      </c>
    </row>
    <row r="1603" spans="1:17" x14ac:dyDescent="0.25">
      <c r="A1603" t="s">
        <v>12</v>
      </c>
      <c r="B1603" t="s">
        <v>2451</v>
      </c>
      <c r="C1603" t="s">
        <v>2452</v>
      </c>
      <c r="D1603" t="s">
        <v>44</v>
      </c>
      <c r="E1603" t="s">
        <v>3306</v>
      </c>
      <c r="F1603" s="1">
        <v>1</v>
      </c>
      <c r="G1603" s="1">
        <v>0</v>
      </c>
      <c r="H1603" t="s">
        <v>17</v>
      </c>
      <c r="I1603" t="s">
        <v>2454</v>
      </c>
      <c r="J1603" t="s">
        <v>3307</v>
      </c>
      <c r="K1603" s="3">
        <v>46992</v>
      </c>
      <c r="L1603" t="s">
        <v>3166</v>
      </c>
      <c r="M1603">
        <v>3.4000000000000002E-2</v>
      </c>
      <c r="N1603">
        <v>4620</v>
      </c>
      <c r="O1603">
        <f t="shared" ref="O1603:O1666" si="75">F1603*M1603</f>
        <v>3.4000000000000002E-2</v>
      </c>
      <c r="P1603">
        <f t="shared" ref="P1603:P1666" si="76">F1603/N1603</f>
        <v>2.1645021645021645E-4</v>
      </c>
      <c r="Q1603" t="str">
        <f t="shared" ref="Q1603:Q1666" si="77">LEFT(D1603,6)</f>
        <v>Q26-01</v>
      </c>
    </row>
    <row r="1604" spans="1:17" x14ac:dyDescent="0.25">
      <c r="A1604" t="s">
        <v>12</v>
      </c>
      <c r="B1604" t="s">
        <v>1628</v>
      </c>
      <c r="C1604" t="s">
        <v>1629</v>
      </c>
      <c r="D1604" t="s">
        <v>388</v>
      </c>
      <c r="E1604" t="s">
        <v>3308</v>
      </c>
      <c r="F1604" s="1">
        <v>1</v>
      </c>
      <c r="G1604" s="1">
        <v>0</v>
      </c>
      <c r="H1604" t="s">
        <v>17</v>
      </c>
      <c r="I1604" t="s">
        <v>1631</v>
      </c>
      <c r="J1604" t="s">
        <v>3309</v>
      </c>
      <c r="K1604" s="3">
        <v>46957</v>
      </c>
      <c r="L1604" t="s">
        <v>3310</v>
      </c>
      <c r="M1604">
        <v>5.0999999999999997E-2</v>
      </c>
      <c r="N1604">
        <v>4200</v>
      </c>
      <c r="O1604">
        <f t="shared" si="75"/>
        <v>5.0999999999999997E-2</v>
      </c>
      <c r="P1604">
        <f t="shared" si="76"/>
        <v>2.380952380952381E-4</v>
      </c>
      <c r="Q1604" t="str">
        <f t="shared" si="77"/>
        <v>Q26-03</v>
      </c>
    </row>
    <row r="1605" spans="1:17" x14ac:dyDescent="0.25">
      <c r="A1605" t="s">
        <v>12</v>
      </c>
      <c r="B1605" t="s">
        <v>1926</v>
      </c>
      <c r="C1605" t="s">
        <v>1927</v>
      </c>
      <c r="D1605" t="s">
        <v>388</v>
      </c>
      <c r="E1605" t="s">
        <v>3311</v>
      </c>
      <c r="F1605" s="1">
        <v>3</v>
      </c>
      <c r="G1605" s="1">
        <v>0</v>
      </c>
      <c r="H1605" t="s">
        <v>17</v>
      </c>
      <c r="I1605" t="s">
        <v>1929</v>
      </c>
      <c r="J1605" t="s">
        <v>3309</v>
      </c>
      <c r="K1605" s="3">
        <v>46927</v>
      </c>
      <c r="L1605" t="s">
        <v>3312</v>
      </c>
      <c r="M1605">
        <v>4.7899999999999998E-2</v>
      </c>
      <c r="N1605">
        <v>4200</v>
      </c>
      <c r="O1605">
        <f t="shared" si="75"/>
        <v>0.14369999999999999</v>
      </c>
      <c r="P1605">
        <f t="shared" si="76"/>
        <v>7.1428571428571429E-4</v>
      </c>
      <c r="Q1605" t="str">
        <f t="shared" si="77"/>
        <v>Q26-03</v>
      </c>
    </row>
    <row r="1606" spans="1:17" x14ac:dyDescent="0.25">
      <c r="A1606" t="s">
        <v>12</v>
      </c>
      <c r="B1606" t="s">
        <v>3313</v>
      </c>
      <c r="C1606" t="s">
        <v>3314</v>
      </c>
      <c r="D1606" t="s">
        <v>388</v>
      </c>
      <c r="E1606" t="s">
        <v>3315</v>
      </c>
      <c r="F1606" s="1">
        <v>1</v>
      </c>
      <c r="G1606" s="1">
        <v>0</v>
      </c>
      <c r="H1606" t="s">
        <v>17</v>
      </c>
      <c r="I1606" t="s">
        <v>1398</v>
      </c>
      <c r="J1606" t="s">
        <v>3316</v>
      </c>
      <c r="K1606" s="3">
        <v>47057</v>
      </c>
      <c r="L1606" t="s">
        <v>3317</v>
      </c>
      <c r="M1606">
        <v>0.154</v>
      </c>
      <c r="N1606">
        <v>1680</v>
      </c>
      <c r="O1606">
        <f t="shared" si="75"/>
        <v>0.154</v>
      </c>
      <c r="P1606">
        <f t="shared" si="76"/>
        <v>5.9523809523809529E-4</v>
      </c>
      <c r="Q1606" t="str">
        <f t="shared" si="77"/>
        <v>Q26-03</v>
      </c>
    </row>
    <row r="1607" spans="1:17" x14ac:dyDescent="0.25">
      <c r="A1607" t="s">
        <v>12</v>
      </c>
      <c r="B1607" t="s">
        <v>2360</v>
      </c>
      <c r="C1607" t="s">
        <v>2361</v>
      </c>
      <c r="D1607" t="s">
        <v>44</v>
      </c>
      <c r="E1607" t="s">
        <v>3318</v>
      </c>
      <c r="F1607" s="1">
        <v>4</v>
      </c>
      <c r="G1607" s="1">
        <v>0</v>
      </c>
      <c r="H1607" t="s">
        <v>17</v>
      </c>
      <c r="I1607" t="s">
        <v>2363</v>
      </c>
      <c r="J1607" t="s">
        <v>3319</v>
      </c>
      <c r="K1607" s="3">
        <v>46698</v>
      </c>
      <c r="L1607" t="s">
        <v>3235</v>
      </c>
      <c r="M1607">
        <v>0.154</v>
      </c>
      <c r="N1607">
        <v>1536</v>
      </c>
      <c r="O1607">
        <f t="shared" si="75"/>
        <v>0.61599999999999999</v>
      </c>
      <c r="P1607">
        <f t="shared" si="76"/>
        <v>2.6041666666666665E-3</v>
      </c>
      <c r="Q1607" t="str">
        <f t="shared" si="77"/>
        <v>Q26-01</v>
      </c>
    </row>
    <row r="1608" spans="1:17" x14ac:dyDescent="0.25">
      <c r="A1608" t="s">
        <v>12</v>
      </c>
      <c r="B1608" t="s">
        <v>1018</v>
      </c>
      <c r="C1608" t="s">
        <v>1019</v>
      </c>
      <c r="D1608" t="s">
        <v>388</v>
      </c>
      <c r="E1608" t="s">
        <v>3320</v>
      </c>
      <c r="F1608" s="1">
        <v>2</v>
      </c>
      <c r="G1608" s="1">
        <v>0</v>
      </c>
      <c r="H1608" t="s">
        <v>17</v>
      </c>
      <c r="I1608" t="s">
        <v>2563</v>
      </c>
      <c r="J1608" t="s">
        <v>3321</v>
      </c>
      <c r="K1608" s="3">
        <v>46660</v>
      </c>
      <c r="L1608" t="s">
        <v>2565</v>
      </c>
      <c r="M1608">
        <v>1.9E-2</v>
      </c>
      <c r="N1608">
        <v>5184</v>
      </c>
      <c r="O1608">
        <f t="shared" si="75"/>
        <v>3.7999999999999999E-2</v>
      </c>
      <c r="P1608">
        <f t="shared" si="76"/>
        <v>3.8580246913580245E-4</v>
      </c>
      <c r="Q1608" t="str">
        <f t="shared" si="77"/>
        <v>Q26-03</v>
      </c>
    </row>
    <row r="1609" spans="1:17" x14ac:dyDescent="0.25">
      <c r="A1609" t="s">
        <v>12</v>
      </c>
      <c r="B1609" t="s">
        <v>2295</v>
      </c>
      <c r="C1609" t="s">
        <v>2296</v>
      </c>
      <c r="D1609" t="s">
        <v>57</v>
      </c>
      <c r="E1609" t="s">
        <v>3322</v>
      </c>
      <c r="F1609" s="1">
        <v>1</v>
      </c>
      <c r="G1609" s="1">
        <v>0</v>
      </c>
      <c r="H1609" t="s">
        <v>17</v>
      </c>
      <c r="I1609" t="s">
        <v>2298</v>
      </c>
      <c r="J1609" t="s">
        <v>3323</v>
      </c>
      <c r="K1609" s="3">
        <v>46698</v>
      </c>
      <c r="L1609" t="s">
        <v>3324</v>
      </c>
      <c r="M1609">
        <v>0.14399999999999999</v>
      </c>
      <c r="N1609">
        <v>1728</v>
      </c>
      <c r="O1609">
        <f t="shared" si="75"/>
        <v>0.14399999999999999</v>
      </c>
      <c r="P1609">
        <f t="shared" si="76"/>
        <v>5.7870370370370367E-4</v>
      </c>
      <c r="Q1609" t="str">
        <f t="shared" si="77"/>
        <v>Q26-03</v>
      </c>
    </row>
    <row r="1610" spans="1:17" x14ac:dyDescent="0.25">
      <c r="A1610" t="s">
        <v>12</v>
      </c>
      <c r="B1610" t="s">
        <v>2366</v>
      </c>
      <c r="C1610" t="s">
        <v>2367</v>
      </c>
      <c r="D1610" t="s">
        <v>57</v>
      </c>
      <c r="E1610" t="s">
        <v>3325</v>
      </c>
      <c r="F1610" s="1">
        <v>1</v>
      </c>
      <c r="G1610" s="1">
        <v>0</v>
      </c>
      <c r="H1610" t="s">
        <v>17</v>
      </c>
      <c r="I1610" t="s">
        <v>2369</v>
      </c>
      <c r="J1610" t="s">
        <v>3323</v>
      </c>
      <c r="K1610" s="3">
        <v>46793</v>
      </c>
      <c r="L1610" t="s">
        <v>2560</v>
      </c>
      <c r="M1610">
        <v>0.12</v>
      </c>
      <c r="N1610">
        <v>1920</v>
      </c>
      <c r="O1610">
        <f t="shared" si="75"/>
        <v>0.12</v>
      </c>
      <c r="P1610">
        <f t="shared" si="76"/>
        <v>5.2083333333333333E-4</v>
      </c>
      <c r="Q1610" t="str">
        <f t="shared" si="77"/>
        <v>Q26-03</v>
      </c>
    </row>
    <row r="1611" spans="1:17" x14ac:dyDescent="0.25">
      <c r="A1611" t="s">
        <v>12</v>
      </c>
      <c r="B1611" t="s">
        <v>2330</v>
      </c>
      <c r="C1611" t="s">
        <v>2331</v>
      </c>
      <c r="D1611" t="s">
        <v>44</v>
      </c>
      <c r="E1611" t="s">
        <v>2332</v>
      </c>
      <c r="F1611" s="1">
        <v>47</v>
      </c>
      <c r="G1611" s="1">
        <v>0</v>
      </c>
      <c r="H1611" t="s">
        <v>17</v>
      </c>
      <c r="I1611" t="s">
        <v>2333</v>
      </c>
      <c r="J1611" t="s">
        <v>3326</v>
      </c>
      <c r="K1611" s="3">
        <v>46081</v>
      </c>
      <c r="L1611" t="s">
        <v>2335</v>
      </c>
      <c r="M1611">
        <v>5.3999999999999999E-2</v>
      </c>
      <c r="N1611">
        <v>1620</v>
      </c>
      <c r="O1611">
        <f t="shared" si="75"/>
        <v>2.5379999999999998</v>
      </c>
      <c r="P1611">
        <f t="shared" si="76"/>
        <v>2.9012345679012345E-2</v>
      </c>
      <c r="Q1611" t="str">
        <f t="shared" si="77"/>
        <v>Q26-01</v>
      </c>
    </row>
    <row r="1612" spans="1:17" x14ac:dyDescent="0.25">
      <c r="A1612" t="s">
        <v>12</v>
      </c>
      <c r="B1612" t="s">
        <v>1879</v>
      </c>
      <c r="C1612" t="s">
        <v>1880</v>
      </c>
      <c r="D1612" t="s">
        <v>388</v>
      </c>
      <c r="E1612" t="s">
        <v>3327</v>
      </c>
      <c r="F1612" s="1">
        <v>1</v>
      </c>
      <c r="G1612" s="1">
        <v>0</v>
      </c>
      <c r="H1612" t="s">
        <v>17</v>
      </c>
      <c r="I1612" t="s">
        <v>1882</v>
      </c>
      <c r="J1612" t="s">
        <v>3328</v>
      </c>
      <c r="K1612" s="3">
        <v>47303</v>
      </c>
      <c r="L1612" t="s">
        <v>3329</v>
      </c>
      <c r="M1612">
        <v>8.9999999999999993E-3</v>
      </c>
      <c r="N1612">
        <v>20000</v>
      </c>
      <c r="O1612">
        <f t="shared" si="75"/>
        <v>8.9999999999999993E-3</v>
      </c>
      <c r="P1612">
        <f t="shared" si="76"/>
        <v>5.0000000000000002E-5</v>
      </c>
      <c r="Q1612" t="str">
        <f t="shared" si="77"/>
        <v>Q26-03</v>
      </c>
    </row>
    <row r="1613" spans="1:17" x14ac:dyDescent="0.25">
      <c r="A1613" t="s">
        <v>12</v>
      </c>
      <c r="B1613" t="s">
        <v>2012</v>
      </c>
      <c r="C1613" t="s">
        <v>2013</v>
      </c>
      <c r="D1613" t="s">
        <v>44</v>
      </c>
      <c r="E1613" t="s">
        <v>3330</v>
      </c>
      <c r="F1613" s="1">
        <v>1</v>
      </c>
      <c r="G1613" s="1">
        <v>0</v>
      </c>
      <c r="H1613" t="s">
        <v>17</v>
      </c>
      <c r="I1613" t="s">
        <v>2015</v>
      </c>
      <c r="J1613" t="s">
        <v>3328</v>
      </c>
      <c r="K1613" s="3">
        <v>46908</v>
      </c>
      <c r="L1613" t="s">
        <v>3331</v>
      </c>
      <c r="M1613">
        <v>0.126</v>
      </c>
      <c r="N1613">
        <v>1920</v>
      </c>
      <c r="O1613">
        <f t="shared" si="75"/>
        <v>0.126</v>
      </c>
      <c r="P1613">
        <f t="shared" si="76"/>
        <v>5.2083333333333333E-4</v>
      </c>
      <c r="Q1613" t="str">
        <f t="shared" si="77"/>
        <v>Q26-01</v>
      </c>
    </row>
    <row r="1614" spans="1:17" x14ac:dyDescent="0.25">
      <c r="A1614" t="s">
        <v>2411</v>
      </c>
      <c r="B1614" t="s">
        <v>2501</v>
      </c>
      <c r="C1614" t="s">
        <v>2502</v>
      </c>
      <c r="D1614" t="s">
        <v>44</v>
      </c>
      <c r="E1614" t="s">
        <v>3332</v>
      </c>
      <c r="F1614" s="1">
        <v>1</v>
      </c>
      <c r="G1614" s="1">
        <v>0</v>
      </c>
      <c r="H1614" t="s">
        <v>17</v>
      </c>
      <c r="I1614" t="s">
        <v>2415</v>
      </c>
      <c r="J1614" t="s">
        <v>3333</v>
      </c>
      <c r="K1614" s="3">
        <v>46794</v>
      </c>
      <c r="L1614" t="s">
        <v>3334</v>
      </c>
      <c r="M1614">
        <v>0.05</v>
      </c>
      <c r="N1614">
        <v>1500</v>
      </c>
      <c r="O1614">
        <f t="shared" si="75"/>
        <v>0.05</v>
      </c>
      <c r="P1614">
        <f t="shared" si="76"/>
        <v>6.6666666666666664E-4</v>
      </c>
      <c r="Q1614" t="str">
        <f t="shared" si="77"/>
        <v>Q26-01</v>
      </c>
    </row>
    <row r="1615" spans="1:17" x14ac:dyDescent="0.25">
      <c r="A1615" t="s">
        <v>12</v>
      </c>
      <c r="B1615" t="s">
        <v>3335</v>
      </c>
      <c r="C1615" t="s">
        <v>3336</v>
      </c>
      <c r="D1615" t="s">
        <v>388</v>
      </c>
      <c r="E1615" t="s">
        <v>3337</v>
      </c>
      <c r="F1615" s="1">
        <v>1</v>
      </c>
      <c r="G1615" s="1">
        <v>0</v>
      </c>
      <c r="H1615" t="s">
        <v>17</v>
      </c>
      <c r="I1615" t="s">
        <v>1559</v>
      </c>
      <c r="J1615" t="s">
        <v>3338</v>
      </c>
      <c r="K1615" s="3">
        <v>46630</v>
      </c>
      <c r="L1615" t="s">
        <v>3339</v>
      </c>
      <c r="M1615">
        <v>2.1999999999999999E-2</v>
      </c>
      <c r="N1615">
        <v>7150</v>
      </c>
      <c r="O1615">
        <f t="shared" si="75"/>
        <v>2.1999999999999999E-2</v>
      </c>
      <c r="P1615">
        <f t="shared" si="76"/>
        <v>1.3986013986013986E-4</v>
      </c>
      <c r="Q1615" t="str">
        <f t="shared" si="77"/>
        <v>Q26-03</v>
      </c>
    </row>
    <row r="1616" spans="1:17" x14ac:dyDescent="0.25">
      <c r="A1616" t="s">
        <v>12</v>
      </c>
      <c r="B1616" t="s">
        <v>3340</v>
      </c>
      <c r="C1616" t="s">
        <v>3341</v>
      </c>
      <c r="D1616" t="s">
        <v>451</v>
      </c>
      <c r="E1616" t="s">
        <v>3342</v>
      </c>
      <c r="F1616" s="1">
        <v>33</v>
      </c>
      <c r="G1616" s="1">
        <v>0</v>
      </c>
      <c r="H1616" t="s">
        <v>17</v>
      </c>
      <c r="I1616" t="s">
        <v>2000</v>
      </c>
      <c r="J1616" t="s">
        <v>3338</v>
      </c>
      <c r="K1616" s="3">
        <v>47065</v>
      </c>
      <c r="L1616" t="s">
        <v>3343</v>
      </c>
      <c r="M1616">
        <v>0.33600000000000002</v>
      </c>
      <c r="N1616">
        <v>720</v>
      </c>
      <c r="O1616">
        <f t="shared" si="75"/>
        <v>11.088000000000001</v>
      </c>
      <c r="P1616">
        <f t="shared" si="76"/>
        <v>4.583333333333333E-2</v>
      </c>
      <c r="Q1616" t="str">
        <f t="shared" si="77"/>
        <v>Q26-03</v>
      </c>
    </row>
    <row r="1617" spans="1:17" x14ac:dyDescent="0.25">
      <c r="A1617" t="s">
        <v>12</v>
      </c>
      <c r="B1617" t="s">
        <v>3313</v>
      </c>
      <c r="C1617" t="s">
        <v>3314</v>
      </c>
      <c r="D1617" t="s">
        <v>451</v>
      </c>
      <c r="E1617" t="s">
        <v>3344</v>
      </c>
      <c r="F1617" s="1">
        <v>18</v>
      </c>
      <c r="G1617" s="1">
        <v>0</v>
      </c>
      <c r="H1617" t="s">
        <v>17</v>
      </c>
      <c r="I1617" t="s">
        <v>1398</v>
      </c>
      <c r="J1617" t="s">
        <v>3345</v>
      </c>
      <c r="K1617" s="3">
        <v>47063</v>
      </c>
      <c r="L1617" t="s">
        <v>3346</v>
      </c>
      <c r="M1617">
        <v>0.154</v>
      </c>
      <c r="N1617">
        <v>1680</v>
      </c>
      <c r="O1617">
        <f t="shared" si="75"/>
        <v>2.7719999999999998</v>
      </c>
      <c r="P1617">
        <f t="shared" si="76"/>
        <v>1.0714285714285714E-2</v>
      </c>
      <c r="Q1617" t="str">
        <f t="shared" si="77"/>
        <v>Q26-03</v>
      </c>
    </row>
    <row r="1618" spans="1:17" x14ac:dyDescent="0.25">
      <c r="A1618" t="s">
        <v>12</v>
      </c>
      <c r="B1618" t="s">
        <v>3313</v>
      </c>
      <c r="C1618" t="s">
        <v>3314</v>
      </c>
      <c r="D1618" t="s">
        <v>451</v>
      </c>
      <c r="E1618" t="s">
        <v>3347</v>
      </c>
      <c r="F1618" s="1">
        <v>9</v>
      </c>
      <c r="G1618" s="1">
        <v>0</v>
      </c>
      <c r="H1618" t="s">
        <v>17</v>
      </c>
      <c r="I1618" t="s">
        <v>1398</v>
      </c>
      <c r="J1618" t="s">
        <v>3345</v>
      </c>
      <c r="K1618" s="3">
        <v>47063</v>
      </c>
      <c r="L1618" t="s">
        <v>3346</v>
      </c>
      <c r="M1618">
        <v>0.154</v>
      </c>
      <c r="N1618">
        <v>1680</v>
      </c>
      <c r="O1618">
        <f t="shared" si="75"/>
        <v>1.3859999999999999</v>
      </c>
      <c r="P1618">
        <f t="shared" si="76"/>
        <v>5.3571428571428572E-3</v>
      </c>
      <c r="Q1618" t="str">
        <f t="shared" si="77"/>
        <v>Q26-03</v>
      </c>
    </row>
    <row r="1619" spans="1:17" x14ac:dyDescent="0.25">
      <c r="A1619" t="s">
        <v>12</v>
      </c>
      <c r="B1619" t="s">
        <v>3348</v>
      </c>
      <c r="C1619" t="s">
        <v>3349</v>
      </c>
      <c r="D1619" t="s">
        <v>57</v>
      </c>
      <c r="E1619" t="s">
        <v>3350</v>
      </c>
      <c r="F1619" s="1">
        <v>1</v>
      </c>
      <c r="G1619" s="1">
        <v>0</v>
      </c>
      <c r="H1619" t="s">
        <v>17</v>
      </c>
      <c r="I1619" t="s">
        <v>647</v>
      </c>
      <c r="J1619" t="s">
        <v>3351</v>
      </c>
      <c r="K1619" s="3">
        <v>46730</v>
      </c>
      <c r="L1619" t="s">
        <v>3352</v>
      </c>
      <c r="M1619">
        <v>8.5999999999999993E-2</v>
      </c>
      <c r="N1619">
        <v>2772</v>
      </c>
      <c r="O1619">
        <f t="shared" si="75"/>
        <v>8.5999999999999993E-2</v>
      </c>
      <c r="P1619">
        <f t="shared" si="76"/>
        <v>3.6075036075036075E-4</v>
      </c>
      <c r="Q1619" t="str">
        <f t="shared" si="77"/>
        <v>Q26-03</v>
      </c>
    </row>
    <row r="1620" spans="1:17" x14ac:dyDescent="0.25">
      <c r="A1620" t="s">
        <v>12</v>
      </c>
      <c r="B1620" t="s">
        <v>3348</v>
      </c>
      <c r="C1620" t="s">
        <v>3349</v>
      </c>
      <c r="D1620" t="s">
        <v>388</v>
      </c>
      <c r="E1620" t="s">
        <v>3353</v>
      </c>
      <c r="F1620" s="1">
        <v>1</v>
      </c>
      <c r="G1620" s="1">
        <v>0</v>
      </c>
      <c r="H1620" t="s">
        <v>17</v>
      </c>
      <c r="I1620" t="s">
        <v>647</v>
      </c>
      <c r="J1620" t="s">
        <v>3351</v>
      </c>
      <c r="K1620" s="3">
        <v>46730</v>
      </c>
      <c r="L1620" t="s">
        <v>3352</v>
      </c>
      <c r="M1620">
        <v>8.5999999999999993E-2</v>
      </c>
      <c r="N1620">
        <v>2772</v>
      </c>
      <c r="O1620">
        <f t="shared" si="75"/>
        <v>8.5999999999999993E-2</v>
      </c>
      <c r="P1620">
        <f t="shared" si="76"/>
        <v>3.6075036075036075E-4</v>
      </c>
      <c r="Q1620" t="str">
        <f t="shared" si="77"/>
        <v>Q26-03</v>
      </c>
    </row>
    <row r="1621" spans="1:17" x14ac:dyDescent="0.25">
      <c r="A1621" t="s">
        <v>12</v>
      </c>
      <c r="B1621" t="s">
        <v>3348</v>
      </c>
      <c r="C1621" t="s">
        <v>3349</v>
      </c>
      <c r="D1621" t="s">
        <v>388</v>
      </c>
      <c r="E1621" t="s">
        <v>3354</v>
      </c>
      <c r="F1621" s="1">
        <v>1</v>
      </c>
      <c r="G1621" s="1">
        <v>0</v>
      </c>
      <c r="H1621" t="s">
        <v>17</v>
      </c>
      <c r="I1621" t="s">
        <v>647</v>
      </c>
      <c r="J1621" t="s">
        <v>3351</v>
      </c>
      <c r="K1621" s="3">
        <v>46730</v>
      </c>
      <c r="L1621" t="s">
        <v>3352</v>
      </c>
      <c r="M1621">
        <v>8.5999999999999993E-2</v>
      </c>
      <c r="N1621">
        <v>2772</v>
      </c>
      <c r="O1621">
        <f t="shared" si="75"/>
        <v>8.5999999999999993E-2</v>
      </c>
      <c r="P1621">
        <f t="shared" si="76"/>
        <v>3.6075036075036075E-4</v>
      </c>
      <c r="Q1621" t="str">
        <f t="shared" si="77"/>
        <v>Q26-03</v>
      </c>
    </row>
    <row r="1622" spans="1:17" x14ac:dyDescent="0.25">
      <c r="A1622" t="s">
        <v>12</v>
      </c>
      <c r="B1622" t="s">
        <v>3340</v>
      </c>
      <c r="C1622" t="s">
        <v>3341</v>
      </c>
      <c r="D1622" t="s">
        <v>451</v>
      </c>
      <c r="E1622" t="s">
        <v>3355</v>
      </c>
      <c r="F1622" s="1">
        <v>1</v>
      </c>
      <c r="G1622" s="1">
        <v>0</v>
      </c>
      <c r="H1622" t="s">
        <v>17</v>
      </c>
      <c r="I1622" t="s">
        <v>2000</v>
      </c>
      <c r="J1622" t="s">
        <v>3356</v>
      </c>
      <c r="K1622" s="3">
        <v>47064</v>
      </c>
      <c r="L1622" t="s">
        <v>3357</v>
      </c>
      <c r="M1622">
        <v>0.33600000000000002</v>
      </c>
      <c r="N1622">
        <v>720</v>
      </c>
      <c r="O1622">
        <f t="shared" si="75"/>
        <v>0.33600000000000002</v>
      </c>
      <c r="P1622">
        <f t="shared" si="76"/>
        <v>1.3888888888888889E-3</v>
      </c>
      <c r="Q1622" t="str">
        <f t="shared" si="77"/>
        <v>Q26-03</v>
      </c>
    </row>
    <row r="1623" spans="1:17" x14ac:dyDescent="0.25">
      <c r="A1623" t="s">
        <v>12</v>
      </c>
      <c r="B1623" t="s">
        <v>3335</v>
      </c>
      <c r="C1623" t="s">
        <v>3336</v>
      </c>
      <c r="D1623" t="s">
        <v>451</v>
      </c>
      <c r="E1623" t="s">
        <v>3358</v>
      </c>
      <c r="F1623" s="1">
        <v>4</v>
      </c>
      <c r="G1623" s="1">
        <v>0</v>
      </c>
      <c r="H1623" t="s">
        <v>17</v>
      </c>
      <c r="I1623" t="s">
        <v>1559</v>
      </c>
      <c r="J1623" t="s">
        <v>3359</v>
      </c>
      <c r="K1623" s="3">
        <v>46633</v>
      </c>
      <c r="L1623" t="s">
        <v>3360</v>
      </c>
      <c r="M1623">
        <v>2.1999999999999999E-2</v>
      </c>
      <c r="N1623">
        <v>7150</v>
      </c>
      <c r="O1623">
        <f t="shared" si="75"/>
        <v>8.7999999999999995E-2</v>
      </c>
      <c r="P1623">
        <f t="shared" si="76"/>
        <v>5.5944055944055944E-4</v>
      </c>
      <c r="Q1623" t="str">
        <f t="shared" si="77"/>
        <v>Q26-03</v>
      </c>
    </row>
    <row r="1624" spans="1:17" x14ac:dyDescent="0.25">
      <c r="A1624" t="s">
        <v>12</v>
      </c>
      <c r="B1624" t="s">
        <v>3313</v>
      </c>
      <c r="C1624" t="s">
        <v>3314</v>
      </c>
      <c r="D1624" t="s">
        <v>451</v>
      </c>
      <c r="E1624" t="s">
        <v>3361</v>
      </c>
      <c r="F1624" s="1">
        <v>4</v>
      </c>
      <c r="G1624" s="1">
        <v>0</v>
      </c>
      <c r="H1624" t="s">
        <v>17</v>
      </c>
      <c r="I1624" t="s">
        <v>1398</v>
      </c>
      <c r="J1624" t="s">
        <v>3362</v>
      </c>
      <c r="K1624" s="3">
        <v>47070</v>
      </c>
      <c r="L1624" t="s">
        <v>3363</v>
      </c>
      <c r="M1624">
        <v>0.154</v>
      </c>
      <c r="N1624">
        <v>1680</v>
      </c>
      <c r="O1624">
        <f t="shared" si="75"/>
        <v>0.61599999999999999</v>
      </c>
      <c r="P1624">
        <f t="shared" si="76"/>
        <v>2.3809523809523812E-3</v>
      </c>
      <c r="Q1624" t="str">
        <f t="shared" si="77"/>
        <v>Q26-03</v>
      </c>
    </row>
    <row r="1625" spans="1:17" x14ac:dyDescent="0.25">
      <c r="A1625" t="s">
        <v>12</v>
      </c>
      <c r="B1625" t="s">
        <v>3313</v>
      </c>
      <c r="C1625" t="s">
        <v>3314</v>
      </c>
      <c r="D1625" t="s">
        <v>451</v>
      </c>
      <c r="E1625" t="s">
        <v>3364</v>
      </c>
      <c r="F1625" s="1">
        <v>2</v>
      </c>
      <c r="G1625" s="1">
        <v>0</v>
      </c>
      <c r="H1625" t="s">
        <v>17</v>
      </c>
      <c r="I1625" t="s">
        <v>1398</v>
      </c>
      <c r="J1625" t="s">
        <v>3362</v>
      </c>
      <c r="K1625" s="3">
        <v>47069</v>
      </c>
      <c r="L1625" t="s">
        <v>3365</v>
      </c>
      <c r="M1625">
        <v>0.154</v>
      </c>
      <c r="N1625">
        <v>1680</v>
      </c>
      <c r="O1625">
        <f t="shared" si="75"/>
        <v>0.308</v>
      </c>
      <c r="P1625">
        <f t="shared" si="76"/>
        <v>1.1904761904761906E-3</v>
      </c>
      <c r="Q1625" t="str">
        <f t="shared" si="77"/>
        <v>Q26-03</v>
      </c>
    </row>
    <row r="1626" spans="1:17" x14ac:dyDescent="0.25">
      <c r="A1626" t="s">
        <v>12</v>
      </c>
      <c r="B1626" t="s">
        <v>1556</v>
      </c>
      <c r="C1626" t="s">
        <v>1557</v>
      </c>
      <c r="D1626" t="s">
        <v>388</v>
      </c>
      <c r="E1626" t="s">
        <v>3366</v>
      </c>
      <c r="F1626" s="1">
        <v>1</v>
      </c>
      <c r="G1626" s="1">
        <v>0</v>
      </c>
      <c r="H1626" t="s">
        <v>17</v>
      </c>
      <c r="I1626" t="s">
        <v>1559</v>
      </c>
      <c r="J1626" t="s">
        <v>3367</v>
      </c>
      <c r="K1626" s="3">
        <v>46383</v>
      </c>
      <c r="L1626" t="s">
        <v>1758</v>
      </c>
      <c r="M1626">
        <v>2.1000000000000001E-2</v>
      </c>
      <c r="N1626">
        <v>7150</v>
      </c>
      <c r="O1626">
        <f t="shared" si="75"/>
        <v>2.1000000000000001E-2</v>
      </c>
      <c r="P1626">
        <f t="shared" si="76"/>
        <v>1.3986013986013986E-4</v>
      </c>
      <c r="Q1626" t="str">
        <f t="shared" si="77"/>
        <v>Q26-03</v>
      </c>
    </row>
    <row r="1627" spans="1:17" x14ac:dyDescent="0.25">
      <c r="A1627" t="s">
        <v>12</v>
      </c>
      <c r="B1627" t="s">
        <v>2366</v>
      </c>
      <c r="C1627" t="s">
        <v>2367</v>
      </c>
      <c r="D1627" t="s">
        <v>388</v>
      </c>
      <c r="E1627" t="s">
        <v>3368</v>
      </c>
      <c r="F1627" s="1">
        <v>6</v>
      </c>
      <c r="G1627" s="1">
        <v>0</v>
      </c>
      <c r="H1627" t="s">
        <v>17</v>
      </c>
      <c r="I1627" t="s">
        <v>2369</v>
      </c>
      <c r="J1627" t="s">
        <v>3369</v>
      </c>
      <c r="K1627" s="3">
        <v>46793</v>
      </c>
      <c r="L1627" t="s">
        <v>2560</v>
      </c>
      <c r="M1627">
        <v>0.12</v>
      </c>
      <c r="N1627">
        <v>1920</v>
      </c>
      <c r="O1627">
        <f t="shared" si="75"/>
        <v>0.72</v>
      </c>
      <c r="P1627">
        <f t="shared" si="76"/>
        <v>3.1250000000000002E-3</v>
      </c>
      <c r="Q1627" t="str">
        <f t="shared" si="77"/>
        <v>Q26-03</v>
      </c>
    </row>
    <row r="1628" spans="1:17" x14ac:dyDescent="0.25">
      <c r="A1628" t="s">
        <v>12</v>
      </c>
      <c r="B1628" t="s">
        <v>2012</v>
      </c>
      <c r="C1628" t="s">
        <v>2013</v>
      </c>
      <c r="D1628" t="s">
        <v>57</v>
      </c>
      <c r="E1628" t="s">
        <v>3370</v>
      </c>
      <c r="F1628" s="1">
        <v>1</v>
      </c>
      <c r="G1628" s="1">
        <v>0</v>
      </c>
      <c r="H1628" t="s">
        <v>17</v>
      </c>
      <c r="I1628" t="s">
        <v>2015</v>
      </c>
      <c r="J1628" t="s">
        <v>3371</v>
      </c>
      <c r="K1628" s="3">
        <v>46909</v>
      </c>
      <c r="L1628" t="s">
        <v>3372</v>
      </c>
      <c r="M1628">
        <v>0.126</v>
      </c>
      <c r="N1628">
        <v>1920</v>
      </c>
      <c r="O1628">
        <f t="shared" si="75"/>
        <v>0.126</v>
      </c>
      <c r="P1628">
        <f t="shared" si="76"/>
        <v>5.2083333333333333E-4</v>
      </c>
      <c r="Q1628" t="str">
        <f t="shared" si="77"/>
        <v>Q26-03</v>
      </c>
    </row>
    <row r="1629" spans="1:17" x14ac:dyDescent="0.25">
      <c r="A1629" t="s">
        <v>12</v>
      </c>
      <c r="B1629" t="s">
        <v>971</v>
      </c>
      <c r="C1629" t="s">
        <v>972</v>
      </c>
      <c r="D1629" t="s">
        <v>407</v>
      </c>
      <c r="E1629" t="s">
        <v>3373</v>
      </c>
      <c r="F1629" s="1">
        <v>245</v>
      </c>
      <c r="G1629" s="1">
        <v>0</v>
      </c>
      <c r="H1629" t="s">
        <v>17</v>
      </c>
      <c r="I1629" t="s">
        <v>975</v>
      </c>
      <c r="J1629" t="s">
        <v>3374</v>
      </c>
      <c r="K1629" s="3">
        <v>46133</v>
      </c>
      <c r="L1629" t="s">
        <v>977</v>
      </c>
      <c r="M1629">
        <v>1.7999999999999999E-2</v>
      </c>
      <c r="N1629">
        <v>12000</v>
      </c>
      <c r="O1629">
        <f t="shared" si="75"/>
        <v>4.4099999999999993</v>
      </c>
      <c r="P1629">
        <f t="shared" si="76"/>
        <v>2.0416666666666666E-2</v>
      </c>
      <c r="Q1629" t="str">
        <f t="shared" si="77"/>
        <v>Q27-01</v>
      </c>
    </row>
    <row r="1630" spans="1:17" x14ac:dyDescent="0.25">
      <c r="A1630" t="s">
        <v>12</v>
      </c>
      <c r="B1630" t="s">
        <v>1192</v>
      </c>
      <c r="C1630" t="s">
        <v>1193</v>
      </c>
      <c r="D1630" t="s">
        <v>57</v>
      </c>
      <c r="E1630" t="s">
        <v>3375</v>
      </c>
      <c r="F1630" s="1">
        <v>1</v>
      </c>
      <c r="G1630" s="1">
        <v>0</v>
      </c>
      <c r="H1630" t="s">
        <v>17</v>
      </c>
      <c r="I1630" t="s">
        <v>1195</v>
      </c>
      <c r="J1630" t="s">
        <v>3376</v>
      </c>
      <c r="K1630" s="3">
        <v>46817</v>
      </c>
      <c r="L1630" t="s">
        <v>3377</v>
      </c>
      <c r="M1630">
        <v>0.25700000000000001</v>
      </c>
      <c r="N1630">
        <v>1080</v>
      </c>
      <c r="O1630">
        <f t="shared" si="75"/>
        <v>0.25700000000000001</v>
      </c>
      <c r="P1630">
        <f t="shared" si="76"/>
        <v>9.2592592592592596E-4</v>
      </c>
      <c r="Q1630" t="str">
        <f t="shared" si="77"/>
        <v>Q26-03</v>
      </c>
    </row>
    <row r="1631" spans="1:17" x14ac:dyDescent="0.25">
      <c r="A1631" t="s">
        <v>12</v>
      </c>
      <c r="B1631" t="s">
        <v>971</v>
      </c>
      <c r="C1631" t="s">
        <v>972</v>
      </c>
      <c r="D1631" t="s">
        <v>2154</v>
      </c>
      <c r="E1631" t="s">
        <v>3378</v>
      </c>
      <c r="F1631" s="2">
        <v>10344</v>
      </c>
      <c r="G1631" s="1">
        <v>0</v>
      </c>
      <c r="H1631" t="s">
        <v>17</v>
      </c>
      <c r="I1631" t="s">
        <v>975</v>
      </c>
      <c r="J1631" t="s">
        <v>3379</v>
      </c>
      <c r="K1631" s="3">
        <v>46133</v>
      </c>
      <c r="L1631" t="s">
        <v>977</v>
      </c>
      <c r="M1631">
        <v>1.7999999999999999E-2</v>
      </c>
      <c r="N1631">
        <v>12000</v>
      </c>
      <c r="O1631">
        <f t="shared" si="75"/>
        <v>186.19199999999998</v>
      </c>
      <c r="P1631">
        <f t="shared" si="76"/>
        <v>0.86199999999999999</v>
      </c>
      <c r="Q1631" t="str">
        <f t="shared" si="77"/>
        <v>Q27-01</v>
      </c>
    </row>
    <row r="1632" spans="1:17" x14ac:dyDescent="0.25">
      <c r="A1632" t="s">
        <v>12</v>
      </c>
      <c r="B1632" t="s">
        <v>971</v>
      </c>
      <c r="C1632" t="s">
        <v>972</v>
      </c>
      <c r="D1632" t="s">
        <v>3380</v>
      </c>
      <c r="E1632" t="s">
        <v>3381</v>
      </c>
      <c r="F1632" s="2">
        <v>12000</v>
      </c>
      <c r="G1632" s="1">
        <v>0</v>
      </c>
      <c r="H1632" t="s">
        <v>17</v>
      </c>
      <c r="I1632" t="s">
        <v>975</v>
      </c>
      <c r="J1632" t="s">
        <v>3379</v>
      </c>
      <c r="K1632" s="3">
        <v>46133</v>
      </c>
      <c r="L1632" t="s">
        <v>977</v>
      </c>
      <c r="M1632">
        <v>1.7999999999999999E-2</v>
      </c>
      <c r="N1632">
        <v>12000</v>
      </c>
      <c r="O1632">
        <f t="shared" si="75"/>
        <v>215.99999999999997</v>
      </c>
      <c r="P1632">
        <f t="shared" si="76"/>
        <v>1</v>
      </c>
      <c r="Q1632" t="str">
        <f t="shared" si="77"/>
        <v>Q27-01</v>
      </c>
    </row>
    <row r="1633" spans="1:17" x14ac:dyDescent="0.25">
      <c r="A1633" t="s">
        <v>12</v>
      </c>
      <c r="B1633" t="s">
        <v>1330</v>
      </c>
      <c r="C1633" t="s">
        <v>1331</v>
      </c>
      <c r="D1633" t="s">
        <v>44</v>
      </c>
      <c r="E1633" t="s">
        <v>3382</v>
      </c>
      <c r="F1633" s="1">
        <v>2</v>
      </c>
      <c r="G1633" s="1">
        <v>0</v>
      </c>
      <c r="H1633" t="s">
        <v>17</v>
      </c>
      <c r="I1633" t="s">
        <v>2635</v>
      </c>
      <c r="J1633" t="s">
        <v>3383</v>
      </c>
      <c r="K1633" s="3">
        <v>46225</v>
      </c>
      <c r="L1633" t="s">
        <v>3241</v>
      </c>
      <c r="M1633">
        <v>0.04</v>
      </c>
      <c r="N1633">
        <v>9000</v>
      </c>
      <c r="O1633">
        <f t="shared" si="75"/>
        <v>0.08</v>
      </c>
      <c r="P1633">
        <f t="shared" si="76"/>
        <v>2.2222222222222223E-4</v>
      </c>
      <c r="Q1633" t="str">
        <f t="shared" si="77"/>
        <v>Q26-01</v>
      </c>
    </row>
    <row r="1634" spans="1:17" x14ac:dyDescent="0.25">
      <c r="A1634" t="s">
        <v>12</v>
      </c>
      <c r="B1634" t="s">
        <v>2936</v>
      </c>
      <c r="C1634" t="s">
        <v>2937</v>
      </c>
      <c r="D1634" t="s">
        <v>382</v>
      </c>
      <c r="E1634" t="s">
        <v>3384</v>
      </c>
      <c r="F1634" s="1">
        <v>2</v>
      </c>
      <c r="G1634" s="1">
        <v>0</v>
      </c>
      <c r="H1634" t="s">
        <v>17</v>
      </c>
      <c r="I1634" t="s">
        <v>2939</v>
      </c>
      <c r="J1634" t="s">
        <v>3385</v>
      </c>
      <c r="K1634" s="3">
        <v>46630</v>
      </c>
      <c r="L1634" t="s">
        <v>2941</v>
      </c>
      <c r="M1634">
        <v>0.05</v>
      </c>
      <c r="N1634">
        <v>7056</v>
      </c>
      <c r="O1634">
        <f t="shared" si="75"/>
        <v>0.1</v>
      </c>
      <c r="P1634">
        <f t="shared" si="76"/>
        <v>2.834467120181406E-4</v>
      </c>
      <c r="Q1634" t="str">
        <f t="shared" si="77"/>
        <v>Q27-03</v>
      </c>
    </row>
    <row r="1635" spans="1:17" x14ac:dyDescent="0.25">
      <c r="A1635" t="s">
        <v>12</v>
      </c>
      <c r="B1635" t="s">
        <v>49</v>
      </c>
      <c r="C1635" t="s">
        <v>50</v>
      </c>
      <c r="D1635" t="s">
        <v>388</v>
      </c>
      <c r="E1635" t="s">
        <v>3386</v>
      </c>
      <c r="F1635" s="1">
        <v>2</v>
      </c>
      <c r="G1635" s="1">
        <v>0</v>
      </c>
      <c r="H1635" t="s">
        <v>17</v>
      </c>
      <c r="I1635" t="s">
        <v>52</v>
      </c>
      <c r="J1635" t="s">
        <v>3387</v>
      </c>
      <c r="K1635" s="3">
        <v>46756</v>
      </c>
      <c r="L1635" t="s">
        <v>3388</v>
      </c>
      <c r="M1635">
        <v>2.5999999999999999E-2</v>
      </c>
      <c r="N1635">
        <v>7200</v>
      </c>
      <c r="O1635">
        <f t="shared" si="75"/>
        <v>5.1999999999999998E-2</v>
      </c>
      <c r="P1635">
        <f t="shared" si="76"/>
        <v>2.7777777777777778E-4</v>
      </c>
      <c r="Q1635" t="str">
        <f t="shared" si="77"/>
        <v>Q26-03</v>
      </c>
    </row>
    <row r="1636" spans="1:17" x14ac:dyDescent="0.25">
      <c r="A1636" t="s">
        <v>12</v>
      </c>
      <c r="B1636" t="s">
        <v>3389</v>
      </c>
      <c r="C1636" t="s">
        <v>3390</v>
      </c>
      <c r="D1636" t="s">
        <v>805</v>
      </c>
      <c r="E1636" t="s">
        <v>3391</v>
      </c>
      <c r="F1636" s="1">
        <v>1</v>
      </c>
      <c r="G1636" s="1">
        <v>0</v>
      </c>
      <c r="H1636" t="s">
        <v>17</v>
      </c>
      <c r="I1636" t="s">
        <v>3392</v>
      </c>
      <c r="J1636" t="s">
        <v>3393</v>
      </c>
      <c r="K1636" s="3">
        <v>47089</v>
      </c>
      <c r="L1636" t="s">
        <v>3394</v>
      </c>
      <c r="M1636">
        <v>0.51680000000000004</v>
      </c>
      <c r="N1636">
        <v>432</v>
      </c>
      <c r="O1636">
        <f t="shared" si="75"/>
        <v>0.51680000000000004</v>
      </c>
      <c r="P1636">
        <f t="shared" si="76"/>
        <v>2.3148148148148147E-3</v>
      </c>
      <c r="Q1636" t="str">
        <f t="shared" si="77"/>
        <v>Q27-03</v>
      </c>
    </row>
    <row r="1637" spans="1:17" x14ac:dyDescent="0.25">
      <c r="A1637" t="s">
        <v>12</v>
      </c>
      <c r="B1637" t="s">
        <v>3395</v>
      </c>
      <c r="C1637" t="s">
        <v>3396</v>
      </c>
      <c r="D1637" t="s">
        <v>1332</v>
      </c>
      <c r="E1637" t="s">
        <v>3397</v>
      </c>
      <c r="F1637" s="1">
        <v>248</v>
      </c>
      <c r="G1637" s="1">
        <v>0</v>
      </c>
      <c r="H1637" t="s">
        <v>17</v>
      </c>
      <c r="I1637" t="s">
        <v>3398</v>
      </c>
      <c r="J1637" t="s">
        <v>3399</v>
      </c>
      <c r="K1637" s="3">
        <v>46057</v>
      </c>
      <c r="L1637" t="s">
        <v>3400</v>
      </c>
      <c r="M1637">
        <v>3.3000000000000002E-2</v>
      </c>
      <c r="N1637">
        <v>2970</v>
      </c>
      <c r="O1637">
        <f t="shared" si="75"/>
        <v>8.1840000000000011</v>
      </c>
      <c r="P1637">
        <f t="shared" si="76"/>
        <v>8.3501683501683507E-2</v>
      </c>
      <c r="Q1637" t="str">
        <f t="shared" si="77"/>
        <v>Q26-01</v>
      </c>
    </row>
    <row r="1638" spans="1:17" x14ac:dyDescent="0.25">
      <c r="A1638" t="s">
        <v>12</v>
      </c>
      <c r="B1638" t="s">
        <v>2360</v>
      </c>
      <c r="C1638" t="s">
        <v>2361</v>
      </c>
      <c r="D1638" t="s">
        <v>44</v>
      </c>
      <c r="E1638" t="s">
        <v>3401</v>
      </c>
      <c r="F1638" s="1">
        <v>5</v>
      </c>
      <c r="G1638" s="1">
        <v>0</v>
      </c>
      <c r="H1638" t="s">
        <v>17</v>
      </c>
      <c r="I1638" t="s">
        <v>2363</v>
      </c>
      <c r="J1638" t="s">
        <v>3402</v>
      </c>
      <c r="K1638" s="3">
        <v>46698</v>
      </c>
      <c r="L1638" t="s">
        <v>3403</v>
      </c>
      <c r="M1638">
        <v>0.154</v>
      </c>
      <c r="N1638">
        <v>1536</v>
      </c>
      <c r="O1638">
        <f t="shared" si="75"/>
        <v>0.77</v>
      </c>
      <c r="P1638">
        <f t="shared" si="76"/>
        <v>3.2552083333333335E-3</v>
      </c>
      <c r="Q1638" t="str">
        <f t="shared" si="77"/>
        <v>Q26-01</v>
      </c>
    </row>
    <row r="1639" spans="1:17" x14ac:dyDescent="0.25">
      <c r="A1639" t="s">
        <v>12</v>
      </c>
      <c r="B1639" t="s">
        <v>2366</v>
      </c>
      <c r="C1639" t="s">
        <v>2367</v>
      </c>
      <c r="D1639" t="s">
        <v>44</v>
      </c>
      <c r="E1639" t="s">
        <v>3404</v>
      </c>
      <c r="F1639" s="1">
        <v>4</v>
      </c>
      <c r="G1639" s="1">
        <v>0</v>
      </c>
      <c r="H1639" t="s">
        <v>17</v>
      </c>
      <c r="I1639" t="s">
        <v>2369</v>
      </c>
      <c r="J1639" t="s">
        <v>3402</v>
      </c>
      <c r="K1639" s="3">
        <v>46793</v>
      </c>
      <c r="L1639" t="s">
        <v>2560</v>
      </c>
      <c r="M1639">
        <v>0.12</v>
      </c>
      <c r="N1639">
        <v>1920</v>
      </c>
      <c r="O1639">
        <f t="shared" si="75"/>
        <v>0.48</v>
      </c>
      <c r="P1639">
        <f t="shared" si="76"/>
        <v>2.0833333333333333E-3</v>
      </c>
      <c r="Q1639" t="str">
        <f t="shared" si="77"/>
        <v>Q26-01</v>
      </c>
    </row>
    <row r="1640" spans="1:17" x14ac:dyDescent="0.25">
      <c r="A1640" t="s">
        <v>12</v>
      </c>
      <c r="B1640" t="s">
        <v>3405</v>
      </c>
      <c r="C1640" t="s">
        <v>3406</v>
      </c>
      <c r="D1640" t="s">
        <v>1332</v>
      </c>
      <c r="E1640" t="s">
        <v>3407</v>
      </c>
      <c r="F1640" s="1">
        <v>20</v>
      </c>
      <c r="G1640" s="1">
        <v>0</v>
      </c>
      <c r="H1640" t="s">
        <v>17</v>
      </c>
      <c r="I1640" t="s">
        <v>3408</v>
      </c>
      <c r="J1640" t="s">
        <v>3409</v>
      </c>
      <c r="K1640" s="3">
        <v>46136</v>
      </c>
      <c r="L1640" t="s">
        <v>3410</v>
      </c>
      <c r="M1640">
        <v>8.2000000000000003E-2</v>
      </c>
      <c r="N1640">
        <v>1296</v>
      </c>
      <c r="O1640">
        <f t="shared" si="75"/>
        <v>1.6400000000000001</v>
      </c>
      <c r="P1640">
        <f t="shared" si="76"/>
        <v>1.5432098765432098E-2</v>
      </c>
      <c r="Q1640" t="str">
        <f t="shared" si="77"/>
        <v>Q26-01</v>
      </c>
    </row>
    <row r="1641" spans="1:17" x14ac:dyDescent="0.25">
      <c r="A1641" t="s">
        <v>12</v>
      </c>
      <c r="B1641" t="s">
        <v>644</v>
      </c>
      <c r="C1641" t="s">
        <v>645</v>
      </c>
      <c r="D1641" t="s">
        <v>44</v>
      </c>
      <c r="E1641" t="s">
        <v>3411</v>
      </c>
      <c r="F1641" s="1">
        <v>2</v>
      </c>
      <c r="G1641" s="1">
        <v>0</v>
      </c>
      <c r="H1641" t="s">
        <v>17</v>
      </c>
      <c r="I1641" t="s">
        <v>647</v>
      </c>
      <c r="J1641" t="s">
        <v>3412</v>
      </c>
      <c r="K1641" s="3">
        <v>46431</v>
      </c>
      <c r="L1641" t="s">
        <v>3413</v>
      </c>
      <c r="M1641">
        <v>9.4E-2</v>
      </c>
      <c r="N1641">
        <v>2475</v>
      </c>
      <c r="O1641">
        <f t="shared" si="75"/>
        <v>0.188</v>
      </c>
      <c r="P1641">
        <f t="shared" si="76"/>
        <v>8.0808080808080808E-4</v>
      </c>
      <c r="Q1641" t="str">
        <f t="shared" si="77"/>
        <v>Q26-01</v>
      </c>
    </row>
    <row r="1642" spans="1:17" x14ac:dyDescent="0.25">
      <c r="A1642" t="s">
        <v>12</v>
      </c>
      <c r="B1642" t="s">
        <v>3414</v>
      </c>
      <c r="C1642" t="s">
        <v>3415</v>
      </c>
      <c r="D1642" t="s">
        <v>388</v>
      </c>
      <c r="E1642" t="s">
        <v>3416</v>
      </c>
      <c r="F1642" s="1">
        <v>1</v>
      </c>
      <c r="G1642" s="1">
        <v>0</v>
      </c>
      <c r="H1642" t="s">
        <v>17</v>
      </c>
      <c r="I1642" t="s">
        <v>2415</v>
      </c>
      <c r="J1642" t="s">
        <v>3412</v>
      </c>
      <c r="K1642" s="3">
        <v>46774</v>
      </c>
      <c r="L1642" t="s">
        <v>3417</v>
      </c>
      <c r="M1642">
        <v>0.05</v>
      </c>
      <c r="N1642">
        <v>2000</v>
      </c>
      <c r="O1642">
        <f t="shared" si="75"/>
        <v>0.05</v>
      </c>
      <c r="P1642">
        <f t="shared" si="76"/>
        <v>5.0000000000000001E-4</v>
      </c>
      <c r="Q1642" t="str">
        <f t="shared" si="77"/>
        <v>Q26-03</v>
      </c>
    </row>
    <row r="1643" spans="1:17" x14ac:dyDescent="0.25">
      <c r="A1643" t="s">
        <v>12</v>
      </c>
      <c r="B1643" t="s">
        <v>644</v>
      </c>
      <c r="C1643" t="s">
        <v>645</v>
      </c>
      <c r="D1643" t="s">
        <v>44</v>
      </c>
      <c r="E1643" t="s">
        <v>3418</v>
      </c>
      <c r="F1643" s="1">
        <v>4</v>
      </c>
      <c r="G1643" s="1">
        <v>0</v>
      </c>
      <c r="H1643" t="s">
        <v>17</v>
      </c>
      <c r="I1643" t="s">
        <v>647</v>
      </c>
      <c r="J1643" t="s">
        <v>3412</v>
      </c>
      <c r="K1643" s="3">
        <v>46421</v>
      </c>
      <c r="L1643" t="s">
        <v>1185</v>
      </c>
      <c r="M1643">
        <v>9.4E-2</v>
      </c>
      <c r="N1643">
        <v>2475</v>
      </c>
      <c r="O1643">
        <f t="shared" si="75"/>
        <v>0.376</v>
      </c>
      <c r="P1643">
        <f t="shared" si="76"/>
        <v>1.6161616161616162E-3</v>
      </c>
      <c r="Q1643" t="str">
        <f t="shared" si="77"/>
        <v>Q26-01</v>
      </c>
    </row>
    <row r="1644" spans="1:17" x14ac:dyDescent="0.25">
      <c r="A1644" t="s">
        <v>12</v>
      </c>
      <c r="B1644" t="s">
        <v>3419</v>
      </c>
      <c r="C1644" t="s">
        <v>3420</v>
      </c>
      <c r="D1644" t="s">
        <v>1332</v>
      </c>
      <c r="E1644" t="s">
        <v>3421</v>
      </c>
      <c r="F1644" s="1">
        <v>251</v>
      </c>
      <c r="G1644" s="1">
        <v>0</v>
      </c>
      <c r="H1644" t="s">
        <v>17</v>
      </c>
      <c r="I1644" t="s">
        <v>3422</v>
      </c>
      <c r="J1644" t="s">
        <v>3409</v>
      </c>
      <c r="K1644" s="3">
        <v>46135</v>
      </c>
      <c r="L1644" t="s">
        <v>3423</v>
      </c>
      <c r="M1644">
        <v>5.1999999999999998E-2</v>
      </c>
      <c r="N1644">
        <v>2688</v>
      </c>
      <c r="O1644">
        <f t="shared" si="75"/>
        <v>13.052</v>
      </c>
      <c r="P1644">
        <f t="shared" si="76"/>
        <v>9.3377976190476192E-2</v>
      </c>
      <c r="Q1644" t="str">
        <f t="shared" si="77"/>
        <v>Q26-01</v>
      </c>
    </row>
    <row r="1645" spans="1:17" x14ac:dyDescent="0.25">
      <c r="A1645" t="s">
        <v>12</v>
      </c>
      <c r="B1645" t="s">
        <v>401</v>
      </c>
      <c r="C1645" t="s">
        <v>402</v>
      </c>
      <c r="D1645" t="s">
        <v>1332</v>
      </c>
      <c r="E1645" t="s">
        <v>3424</v>
      </c>
      <c r="F1645" s="1">
        <v>150</v>
      </c>
      <c r="G1645" s="1">
        <v>0</v>
      </c>
      <c r="H1645" t="s">
        <v>17</v>
      </c>
      <c r="I1645" t="s">
        <v>404</v>
      </c>
      <c r="J1645" t="s">
        <v>3409</v>
      </c>
      <c r="K1645" s="3">
        <v>46094</v>
      </c>
      <c r="L1645" t="s">
        <v>406</v>
      </c>
      <c r="M1645">
        <v>0</v>
      </c>
      <c r="N1645">
        <v>2646</v>
      </c>
      <c r="O1645">
        <f t="shared" si="75"/>
        <v>0</v>
      </c>
      <c r="P1645">
        <f t="shared" si="76"/>
        <v>5.6689342403628121E-2</v>
      </c>
      <c r="Q1645" t="str">
        <f t="shared" si="77"/>
        <v>Q26-01</v>
      </c>
    </row>
    <row r="1646" spans="1:17" x14ac:dyDescent="0.25">
      <c r="A1646" t="s">
        <v>12</v>
      </c>
      <c r="B1646" t="s">
        <v>3425</v>
      </c>
      <c r="C1646" t="s">
        <v>3426</v>
      </c>
      <c r="D1646" t="s">
        <v>112</v>
      </c>
      <c r="E1646" t="s">
        <v>3427</v>
      </c>
      <c r="F1646" s="1">
        <v>5</v>
      </c>
      <c r="G1646" s="1">
        <v>0</v>
      </c>
      <c r="H1646" t="s">
        <v>17</v>
      </c>
      <c r="I1646" t="s">
        <v>3428</v>
      </c>
      <c r="J1646" t="s">
        <v>3409</v>
      </c>
      <c r="K1646" s="3">
        <v>46112</v>
      </c>
      <c r="L1646" t="s">
        <v>3429</v>
      </c>
      <c r="M1646">
        <v>0.16800000000000001</v>
      </c>
      <c r="N1646">
        <v>2304</v>
      </c>
      <c r="O1646">
        <f t="shared" si="75"/>
        <v>0.84000000000000008</v>
      </c>
      <c r="P1646">
        <f t="shared" si="76"/>
        <v>2.170138888888889E-3</v>
      </c>
      <c r="Q1646" t="str">
        <f t="shared" si="77"/>
        <v>Q27-01</v>
      </c>
    </row>
    <row r="1647" spans="1:17" x14ac:dyDescent="0.25">
      <c r="A1647" t="s">
        <v>61</v>
      </c>
      <c r="B1647" t="s">
        <v>166</v>
      </c>
      <c r="C1647" t="s">
        <v>167</v>
      </c>
      <c r="D1647" t="s">
        <v>805</v>
      </c>
      <c r="E1647" t="s">
        <v>3430</v>
      </c>
      <c r="F1647" s="1">
        <v>5</v>
      </c>
      <c r="G1647" s="1">
        <v>0</v>
      </c>
      <c r="H1647" t="s">
        <v>17</v>
      </c>
      <c r="I1647" t="s">
        <v>170</v>
      </c>
      <c r="J1647" t="s">
        <v>3431</v>
      </c>
      <c r="K1647" s="3">
        <v>46173</v>
      </c>
      <c r="L1647" t="s">
        <v>214</v>
      </c>
      <c r="M1647">
        <v>9.2999999999999999E-2</v>
      </c>
      <c r="N1647">
        <v>1536</v>
      </c>
      <c r="O1647">
        <f t="shared" si="75"/>
        <v>0.46499999999999997</v>
      </c>
      <c r="P1647">
        <f t="shared" si="76"/>
        <v>3.2552083333333335E-3</v>
      </c>
      <c r="Q1647" t="str">
        <f t="shared" si="77"/>
        <v>Q27-03</v>
      </c>
    </row>
    <row r="1648" spans="1:17" x14ac:dyDescent="0.25">
      <c r="A1648" t="s">
        <v>61</v>
      </c>
      <c r="B1648" t="s">
        <v>166</v>
      </c>
      <c r="C1648" t="s">
        <v>167</v>
      </c>
      <c r="D1648" t="s">
        <v>77</v>
      </c>
      <c r="E1648" t="s">
        <v>3432</v>
      </c>
      <c r="F1648" s="1">
        <v>1</v>
      </c>
      <c r="G1648" s="1">
        <v>0</v>
      </c>
      <c r="H1648" t="s">
        <v>17</v>
      </c>
      <c r="I1648" t="s">
        <v>170</v>
      </c>
      <c r="J1648" t="s">
        <v>3431</v>
      </c>
      <c r="K1648" s="3">
        <v>46053</v>
      </c>
      <c r="L1648" t="s">
        <v>206</v>
      </c>
      <c r="M1648">
        <v>9.2999999999999999E-2</v>
      </c>
      <c r="N1648">
        <v>1536</v>
      </c>
      <c r="O1648">
        <f t="shared" si="75"/>
        <v>9.2999999999999999E-2</v>
      </c>
      <c r="P1648">
        <f t="shared" si="76"/>
        <v>6.5104166666666663E-4</v>
      </c>
      <c r="Q1648" t="str">
        <f t="shared" si="77"/>
        <v>Q27-01</v>
      </c>
    </row>
    <row r="1649" spans="1:17" x14ac:dyDescent="0.25">
      <c r="A1649" t="s">
        <v>61</v>
      </c>
      <c r="B1649" t="s">
        <v>364</v>
      </c>
      <c r="C1649" t="s">
        <v>365</v>
      </c>
      <c r="D1649" t="s">
        <v>805</v>
      </c>
      <c r="E1649" t="s">
        <v>3433</v>
      </c>
      <c r="F1649" s="1">
        <v>2</v>
      </c>
      <c r="G1649" s="1">
        <v>0</v>
      </c>
      <c r="H1649" t="s">
        <v>17</v>
      </c>
      <c r="I1649" t="s">
        <v>367</v>
      </c>
      <c r="J1649" t="s">
        <v>3431</v>
      </c>
      <c r="K1649" s="3">
        <v>46326</v>
      </c>
      <c r="L1649" t="s">
        <v>368</v>
      </c>
      <c r="M1649">
        <v>0.158</v>
      </c>
      <c r="N1649">
        <v>1152</v>
      </c>
      <c r="O1649">
        <f t="shared" si="75"/>
        <v>0.316</v>
      </c>
      <c r="P1649">
        <f t="shared" si="76"/>
        <v>1.736111111111111E-3</v>
      </c>
      <c r="Q1649" t="str">
        <f t="shared" si="77"/>
        <v>Q27-03</v>
      </c>
    </row>
    <row r="1650" spans="1:17" x14ac:dyDescent="0.25">
      <c r="A1650" t="s">
        <v>61</v>
      </c>
      <c r="B1650" t="s">
        <v>891</v>
      </c>
      <c r="C1650" t="s">
        <v>892</v>
      </c>
      <c r="D1650" t="s">
        <v>805</v>
      </c>
      <c r="E1650" t="s">
        <v>3434</v>
      </c>
      <c r="F1650" s="1">
        <v>5</v>
      </c>
      <c r="G1650" s="1">
        <v>0</v>
      </c>
      <c r="H1650" t="s">
        <v>17</v>
      </c>
      <c r="I1650" t="s">
        <v>894</v>
      </c>
      <c r="J1650" t="s">
        <v>3431</v>
      </c>
      <c r="K1650" s="3">
        <v>46356</v>
      </c>
      <c r="L1650" t="s">
        <v>1219</v>
      </c>
      <c r="M1650">
        <v>0.312</v>
      </c>
      <c r="N1650">
        <v>1680</v>
      </c>
      <c r="O1650">
        <f t="shared" si="75"/>
        <v>1.56</v>
      </c>
      <c r="P1650">
        <f t="shared" si="76"/>
        <v>2.976190476190476E-3</v>
      </c>
      <c r="Q1650" t="str">
        <f t="shared" si="77"/>
        <v>Q27-03</v>
      </c>
    </row>
    <row r="1651" spans="1:17" x14ac:dyDescent="0.25">
      <c r="A1651" t="s">
        <v>61</v>
      </c>
      <c r="B1651" t="s">
        <v>1523</v>
      </c>
      <c r="C1651" t="s">
        <v>1524</v>
      </c>
      <c r="D1651" t="s">
        <v>805</v>
      </c>
      <c r="E1651" t="s">
        <v>3435</v>
      </c>
      <c r="F1651" s="1">
        <v>91</v>
      </c>
      <c r="G1651" s="1">
        <v>0</v>
      </c>
      <c r="H1651" t="s">
        <v>17</v>
      </c>
      <c r="I1651" t="s">
        <v>1526</v>
      </c>
      <c r="J1651" t="s">
        <v>3431</v>
      </c>
      <c r="K1651" s="3">
        <v>46203</v>
      </c>
      <c r="L1651" t="s">
        <v>3436</v>
      </c>
      <c r="M1651">
        <v>4.9000000000000002E-2</v>
      </c>
      <c r="N1651">
        <v>2880</v>
      </c>
      <c r="O1651">
        <f t="shared" si="75"/>
        <v>4.4590000000000005</v>
      </c>
      <c r="P1651">
        <f t="shared" si="76"/>
        <v>3.1597222222222221E-2</v>
      </c>
      <c r="Q1651" t="str">
        <f t="shared" si="77"/>
        <v>Q27-03</v>
      </c>
    </row>
    <row r="1652" spans="1:17" x14ac:dyDescent="0.25">
      <c r="A1652" t="s">
        <v>61</v>
      </c>
      <c r="B1652" t="s">
        <v>233</v>
      </c>
      <c r="C1652" t="s">
        <v>234</v>
      </c>
      <c r="D1652" t="s">
        <v>77</v>
      </c>
      <c r="E1652" t="s">
        <v>3437</v>
      </c>
      <c r="F1652" s="1">
        <v>8</v>
      </c>
      <c r="G1652" s="1">
        <v>0</v>
      </c>
      <c r="H1652" t="s">
        <v>17</v>
      </c>
      <c r="I1652" t="s">
        <v>236</v>
      </c>
      <c r="J1652" t="s">
        <v>3431</v>
      </c>
      <c r="K1652" s="3">
        <v>46053</v>
      </c>
      <c r="L1652" t="s">
        <v>271</v>
      </c>
      <c r="M1652">
        <v>7.4999999999999997E-2</v>
      </c>
      <c r="N1652">
        <v>2688</v>
      </c>
      <c r="O1652">
        <f t="shared" si="75"/>
        <v>0.6</v>
      </c>
      <c r="P1652">
        <f t="shared" si="76"/>
        <v>2.976190476190476E-3</v>
      </c>
      <c r="Q1652" t="str">
        <f t="shared" si="77"/>
        <v>Q27-01</v>
      </c>
    </row>
    <row r="1653" spans="1:17" x14ac:dyDescent="0.25">
      <c r="A1653" t="s">
        <v>61</v>
      </c>
      <c r="B1653" t="s">
        <v>71</v>
      </c>
      <c r="C1653" t="s">
        <v>72</v>
      </c>
      <c r="D1653" t="s">
        <v>77</v>
      </c>
      <c r="E1653" t="s">
        <v>3438</v>
      </c>
      <c r="F1653" s="1">
        <v>16</v>
      </c>
      <c r="G1653" s="1">
        <v>0</v>
      </c>
      <c r="H1653" t="s">
        <v>17</v>
      </c>
      <c r="I1653" t="s">
        <v>75</v>
      </c>
      <c r="J1653" t="s">
        <v>3431</v>
      </c>
      <c r="K1653" s="3">
        <v>46022</v>
      </c>
      <c r="L1653" t="s">
        <v>2407</v>
      </c>
      <c r="M1653">
        <v>0.3</v>
      </c>
      <c r="N1653">
        <v>1680</v>
      </c>
      <c r="O1653">
        <f t="shared" si="75"/>
        <v>4.8</v>
      </c>
      <c r="P1653">
        <f t="shared" si="76"/>
        <v>9.5238095238095247E-3</v>
      </c>
      <c r="Q1653" t="str">
        <f t="shared" si="77"/>
        <v>Q27-01</v>
      </c>
    </row>
    <row r="1654" spans="1:17" x14ac:dyDescent="0.25">
      <c r="A1654" t="s">
        <v>61</v>
      </c>
      <c r="B1654" t="s">
        <v>71</v>
      </c>
      <c r="C1654" t="s">
        <v>72</v>
      </c>
      <c r="D1654" t="s">
        <v>77</v>
      </c>
      <c r="E1654" t="s">
        <v>3439</v>
      </c>
      <c r="F1654" s="1">
        <v>8</v>
      </c>
      <c r="G1654" s="1">
        <v>0</v>
      </c>
      <c r="H1654" t="s">
        <v>17</v>
      </c>
      <c r="I1654" t="s">
        <v>75</v>
      </c>
      <c r="J1654" t="s">
        <v>3431</v>
      </c>
      <c r="K1654" s="3">
        <v>46081</v>
      </c>
      <c r="L1654" t="s">
        <v>76</v>
      </c>
      <c r="M1654">
        <v>0.3</v>
      </c>
      <c r="N1654">
        <v>1680</v>
      </c>
      <c r="O1654">
        <f t="shared" si="75"/>
        <v>2.4</v>
      </c>
      <c r="P1654">
        <f t="shared" si="76"/>
        <v>4.7619047619047623E-3</v>
      </c>
      <c r="Q1654" t="str">
        <f t="shared" si="77"/>
        <v>Q27-01</v>
      </c>
    </row>
    <row r="1655" spans="1:17" x14ac:dyDescent="0.25">
      <c r="A1655" t="s">
        <v>61</v>
      </c>
      <c r="B1655" t="s">
        <v>71</v>
      </c>
      <c r="C1655" t="s">
        <v>72</v>
      </c>
      <c r="D1655" t="s">
        <v>805</v>
      </c>
      <c r="E1655" t="s">
        <v>3440</v>
      </c>
      <c r="F1655" s="1">
        <v>31</v>
      </c>
      <c r="G1655" s="1">
        <v>0</v>
      </c>
      <c r="H1655" t="s">
        <v>17</v>
      </c>
      <c r="I1655" t="s">
        <v>75</v>
      </c>
      <c r="J1655" t="s">
        <v>3431</v>
      </c>
      <c r="K1655" s="3">
        <v>46142</v>
      </c>
      <c r="L1655" t="s">
        <v>561</v>
      </c>
      <c r="M1655">
        <v>0.3</v>
      </c>
      <c r="N1655">
        <v>1680</v>
      </c>
      <c r="O1655">
        <f t="shared" si="75"/>
        <v>9.2999999999999989</v>
      </c>
      <c r="P1655">
        <f t="shared" si="76"/>
        <v>1.8452380952380953E-2</v>
      </c>
      <c r="Q1655" t="str">
        <f t="shared" si="77"/>
        <v>Q27-03</v>
      </c>
    </row>
    <row r="1656" spans="1:17" x14ac:dyDescent="0.25">
      <c r="A1656" t="s">
        <v>61</v>
      </c>
      <c r="B1656" t="s">
        <v>71</v>
      </c>
      <c r="C1656" t="s">
        <v>72</v>
      </c>
      <c r="D1656" t="s">
        <v>805</v>
      </c>
      <c r="E1656" t="s">
        <v>3441</v>
      </c>
      <c r="F1656" s="1">
        <v>23</v>
      </c>
      <c r="G1656" s="1">
        <v>0</v>
      </c>
      <c r="H1656" t="s">
        <v>17</v>
      </c>
      <c r="I1656" t="s">
        <v>75</v>
      </c>
      <c r="J1656" t="s">
        <v>3431</v>
      </c>
      <c r="K1656" s="3">
        <v>46142</v>
      </c>
      <c r="L1656" t="s">
        <v>534</v>
      </c>
      <c r="M1656">
        <v>0.3</v>
      </c>
      <c r="N1656">
        <v>1680</v>
      </c>
      <c r="O1656">
        <f t="shared" si="75"/>
        <v>6.8999999999999995</v>
      </c>
      <c r="P1656">
        <f t="shared" si="76"/>
        <v>1.369047619047619E-2</v>
      </c>
      <c r="Q1656" t="str">
        <f t="shared" si="77"/>
        <v>Q27-03</v>
      </c>
    </row>
    <row r="1657" spans="1:17" x14ac:dyDescent="0.25">
      <c r="A1657" t="s">
        <v>61</v>
      </c>
      <c r="B1657" t="s">
        <v>71</v>
      </c>
      <c r="C1657" t="s">
        <v>72</v>
      </c>
      <c r="D1657" t="s">
        <v>64</v>
      </c>
      <c r="E1657" t="s">
        <v>3442</v>
      </c>
      <c r="F1657" s="1">
        <v>4</v>
      </c>
      <c r="G1657" s="1">
        <v>0</v>
      </c>
      <c r="H1657" t="s">
        <v>17</v>
      </c>
      <c r="I1657" t="s">
        <v>75</v>
      </c>
      <c r="J1657" t="s">
        <v>3431</v>
      </c>
      <c r="K1657" s="3">
        <v>46112</v>
      </c>
      <c r="L1657" t="s">
        <v>563</v>
      </c>
      <c r="M1657">
        <v>0.3</v>
      </c>
      <c r="N1657">
        <v>1680</v>
      </c>
      <c r="O1657">
        <f t="shared" si="75"/>
        <v>1.2</v>
      </c>
      <c r="P1657">
        <f t="shared" si="76"/>
        <v>2.3809523809523812E-3</v>
      </c>
      <c r="Q1657" t="str">
        <f t="shared" si="77"/>
        <v>Q27-01</v>
      </c>
    </row>
    <row r="1658" spans="1:17" x14ac:dyDescent="0.25">
      <c r="A1658" t="s">
        <v>61</v>
      </c>
      <c r="B1658" t="s">
        <v>233</v>
      </c>
      <c r="C1658" t="s">
        <v>234</v>
      </c>
      <c r="D1658" t="s">
        <v>77</v>
      </c>
      <c r="E1658" t="s">
        <v>3443</v>
      </c>
      <c r="F1658" s="1">
        <v>2</v>
      </c>
      <c r="G1658" s="1">
        <v>0</v>
      </c>
      <c r="H1658" t="s">
        <v>17</v>
      </c>
      <c r="I1658" t="s">
        <v>236</v>
      </c>
      <c r="J1658" t="s">
        <v>3431</v>
      </c>
      <c r="K1658" s="3">
        <v>46053</v>
      </c>
      <c r="L1658" t="s">
        <v>255</v>
      </c>
      <c r="M1658">
        <v>7.4999999999999997E-2</v>
      </c>
      <c r="N1658">
        <v>2688</v>
      </c>
      <c r="O1658">
        <f t="shared" si="75"/>
        <v>0.15</v>
      </c>
      <c r="P1658">
        <f t="shared" si="76"/>
        <v>7.4404761904761901E-4</v>
      </c>
      <c r="Q1658" t="str">
        <f t="shared" si="77"/>
        <v>Q27-01</v>
      </c>
    </row>
    <row r="1659" spans="1:17" x14ac:dyDescent="0.25">
      <c r="A1659" t="s">
        <v>61</v>
      </c>
      <c r="B1659" t="s">
        <v>233</v>
      </c>
      <c r="C1659" t="s">
        <v>234</v>
      </c>
      <c r="D1659" t="s">
        <v>77</v>
      </c>
      <c r="E1659" t="s">
        <v>3444</v>
      </c>
      <c r="F1659" s="1">
        <v>4</v>
      </c>
      <c r="G1659" s="1">
        <v>0</v>
      </c>
      <c r="H1659" t="s">
        <v>17</v>
      </c>
      <c r="I1659" t="s">
        <v>236</v>
      </c>
      <c r="J1659" t="s">
        <v>3431</v>
      </c>
      <c r="K1659" s="3">
        <v>46053</v>
      </c>
      <c r="L1659" t="s">
        <v>273</v>
      </c>
      <c r="M1659">
        <v>7.4999999999999997E-2</v>
      </c>
      <c r="N1659">
        <v>2688</v>
      </c>
      <c r="O1659">
        <f t="shared" si="75"/>
        <v>0.3</v>
      </c>
      <c r="P1659">
        <f t="shared" si="76"/>
        <v>1.488095238095238E-3</v>
      </c>
      <c r="Q1659" t="str">
        <f t="shared" si="77"/>
        <v>Q27-01</v>
      </c>
    </row>
    <row r="1660" spans="1:17" x14ac:dyDescent="0.25">
      <c r="A1660" t="s">
        <v>61</v>
      </c>
      <c r="B1660" t="s">
        <v>317</v>
      </c>
      <c r="C1660" t="s">
        <v>318</v>
      </c>
      <c r="D1660" t="s">
        <v>805</v>
      </c>
      <c r="E1660" t="s">
        <v>3445</v>
      </c>
      <c r="F1660" s="1">
        <v>2</v>
      </c>
      <c r="G1660" s="1">
        <v>0</v>
      </c>
      <c r="H1660" t="s">
        <v>17</v>
      </c>
      <c r="I1660" t="s">
        <v>320</v>
      </c>
      <c r="J1660" t="s">
        <v>3431</v>
      </c>
      <c r="K1660" s="3">
        <v>46265</v>
      </c>
      <c r="L1660" t="s">
        <v>338</v>
      </c>
      <c r="M1660">
        <v>0.04</v>
      </c>
      <c r="N1660">
        <v>2688</v>
      </c>
      <c r="O1660">
        <f t="shared" si="75"/>
        <v>0.08</v>
      </c>
      <c r="P1660">
        <f t="shared" si="76"/>
        <v>7.4404761904761901E-4</v>
      </c>
      <c r="Q1660" t="str">
        <f t="shared" si="77"/>
        <v>Q27-03</v>
      </c>
    </row>
    <row r="1661" spans="1:17" x14ac:dyDescent="0.25">
      <c r="A1661" t="s">
        <v>61</v>
      </c>
      <c r="B1661" t="s">
        <v>219</v>
      </c>
      <c r="C1661" t="s">
        <v>220</v>
      </c>
      <c r="D1661" t="s">
        <v>77</v>
      </c>
      <c r="E1661" t="s">
        <v>3446</v>
      </c>
      <c r="F1661" s="1">
        <v>7</v>
      </c>
      <c r="G1661" s="1">
        <v>0</v>
      </c>
      <c r="H1661" t="s">
        <v>17</v>
      </c>
      <c r="I1661" t="s">
        <v>222</v>
      </c>
      <c r="J1661" t="s">
        <v>3431</v>
      </c>
      <c r="K1661" s="3">
        <v>46022</v>
      </c>
      <c r="L1661" t="s">
        <v>2424</v>
      </c>
      <c r="M1661">
        <v>0.3</v>
      </c>
      <c r="N1661">
        <v>1680</v>
      </c>
      <c r="O1661">
        <f t="shared" si="75"/>
        <v>2.1</v>
      </c>
      <c r="P1661">
        <f t="shared" si="76"/>
        <v>4.1666666666666666E-3</v>
      </c>
      <c r="Q1661" t="str">
        <f t="shared" si="77"/>
        <v>Q27-01</v>
      </c>
    </row>
    <row r="1662" spans="1:17" x14ac:dyDescent="0.25">
      <c r="A1662" t="s">
        <v>61</v>
      </c>
      <c r="B1662" t="s">
        <v>420</v>
      </c>
      <c r="C1662" t="s">
        <v>421</v>
      </c>
      <c r="D1662" t="s">
        <v>805</v>
      </c>
      <c r="E1662" t="s">
        <v>3447</v>
      </c>
      <c r="F1662" s="1">
        <v>13</v>
      </c>
      <c r="G1662" s="1">
        <v>0</v>
      </c>
      <c r="H1662" t="s">
        <v>17</v>
      </c>
      <c r="I1662" t="s">
        <v>423</v>
      </c>
      <c r="J1662" t="s">
        <v>3431</v>
      </c>
      <c r="K1662" s="3">
        <v>46356</v>
      </c>
      <c r="L1662" t="s">
        <v>424</v>
      </c>
      <c r="M1662">
        <v>0.156</v>
      </c>
      <c r="N1662">
        <v>1152</v>
      </c>
      <c r="O1662">
        <f t="shared" si="75"/>
        <v>2.028</v>
      </c>
      <c r="P1662">
        <f t="shared" si="76"/>
        <v>1.1284722222222222E-2</v>
      </c>
      <c r="Q1662" t="str">
        <f t="shared" si="77"/>
        <v>Q27-03</v>
      </c>
    </row>
    <row r="1663" spans="1:17" x14ac:dyDescent="0.25">
      <c r="A1663" t="s">
        <v>61</v>
      </c>
      <c r="B1663" t="s">
        <v>352</v>
      </c>
      <c r="C1663" t="s">
        <v>353</v>
      </c>
      <c r="D1663" t="s">
        <v>805</v>
      </c>
      <c r="E1663" t="s">
        <v>3448</v>
      </c>
      <c r="F1663" s="1">
        <v>39</v>
      </c>
      <c r="G1663" s="1">
        <v>0</v>
      </c>
      <c r="H1663" t="s">
        <v>17</v>
      </c>
      <c r="I1663" t="s">
        <v>355</v>
      </c>
      <c r="J1663" t="s">
        <v>3431</v>
      </c>
      <c r="K1663" s="3">
        <v>46234</v>
      </c>
      <c r="L1663" t="s">
        <v>357</v>
      </c>
      <c r="M1663">
        <v>5.0999999999999997E-2</v>
      </c>
      <c r="N1663">
        <v>2880</v>
      </c>
      <c r="O1663">
        <f t="shared" si="75"/>
        <v>1.9889999999999999</v>
      </c>
      <c r="P1663">
        <f t="shared" si="76"/>
        <v>1.3541666666666667E-2</v>
      </c>
      <c r="Q1663" t="str">
        <f t="shared" si="77"/>
        <v>Q27-03</v>
      </c>
    </row>
    <row r="1664" spans="1:17" x14ac:dyDescent="0.25">
      <c r="A1664" t="s">
        <v>61</v>
      </c>
      <c r="B1664" t="s">
        <v>62</v>
      </c>
      <c r="C1664" t="s">
        <v>63</v>
      </c>
      <c r="D1664" t="s">
        <v>77</v>
      </c>
      <c r="E1664" t="s">
        <v>3449</v>
      </c>
      <c r="F1664" s="1">
        <v>4</v>
      </c>
      <c r="G1664" s="1">
        <v>0</v>
      </c>
      <c r="H1664" t="s">
        <v>17</v>
      </c>
      <c r="I1664" t="s">
        <v>66</v>
      </c>
      <c r="J1664" t="s">
        <v>3431</v>
      </c>
      <c r="K1664" s="3">
        <v>46081</v>
      </c>
      <c r="L1664" t="s">
        <v>68</v>
      </c>
      <c r="M1664">
        <v>9.6000000000000002E-2</v>
      </c>
      <c r="N1664">
        <v>1920</v>
      </c>
      <c r="O1664">
        <f t="shared" si="75"/>
        <v>0.38400000000000001</v>
      </c>
      <c r="P1664">
        <f t="shared" si="76"/>
        <v>2.0833333333333333E-3</v>
      </c>
      <c r="Q1664" t="str">
        <f t="shared" si="77"/>
        <v>Q27-01</v>
      </c>
    </row>
    <row r="1665" spans="1:17" x14ac:dyDescent="0.25">
      <c r="A1665" t="s">
        <v>61</v>
      </c>
      <c r="B1665" t="s">
        <v>456</v>
      </c>
      <c r="C1665" t="s">
        <v>457</v>
      </c>
      <c r="D1665" t="s">
        <v>77</v>
      </c>
      <c r="E1665" t="s">
        <v>3450</v>
      </c>
      <c r="F1665" s="1">
        <v>10</v>
      </c>
      <c r="G1665" s="1">
        <v>0</v>
      </c>
      <c r="H1665" t="s">
        <v>17</v>
      </c>
      <c r="I1665" t="s">
        <v>459</v>
      </c>
      <c r="J1665" t="s">
        <v>3431</v>
      </c>
      <c r="K1665" s="3">
        <v>46022</v>
      </c>
      <c r="L1665" t="s">
        <v>2422</v>
      </c>
      <c r="M1665">
        <v>0.22600000000000001</v>
      </c>
      <c r="N1665">
        <v>1680</v>
      </c>
      <c r="O1665">
        <f t="shared" si="75"/>
        <v>2.2600000000000002</v>
      </c>
      <c r="P1665">
        <f t="shared" si="76"/>
        <v>5.9523809523809521E-3</v>
      </c>
      <c r="Q1665" t="str">
        <f t="shared" si="77"/>
        <v>Q27-01</v>
      </c>
    </row>
    <row r="1666" spans="1:17" x14ac:dyDescent="0.25">
      <c r="A1666" t="s">
        <v>61</v>
      </c>
      <c r="B1666" t="s">
        <v>456</v>
      </c>
      <c r="C1666" t="s">
        <v>457</v>
      </c>
      <c r="D1666" t="s">
        <v>805</v>
      </c>
      <c r="E1666" t="s">
        <v>3451</v>
      </c>
      <c r="F1666" s="1">
        <v>5</v>
      </c>
      <c r="G1666" s="1">
        <v>0</v>
      </c>
      <c r="H1666" t="s">
        <v>17</v>
      </c>
      <c r="I1666" t="s">
        <v>459</v>
      </c>
      <c r="J1666" t="s">
        <v>3431</v>
      </c>
      <c r="K1666" s="3">
        <v>46387</v>
      </c>
      <c r="L1666" t="s">
        <v>1213</v>
      </c>
      <c r="M1666">
        <v>0.22600000000000001</v>
      </c>
      <c r="N1666">
        <v>1680</v>
      </c>
      <c r="O1666">
        <f t="shared" si="75"/>
        <v>1.1300000000000001</v>
      </c>
      <c r="P1666">
        <f t="shared" si="76"/>
        <v>2.976190476190476E-3</v>
      </c>
      <c r="Q1666" t="str">
        <f t="shared" si="77"/>
        <v>Q27-03</v>
      </c>
    </row>
    <row r="1667" spans="1:17" x14ac:dyDescent="0.25">
      <c r="A1667" t="s">
        <v>61</v>
      </c>
      <c r="B1667" t="s">
        <v>456</v>
      </c>
      <c r="C1667" t="s">
        <v>457</v>
      </c>
      <c r="D1667" t="s">
        <v>805</v>
      </c>
      <c r="E1667" t="s">
        <v>3452</v>
      </c>
      <c r="F1667" s="1">
        <v>11</v>
      </c>
      <c r="G1667" s="1">
        <v>0</v>
      </c>
      <c r="H1667" t="s">
        <v>17</v>
      </c>
      <c r="I1667" t="s">
        <v>459</v>
      </c>
      <c r="J1667" t="s">
        <v>3431</v>
      </c>
      <c r="K1667" s="3">
        <v>46142</v>
      </c>
      <c r="L1667" t="s">
        <v>510</v>
      </c>
      <c r="M1667">
        <v>0.22600000000000001</v>
      </c>
      <c r="N1667">
        <v>1680</v>
      </c>
      <c r="O1667">
        <f t="shared" ref="O1667:O1730" si="78">F1667*M1667</f>
        <v>2.4860000000000002</v>
      </c>
      <c r="P1667">
        <f t="shared" ref="P1667:P1730" si="79">F1667/N1667</f>
        <v>6.5476190476190478E-3</v>
      </c>
      <c r="Q1667" t="str">
        <f t="shared" ref="Q1667:Q1730" si="80">LEFT(D1667,6)</f>
        <v>Q27-03</v>
      </c>
    </row>
    <row r="1668" spans="1:17" x14ac:dyDescent="0.25">
      <c r="A1668" t="s">
        <v>61</v>
      </c>
      <c r="B1668" t="s">
        <v>456</v>
      </c>
      <c r="C1668" t="s">
        <v>457</v>
      </c>
      <c r="D1668" t="s">
        <v>805</v>
      </c>
      <c r="E1668" t="s">
        <v>3453</v>
      </c>
      <c r="F1668" s="1">
        <v>4</v>
      </c>
      <c r="G1668" s="1">
        <v>0</v>
      </c>
      <c r="H1668" t="s">
        <v>17</v>
      </c>
      <c r="I1668" t="s">
        <v>459</v>
      </c>
      <c r="J1668" t="s">
        <v>3431</v>
      </c>
      <c r="K1668" s="3">
        <v>46142</v>
      </c>
      <c r="L1668" t="s">
        <v>616</v>
      </c>
      <c r="M1668">
        <v>0.22600000000000001</v>
      </c>
      <c r="N1668">
        <v>1680</v>
      </c>
      <c r="O1668">
        <f t="shared" si="78"/>
        <v>0.90400000000000003</v>
      </c>
      <c r="P1668">
        <f t="shared" si="79"/>
        <v>2.3809523809523812E-3</v>
      </c>
      <c r="Q1668" t="str">
        <f t="shared" si="80"/>
        <v>Q27-03</v>
      </c>
    </row>
    <row r="1669" spans="1:17" x14ac:dyDescent="0.25">
      <c r="A1669" t="s">
        <v>12</v>
      </c>
      <c r="B1669" t="s">
        <v>2371</v>
      </c>
      <c r="C1669" t="s">
        <v>2372</v>
      </c>
      <c r="D1669" t="s">
        <v>388</v>
      </c>
      <c r="E1669" t="s">
        <v>3454</v>
      </c>
      <c r="F1669" s="1">
        <v>56</v>
      </c>
      <c r="G1669" s="1">
        <v>0</v>
      </c>
      <c r="H1669" t="s">
        <v>17</v>
      </c>
      <c r="I1669" t="s">
        <v>2374</v>
      </c>
      <c r="J1669" t="s">
        <v>3455</v>
      </c>
      <c r="K1669" s="3">
        <v>47093</v>
      </c>
      <c r="L1669" t="s">
        <v>3456</v>
      </c>
      <c r="M1669">
        <v>3.2000000000000001E-2</v>
      </c>
      <c r="N1669">
        <v>2160</v>
      </c>
      <c r="O1669">
        <f t="shared" si="78"/>
        <v>1.792</v>
      </c>
      <c r="P1669">
        <f t="shared" si="79"/>
        <v>2.5925925925925925E-2</v>
      </c>
      <c r="Q1669" t="str">
        <f t="shared" si="80"/>
        <v>Q26-03</v>
      </c>
    </row>
    <row r="1670" spans="1:17" x14ac:dyDescent="0.25">
      <c r="A1670" t="s">
        <v>12</v>
      </c>
      <c r="B1670" t="s">
        <v>2371</v>
      </c>
      <c r="C1670" t="s">
        <v>2372</v>
      </c>
      <c r="D1670" t="s">
        <v>388</v>
      </c>
      <c r="E1670" t="s">
        <v>3457</v>
      </c>
      <c r="F1670" s="1">
        <v>3</v>
      </c>
      <c r="G1670" s="1">
        <v>0</v>
      </c>
      <c r="H1670" t="s">
        <v>17</v>
      </c>
      <c r="I1670" t="s">
        <v>2374</v>
      </c>
      <c r="J1670" t="s">
        <v>3455</v>
      </c>
      <c r="K1670" s="3">
        <v>47093</v>
      </c>
      <c r="L1670" t="s">
        <v>3456</v>
      </c>
      <c r="M1670">
        <v>3.2000000000000001E-2</v>
      </c>
      <c r="N1670">
        <v>2160</v>
      </c>
      <c r="O1670">
        <f t="shared" si="78"/>
        <v>9.6000000000000002E-2</v>
      </c>
      <c r="P1670">
        <f t="shared" si="79"/>
        <v>1.3888888888888889E-3</v>
      </c>
      <c r="Q1670" t="str">
        <f t="shared" si="80"/>
        <v>Q26-03</v>
      </c>
    </row>
    <row r="1671" spans="1:17" x14ac:dyDescent="0.25">
      <c r="A1671" t="s">
        <v>61</v>
      </c>
      <c r="B1671" t="s">
        <v>71</v>
      </c>
      <c r="C1671" t="s">
        <v>72</v>
      </c>
      <c r="D1671" t="s">
        <v>244</v>
      </c>
      <c r="E1671" t="s">
        <v>3458</v>
      </c>
      <c r="F1671" s="1">
        <v>4</v>
      </c>
      <c r="G1671" s="1">
        <v>0</v>
      </c>
      <c r="H1671" t="s">
        <v>17</v>
      </c>
      <c r="I1671" t="s">
        <v>75</v>
      </c>
      <c r="J1671" t="s">
        <v>3459</v>
      </c>
      <c r="K1671" s="3">
        <v>46752</v>
      </c>
      <c r="L1671" t="s">
        <v>3460</v>
      </c>
      <c r="M1671">
        <v>0.3</v>
      </c>
      <c r="N1671">
        <v>1680</v>
      </c>
      <c r="O1671">
        <f t="shared" si="78"/>
        <v>1.2</v>
      </c>
      <c r="P1671">
        <f t="shared" si="79"/>
        <v>2.3809523809523812E-3</v>
      </c>
      <c r="Q1671" t="str">
        <f t="shared" si="80"/>
        <v>Q27-03</v>
      </c>
    </row>
    <row r="1672" spans="1:17" x14ac:dyDescent="0.25">
      <c r="A1672" t="s">
        <v>61</v>
      </c>
      <c r="B1672" t="s">
        <v>71</v>
      </c>
      <c r="C1672" t="s">
        <v>72</v>
      </c>
      <c r="D1672" t="s">
        <v>805</v>
      </c>
      <c r="E1672" t="s">
        <v>3461</v>
      </c>
      <c r="F1672" s="1">
        <v>3</v>
      </c>
      <c r="G1672" s="1">
        <v>0</v>
      </c>
      <c r="H1672" t="s">
        <v>17</v>
      </c>
      <c r="I1672" t="s">
        <v>75</v>
      </c>
      <c r="J1672" t="s">
        <v>3459</v>
      </c>
      <c r="K1672" s="3">
        <v>46752</v>
      </c>
      <c r="L1672" t="s">
        <v>3460</v>
      </c>
      <c r="M1672">
        <v>0.3</v>
      </c>
      <c r="N1672">
        <v>1680</v>
      </c>
      <c r="O1672">
        <f t="shared" si="78"/>
        <v>0.89999999999999991</v>
      </c>
      <c r="P1672">
        <f t="shared" si="79"/>
        <v>1.7857142857142857E-3</v>
      </c>
      <c r="Q1672" t="str">
        <f t="shared" si="80"/>
        <v>Q27-03</v>
      </c>
    </row>
    <row r="1673" spans="1:17" x14ac:dyDescent="0.25">
      <c r="A1673" t="s">
        <v>61</v>
      </c>
      <c r="B1673" t="s">
        <v>420</v>
      </c>
      <c r="C1673" t="s">
        <v>421</v>
      </c>
      <c r="D1673" t="s">
        <v>382</v>
      </c>
      <c r="E1673" t="s">
        <v>3462</v>
      </c>
      <c r="F1673" s="1">
        <v>3</v>
      </c>
      <c r="G1673" s="1">
        <v>0</v>
      </c>
      <c r="H1673" t="s">
        <v>17</v>
      </c>
      <c r="I1673" t="s">
        <v>423</v>
      </c>
      <c r="J1673" t="s">
        <v>3459</v>
      </c>
      <c r="K1673" s="3">
        <v>46965</v>
      </c>
      <c r="L1673" t="s">
        <v>3463</v>
      </c>
      <c r="M1673">
        <v>0.156</v>
      </c>
      <c r="N1673">
        <v>1152</v>
      </c>
      <c r="O1673">
        <f t="shared" si="78"/>
        <v>0.46799999999999997</v>
      </c>
      <c r="P1673">
        <f t="shared" si="79"/>
        <v>2.6041666666666665E-3</v>
      </c>
      <c r="Q1673" t="str">
        <f t="shared" si="80"/>
        <v>Q27-03</v>
      </c>
    </row>
    <row r="1674" spans="1:17" x14ac:dyDescent="0.25">
      <c r="A1674" t="s">
        <v>61</v>
      </c>
      <c r="B1674" t="s">
        <v>420</v>
      </c>
      <c r="C1674" t="s">
        <v>421</v>
      </c>
      <c r="D1674" t="s">
        <v>382</v>
      </c>
      <c r="E1674" t="s">
        <v>3464</v>
      </c>
      <c r="F1674" s="1">
        <v>4</v>
      </c>
      <c r="G1674" s="1">
        <v>0</v>
      </c>
      <c r="H1674" t="s">
        <v>17</v>
      </c>
      <c r="I1674" t="s">
        <v>423</v>
      </c>
      <c r="J1674" t="s">
        <v>3459</v>
      </c>
      <c r="K1674" s="3">
        <v>46965</v>
      </c>
      <c r="L1674" t="s">
        <v>3463</v>
      </c>
      <c r="M1674">
        <v>0.156</v>
      </c>
      <c r="N1674">
        <v>1152</v>
      </c>
      <c r="O1674">
        <f t="shared" si="78"/>
        <v>0.624</v>
      </c>
      <c r="P1674">
        <f t="shared" si="79"/>
        <v>3.472222222222222E-3</v>
      </c>
      <c r="Q1674" t="str">
        <f t="shared" si="80"/>
        <v>Q27-03</v>
      </c>
    </row>
    <row r="1675" spans="1:17" x14ac:dyDescent="0.25">
      <c r="A1675" t="s">
        <v>61</v>
      </c>
      <c r="B1675" t="s">
        <v>420</v>
      </c>
      <c r="C1675" t="s">
        <v>421</v>
      </c>
      <c r="D1675" t="s">
        <v>191</v>
      </c>
      <c r="E1675" t="s">
        <v>3465</v>
      </c>
      <c r="F1675" s="1">
        <v>12</v>
      </c>
      <c r="G1675" s="1">
        <v>0</v>
      </c>
      <c r="H1675" t="s">
        <v>17</v>
      </c>
      <c r="I1675" t="s">
        <v>423</v>
      </c>
      <c r="J1675" t="s">
        <v>3459</v>
      </c>
      <c r="K1675" s="3">
        <v>46965</v>
      </c>
      <c r="L1675" t="s">
        <v>3463</v>
      </c>
      <c r="M1675">
        <v>0.156</v>
      </c>
      <c r="N1675">
        <v>1152</v>
      </c>
      <c r="O1675">
        <f t="shared" si="78"/>
        <v>1.8719999999999999</v>
      </c>
      <c r="P1675">
        <f t="shared" si="79"/>
        <v>1.0416666666666666E-2</v>
      </c>
      <c r="Q1675" t="str">
        <f t="shared" si="80"/>
        <v>Q27-03</v>
      </c>
    </row>
    <row r="1676" spans="1:17" x14ac:dyDescent="0.25">
      <c r="A1676" t="s">
        <v>61</v>
      </c>
      <c r="B1676" t="s">
        <v>420</v>
      </c>
      <c r="C1676" t="s">
        <v>421</v>
      </c>
      <c r="D1676" t="s">
        <v>805</v>
      </c>
      <c r="E1676" t="s">
        <v>3466</v>
      </c>
      <c r="F1676" s="1">
        <v>10</v>
      </c>
      <c r="G1676" s="1">
        <v>0</v>
      </c>
      <c r="H1676" t="s">
        <v>17</v>
      </c>
      <c r="I1676" t="s">
        <v>423</v>
      </c>
      <c r="J1676" t="s">
        <v>3459</v>
      </c>
      <c r="K1676" s="3">
        <v>46965</v>
      </c>
      <c r="L1676" t="s">
        <v>3463</v>
      </c>
      <c r="M1676">
        <v>0.156</v>
      </c>
      <c r="N1676">
        <v>1152</v>
      </c>
      <c r="O1676">
        <f t="shared" si="78"/>
        <v>1.56</v>
      </c>
      <c r="P1676">
        <f t="shared" si="79"/>
        <v>8.6805555555555559E-3</v>
      </c>
      <c r="Q1676" t="str">
        <f t="shared" si="80"/>
        <v>Q27-03</v>
      </c>
    </row>
    <row r="1677" spans="1:17" x14ac:dyDescent="0.25">
      <c r="A1677" t="s">
        <v>61</v>
      </c>
      <c r="B1677" t="s">
        <v>420</v>
      </c>
      <c r="C1677" t="s">
        <v>421</v>
      </c>
      <c r="D1677" t="s">
        <v>805</v>
      </c>
      <c r="E1677" t="s">
        <v>3467</v>
      </c>
      <c r="F1677" s="1">
        <v>1</v>
      </c>
      <c r="G1677" s="1">
        <v>0</v>
      </c>
      <c r="H1677" t="s">
        <v>17</v>
      </c>
      <c r="I1677" t="s">
        <v>423</v>
      </c>
      <c r="J1677" t="s">
        <v>3459</v>
      </c>
      <c r="K1677" s="3">
        <v>46965</v>
      </c>
      <c r="L1677" t="s">
        <v>3463</v>
      </c>
      <c r="M1677">
        <v>0.156</v>
      </c>
      <c r="N1677">
        <v>1152</v>
      </c>
      <c r="O1677">
        <f t="shared" si="78"/>
        <v>0.156</v>
      </c>
      <c r="P1677">
        <f t="shared" si="79"/>
        <v>8.6805555555555551E-4</v>
      </c>
      <c r="Q1677" t="str">
        <f t="shared" si="80"/>
        <v>Q27-03</v>
      </c>
    </row>
    <row r="1678" spans="1:17" x14ac:dyDescent="0.25">
      <c r="A1678" t="s">
        <v>61</v>
      </c>
      <c r="B1678" t="s">
        <v>420</v>
      </c>
      <c r="C1678" t="s">
        <v>421</v>
      </c>
      <c r="D1678" t="s">
        <v>805</v>
      </c>
      <c r="E1678" t="s">
        <v>3468</v>
      </c>
      <c r="F1678" s="1">
        <v>3</v>
      </c>
      <c r="G1678" s="1">
        <v>0</v>
      </c>
      <c r="H1678" t="s">
        <v>17</v>
      </c>
      <c r="I1678" t="s">
        <v>423</v>
      </c>
      <c r="J1678" t="s">
        <v>3459</v>
      </c>
      <c r="K1678" s="3">
        <v>46965</v>
      </c>
      <c r="L1678" t="s">
        <v>3463</v>
      </c>
      <c r="M1678">
        <v>0.156</v>
      </c>
      <c r="N1678">
        <v>1152</v>
      </c>
      <c r="O1678">
        <f t="shared" si="78"/>
        <v>0.46799999999999997</v>
      </c>
      <c r="P1678">
        <f t="shared" si="79"/>
        <v>2.6041666666666665E-3</v>
      </c>
      <c r="Q1678" t="str">
        <f t="shared" si="80"/>
        <v>Q27-03</v>
      </c>
    </row>
    <row r="1679" spans="1:17" x14ac:dyDescent="0.25">
      <c r="A1679" t="s">
        <v>61</v>
      </c>
      <c r="B1679" t="s">
        <v>420</v>
      </c>
      <c r="C1679" t="s">
        <v>421</v>
      </c>
      <c r="D1679" t="s">
        <v>805</v>
      </c>
      <c r="E1679" t="s">
        <v>3469</v>
      </c>
      <c r="F1679" s="1">
        <v>2</v>
      </c>
      <c r="G1679" s="1">
        <v>0</v>
      </c>
      <c r="H1679" t="s">
        <v>17</v>
      </c>
      <c r="I1679" t="s">
        <v>423</v>
      </c>
      <c r="J1679" t="s">
        <v>3459</v>
      </c>
      <c r="K1679" s="3">
        <v>46965</v>
      </c>
      <c r="L1679" t="s">
        <v>3463</v>
      </c>
      <c r="M1679">
        <v>0.156</v>
      </c>
      <c r="N1679">
        <v>1152</v>
      </c>
      <c r="O1679">
        <f t="shared" si="78"/>
        <v>0.312</v>
      </c>
      <c r="P1679">
        <f t="shared" si="79"/>
        <v>1.736111111111111E-3</v>
      </c>
      <c r="Q1679" t="str">
        <f t="shared" si="80"/>
        <v>Q27-03</v>
      </c>
    </row>
    <row r="1680" spans="1:17" x14ac:dyDescent="0.25">
      <c r="A1680" t="s">
        <v>61</v>
      </c>
      <c r="B1680" t="s">
        <v>456</v>
      </c>
      <c r="C1680" t="s">
        <v>457</v>
      </c>
      <c r="D1680" t="s">
        <v>382</v>
      </c>
      <c r="E1680" t="s">
        <v>3470</v>
      </c>
      <c r="F1680" s="1">
        <v>39</v>
      </c>
      <c r="G1680" s="1">
        <v>0</v>
      </c>
      <c r="H1680" t="s">
        <v>17</v>
      </c>
      <c r="I1680" t="s">
        <v>459</v>
      </c>
      <c r="J1680" t="s">
        <v>3471</v>
      </c>
      <c r="K1680" s="3">
        <v>46721</v>
      </c>
      <c r="L1680" t="s">
        <v>3472</v>
      </c>
      <c r="M1680">
        <v>0.22600000000000001</v>
      </c>
      <c r="N1680">
        <v>1680</v>
      </c>
      <c r="O1680">
        <f t="shared" si="78"/>
        <v>8.8140000000000001</v>
      </c>
      <c r="P1680">
        <f t="shared" si="79"/>
        <v>2.3214285714285715E-2</v>
      </c>
      <c r="Q1680" t="str">
        <f t="shared" si="80"/>
        <v>Q27-03</v>
      </c>
    </row>
    <row r="1681" spans="1:17" x14ac:dyDescent="0.25">
      <c r="A1681" t="s">
        <v>61</v>
      </c>
      <c r="B1681" t="s">
        <v>456</v>
      </c>
      <c r="C1681" t="s">
        <v>457</v>
      </c>
      <c r="D1681" t="s">
        <v>805</v>
      </c>
      <c r="E1681" t="s">
        <v>3473</v>
      </c>
      <c r="F1681" s="1">
        <v>7</v>
      </c>
      <c r="G1681" s="1">
        <v>0</v>
      </c>
      <c r="H1681" t="s">
        <v>17</v>
      </c>
      <c r="I1681" t="s">
        <v>459</v>
      </c>
      <c r="J1681" t="s">
        <v>3471</v>
      </c>
      <c r="K1681" s="3">
        <v>46721</v>
      </c>
      <c r="L1681" t="s">
        <v>3472</v>
      </c>
      <c r="M1681">
        <v>0.22600000000000001</v>
      </c>
      <c r="N1681">
        <v>1680</v>
      </c>
      <c r="O1681">
        <f t="shared" si="78"/>
        <v>1.5820000000000001</v>
      </c>
      <c r="P1681">
        <f t="shared" si="79"/>
        <v>4.1666666666666666E-3</v>
      </c>
      <c r="Q1681" t="str">
        <f t="shared" si="80"/>
        <v>Q27-03</v>
      </c>
    </row>
    <row r="1682" spans="1:17" x14ac:dyDescent="0.25">
      <c r="A1682" t="s">
        <v>61</v>
      </c>
      <c r="B1682" t="s">
        <v>364</v>
      </c>
      <c r="C1682" t="s">
        <v>365</v>
      </c>
      <c r="D1682" t="s">
        <v>382</v>
      </c>
      <c r="E1682" t="s">
        <v>3474</v>
      </c>
      <c r="F1682" s="1">
        <v>13</v>
      </c>
      <c r="G1682" s="1">
        <v>0</v>
      </c>
      <c r="H1682" t="s">
        <v>17</v>
      </c>
      <c r="I1682" t="s">
        <v>367</v>
      </c>
      <c r="J1682" t="s">
        <v>3471</v>
      </c>
      <c r="K1682" s="3">
        <v>46965</v>
      </c>
      <c r="L1682" t="s">
        <v>3475</v>
      </c>
      <c r="M1682">
        <v>0.158</v>
      </c>
      <c r="N1682">
        <v>1152</v>
      </c>
      <c r="O1682">
        <f t="shared" si="78"/>
        <v>2.0539999999999998</v>
      </c>
      <c r="P1682">
        <f t="shared" si="79"/>
        <v>1.1284722222222222E-2</v>
      </c>
      <c r="Q1682" t="str">
        <f t="shared" si="80"/>
        <v>Q27-03</v>
      </c>
    </row>
    <row r="1683" spans="1:17" x14ac:dyDescent="0.25">
      <c r="A1683" t="s">
        <v>61</v>
      </c>
      <c r="B1683" t="s">
        <v>364</v>
      </c>
      <c r="C1683" t="s">
        <v>365</v>
      </c>
      <c r="D1683" t="s">
        <v>382</v>
      </c>
      <c r="E1683" t="s">
        <v>3476</v>
      </c>
      <c r="F1683" s="1">
        <v>20</v>
      </c>
      <c r="G1683" s="1">
        <v>0</v>
      </c>
      <c r="H1683" t="s">
        <v>17</v>
      </c>
      <c r="I1683" t="s">
        <v>367</v>
      </c>
      <c r="J1683" t="s">
        <v>3471</v>
      </c>
      <c r="K1683" s="3">
        <v>46965</v>
      </c>
      <c r="L1683" t="s">
        <v>3475</v>
      </c>
      <c r="M1683">
        <v>0.158</v>
      </c>
      <c r="N1683">
        <v>1152</v>
      </c>
      <c r="O1683">
        <f t="shared" si="78"/>
        <v>3.16</v>
      </c>
      <c r="P1683">
        <f t="shared" si="79"/>
        <v>1.7361111111111112E-2</v>
      </c>
      <c r="Q1683" t="str">
        <f t="shared" si="80"/>
        <v>Q27-03</v>
      </c>
    </row>
    <row r="1684" spans="1:17" x14ac:dyDescent="0.25">
      <c r="A1684" t="s">
        <v>61</v>
      </c>
      <c r="B1684" t="s">
        <v>364</v>
      </c>
      <c r="C1684" t="s">
        <v>365</v>
      </c>
      <c r="D1684" t="s">
        <v>805</v>
      </c>
      <c r="E1684" t="s">
        <v>3477</v>
      </c>
      <c r="F1684" s="1">
        <v>18</v>
      </c>
      <c r="G1684" s="1">
        <v>0</v>
      </c>
      <c r="H1684" t="s">
        <v>17</v>
      </c>
      <c r="I1684" t="s">
        <v>367</v>
      </c>
      <c r="J1684" t="s">
        <v>3471</v>
      </c>
      <c r="K1684" s="3">
        <v>46965</v>
      </c>
      <c r="L1684" t="s">
        <v>3475</v>
      </c>
      <c r="M1684">
        <v>0.158</v>
      </c>
      <c r="N1684">
        <v>1152</v>
      </c>
      <c r="O1684">
        <f t="shared" si="78"/>
        <v>2.8439999999999999</v>
      </c>
      <c r="P1684">
        <f t="shared" si="79"/>
        <v>1.5625E-2</v>
      </c>
      <c r="Q1684" t="str">
        <f t="shared" si="80"/>
        <v>Q27-03</v>
      </c>
    </row>
    <row r="1685" spans="1:17" x14ac:dyDescent="0.25">
      <c r="A1685" t="s">
        <v>61</v>
      </c>
      <c r="B1685" t="s">
        <v>364</v>
      </c>
      <c r="C1685" t="s">
        <v>365</v>
      </c>
      <c r="D1685" t="s">
        <v>805</v>
      </c>
      <c r="E1685" t="s">
        <v>3478</v>
      </c>
      <c r="F1685" s="1">
        <v>23</v>
      </c>
      <c r="G1685" s="1">
        <v>0</v>
      </c>
      <c r="H1685" t="s">
        <v>17</v>
      </c>
      <c r="I1685" t="s">
        <v>367</v>
      </c>
      <c r="J1685" t="s">
        <v>3471</v>
      </c>
      <c r="K1685" s="3">
        <v>46965</v>
      </c>
      <c r="L1685" t="s">
        <v>3475</v>
      </c>
      <c r="M1685">
        <v>0.158</v>
      </c>
      <c r="N1685">
        <v>1152</v>
      </c>
      <c r="O1685">
        <f t="shared" si="78"/>
        <v>3.6339999999999999</v>
      </c>
      <c r="P1685">
        <f t="shared" si="79"/>
        <v>1.9965277777777776E-2</v>
      </c>
      <c r="Q1685" t="str">
        <f t="shared" si="80"/>
        <v>Q27-03</v>
      </c>
    </row>
    <row r="1686" spans="1:17" x14ac:dyDescent="0.25">
      <c r="A1686" t="s">
        <v>61</v>
      </c>
      <c r="B1686" t="s">
        <v>364</v>
      </c>
      <c r="C1686" t="s">
        <v>365</v>
      </c>
      <c r="D1686" t="s">
        <v>198</v>
      </c>
      <c r="E1686" t="s">
        <v>3479</v>
      </c>
      <c r="F1686" s="1">
        <v>27</v>
      </c>
      <c r="G1686" s="1">
        <v>0</v>
      </c>
      <c r="H1686" t="s">
        <v>17</v>
      </c>
      <c r="I1686" t="s">
        <v>367</v>
      </c>
      <c r="J1686" t="s">
        <v>3471</v>
      </c>
      <c r="K1686" s="3">
        <v>46965</v>
      </c>
      <c r="L1686" t="s">
        <v>3475</v>
      </c>
      <c r="M1686">
        <v>0.158</v>
      </c>
      <c r="N1686">
        <v>1152</v>
      </c>
      <c r="O1686">
        <f t="shared" si="78"/>
        <v>4.266</v>
      </c>
      <c r="P1686">
        <f t="shared" si="79"/>
        <v>2.34375E-2</v>
      </c>
      <c r="Q1686" t="str">
        <f t="shared" si="80"/>
        <v>Q27-03</v>
      </c>
    </row>
    <row r="1687" spans="1:17" x14ac:dyDescent="0.25">
      <c r="A1687" t="s">
        <v>61</v>
      </c>
      <c r="B1687" t="s">
        <v>420</v>
      </c>
      <c r="C1687" t="s">
        <v>421</v>
      </c>
      <c r="D1687" t="s">
        <v>191</v>
      </c>
      <c r="E1687" t="s">
        <v>3480</v>
      </c>
      <c r="F1687" s="1">
        <v>14</v>
      </c>
      <c r="G1687" s="1">
        <v>0</v>
      </c>
      <c r="H1687" t="s">
        <v>17</v>
      </c>
      <c r="I1687" t="s">
        <v>423</v>
      </c>
      <c r="J1687" t="s">
        <v>3471</v>
      </c>
      <c r="K1687" s="3">
        <v>46965</v>
      </c>
      <c r="L1687" t="s">
        <v>3481</v>
      </c>
      <c r="M1687">
        <v>0.156</v>
      </c>
      <c r="N1687">
        <v>1152</v>
      </c>
      <c r="O1687">
        <f t="shared" si="78"/>
        <v>2.1840000000000002</v>
      </c>
      <c r="P1687">
        <f t="shared" si="79"/>
        <v>1.2152777777777778E-2</v>
      </c>
      <c r="Q1687" t="str">
        <f t="shared" si="80"/>
        <v>Q27-03</v>
      </c>
    </row>
    <row r="1688" spans="1:17" x14ac:dyDescent="0.25">
      <c r="A1688" t="s">
        <v>61</v>
      </c>
      <c r="B1688" t="s">
        <v>420</v>
      </c>
      <c r="C1688" t="s">
        <v>421</v>
      </c>
      <c r="D1688" t="s">
        <v>805</v>
      </c>
      <c r="E1688" t="s">
        <v>3482</v>
      </c>
      <c r="F1688" s="1">
        <v>11</v>
      </c>
      <c r="G1688" s="1">
        <v>0</v>
      </c>
      <c r="H1688" t="s">
        <v>17</v>
      </c>
      <c r="I1688" t="s">
        <v>423</v>
      </c>
      <c r="J1688" t="s">
        <v>3471</v>
      </c>
      <c r="K1688" s="3">
        <v>46965</v>
      </c>
      <c r="L1688" t="s">
        <v>3481</v>
      </c>
      <c r="M1688">
        <v>0.156</v>
      </c>
      <c r="N1688">
        <v>1152</v>
      </c>
      <c r="O1688">
        <f t="shared" si="78"/>
        <v>1.716</v>
      </c>
      <c r="P1688">
        <f t="shared" si="79"/>
        <v>9.5486111111111119E-3</v>
      </c>
      <c r="Q1688" t="str">
        <f t="shared" si="80"/>
        <v>Q27-03</v>
      </c>
    </row>
    <row r="1689" spans="1:17" x14ac:dyDescent="0.25">
      <c r="A1689" t="s">
        <v>61</v>
      </c>
      <c r="B1689" t="s">
        <v>420</v>
      </c>
      <c r="C1689" t="s">
        <v>421</v>
      </c>
      <c r="D1689" t="s">
        <v>805</v>
      </c>
      <c r="E1689" t="s">
        <v>3483</v>
      </c>
      <c r="F1689" s="1">
        <v>3</v>
      </c>
      <c r="G1689" s="1">
        <v>0</v>
      </c>
      <c r="H1689" t="s">
        <v>17</v>
      </c>
      <c r="I1689" t="s">
        <v>423</v>
      </c>
      <c r="J1689" t="s">
        <v>3471</v>
      </c>
      <c r="K1689" s="3">
        <v>46965</v>
      </c>
      <c r="L1689" t="s">
        <v>3481</v>
      </c>
      <c r="M1689">
        <v>0.156</v>
      </c>
      <c r="N1689">
        <v>1152</v>
      </c>
      <c r="O1689">
        <f t="shared" si="78"/>
        <v>0.46799999999999997</v>
      </c>
      <c r="P1689">
        <f t="shared" si="79"/>
        <v>2.6041666666666665E-3</v>
      </c>
      <c r="Q1689" t="str">
        <f t="shared" si="80"/>
        <v>Q27-03</v>
      </c>
    </row>
    <row r="1690" spans="1:17" x14ac:dyDescent="0.25">
      <c r="A1690" t="s">
        <v>61</v>
      </c>
      <c r="B1690" t="s">
        <v>420</v>
      </c>
      <c r="C1690" t="s">
        <v>421</v>
      </c>
      <c r="D1690" t="s">
        <v>805</v>
      </c>
      <c r="E1690" t="s">
        <v>3484</v>
      </c>
      <c r="F1690" s="1">
        <v>6</v>
      </c>
      <c r="G1690" s="1">
        <v>0</v>
      </c>
      <c r="H1690" t="s">
        <v>17</v>
      </c>
      <c r="I1690" t="s">
        <v>423</v>
      </c>
      <c r="J1690" t="s">
        <v>3471</v>
      </c>
      <c r="K1690" s="3">
        <v>46965</v>
      </c>
      <c r="L1690" t="s">
        <v>3481</v>
      </c>
      <c r="M1690">
        <v>0.156</v>
      </c>
      <c r="N1690">
        <v>1152</v>
      </c>
      <c r="O1690">
        <f t="shared" si="78"/>
        <v>0.93599999999999994</v>
      </c>
      <c r="P1690">
        <f t="shared" si="79"/>
        <v>5.208333333333333E-3</v>
      </c>
      <c r="Q1690" t="str">
        <f t="shared" si="80"/>
        <v>Q27-03</v>
      </c>
    </row>
    <row r="1691" spans="1:17" x14ac:dyDescent="0.25">
      <c r="A1691" t="s">
        <v>61</v>
      </c>
      <c r="B1691" t="s">
        <v>233</v>
      </c>
      <c r="C1691" t="s">
        <v>234</v>
      </c>
      <c r="D1691" t="s">
        <v>382</v>
      </c>
      <c r="E1691" t="s">
        <v>3485</v>
      </c>
      <c r="F1691" s="1">
        <v>3</v>
      </c>
      <c r="G1691" s="1">
        <v>0</v>
      </c>
      <c r="H1691" t="s">
        <v>17</v>
      </c>
      <c r="I1691" t="s">
        <v>236</v>
      </c>
      <c r="J1691" t="s">
        <v>3471</v>
      </c>
      <c r="K1691" s="3">
        <v>47391</v>
      </c>
      <c r="L1691" t="s">
        <v>3486</v>
      </c>
      <c r="M1691">
        <v>7.4999999999999997E-2</v>
      </c>
      <c r="N1691">
        <v>2688</v>
      </c>
      <c r="O1691">
        <f t="shared" si="78"/>
        <v>0.22499999999999998</v>
      </c>
      <c r="P1691">
        <f t="shared" si="79"/>
        <v>1.1160714285714285E-3</v>
      </c>
      <c r="Q1691" t="str">
        <f t="shared" si="80"/>
        <v>Q27-03</v>
      </c>
    </row>
    <row r="1692" spans="1:17" x14ac:dyDescent="0.25">
      <c r="A1692" t="s">
        <v>61</v>
      </c>
      <c r="B1692" t="s">
        <v>233</v>
      </c>
      <c r="C1692" t="s">
        <v>234</v>
      </c>
      <c r="D1692" t="s">
        <v>805</v>
      </c>
      <c r="E1692" t="s">
        <v>3487</v>
      </c>
      <c r="F1692" s="1">
        <v>8</v>
      </c>
      <c r="G1692" s="1">
        <v>0</v>
      </c>
      <c r="H1692" t="s">
        <v>17</v>
      </c>
      <c r="I1692" t="s">
        <v>236</v>
      </c>
      <c r="J1692" t="s">
        <v>3471</v>
      </c>
      <c r="K1692" s="3">
        <v>47391</v>
      </c>
      <c r="L1692" t="s">
        <v>3486</v>
      </c>
      <c r="M1692">
        <v>7.4999999999999997E-2</v>
      </c>
      <c r="N1692">
        <v>2688</v>
      </c>
      <c r="O1692">
        <f t="shared" si="78"/>
        <v>0.6</v>
      </c>
      <c r="P1692">
        <f t="shared" si="79"/>
        <v>2.976190476190476E-3</v>
      </c>
      <c r="Q1692" t="str">
        <f t="shared" si="80"/>
        <v>Q27-03</v>
      </c>
    </row>
    <row r="1693" spans="1:17" x14ac:dyDescent="0.25">
      <c r="A1693" t="s">
        <v>61</v>
      </c>
      <c r="B1693" t="s">
        <v>233</v>
      </c>
      <c r="C1693" t="s">
        <v>234</v>
      </c>
      <c r="D1693" t="s">
        <v>805</v>
      </c>
      <c r="E1693" t="s">
        <v>3488</v>
      </c>
      <c r="F1693" s="1">
        <v>50</v>
      </c>
      <c r="G1693" s="1">
        <v>0</v>
      </c>
      <c r="H1693" t="s">
        <v>17</v>
      </c>
      <c r="I1693" t="s">
        <v>236</v>
      </c>
      <c r="J1693" t="s">
        <v>3471</v>
      </c>
      <c r="K1693" s="3">
        <v>47391</v>
      </c>
      <c r="L1693" t="s">
        <v>3486</v>
      </c>
      <c r="M1693">
        <v>7.4999999999999997E-2</v>
      </c>
      <c r="N1693">
        <v>2688</v>
      </c>
      <c r="O1693">
        <f t="shared" si="78"/>
        <v>3.75</v>
      </c>
      <c r="P1693">
        <f t="shared" si="79"/>
        <v>1.8601190476190476E-2</v>
      </c>
      <c r="Q1693" t="str">
        <f t="shared" si="80"/>
        <v>Q27-03</v>
      </c>
    </row>
    <row r="1694" spans="1:17" x14ac:dyDescent="0.25">
      <c r="A1694" t="s">
        <v>61</v>
      </c>
      <c r="B1694" t="s">
        <v>233</v>
      </c>
      <c r="C1694" t="s">
        <v>234</v>
      </c>
      <c r="D1694" t="s">
        <v>805</v>
      </c>
      <c r="E1694" t="s">
        <v>3489</v>
      </c>
      <c r="F1694" s="1">
        <v>5</v>
      </c>
      <c r="G1694" s="1">
        <v>0</v>
      </c>
      <c r="H1694" t="s">
        <v>17</v>
      </c>
      <c r="I1694" t="s">
        <v>236</v>
      </c>
      <c r="J1694" t="s">
        <v>3471</v>
      </c>
      <c r="K1694" s="3">
        <v>47391</v>
      </c>
      <c r="L1694" t="s">
        <v>3486</v>
      </c>
      <c r="M1694">
        <v>7.4999999999999997E-2</v>
      </c>
      <c r="N1694">
        <v>2688</v>
      </c>
      <c r="O1694">
        <f t="shared" si="78"/>
        <v>0.375</v>
      </c>
      <c r="P1694">
        <f t="shared" si="79"/>
        <v>1.8601190476190475E-3</v>
      </c>
      <c r="Q1694" t="str">
        <f t="shared" si="80"/>
        <v>Q27-03</v>
      </c>
    </row>
    <row r="1695" spans="1:17" x14ac:dyDescent="0.25">
      <c r="A1695" t="s">
        <v>61</v>
      </c>
      <c r="B1695" t="s">
        <v>219</v>
      </c>
      <c r="C1695" t="s">
        <v>220</v>
      </c>
      <c r="D1695" t="s">
        <v>382</v>
      </c>
      <c r="E1695" t="s">
        <v>3490</v>
      </c>
      <c r="F1695" s="1">
        <v>9</v>
      </c>
      <c r="G1695" s="1">
        <v>0</v>
      </c>
      <c r="H1695" t="s">
        <v>17</v>
      </c>
      <c r="I1695" t="s">
        <v>222</v>
      </c>
      <c r="J1695" t="s">
        <v>3471</v>
      </c>
      <c r="K1695" s="3">
        <v>46752</v>
      </c>
      <c r="L1695" t="s">
        <v>3491</v>
      </c>
      <c r="M1695">
        <v>0.3</v>
      </c>
      <c r="N1695">
        <v>1680</v>
      </c>
      <c r="O1695">
        <f t="shared" si="78"/>
        <v>2.6999999999999997</v>
      </c>
      <c r="P1695">
        <f t="shared" si="79"/>
        <v>5.3571428571428572E-3</v>
      </c>
      <c r="Q1695" t="str">
        <f t="shared" si="80"/>
        <v>Q27-03</v>
      </c>
    </row>
    <row r="1696" spans="1:17" x14ac:dyDescent="0.25">
      <c r="A1696" t="s">
        <v>61</v>
      </c>
      <c r="B1696" t="s">
        <v>219</v>
      </c>
      <c r="C1696" t="s">
        <v>220</v>
      </c>
      <c r="D1696" t="s">
        <v>805</v>
      </c>
      <c r="E1696" t="s">
        <v>3492</v>
      </c>
      <c r="F1696" s="1">
        <v>21</v>
      </c>
      <c r="G1696" s="1">
        <v>0</v>
      </c>
      <c r="H1696" t="s">
        <v>17</v>
      </c>
      <c r="I1696" t="s">
        <v>222</v>
      </c>
      <c r="J1696" t="s">
        <v>3471</v>
      </c>
      <c r="K1696" s="3">
        <v>46752</v>
      </c>
      <c r="L1696" t="s">
        <v>3491</v>
      </c>
      <c r="M1696">
        <v>0.3</v>
      </c>
      <c r="N1696">
        <v>1680</v>
      </c>
      <c r="O1696">
        <f t="shared" si="78"/>
        <v>6.3</v>
      </c>
      <c r="P1696">
        <f t="shared" si="79"/>
        <v>1.2500000000000001E-2</v>
      </c>
      <c r="Q1696" t="str">
        <f t="shared" si="80"/>
        <v>Q27-03</v>
      </c>
    </row>
    <row r="1697" spans="1:17" x14ac:dyDescent="0.25">
      <c r="A1697" t="s">
        <v>61</v>
      </c>
      <c r="B1697" t="s">
        <v>219</v>
      </c>
      <c r="C1697" t="s">
        <v>220</v>
      </c>
      <c r="D1697" t="s">
        <v>805</v>
      </c>
      <c r="E1697" t="s">
        <v>3493</v>
      </c>
      <c r="F1697" s="1">
        <v>3</v>
      </c>
      <c r="G1697" s="1">
        <v>0</v>
      </c>
      <c r="H1697" t="s">
        <v>17</v>
      </c>
      <c r="I1697" t="s">
        <v>222</v>
      </c>
      <c r="J1697" t="s">
        <v>3471</v>
      </c>
      <c r="K1697" s="3">
        <v>46752</v>
      </c>
      <c r="L1697" t="s">
        <v>3491</v>
      </c>
      <c r="M1697">
        <v>0.3</v>
      </c>
      <c r="N1697">
        <v>1680</v>
      </c>
      <c r="O1697">
        <f t="shared" si="78"/>
        <v>0.89999999999999991</v>
      </c>
      <c r="P1697">
        <f t="shared" si="79"/>
        <v>1.7857142857142857E-3</v>
      </c>
      <c r="Q1697" t="str">
        <f t="shared" si="80"/>
        <v>Q27-03</v>
      </c>
    </row>
    <row r="1698" spans="1:17" x14ac:dyDescent="0.25">
      <c r="A1698" t="s">
        <v>61</v>
      </c>
      <c r="B1698" t="s">
        <v>317</v>
      </c>
      <c r="C1698" t="s">
        <v>318</v>
      </c>
      <c r="D1698" t="s">
        <v>382</v>
      </c>
      <c r="E1698" t="s">
        <v>3494</v>
      </c>
      <c r="F1698" s="1">
        <v>10</v>
      </c>
      <c r="G1698" s="1">
        <v>0</v>
      </c>
      <c r="H1698" t="s">
        <v>17</v>
      </c>
      <c r="I1698" t="s">
        <v>320</v>
      </c>
      <c r="J1698" t="s">
        <v>3471</v>
      </c>
      <c r="K1698" s="3">
        <v>47057</v>
      </c>
      <c r="L1698" t="s">
        <v>3495</v>
      </c>
      <c r="M1698">
        <v>0.04</v>
      </c>
      <c r="N1698">
        <v>2688</v>
      </c>
      <c r="O1698">
        <f t="shared" si="78"/>
        <v>0.4</v>
      </c>
      <c r="P1698">
        <f t="shared" si="79"/>
        <v>3.720238095238095E-3</v>
      </c>
      <c r="Q1698" t="str">
        <f t="shared" si="80"/>
        <v>Q27-03</v>
      </c>
    </row>
    <row r="1699" spans="1:17" x14ac:dyDescent="0.25">
      <c r="A1699" t="s">
        <v>61</v>
      </c>
      <c r="B1699" t="s">
        <v>233</v>
      </c>
      <c r="C1699" t="s">
        <v>234</v>
      </c>
      <c r="D1699" t="s">
        <v>382</v>
      </c>
      <c r="E1699" t="s">
        <v>3496</v>
      </c>
      <c r="F1699" s="1">
        <v>2</v>
      </c>
      <c r="G1699" s="1">
        <v>0</v>
      </c>
      <c r="H1699" t="s">
        <v>17</v>
      </c>
      <c r="I1699" t="s">
        <v>236</v>
      </c>
      <c r="J1699" t="s">
        <v>3471</v>
      </c>
      <c r="K1699" s="3">
        <v>47391</v>
      </c>
      <c r="L1699" t="s">
        <v>3497</v>
      </c>
      <c r="M1699">
        <v>7.4999999999999997E-2</v>
      </c>
      <c r="N1699">
        <v>2688</v>
      </c>
      <c r="O1699">
        <f t="shared" si="78"/>
        <v>0.15</v>
      </c>
      <c r="P1699">
        <f t="shared" si="79"/>
        <v>7.4404761904761901E-4</v>
      </c>
      <c r="Q1699" t="str">
        <f t="shared" si="80"/>
        <v>Q27-03</v>
      </c>
    </row>
    <row r="1700" spans="1:17" x14ac:dyDescent="0.25">
      <c r="A1700" t="s">
        <v>61</v>
      </c>
      <c r="B1700" t="s">
        <v>233</v>
      </c>
      <c r="C1700" t="s">
        <v>234</v>
      </c>
      <c r="D1700" t="s">
        <v>198</v>
      </c>
      <c r="E1700" t="s">
        <v>3498</v>
      </c>
      <c r="F1700" s="1">
        <v>11</v>
      </c>
      <c r="G1700" s="1">
        <v>0</v>
      </c>
      <c r="H1700" t="s">
        <v>17</v>
      </c>
      <c r="I1700" t="s">
        <v>236</v>
      </c>
      <c r="J1700" t="s">
        <v>3471</v>
      </c>
      <c r="K1700" s="3">
        <v>47391</v>
      </c>
      <c r="L1700" t="s">
        <v>3497</v>
      </c>
      <c r="M1700">
        <v>7.4999999999999997E-2</v>
      </c>
      <c r="N1700">
        <v>2688</v>
      </c>
      <c r="O1700">
        <f t="shared" si="78"/>
        <v>0.82499999999999996</v>
      </c>
      <c r="P1700">
        <f t="shared" si="79"/>
        <v>4.092261904761905E-3</v>
      </c>
      <c r="Q1700" t="str">
        <f t="shared" si="80"/>
        <v>Q27-03</v>
      </c>
    </row>
    <row r="1701" spans="1:17" x14ac:dyDescent="0.25">
      <c r="A1701" t="s">
        <v>61</v>
      </c>
      <c r="B1701" t="s">
        <v>891</v>
      </c>
      <c r="C1701" t="s">
        <v>892</v>
      </c>
      <c r="D1701" t="s">
        <v>244</v>
      </c>
      <c r="E1701" t="s">
        <v>3499</v>
      </c>
      <c r="F1701" s="1">
        <v>19</v>
      </c>
      <c r="G1701" s="1">
        <v>0</v>
      </c>
      <c r="H1701" t="s">
        <v>17</v>
      </c>
      <c r="I1701" t="s">
        <v>894</v>
      </c>
      <c r="J1701" t="s">
        <v>3471</v>
      </c>
      <c r="K1701" s="3">
        <v>46752</v>
      </c>
      <c r="L1701" t="s">
        <v>3500</v>
      </c>
      <c r="M1701">
        <v>0.312</v>
      </c>
      <c r="N1701">
        <v>1680</v>
      </c>
      <c r="O1701">
        <f t="shared" si="78"/>
        <v>5.9279999999999999</v>
      </c>
      <c r="P1701">
        <f t="shared" si="79"/>
        <v>1.1309523809523809E-2</v>
      </c>
      <c r="Q1701" t="str">
        <f t="shared" si="80"/>
        <v>Q27-03</v>
      </c>
    </row>
    <row r="1702" spans="1:17" x14ac:dyDescent="0.25">
      <c r="A1702" t="s">
        <v>61</v>
      </c>
      <c r="B1702" t="s">
        <v>891</v>
      </c>
      <c r="C1702" t="s">
        <v>892</v>
      </c>
      <c r="D1702" t="s">
        <v>382</v>
      </c>
      <c r="E1702" t="s">
        <v>3501</v>
      </c>
      <c r="F1702" s="1">
        <v>3</v>
      </c>
      <c r="G1702" s="1">
        <v>0</v>
      </c>
      <c r="H1702" t="s">
        <v>17</v>
      </c>
      <c r="I1702" t="s">
        <v>894</v>
      </c>
      <c r="J1702" t="s">
        <v>3471</v>
      </c>
      <c r="K1702" s="3">
        <v>46752</v>
      </c>
      <c r="L1702" t="s">
        <v>3500</v>
      </c>
      <c r="M1702">
        <v>0.312</v>
      </c>
      <c r="N1702">
        <v>1680</v>
      </c>
      <c r="O1702">
        <f t="shared" si="78"/>
        <v>0.93599999999999994</v>
      </c>
      <c r="P1702">
        <f t="shared" si="79"/>
        <v>1.7857142857142857E-3</v>
      </c>
      <c r="Q1702" t="str">
        <f t="shared" si="80"/>
        <v>Q27-03</v>
      </c>
    </row>
    <row r="1703" spans="1:17" x14ac:dyDescent="0.25">
      <c r="A1703" t="s">
        <v>12</v>
      </c>
      <c r="B1703" t="s">
        <v>1241</v>
      </c>
      <c r="C1703" t="s">
        <v>1242</v>
      </c>
      <c r="D1703" t="s">
        <v>407</v>
      </c>
      <c r="E1703" t="s">
        <v>3502</v>
      </c>
      <c r="F1703" s="1">
        <v>4</v>
      </c>
      <c r="G1703" s="1">
        <v>0</v>
      </c>
      <c r="H1703" t="s">
        <v>17</v>
      </c>
      <c r="I1703" t="s">
        <v>1244</v>
      </c>
      <c r="J1703" t="s">
        <v>3503</v>
      </c>
      <c r="K1703" s="3">
        <v>46783</v>
      </c>
      <c r="L1703" t="s">
        <v>3504</v>
      </c>
      <c r="M1703">
        <v>4.1000000000000002E-2</v>
      </c>
      <c r="N1703">
        <v>2592</v>
      </c>
      <c r="O1703">
        <f t="shared" si="78"/>
        <v>0.16400000000000001</v>
      </c>
      <c r="P1703">
        <f t="shared" si="79"/>
        <v>1.5432098765432098E-3</v>
      </c>
      <c r="Q1703" t="str">
        <f t="shared" si="80"/>
        <v>Q27-01</v>
      </c>
    </row>
    <row r="1704" spans="1:17" x14ac:dyDescent="0.25">
      <c r="A1704" t="s">
        <v>12</v>
      </c>
      <c r="B1704" t="s">
        <v>2360</v>
      </c>
      <c r="C1704" t="s">
        <v>2361</v>
      </c>
      <c r="D1704" t="s">
        <v>44</v>
      </c>
      <c r="E1704" t="s">
        <v>3505</v>
      </c>
      <c r="F1704" s="1">
        <v>3</v>
      </c>
      <c r="G1704" s="1">
        <v>0</v>
      </c>
      <c r="H1704" t="s">
        <v>17</v>
      </c>
      <c r="I1704" t="s">
        <v>2363</v>
      </c>
      <c r="J1704" t="s">
        <v>3506</v>
      </c>
      <c r="K1704" s="3">
        <v>46698</v>
      </c>
      <c r="L1704" t="s">
        <v>3403</v>
      </c>
      <c r="M1704">
        <v>0.154</v>
      </c>
      <c r="N1704">
        <v>1536</v>
      </c>
      <c r="O1704">
        <f t="shared" si="78"/>
        <v>0.46199999999999997</v>
      </c>
      <c r="P1704">
        <f t="shared" si="79"/>
        <v>1.953125E-3</v>
      </c>
      <c r="Q1704" t="str">
        <f t="shared" si="80"/>
        <v>Q26-01</v>
      </c>
    </row>
    <row r="1705" spans="1:17" x14ac:dyDescent="0.25">
      <c r="A1705" t="s">
        <v>12</v>
      </c>
      <c r="B1705" t="s">
        <v>3507</v>
      </c>
      <c r="C1705" t="s">
        <v>3508</v>
      </c>
      <c r="D1705" t="s">
        <v>382</v>
      </c>
      <c r="E1705" t="s">
        <v>3509</v>
      </c>
      <c r="F1705" s="1">
        <v>1</v>
      </c>
      <c r="G1705" s="1">
        <v>0</v>
      </c>
      <c r="H1705" t="s">
        <v>17</v>
      </c>
      <c r="I1705" t="s">
        <v>84</v>
      </c>
      <c r="J1705" t="s">
        <v>3510</v>
      </c>
      <c r="K1705" s="3">
        <v>46477</v>
      </c>
      <c r="L1705" t="s">
        <v>3511</v>
      </c>
      <c r="M1705">
        <v>0.106</v>
      </c>
      <c r="N1705">
        <v>0</v>
      </c>
      <c r="O1705">
        <f t="shared" si="78"/>
        <v>0.106</v>
      </c>
      <c r="Q1705" t="str">
        <f t="shared" si="80"/>
        <v>Q27-03</v>
      </c>
    </row>
    <row r="1706" spans="1:17" x14ac:dyDescent="0.25">
      <c r="A1706" t="s">
        <v>12</v>
      </c>
      <c r="B1706" t="s">
        <v>3512</v>
      </c>
      <c r="C1706" t="s">
        <v>3513</v>
      </c>
      <c r="D1706" t="s">
        <v>382</v>
      </c>
      <c r="E1706" t="s">
        <v>3509</v>
      </c>
      <c r="F1706" s="1">
        <v>1</v>
      </c>
      <c r="G1706" s="1">
        <v>0</v>
      </c>
      <c r="H1706" t="s">
        <v>17</v>
      </c>
      <c r="I1706" t="s">
        <v>84</v>
      </c>
      <c r="J1706" t="s">
        <v>3510</v>
      </c>
      <c r="K1706" s="3">
        <v>46142</v>
      </c>
      <c r="L1706" t="s">
        <v>3514</v>
      </c>
      <c r="M1706">
        <v>0.106</v>
      </c>
      <c r="N1706">
        <v>0</v>
      </c>
      <c r="O1706">
        <f t="shared" si="78"/>
        <v>0.106</v>
      </c>
      <c r="Q1706" t="str">
        <f t="shared" si="80"/>
        <v>Q27-03</v>
      </c>
    </row>
    <row r="1707" spans="1:17" x14ac:dyDescent="0.25">
      <c r="A1707" t="s">
        <v>12</v>
      </c>
      <c r="B1707" t="s">
        <v>3515</v>
      </c>
      <c r="C1707" t="s">
        <v>3516</v>
      </c>
      <c r="D1707" t="s">
        <v>382</v>
      </c>
      <c r="E1707" t="s">
        <v>3517</v>
      </c>
      <c r="F1707" s="1">
        <v>1</v>
      </c>
      <c r="G1707" s="1">
        <v>0</v>
      </c>
      <c r="H1707" t="s">
        <v>17</v>
      </c>
      <c r="I1707" t="s">
        <v>84</v>
      </c>
      <c r="J1707" t="s">
        <v>3518</v>
      </c>
      <c r="K1707" s="3">
        <v>47330</v>
      </c>
      <c r="L1707" t="s">
        <v>3519</v>
      </c>
      <c r="M1707">
        <v>0.104</v>
      </c>
      <c r="N1707">
        <v>80</v>
      </c>
      <c r="O1707">
        <f t="shared" si="78"/>
        <v>0.104</v>
      </c>
      <c r="P1707">
        <f t="shared" si="79"/>
        <v>1.2500000000000001E-2</v>
      </c>
      <c r="Q1707" t="str">
        <f t="shared" si="80"/>
        <v>Q27-03</v>
      </c>
    </row>
    <row r="1708" spans="1:17" x14ac:dyDescent="0.25">
      <c r="A1708" t="s">
        <v>12</v>
      </c>
      <c r="B1708" t="s">
        <v>3520</v>
      </c>
      <c r="C1708" t="s">
        <v>3521</v>
      </c>
      <c r="D1708" t="s">
        <v>382</v>
      </c>
      <c r="E1708" t="s">
        <v>3517</v>
      </c>
      <c r="F1708" s="1">
        <v>1</v>
      </c>
      <c r="G1708" s="1">
        <v>0</v>
      </c>
      <c r="H1708" t="s">
        <v>17</v>
      </c>
      <c r="I1708" t="s">
        <v>84</v>
      </c>
      <c r="J1708" t="s">
        <v>3518</v>
      </c>
      <c r="K1708" s="3">
        <v>47422</v>
      </c>
      <c r="L1708" t="s">
        <v>3522</v>
      </c>
      <c r="M1708">
        <v>0.104</v>
      </c>
      <c r="N1708">
        <v>80</v>
      </c>
      <c r="O1708">
        <f t="shared" si="78"/>
        <v>0.104</v>
      </c>
      <c r="P1708">
        <f t="shared" si="79"/>
        <v>1.2500000000000001E-2</v>
      </c>
      <c r="Q1708" t="str">
        <f t="shared" si="80"/>
        <v>Q27-03</v>
      </c>
    </row>
    <row r="1709" spans="1:17" x14ac:dyDescent="0.25">
      <c r="A1709" t="s">
        <v>12</v>
      </c>
      <c r="B1709" t="s">
        <v>3523</v>
      </c>
      <c r="C1709" t="s">
        <v>3524</v>
      </c>
      <c r="D1709" t="s">
        <v>2664</v>
      </c>
      <c r="E1709" t="s">
        <v>3525</v>
      </c>
      <c r="F1709" s="1">
        <v>1</v>
      </c>
      <c r="G1709" s="1">
        <v>0</v>
      </c>
      <c r="H1709" t="s">
        <v>17</v>
      </c>
      <c r="I1709" t="s">
        <v>3526</v>
      </c>
      <c r="J1709" t="s">
        <v>3527</v>
      </c>
      <c r="K1709" s="3">
        <v>46203</v>
      </c>
      <c r="L1709" t="s">
        <v>3528</v>
      </c>
      <c r="M1709">
        <v>0.03</v>
      </c>
      <c r="N1709">
        <v>1440</v>
      </c>
      <c r="O1709">
        <f t="shared" si="78"/>
        <v>0.03</v>
      </c>
      <c r="P1709">
        <f t="shared" si="79"/>
        <v>6.9444444444444447E-4</v>
      </c>
      <c r="Q1709" t="str">
        <f t="shared" si="80"/>
        <v>QC1-01</v>
      </c>
    </row>
    <row r="1710" spans="1:17" x14ac:dyDescent="0.25">
      <c r="A1710" t="s">
        <v>12</v>
      </c>
      <c r="B1710" t="s">
        <v>3529</v>
      </c>
      <c r="C1710" t="s">
        <v>3530</v>
      </c>
      <c r="D1710" t="s">
        <v>805</v>
      </c>
      <c r="E1710" t="s">
        <v>3531</v>
      </c>
      <c r="F1710" s="1">
        <v>1</v>
      </c>
      <c r="G1710" s="1">
        <v>0</v>
      </c>
      <c r="H1710" t="s">
        <v>17</v>
      </c>
      <c r="I1710" t="s">
        <v>3532</v>
      </c>
      <c r="J1710" t="s">
        <v>3533</v>
      </c>
      <c r="K1710" s="3">
        <v>47087</v>
      </c>
      <c r="L1710" t="s">
        <v>3534</v>
      </c>
      <c r="M1710">
        <v>0.109</v>
      </c>
      <c r="N1710">
        <v>2700</v>
      </c>
      <c r="O1710">
        <f t="shared" si="78"/>
        <v>0.109</v>
      </c>
      <c r="P1710">
        <f t="shared" si="79"/>
        <v>3.7037037037037035E-4</v>
      </c>
      <c r="Q1710" t="str">
        <f t="shared" si="80"/>
        <v>Q27-03</v>
      </c>
    </row>
    <row r="1711" spans="1:17" x14ac:dyDescent="0.25">
      <c r="A1711" t="s">
        <v>61</v>
      </c>
      <c r="B1711" t="s">
        <v>166</v>
      </c>
      <c r="C1711" t="s">
        <v>167</v>
      </c>
      <c r="D1711" t="s">
        <v>191</v>
      </c>
      <c r="E1711" t="s">
        <v>3535</v>
      </c>
      <c r="F1711" s="1">
        <v>51</v>
      </c>
      <c r="G1711" s="1">
        <v>0</v>
      </c>
      <c r="H1711" t="s">
        <v>17</v>
      </c>
      <c r="I1711" t="s">
        <v>170</v>
      </c>
      <c r="J1711" t="s">
        <v>3536</v>
      </c>
      <c r="K1711" s="3">
        <v>46965</v>
      </c>
      <c r="L1711" t="s">
        <v>3537</v>
      </c>
      <c r="M1711">
        <v>9.2999999999999999E-2</v>
      </c>
      <c r="N1711">
        <v>1536</v>
      </c>
      <c r="O1711">
        <f t="shared" si="78"/>
        <v>4.7430000000000003</v>
      </c>
      <c r="P1711">
        <f t="shared" si="79"/>
        <v>3.3203125E-2</v>
      </c>
      <c r="Q1711" t="str">
        <f t="shared" si="80"/>
        <v>Q27-03</v>
      </c>
    </row>
    <row r="1712" spans="1:17" x14ac:dyDescent="0.25">
      <c r="A1712" t="s">
        <v>61</v>
      </c>
      <c r="B1712" t="s">
        <v>166</v>
      </c>
      <c r="C1712" t="s">
        <v>167</v>
      </c>
      <c r="D1712" t="s">
        <v>191</v>
      </c>
      <c r="E1712" t="s">
        <v>3538</v>
      </c>
      <c r="F1712" s="1">
        <v>44</v>
      </c>
      <c r="G1712" s="1">
        <v>0</v>
      </c>
      <c r="H1712" t="s">
        <v>17</v>
      </c>
      <c r="I1712" t="s">
        <v>170</v>
      </c>
      <c r="J1712" t="s">
        <v>3536</v>
      </c>
      <c r="K1712" s="3">
        <v>46965</v>
      </c>
      <c r="L1712" t="s">
        <v>3537</v>
      </c>
      <c r="M1712">
        <v>9.2999999999999999E-2</v>
      </c>
      <c r="N1712">
        <v>1536</v>
      </c>
      <c r="O1712">
        <f t="shared" si="78"/>
        <v>4.0919999999999996</v>
      </c>
      <c r="P1712">
        <f t="shared" si="79"/>
        <v>2.8645833333333332E-2</v>
      </c>
      <c r="Q1712" t="str">
        <f t="shared" si="80"/>
        <v>Q27-03</v>
      </c>
    </row>
    <row r="1713" spans="1:17" x14ac:dyDescent="0.25">
      <c r="A1713" t="s">
        <v>61</v>
      </c>
      <c r="B1713" t="s">
        <v>166</v>
      </c>
      <c r="C1713" t="s">
        <v>167</v>
      </c>
      <c r="D1713" t="s">
        <v>805</v>
      </c>
      <c r="E1713" t="s">
        <v>3539</v>
      </c>
      <c r="F1713" s="1">
        <v>16</v>
      </c>
      <c r="G1713" s="1">
        <v>0</v>
      </c>
      <c r="H1713" t="s">
        <v>17</v>
      </c>
      <c r="I1713" t="s">
        <v>170</v>
      </c>
      <c r="J1713" t="s">
        <v>3536</v>
      </c>
      <c r="K1713" s="3">
        <v>46965</v>
      </c>
      <c r="L1713" t="s">
        <v>3537</v>
      </c>
      <c r="M1713">
        <v>9.2999999999999999E-2</v>
      </c>
      <c r="N1713">
        <v>1536</v>
      </c>
      <c r="O1713">
        <f t="shared" si="78"/>
        <v>1.488</v>
      </c>
      <c r="P1713">
        <f t="shared" si="79"/>
        <v>1.0416666666666666E-2</v>
      </c>
      <c r="Q1713" t="str">
        <f t="shared" si="80"/>
        <v>Q27-03</v>
      </c>
    </row>
    <row r="1714" spans="1:17" x14ac:dyDescent="0.25">
      <c r="A1714" t="s">
        <v>61</v>
      </c>
      <c r="B1714" t="s">
        <v>166</v>
      </c>
      <c r="C1714" t="s">
        <v>167</v>
      </c>
      <c r="D1714" t="s">
        <v>805</v>
      </c>
      <c r="E1714" t="s">
        <v>3540</v>
      </c>
      <c r="F1714" s="1">
        <v>5</v>
      </c>
      <c r="G1714" s="1">
        <v>0</v>
      </c>
      <c r="H1714" t="s">
        <v>17</v>
      </c>
      <c r="I1714" t="s">
        <v>170</v>
      </c>
      <c r="J1714" t="s">
        <v>3536</v>
      </c>
      <c r="K1714" s="3">
        <v>46965</v>
      </c>
      <c r="L1714" t="s">
        <v>3537</v>
      </c>
      <c r="M1714">
        <v>9.2999999999999999E-2</v>
      </c>
      <c r="N1714">
        <v>1536</v>
      </c>
      <c r="O1714">
        <f t="shared" si="78"/>
        <v>0.46499999999999997</v>
      </c>
      <c r="P1714">
        <f t="shared" si="79"/>
        <v>3.2552083333333335E-3</v>
      </c>
      <c r="Q1714" t="str">
        <f t="shared" si="80"/>
        <v>Q27-03</v>
      </c>
    </row>
    <row r="1715" spans="1:17" x14ac:dyDescent="0.25">
      <c r="A1715" t="s">
        <v>61</v>
      </c>
      <c r="B1715" t="s">
        <v>166</v>
      </c>
      <c r="C1715" t="s">
        <v>167</v>
      </c>
      <c r="D1715" t="s">
        <v>805</v>
      </c>
      <c r="E1715" t="s">
        <v>3541</v>
      </c>
      <c r="F1715" s="1">
        <v>8</v>
      </c>
      <c r="G1715" s="1">
        <v>0</v>
      </c>
      <c r="H1715" t="s">
        <v>17</v>
      </c>
      <c r="I1715" t="s">
        <v>170</v>
      </c>
      <c r="J1715" t="s">
        <v>3536</v>
      </c>
      <c r="K1715" s="3">
        <v>46965</v>
      </c>
      <c r="L1715" t="s">
        <v>3537</v>
      </c>
      <c r="M1715">
        <v>9.2999999999999999E-2</v>
      </c>
      <c r="N1715">
        <v>1536</v>
      </c>
      <c r="O1715">
        <f t="shared" si="78"/>
        <v>0.74399999999999999</v>
      </c>
      <c r="P1715">
        <f t="shared" si="79"/>
        <v>5.208333333333333E-3</v>
      </c>
      <c r="Q1715" t="str">
        <f t="shared" si="80"/>
        <v>Q27-03</v>
      </c>
    </row>
    <row r="1716" spans="1:17" x14ac:dyDescent="0.25">
      <c r="A1716" t="s">
        <v>61</v>
      </c>
      <c r="B1716" t="s">
        <v>166</v>
      </c>
      <c r="C1716" t="s">
        <v>167</v>
      </c>
      <c r="D1716" t="s">
        <v>805</v>
      </c>
      <c r="E1716" t="s">
        <v>3542</v>
      </c>
      <c r="F1716" s="1">
        <v>3</v>
      </c>
      <c r="G1716" s="1">
        <v>0</v>
      </c>
      <c r="H1716" t="s">
        <v>17</v>
      </c>
      <c r="I1716" t="s">
        <v>170</v>
      </c>
      <c r="J1716" t="s">
        <v>3536</v>
      </c>
      <c r="K1716" s="3">
        <v>46965</v>
      </c>
      <c r="L1716" t="s">
        <v>3537</v>
      </c>
      <c r="M1716">
        <v>9.2999999999999999E-2</v>
      </c>
      <c r="N1716">
        <v>1536</v>
      </c>
      <c r="O1716">
        <f t="shared" si="78"/>
        <v>0.27900000000000003</v>
      </c>
      <c r="P1716">
        <f t="shared" si="79"/>
        <v>1.953125E-3</v>
      </c>
      <c r="Q1716" t="str">
        <f t="shared" si="80"/>
        <v>Q27-03</v>
      </c>
    </row>
    <row r="1717" spans="1:17" x14ac:dyDescent="0.25">
      <c r="A1717" t="s">
        <v>61</v>
      </c>
      <c r="B1717" t="s">
        <v>166</v>
      </c>
      <c r="C1717" t="s">
        <v>167</v>
      </c>
      <c r="D1717" t="s">
        <v>805</v>
      </c>
      <c r="E1717" t="s">
        <v>3543</v>
      </c>
      <c r="F1717" s="1">
        <v>1</v>
      </c>
      <c r="G1717" s="1">
        <v>0</v>
      </c>
      <c r="H1717" t="s">
        <v>17</v>
      </c>
      <c r="I1717" t="s">
        <v>170</v>
      </c>
      <c r="J1717" t="s">
        <v>3536</v>
      </c>
      <c r="K1717" s="3">
        <v>46965</v>
      </c>
      <c r="L1717" t="s">
        <v>3537</v>
      </c>
      <c r="M1717">
        <v>9.2999999999999999E-2</v>
      </c>
      <c r="N1717">
        <v>1536</v>
      </c>
      <c r="O1717">
        <f t="shared" si="78"/>
        <v>9.2999999999999999E-2</v>
      </c>
      <c r="P1717">
        <f t="shared" si="79"/>
        <v>6.5104166666666663E-4</v>
      </c>
      <c r="Q1717" t="str">
        <f t="shared" si="80"/>
        <v>Q27-03</v>
      </c>
    </row>
    <row r="1718" spans="1:17" x14ac:dyDescent="0.25">
      <c r="A1718" t="s">
        <v>61</v>
      </c>
      <c r="B1718" t="s">
        <v>166</v>
      </c>
      <c r="C1718" t="s">
        <v>167</v>
      </c>
      <c r="D1718" t="s">
        <v>805</v>
      </c>
      <c r="E1718" t="s">
        <v>3544</v>
      </c>
      <c r="F1718" s="1">
        <v>9</v>
      </c>
      <c r="G1718" s="1">
        <v>0</v>
      </c>
      <c r="H1718" t="s">
        <v>17</v>
      </c>
      <c r="I1718" t="s">
        <v>170</v>
      </c>
      <c r="J1718" t="s">
        <v>3536</v>
      </c>
      <c r="K1718" s="3">
        <v>46965</v>
      </c>
      <c r="L1718" t="s">
        <v>3537</v>
      </c>
      <c r="M1718">
        <v>9.2999999999999999E-2</v>
      </c>
      <c r="N1718">
        <v>1536</v>
      </c>
      <c r="O1718">
        <f t="shared" si="78"/>
        <v>0.83699999999999997</v>
      </c>
      <c r="P1718">
        <f t="shared" si="79"/>
        <v>5.859375E-3</v>
      </c>
      <c r="Q1718" t="str">
        <f t="shared" si="80"/>
        <v>Q27-03</v>
      </c>
    </row>
    <row r="1719" spans="1:17" x14ac:dyDescent="0.25">
      <c r="A1719" t="s">
        <v>61</v>
      </c>
      <c r="B1719" t="s">
        <v>166</v>
      </c>
      <c r="C1719" t="s">
        <v>167</v>
      </c>
      <c r="D1719" t="s">
        <v>805</v>
      </c>
      <c r="E1719" t="s">
        <v>3545</v>
      </c>
      <c r="F1719" s="1">
        <v>11</v>
      </c>
      <c r="G1719" s="1">
        <v>0</v>
      </c>
      <c r="H1719" t="s">
        <v>17</v>
      </c>
      <c r="I1719" t="s">
        <v>170</v>
      </c>
      <c r="J1719" t="s">
        <v>3536</v>
      </c>
      <c r="K1719" s="3">
        <v>46965</v>
      </c>
      <c r="L1719" t="s">
        <v>3537</v>
      </c>
      <c r="M1719">
        <v>9.2999999999999999E-2</v>
      </c>
      <c r="N1719">
        <v>1536</v>
      </c>
      <c r="O1719">
        <f t="shared" si="78"/>
        <v>1.0229999999999999</v>
      </c>
      <c r="P1719">
        <f t="shared" si="79"/>
        <v>7.161458333333333E-3</v>
      </c>
      <c r="Q1719" t="str">
        <f t="shared" si="80"/>
        <v>Q27-03</v>
      </c>
    </row>
    <row r="1720" spans="1:17" x14ac:dyDescent="0.25">
      <c r="A1720" t="s">
        <v>61</v>
      </c>
      <c r="B1720" t="s">
        <v>317</v>
      </c>
      <c r="C1720" t="s">
        <v>318</v>
      </c>
      <c r="D1720" t="s">
        <v>244</v>
      </c>
      <c r="E1720" t="s">
        <v>3546</v>
      </c>
      <c r="F1720" s="1">
        <v>37</v>
      </c>
      <c r="G1720" s="1">
        <v>0</v>
      </c>
      <c r="H1720" t="s">
        <v>17</v>
      </c>
      <c r="I1720" t="s">
        <v>320</v>
      </c>
      <c r="J1720" t="s">
        <v>3547</v>
      </c>
      <c r="K1720" s="3">
        <v>46996</v>
      </c>
      <c r="L1720" t="s">
        <v>3548</v>
      </c>
      <c r="M1720">
        <v>0.04</v>
      </c>
      <c r="N1720">
        <v>2688</v>
      </c>
      <c r="O1720">
        <f t="shared" si="78"/>
        <v>1.48</v>
      </c>
      <c r="P1720">
        <f t="shared" si="79"/>
        <v>1.3764880952380952E-2</v>
      </c>
      <c r="Q1720" t="str">
        <f t="shared" si="80"/>
        <v>Q27-03</v>
      </c>
    </row>
    <row r="1721" spans="1:17" x14ac:dyDescent="0.25">
      <c r="A1721" t="s">
        <v>61</v>
      </c>
      <c r="B1721" t="s">
        <v>317</v>
      </c>
      <c r="C1721" t="s">
        <v>318</v>
      </c>
      <c r="D1721" t="s">
        <v>805</v>
      </c>
      <c r="E1721" t="s">
        <v>3549</v>
      </c>
      <c r="F1721" s="1">
        <v>35</v>
      </c>
      <c r="G1721" s="1">
        <v>0</v>
      </c>
      <c r="H1721" t="s">
        <v>17</v>
      </c>
      <c r="I1721" t="s">
        <v>320</v>
      </c>
      <c r="J1721" t="s">
        <v>3547</v>
      </c>
      <c r="K1721" s="3">
        <v>46996</v>
      </c>
      <c r="L1721" t="s">
        <v>3548</v>
      </c>
      <c r="M1721">
        <v>0.04</v>
      </c>
      <c r="N1721">
        <v>2688</v>
      </c>
      <c r="O1721">
        <f t="shared" si="78"/>
        <v>1.4000000000000001</v>
      </c>
      <c r="P1721">
        <f t="shared" si="79"/>
        <v>1.3020833333333334E-2</v>
      </c>
      <c r="Q1721" t="str">
        <f t="shared" si="80"/>
        <v>Q27-03</v>
      </c>
    </row>
    <row r="1722" spans="1:17" x14ac:dyDescent="0.25">
      <c r="A1722" t="s">
        <v>61</v>
      </c>
      <c r="B1722" t="s">
        <v>317</v>
      </c>
      <c r="C1722" t="s">
        <v>318</v>
      </c>
      <c r="D1722" t="s">
        <v>805</v>
      </c>
      <c r="E1722" t="s">
        <v>3550</v>
      </c>
      <c r="F1722" s="1">
        <v>1</v>
      </c>
      <c r="G1722" s="1">
        <v>0</v>
      </c>
      <c r="H1722" t="s">
        <v>17</v>
      </c>
      <c r="I1722" t="s">
        <v>320</v>
      </c>
      <c r="J1722" t="s">
        <v>3547</v>
      </c>
      <c r="K1722" s="3">
        <v>46996</v>
      </c>
      <c r="L1722" t="s">
        <v>3548</v>
      </c>
      <c r="M1722">
        <v>0.04</v>
      </c>
      <c r="N1722">
        <v>2688</v>
      </c>
      <c r="O1722">
        <f t="shared" si="78"/>
        <v>0.04</v>
      </c>
      <c r="P1722">
        <f t="shared" si="79"/>
        <v>3.720238095238095E-4</v>
      </c>
      <c r="Q1722" t="str">
        <f t="shared" si="80"/>
        <v>Q27-03</v>
      </c>
    </row>
    <row r="1723" spans="1:17" x14ac:dyDescent="0.25">
      <c r="A1723" t="s">
        <v>61</v>
      </c>
      <c r="B1723" t="s">
        <v>317</v>
      </c>
      <c r="C1723" t="s">
        <v>318</v>
      </c>
      <c r="D1723" t="s">
        <v>805</v>
      </c>
      <c r="E1723" t="s">
        <v>3551</v>
      </c>
      <c r="F1723" s="1">
        <v>3</v>
      </c>
      <c r="G1723" s="1">
        <v>0</v>
      </c>
      <c r="H1723" t="s">
        <v>17</v>
      </c>
      <c r="I1723" t="s">
        <v>320</v>
      </c>
      <c r="J1723" t="s">
        <v>3547</v>
      </c>
      <c r="K1723" s="3">
        <v>46996</v>
      </c>
      <c r="L1723" t="s">
        <v>3548</v>
      </c>
      <c r="M1723">
        <v>0.04</v>
      </c>
      <c r="N1723">
        <v>2688</v>
      </c>
      <c r="O1723">
        <f t="shared" si="78"/>
        <v>0.12</v>
      </c>
      <c r="P1723">
        <f t="shared" si="79"/>
        <v>1.1160714285714285E-3</v>
      </c>
      <c r="Q1723" t="str">
        <f t="shared" si="80"/>
        <v>Q27-03</v>
      </c>
    </row>
    <row r="1724" spans="1:17" x14ac:dyDescent="0.25">
      <c r="A1724" t="s">
        <v>61</v>
      </c>
      <c r="B1724" t="s">
        <v>420</v>
      </c>
      <c r="C1724" t="s">
        <v>421</v>
      </c>
      <c r="D1724" t="s">
        <v>3552</v>
      </c>
      <c r="E1724" t="s">
        <v>3553</v>
      </c>
      <c r="F1724" s="1">
        <v>5</v>
      </c>
      <c r="G1724" s="1">
        <v>0</v>
      </c>
      <c r="H1724" t="s">
        <v>17</v>
      </c>
      <c r="I1724" t="s">
        <v>423</v>
      </c>
      <c r="J1724" t="s">
        <v>3554</v>
      </c>
      <c r="K1724" s="3">
        <v>46965</v>
      </c>
      <c r="L1724" t="s">
        <v>3481</v>
      </c>
      <c r="M1724">
        <v>0.156</v>
      </c>
      <c r="N1724">
        <v>1152</v>
      </c>
      <c r="O1724">
        <f t="shared" si="78"/>
        <v>0.78</v>
      </c>
      <c r="P1724">
        <f t="shared" si="79"/>
        <v>4.340277777777778E-3</v>
      </c>
      <c r="Q1724" t="str">
        <f t="shared" si="80"/>
        <v>Q27-03</v>
      </c>
    </row>
    <row r="1725" spans="1:17" x14ac:dyDescent="0.25">
      <c r="A1725" t="s">
        <v>61</v>
      </c>
      <c r="B1725" t="s">
        <v>420</v>
      </c>
      <c r="C1725" t="s">
        <v>421</v>
      </c>
      <c r="D1725" t="s">
        <v>3552</v>
      </c>
      <c r="E1725" t="s">
        <v>3555</v>
      </c>
      <c r="F1725" s="1">
        <v>29</v>
      </c>
      <c r="G1725" s="1">
        <v>0</v>
      </c>
      <c r="H1725" t="s">
        <v>17</v>
      </c>
      <c r="I1725" t="s">
        <v>423</v>
      </c>
      <c r="J1725" t="s">
        <v>3554</v>
      </c>
      <c r="K1725" s="3">
        <v>46965</v>
      </c>
      <c r="L1725" t="s">
        <v>3481</v>
      </c>
      <c r="M1725">
        <v>0.156</v>
      </c>
      <c r="N1725">
        <v>1152</v>
      </c>
      <c r="O1725">
        <f t="shared" si="78"/>
        <v>4.524</v>
      </c>
      <c r="P1725">
        <f t="shared" si="79"/>
        <v>2.5173611111111112E-2</v>
      </c>
      <c r="Q1725" t="str">
        <f t="shared" si="80"/>
        <v>Q27-03</v>
      </c>
    </row>
    <row r="1726" spans="1:17" x14ac:dyDescent="0.25">
      <c r="A1726" t="s">
        <v>61</v>
      </c>
      <c r="B1726" t="s">
        <v>420</v>
      </c>
      <c r="C1726" t="s">
        <v>421</v>
      </c>
      <c r="D1726" t="s">
        <v>3556</v>
      </c>
      <c r="E1726" t="s">
        <v>3557</v>
      </c>
      <c r="F1726" s="1">
        <v>12</v>
      </c>
      <c r="G1726" s="1">
        <v>0</v>
      </c>
      <c r="H1726" t="s">
        <v>17</v>
      </c>
      <c r="I1726" t="s">
        <v>423</v>
      </c>
      <c r="J1726" t="s">
        <v>3554</v>
      </c>
      <c r="K1726" s="3">
        <v>46965</v>
      </c>
      <c r="L1726" t="s">
        <v>3481</v>
      </c>
      <c r="M1726">
        <v>0.156</v>
      </c>
      <c r="N1726">
        <v>1152</v>
      </c>
      <c r="O1726">
        <f t="shared" si="78"/>
        <v>1.8719999999999999</v>
      </c>
      <c r="P1726">
        <f t="shared" si="79"/>
        <v>1.0416666666666666E-2</v>
      </c>
      <c r="Q1726" t="str">
        <f t="shared" si="80"/>
        <v>Q27-03</v>
      </c>
    </row>
    <row r="1727" spans="1:17" x14ac:dyDescent="0.25">
      <c r="A1727" t="s">
        <v>61</v>
      </c>
      <c r="B1727" t="s">
        <v>364</v>
      </c>
      <c r="C1727" t="s">
        <v>365</v>
      </c>
      <c r="D1727" t="s">
        <v>191</v>
      </c>
      <c r="E1727" t="s">
        <v>3558</v>
      </c>
      <c r="F1727" s="1">
        <v>42</v>
      </c>
      <c r="G1727" s="1">
        <v>0</v>
      </c>
      <c r="H1727" t="s">
        <v>17</v>
      </c>
      <c r="I1727" t="s">
        <v>367</v>
      </c>
      <c r="J1727" t="s">
        <v>3554</v>
      </c>
      <c r="K1727" s="3">
        <v>46904</v>
      </c>
      <c r="L1727" t="s">
        <v>3559</v>
      </c>
      <c r="M1727">
        <v>0.158</v>
      </c>
      <c r="N1727">
        <v>1152</v>
      </c>
      <c r="O1727">
        <f t="shared" si="78"/>
        <v>6.6360000000000001</v>
      </c>
      <c r="P1727">
        <f t="shared" si="79"/>
        <v>3.6458333333333336E-2</v>
      </c>
      <c r="Q1727" t="str">
        <f t="shared" si="80"/>
        <v>Q27-03</v>
      </c>
    </row>
    <row r="1728" spans="1:17" x14ac:dyDescent="0.25">
      <c r="A1728" t="s">
        <v>61</v>
      </c>
      <c r="B1728" t="s">
        <v>364</v>
      </c>
      <c r="C1728" t="s">
        <v>365</v>
      </c>
      <c r="D1728" t="s">
        <v>805</v>
      </c>
      <c r="E1728" t="s">
        <v>3560</v>
      </c>
      <c r="F1728" s="1">
        <v>11</v>
      </c>
      <c r="G1728" s="1">
        <v>0</v>
      </c>
      <c r="H1728" t="s">
        <v>17</v>
      </c>
      <c r="I1728" t="s">
        <v>367</v>
      </c>
      <c r="J1728" t="s">
        <v>3554</v>
      </c>
      <c r="K1728" s="3">
        <v>46904</v>
      </c>
      <c r="L1728" t="s">
        <v>3559</v>
      </c>
      <c r="M1728">
        <v>0.158</v>
      </c>
      <c r="N1728">
        <v>1152</v>
      </c>
      <c r="O1728">
        <f t="shared" si="78"/>
        <v>1.738</v>
      </c>
      <c r="P1728">
        <f t="shared" si="79"/>
        <v>9.5486111111111119E-3</v>
      </c>
      <c r="Q1728" t="str">
        <f t="shared" si="80"/>
        <v>Q27-03</v>
      </c>
    </row>
    <row r="1729" spans="1:17" x14ac:dyDescent="0.25">
      <c r="A1729" t="s">
        <v>61</v>
      </c>
      <c r="B1729" t="s">
        <v>364</v>
      </c>
      <c r="C1729" t="s">
        <v>365</v>
      </c>
      <c r="D1729" t="s">
        <v>805</v>
      </c>
      <c r="E1729" t="s">
        <v>3561</v>
      </c>
      <c r="F1729" s="1">
        <v>4</v>
      </c>
      <c r="G1729" s="1">
        <v>0</v>
      </c>
      <c r="H1729" t="s">
        <v>17</v>
      </c>
      <c r="I1729" t="s">
        <v>367</v>
      </c>
      <c r="J1729" t="s">
        <v>3554</v>
      </c>
      <c r="K1729" s="3">
        <v>46904</v>
      </c>
      <c r="L1729" t="s">
        <v>3559</v>
      </c>
      <c r="M1729">
        <v>0.158</v>
      </c>
      <c r="N1729">
        <v>1152</v>
      </c>
      <c r="O1729">
        <f t="shared" si="78"/>
        <v>0.63200000000000001</v>
      </c>
      <c r="P1729">
        <f t="shared" si="79"/>
        <v>3.472222222222222E-3</v>
      </c>
      <c r="Q1729" t="str">
        <f t="shared" si="80"/>
        <v>Q27-03</v>
      </c>
    </row>
    <row r="1730" spans="1:17" x14ac:dyDescent="0.25">
      <c r="A1730" t="s">
        <v>61</v>
      </c>
      <c r="B1730" t="s">
        <v>364</v>
      </c>
      <c r="C1730" t="s">
        <v>365</v>
      </c>
      <c r="D1730" t="s">
        <v>805</v>
      </c>
      <c r="E1730" t="s">
        <v>3562</v>
      </c>
      <c r="F1730" s="1">
        <v>20</v>
      </c>
      <c r="G1730" s="1">
        <v>0</v>
      </c>
      <c r="H1730" t="s">
        <v>17</v>
      </c>
      <c r="I1730" t="s">
        <v>367</v>
      </c>
      <c r="J1730" t="s">
        <v>3554</v>
      </c>
      <c r="K1730" s="3">
        <v>46904</v>
      </c>
      <c r="L1730" t="s">
        <v>3559</v>
      </c>
      <c r="M1730">
        <v>0.158</v>
      </c>
      <c r="N1730">
        <v>1152</v>
      </c>
      <c r="O1730">
        <f t="shared" si="78"/>
        <v>3.16</v>
      </c>
      <c r="P1730">
        <f t="shared" si="79"/>
        <v>1.7361111111111112E-2</v>
      </c>
      <c r="Q1730" t="str">
        <f t="shared" si="80"/>
        <v>Q27-03</v>
      </c>
    </row>
    <row r="1731" spans="1:17" x14ac:dyDescent="0.25">
      <c r="A1731" t="s">
        <v>61</v>
      </c>
      <c r="B1731" t="s">
        <v>364</v>
      </c>
      <c r="C1731" t="s">
        <v>365</v>
      </c>
      <c r="D1731" t="s">
        <v>198</v>
      </c>
      <c r="E1731" t="s">
        <v>3563</v>
      </c>
      <c r="F1731" s="1">
        <v>48</v>
      </c>
      <c r="G1731" s="1">
        <v>0</v>
      </c>
      <c r="H1731" t="s">
        <v>17</v>
      </c>
      <c r="I1731" t="s">
        <v>367</v>
      </c>
      <c r="J1731" t="s">
        <v>3554</v>
      </c>
      <c r="K1731" s="3">
        <v>46904</v>
      </c>
      <c r="L1731" t="s">
        <v>3559</v>
      </c>
      <c r="M1731">
        <v>0.158</v>
      </c>
      <c r="N1731">
        <v>1152</v>
      </c>
      <c r="O1731">
        <f t="shared" ref="O1731:O1794" si="81">F1731*M1731</f>
        <v>7.5839999999999996</v>
      </c>
      <c r="P1731">
        <f t="shared" ref="P1731:P1794" si="82">F1731/N1731</f>
        <v>4.1666666666666664E-2</v>
      </c>
      <c r="Q1731" t="str">
        <f t="shared" ref="Q1731:Q1794" si="83">LEFT(D1731,6)</f>
        <v>Q27-03</v>
      </c>
    </row>
    <row r="1732" spans="1:17" x14ac:dyDescent="0.25">
      <c r="A1732" t="s">
        <v>385</v>
      </c>
      <c r="B1732" t="s">
        <v>706</v>
      </c>
      <c r="C1732" t="s">
        <v>707</v>
      </c>
      <c r="D1732" t="s">
        <v>57</v>
      </c>
      <c r="E1732" t="s">
        <v>3564</v>
      </c>
      <c r="F1732" s="1">
        <v>5</v>
      </c>
      <c r="G1732" s="1">
        <v>0</v>
      </c>
      <c r="H1732" t="s">
        <v>17</v>
      </c>
      <c r="I1732" t="s">
        <v>3051</v>
      </c>
      <c r="J1732" t="s">
        <v>3565</v>
      </c>
      <c r="K1732" s="3">
        <v>46543</v>
      </c>
      <c r="L1732" t="s">
        <v>3566</v>
      </c>
      <c r="M1732">
        <v>0.02</v>
      </c>
      <c r="N1732">
        <v>4928</v>
      </c>
      <c r="O1732">
        <f t="shared" si="81"/>
        <v>0.1</v>
      </c>
      <c r="P1732">
        <f t="shared" si="82"/>
        <v>1.0146103896103895E-3</v>
      </c>
      <c r="Q1732" t="str">
        <f t="shared" si="83"/>
        <v>Q26-03</v>
      </c>
    </row>
    <row r="1733" spans="1:17" x14ac:dyDescent="0.25">
      <c r="A1733" t="s">
        <v>12</v>
      </c>
      <c r="B1733" t="s">
        <v>3215</v>
      </c>
      <c r="C1733" t="s">
        <v>3216</v>
      </c>
      <c r="D1733" t="s">
        <v>77</v>
      </c>
      <c r="E1733" t="s">
        <v>3567</v>
      </c>
      <c r="F1733" s="1">
        <v>2</v>
      </c>
      <c r="G1733" s="1">
        <v>0</v>
      </c>
      <c r="H1733" t="s">
        <v>17</v>
      </c>
      <c r="I1733" t="s">
        <v>3218</v>
      </c>
      <c r="J1733" t="s">
        <v>3568</v>
      </c>
      <c r="K1733" s="3">
        <v>47136</v>
      </c>
      <c r="L1733" t="s">
        <v>3569</v>
      </c>
      <c r="M1733">
        <v>2.9000000000000001E-2</v>
      </c>
      <c r="N1733">
        <v>8000</v>
      </c>
      <c r="O1733">
        <f t="shared" si="81"/>
        <v>5.8000000000000003E-2</v>
      </c>
      <c r="P1733">
        <f t="shared" si="82"/>
        <v>2.5000000000000001E-4</v>
      </c>
      <c r="Q1733" t="str">
        <f t="shared" si="83"/>
        <v>Q27-01</v>
      </c>
    </row>
    <row r="1734" spans="1:17" x14ac:dyDescent="0.25">
      <c r="A1734" t="s">
        <v>12</v>
      </c>
      <c r="B1734" t="s">
        <v>1380</v>
      </c>
      <c r="C1734" t="s">
        <v>1381</v>
      </c>
      <c r="D1734" t="s">
        <v>1983</v>
      </c>
      <c r="E1734" t="s">
        <v>3570</v>
      </c>
      <c r="F1734" s="1">
        <v>1</v>
      </c>
      <c r="G1734" s="1">
        <v>0</v>
      </c>
      <c r="H1734" t="s">
        <v>17</v>
      </c>
      <c r="I1734" t="s">
        <v>1384</v>
      </c>
      <c r="J1734" t="s">
        <v>3571</v>
      </c>
      <c r="K1734" s="3">
        <v>47118</v>
      </c>
      <c r="L1734" t="s">
        <v>3572</v>
      </c>
      <c r="M1734">
        <v>9.6000000000000002E-2</v>
      </c>
      <c r="N1734">
        <v>504</v>
      </c>
      <c r="O1734">
        <f t="shared" si="81"/>
        <v>9.6000000000000002E-2</v>
      </c>
      <c r="P1734">
        <f t="shared" si="82"/>
        <v>1.984126984126984E-3</v>
      </c>
      <c r="Q1734" t="str">
        <f t="shared" si="83"/>
        <v>QC1-01</v>
      </c>
    </row>
    <row r="1735" spans="1:17" x14ac:dyDescent="0.25">
      <c r="A1735" t="s">
        <v>12</v>
      </c>
      <c r="B1735" t="s">
        <v>3157</v>
      </c>
      <c r="C1735" t="s">
        <v>3158</v>
      </c>
      <c r="D1735" t="s">
        <v>388</v>
      </c>
      <c r="E1735" t="s">
        <v>3573</v>
      </c>
      <c r="F1735" s="1">
        <v>4</v>
      </c>
      <c r="G1735" s="1">
        <v>0</v>
      </c>
      <c r="H1735" t="s">
        <v>17</v>
      </c>
      <c r="I1735" t="s">
        <v>3160</v>
      </c>
      <c r="J1735" t="s">
        <v>3574</v>
      </c>
      <c r="K1735" s="3">
        <v>47164</v>
      </c>
      <c r="L1735" t="s">
        <v>3575</v>
      </c>
      <c r="M1735">
        <v>0.18</v>
      </c>
      <c r="N1735">
        <v>1440</v>
      </c>
      <c r="O1735">
        <f t="shared" si="81"/>
        <v>0.72</v>
      </c>
      <c r="P1735">
        <f t="shared" si="82"/>
        <v>2.7777777777777779E-3</v>
      </c>
      <c r="Q1735" t="str">
        <f t="shared" si="83"/>
        <v>Q26-03</v>
      </c>
    </row>
    <row r="1736" spans="1:17" x14ac:dyDescent="0.25">
      <c r="A1736" t="s">
        <v>12</v>
      </c>
      <c r="B1736" t="s">
        <v>3576</v>
      </c>
      <c r="C1736" t="s">
        <v>3577</v>
      </c>
      <c r="D1736" t="s">
        <v>244</v>
      </c>
      <c r="E1736" t="s">
        <v>3578</v>
      </c>
      <c r="F1736" s="1">
        <v>1</v>
      </c>
      <c r="G1736" s="1">
        <v>0</v>
      </c>
      <c r="H1736" t="s">
        <v>17</v>
      </c>
      <c r="I1736" t="s">
        <v>3579</v>
      </c>
      <c r="J1736" t="s">
        <v>3580</v>
      </c>
      <c r="K1736" s="3">
        <v>47057</v>
      </c>
      <c r="L1736" t="s">
        <v>3581</v>
      </c>
      <c r="M1736">
        <v>7.3999999999999996E-2</v>
      </c>
      <c r="N1736">
        <v>4000</v>
      </c>
      <c r="O1736">
        <f t="shared" si="81"/>
        <v>7.3999999999999996E-2</v>
      </c>
      <c r="P1736">
        <f t="shared" si="82"/>
        <v>2.5000000000000001E-4</v>
      </c>
      <c r="Q1736" t="str">
        <f t="shared" si="83"/>
        <v>Q27-03</v>
      </c>
    </row>
    <row r="1737" spans="1:17" x14ac:dyDescent="0.25">
      <c r="A1737" t="s">
        <v>12</v>
      </c>
      <c r="B1737" t="s">
        <v>3582</v>
      </c>
      <c r="C1737" t="s">
        <v>3583</v>
      </c>
      <c r="D1737" t="s">
        <v>388</v>
      </c>
      <c r="E1737" t="s">
        <v>3584</v>
      </c>
      <c r="F1737" s="1">
        <v>1</v>
      </c>
      <c r="G1737" s="1">
        <v>0</v>
      </c>
      <c r="H1737" t="s">
        <v>17</v>
      </c>
      <c r="I1737" t="s">
        <v>3585</v>
      </c>
      <c r="J1737" t="s">
        <v>3586</v>
      </c>
      <c r="K1737" s="3">
        <v>46772</v>
      </c>
      <c r="L1737" t="s">
        <v>3587</v>
      </c>
      <c r="M1737">
        <v>0.42199999999999999</v>
      </c>
      <c r="N1737">
        <v>960</v>
      </c>
      <c r="O1737">
        <f t="shared" si="81"/>
        <v>0.42199999999999999</v>
      </c>
      <c r="P1737">
        <f t="shared" si="82"/>
        <v>1.0416666666666667E-3</v>
      </c>
      <c r="Q1737" t="str">
        <f t="shared" si="83"/>
        <v>Q26-03</v>
      </c>
    </row>
    <row r="1738" spans="1:17" x14ac:dyDescent="0.25">
      <c r="A1738" t="s">
        <v>12</v>
      </c>
      <c r="B1738" t="s">
        <v>2360</v>
      </c>
      <c r="C1738" t="s">
        <v>2361</v>
      </c>
      <c r="D1738" t="s">
        <v>388</v>
      </c>
      <c r="E1738" t="s">
        <v>3588</v>
      </c>
      <c r="F1738" s="1">
        <v>4</v>
      </c>
      <c r="G1738" s="1">
        <v>0</v>
      </c>
      <c r="H1738" t="s">
        <v>17</v>
      </c>
      <c r="I1738" t="s">
        <v>2363</v>
      </c>
      <c r="J1738" t="s">
        <v>3589</v>
      </c>
      <c r="K1738" s="3">
        <v>46698</v>
      </c>
      <c r="L1738" t="s">
        <v>3403</v>
      </c>
      <c r="M1738">
        <v>0.154</v>
      </c>
      <c r="N1738">
        <v>1536</v>
      </c>
      <c r="O1738">
        <f t="shared" si="81"/>
        <v>0.61599999999999999</v>
      </c>
      <c r="P1738">
        <f t="shared" si="82"/>
        <v>2.6041666666666665E-3</v>
      </c>
      <c r="Q1738" t="str">
        <f t="shared" si="83"/>
        <v>Q26-03</v>
      </c>
    </row>
    <row r="1739" spans="1:17" x14ac:dyDescent="0.25">
      <c r="A1739" t="s">
        <v>12</v>
      </c>
      <c r="B1739" t="s">
        <v>2366</v>
      </c>
      <c r="C1739" t="s">
        <v>2367</v>
      </c>
      <c r="D1739" t="s">
        <v>44</v>
      </c>
      <c r="E1739" t="s">
        <v>3590</v>
      </c>
      <c r="F1739" s="1">
        <v>4</v>
      </c>
      <c r="G1739" s="1">
        <v>0</v>
      </c>
      <c r="H1739" t="s">
        <v>17</v>
      </c>
      <c r="I1739" t="s">
        <v>2369</v>
      </c>
      <c r="J1739" t="s">
        <v>3591</v>
      </c>
      <c r="K1739" s="3">
        <v>46793</v>
      </c>
      <c r="L1739" t="s">
        <v>2560</v>
      </c>
      <c r="M1739">
        <v>0.12</v>
      </c>
      <c r="N1739">
        <v>1920</v>
      </c>
      <c r="O1739">
        <f t="shared" si="81"/>
        <v>0.48</v>
      </c>
      <c r="P1739">
        <f t="shared" si="82"/>
        <v>2.0833333333333333E-3</v>
      </c>
      <c r="Q1739" t="str">
        <f t="shared" si="83"/>
        <v>Q26-01</v>
      </c>
    </row>
    <row r="1740" spans="1:17" x14ac:dyDescent="0.25">
      <c r="A1740" t="s">
        <v>12</v>
      </c>
      <c r="B1740" t="s">
        <v>3592</v>
      </c>
      <c r="C1740" t="s">
        <v>3593</v>
      </c>
      <c r="D1740" t="s">
        <v>1332</v>
      </c>
      <c r="E1740" t="s">
        <v>3594</v>
      </c>
      <c r="F1740" s="1">
        <v>50</v>
      </c>
      <c r="G1740" s="1">
        <v>0</v>
      </c>
      <c r="H1740" t="s">
        <v>17</v>
      </c>
      <c r="I1740" t="s">
        <v>3595</v>
      </c>
      <c r="J1740" t="s">
        <v>3596</v>
      </c>
      <c r="K1740" s="3">
        <v>46234</v>
      </c>
      <c r="L1740" t="s">
        <v>3597</v>
      </c>
      <c r="M1740">
        <v>0.126</v>
      </c>
      <c r="N1740">
        <v>3360</v>
      </c>
      <c r="O1740">
        <f t="shared" si="81"/>
        <v>6.3</v>
      </c>
      <c r="P1740">
        <f t="shared" si="82"/>
        <v>1.488095238095238E-2</v>
      </c>
      <c r="Q1740" t="str">
        <f t="shared" si="83"/>
        <v>Q26-01</v>
      </c>
    </row>
    <row r="1741" spans="1:17" x14ac:dyDescent="0.25">
      <c r="A1741" t="s">
        <v>12</v>
      </c>
      <c r="B1741" t="s">
        <v>3592</v>
      </c>
      <c r="C1741" t="s">
        <v>3593</v>
      </c>
      <c r="D1741" t="s">
        <v>746</v>
      </c>
      <c r="E1741" t="s">
        <v>3598</v>
      </c>
      <c r="F1741" s="1">
        <v>350</v>
      </c>
      <c r="G1741" s="1">
        <v>0</v>
      </c>
      <c r="H1741" t="s">
        <v>17</v>
      </c>
      <c r="I1741" t="s">
        <v>3595</v>
      </c>
      <c r="J1741" t="s">
        <v>3596</v>
      </c>
      <c r="K1741" s="3">
        <v>46234</v>
      </c>
      <c r="L1741" t="s">
        <v>3597</v>
      </c>
      <c r="M1741">
        <v>0.126</v>
      </c>
      <c r="N1741">
        <v>3360</v>
      </c>
      <c r="O1741">
        <f t="shared" si="81"/>
        <v>44.1</v>
      </c>
      <c r="P1741">
        <f t="shared" si="82"/>
        <v>0.10416666666666667</v>
      </c>
      <c r="Q1741" t="str">
        <f t="shared" si="83"/>
        <v>Q26-03</v>
      </c>
    </row>
    <row r="1742" spans="1:17" x14ac:dyDescent="0.25">
      <c r="A1742" t="s">
        <v>12</v>
      </c>
      <c r="B1742" t="s">
        <v>2344</v>
      </c>
      <c r="C1742" t="s">
        <v>2345</v>
      </c>
      <c r="D1742" t="s">
        <v>388</v>
      </c>
      <c r="E1742" t="s">
        <v>3599</v>
      </c>
      <c r="F1742" s="1">
        <v>1</v>
      </c>
      <c r="G1742" s="1">
        <v>0</v>
      </c>
      <c r="H1742" t="s">
        <v>17</v>
      </c>
      <c r="I1742" t="s">
        <v>2347</v>
      </c>
      <c r="J1742" t="s">
        <v>3600</v>
      </c>
      <c r="K1742" s="3">
        <v>46783</v>
      </c>
      <c r="L1742" t="s">
        <v>3601</v>
      </c>
      <c r="M1742">
        <v>4.8000000000000001E-2</v>
      </c>
      <c r="N1742">
        <v>2592</v>
      </c>
      <c r="O1742">
        <f t="shared" si="81"/>
        <v>4.8000000000000001E-2</v>
      </c>
      <c r="P1742">
        <f t="shared" si="82"/>
        <v>3.8580246913580245E-4</v>
      </c>
      <c r="Q1742" t="str">
        <f t="shared" si="83"/>
        <v>Q26-03</v>
      </c>
    </row>
    <row r="1743" spans="1:17" x14ac:dyDescent="0.25">
      <c r="A1743" t="s">
        <v>12</v>
      </c>
      <c r="B1743" t="s">
        <v>2344</v>
      </c>
      <c r="C1743" t="s">
        <v>2345</v>
      </c>
      <c r="D1743" t="s">
        <v>388</v>
      </c>
      <c r="E1743" t="s">
        <v>3602</v>
      </c>
      <c r="F1743" s="1">
        <v>1</v>
      </c>
      <c r="G1743" s="1">
        <v>0</v>
      </c>
      <c r="H1743" t="s">
        <v>17</v>
      </c>
      <c r="I1743" t="s">
        <v>2347</v>
      </c>
      <c r="J1743" t="s">
        <v>3603</v>
      </c>
      <c r="K1743" s="3">
        <v>46783</v>
      </c>
      <c r="L1743" t="s">
        <v>3601</v>
      </c>
      <c r="M1743">
        <v>4.8000000000000001E-2</v>
      </c>
      <c r="N1743">
        <v>2592</v>
      </c>
      <c r="O1743">
        <f t="shared" si="81"/>
        <v>4.8000000000000001E-2</v>
      </c>
      <c r="P1743">
        <f t="shared" si="82"/>
        <v>3.8580246913580245E-4</v>
      </c>
      <c r="Q1743" t="str">
        <f t="shared" si="83"/>
        <v>Q26-03</v>
      </c>
    </row>
    <row r="1744" spans="1:17" x14ac:dyDescent="0.25">
      <c r="A1744" t="s">
        <v>12</v>
      </c>
      <c r="B1744" t="s">
        <v>3604</v>
      </c>
      <c r="C1744" t="s">
        <v>3605</v>
      </c>
      <c r="D1744" t="s">
        <v>727</v>
      </c>
      <c r="E1744" t="s">
        <v>3606</v>
      </c>
      <c r="F1744" s="1">
        <v>1</v>
      </c>
      <c r="G1744" s="1">
        <v>0</v>
      </c>
      <c r="H1744" t="s">
        <v>17</v>
      </c>
      <c r="I1744" t="s">
        <v>3607</v>
      </c>
      <c r="J1744" t="s">
        <v>3608</v>
      </c>
      <c r="K1744" s="3">
        <v>46777</v>
      </c>
      <c r="L1744" t="s">
        <v>3609</v>
      </c>
      <c r="M1744">
        <v>0.02</v>
      </c>
      <c r="N1744">
        <v>4860</v>
      </c>
      <c r="O1744">
        <f t="shared" si="81"/>
        <v>0.02</v>
      </c>
      <c r="P1744">
        <f t="shared" si="82"/>
        <v>2.0576131687242798E-4</v>
      </c>
      <c r="Q1744" t="str">
        <f t="shared" si="83"/>
        <v>Q26-03</v>
      </c>
    </row>
    <row r="1745" spans="1:17" x14ac:dyDescent="0.25">
      <c r="A1745" t="s">
        <v>2411</v>
      </c>
      <c r="B1745" t="s">
        <v>3610</v>
      </c>
      <c r="C1745" t="s">
        <v>3611</v>
      </c>
      <c r="D1745" t="s">
        <v>407</v>
      </c>
      <c r="E1745" t="s">
        <v>3612</v>
      </c>
      <c r="F1745" s="2">
        <v>1043</v>
      </c>
      <c r="G1745" s="1">
        <v>0</v>
      </c>
      <c r="H1745" t="s">
        <v>17</v>
      </c>
      <c r="I1745" t="s">
        <v>84</v>
      </c>
      <c r="J1745" t="s">
        <v>3613</v>
      </c>
      <c r="K1745" s="3">
        <v>73050</v>
      </c>
      <c r="L1745" t="s">
        <v>123</v>
      </c>
      <c r="M1745">
        <v>3.4000000000000002E-2</v>
      </c>
      <c r="N1745">
        <v>0</v>
      </c>
      <c r="O1745">
        <f t="shared" si="81"/>
        <v>35.462000000000003</v>
      </c>
      <c r="Q1745" t="str">
        <f t="shared" si="83"/>
        <v>Q27-01</v>
      </c>
    </row>
    <row r="1746" spans="1:17" x14ac:dyDescent="0.25">
      <c r="A1746" t="s">
        <v>2411</v>
      </c>
      <c r="B1746" t="s">
        <v>3610</v>
      </c>
      <c r="C1746" t="s">
        <v>3611</v>
      </c>
      <c r="D1746" t="s">
        <v>407</v>
      </c>
      <c r="E1746" t="s">
        <v>3614</v>
      </c>
      <c r="F1746" s="2">
        <v>1079</v>
      </c>
      <c r="G1746" s="1">
        <v>0</v>
      </c>
      <c r="H1746" t="s">
        <v>17</v>
      </c>
      <c r="I1746" t="s">
        <v>84</v>
      </c>
      <c r="J1746" t="s">
        <v>3615</v>
      </c>
      <c r="K1746" s="3">
        <v>73050</v>
      </c>
      <c r="L1746" t="s">
        <v>123</v>
      </c>
      <c r="M1746">
        <v>3.4000000000000002E-2</v>
      </c>
      <c r="N1746">
        <v>0</v>
      </c>
      <c r="O1746">
        <f t="shared" si="81"/>
        <v>36.686</v>
      </c>
      <c r="Q1746" t="str">
        <f t="shared" si="83"/>
        <v>Q27-01</v>
      </c>
    </row>
    <row r="1747" spans="1:17" x14ac:dyDescent="0.25">
      <c r="A1747" t="s">
        <v>61</v>
      </c>
      <c r="B1747" t="s">
        <v>317</v>
      </c>
      <c r="C1747" t="s">
        <v>318</v>
      </c>
      <c r="D1747" t="s">
        <v>805</v>
      </c>
      <c r="E1747" t="s">
        <v>3616</v>
      </c>
      <c r="F1747" s="1">
        <v>2</v>
      </c>
      <c r="G1747" s="1">
        <v>0</v>
      </c>
      <c r="H1747" t="s">
        <v>17</v>
      </c>
      <c r="I1747" t="s">
        <v>320</v>
      </c>
      <c r="J1747" t="s">
        <v>3617</v>
      </c>
      <c r="K1747" s="3">
        <v>47057</v>
      </c>
      <c r="L1747" t="s">
        <v>3495</v>
      </c>
      <c r="M1747">
        <v>0.04</v>
      </c>
      <c r="N1747">
        <v>2688</v>
      </c>
      <c r="O1747">
        <f t="shared" si="81"/>
        <v>0.08</v>
      </c>
      <c r="P1747">
        <f t="shared" si="82"/>
        <v>7.4404761904761901E-4</v>
      </c>
      <c r="Q1747" t="str">
        <f t="shared" si="83"/>
        <v>Q27-03</v>
      </c>
    </row>
    <row r="1748" spans="1:17" x14ac:dyDescent="0.25">
      <c r="A1748" t="s">
        <v>61</v>
      </c>
      <c r="B1748" t="s">
        <v>317</v>
      </c>
      <c r="C1748" t="s">
        <v>318</v>
      </c>
      <c r="D1748" t="s">
        <v>805</v>
      </c>
      <c r="E1748" t="s">
        <v>3618</v>
      </c>
      <c r="F1748" s="1">
        <v>5</v>
      </c>
      <c r="G1748" s="1">
        <v>0</v>
      </c>
      <c r="H1748" t="s">
        <v>17</v>
      </c>
      <c r="I1748" t="s">
        <v>320</v>
      </c>
      <c r="J1748" t="s">
        <v>3617</v>
      </c>
      <c r="K1748" s="3">
        <v>47057</v>
      </c>
      <c r="L1748" t="s">
        <v>3495</v>
      </c>
      <c r="M1748">
        <v>0.04</v>
      </c>
      <c r="N1748">
        <v>2688</v>
      </c>
      <c r="O1748">
        <f t="shared" si="81"/>
        <v>0.2</v>
      </c>
      <c r="P1748">
        <f t="shared" si="82"/>
        <v>1.8601190476190475E-3</v>
      </c>
      <c r="Q1748" t="str">
        <f t="shared" si="83"/>
        <v>Q27-03</v>
      </c>
    </row>
    <row r="1749" spans="1:17" x14ac:dyDescent="0.25">
      <c r="A1749" t="s">
        <v>61</v>
      </c>
      <c r="B1749" t="s">
        <v>317</v>
      </c>
      <c r="C1749" t="s">
        <v>318</v>
      </c>
      <c r="D1749" t="s">
        <v>805</v>
      </c>
      <c r="E1749" t="s">
        <v>3619</v>
      </c>
      <c r="F1749" s="1">
        <v>3</v>
      </c>
      <c r="G1749" s="1">
        <v>0</v>
      </c>
      <c r="H1749" t="s">
        <v>17</v>
      </c>
      <c r="I1749" t="s">
        <v>320</v>
      </c>
      <c r="J1749" t="s">
        <v>3617</v>
      </c>
      <c r="K1749" s="3">
        <v>47057</v>
      </c>
      <c r="L1749" t="s">
        <v>3495</v>
      </c>
      <c r="M1749">
        <v>0.04</v>
      </c>
      <c r="N1749">
        <v>2688</v>
      </c>
      <c r="O1749">
        <f t="shared" si="81"/>
        <v>0.12</v>
      </c>
      <c r="P1749">
        <f t="shared" si="82"/>
        <v>1.1160714285714285E-3</v>
      </c>
      <c r="Q1749" t="str">
        <f t="shared" si="83"/>
        <v>Q27-03</v>
      </c>
    </row>
    <row r="1750" spans="1:17" x14ac:dyDescent="0.25">
      <c r="A1750" t="s">
        <v>61</v>
      </c>
      <c r="B1750" t="s">
        <v>317</v>
      </c>
      <c r="C1750" t="s">
        <v>318</v>
      </c>
      <c r="D1750" t="s">
        <v>805</v>
      </c>
      <c r="E1750" t="s">
        <v>3620</v>
      </c>
      <c r="F1750" s="1">
        <v>18</v>
      </c>
      <c r="G1750" s="1">
        <v>0</v>
      </c>
      <c r="H1750" t="s">
        <v>17</v>
      </c>
      <c r="I1750" t="s">
        <v>320</v>
      </c>
      <c r="J1750" t="s">
        <v>3617</v>
      </c>
      <c r="K1750" s="3">
        <v>47057</v>
      </c>
      <c r="L1750" t="s">
        <v>3495</v>
      </c>
      <c r="M1750">
        <v>0.04</v>
      </c>
      <c r="N1750">
        <v>2688</v>
      </c>
      <c r="O1750">
        <f t="shared" si="81"/>
        <v>0.72</v>
      </c>
      <c r="P1750">
        <f t="shared" si="82"/>
        <v>6.6964285714285711E-3</v>
      </c>
      <c r="Q1750" t="str">
        <f t="shared" si="83"/>
        <v>Q27-03</v>
      </c>
    </row>
    <row r="1751" spans="1:17" x14ac:dyDescent="0.25">
      <c r="A1751" t="s">
        <v>61</v>
      </c>
      <c r="B1751" t="s">
        <v>317</v>
      </c>
      <c r="C1751" t="s">
        <v>318</v>
      </c>
      <c r="D1751" t="s">
        <v>805</v>
      </c>
      <c r="E1751" t="s">
        <v>3621</v>
      </c>
      <c r="F1751" s="1">
        <v>1</v>
      </c>
      <c r="G1751" s="1">
        <v>0</v>
      </c>
      <c r="H1751" t="s">
        <v>17</v>
      </c>
      <c r="I1751" t="s">
        <v>320</v>
      </c>
      <c r="J1751" t="s">
        <v>3617</v>
      </c>
      <c r="K1751" s="3">
        <v>47057</v>
      </c>
      <c r="L1751" t="s">
        <v>3495</v>
      </c>
      <c r="M1751">
        <v>0.04</v>
      </c>
      <c r="N1751">
        <v>2688</v>
      </c>
      <c r="O1751">
        <f t="shared" si="81"/>
        <v>0.04</v>
      </c>
      <c r="P1751">
        <f t="shared" si="82"/>
        <v>3.720238095238095E-4</v>
      </c>
      <c r="Q1751" t="str">
        <f t="shared" si="83"/>
        <v>Q27-03</v>
      </c>
    </row>
    <row r="1752" spans="1:17" x14ac:dyDescent="0.25">
      <c r="A1752" t="s">
        <v>61</v>
      </c>
      <c r="B1752" t="s">
        <v>219</v>
      </c>
      <c r="C1752" t="s">
        <v>220</v>
      </c>
      <c r="D1752" t="s">
        <v>805</v>
      </c>
      <c r="E1752" t="s">
        <v>3622</v>
      </c>
      <c r="F1752" s="1">
        <v>3</v>
      </c>
      <c r="G1752" s="1">
        <v>0</v>
      </c>
      <c r="H1752" t="s">
        <v>17</v>
      </c>
      <c r="I1752" t="s">
        <v>222</v>
      </c>
      <c r="J1752" t="s">
        <v>3617</v>
      </c>
      <c r="K1752" s="3">
        <v>46752</v>
      </c>
      <c r="L1752" t="s">
        <v>3623</v>
      </c>
      <c r="M1752">
        <v>0.3</v>
      </c>
      <c r="N1752">
        <v>1680</v>
      </c>
      <c r="O1752">
        <f t="shared" si="81"/>
        <v>0.89999999999999991</v>
      </c>
      <c r="P1752">
        <f t="shared" si="82"/>
        <v>1.7857142857142857E-3</v>
      </c>
      <c r="Q1752" t="str">
        <f t="shared" si="83"/>
        <v>Q27-03</v>
      </c>
    </row>
    <row r="1753" spans="1:17" x14ac:dyDescent="0.25">
      <c r="A1753" t="s">
        <v>61</v>
      </c>
      <c r="B1753" t="s">
        <v>219</v>
      </c>
      <c r="C1753" t="s">
        <v>220</v>
      </c>
      <c r="D1753" t="s">
        <v>805</v>
      </c>
      <c r="E1753" t="s">
        <v>3624</v>
      </c>
      <c r="F1753" s="1">
        <v>18</v>
      </c>
      <c r="G1753" s="1">
        <v>0</v>
      </c>
      <c r="H1753" t="s">
        <v>17</v>
      </c>
      <c r="I1753" t="s">
        <v>222</v>
      </c>
      <c r="J1753" t="s">
        <v>3617</v>
      </c>
      <c r="K1753" s="3">
        <v>46752</v>
      </c>
      <c r="L1753" t="s">
        <v>3623</v>
      </c>
      <c r="M1753">
        <v>0.3</v>
      </c>
      <c r="N1753">
        <v>1680</v>
      </c>
      <c r="O1753">
        <f t="shared" si="81"/>
        <v>5.3999999999999995</v>
      </c>
      <c r="P1753">
        <f t="shared" si="82"/>
        <v>1.0714285714285714E-2</v>
      </c>
      <c r="Q1753" t="str">
        <f t="shared" si="83"/>
        <v>Q27-03</v>
      </c>
    </row>
    <row r="1754" spans="1:17" x14ac:dyDescent="0.25">
      <c r="A1754" t="s">
        <v>61</v>
      </c>
      <c r="B1754" t="s">
        <v>891</v>
      </c>
      <c r="C1754" t="s">
        <v>892</v>
      </c>
      <c r="D1754" t="s">
        <v>382</v>
      </c>
      <c r="E1754" t="s">
        <v>3625</v>
      </c>
      <c r="F1754" s="1">
        <v>20</v>
      </c>
      <c r="G1754" s="1">
        <v>0</v>
      </c>
      <c r="H1754" t="s">
        <v>17</v>
      </c>
      <c r="I1754" t="s">
        <v>894</v>
      </c>
      <c r="J1754" t="s">
        <v>3617</v>
      </c>
      <c r="K1754" s="3">
        <v>46752</v>
      </c>
      <c r="L1754" t="s">
        <v>3626</v>
      </c>
      <c r="M1754">
        <v>0.312</v>
      </c>
      <c r="N1754">
        <v>1680</v>
      </c>
      <c r="O1754">
        <f t="shared" si="81"/>
        <v>6.24</v>
      </c>
      <c r="P1754">
        <f t="shared" si="82"/>
        <v>1.1904761904761904E-2</v>
      </c>
      <c r="Q1754" t="str">
        <f t="shared" si="83"/>
        <v>Q27-03</v>
      </c>
    </row>
    <row r="1755" spans="1:17" x14ac:dyDescent="0.25">
      <c r="A1755" t="s">
        <v>61</v>
      </c>
      <c r="B1755" t="s">
        <v>456</v>
      </c>
      <c r="C1755" t="s">
        <v>457</v>
      </c>
      <c r="D1755" t="s">
        <v>805</v>
      </c>
      <c r="E1755" t="s">
        <v>3627</v>
      </c>
      <c r="F1755" s="1">
        <v>20</v>
      </c>
      <c r="G1755" s="1">
        <v>0</v>
      </c>
      <c r="H1755" t="s">
        <v>17</v>
      </c>
      <c r="I1755" t="s">
        <v>459</v>
      </c>
      <c r="J1755" t="s">
        <v>3617</v>
      </c>
      <c r="K1755" s="3">
        <v>46752</v>
      </c>
      <c r="L1755" t="s">
        <v>3628</v>
      </c>
      <c r="M1755">
        <v>0.22600000000000001</v>
      </c>
      <c r="N1755">
        <v>1680</v>
      </c>
      <c r="O1755">
        <f t="shared" si="81"/>
        <v>4.5200000000000005</v>
      </c>
      <c r="P1755">
        <f t="shared" si="82"/>
        <v>1.1904761904761904E-2</v>
      </c>
      <c r="Q1755" t="str">
        <f t="shared" si="83"/>
        <v>Q27-03</v>
      </c>
    </row>
    <row r="1756" spans="1:17" x14ac:dyDescent="0.25">
      <c r="A1756" t="s">
        <v>61</v>
      </c>
      <c r="B1756" t="s">
        <v>456</v>
      </c>
      <c r="C1756" t="s">
        <v>457</v>
      </c>
      <c r="D1756" t="s">
        <v>805</v>
      </c>
      <c r="E1756" t="s">
        <v>3629</v>
      </c>
      <c r="F1756" s="1">
        <v>3</v>
      </c>
      <c r="G1756" s="1">
        <v>0</v>
      </c>
      <c r="H1756" t="s">
        <v>17</v>
      </c>
      <c r="I1756" t="s">
        <v>459</v>
      </c>
      <c r="J1756" t="s">
        <v>3617</v>
      </c>
      <c r="K1756" s="3">
        <v>46752</v>
      </c>
      <c r="L1756" t="s">
        <v>3628</v>
      </c>
      <c r="M1756">
        <v>0.22600000000000001</v>
      </c>
      <c r="N1756">
        <v>1680</v>
      </c>
      <c r="O1756">
        <f t="shared" si="81"/>
        <v>0.67800000000000005</v>
      </c>
      <c r="P1756">
        <f t="shared" si="82"/>
        <v>1.7857142857142857E-3</v>
      </c>
      <c r="Q1756" t="str">
        <f t="shared" si="83"/>
        <v>Q27-03</v>
      </c>
    </row>
    <row r="1757" spans="1:17" x14ac:dyDescent="0.25">
      <c r="A1757" t="s">
        <v>12</v>
      </c>
      <c r="B1757" t="s">
        <v>3630</v>
      </c>
      <c r="C1757" t="s">
        <v>3631</v>
      </c>
      <c r="D1757" t="s">
        <v>1978</v>
      </c>
      <c r="E1757" t="s">
        <v>3632</v>
      </c>
      <c r="F1757" s="1">
        <v>5</v>
      </c>
      <c r="G1757" s="1">
        <v>0</v>
      </c>
      <c r="H1757" t="s">
        <v>17</v>
      </c>
      <c r="I1757" t="s">
        <v>3633</v>
      </c>
      <c r="J1757" t="s">
        <v>3634</v>
      </c>
      <c r="K1757" s="3">
        <v>47037</v>
      </c>
      <c r="L1757" t="s">
        <v>3635</v>
      </c>
      <c r="M1757">
        <v>0.129</v>
      </c>
      <c r="N1757">
        <v>120</v>
      </c>
      <c r="O1757">
        <f t="shared" si="81"/>
        <v>0.64500000000000002</v>
      </c>
      <c r="P1757">
        <f t="shared" si="82"/>
        <v>4.1666666666666664E-2</v>
      </c>
      <c r="Q1757" t="str">
        <f t="shared" si="83"/>
        <v>QC1-01</v>
      </c>
    </row>
    <row r="1758" spans="1:17" x14ac:dyDescent="0.25">
      <c r="A1758" t="s">
        <v>12</v>
      </c>
      <c r="B1758" t="s">
        <v>3636</v>
      </c>
      <c r="C1758" t="s">
        <v>3637</v>
      </c>
      <c r="D1758" t="s">
        <v>44</v>
      </c>
      <c r="E1758" t="s">
        <v>3638</v>
      </c>
      <c r="F1758" s="1">
        <v>8</v>
      </c>
      <c r="G1758" s="1">
        <v>0</v>
      </c>
      <c r="H1758" t="s">
        <v>17</v>
      </c>
      <c r="I1758" t="s">
        <v>3639</v>
      </c>
      <c r="J1758" t="s">
        <v>3640</v>
      </c>
      <c r="K1758" s="3">
        <v>46996</v>
      </c>
      <c r="L1758" t="s">
        <v>3641</v>
      </c>
      <c r="M1758">
        <v>1.4E-2</v>
      </c>
      <c r="N1758">
        <v>7920</v>
      </c>
      <c r="O1758">
        <f t="shared" si="81"/>
        <v>0.112</v>
      </c>
      <c r="P1758">
        <f t="shared" si="82"/>
        <v>1.0101010101010101E-3</v>
      </c>
      <c r="Q1758" t="str">
        <f t="shared" si="83"/>
        <v>Q26-01</v>
      </c>
    </row>
    <row r="1759" spans="1:17" x14ac:dyDescent="0.25">
      <c r="A1759" t="s">
        <v>12</v>
      </c>
      <c r="B1759" t="s">
        <v>2350</v>
      </c>
      <c r="C1759" t="s">
        <v>2351</v>
      </c>
      <c r="D1759" t="s">
        <v>44</v>
      </c>
      <c r="E1759" t="s">
        <v>3642</v>
      </c>
      <c r="F1759" s="1">
        <v>1</v>
      </c>
      <c r="G1759" s="1">
        <v>0</v>
      </c>
      <c r="H1759" t="s">
        <v>17</v>
      </c>
      <c r="I1759" t="s">
        <v>2353</v>
      </c>
      <c r="J1759" t="s">
        <v>3640</v>
      </c>
      <c r="K1759" s="3">
        <v>46698</v>
      </c>
      <c r="L1759" t="s">
        <v>3643</v>
      </c>
      <c r="M1759">
        <v>6.6000000000000003E-2</v>
      </c>
      <c r="N1759">
        <v>1344</v>
      </c>
      <c r="O1759">
        <f t="shared" si="81"/>
        <v>6.6000000000000003E-2</v>
      </c>
      <c r="P1759">
        <f t="shared" si="82"/>
        <v>7.4404761904761901E-4</v>
      </c>
      <c r="Q1759" t="str">
        <f t="shared" si="83"/>
        <v>Q26-01</v>
      </c>
    </row>
    <row r="1760" spans="1:17" x14ac:dyDescent="0.25">
      <c r="A1760" t="s">
        <v>12</v>
      </c>
      <c r="B1760" t="s">
        <v>2479</v>
      </c>
      <c r="C1760" t="s">
        <v>2480</v>
      </c>
      <c r="D1760" t="s">
        <v>727</v>
      </c>
      <c r="E1760" t="s">
        <v>3644</v>
      </c>
      <c r="F1760" s="1">
        <v>12</v>
      </c>
      <c r="G1760" s="1">
        <v>0</v>
      </c>
      <c r="H1760" t="s">
        <v>17</v>
      </c>
      <c r="I1760" t="s">
        <v>2482</v>
      </c>
      <c r="J1760" t="s">
        <v>3645</v>
      </c>
      <c r="K1760" s="3">
        <v>46772</v>
      </c>
      <c r="L1760" t="s">
        <v>3646</v>
      </c>
      <c r="M1760">
        <v>0.23599999999999999</v>
      </c>
      <c r="N1760">
        <v>1344</v>
      </c>
      <c r="O1760">
        <f t="shared" si="81"/>
        <v>2.8319999999999999</v>
      </c>
      <c r="P1760">
        <f t="shared" si="82"/>
        <v>8.9285714285714281E-3</v>
      </c>
      <c r="Q1760" t="str">
        <f t="shared" si="83"/>
        <v>Q26-03</v>
      </c>
    </row>
    <row r="1761" spans="1:17" x14ac:dyDescent="0.25">
      <c r="A1761" t="s">
        <v>12</v>
      </c>
      <c r="B1761" t="s">
        <v>3647</v>
      </c>
      <c r="C1761" t="s">
        <v>3648</v>
      </c>
      <c r="D1761" t="s">
        <v>805</v>
      </c>
      <c r="E1761" t="s">
        <v>3649</v>
      </c>
      <c r="F1761" s="1">
        <v>1</v>
      </c>
      <c r="G1761" s="1">
        <v>0</v>
      </c>
      <c r="H1761" t="s">
        <v>17</v>
      </c>
      <c r="I1761" t="s">
        <v>1404</v>
      </c>
      <c r="J1761" t="s">
        <v>3650</v>
      </c>
      <c r="K1761" s="3">
        <v>46965</v>
      </c>
      <c r="L1761" t="s">
        <v>3651</v>
      </c>
      <c r="M1761">
        <v>0.2</v>
      </c>
      <c r="N1761">
        <v>672</v>
      </c>
      <c r="O1761">
        <f t="shared" si="81"/>
        <v>0.2</v>
      </c>
      <c r="P1761">
        <f t="shared" si="82"/>
        <v>1.488095238095238E-3</v>
      </c>
      <c r="Q1761" t="str">
        <f t="shared" si="83"/>
        <v>Q27-03</v>
      </c>
    </row>
    <row r="1762" spans="1:17" x14ac:dyDescent="0.25">
      <c r="A1762" t="s">
        <v>12</v>
      </c>
      <c r="B1762" t="s">
        <v>3647</v>
      </c>
      <c r="C1762" t="s">
        <v>3648</v>
      </c>
      <c r="D1762" t="s">
        <v>2031</v>
      </c>
      <c r="E1762" t="s">
        <v>3652</v>
      </c>
      <c r="F1762" s="1">
        <v>7</v>
      </c>
      <c r="G1762" s="1">
        <v>0</v>
      </c>
      <c r="H1762" t="s">
        <v>17</v>
      </c>
      <c r="I1762" t="s">
        <v>1404</v>
      </c>
      <c r="J1762" t="s">
        <v>3650</v>
      </c>
      <c r="K1762" s="3">
        <v>46996</v>
      </c>
      <c r="L1762" t="s">
        <v>3653</v>
      </c>
      <c r="M1762">
        <v>0.2</v>
      </c>
      <c r="N1762">
        <v>672</v>
      </c>
      <c r="O1762">
        <f t="shared" si="81"/>
        <v>1.4000000000000001</v>
      </c>
      <c r="P1762">
        <f t="shared" si="82"/>
        <v>1.0416666666666666E-2</v>
      </c>
      <c r="Q1762" t="str">
        <f t="shared" si="83"/>
        <v>Q27-03</v>
      </c>
    </row>
    <row r="1763" spans="1:17" x14ac:dyDescent="0.25">
      <c r="A1763" t="s">
        <v>12</v>
      </c>
      <c r="B1763" t="s">
        <v>233</v>
      </c>
      <c r="C1763" t="s">
        <v>234</v>
      </c>
      <c r="D1763" t="s">
        <v>805</v>
      </c>
      <c r="E1763" t="s">
        <v>3654</v>
      </c>
      <c r="F1763" s="1">
        <v>1</v>
      </c>
      <c r="G1763" s="1">
        <v>0</v>
      </c>
      <c r="H1763" t="s">
        <v>17</v>
      </c>
      <c r="I1763" t="s">
        <v>236</v>
      </c>
      <c r="J1763" t="s">
        <v>3655</v>
      </c>
      <c r="K1763" s="3">
        <v>47422</v>
      </c>
      <c r="L1763" t="s">
        <v>3148</v>
      </c>
      <c r="M1763">
        <v>7.4999999999999997E-2</v>
      </c>
      <c r="N1763">
        <v>2688</v>
      </c>
      <c r="O1763">
        <f t="shared" si="81"/>
        <v>7.4999999999999997E-2</v>
      </c>
      <c r="P1763">
        <f t="shared" si="82"/>
        <v>3.720238095238095E-4</v>
      </c>
      <c r="Q1763" t="str">
        <f t="shared" si="83"/>
        <v>Q27-03</v>
      </c>
    </row>
    <row r="1764" spans="1:17" x14ac:dyDescent="0.25">
      <c r="A1764" t="s">
        <v>61</v>
      </c>
      <c r="B1764" t="s">
        <v>420</v>
      </c>
      <c r="C1764" t="s">
        <v>421</v>
      </c>
      <c r="D1764" t="s">
        <v>805</v>
      </c>
      <c r="E1764" t="s">
        <v>3656</v>
      </c>
      <c r="F1764" s="1">
        <v>6</v>
      </c>
      <c r="G1764" s="1">
        <v>0</v>
      </c>
      <c r="H1764" t="s">
        <v>17</v>
      </c>
      <c r="I1764" t="s">
        <v>423</v>
      </c>
      <c r="J1764" t="s">
        <v>3657</v>
      </c>
      <c r="K1764" s="3">
        <v>46904</v>
      </c>
      <c r="L1764" t="s">
        <v>3658</v>
      </c>
      <c r="M1764">
        <v>0.156</v>
      </c>
      <c r="N1764">
        <v>1152</v>
      </c>
      <c r="O1764">
        <f t="shared" si="81"/>
        <v>0.93599999999999994</v>
      </c>
      <c r="P1764">
        <f t="shared" si="82"/>
        <v>5.208333333333333E-3</v>
      </c>
      <c r="Q1764" t="str">
        <f t="shared" si="83"/>
        <v>Q27-03</v>
      </c>
    </row>
    <row r="1765" spans="1:17" x14ac:dyDescent="0.25">
      <c r="A1765" t="s">
        <v>61</v>
      </c>
      <c r="B1765" t="s">
        <v>420</v>
      </c>
      <c r="C1765" t="s">
        <v>421</v>
      </c>
      <c r="D1765" t="s">
        <v>805</v>
      </c>
      <c r="E1765" t="s">
        <v>3659</v>
      </c>
      <c r="F1765" s="1">
        <v>3</v>
      </c>
      <c r="G1765" s="1">
        <v>0</v>
      </c>
      <c r="H1765" t="s">
        <v>17</v>
      </c>
      <c r="I1765" t="s">
        <v>423</v>
      </c>
      <c r="J1765" t="s">
        <v>3657</v>
      </c>
      <c r="K1765" s="3">
        <v>46904</v>
      </c>
      <c r="L1765" t="s">
        <v>3658</v>
      </c>
      <c r="M1765">
        <v>0.156</v>
      </c>
      <c r="N1765">
        <v>1152</v>
      </c>
      <c r="O1765">
        <f t="shared" si="81"/>
        <v>0.46799999999999997</v>
      </c>
      <c r="P1765">
        <f t="shared" si="82"/>
        <v>2.6041666666666665E-3</v>
      </c>
      <c r="Q1765" t="str">
        <f t="shared" si="83"/>
        <v>Q27-03</v>
      </c>
    </row>
    <row r="1766" spans="1:17" x14ac:dyDescent="0.25">
      <c r="A1766" t="s">
        <v>61</v>
      </c>
      <c r="B1766" t="s">
        <v>317</v>
      </c>
      <c r="C1766" t="s">
        <v>318</v>
      </c>
      <c r="D1766" t="s">
        <v>2031</v>
      </c>
      <c r="E1766" t="s">
        <v>3660</v>
      </c>
      <c r="F1766" s="1">
        <v>2</v>
      </c>
      <c r="G1766" s="1">
        <v>0</v>
      </c>
      <c r="H1766" t="s">
        <v>17</v>
      </c>
      <c r="I1766" t="s">
        <v>320</v>
      </c>
      <c r="J1766" t="s">
        <v>3657</v>
      </c>
      <c r="K1766" s="3">
        <v>46934</v>
      </c>
      <c r="L1766" t="s">
        <v>3661</v>
      </c>
      <c r="M1766">
        <v>0.04</v>
      </c>
      <c r="N1766">
        <v>2688</v>
      </c>
      <c r="O1766">
        <f t="shared" si="81"/>
        <v>0.08</v>
      </c>
      <c r="P1766">
        <f t="shared" si="82"/>
        <v>7.4404761904761901E-4</v>
      </c>
      <c r="Q1766" t="str">
        <f t="shared" si="83"/>
        <v>Q27-03</v>
      </c>
    </row>
    <row r="1767" spans="1:17" x14ac:dyDescent="0.25">
      <c r="A1767" t="s">
        <v>61</v>
      </c>
      <c r="B1767" t="s">
        <v>317</v>
      </c>
      <c r="C1767" t="s">
        <v>318</v>
      </c>
      <c r="D1767" t="s">
        <v>2031</v>
      </c>
      <c r="E1767" t="s">
        <v>3662</v>
      </c>
      <c r="F1767" s="1">
        <v>15</v>
      </c>
      <c r="G1767" s="1">
        <v>0</v>
      </c>
      <c r="H1767" t="s">
        <v>17</v>
      </c>
      <c r="I1767" t="s">
        <v>320</v>
      </c>
      <c r="J1767" t="s">
        <v>3657</v>
      </c>
      <c r="K1767" s="3">
        <v>46934</v>
      </c>
      <c r="L1767" t="s">
        <v>3661</v>
      </c>
      <c r="M1767">
        <v>0.04</v>
      </c>
      <c r="N1767">
        <v>2688</v>
      </c>
      <c r="O1767">
        <f t="shared" si="81"/>
        <v>0.6</v>
      </c>
      <c r="P1767">
        <f t="shared" si="82"/>
        <v>5.580357142857143E-3</v>
      </c>
      <c r="Q1767" t="str">
        <f t="shared" si="83"/>
        <v>Q27-03</v>
      </c>
    </row>
    <row r="1768" spans="1:17" x14ac:dyDescent="0.25">
      <c r="A1768" t="s">
        <v>61</v>
      </c>
      <c r="B1768" t="s">
        <v>317</v>
      </c>
      <c r="C1768" t="s">
        <v>318</v>
      </c>
      <c r="D1768" t="s">
        <v>805</v>
      </c>
      <c r="E1768" t="s">
        <v>3663</v>
      </c>
      <c r="F1768" s="1">
        <v>3</v>
      </c>
      <c r="G1768" s="1">
        <v>0</v>
      </c>
      <c r="H1768" t="s">
        <v>17</v>
      </c>
      <c r="I1768" t="s">
        <v>320</v>
      </c>
      <c r="J1768" t="s">
        <v>3657</v>
      </c>
      <c r="K1768" s="3">
        <v>46934</v>
      </c>
      <c r="L1768" t="s">
        <v>3661</v>
      </c>
      <c r="M1768">
        <v>0.04</v>
      </c>
      <c r="N1768">
        <v>2688</v>
      </c>
      <c r="O1768">
        <f t="shared" si="81"/>
        <v>0.12</v>
      </c>
      <c r="P1768">
        <f t="shared" si="82"/>
        <v>1.1160714285714285E-3</v>
      </c>
      <c r="Q1768" t="str">
        <f t="shared" si="83"/>
        <v>Q27-03</v>
      </c>
    </row>
    <row r="1769" spans="1:17" x14ac:dyDescent="0.25">
      <c r="A1769" t="s">
        <v>61</v>
      </c>
      <c r="B1769" t="s">
        <v>364</v>
      </c>
      <c r="C1769" t="s">
        <v>365</v>
      </c>
      <c r="D1769" t="s">
        <v>3556</v>
      </c>
      <c r="E1769" t="s">
        <v>3664</v>
      </c>
      <c r="F1769" s="1">
        <v>62</v>
      </c>
      <c r="G1769" s="1">
        <v>0</v>
      </c>
      <c r="H1769" t="s">
        <v>17</v>
      </c>
      <c r="I1769" t="s">
        <v>367</v>
      </c>
      <c r="J1769" t="s">
        <v>3657</v>
      </c>
      <c r="K1769" s="3">
        <v>46965</v>
      </c>
      <c r="L1769" t="s">
        <v>3665</v>
      </c>
      <c r="M1769">
        <v>0.158</v>
      </c>
      <c r="N1769">
        <v>1152</v>
      </c>
      <c r="O1769">
        <f t="shared" si="81"/>
        <v>9.7959999999999994</v>
      </c>
      <c r="P1769">
        <f t="shared" si="82"/>
        <v>5.3819444444444448E-2</v>
      </c>
      <c r="Q1769" t="str">
        <f t="shared" si="83"/>
        <v>Q27-03</v>
      </c>
    </row>
    <row r="1770" spans="1:17" x14ac:dyDescent="0.25">
      <c r="A1770" t="s">
        <v>61</v>
      </c>
      <c r="B1770" t="s">
        <v>364</v>
      </c>
      <c r="C1770" t="s">
        <v>365</v>
      </c>
      <c r="D1770" t="s">
        <v>3556</v>
      </c>
      <c r="E1770" t="s">
        <v>3666</v>
      </c>
      <c r="F1770" s="1">
        <v>6</v>
      </c>
      <c r="G1770" s="1">
        <v>0</v>
      </c>
      <c r="H1770" t="s">
        <v>17</v>
      </c>
      <c r="I1770" t="s">
        <v>367</v>
      </c>
      <c r="J1770" t="s">
        <v>3657</v>
      </c>
      <c r="K1770" s="3">
        <v>46965</v>
      </c>
      <c r="L1770" t="s">
        <v>3665</v>
      </c>
      <c r="M1770">
        <v>0.158</v>
      </c>
      <c r="N1770">
        <v>1152</v>
      </c>
      <c r="O1770">
        <f t="shared" si="81"/>
        <v>0.94799999999999995</v>
      </c>
      <c r="P1770">
        <f t="shared" si="82"/>
        <v>5.208333333333333E-3</v>
      </c>
      <c r="Q1770" t="str">
        <f t="shared" si="83"/>
        <v>Q27-03</v>
      </c>
    </row>
    <row r="1771" spans="1:17" x14ac:dyDescent="0.25">
      <c r="A1771" t="s">
        <v>12</v>
      </c>
      <c r="B1771" t="s">
        <v>2360</v>
      </c>
      <c r="C1771" t="s">
        <v>2361</v>
      </c>
      <c r="D1771" t="s">
        <v>727</v>
      </c>
      <c r="E1771" t="s">
        <v>3667</v>
      </c>
      <c r="F1771" s="1">
        <v>2</v>
      </c>
      <c r="G1771" s="1">
        <v>0</v>
      </c>
      <c r="H1771" t="s">
        <v>17</v>
      </c>
      <c r="I1771" t="s">
        <v>2363</v>
      </c>
      <c r="J1771" t="s">
        <v>3668</v>
      </c>
      <c r="K1771" s="3">
        <v>46698</v>
      </c>
      <c r="L1771" t="s">
        <v>3669</v>
      </c>
      <c r="M1771">
        <v>0.154</v>
      </c>
      <c r="N1771">
        <v>1536</v>
      </c>
      <c r="O1771">
        <f t="shared" si="81"/>
        <v>0.308</v>
      </c>
      <c r="P1771">
        <f t="shared" si="82"/>
        <v>1.3020833333333333E-3</v>
      </c>
      <c r="Q1771" t="str">
        <f t="shared" si="83"/>
        <v>Q26-03</v>
      </c>
    </row>
    <row r="1772" spans="1:17" x14ac:dyDescent="0.25">
      <c r="A1772" t="s">
        <v>2411</v>
      </c>
      <c r="B1772" t="s">
        <v>439</v>
      </c>
      <c r="C1772" t="s">
        <v>440</v>
      </c>
      <c r="D1772" t="s">
        <v>407</v>
      </c>
      <c r="E1772" t="s">
        <v>3670</v>
      </c>
      <c r="F1772" s="1">
        <v>1</v>
      </c>
      <c r="G1772" s="1">
        <v>0</v>
      </c>
      <c r="H1772" t="s">
        <v>17</v>
      </c>
      <c r="I1772" t="s">
        <v>2509</v>
      </c>
      <c r="J1772" t="s">
        <v>3671</v>
      </c>
      <c r="K1772" s="3">
        <v>46797</v>
      </c>
      <c r="L1772" t="s">
        <v>3672</v>
      </c>
      <c r="M1772">
        <v>8.3000000000000004E-2</v>
      </c>
      <c r="N1772">
        <v>1200</v>
      </c>
      <c r="O1772">
        <f t="shared" si="81"/>
        <v>8.3000000000000004E-2</v>
      </c>
      <c r="P1772">
        <f t="shared" si="82"/>
        <v>8.3333333333333339E-4</v>
      </c>
      <c r="Q1772" t="str">
        <f t="shared" si="83"/>
        <v>Q27-01</v>
      </c>
    </row>
    <row r="1773" spans="1:17" x14ac:dyDescent="0.25">
      <c r="A1773" t="s">
        <v>2411</v>
      </c>
      <c r="B1773" t="s">
        <v>2501</v>
      </c>
      <c r="C1773" t="s">
        <v>2502</v>
      </c>
      <c r="D1773" t="s">
        <v>407</v>
      </c>
      <c r="E1773" t="s">
        <v>3673</v>
      </c>
      <c r="F1773" s="1">
        <v>1</v>
      </c>
      <c r="G1773" s="1">
        <v>0</v>
      </c>
      <c r="H1773" t="s">
        <v>17</v>
      </c>
      <c r="I1773" t="s">
        <v>2415</v>
      </c>
      <c r="J1773" t="s">
        <v>3671</v>
      </c>
      <c r="K1773" s="3">
        <v>46794</v>
      </c>
      <c r="L1773" t="s">
        <v>3334</v>
      </c>
      <c r="M1773">
        <v>0.05</v>
      </c>
      <c r="N1773">
        <v>1500</v>
      </c>
      <c r="O1773">
        <f t="shared" si="81"/>
        <v>0.05</v>
      </c>
      <c r="P1773">
        <f t="shared" si="82"/>
        <v>6.6666666666666664E-4</v>
      </c>
      <c r="Q1773" t="str">
        <f t="shared" si="83"/>
        <v>Q27-01</v>
      </c>
    </row>
    <row r="1774" spans="1:17" x14ac:dyDescent="0.25">
      <c r="A1774" t="s">
        <v>2411</v>
      </c>
      <c r="B1774" t="s">
        <v>2412</v>
      </c>
      <c r="C1774" t="s">
        <v>2413</v>
      </c>
      <c r="D1774" t="s">
        <v>407</v>
      </c>
      <c r="E1774" t="s">
        <v>3674</v>
      </c>
      <c r="F1774" s="1">
        <v>3</v>
      </c>
      <c r="G1774" s="1">
        <v>0</v>
      </c>
      <c r="H1774" t="s">
        <v>17</v>
      </c>
      <c r="I1774" t="s">
        <v>2415</v>
      </c>
      <c r="J1774" t="s">
        <v>3671</v>
      </c>
      <c r="K1774" s="3">
        <v>46541</v>
      </c>
      <c r="L1774" t="s">
        <v>2417</v>
      </c>
      <c r="M1774">
        <v>0.03</v>
      </c>
      <c r="N1774">
        <v>2200</v>
      </c>
      <c r="O1774">
        <f t="shared" si="81"/>
        <v>0.09</v>
      </c>
      <c r="P1774">
        <f t="shared" si="82"/>
        <v>1.3636363636363637E-3</v>
      </c>
      <c r="Q1774" t="str">
        <f t="shared" si="83"/>
        <v>Q27-01</v>
      </c>
    </row>
    <row r="1775" spans="1:17" x14ac:dyDescent="0.25">
      <c r="A1775" t="s">
        <v>2411</v>
      </c>
      <c r="B1775" t="s">
        <v>2429</v>
      </c>
      <c r="C1775" t="s">
        <v>2430</v>
      </c>
      <c r="D1775" t="s">
        <v>407</v>
      </c>
      <c r="E1775" t="s">
        <v>3675</v>
      </c>
      <c r="F1775" s="1">
        <v>1</v>
      </c>
      <c r="G1775" s="1">
        <v>0</v>
      </c>
      <c r="H1775" t="s">
        <v>17</v>
      </c>
      <c r="I1775" t="s">
        <v>2432</v>
      </c>
      <c r="J1775" t="s">
        <v>3671</v>
      </c>
      <c r="K1775" s="3">
        <v>46545</v>
      </c>
      <c r="L1775" t="s">
        <v>2433</v>
      </c>
      <c r="M1775">
        <v>7.8E-2</v>
      </c>
      <c r="N1775">
        <v>800</v>
      </c>
      <c r="O1775">
        <f t="shared" si="81"/>
        <v>7.8E-2</v>
      </c>
      <c r="P1775">
        <f t="shared" si="82"/>
        <v>1.25E-3</v>
      </c>
      <c r="Q1775" t="str">
        <f t="shared" si="83"/>
        <v>Q27-01</v>
      </c>
    </row>
    <row r="1776" spans="1:17" x14ac:dyDescent="0.25">
      <c r="A1776" t="s">
        <v>12</v>
      </c>
      <c r="B1776" t="s">
        <v>2295</v>
      </c>
      <c r="C1776" t="s">
        <v>2296</v>
      </c>
      <c r="D1776" t="s">
        <v>407</v>
      </c>
      <c r="E1776" t="s">
        <v>3676</v>
      </c>
      <c r="F1776" s="1">
        <v>3</v>
      </c>
      <c r="G1776" s="1">
        <v>0</v>
      </c>
      <c r="H1776" t="s">
        <v>17</v>
      </c>
      <c r="I1776" t="s">
        <v>2298</v>
      </c>
      <c r="J1776" t="s">
        <v>3677</v>
      </c>
      <c r="K1776" s="3">
        <v>46698</v>
      </c>
      <c r="L1776" t="s">
        <v>3678</v>
      </c>
      <c r="M1776">
        <v>0.14399999999999999</v>
      </c>
      <c r="N1776">
        <v>1728</v>
      </c>
      <c r="O1776">
        <f t="shared" si="81"/>
        <v>0.43199999999999994</v>
      </c>
      <c r="P1776">
        <f t="shared" si="82"/>
        <v>1.736111111111111E-3</v>
      </c>
      <c r="Q1776" t="str">
        <f t="shared" si="83"/>
        <v>Q27-01</v>
      </c>
    </row>
    <row r="1777" spans="1:17" x14ac:dyDescent="0.25">
      <c r="A1777" t="s">
        <v>2411</v>
      </c>
      <c r="B1777" t="s">
        <v>2501</v>
      </c>
      <c r="C1777" t="s">
        <v>2502</v>
      </c>
      <c r="D1777" t="s">
        <v>44</v>
      </c>
      <c r="E1777" t="s">
        <v>3679</v>
      </c>
      <c r="F1777" s="1">
        <v>1</v>
      </c>
      <c r="G1777" s="1">
        <v>0</v>
      </c>
      <c r="H1777" t="s">
        <v>17</v>
      </c>
      <c r="I1777" t="s">
        <v>2415</v>
      </c>
      <c r="J1777" t="s">
        <v>3680</v>
      </c>
      <c r="K1777" s="3">
        <v>46922</v>
      </c>
      <c r="L1777" t="s">
        <v>3681</v>
      </c>
      <c r="M1777">
        <v>0.05</v>
      </c>
      <c r="N1777">
        <v>1500</v>
      </c>
      <c r="O1777">
        <f t="shared" si="81"/>
        <v>0.05</v>
      </c>
      <c r="P1777">
        <f t="shared" si="82"/>
        <v>6.6666666666666664E-4</v>
      </c>
      <c r="Q1777" t="str">
        <f t="shared" si="83"/>
        <v>Q26-01</v>
      </c>
    </row>
    <row r="1778" spans="1:17" x14ac:dyDescent="0.25">
      <c r="A1778" t="s">
        <v>61</v>
      </c>
      <c r="B1778" t="s">
        <v>317</v>
      </c>
      <c r="C1778" t="s">
        <v>318</v>
      </c>
      <c r="D1778" t="s">
        <v>2031</v>
      </c>
      <c r="E1778" t="s">
        <v>3682</v>
      </c>
      <c r="F1778" s="1">
        <v>12</v>
      </c>
      <c r="G1778" s="1">
        <v>0</v>
      </c>
      <c r="H1778" t="s">
        <v>17</v>
      </c>
      <c r="I1778" t="s">
        <v>320</v>
      </c>
      <c r="J1778" t="s">
        <v>3683</v>
      </c>
      <c r="K1778" s="3">
        <v>46996</v>
      </c>
      <c r="L1778" t="s">
        <v>3548</v>
      </c>
      <c r="M1778">
        <v>0.04</v>
      </c>
      <c r="N1778">
        <v>2688</v>
      </c>
      <c r="O1778">
        <f t="shared" si="81"/>
        <v>0.48</v>
      </c>
      <c r="P1778">
        <f t="shared" si="82"/>
        <v>4.464285714285714E-3</v>
      </c>
      <c r="Q1778" t="str">
        <f t="shared" si="83"/>
        <v>Q27-03</v>
      </c>
    </row>
    <row r="1779" spans="1:17" x14ac:dyDescent="0.25">
      <c r="A1779" t="s">
        <v>61</v>
      </c>
      <c r="B1779" t="s">
        <v>317</v>
      </c>
      <c r="C1779" t="s">
        <v>318</v>
      </c>
      <c r="D1779" t="s">
        <v>2031</v>
      </c>
      <c r="E1779" t="s">
        <v>3684</v>
      </c>
      <c r="F1779" s="1">
        <v>40</v>
      </c>
      <c r="G1779" s="1">
        <v>0</v>
      </c>
      <c r="H1779" t="s">
        <v>17</v>
      </c>
      <c r="I1779" t="s">
        <v>320</v>
      </c>
      <c r="J1779" t="s">
        <v>3683</v>
      </c>
      <c r="K1779" s="3">
        <v>46996</v>
      </c>
      <c r="L1779" t="s">
        <v>3548</v>
      </c>
      <c r="M1779">
        <v>0.04</v>
      </c>
      <c r="N1779">
        <v>2688</v>
      </c>
      <c r="O1779">
        <f t="shared" si="81"/>
        <v>1.6</v>
      </c>
      <c r="P1779">
        <f t="shared" si="82"/>
        <v>1.488095238095238E-2</v>
      </c>
      <c r="Q1779" t="str">
        <f t="shared" si="83"/>
        <v>Q27-03</v>
      </c>
    </row>
    <row r="1780" spans="1:17" x14ac:dyDescent="0.25">
      <c r="A1780" t="s">
        <v>61</v>
      </c>
      <c r="B1780" t="s">
        <v>317</v>
      </c>
      <c r="C1780" t="s">
        <v>318</v>
      </c>
      <c r="D1780" t="s">
        <v>2031</v>
      </c>
      <c r="E1780" t="s">
        <v>3685</v>
      </c>
      <c r="F1780" s="1">
        <v>20</v>
      </c>
      <c r="G1780" s="1">
        <v>0</v>
      </c>
      <c r="H1780" t="s">
        <v>17</v>
      </c>
      <c r="I1780" t="s">
        <v>320</v>
      </c>
      <c r="J1780" t="s">
        <v>3683</v>
      </c>
      <c r="K1780" s="3">
        <v>46996</v>
      </c>
      <c r="L1780" t="s">
        <v>3548</v>
      </c>
      <c r="M1780">
        <v>0.04</v>
      </c>
      <c r="N1780">
        <v>2688</v>
      </c>
      <c r="O1780">
        <f t="shared" si="81"/>
        <v>0.8</v>
      </c>
      <c r="P1780">
        <f t="shared" si="82"/>
        <v>7.4404761904761901E-3</v>
      </c>
      <c r="Q1780" t="str">
        <f t="shared" si="83"/>
        <v>Q27-03</v>
      </c>
    </row>
    <row r="1781" spans="1:17" x14ac:dyDescent="0.25">
      <c r="A1781" t="s">
        <v>61</v>
      </c>
      <c r="B1781" t="s">
        <v>317</v>
      </c>
      <c r="C1781" t="s">
        <v>318</v>
      </c>
      <c r="D1781" t="s">
        <v>336</v>
      </c>
      <c r="E1781" t="s">
        <v>3686</v>
      </c>
      <c r="F1781" s="1">
        <v>54</v>
      </c>
      <c r="G1781" s="1">
        <v>0</v>
      </c>
      <c r="H1781" t="s">
        <v>17</v>
      </c>
      <c r="I1781" t="s">
        <v>320</v>
      </c>
      <c r="J1781" t="s">
        <v>3683</v>
      </c>
      <c r="K1781" s="3">
        <v>46996</v>
      </c>
      <c r="L1781" t="s">
        <v>3548</v>
      </c>
      <c r="M1781">
        <v>0.04</v>
      </c>
      <c r="N1781">
        <v>2688</v>
      </c>
      <c r="O1781">
        <f t="shared" si="81"/>
        <v>2.16</v>
      </c>
      <c r="P1781">
        <f t="shared" si="82"/>
        <v>2.0089285714285716E-2</v>
      </c>
      <c r="Q1781" t="str">
        <f t="shared" si="83"/>
        <v>Q27-03</v>
      </c>
    </row>
    <row r="1782" spans="1:17" x14ac:dyDescent="0.25">
      <c r="A1782" t="s">
        <v>61</v>
      </c>
      <c r="B1782" t="s">
        <v>317</v>
      </c>
      <c r="C1782" t="s">
        <v>318</v>
      </c>
      <c r="D1782" t="s">
        <v>198</v>
      </c>
      <c r="E1782" t="s">
        <v>3687</v>
      </c>
      <c r="F1782" s="1">
        <v>2</v>
      </c>
      <c r="G1782" s="1">
        <v>0</v>
      </c>
      <c r="H1782" t="s">
        <v>17</v>
      </c>
      <c r="I1782" t="s">
        <v>320</v>
      </c>
      <c r="J1782" t="s">
        <v>3683</v>
      </c>
      <c r="K1782" s="3">
        <v>46996</v>
      </c>
      <c r="L1782" t="s">
        <v>3548</v>
      </c>
      <c r="M1782">
        <v>0.04</v>
      </c>
      <c r="N1782">
        <v>2688</v>
      </c>
      <c r="O1782">
        <f t="shared" si="81"/>
        <v>0.08</v>
      </c>
      <c r="P1782">
        <f t="shared" si="82"/>
        <v>7.4404761904761901E-4</v>
      </c>
      <c r="Q1782" t="str">
        <f t="shared" si="83"/>
        <v>Q27-03</v>
      </c>
    </row>
    <row r="1783" spans="1:17" x14ac:dyDescent="0.25">
      <c r="A1783" t="s">
        <v>61</v>
      </c>
      <c r="B1783" t="s">
        <v>317</v>
      </c>
      <c r="C1783" t="s">
        <v>318</v>
      </c>
      <c r="D1783" t="s">
        <v>3556</v>
      </c>
      <c r="E1783" t="s">
        <v>3688</v>
      </c>
      <c r="F1783" s="1">
        <v>6</v>
      </c>
      <c r="G1783" s="1">
        <v>0</v>
      </c>
      <c r="H1783" t="s">
        <v>17</v>
      </c>
      <c r="I1783" t="s">
        <v>320</v>
      </c>
      <c r="J1783" t="s">
        <v>3683</v>
      </c>
      <c r="K1783" s="3">
        <v>46996</v>
      </c>
      <c r="L1783" t="s">
        <v>3548</v>
      </c>
      <c r="M1783">
        <v>0.04</v>
      </c>
      <c r="N1783">
        <v>2688</v>
      </c>
      <c r="O1783">
        <f t="shared" si="81"/>
        <v>0.24</v>
      </c>
      <c r="P1783">
        <f t="shared" si="82"/>
        <v>2.232142857142857E-3</v>
      </c>
      <c r="Q1783" t="str">
        <f t="shared" si="83"/>
        <v>Q27-03</v>
      </c>
    </row>
    <row r="1784" spans="1:17" x14ac:dyDescent="0.25">
      <c r="A1784" t="s">
        <v>61</v>
      </c>
      <c r="B1784" t="s">
        <v>317</v>
      </c>
      <c r="C1784" t="s">
        <v>318</v>
      </c>
      <c r="D1784" t="s">
        <v>2031</v>
      </c>
      <c r="E1784" t="s">
        <v>3689</v>
      </c>
      <c r="F1784" s="1">
        <v>1</v>
      </c>
      <c r="G1784" s="1">
        <v>0</v>
      </c>
      <c r="H1784" t="s">
        <v>17</v>
      </c>
      <c r="I1784" t="s">
        <v>320</v>
      </c>
      <c r="J1784" t="s">
        <v>3683</v>
      </c>
      <c r="K1784" s="3">
        <v>46934</v>
      </c>
      <c r="L1784" t="s">
        <v>3661</v>
      </c>
      <c r="M1784">
        <v>0.04</v>
      </c>
      <c r="N1784">
        <v>2688</v>
      </c>
      <c r="O1784">
        <f t="shared" si="81"/>
        <v>0.04</v>
      </c>
      <c r="P1784">
        <f t="shared" si="82"/>
        <v>3.720238095238095E-4</v>
      </c>
      <c r="Q1784" t="str">
        <f t="shared" si="83"/>
        <v>Q27-03</v>
      </c>
    </row>
    <row r="1785" spans="1:17" x14ac:dyDescent="0.25">
      <c r="A1785" t="s">
        <v>61</v>
      </c>
      <c r="B1785" t="s">
        <v>317</v>
      </c>
      <c r="C1785" t="s">
        <v>318</v>
      </c>
      <c r="D1785" t="s">
        <v>2031</v>
      </c>
      <c r="E1785" t="s">
        <v>3690</v>
      </c>
      <c r="F1785" s="1">
        <v>3</v>
      </c>
      <c r="G1785" s="1">
        <v>0</v>
      </c>
      <c r="H1785" t="s">
        <v>17</v>
      </c>
      <c r="I1785" t="s">
        <v>320</v>
      </c>
      <c r="J1785" t="s">
        <v>3683</v>
      </c>
      <c r="K1785" s="3">
        <v>46934</v>
      </c>
      <c r="L1785" t="s">
        <v>3661</v>
      </c>
      <c r="M1785">
        <v>0.04</v>
      </c>
      <c r="N1785">
        <v>2688</v>
      </c>
      <c r="O1785">
        <f t="shared" si="81"/>
        <v>0.12</v>
      </c>
      <c r="P1785">
        <f t="shared" si="82"/>
        <v>1.1160714285714285E-3</v>
      </c>
      <c r="Q1785" t="str">
        <f t="shared" si="83"/>
        <v>Q27-03</v>
      </c>
    </row>
    <row r="1786" spans="1:17" x14ac:dyDescent="0.25">
      <c r="A1786" t="s">
        <v>12</v>
      </c>
      <c r="B1786" t="s">
        <v>36</v>
      </c>
      <c r="C1786" t="s">
        <v>37</v>
      </c>
      <c r="D1786" t="s">
        <v>727</v>
      </c>
      <c r="E1786" t="s">
        <v>3691</v>
      </c>
      <c r="F1786" s="1">
        <v>2</v>
      </c>
      <c r="G1786" s="1">
        <v>0</v>
      </c>
      <c r="H1786" t="s">
        <v>17</v>
      </c>
      <c r="I1786" t="s">
        <v>40</v>
      </c>
      <c r="J1786" t="s">
        <v>3692</v>
      </c>
      <c r="K1786" s="3">
        <v>46801</v>
      </c>
      <c r="L1786" t="s">
        <v>3693</v>
      </c>
      <c r="M1786">
        <v>2.8000000000000001E-2</v>
      </c>
      <c r="N1786">
        <v>3780</v>
      </c>
      <c r="O1786">
        <f t="shared" si="81"/>
        <v>5.6000000000000001E-2</v>
      </c>
      <c r="P1786">
        <f t="shared" si="82"/>
        <v>5.2910052910052914E-4</v>
      </c>
      <c r="Q1786" t="str">
        <f t="shared" si="83"/>
        <v>Q26-03</v>
      </c>
    </row>
    <row r="1787" spans="1:17" x14ac:dyDescent="0.25">
      <c r="A1787" t="s">
        <v>12</v>
      </c>
      <c r="B1787" t="s">
        <v>36</v>
      </c>
      <c r="C1787" t="s">
        <v>37</v>
      </c>
      <c r="D1787" t="s">
        <v>727</v>
      </c>
      <c r="E1787" t="s">
        <v>3694</v>
      </c>
      <c r="F1787" s="1">
        <v>4</v>
      </c>
      <c r="G1787" s="1">
        <v>0</v>
      </c>
      <c r="H1787" t="s">
        <v>17</v>
      </c>
      <c r="I1787" t="s">
        <v>40</v>
      </c>
      <c r="J1787" t="s">
        <v>3692</v>
      </c>
      <c r="K1787" s="3">
        <v>46801</v>
      </c>
      <c r="L1787" t="s">
        <v>3695</v>
      </c>
      <c r="M1787">
        <v>2.8000000000000001E-2</v>
      </c>
      <c r="N1787">
        <v>3780</v>
      </c>
      <c r="O1787">
        <f t="shared" si="81"/>
        <v>0.112</v>
      </c>
      <c r="P1787">
        <f t="shared" si="82"/>
        <v>1.0582010582010583E-3</v>
      </c>
      <c r="Q1787" t="str">
        <f t="shared" si="83"/>
        <v>Q26-03</v>
      </c>
    </row>
    <row r="1788" spans="1:17" x14ac:dyDescent="0.25">
      <c r="A1788" t="s">
        <v>12</v>
      </c>
      <c r="B1788" t="s">
        <v>36</v>
      </c>
      <c r="C1788" t="s">
        <v>37</v>
      </c>
      <c r="D1788" t="s">
        <v>727</v>
      </c>
      <c r="E1788" t="s">
        <v>3696</v>
      </c>
      <c r="F1788" s="1">
        <v>4</v>
      </c>
      <c r="G1788" s="1">
        <v>0</v>
      </c>
      <c r="H1788" t="s">
        <v>17</v>
      </c>
      <c r="I1788" t="s">
        <v>40</v>
      </c>
      <c r="J1788" t="s">
        <v>3692</v>
      </c>
      <c r="K1788" s="3">
        <v>46801</v>
      </c>
      <c r="L1788" t="s">
        <v>3695</v>
      </c>
      <c r="M1788">
        <v>2.8000000000000001E-2</v>
      </c>
      <c r="N1788">
        <v>3780</v>
      </c>
      <c r="O1788">
        <f t="shared" si="81"/>
        <v>0.112</v>
      </c>
      <c r="P1788">
        <f t="shared" si="82"/>
        <v>1.0582010582010583E-3</v>
      </c>
      <c r="Q1788" t="str">
        <f t="shared" si="83"/>
        <v>Q26-03</v>
      </c>
    </row>
    <row r="1789" spans="1:17" x14ac:dyDescent="0.25">
      <c r="A1789" t="s">
        <v>12</v>
      </c>
      <c r="B1789" t="s">
        <v>2295</v>
      </c>
      <c r="C1789" t="s">
        <v>2296</v>
      </c>
      <c r="D1789" t="s">
        <v>44</v>
      </c>
      <c r="E1789" t="s">
        <v>3697</v>
      </c>
      <c r="F1789" s="1">
        <v>1</v>
      </c>
      <c r="G1789" s="1">
        <v>0</v>
      </c>
      <c r="H1789" t="s">
        <v>17</v>
      </c>
      <c r="I1789" t="s">
        <v>2298</v>
      </c>
      <c r="J1789" t="s">
        <v>3698</v>
      </c>
      <c r="K1789" s="3">
        <v>46698</v>
      </c>
      <c r="L1789" t="s">
        <v>3678</v>
      </c>
      <c r="M1789">
        <v>0.14399999999999999</v>
      </c>
      <c r="N1789">
        <v>1728</v>
      </c>
      <c r="O1789">
        <f t="shared" si="81"/>
        <v>0.14399999999999999</v>
      </c>
      <c r="P1789">
        <f t="shared" si="82"/>
        <v>5.7870370370370367E-4</v>
      </c>
      <c r="Q1789" t="str">
        <f t="shared" si="83"/>
        <v>Q26-01</v>
      </c>
    </row>
    <row r="1790" spans="1:17" x14ac:dyDescent="0.25">
      <c r="A1790" t="s">
        <v>385</v>
      </c>
      <c r="B1790" t="s">
        <v>3348</v>
      </c>
      <c r="C1790" t="s">
        <v>3349</v>
      </c>
      <c r="D1790" t="s">
        <v>388</v>
      </c>
      <c r="E1790" t="s">
        <v>3699</v>
      </c>
      <c r="F1790" s="1">
        <v>2</v>
      </c>
      <c r="G1790" s="1">
        <v>0</v>
      </c>
      <c r="H1790" t="s">
        <v>17</v>
      </c>
      <c r="I1790" t="s">
        <v>647</v>
      </c>
      <c r="J1790" t="s">
        <v>3700</v>
      </c>
      <c r="K1790" s="3">
        <v>46732</v>
      </c>
      <c r="L1790" t="s">
        <v>3701</v>
      </c>
      <c r="M1790">
        <v>8.5999999999999993E-2</v>
      </c>
      <c r="N1790">
        <v>2772</v>
      </c>
      <c r="O1790">
        <f t="shared" si="81"/>
        <v>0.17199999999999999</v>
      </c>
      <c r="P1790">
        <f t="shared" si="82"/>
        <v>7.215007215007215E-4</v>
      </c>
      <c r="Q1790" t="str">
        <f t="shared" si="83"/>
        <v>Q26-03</v>
      </c>
    </row>
    <row r="1791" spans="1:17" x14ac:dyDescent="0.25">
      <c r="A1791" t="s">
        <v>385</v>
      </c>
      <c r="B1791" t="s">
        <v>3348</v>
      </c>
      <c r="C1791" t="s">
        <v>3349</v>
      </c>
      <c r="D1791" t="s">
        <v>727</v>
      </c>
      <c r="E1791" t="s">
        <v>3702</v>
      </c>
      <c r="F1791" s="1">
        <v>1</v>
      </c>
      <c r="G1791" s="1">
        <v>0</v>
      </c>
      <c r="H1791" t="s">
        <v>17</v>
      </c>
      <c r="I1791" t="s">
        <v>647</v>
      </c>
      <c r="J1791" t="s">
        <v>3700</v>
      </c>
      <c r="K1791" s="3">
        <v>46732</v>
      </c>
      <c r="L1791" t="s">
        <v>3701</v>
      </c>
      <c r="M1791">
        <v>8.5999999999999993E-2</v>
      </c>
      <c r="N1791">
        <v>2772</v>
      </c>
      <c r="O1791">
        <f t="shared" si="81"/>
        <v>8.5999999999999993E-2</v>
      </c>
      <c r="P1791">
        <f t="shared" si="82"/>
        <v>3.6075036075036075E-4</v>
      </c>
      <c r="Q1791" t="str">
        <f t="shared" si="83"/>
        <v>Q26-03</v>
      </c>
    </row>
    <row r="1792" spans="1:17" x14ac:dyDescent="0.25">
      <c r="A1792" t="s">
        <v>385</v>
      </c>
      <c r="B1792" t="s">
        <v>3348</v>
      </c>
      <c r="C1792" t="s">
        <v>3349</v>
      </c>
      <c r="D1792" t="s">
        <v>727</v>
      </c>
      <c r="E1792" t="s">
        <v>3703</v>
      </c>
      <c r="F1792" s="1">
        <v>2</v>
      </c>
      <c r="G1792" s="1">
        <v>0</v>
      </c>
      <c r="H1792" t="s">
        <v>17</v>
      </c>
      <c r="I1792" t="s">
        <v>647</v>
      </c>
      <c r="J1792" t="s">
        <v>3700</v>
      </c>
      <c r="K1792" s="3">
        <v>46732</v>
      </c>
      <c r="L1792" t="s">
        <v>3704</v>
      </c>
      <c r="M1792">
        <v>8.5999999999999993E-2</v>
      </c>
      <c r="N1792">
        <v>2772</v>
      </c>
      <c r="O1792">
        <f t="shared" si="81"/>
        <v>0.17199999999999999</v>
      </c>
      <c r="P1792">
        <f t="shared" si="82"/>
        <v>7.215007215007215E-4</v>
      </c>
      <c r="Q1792" t="str">
        <f t="shared" si="83"/>
        <v>Q26-03</v>
      </c>
    </row>
    <row r="1793" spans="1:17" x14ac:dyDescent="0.25">
      <c r="A1793" t="s">
        <v>12</v>
      </c>
      <c r="B1793" t="s">
        <v>2612</v>
      </c>
      <c r="C1793" t="s">
        <v>2613</v>
      </c>
      <c r="D1793" t="s">
        <v>727</v>
      </c>
      <c r="E1793" t="s">
        <v>3705</v>
      </c>
      <c r="F1793" s="1">
        <v>1</v>
      </c>
      <c r="G1793" s="1">
        <v>0</v>
      </c>
      <c r="H1793" t="s">
        <v>17</v>
      </c>
      <c r="I1793" t="s">
        <v>2615</v>
      </c>
      <c r="J1793" t="s">
        <v>3706</v>
      </c>
      <c r="K1793" s="3">
        <v>46728</v>
      </c>
      <c r="L1793" t="s">
        <v>3707</v>
      </c>
      <c r="M1793">
        <v>4.3999999999999997E-2</v>
      </c>
      <c r="N1793">
        <v>3600</v>
      </c>
      <c r="O1793">
        <f t="shared" si="81"/>
        <v>4.3999999999999997E-2</v>
      </c>
      <c r="P1793">
        <f t="shared" si="82"/>
        <v>2.7777777777777778E-4</v>
      </c>
      <c r="Q1793" t="str">
        <f t="shared" si="83"/>
        <v>Q26-03</v>
      </c>
    </row>
    <row r="1794" spans="1:17" x14ac:dyDescent="0.25">
      <c r="A1794" t="s">
        <v>61</v>
      </c>
      <c r="B1794" t="s">
        <v>71</v>
      </c>
      <c r="C1794" t="s">
        <v>72</v>
      </c>
      <c r="D1794" t="s">
        <v>2031</v>
      </c>
      <c r="E1794" t="s">
        <v>3708</v>
      </c>
      <c r="F1794" s="1">
        <v>9</v>
      </c>
      <c r="G1794" s="1">
        <v>0</v>
      </c>
      <c r="H1794" t="s">
        <v>17</v>
      </c>
      <c r="I1794" t="s">
        <v>75</v>
      </c>
      <c r="J1794" t="s">
        <v>3709</v>
      </c>
      <c r="K1794" s="3">
        <v>46752</v>
      </c>
      <c r="L1794" t="s">
        <v>3460</v>
      </c>
      <c r="M1794">
        <v>0.3</v>
      </c>
      <c r="N1794">
        <v>1680</v>
      </c>
      <c r="O1794">
        <f t="shared" si="81"/>
        <v>2.6999999999999997</v>
      </c>
      <c r="P1794">
        <f t="shared" si="82"/>
        <v>5.3571428571428572E-3</v>
      </c>
      <c r="Q1794" t="str">
        <f t="shared" si="83"/>
        <v>Q27-03</v>
      </c>
    </row>
    <row r="1795" spans="1:17" x14ac:dyDescent="0.25">
      <c r="A1795" t="s">
        <v>61</v>
      </c>
      <c r="B1795" t="s">
        <v>317</v>
      </c>
      <c r="C1795" t="s">
        <v>318</v>
      </c>
      <c r="D1795" t="s">
        <v>244</v>
      </c>
      <c r="E1795" t="s">
        <v>3710</v>
      </c>
      <c r="F1795" s="1">
        <v>7</v>
      </c>
      <c r="G1795" s="1">
        <v>0</v>
      </c>
      <c r="H1795" t="s">
        <v>17</v>
      </c>
      <c r="I1795" t="s">
        <v>320</v>
      </c>
      <c r="J1795" t="s">
        <v>3709</v>
      </c>
      <c r="K1795" s="3">
        <v>47057</v>
      </c>
      <c r="L1795" t="s">
        <v>3495</v>
      </c>
      <c r="M1795">
        <v>0.04</v>
      </c>
      <c r="N1795">
        <v>2688</v>
      </c>
      <c r="O1795">
        <f t="shared" ref="O1795:O1858" si="84">F1795*M1795</f>
        <v>0.28000000000000003</v>
      </c>
      <c r="P1795">
        <f t="shared" ref="P1795:P1858" si="85">F1795/N1795</f>
        <v>2.6041666666666665E-3</v>
      </c>
      <c r="Q1795" t="str">
        <f t="shared" ref="Q1795:Q1858" si="86">LEFT(D1795,6)</f>
        <v>Q27-03</v>
      </c>
    </row>
    <row r="1796" spans="1:17" x14ac:dyDescent="0.25">
      <c r="A1796" t="s">
        <v>61</v>
      </c>
      <c r="B1796" t="s">
        <v>317</v>
      </c>
      <c r="C1796" t="s">
        <v>318</v>
      </c>
      <c r="D1796" t="s">
        <v>3552</v>
      </c>
      <c r="E1796" t="s">
        <v>3711</v>
      </c>
      <c r="F1796" s="1">
        <v>11</v>
      </c>
      <c r="G1796" s="1">
        <v>0</v>
      </c>
      <c r="H1796" t="s">
        <v>17</v>
      </c>
      <c r="I1796" t="s">
        <v>320</v>
      </c>
      <c r="J1796" t="s">
        <v>3709</v>
      </c>
      <c r="K1796" s="3">
        <v>47057</v>
      </c>
      <c r="L1796" t="s">
        <v>3495</v>
      </c>
      <c r="M1796">
        <v>0.04</v>
      </c>
      <c r="N1796">
        <v>2688</v>
      </c>
      <c r="O1796">
        <f t="shared" si="84"/>
        <v>0.44</v>
      </c>
      <c r="P1796">
        <f t="shared" si="85"/>
        <v>4.092261904761905E-3</v>
      </c>
      <c r="Q1796" t="str">
        <f t="shared" si="86"/>
        <v>Q27-03</v>
      </c>
    </row>
    <row r="1797" spans="1:17" x14ac:dyDescent="0.25">
      <c r="A1797" t="s">
        <v>61</v>
      </c>
      <c r="B1797" t="s">
        <v>317</v>
      </c>
      <c r="C1797" t="s">
        <v>318</v>
      </c>
      <c r="D1797" t="s">
        <v>3552</v>
      </c>
      <c r="E1797" t="s">
        <v>3712</v>
      </c>
      <c r="F1797" s="1">
        <v>55</v>
      </c>
      <c r="G1797" s="1">
        <v>0</v>
      </c>
      <c r="H1797" t="s">
        <v>17</v>
      </c>
      <c r="I1797" t="s">
        <v>320</v>
      </c>
      <c r="J1797" t="s">
        <v>3709</v>
      </c>
      <c r="K1797" s="3">
        <v>47057</v>
      </c>
      <c r="L1797" t="s">
        <v>3495</v>
      </c>
      <c r="M1797">
        <v>0.04</v>
      </c>
      <c r="N1797">
        <v>2688</v>
      </c>
      <c r="O1797">
        <f t="shared" si="84"/>
        <v>2.2000000000000002</v>
      </c>
      <c r="P1797">
        <f t="shared" si="85"/>
        <v>2.0461309523809524E-2</v>
      </c>
      <c r="Q1797" t="str">
        <f t="shared" si="86"/>
        <v>Q27-03</v>
      </c>
    </row>
    <row r="1798" spans="1:17" x14ac:dyDescent="0.25">
      <c r="A1798" t="s">
        <v>61</v>
      </c>
      <c r="B1798" t="s">
        <v>317</v>
      </c>
      <c r="C1798" t="s">
        <v>318</v>
      </c>
      <c r="D1798" t="s">
        <v>3552</v>
      </c>
      <c r="E1798" t="s">
        <v>3713</v>
      </c>
      <c r="F1798" s="1">
        <v>25</v>
      </c>
      <c r="G1798" s="1">
        <v>0</v>
      </c>
      <c r="H1798" t="s">
        <v>17</v>
      </c>
      <c r="I1798" t="s">
        <v>320</v>
      </c>
      <c r="J1798" t="s">
        <v>3709</v>
      </c>
      <c r="K1798" s="3">
        <v>47057</v>
      </c>
      <c r="L1798" t="s">
        <v>3495</v>
      </c>
      <c r="M1798">
        <v>0.04</v>
      </c>
      <c r="N1798">
        <v>2688</v>
      </c>
      <c r="O1798">
        <f t="shared" si="84"/>
        <v>1</v>
      </c>
      <c r="P1798">
        <f t="shared" si="85"/>
        <v>9.300595238095238E-3</v>
      </c>
      <c r="Q1798" t="str">
        <f t="shared" si="86"/>
        <v>Q27-03</v>
      </c>
    </row>
    <row r="1799" spans="1:17" x14ac:dyDescent="0.25">
      <c r="A1799" t="s">
        <v>61</v>
      </c>
      <c r="B1799" t="s">
        <v>317</v>
      </c>
      <c r="C1799" t="s">
        <v>318</v>
      </c>
      <c r="D1799" t="s">
        <v>3556</v>
      </c>
      <c r="E1799" t="s">
        <v>3714</v>
      </c>
      <c r="F1799" s="1">
        <v>3</v>
      </c>
      <c r="G1799" s="1">
        <v>0</v>
      </c>
      <c r="H1799" t="s">
        <v>17</v>
      </c>
      <c r="I1799" t="s">
        <v>320</v>
      </c>
      <c r="J1799" t="s">
        <v>3709</v>
      </c>
      <c r="K1799" s="3">
        <v>47057</v>
      </c>
      <c r="L1799" t="s">
        <v>3495</v>
      </c>
      <c r="M1799">
        <v>0.04</v>
      </c>
      <c r="N1799">
        <v>2688</v>
      </c>
      <c r="O1799">
        <f t="shared" si="84"/>
        <v>0.12</v>
      </c>
      <c r="P1799">
        <f t="shared" si="85"/>
        <v>1.1160714285714285E-3</v>
      </c>
      <c r="Q1799" t="str">
        <f t="shared" si="86"/>
        <v>Q27-03</v>
      </c>
    </row>
    <row r="1800" spans="1:17" x14ac:dyDescent="0.25">
      <c r="A1800" t="s">
        <v>61</v>
      </c>
      <c r="B1800" t="s">
        <v>456</v>
      </c>
      <c r="C1800" t="s">
        <v>457</v>
      </c>
      <c r="D1800" t="s">
        <v>2031</v>
      </c>
      <c r="E1800" t="s">
        <v>3715</v>
      </c>
      <c r="F1800" s="1">
        <v>1</v>
      </c>
      <c r="G1800" s="1">
        <v>0</v>
      </c>
      <c r="H1800" t="s">
        <v>17</v>
      </c>
      <c r="I1800" t="s">
        <v>459</v>
      </c>
      <c r="J1800" t="s">
        <v>3709</v>
      </c>
      <c r="K1800" s="3">
        <v>46721</v>
      </c>
      <c r="L1800" t="s">
        <v>3716</v>
      </c>
      <c r="M1800">
        <v>0.22600000000000001</v>
      </c>
      <c r="N1800">
        <v>1680</v>
      </c>
      <c r="O1800">
        <f t="shared" si="84"/>
        <v>0.22600000000000001</v>
      </c>
      <c r="P1800">
        <f t="shared" si="85"/>
        <v>5.9523809523809529E-4</v>
      </c>
      <c r="Q1800" t="str">
        <f t="shared" si="86"/>
        <v>Q27-03</v>
      </c>
    </row>
    <row r="1801" spans="1:17" x14ac:dyDescent="0.25">
      <c r="A1801" t="s">
        <v>61</v>
      </c>
      <c r="B1801" t="s">
        <v>456</v>
      </c>
      <c r="C1801" t="s">
        <v>457</v>
      </c>
      <c r="D1801" t="s">
        <v>2031</v>
      </c>
      <c r="E1801" t="s">
        <v>3717</v>
      </c>
      <c r="F1801" s="1">
        <v>24</v>
      </c>
      <c r="G1801" s="1">
        <v>0</v>
      </c>
      <c r="H1801" t="s">
        <v>17</v>
      </c>
      <c r="I1801" t="s">
        <v>459</v>
      </c>
      <c r="J1801" t="s">
        <v>3709</v>
      </c>
      <c r="K1801" s="3">
        <v>46721</v>
      </c>
      <c r="L1801" t="s">
        <v>3716</v>
      </c>
      <c r="M1801">
        <v>0.22600000000000001</v>
      </c>
      <c r="N1801">
        <v>1680</v>
      </c>
      <c r="O1801">
        <f t="shared" si="84"/>
        <v>5.4240000000000004</v>
      </c>
      <c r="P1801">
        <f t="shared" si="85"/>
        <v>1.4285714285714285E-2</v>
      </c>
      <c r="Q1801" t="str">
        <f t="shared" si="86"/>
        <v>Q27-03</v>
      </c>
    </row>
    <row r="1802" spans="1:17" x14ac:dyDescent="0.25">
      <c r="A1802" t="s">
        <v>61</v>
      </c>
      <c r="B1802" t="s">
        <v>456</v>
      </c>
      <c r="C1802" t="s">
        <v>457</v>
      </c>
      <c r="D1802" t="s">
        <v>2031</v>
      </c>
      <c r="E1802" t="s">
        <v>3718</v>
      </c>
      <c r="F1802" s="1">
        <v>17</v>
      </c>
      <c r="G1802" s="1">
        <v>0</v>
      </c>
      <c r="H1802" t="s">
        <v>17</v>
      </c>
      <c r="I1802" t="s">
        <v>459</v>
      </c>
      <c r="J1802" t="s">
        <v>3709</v>
      </c>
      <c r="K1802" s="3">
        <v>46660</v>
      </c>
      <c r="L1802" t="s">
        <v>3719</v>
      </c>
      <c r="M1802">
        <v>0.22600000000000001</v>
      </c>
      <c r="N1802">
        <v>1680</v>
      </c>
      <c r="O1802">
        <f t="shared" si="84"/>
        <v>3.8420000000000001</v>
      </c>
      <c r="P1802">
        <f t="shared" si="85"/>
        <v>1.011904761904762E-2</v>
      </c>
      <c r="Q1802" t="str">
        <f t="shared" si="86"/>
        <v>Q27-03</v>
      </c>
    </row>
    <row r="1803" spans="1:17" x14ac:dyDescent="0.25">
      <c r="A1803" t="s">
        <v>61</v>
      </c>
      <c r="B1803" t="s">
        <v>456</v>
      </c>
      <c r="C1803" t="s">
        <v>457</v>
      </c>
      <c r="D1803" t="s">
        <v>2031</v>
      </c>
      <c r="E1803" t="s">
        <v>3720</v>
      </c>
      <c r="F1803" s="1">
        <v>1</v>
      </c>
      <c r="G1803" s="1">
        <v>0</v>
      </c>
      <c r="H1803" t="s">
        <v>17</v>
      </c>
      <c r="I1803" t="s">
        <v>459</v>
      </c>
      <c r="J1803" t="s">
        <v>3709</v>
      </c>
      <c r="K1803" s="3">
        <v>46660</v>
      </c>
      <c r="L1803" t="s">
        <v>3719</v>
      </c>
      <c r="M1803">
        <v>0.22600000000000001</v>
      </c>
      <c r="N1803">
        <v>1680</v>
      </c>
      <c r="O1803">
        <f t="shared" si="84"/>
        <v>0.22600000000000001</v>
      </c>
      <c r="P1803">
        <f t="shared" si="85"/>
        <v>5.9523809523809529E-4</v>
      </c>
      <c r="Q1803" t="str">
        <f t="shared" si="86"/>
        <v>Q27-03</v>
      </c>
    </row>
    <row r="1804" spans="1:17" x14ac:dyDescent="0.25">
      <c r="A1804" t="s">
        <v>61</v>
      </c>
      <c r="B1804" t="s">
        <v>219</v>
      </c>
      <c r="C1804" t="s">
        <v>220</v>
      </c>
      <c r="D1804" t="s">
        <v>2031</v>
      </c>
      <c r="E1804" t="s">
        <v>3721</v>
      </c>
      <c r="F1804" s="1">
        <v>7</v>
      </c>
      <c r="G1804" s="1">
        <v>0</v>
      </c>
      <c r="H1804" t="s">
        <v>17</v>
      </c>
      <c r="I1804" t="s">
        <v>222</v>
      </c>
      <c r="J1804" t="s">
        <v>3709</v>
      </c>
      <c r="K1804" s="3">
        <v>46752</v>
      </c>
      <c r="L1804" t="s">
        <v>3623</v>
      </c>
      <c r="M1804">
        <v>0.3</v>
      </c>
      <c r="N1804">
        <v>1680</v>
      </c>
      <c r="O1804">
        <f t="shared" si="84"/>
        <v>2.1</v>
      </c>
      <c r="P1804">
        <f t="shared" si="85"/>
        <v>4.1666666666666666E-3</v>
      </c>
      <c r="Q1804" t="str">
        <f t="shared" si="86"/>
        <v>Q27-03</v>
      </c>
    </row>
    <row r="1805" spans="1:17" x14ac:dyDescent="0.25">
      <c r="A1805" t="s">
        <v>61</v>
      </c>
      <c r="B1805" t="s">
        <v>891</v>
      </c>
      <c r="C1805" t="s">
        <v>892</v>
      </c>
      <c r="D1805" t="s">
        <v>2031</v>
      </c>
      <c r="E1805" t="s">
        <v>3722</v>
      </c>
      <c r="F1805" s="1">
        <v>31</v>
      </c>
      <c r="G1805" s="1">
        <v>0</v>
      </c>
      <c r="H1805" t="s">
        <v>17</v>
      </c>
      <c r="I1805" t="s">
        <v>894</v>
      </c>
      <c r="J1805" t="s">
        <v>3709</v>
      </c>
      <c r="K1805" s="3">
        <v>46752</v>
      </c>
      <c r="L1805" t="s">
        <v>3626</v>
      </c>
      <c r="M1805">
        <v>0.312</v>
      </c>
      <c r="N1805">
        <v>1680</v>
      </c>
      <c r="O1805">
        <f t="shared" si="84"/>
        <v>9.6720000000000006</v>
      </c>
      <c r="P1805">
        <f t="shared" si="85"/>
        <v>1.8452380952380953E-2</v>
      </c>
      <c r="Q1805" t="str">
        <f t="shared" si="86"/>
        <v>Q27-03</v>
      </c>
    </row>
    <row r="1806" spans="1:17" x14ac:dyDescent="0.25">
      <c r="A1806" t="s">
        <v>385</v>
      </c>
      <c r="B1806" t="s">
        <v>2295</v>
      </c>
      <c r="C1806" t="s">
        <v>2296</v>
      </c>
      <c r="D1806" t="s">
        <v>44</v>
      </c>
      <c r="E1806" t="s">
        <v>3723</v>
      </c>
      <c r="F1806" s="1">
        <v>6</v>
      </c>
      <c r="G1806" s="1">
        <v>0</v>
      </c>
      <c r="H1806" t="s">
        <v>17</v>
      </c>
      <c r="I1806" t="s">
        <v>2298</v>
      </c>
      <c r="J1806" t="s">
        <v>3724</v>
      </c>
      <c r="K1806" s="3">
        <v>46698</v>
      </c>
      <c r="L1806" t="s">
        <v>3678</v>
      </c>
      <c r="M1806">
        <v>0.14399999999999999</v>
      </c>
      <c r="N1806">
        <v>1728</v>
      </c>
      <c r="O1806">
        <f t="shared" si="84"/>
        <v>0.86399999999999988</v>
      </c>
      <c r="P1806">
        <f t="shared" si="85"/>
        <v>3.472222222222222E-3</v>
      </c>
      <c r="Q1806" t="str">
        <f t="shared" si="86"/>
        <v>Q26-01</v>
      </c>
    </row>
    <row r="1807" spans="1:17" x14ac:dyDescent="0.25">
      <c r="A1807" t="s">
        <v>385</v>
      </c>
      <c r="B1807" t="s">
        <v>2360</v>
      </c>
      <c r="C1807" t="s">
        <v>2361</v>
      </c>
      <c r="D1807" t="s">
        <v>44</v>
      </c>
      <c r="E1807" t="s">
        <v>3725</v>
      </c>
      <c r="F1807" s="1">
        <v>2</v>
      </c>
      <c r="G1807" s="1">
        <v>0</v>
      </c>
      <c r="H1807" t="s">
        <v>17</v>
      </c>
      <c r="I1807" t="s">
        <v>2363</v>
      </c>
      <c r="J1807" t="s">
        <v>3724</v>
      </c>
      <c r="K1807" s="3">
        <v>46698</v>
      </c>
      <c r="L1807" t="s">
        <v>3669</v>
      </c>
      <c r="M1807">
        <v>0.154</v>
      </c>
      <c r="N1807">
        <v>1536</v>
      </c>
      <c r="O1807">
        <f t="shared" si="84"/>
        <v>0.308</v>
      </c>
      <c r="P1807">
        <f t="shared" si="85"/>
        <v>1.3020833333333333E-3</v>
      </c>
      <c r="Q1807" t="str">
        <f t="shared" si="86"/>
        <v>Q26-01</v>
      </c>
    </row>
    <row r="1808" spans="1:17" x14ac:dyDescent="0.25">
      <c r="A1808" t="s">
        <v>12</v>
      </c>
      <c r="B1808" t="s">
        <v>3726</v>
      </c>
      <c r="C1808" t="s">
        <v>3727</v>
      </c>
      <c r="D1808" t="s">
        <v>727</v>
      </c>
      <c r="E1808" t="s">
        <v>3728</v>
      </c>
      <c r="F1808" s="1">
        <v>3</v>
      </c>
      <c r="G1808" s="1">
        <v>0</v>
      </c>
      <c r="H1808" t="s">
        <v>17</v>
      </c>
      <c r="I1808" t="s">
        <v>3178</v>
      </c>
      <c r="J1808" t="s">
        <v>3729</v>
      </c>
      <c r="K1808" s="3">
        <v>47057</v>
      </c>
      <c r="L1808" t="s">
        <v>3730</v>
      </c>
      <c r="M1808">
        <v>2.5000000000000001E-2</v>
      </c>
      <c r="N1808">
        <v>6480</v>
      </c>
      <c r="O1808">
        <f t="shared" si="84"/>
        <v>7.5000000000000011E-2</v>
      </c>
      <c r="P1808">
        <f t="shared" si="85"/>
        <v>4.6296296296296298E-4</v>
      </c>
      <c r="Q1808" t="str">
        <f t="shared" si="86"/>
        <v>Q26-03</v>
      </c>
    </row>
    <row r="1809" spans="1:17" x14ac:dyDescent="0.25">
      <c r="A1809" t="s">
        <v>12</v>
      </c>
      <c r="B1809" t="s">
        <v>891</v>
      </c>
      <c r="C1809" t="s">
        <v>892</v>
      </c>
      <c r="D1809" t="s">
        <v>2031</v>
      </c>
      <c r="E1809" t="s">
        <v>3731</v>
      </c>
      <c r="F1809" s="1">
        <v>1</v>
      </c>
      <c r="G1809" s="1">
        <v>0</v>
      </c>
      <c r="H1809" t="s">
        <v>17</v>
      </c>
      <c r="I1809" t="s">
        <v>894</v>
      </c>
      <c r="J1809" t="s">
        <v>3732</v>
      </c>
      <c r="K1809" s="3">
        <v>46752</v>
      </c>
      <c r="L1809" t="s">
        <v>3626</v>
      </c>
      <c r="M1809">
        <v>0.312</v>
      </c>
      <c r="N1809">
        <v>1680</v>
      </c>
      <c r="O1809">
        <f t="shared" si="84"/>
        <v>0.312</v>
      </c>
      <c r="P1809">
        <f t="shared" si="85"/>
        <v>5.9523809523809529E-4</v>
      </c>
      <c r="Q1809" t="str">
        <f t="shared" si="86"/>
        <v>Q27-03</v>
      </c>
    </row>
    <row r="1810" spans="1:17" x14ac:dyDescent="0.25">
      <c r="A1810" t="s">
        <v>12</v>
      </c>
      <c r="B1810" t="s">
        <v>1254</v>
      </c>
      <c r="C1810" t="s">
        <v>1255</v>
      </c>
      <c r="D1810" t="s">
        <v>805</v>
      </c>
      <c r="E1810" t="s">
        <v>3733</v>
      </c>
      <c r="F1810" s="1">
        <v>3</v>
      </c>
      <c r="G1810" s="1">
        <v>0</v>
      </c>
      <c r="H1810" t="s">
        <v>17</v>
      </c>
      <c r="I1810" t="s">
        <v>1257</v>
      </c>
      <c r="J1810" t="s">
        <v>3734</v>
      </c>
      <c r="K1810" s="3">
        <v>46326</v>
      </c>
      <c r="L1810" t="s">
        <v>3002</v>
      </c>
      <c r="M1810">
        <v>0.1</v>
      </c>
      <c r="N1810">
        <v>3600</v>
      </c>
      <c r="O1810">
        <f t="shared" si="84"/>
        <v>0.30000000000000004</v>
      </c>
      <c r="P1810">
        <f t="shared" si="85"/>
        <v>8.3333333333333339E-4</v>
      </c>
      <c r="Q1810" t="str">
        <f t="shared" si="86"/>
        <v>Q27-03</v>
      </c>
    </row>
    <row r="1811" spans="1:17" x14ac:dyDescent="0.25">
      <c r="A1811" t="s">
        <v>385</v>
      </c>
      <c r="B1811" t="s">
        <v>2295</v>
      </c>
      <c r="C1811" t="s">
        <v>2296</v>
      </c>
      <c r="D1811" t="s">
        <v>407</v>
      </c>
      <c r="E1811" t="s">
        <v>3735</v>
      </c>
      <c r="F1811" s="1">
        <v>8</v>
      </c>
      <c r="G1811" s="1">
        <v>0</v>
      </c>
      <c r="H1811" t="s">
        <v>17</v>
      </c>
      <c r="I1811" t="s">
        <v>2298</v>
      </c>
      <c r="J1811" t="s">
        <v>3736</v>
      </c>
      <c r="K1811" s="3">
        <v>46698</v>
      </c>
      <c r="L1811" t="s">
        <v>3737</v>
      </c>
      <c r="M1811">
        <v>0.14399999999999999</v>
      </c>
      <c r="N1811">
        <v>1728</v>
      </c>
      <c r="O1811">
        <f t="shared" si="84"/>
        <v>1.1519999999999999</v>
      </c>
      <c r="P1811">
        <f t="shared" si="85"/>
        <v>4.6296296296296294E-3</v>
      </c>
      <c r="Q1811" t="str">
        <f t="shared" si="86"/>
        <v>Q27-01</v>
      </c>
    </row>
    <row r="1812" spans="1:17" x14ac:dyDescent="0.25">
      <c r="A1812" t="s">
        <v>61</v>
      </c>
      <c r="B1812" t="s">
        <v>281</v>
      </c>
      <c r="C1812" t="s">
        <v>282</v>
      </c>
      <c r="D1812" t="s">
        <v>805</v>
      </c>
      <c r="E1812" t="s">
        <v>3738</v>
      </c>
      <c r="F1812" s="1">
        <v>2</v>
      </c>
      <c r="G1812" s="1">
        <v>0</v>
      </c>
      <c r="H1812" t="s">
        <v>17</v>
      </c>
      <c r="I1812" t="s">
        <v>284</v>
      </c>
      <c r="J1812" t="s">
        <v>3739</v>
      </c>
      <c r="K1812" s="3">
        <v>46173</v>
      </c>
      <c r="L1812" t="s">
        <v>298</v>
      </c>
      <c r="M1812">
        <v>6.8000000000000005E-2</v>
      </c>
      <c r="N1812">
        <v>2240</v>
      </c>
      <c r="O1812">
        <f t="shared" si="84"/>
        <v>0.13600000000000001</v>
      </c>
      <c r="P1812">
        <f t="shared" si="85"/>
        <v>8.9285714285714283E-4</v>
      </c>
      <c r="Q1812" t="str">
        <f t="shared" si="86"/>
        <v>Q27-03</v>
      </c>
    </row>
    <row r="1813" spans="1:17" x14ac:dyDescent="0.25">
      <c r="A1813" t="s">
        <v>61</v>
      </c>
      <c r="B1813" t="s">
        <v>281</v>
      </c>
      <c r="C1813" t="s">
        <v>282</v>
      </c>
      <c r="D1813" t="s">
        <v>805</v>
      </c>
      <c r="E1813" t="s">
        <v>3740</v>
      </c>
      <c r="F1813" s="1">
        <v>20</v>
      </c>
      <c r="G1813" s="1">
        <v>0</v>
      </c>
      <c r="H1813" t="s">
        <v>17</v>
      </c>
      <c r="I1813" t="s">
        <v>284</v>
      </c>
      <c r="J1813" t="s">
        <v>3739</v>
      </c>
      <c r="K1813" s="3">
        <v>46142</v>
      </c>
      <c r="L1813" t="s">
        <v>3741</v>
      </c>
      <c r="M1813">
        <v>6.8000000000000005E-2</v>
      </c>
      <c r="N1813">
        <v>2240</v>
      </c>
      <c r="O1813">
        <f t="shared" si="84"/>
        <v>1.36</v>
      </c>
      <c r="P1813">
        <f t="shared" si="85"/>
        <v>8.9285714285714281E-3</v>
      </c>
      <c r="Q1813" t="str">
        <f t="shared" si="86"/>
        <v>Q27-03</v>
      </c>
    </row>
    <row r="1814" spans="1:17" x14ac:dyDescent="0.25">
      <c r="A1814" t="s">
        <v>61</v>
      </c>
      <c r="B1814" t="s">
        <v>281</v>
      </c>
      <c r="C1814" t="s">
        <v>282</v>
      </c>
      <c r="D1814" t="s">
        <v>805</v>
      </c>
      <c r="E1814" t="s">
        <v>3742</v>
      </c>
      <c r="F1814" s="1">
        <v>5</v>
      </c>
      <c r="G1814" s="1">
        <v>0</v>
      </c>
      <c r="H1814" t="s">
        <v>17</v>
      </c>
      <c r="I1814" t="s">
        <v>284</v>
      </c>
      <c r="J1814" t="s">
        <v>3739</v>
      </c>
      <c r="K1814" s="3">
        <v>46173</v>
      </c>
      <c r="L1814" t="s">
        <v>293</v>
      </c>
      <c r="M1814">
        <v>6.8000000000000005E-2</v>
      </c>
      <c r="N1814">
        <v>2240</v>
      </c>
      <c r="O1814">
        <f t="shared" si="84"/>
        <v>0.34</v>
      </c>
      <c r="P1814">
        <f t="shared" si="85"/>
        <v>2.232142857142857E-3</v>
      </c>
      <c r="Q1814" t="str">
        <f t="shared" si="86"/>
        <v>Q27-03</v>
      </c>
    </row>
    <row r="1815" spans="1:17" x14ac:dyDescent="0.25">
      <c r="A1815" t="s">
        <v>61</v>
      </c>
      <c r="B1815" t="s">
        <v>281</v>
      </c>
      <c r="C1815" t="s">
        <v>282</v>
      </c>
      <c r="D1815" t="s">
        <v>805</v>
      </c>
      <c r="E1815" t="s">
        <v>3743</v>
      </c>
      <c r="F1815" s="1">
        <v>1</v>
      </c>
      <c r="G1815" s="1">
        <v>0</v>
      </c>
      <c r="H1815" t="s">
        <v>17</v>
      </c>
      <c r="I1815" t="s">
        <v>284</v>
      </c>
      <c r="J1815" t="s">
        <v>3739</v>
      </c>
      <c r="K1815" s="3">
        <v>46265</v>
      </c>
      <c r="L1815" t="s">
        <v>304</v>
      </c>
      <c r="M1815">
        <v>6.8000000000000005E-2</v>
      </c>
      <c r="N1815">
        <v>2240</v>
      </c>
      <c r="O1815">
        <f t="shared" si="84"/>
        <v>6.8000000000000005E-2</v>
      </c>
      <c r="P1815">
        <f t="shared" si="85"/>
        <v>4.4642857142857141E-4</v>
      </c>
      <c r="Q1815" t="str">
        <f t="shared" si="86"/>
        <v>Q27-03</v>
      </c>
    </row>
    <row r="1816" spans="1:17" x14ac:dyDescent="0.25">
      <c r="A1816" t="s">
        <v>61</v>
      </c>
      <c r="B1816" t="s">
        <v>456</v>
      </c>
      <c r="C1816" t="s">
        <v>457</v>
      </c>
      <c r="D1816" t="s">
        <v>3744</v>
      </c>
      <c r="E1816" t="s">
        <v>3745</v>
      </c>
      <c r="F1816" s="1">
        <v>1</v>
      </c>
      <c r="G1816" s="1">
        <v>0</v>
      </c>
      <c r="H1816" t="s">
        <v>17</v>
      </c>
      <c r="I1816" t="s">
        <v>459</v>
      </c>
      <c r="J1816" t="s">
        <v>3746</v>
      </c>
      <c r="K1816" s="3">
        <v>46538</v>
      </c>
      <c r="L1816" t="s">
        <v>2030</v>
      </c>
      <c r="M1816">
        <v>0.22600000000000001</v>
      </c>
      <c r="N1816">
        <v>1680</v>
      </c>
      <c r="O1816">
        <f t="shared" si="84"/>
        <v>0.22600000000000001</v>
      </c>
      <c r="P1816">
        <f t="shared" si="85"/>
        <v>5.9523809523809529E-4</v>
      </c>
      <c r="Q1816" t="str">
        <f t="shared" si="86"/>
        <v>Q27-01</v>
      </c>
    </row>
    <row r="1817" spans="1:17" x14ac:dyDescent="0.25">
      <c r="A1817" t="s">
        <v>61</v>
      </c>
      <c r="B1817" t="s">
        <v>456</v>
      </c>
      <c r="C1817" t="s">
        <v>457</v>
      </c>
      <c r="D1817" t="s">
        <v>3744</v>
      </c>
      <c r="E1817" t="s">
        <v>3747</v>
      </c>
      <c r="F1817" s="1">
        <v>1</v>
      </c>
      <c r="G1817" s="1">
        <v>0</v>
      </c>
      <c r="H1817" t="s">
        <v>17</v>
      </c>
      <c r="I1817" t="s">
        <v>459</v>
      </c>
      <c r="J1817" t="s">
        <v>3746</v>
      </c>
      <c r="K1817" s="3">
        <v>46203</v>
      </c>
      <c r="L1817" t="s">
        <v>792</v>
      </c>
      <c r="M1817">
        <v>0.22600000000000001</v>
      </c>
      <c r="N1817">
        <v>1680</v>
      </c>
      <c r="O1817">
        <f t="shared" si="84"/>
        <v>0.22600000000000001</v>
      </c>
      <c r="P1817">
        <f t="shared" si="85"/>
        <v>5.9523809523809529E-4</v>
      </c>
      <c r="Q1817" t="str">
        <f t="shared" si="86"/>
        <v>Q27-01</v>
      </c>
    </row>
    <row r="1818" spans="1:17" x14ac:dyDescent="0.25">
      <c r="A1818" t="s">
        <v>61</v>
      </c>
      <c r="B1818" t="s">
        <v>456</v>
      </c>
      <c r="C1818" t="s">
        <v>457</v>
      </c>
      <c r="D1818" t="s">
        <v>3744</v>
      </c>
      <c r="E1818" t="s">
        <v>3748</v>
      </c>
      <c r="F1818" s="1">
        <v>1</v>
      </c>
      <c r="G1818" s="1">
        <v>0</v>
      </c>
      <c r="H1818" t="s">
        <v>17</v>
      </c>
      <c r="I1818" t="s">
        <v>459</v>
      </c>
      <c r="J1818" t="s">
        <v>3746</v>
      </c>
      <c r="K1818" s="3">
        <v>46507</v>
      </c>
      <c r="L1818" t="s">
        <v>2034</v>
      </c>
      <c r="M1818">
        <v>0.22600000000000001</v>
      </c>
      <c r="N1818">
        <v>1680</v>
      </c>
      <c r="O1818">
        <f t="shared" si="84"/>
        <v>0.22600000000000001</v>
      </c>
      <c r="P1818">
        <f t="shared" si="85"/>
        <v>5.9523809523809529E-4</v>
      </c>
      <c r="Q1818" t="str">
        <f t="shared" si="86"/>
        <v>Q27-01</v>
      </c>
    </row>
    <row r="1819" spans="1:17" x14ac:dyDescent="0.25">
      <c r="A1819" t="s">
        <v>61</v>
      </c>
      <c r="B1819" t="s">
        <v>456</v>
      </c>
      <c r="C1819" t="s">
        <v>457</v>
      </c>
      <c r="D1819" t="s">
        <v>3744</v>
      </c>
      <c r="E1819" t="s">
        <v>3749</v>
      </c>
      <c r="F1819" s="1">
        <v>9</v>
      </c>
      <c r="G1819" s="1">
        <v>0</v>
      </c>
      <c r="H1819" t="s">
        <v>17</v>
      </c>
      <c r="I1819" t="s">
        <v>459</v>
      </c>
      <c r="J1819" t="s">
        <v>3746</v>
      </c>
      <c r="K1819" s="3">
        <v>46387</v>
      </c>
      <c r="L1819" t="s">
        <v>1213</v>
      </c>
      <c r="M1819">
        <v>0.22600000000000001</v>
      </c>
      <c r="N1819">
        <v>1680</v>
      </c>
      <c r="O1819">
        <f t="shared" si="84"/>
        <v>2.0340000000000003</v>
      </c>
      <c r="P1819">
        <f t="shared" si="85"/>
        <v>5.3571428571428572E-3</v>
      </c>
      <c r="Q1819" t="str">
        <f t="shared" si="86"/>
        <v>Q27-01</v>
      </c>
    </row>
    <row r="1820" spans="1:17" x14ac:dyDescent="0.25">
      <c r="A1820" t="s">
        <v>61</v>
      </c>
      <c r="B1820" t="s">
        <v>456</v>
      </c>
      <c r="C1820" t="s">
        <v>457</v>
      </c>
      <c r="D1820" t="s">
        <v>3744</v>
      </c>
      <c r="E1820" t="s">
        <v>3750</v>
      </c>
      <c r="F1820" s="1">
        <v>10</v>
      </c>
      <c r="G1820" s="1">
        <v>0</v>
      </c>
      <c r="H1820" t="s">
        <v>17</v>
      </c>
      <c r="I1820" t="s">
        <v>459</v>
      </c>
      <c r="J1820" t="s">
        <v>3746</v>
      </c>
      <c r="K1820" s="3">
        <v>46234</v>
      </c>
      <c r="L1820" t="s">
        <v>911</v>
      </c>
      <c r="M1820">
        <v>0.22600000000000001</v>
      </c>
      <c r="N1820">
        <v>1680</v>
      </c>
      <c r="O1820">
        <f t="shared" si="84"/>
        <v>2.2600000000000002</v>
      </c>
      <c r="P1820">
        <f t="shared" si="85"/>
        <v>5.9523809523809521E-3</v>
      </c>
      <c r="Q1820" t="str">
        <f t="shared" si="86"/>
        <v>Q27-01</v>
      </c>
    </row>
    <row r="1821" spans="1:17" x14ac:dyDescent="0.25">
      <c r="A1821" t="s">
        <v>61</v>
      </c>
      <c r="B1821" t="s">
        <v>456</v>
      </c>
      <c r="C1821" t="s">
        <v>457</v>
      </c>
      <c r="D1821" t="s">
        <v>3744</v>
      </c>
      <c r="E1821" t="s">
        <v>3751</v>
      </c>
      <c r="F1821" s="1">
        <v>2</v>
      </c>
      <c r="G1821" s="1">
        <v>0</v>
      </c>
      <c r="H1821" t="s">
        <v>17</v>
      </c>
      <c r="I1821" t="s">
        <v>459</v>
      </c>
      <c r="J1821" t="s">
        <v>3746</v>
      </c>
      <c r="K1821" s="3">
        <v>46295</v>
      </c>
      <c r="L1821" t="s">
        <v>946</v>
      </c>
      <c r="M1821">
        <v>0.22600000000000001</v>
      </c>
      <c r="N1821">
        <v>1680</v>
      </c>
      <c r="O1821">
        <f t="shared" si="84"/>
        <v>0.45200000000000001</v>
      </c>
      <c r="P1821">
        <f t="shared" si="85"/>
        <v>1.1904761904761906E-3</v>
      </c>
      <c r="Q1821" t="str">
        <f t="shared" si="86"/>
        <v>Q27-01</v>
      </c>
    </row>
    <row r="1822" spans="1:17" x14ac:dyDescent="0.25">
      <c r="A1822" t="s">
        <v>61</v>
      </c>
      <c r="B1822" t="s">
        <v>456</v>
      </c>
      <c r="C1822" t="s">
        <v>457</v>
      </c>
      <c r="D1822" t="s">
        <v>3744</v>
      </c>
      <c r="E1822" t="s">
        <v>3752</v>
      </c>
      <c r="F1822" s="1">
        <v>12</v>
      </c>
      <c r="G1822" s="1">
        <v>0</v>
      </c>
      <c r="H1822" t="s">
        <v>17</v>
      </c>
      <c r="I1822" t="s">
        <v>459</v>
      </c>
      <c r="J1822" t="s">
        <v>3746</v>
      </c>
      <c r="K1822" s="3">
        <v>46264</v>
      </c>
      <c r="L1822" t="s">
        <v>778</v>
      </c>
      <c r="M1822">
        <v>0.22600000000000001</v>
      </c>
      <c r="N1822">
        <v>1680</v>
      </c>
      <c r="O1822">
        <f t="shared" si="84"/>
        <v>2.7120000000000002</v>
      </c>
      <c r="P1822">
        <f t="shared" si="85"/>
        <v>7.1428571428571426E-3</v>
      </c>
      <c r="Q1822" t="str">
        <f t="shared" si="86"/>
        <v>Q27-01</v>
      </c>
    </row>
    <row r="1823" spans="1:17" x14ac:dyDescent="0.25">
      <c r="A1823" t="s">
        <v>61</v>
      </c>
      <c r="B1823" t="s">
        <v>456</v>
      </c>
      <c r="C1823" t="s">
        <v>457</v>
      </c>
      <c r="D1823" t="s">
        <v>3744</v>
      </c>
      <c r="E1823" t="s">
        <v>3753</v>
      </c>
      <c r="F1823" s="1">
        <v>8</v>
      </c>
      <c r="G1823" s="1">
        <v>0</v>
      </c>
      <c r="H1823" t="s">
        <v>17</v>
      </c>
      <c r="I1823" t="s">
        <v>459</v>
      </c>
      <c r="J1823" t="s">
        <v>3746</v>
      </c>
      <c r="K1823" s="3">
        <v>46265</v>
      </c>
      <c r="L1823" t="s">
        <v>1002</v>
      </c>
      <c r="M1823">
        <v>0.22600000000000001</v>
      </c>
      <c r="N1823">
        <v>1680</v>
      </c>
      <c r="O1823">
        <f t="shared" si="84"/>
        <v>1.8080000000000001</v>
      </c>
      <c r="P1823">
        <f t="shared" si="85"/>
        <v>4.7619047619047623E-3</v>
      </c>
      <c r="Q1823" t="str">
        <f t="shared" si="86"/>
        <v>Q27-01</v>
      </c>
    </row>
    <row r="1824" spans="1:17" x14ac:dyDescent="0.25">
      <c r="A1824" t="s">
        <v>61</v>
      </c>
      <c r="B1824" t="s">
        <v>456</v>
      </c>
      <c r="C1824" t="s">
        <v>457</v>
      </c>
      <c r="D1824" t="s">
        <v>3744</v>
      </c>
      <c r="E1824" t="s">
        <v>3754</v>
      </c>
      <c r="F1824" s="1">
        <v>1</v>
      </c>
      <c r="G1824" s="1">
        <v>0</v>
      </c>
      <c r="H1824" t="s">
        <v>17</v>
      </c>
      <c r="I1824" t="s">
        <v>459</v>
      </c>
      <c r="J1824" t="s">
        <v>3746</v>
      </c>
      <c r="K1824" s="3">
        <v>46356</v>
      </c>
      <c r="L1824" t="s">
        <v>1961</v>
      </c>
      <c r="M1824">
        <v>0.22600000000000001</v>
      </c>
      <c r="N1824">
        <v>1680</v>
      </c>
      <c r="O1824">
        <f t="shared" si="84"/>
        <v>0.22600000000000001</v>
      </c>
      <c r="P1824">
        <f t="shared" si="85"/>
        <v>5.9523809523809529E-4</v>
      </c>
      <c r="Q1824" t="str">
        <f t="shared" si="86"/>
        <v>Q27-01</v>
      </c>
    </row>
    <row r="1825" spans="1:17" x14ac:dyDescent="0.25">
      <c r="A1825" t="s">
        <v>61</v>
      </c>
      <c r="B1825" t="s">
        <v>317</v>
      </c>
      <c r="C1825" t="s">
        <v>318</v>
      </c>
      <c r="D1825" t="s">
        <v>3744</v>
      </c>
      <c r="E1825" t="s">
        <v>3755</v>
      </c>
      <c r="F1825" s="1">
        <v>1</v>
      </c>
      <c r="G1825" s="1">
        <v>0</v>
      </c>
      <c r="H1825" t="s">
        <v>17</v>
      </c>
      <c r="I1825" t="s">
        <v>320</v>
      </c>
      <c r="J1825" t="s">
        <v>3746</v>
      </c>
      <c r="K1825" s="3">
        <v>46477</v>
      </c>
      <c r="L1825" t="s">
        <v>434</v>
      </c>
      <c r="M1825">
        <v>0.04</v>
      </c>
      <c r="N1825">
        <v>2688</v>
      </c>
      <c r="O1825">
        <f t="shared" si="84"/>
        <v>0.04</v>
      </c>
      <c r="P1825">
        <f t="shared" si="85"/>
        <v>3.720238095238095E-4</v>
      </c>
      <c r="Q1825" t="str">
        <f t="shared" si="86"/>
        <v>Q27-01</v>
      </c>
    </row>
    <row r="1826" spans="1:17" x14ac:dyDescent="0.25">
      <c r="A1826" t="s">
        <v>61</v>
      </c>
      <c r="B1826" t="s">
        <v>317</v>
      </c>
      <c r="C1826" t="s">
        <v>318</v>
      </c>
      <c r="D1826" t="s">
        <v>3744</v>
      </c>
      <c r="E1826" t="s">
        <v>3756</v>
      </c>
      <c r="F1826" s="1">
        <v>2</v>
      </c>
      <c r="G1826" s="1">
        <v>0</v>
      </c>
      <c r="H1826" t="s">
        <v>17</v>
      </c>
      <c r="I1826" t="s">
        <v>320</v>
      </c>
      <c r="J1826" t="s">
        <v>3746</v>
      </c>
      <c r="K1826" s="3">
        <v>46752</v>
      </c>
      <c r="L1826" t="s">
        <v>1785</v>
      </c>
      <c r="M1826">
        <v>0.04</v>
      </c>
      <c r="N1826">
        <v>2688</v>
      </c>
      <c r="O1826">
        <f t="shared" si="84"/>
        <v>0.08</v>
      </c>
      <c r="P1826">
        <f t="shared" si="85"/>
        <v>7.4404761904761901E-4</v>
      </c>
      <c r="Q1826" t="str">
        <f t="shared" si="86"/>
        <v>Q27-01</v>
      </c>
    </row>
    <row r="1827" spans="1:17" x14ac:dyDescent="0.25">
      <c r="A1827" t="s">
        <v>61</v>
      </c>
      <c r="B1827" t="s">
        <v>71</v>
      </c>
      <c r="C1827" t="s">
        <v>72</v>
      </c>
      <c r="D1827" t="s">
        <v>3744</v>
      </c>
      <c r="E1827" t="s">
        <v>3757</v>
      </c>
      <c r="F1827" s="1">
        <v>1</v>
      </c>
      <c r="G1827" s="1">
        <v>0</v>
      </c>
      <c r="H1827" t="s">
        <v>17</v>
      </c>
      <c r="I1827" t="s">
        <v>75</v>
      </c>
      <c r="J1827" t="s">
        <v>3746</v>
      </c>
      <c r="K1827" s="3">
        <v>46356</v>
      </c>
      <c r="L1827" t="s">
        <v>1149</v>
      </c>
      <c r="M1827">
        <v>0.3</v>
      </c>
      <c r="N1827">
        <v>1680</v>
      </c>
      <c r="O1827">
        <f t="shared" si="84"/>
        <v>0.3</v>
      </c>
      <c r="P1827">
        <f t="shared" si="85"/>
        <v>5.9523809523809529E-4</v>
      </c>
      <c r="Q1827" t="str">
        <f t="shared" si="86"/>
        <v>Q27-01</v>
      </c>
    </row>
    <row r="1828" spans="1:17" x14ac:dyDescent="0.25">
      <c r="A1828" t="s">
        <v>61</v>
      </c>
      <c r="B1828" t="s">
        <v>71</v>
      </c>
      <c r="C1828" t="s">
        <v>72</v>
      </c>
      <c r="D1828" t="s">
        <v>3744</v>
      </c>
      <c r="E1828" t="s">
        <v>3758</v>
      </c>
      <c r="F1828" s="1">
        <v>1</v>
      </c>
      <c r="G1828" s="1">
        <v>0</v>
      </c>
      <c r="H1828" t="s">
        <v>17</v>
      </c>
      <c r="I1828" t="s">
        <v>75</v>
      </c>
      <c r="J1828" t="s">
        <v>3746</v>
      </c>
      <c r="K1828" s="3">
        <v>46265</v>
      </c>
      <c r="L1828" t="s">
        <v>2752</v>
      </c>
      <c r="M1828">
        <v>0.3</v>
      </c>
      <c r="N1828">
        <v>1680</v>
      </c>
      <c r="O1828">
        <f t="shared" si="84"/>
        <v>0.3</v>
      </c>
      <c r="P1828">
        <f t="shared" si="85"/>
        <v>5.9523809523809529E-4</v>
      </c>
      <c r="Q1828" t="str">
        <f t="shared" si="86"/>
        <v>Q27-01</v>
      </c>
    </row>
    <row r="1829" spans="1:17" x14ac:dyDescent="0.25">
      <c r="A1829" t="s">
        <v>61</v>
      </c>
      <c r="B1829" t="s">
        <v>71</v>
      </c>
      <c r="C1829" t="s">
        <v>72</v>
      </c>
      <c r="D1829" t="s">
        <v>3744</v>
      </c>
      <c r="E1829" t="s">
        <v>3759</v>
      </c>
      <c r="F1829" s="1">
        <v>4</v>
      </c>
      <c r="G1829" s="1">
        <v>0</v>
      </c>
      <c r="H1829" t="s">
        <v>17</v>
      </c>
      <c r="I1829" t="s">
        <v>75</v>
      </c>
      <c r="J1829" t="s">
        <v>3746</v>
      </c>
      <c r="K1829" s="3">
        <v>46265</v>
      </c>
      <c r="L1829" t="s">
        <v>949</v>
      </c>
      <c r="M1829">
        <v>0.3</v>
      </c>
      <c r="N1829">
        <v>1680</v>
      </c>
      <c r="O1829">
        <f t="shared" si="84"/>
        <v>1.2</v>
      </c>
      <c r="P1829">
        <f t="shared" si="85"/>
        <v>2.3809523809523812E-3</v>
      </c>
      <c r="Q1829" t="str">
        <f t="shared" si="86"/>
        <v>Q27-01</v>
      </c>
    </row>
    <row r="1830" spans="1:17" x14ac:dyDescent="0.25">
      <c r="A1830" t="s">
        <v>61</v>
      </c>
      <c r="B1830" t="s">
        <v>225</v>
      </c>
      <c r="C1830" t="s">
        <v>226</v>
      </c>
      <c r="D1830" t="s">
        <v>3744</v>
      </c>
      <c r="E1830" t="s">
        <v>3760</v>
      </c>
      <c r="F1830" s="1">
        <v>3</v>
      </c>
      <c r="G1830" s="1">
        <v>0</v>
      </c>
      <c r="H1830" t="s">
        <v>17</v>
      </c>
      <c r="I1830" t="s">
        <v>228</v>
      </c>
      <c r="J1830" t="s">
        <v>3746</v>
      </c>
      <c r="K1830" s="3">
        <v>46387</v>
      </c>
      <c r="L1830" t="s">
        <v>497</v>
      </c>
      <c r="M1830">
        <v>5.8000000000000003E-2</v>
      </c>
      <c r="N1830">
        <v>2880</v>
      </c>
      <c r="O1830">
        <f t="shared" si="84"/>
        <v>0.17400000000000002</v>
      </c>
      <c r="P1830">
        <f t="shared" si="85"/>
        <v>1.0416666666666667E-3</v>
      </c>
      <c r="Q1830" t="str">
        <f t="shared" si="86"/>
        <v>Q27-01</v>
      </c>
    </row>
    <row r="1831" spans="1:17" x14ac:dyDescent="0.25">
      <c r="A1831" t="s">
        <v>61</v>
      </c>
      <c r="B1831" t="s">
        <v>225</v>
      </c>
      <c r="C1831" t="s">
        <v>226</v>
      </c>
      <c r="D1831" t="s">
        <v>3744</v>
      </c>
      <c r="E1831" t="s">
        <v>3761</v>
      </c>
      <c r="F1831" s="1">
        <v>39</v>
      </c>
      <c r="G1831" s="1">
        <v>0</v>
      </c>
      <c r="H1831" t="s">
        <v>17</v>
      </c>
      <c r="I1831" t="s">
        <v>228</v>
      </c>
      <c r="J1831" t="s">
        <v>3746</v>
      </c>
      <c r="K1831" s="3">
        <v>46234</v>
      </c>
      <c r="L1831" t="s">
        <v>232</v>
      </c>
      <c r="M1831">
        <v>5.8000000000000003E-2</v>
      </c>
      <c r="N1831">
        <v>2880</v>
      </c>
      <c r="O1831">
        <f t="shared" si="84"/>
        <v>2.262</v>
      </c>
      <c r="P1831">
        <f t="shared" si="85"/>
        <v>1.3541666666666667E-2</v>
      </c>
      <c r="Q1831" t="str">
        <f t="shared" si="86"/>
        <v>Q27-01</v>
      </c>
    </row>
    <row r="1832" spans="1:17" x14ac:dyDescent="0.25">
      <c r="A1832" t="s">
        <v>61</v>
      </c>
      <c r="B1832" t="s">
        <v>219</v>
      </c>
      <c r="C1832" t="s">
        <v>220</v>
      </c>
      <c r="D1832" t="s">
        <v>3744</v>
      </c>
      <c r="E1832" t="s">
        <v>3762</v>
      </c>
      <c r="F1832" s="1">
        <v>8</v>
      </c>
      <c r="G1832" s="1">
        <v>0</v>
      </c>
      <c r="H1832" t="s">
        <v>17</v>
      </c>
      <c r="I1832" t="s">
        <v>222</v>
      </c>
      <c r="J1832" t="s">
        <v>3746</v>
      </c>
      <c r="K1832" s="3">
        <v>46234</v>
      </c>
      <c r="L1832" t="s">
        <v>902</v>
      </c>
      <c r="M1832">
        <v>0.3</v>
      </c>
      <c r="N1832">
        <v>1680</v>
      </c>
      <c r="O1832">
        <f t="shared" si="84"/>
        <v>2.4</v>
      </c>
      <c r="P1832">
        <f t="shared" si="85"/>
        <v>4.7619047619047623E-3</v>
      </c>
      <c r="Q1832" t="str">
        <f t="shared" si="86"/>
        <v>Q27-01</v>
      </c>
    </row>
    <row r="1833" spans="1:17" x14ac:dyDescent="0.25">
      <c r="A1833" t="s">
        <v>61</v>
      </c>
      <c r="B1833" t="s">
        <v>219</v>
      </c>
      <c r="C1833" t="s">
        <v>220</v>
      </c>
      <c r="D1833" t="s">
        <v>3744</v>
      </c>
      <c r="E1833" t="s">
        <v>3763</v>
      </c>
      <c r="F1833" s="1">
        <v>8</v>
      </c>
      <c r="G1833" s="1">
        <v>0</v>
      </c>
      <c r="H1833" t="s">
        <v>17</v>
      </c>
      <c r="I1833" t="s">
        <v>222</v>
      </c>
      <c r="J1833" t="s">
        <v>3746</v>
      </c>
      <c r="K1833" s="3">
        <v>46265</v>
      </c>
      <c r="L1833" t="s">
        <v>1000</v>
      </c>
      <c r="M1833">
        <v>0.3</v>
      </c>
      <c r="N1833">
        <v>1680</v>
      </c>
      <c r="O1833">
        <f t="shared" si="84"/>
        <v>2.4</v>
      </c>
      <c r="P1833">
        <f t="shared" si="85"/>
        <v>4.7619047619047623E-3</v>
      </c>
      <c r="Q1833" t="str">
        <f t="shared" si="86"/>
        <v>Q27-01</v>
      </c>
    </row>
    <row r="1834" spans="1:17" x14ac:dyDescent="0.25">
      <c r="A1834" t="s">
        <v>61</v>
      </c>
      <c r="B1834" t="s">
        <v>219</v>
      </c>
      <c r="C1834" t="s">
        <v>220</v>
      </c>
      <c r="D1834" t="s">
        <v>3744</v>
      </c>
      <c r="E1834" t="s">
        <v>3764</v>
      </c>
      <c r="F1834" s="1">
        <v>6</v>
      </c>
      <c r="G1834" s="1">
        <v>0</v>
      </c>
      <c r="H1834" t="s">
        <v>17</v>
      </c>
      <c r="I1834" t="s">
        <v>222</v>
      </c>
      <c r="J1834" t="s">
        <v>3746</v>
      </c>
      <c r="K1834" s="3">
        <v>46234</v>
      </c>
      <c r="L1834" t="s">
        <v>789</v>
      </c>
      <c r="M1834">
        <v>0.3</v>
      </c>
      <c r="N1834">
        <v>1680</v>
      </c>
      <c r="O1834">
        <f t="shared" si="84"/>
        <v>1.7999999999999998</v>
      </c>
      <c r="P1834">
        <f t="shared" si="85"/>
        <v>3.5714285714285713E-3</v>
      </c>
      <c r="Q1834" t="str">
        <f t="shared" si="86"/>
        <v>Q27-01</v>
      </c>
    </row>
    <row r="1835" spans="1:17" x14ac:dyDescent="0.25">
      <c r="A1835" t="s">
        <v>61</v>
      </c>
      <c r="B1835" t="s">
        <v>219</v>
      </c>
      <c r="C1835" t="s">
        <v>220</v>
      </c>
      <c r="D1835" t="s">
        <v>3744</v>
      </c>
      <c r="E1835" t="s">
        <v>3765</v>
      </c>
      <c r="F1835" s="1">
        <v>1</v>
      </c>
      <c r="G1835" s="1">
        <v>0</v>
      </c>
      <c r="H1835" t="s">
        <v>17</v>
      </c>
      <c r="I1835" t="s">
        <v>222</v>
      </c>
      <c r="J1835" t="s">
        <v>3746</v>
      </c>
      <c r="K1835" s="3">
        <v>46507</v>
      </c>
      <c r="L1835" t="s">
        <v>2024</v>
      </c>
      <c r="M1835">
        <v>0.3</v>
      </c>
      <c r="N1835">
        <v>1680</v>
      </c>
      <c r="O1835">
        <f t="shared" si="84"/>
        <v>0.3</v>
      </c>
      <c r="P1835">
        <f t="shared" si="85"/>
        <v>5.9523809523809529E-4</v>
      </c>
      <c r="Q1835" t="str">
        <f t="shared" si="86"/>
        <v>Q27-01</v>
      </c>
    </row>
    <row r="1836" spans="1:17" x14ac:dyDescent="0.25">
      <c r="A1836" t="s">
        <v>61</v>
      </c>
      <c r="B1836" t="s">
        <v>233</v>
      </c>
      <c r="C1836" t="s">
        <v>234</v>
      </c>
      <c r="D1836" t="s">
        <v>3744</v>
      </c>
      <c r="E1836" t="s">
        <v>3766</v>
      </c>
      <c r="F1836" s="1">
        <v>1</v>
      </c>
      <c r="G1836" s="1">
        <v>0</v>
      </c>
      <c r="H1836" t="s">
        <v>17</v>
      </c>
      <c r="I1836" t="s">
        <v>236</v>
      </c>
      <c r="J1836" t="s">
        <v>3746</v>
      </c>
      <c r="K1836" s="3">
        <v>47269</v>
      </c>
      <c r="L1836" t="s">
        <v>2180</v>
      </c>
      <c r="M1836">
        <v>7.4999999999999997E-2</v>
      </c>
      <c r="N1836">
        <v>2688</v>
      </c>
      <c r="O1836">
        <f t="shared" si="84"/>
        <v>7.4999999999999997E-2</v>
      </c>
      <c r="P1836">
        <f t="shared" si="85"/>
        <v>3.720238095238095E-4</v>
      </c>
      <c r="Q1836" t="str">
        <f t="shared" si="86"/>
        <v>Q27-01</v>
      </c>
    </row>
    <row r="1837" spans="1:17" x14ac:dyDescent="0.25">
      <c r="A1837" t="s">
        <v>61</v>
      </c>
      <c r="B1837" t="s">
        <v>891</v>
      </c>
      <c r="C1837" t="s">
        <v>892</v>
      </c>
      <c r="D1837" t="s">
        <v>3744</v>
      </c>
      <c r="E1837" t="s">
        <v>3767</v>
      </c>
      <c r="F1837" s="1">
        <v>1</v>
      </c>
      <c r="G1837" s="1">
        <v>0</v>
      </c>
      <c r="H1837" t="s">
        <v>17</v>
      </c>
      <c r="I1837" t="s">
        <v>894</v>
      </c>
      <c r="J1837" t="s">
        <v>3746</v>
      </c>
      <c r="K1837" s="3">
        <v>46568</v>
      </c>
      <c r="L1837" t="s">
        <v>2176</v>
      </c>
      <c r="M1837">
        <v>0.312</v>
      </c>
      <c r="N1837">
        <v>1680</v>
      </c>
      <c r="O1837">
        <f t="shared" si="84"/>
        <v>0.312</v>
      </c>
      <c r="P1837">
        <f t="shared" si="85"/>
        <v>5.9523809523809529E-4</v>
      </c>
      <c r="Q1837" t="str">
        <f t="shared" si="86"/>
        <v>Q27-01</v>
      </c>
    </row>
    <row r="1838" spans="1:17" x14ac:dyDescent="0.25">
      <c r="A1838" t="s">
        <v>61</v>
      </c>
      <c r="B1838" t="s">
        <v>352</v>
      </c>
      <c r="C1838" t="s">
        <v>353</v>
      </c>
      <c r="D1838" t="s">
        <v>3744</v>
      </c>
      <c r="E1838" t="s">
        <v>3768</v>
      </c>
      <c r="F1838" s="1">
        <v>129</v>
      </c>
      <c r="G1838" s="1">
        <v>0</v>
      </c>
      <c r="H1838" t="s">
        <v>17</v>
      </c>
      <c r="I1838" t="s">
        <v>355</v>
      </c>
      <c r="J1838" t="s">
        <v>3746</v>
      </c>
      <c r="K1838" s="3">
        <v>46234</v>
      </c>
      <c r="L1838" t="s">
        <v>357</v>
      </c>
      <c r="M1838">
        <v>5.0999999999999997E-2</v>
      </c>
      <c r="N1838">
        <v>2880</v>
      </c>
      <c r="O1838">
        <f t="shared" si="84"/>
        <v>6.5789999999999997</v>
      </c>
      <c r="P1838">
        <f t="shared" si="85"/>
        <v>4.4791666666666667E-2</v>
      </c>
      <c r="Q1838" t="str">
        <f t="shared" si="86"/>
        <v>Q27-01</v>
      </c>
    </row>
    <row r="1839" spans="1:17" x14ac:dyDescent="0.25">
      <c r="A1839" t="s">
        <v>61</v>
      </c>
      <c r="B1839" t="s">
        <v>1523</v>
      </c>
      <c r="C1839" t="s">
        <v>1524</v>
      </c>
      <c r="D1839" t="s">
        <v>3744</v>
      </c>
      <c r="E1839" t="s">
        <v>3769</v>
      </c>
      <c r="F1839" s="1">
        <v>3</v>
      </c>
      <c r="G1839" s="1">
        <v>0</v>
      </c>
      <c r="H1839" t="s">
        <v>17</v>
      </c>
      <c r="I1839" t="s">
        <v>1526</v>
      </c>
      <c r="J1839" t="s">
        <v>3746</v>
      </c>
      <c r="K1839" s="3">
        <v>46203</v>
      </c>
      <c r="L1839" t="s">
        <v>2148</v>
      </c>
      <c r="M1839">
        <v>4.9000000000000002E-2</v>
      </c>
      <c r="N1839">
        <v>2880</v>
      </c>
      <c r="O1839">
        <f t="shared" si="84"/>
        <v>0.14700000000000002</v>
      </c>
      <c r="P1839">
        <f t="shared" si="85"/>
        <v>1.0416666666666667E-3</v>
      </c>
      <c r="Q1839" t="str">
        <f t="shared" si="86"/>
        <v>Q27-01</v>
      </c>
    </row>
    <row r="1840" spans="1:17" x14ac:dyDescent="0.25">
      <c r="A1840" t="s">
        <v>61</v>
      </c>
      <c r="B1840" t="s">
        <v>1523</v>
      </c>
      <c r="C1840" t="s">
        <v>1524</v>
      </c>
      <c r="D1840" t="s">
        <v>3744</v>
      </c>
      <c r="E1840" t="s">
        <v>3770</v>
      </c>
      <c r="F1840" s="1">
        <v>1</v>
      </c>
      <c r="G1840" s="1">
        <v>0</v>
      </c>
      <c r="H1840" t="s">
        <v>17</v>
      </c>
      <c r="I1840" t="s">
        <v>1526</v>
      </c>
      <c r="J1840" t="s">
        <v>3746</v>
      </c>
      <c r="K1840" s="3">
        <v>46142</v>
      </c>
      <c r="L1840" t="s">
        <v>1527</v>
      </c>
      <c r="M1840">
        <v>4.9000000000000002E-2</v>
      </c>
      <c r="N1840">
        <v>2880</v>
      </c>
      <c r="O1840">
        <f t="shared" si="84"/>
        <v>4.9000000000000002E-2</v>
      </c>
      <c r="P1840">
        <f t="shared" si="85"/>
        <v>3.4722222222222224E-4</v>
      </c>
      <c r="Q1840" t="str">
        <f t="shared" si="86"/>
        <v>Q27-01</v>
      </c>
    </row>
    <row r="1841" spans="1:17" x14ac:dyDescent="0.25">
      <c r="A1841" t="s">
        <v>61</v>
      </c>
      <c r="B1841" t="s">
        <v>166</v>
      </c>
      <c r="C1841" t="s">
        <v>167</v>
      </c>
      <c r="D1841" t="s">
        <v>3744</v>
      </c>
      <c r="E1841" t="s">
        <v>3771</v>
      </c>
      <c r="F1841" s="1">
        <v>1</v>
      </c>
      <c r="G1841" s="1">
        <v>0</v>
      </c>
      <c r="H1841" t="s">
        <v>17</v>
      </c>
      <c r="I1841" t="s">
        <v>170</v>
      </c>
      <c r="J1841" t="s">
        <v>3746</v>
      </c>
      <c r="K1841" s="3">
        <v>46446</v>
      </c>
      <c r="L1841" t="s">
        <v>907</v>
      </c>
      <c r="M1841">
        <v>9.2999999999999999E-2</v>
      </c>
      <c r="N1841">
        <v>1536</v>
      </c>
      <c r="O1841">
        <f t="shared" si="84"/>
        <v>9.2999999999999999E-2</v>
      </c>
      <c r="P1841">
        <f t="shared" si="85"/>
        <v>6.5104166666666663E-4</v>
      </c>
      <c r="Q1841" t="str">
        <f t="shared" si="86"/>
        <v>Q27-01</v>
      </c>
    </row>
    <row r="1842" spans="1:17" x14ac:dyDescent="0.25">
      <c r="A1842" t="s">
        <v>61</v>
      </c>
      <c r="B1842" t="s">
        <v>166</v>
      </c>
      <c r="C1842" t="s">
        <v>167</v>
      </c>
      <c r="D1842" t="s">
        <v>3744</v>
      </c>
      <c r="E1842" t="s">
        <v>3772</v>
      </c>
      <c r="F1842" s="1">
        <v>33</v>
      </c>
      <c r="G1842" s="1">
        <v>0</v>
      </c>
      <c r="H1842" t="s">
        <v>17</v>
      </c>
      <c r="I1842" t="s">
        <v>170</v>
      </c>
      <c r="J1842" t="s">
        <v>3746</v>
      </c>
      <c r="K1842" s="3">
        <v>46173</v>
      </c>
      <c r="L1842" t="s">
        <v>179</v>
      </c>
      <c r="M1842">
        <v>9.2999999999999999E-2</v>
      </c>
      <c r="N1842">
        <v>1536</v>
      </c>
      <c r="O1842">
        <f t="shared" si="84"/>
        <v>3.069</v>
      </c>
      <c r="P1842">
        <f t="shared" si="85"/>
        <v>2.1484375E-2</v>
      </c>
      <c r="Q1842" t="str">
        <f t="shared" si="86"/>
        <v>Q27-01</v>
      </c>
    </row>
    <row r="1843" spans="1:17" x14ac:dyDescent="0.25">
      <c r="A1843" t="s">
        <v>61</v>
      </c>
      <c r="B1843" t="s">
        <v>166</v>
      </c>
      <c r="C1843" t="s">
        <v>167</v>
      </c>
      <c r="D1843" t="s">
        <v>3744</v>
      </c>
      <c r="E1843" t="s">
        <v>3773</v>
      </c>
      <c r="F1843" s="1">
        <v>15</v>
      </c>
      <c r="G1843" s="1">
        <v>0</v>
      </c>
      <c r="H1843" t="s">
        <v>17</v>
      </c>
      <c r="I1843" t="s">
        <v>170</v>
      </c>
      <c r="J1843" t="s">
        <v>3746</v>
      </c>
      <c r="K1843" s="3">
        <v>46173</v>
      </c>
      <c r="L1843" t="s">
        <v>214</v>
      </c>
      <c r="M1843">
        <v>9.2999999999999999E-2</v>
      </c>
      <c r="N1843">
        <v>1536</v>
      </c>
      <c r="O1843">
        <f t="shared" si="84"/>
        <v>1.395</v>
      </c>
      <c r="P1843">
        <f t="shared" si="85"/>
        <v>9.765625E-3</v>
      </c>
      <c r="Q1843" t="str">
        <f t="shared" si="86"/>
        <v>Q27-01</v>
      </c>
    </row>
    <row r="1844" spans="1:17" x14ac:dyDescent="0.25">
      <c r="A1844" t="s">
        <v>61</v>
      </c>
      <c r="B1844" t="s">
        <v>166</v>
      </c>
      <c r="C1844" t="s">
        <v>167</v>
      </c>
      <c r="D1844" t="s">
        <v>3744</v>
      </c>
      <c r="E1844" t="s">
        <v>3774</v>
      </c>
      <c r="F1844" s="1">
        <v>1</v>
      </c>
      <c r="G1844" s="1">
        <v>0</v>
      </c>
      <c r="H1844" t="s">
        <v>17</v>
      </c>
      <c r="I1844" t="s">
        <v>170</v>
      </c>
      <c r="J1844" t="s">
        <v>3746</v>
      </c>
      <c r="K1844" s="3">
        <v>46112</v>
      </c>
      <c r="L1844" t="s">
        <v>172</v>
      </c>
      <c r="M1844">
        <v>9.2999999999999999E-2</v>
      </c>
      <c r="N1844">
        <v>1536</v>
      </c>
      <c r="O1844">
        <f t="shared" si="84"/>
        <v>9.2999999999999999E-2</v>
      </c>
      <c r="P1844">
        <f t="shared" si="85"/>
        <v>6.5104166666666663E-4</v>
      </c>
      <c r="Q1844" t="str">
        <f t="shared" si="86"/>
        <v>Q27-01</v>
      </c>
    </row>
    <row r="1845" spans="1:17" x14ac:dyDescent="0.25">
      <c r="A1845" t="s">
        <v>61</v>
      </c>
      <c r="B1845" t="s">
        <v>166</v>
      </c>
      <c r="C1845" t="s">
        <v>167</v>
      </c>
      <c r="D1845" t="s">
        <v>3744</v>
      </c>
      <c r="E1845" t="s">
        <v>3775</v>
      </c>
      <c r="F1845" s="1">
        <v>6</v>
      </c>
      <c r="G1845" s="1">
        <v>0</v>
      </c>
      <c r="H1845" t="s">
        <v>17</v>
      </c>
      <c r="I1845" t="s">
        <v>170</v>
      </c>
      <c r="J1845" t="s">
        <v>3746</v>
      </c>
      <c r="K1845" s="3">
        <v>46173</v>
      </c>
      <c r="L1845" t="s">
        <v>189</v>
      </c>
      <c r="M1845">
        <v>9.2999999999999999E-2</v>
      </c>
      <c r="N1845">
        <v>1536</v>
      </c>
      <c r="O1845">
        <f t="shared" si="84"/>
        <v>0.55800000000000005</v>
      </c>
      <c r="P1845">
        <f t="shared" si="85"/>
        <v>3.90625E-3</v>
      </c>
      <c r="Q1845" t="str">
        <f t="shared" si="86"/>
        <v>Q27-01</v>
      </c>
    </row>
    <row r="1846" spans="1:17" x14ac:dyDescent="0.25">
      <c r="A1846" t="s">
        <v>61</v>
      </c>
      <c r="B1846" t="s">
        <v>281</v>
      </c>
      <c r="C1846" t="s">
        <v>282</v>
      </c>
      <c r="D1846" t="s">
        <v>3744</v>
      </c>
      <c r="E1846" t="s">
        <v>3776</v>
      </c>
      <c r="F1846" s="1">
        <v>1</v>
      </c>
      <c r="G1846" s="1">
        <v>0</v>
      </c>
      <c r="H1846" t="s">
        <v>17</v>
      </c>
      <c r="I1846" t="s">
        <v>284</v>
      </c>
      <c r="J1846" t="s">
        <v>3746</v>
      </c>
      <c r="K1846" s="3">
        <v>46265</v>
      </c>
      <c r="L1846" t="s">
        <v>304</v>
      </c>
      <c r="M1846">
        <v>6.8000000000000005E-2</v>
      </c>
      <c r="N1846">
        <v>2240</v>
      </c>
      <c r="O1846">
        <f t="shared" si="84"/>
        <v>6.8000000000000005E-2</v>
      </c>
      <c r="P1846">
        <f t="shared" si="85"/>
        <v>4.4642857142857141E-4</v>
      </c>
      <c r="Q1846" t="str">
        <f t="shared" si="86"/>
        <v>Q27-01</v>
      </c>
    </row>
    <row r="1847" spans="1:17" x14ac:dyDescent="0.25">
      <c r="A1847" t="s">
        <v>61</v>
      </c>
      <c r="B1847" t="s">
        <v>281</v>
      </c>
      <c r="C1847" t="s">
        <v>282</v>
      </c>
      <c r="D1847" t="s">
        <v>3744</v>
      </c>
      <c r="E1847" t="s">
        <v>3777</v>
      </c>
      <c r="F1847" s="1">
        <v>2</v>
      </c>
      <c r="G1847" s="1">
        <v>0</v>
      </c>
      <c r="H1847" t="s">
        <v>17</v>
      </c>
      <c r="I1847" t="s">
        <v>284</v>
      </c>
      <c r="J1847" t="s">
        <v>3746</v>
      </c>
      <c r="K1847" s="3">
        <v>46203</v>
      </c>
      <c r="L1847" t="s">
        <v>289</v>
      </c>
      <c r="M1847">
        <v>6.8000000000000005E-2</v>
      </c>
      <c r="N1847">
        <v>2240</v>
      </c>
      <c r="O1847">
        <f t="shared" si="84"/>
        <v>0.13600000000000001</v>
      </c>
      <c r="P1847">
        <f t="shared" si="85"/>
        <v>8.9285714285714283E-4</v>
      </c>
      <c r="Q1847" t="str">
        <f t="shared" si="86"/>
        <v>Q27-01</v>
      </c>
    </row>
    <row r="1848" spans="1:17" x14ac:dyDescent="0.25">
      <c r="A1848" t="s">
        <v>61</v>
      </c>
      <c r="B1848" t="s">
        <v>225</v>
      </c>
      <c r="C1848" t="s">
        <v>226</v>
      </c>
      <c r="D1848" t="s">
        <v>3744</v>
      </c>
      <c r="E1848" t="s">
        <v>3778</v>
      </c>
      <c r="F1848" s="1">
        <v>2</v>
      </c>
      <c r="G1848" s="1">
        <v>0</v>
      </c>
      <c r="H1848" t="s">
        <v>17</v>
      </c>
      <c r="I1848" t="s">
        <v>228</v>
      </c>
      <c r="J1848" t="s">
        <v>3779</v>
      </c>
      <c r="K1848" s="3">
        <v>46234</v>
      </c>
      <c r="L1848" t="s">
        <v>232</v>
      </c>
      <c r="M1848">
        <v>5.8000000000000003E-2</v>
      </c>
      <c r="N1848">
        <v>2880</v>
      </c>
      <c r="O1848">
        <f t="shared" si="84"/>
        <v>0.11600000000000001</v>
      </c>
      <c r="P1848">
        <f t="shared" si="85"/>
        <v>6.9444444444444447E-4</v>
      </c>
      <c r="Q1848" t="str">
        <f t="shared" si="86"/>
        <v>Q27-01</v>
      </c>
    </row>
    <row r="1849" spans="1:17" x14ac:dyDescent="0.25">
      <c r="A1849" t="s">
        <v>61</v>
      </c>
      <c r="B1849" t="s">
        <v>233</v>
      </c>
      <c r="C1849" t="s">
        <v>234</v>
      </c>
      <c r="D1849" t="s">
        <v>3744</v>
      </c>
      <c r="E1849" t="s">
        <v>3780</v>
      </c>
      <c r="F1849" s="1">
        <v>1</v>
      </c>
      <c r="G1849" s="1">
        <v>0</v>
      </c>
      <c r="H1849" t="s">
        <v>17</v>
      </c>
      <c r="I1849" t="s">
        <v>236</v>
      </c>
      <c r="J1849" t="s">
        <v>3779</v>
      </c>
      <c r="K1849" s="3">
        <v>46599</v>
      </c>
      <c r="L1849" t="s">
        <v>237</v>
      </c>
      <c r="M1849">
        <v>7.4999999999999997E-2</v>
      </c>
      <c r="N1849">
        <v>2688</v>
      </c>
      <c r="O1849">
        <f t="shared" si="84"/>
        <v>7.4999999999999997E-2</v>
      </c>
      <c r="P1849">
        <f t="shared" si="85"/>
        <v>3.720238095238095E-4</v>
      </c>
      <c r="Q1849" t="str">
        <f t="shared" si="86"/>
        <v>Q27-01</v>
      </c>
    </row>
    <row r="1850" spans="1:17" x14ac:dyDescent="0.25">
      <c r="A1850" t="s">
        <v>61</v>
      </c>
      <c r="B1850" t="s">
        <v>233</v>
      </c>
      <c r="C1850" t="s">
        <v>234</v>
      </c>
      <c r="D1850" t="s">
        <v>3744</v>
      </c>
      <c r="E1850" t="s">
        <v>3781</v>
      </c>
      <c r="F1850" s="1">
        <v>1</v>
      </c>
      <c r="G1850" s="1">
        <v>0</v>
      </c>
      <c r="H1850" t="s">
        <v>17</v>
      </c>
      <c r="I1850" t="s">
        <v>236</v>
      </c>
      <c r="J1850" t="s">
        <v>3779</v>
      </c>
      <c r="K1850" s="3">
        <v>46630</v>
      </c>
      <c r="L1850" t="s">
        <v>243</v>
      </c>
      <c r="M1850">
        <v>7.4999999999999997E-2</v>
      </c>
      <c r="N1850">
        <v>2688</v>
      </c>
      <c r="O1850">
        <f t="shared" si="84"/>
        <v>7.4999999999999997E-2</v>
      </c>
      <c r="P1850">
        <f t="shared" si="85"/>
        <v>3.720238095238095E-4</v>
      </c>
      <c r="Q1850" t="str">
        <f t="shared" si="86"/>
        <v>Q27-01</v>
      </c>
    </row>
    <row r="1851" spans="1:17" x14ac:dyDescent="0.25">
      <c r="A1851" t="s">
        <v>61</v>
      </c>
      <c r="B1851" t="s">
        <v>317</v>
      </c>
      <c r="C1851" t="s">
        <v>318</v>
      </c>
      <c r="D1851" t="s">
        <v>3744</v>
      </c>
      <c r="E1851" t="s">
        <v>3782</v>
      </c>
      <c r="F1851" s="1">
        <v>1</v>
      </c>
      <c r="G1851" s="1">
        <v>0</v>
      </c>
      <c r="H1851" t="s">
        <v>17</v>
      </c>
      <c r="I1851" t="s">
        <v>320</v>
      </c>
      <c r="J1851" t="s">
        <v>3779</v>
      </c>
      <c r="K1851" s="3">
        <v>46721</v>
      </c>
      <c r="L1851" t="s">
        <v>1636</v>
      </c>
      <c r="M1851">
        <v>0.04</v>
      </c>
      <c r="N1851">
        <v>2688</v>
      </c>
      <c r="O1851">
        <f t="shared" si="84"/>
        <v>0.04</v>
      </c>
      <c r="P1851">
        <f t="shared" si="85"/>
        <v>3.720238095238095E-4</v>
      </c>
      <c r="Q1851" t="str">
        <f t="shared" si="86"/>
        <v>Q27-01</v>
      </c>
    </row>
    <row r="1852" spans="1:17" x14ac:dyDescent="0.25">
      <c r="A1852" t="s">
        <v>61</v>
      </c>
      <c r="B1852" t="s">
        <v>891</v>
      </c>
      <c r="C1852" t="s">
        <v>892</v>
      </c>
      <c r="D1852" t="s">
        <v>3744</v>
      </c>
      <c r="E1852" t="s">
        <v>3783</v>
      </c>
      <c r="F1852" s="1">
        <v>1</v>
      </c>
      <c r="G1852" s="1">
        <v>0</v>
      </c>
      <c r="H1852" t="s">
        <v>17</v>
      </c>
      <c r="I1852" t="s">
        <v>894</v>
      </c>
      <c r="J1852" t="s">
        <v>3779</v>
      </c>
      <c r="K1852" s="3">
        <v>46418</v>
      </c>
      <c r="L1852" t="s">
        <v>1180</v>
      </c>
      <c r="M1852">
        <v>0.312</v>
      </c>
      <c r="N1852">
        <v>1680</v>
      </c>
      <c r="O1852">
        <f t="shared" si="84"/>
        <v>0.312</v>
      </c>
      <c r="P1852">
        <f t="shared" si="85"/>
        <v>5.9523809523809529E-4</v>
      </c>
      <c r="Q1852" t="str">
        <f t="shared" si="86"/>
        <v>Q27-01</v>
      </c>
    </row>
    <row r="1853" spans="1:17" x14ac:dyDescent="0.25">
      <c r="A1853" t="s">
        <v>61</v>
      </c>
      <c r="B1853" t="s">
        <v>364</v>
      </c>
      <c r="C1853" t="s">
        <v>365</v>
      </c>
      <c r="D1853" t="s">
        <v>3744</v>
      </c>
      <c r="E1853" t="s">
        <v>3784</v>
      </c>
      <c r="F1853" s="1">
        <v>1</v>
      </c>
      <c r="G1853" s="1">
        <v>0</v>
      </c>
      <c r="H1853" t="s">
        <v>17</v>
      </c>
      <c r="I1853" t="s">
        <v>367</v>
      </c>
      <c r="J1853" t="s">
        <v>3779</v>
      </c>
      <c r="K1853" s="3">
        <v>46295</v>
      </c>
      <c r="L1853" t="s">
        <v>373</v>
      </c>
      <c r="M1853">
        <v>0.158</v>
      </c>
      <c r="N1853">
        <v>1152</v>
      </c>
      <c r="O1853">
        <f t="shared" si="84"/>
        <v>0.158</v>
      </c>
      <c r="P1853">
        <f t="shared" si="85"/>
        <v>8.6805555555555551E-4</v>
      </c>
      <c r="Q1853" t="str">
        <f t="shared" si="86"/>
        <v>Q27-01</v>
      </c>
    </row>
    <row r="1854" spans="1:17" x14ac:dyDescent="0.25">
      <c r="A1854" t="s">
        <v>61</v>
      </c>
      <c r="B1854" t="s">
        <v>317</v>
      </c>
      <c r="C1854" t="s">
        <v>318</v>
      </c>
      <c r="D1854" t="s">
        <v>3744</v>
      </c>
      <c r="E1854" t="s">
        <v>3785</v>
      </c>
      <c r="F1854" s="1">
        <v>2</v>
      </c>
      <c r="G1854" s="1">
        <v>0</v>
      </c>
      <c r="H1854" t="s">
        <v>17</v>
      </c>
      <c r="I1854" t="s">
        <v>320</v>
      </c>
      <c r="J1854" t="s">
        <v>3779</v>
      </c>
      <c r="K1854" s="3">
        <v>46752</v>
      </c>
      <c r="L1854" t="s">
        <v>1785</v>
      </c>
      <c r="M1854">
        <v>0.04</v>
      </c>
      <c r="N1854">
        <v>2688</v>
      </c>
      <c r="O1854">
        <f t="shared" si="84"/>
        <v>0.08</v>
      </c>
      <c r="P1854">
        <f t="shared" si="85"/>
        <v>7.4404761904761901E-4</v>
      </c>
      <c r="Q1854" t="str">
        <f t="shared" si="86"/>
        <v>Q27-01</v>
      </c>
    </row>
    <row r="1855" spans="1:17" x14ac:dyDescent="0.25">
      <c r="A1855" t="s">
        <v>61</v>
      </c>
      <c r="B1855" t="s">
        <v>364</v>
      </c>
      <c r="C1855" t="s">
        <v>365</v>
      </c>
      <c r="D1855" t="s">
        <v>3744</v>
      </c>
      <c r="E1855" t="s">
        <v>3786</v>
      </c>
      <c r="F1855" s="1">
        <v>1</v>
      </c>
      <c r="G1855" s="1">
        <v>0</v>
      </c>
      <c r="H1855" t="s">
        <v>17</v>
      </c>
      <c r="I1855" t="s">
        <v>367</v>
      </c>
      <c r="J1855" t="s">
        <v>3779</v>
      </c>
      <c r="K1855" s="3">
        <v>46721</v>
      </c>
      <c r="L1855" t="s">
        <v>1191</v>
      </c>
      <c r="M1855">
        <v>0.158</v>
      </c>
      <c r="N1855">
        <v>1152</v>
      </c>
      <c r="O1855">
        <f t="shared" si="84"/>
        <v>0.158</v>
      </c>
      <c r="P1855">
        <f t="shared" si="85"/>
        <v>8.6805555555555551E-4</v>
      </c>
      <c r="Q1855" t="str">
        <f t="shared" si="86"/>
        <v>Q27-01</v>
      </c>
    </row>
    <row r="1856" spans="1:17" x14ac:dyDescent="0.25">
      <c r="A1856" t="s">
        <v>61</v>
      </c>
      <c r="B1856" t="s">
        <v>71</v>
      </c>
      <c r="C1856" t="s">
        <v>72</v>
      </c>
      <c r="D1856" t="s">
        <v>3744</v>
      </c>
      <c r="E1856" t="s">
        <v>3787</v>
      </c>
      <c r="F1856" s="1">
        <v>1</v>
      </c>
      <c r="G1856" s="1">
        <v>0</v>
      </c>
      <c r="H1856" t="s">
        <v>17</v>
      </c>
      <c r="I1856" t="s">
        <v>75</v>
      </c>
      <c r="J1856" t="s">
        <v>3779</v>
      </c>
      <c r="K1856" s="3">
        <v>46295</v>
      </c>
      <c r="L1856" t="s">
        <v>1005</v>
      </c>
      <c r="M1856">
        <v>0.3</v>
      </c>
      <c r="N1856">
        <v>1680</v>
      </c>
      <c r="O1856">
        <f t="shared" si="84"/>
        <v>0.3</v>
      </c>
      <c r="P1856">
        <f t="shared" si="85"/>
        <v>5.9523809523809529E-4</v>
      </c>
      <c r="Q1856" t="str">
        <f t="shared" si="86"/>
        <v>Q27-01</v>
      </c>
    </row>
    <row r="1857" spans="1:17" x14ac:dyDescent="0.25">
      <c r="A1857" t="s">
        <v>61</v>
      </c>
      <c r="B1857" t="s">
        <v>166</v>
      </c>
      <c r="C1857" t="s">
        <v>167</v>
      </c>
      <c r="D1857" t="s">
        <v>3744</v>
      </c>
      <c r="E1857" t="s">
        <v>3788</v>
      </c>
      <c r="F1857" s="1">
        <v>4</v>
      </c>
      <c r="G1857" s="1">
        <v>0</v>
      </c>
      <c r="H1857" t="s">
        <v>17</v>
      </c>
      <c r="I1857" t="s">
        <v>170</v>
      </c>
      <c r="J1857" t="s">
        <v>3779</v>
      </c>
      <c r="K1857" s="3">
        <v>46173</v>
      </c>
      <c r="L1857" t="s">
        <v>179</v>
      </c>
      <c r="M1857">
        <v>9.2999999999999999E-2</v>
      </c>
      <c r="N1857">
        <v>1536</v>
      </c>
      <c r="O1857">
        <f t="shared" si="84"/>
        <v>0.372</v>
      </c>
      <c r="P1857">
        <f t="shared" si="85"/>
        <v>2.6041666666666665E-3</v>
      </c>
      <c r="Q1857" t="str">
        <f t="shared" si="86"/>
        <v>Q27-01</v>
      </c>
    </row>
    <row r="1858" spans="1:17" x14ac:dyDescent="0.25">
      <c r="A1858" t="s">
        <v>61</v>
      </c>
      <c r="B1858" t="s">
        <v>166</v>
      </c>
      <c r="C1858" t="s">
        <v>167</v>
      </c>
      <c r="D1858" t="s">
        <v>3744</v>
      </c>
      <c r="E1858" t="s">
        <v>3789</v>
      </c>
      <c r="F1858" s="1">
        <v>3</v>
      </c>
      <c r="G1858" s="1">
        <v>0</v>
      </c>
      <c r="H1858" t="s">
        <v>17</v>
      </c>
      <c r="I1858" t="s">
        <v>170</v>
      </c>
      <c r="J1858" t="s">
        <v>3779</v>
      </c>
      <c r="K1858" s="3">
        <v>46173</v>
      </c>
      <c r="L1858" t="s">
        <v>189</v>
      </c>
      <c r="M1858">
        <v>9.2999999999999999E-2</v>
      </c>
      <c r="N1858">
        <v>1536</v>
      </c>
      <c r="O1858">
        <f t="shared" si="84"/>
        <v>0.27900000000000003</v>
      </c>
      <c r="P1858">
        <f t="shared" si="85"/>
        <v>1.953125E-3</v>
      </c>
      <c r="Q1858" t="str">
        <f t="shared" si="86"/>
        <v>Q27-01</v>
      </c>
    </row>
    <row r="1859" spans="1:17" x14ac:dyDescent="0.25">
      <c r="A1859" t="s">
        <v>61</v>
      </c>
      <c r="B1859" t="s">
        <v>166</v>
      </c>
      <c r="C1859" t="s">
        <v>167</v>
      </c>
      <c r="D1859" t="s">
        <v>3744</v>
      </c>
      <c r="E1859" t="s">
        <v>3790</v>
      </c>
      <c r="F1859" s="1">
        <v>1</v>
      </c>
      <c r="G1859" s="1">
        <v>0</v>
      </c>
      <c r="H1859" t="s">
        <v>17</v>
      </c>
      <c r="I1859" t="s">
        <v>170</v>
      </c>
      <c r="J1859" t="s">
        <v>3779</v>
      </c>
      <c r="K1859" s="3">
        <v>46446</v>
      </c>
      <c r="L1859" t="s">
        <v>907</v>
      </c>
      <c r="M1859">
        <v>9.2999999999999999E-2</v>
      </c>
      <c r="N1859">
        <v>1536</v>
      </c>
      <c r="O1859">
        <f t="shared" ref="O1859:O1922" si="87">F1859*M1859</f>
        <v>9.2999999999999999E-2</v>
      </c>
      <c r="P1859">
        <f t="shared" ref="P1859:P1922" si="88">F1859/N1859</f>
        <v>6.5104166666666663E-4</v>
      </c>
      <c r="Q1859" t="str">
        <f t="shared" ref="Q1859:Q1922" si="89">LEFT(D1859,6)</f>
        <v>Q27-01</v>
      </c>
    </row>
    <row r="1860" spans="1:17" x14ac:dyDescent="0.25">
      <c r="A1860" t="s">
        <v>61</v>
      </c>
      <c r="B1860" t="s">
        <v>456</v>
      </c>
      <c r="C1860" t="s">
        <v>457</v>
      </c>
      <c r="D1860" t="s">
        <v>3744</v>
      </c>
      <c r="E1860" t="s">
        <v>3791</v>
      </c>
      <c r="F1860" s="1">
        <v>37</v>
      </c>
      <c r="G1860" s="1">
        <v>0</v>
      </c>
      <c r="H1860" t="s">
        <v>17</v>
      </c>
      <c r="I1860" t="s">
        <v>459</v>
      </c>
      <c r="J1860" t="s">
        <v>3779</v>
      </c>
      <c r="K1860" s="3">
        <v>46265</v>
      </c>
      <c r="L1860" t="s">
        <v>1002</v>
      </c>
      <c r="M1860">
        <v>0.22600000000000001</v>
      </c>
      <c r="N1860">
        <v>1680</v>
      </c>
      <c r="O1860">
        <f t="shared" si="87"/>
        <v>8.3620000000000001</v>
      </c>
      <c r="P1860">
        <f t="shared" si="88"/>
        <v>2.2023809523809525E-2</v>
      </c>
      <c r="Q1860" t="str">
        <f t="shared" si="89"/>
        <v>Q27-01</v>
      </c>
    </row>
    <row r="1861" spans="1:17" x14ac:dyDescent="0.25">
      <c r="A1861" t="s">
        <v>61</v>
      </c>
      <c r="B1861" t="s">
        <v>71</v>
      </c>
      <c r="C1861" t="s">
        <v>72</v>
      </c>
      <c r="D1861" t="s">
        <v>3744</v>
      </c>
      <c r="E1861" t="s">
        <v>3792</v>
      </c>
      <c r="F1861" s="1">
        <v>2</v>
      </c>
      <c r="G1861" s="1">
        <v>0</v>
      </c>
      <c r="H1861" t="s">
        <v>17</v>
      </c>
      <c r="I1861" t="s">
        <v>75</v>
      </c>
      <c r="J1861" t="s">
        <v>3779</v>
      </c>
      <c r="K1861" s="3">
        <v>46356</v>
      </c>
      <c r="L1861" t="s">
        <v>1149</v>
      </c>
      <c r="M1861">
        <v>0.3</v>
      </c>
      <c r="N1861">
        <v>1680</v>
      </c>
      <c r="O1861">
        <f t="shared" si="87"/>
        <v>0.6</v>
      </c>
      <c r="P1861">
        <f t="shared" si="88"/>
        <v>1.1904761904761906E-3</v>
      </c>
      <c r="Q1861" t="str">
        <f t="shared" si="89"/>
        <v>Q27-01</v>
      </c>
    </row>
    <row r="1862" spans="1:17" x14ac:dyDescent="0.25">
      <c r="A1862" t="s">
        <v>61</v>
      </c>
      <c r="B1862" t="s">
        <v>456</v>
      </c>
      <c r="C1862" t="s">
        <v>457</v>
      </c>
      <c r="D1862" t="s">
        <v>3744</v>
      </c>
      <c r="E1862" t="s">
        <v>3793</v>
      </c>
      <c r="F1862" s="1">
        <v>1</v>
      </c>
      <c r="G1862" s="1">
        <v>0</v>
      </c>
      <c r="H1862" t="s">
        <v>17</v>
      </c>
      <c r="I1862" t="s">
        <v>459</v>
      </c>
      <c r="J1862" t="s">
        <v>3779</v>
      </c>
      <c r="K1862" s="3">
        <v>46203</v>
      </c>
      <c r="L1862" t="s">
        <v>623</v>
      </c>
      <c r="M1862">
        <v>0.22600000000000001</v>
      </c>
      <c r="N1862">
        <v>1680</v>
      </c>
      <c r="O1862">
        <f t="shared" si="87"/>
        <v>0.22600000000000001</v>
      </c>
      <c r="P1862">
        <f t="shared" si="88"/>
        <v>5.9523809523809529E-4</v>
      </c>
      <c r="Q1862" t="str">
        <f t="shared" si="89"/>
        <v>Q27-01</v>
      </c>
    </row>
    <row r="1863" spans="1:17" x14ac:dyDescent="0.25">
      <c r="A1863" t="s">
        <v>61</v>
      </c>
      <c r="B1863" t="s">
        <v>364</v>
      </c>
      <c r="C1863" t="s">
        <v>365</v>
      </c>
      <c r="D1863" t="s">
        <v>3744</v>
      </c>
      <c r="E1863" t="s">
        <v>3794</v>
      </c>
      <c r="F1863" s="1">
        <v>1</v>
      </c>
      <c r="G1863" s="1">
        <v>0</v>
      </c>
      <c r="H1863" t="s">
        <v>17</v>
      </c>
      <c r="I1863" t="s">
        <v>367</v>
      </c>
      <c r="J1863" t="s">
        <v>3779</v>
      </c>
      <c r="K1863" s="3">
        <v>46811</v>
      </c>
      <c r="L1863" t="s">
        <v>1904</v>
      </c>
      <c r="M1863">
        <v>0.158</v>
      </c>
      <c r="N1863">
        <v>1152</v>
      </c>
      <c r="O1863">
        <f t="shared" si="87"/>
        <v>0.158</v>
      </c>
      <c r="P1863">
        <f t="shared" si="88"/>
        <v>8.6805555555555551E-4</v>
      </c>
      <c r="Q1863" t="str">
        <f t="shared" si="89"/>
        <v>Q27-01</v>
      </c>
    </row>
    <row r="1864" spans="1:17" x14ac:dyDescent="0.25">
      <c r="A1864" t="s">
        <v>61</v>
      </c>
      <c r="B1864" t="s">
        <v>166</v>
      </c>
      <c r="C1864" t="s">
        <v>167</v>
      </c>
      <c r="D1864" t="s">
        <v>3744</v>
      </c>
      <c r="E1864" t="s">
        <v>3795</v>
      </c>
      <c r="F1864" s="1">
        <v>1</v>
      </c>
      <c r="G1864" s="1">
        <v>0</v>
      </c>
      <c r="H1864" t="s">
        <v>17</v>
      </c>
      <c r="I1864" t="s">
        <v>170</v>
      </c>
      <c r="J1864" t="s">
        <v>3779</v>
      </c>
      <c r="K1864" s="3">
        <v>46660</v>
      </c>
      <c r="L1864" t="s">
        <v>1343</v>
      </c>
      <c r="M1864">
        <v>9.2999999999999999E-2</v>
      </c>
      <c r="N1864">
        <v>1536</v>
      </c>
      <c r="O1864">
        <f t="shared" si="87"/>
        <v>9.2999999999999999E-2</v>
      </c>
      <c r="P1864">
        <f t="shared" si="88"/>
        <v>6.5104166666666663E-4</v>
      </c>
      <c r="Q1864" t="str">
        <f t="shared" si="89"/>
        <v>Q27-01</v>
      </c>
    </row>
    <row r="1865" spans="1:17" x14ac:dyDescent="0.25">
      <c r="A1865" t="s">
        <v>61</v>
      </c>
      <c r="B1865" t="s">
        <v>364</v>
      </c>
      <c r="C1865" t="s">
        <v>365</v>
      </c>
      <c r="D1865" t="s">
        <v>3744</v>
      </c>
      <c r="E1865" t="s">
        <v>3796</v>
      </c>
      <c r="F1865" s="1">
        <v>1</v>
      </c>
      <c r="G1865" s="1">
        <v>0</v>
      </c>
      <c r="H1865" t="s">
        <v>17</v>
      </c>
      <c r="I1865" t="s">
        <v>367</v>
      </c>
      <c r="J1865" t="s">
        <v>3779</v>
      </c>
      <c r="K1865" s="3">
        <v>46326</v>
      </c>
      <c r="L1865" t="s">
        <v>368</v>
      </c>
      <c r="M1865">
        <v>0.158</v>
      </c>
      <c r="N1865">
        <v>1152</v>
      </c>
      <c r="O1865">
        <f t="shared" si="87"/>
        <v>0.158</v>
      </c>
      <c r="P1865">
        <f t="shared" si="88"/>
        <v>8.6805555555555551E-4</v>
      </c>
      <c r="Q1865" t="str">
        <f t="shared" si="89"/>
        <v>Q27-01</v>
      </c>
    </row>
    <row r="1866" spans="1:17" x14ac:dyDescent="0.25">
      <c r="A1866" t="s">
        <v>61</v>
      </c>
      <c r="B1866" t="s">
        <v>456</v>
      </c>
      <c r="C1866" t="s">
        <v>457</v>
      </c>
      <c r="D1866" t="s">
        <v>3744</v>
      </c>
      <c r="E1866" t="s">
        <v>3797</v>
      </c>
      <c r="F1866" s="1">
        <v>34</v>
      </c>
      <c r="G1866" s="1">
        <v>0</v>
      </c>
      <c r="H1866" t="s">
        <v>17</v>
      </c>
      <c r="I1866" t="s">
        <v>459</v>
      </c>
      <c r="J1866" t="s">
        <v>3779</v>
      </c>
      <c r="K1866" s="3">
        <v>46295</v>
      </c>
      <c r="L1866" t="s">
        <v>946</v>
      </c>
      <c r="M1866">
        <v>0.22600000000000001</v>
      </c>
      <c r="N1866">
        <v>1680</v>
      </c>
      <c r="O1866">
        <f t="shared" si="87"/>
        <v>7.6840000000000002</v>
      </c>
      <c r="P1866">
        <f t="shared" si="88"/>
        <v>2.0238095238095239E-2</v>
      </c>
      <c r="Q1866" t="str">
        <f t="shared" si="89"/>
        <v>Q27-01</v>
      </c>
    </row>
    <row r="1867" spans="1:17" x14ac:dyDescent="0.25">
      <c r="A1867" t="s">
        <v>61</v>
      </c>
      <c r="B1867" t="s">
        <v>71</v>
      </c>
      <c r="C1867" t="s">
        <v>72</v>
      </c>
      <c r="D1867" t="s">
        <v>3744</v>
      </c>
      <c r="E1867" t="s">
        <v>3798</v>
      </c>
      <c r="F1867" s="1">
        <v>7</v>
      </c>
      <c r="G1867" s="1">
        <v>0</v>
      </c>
      <c r="H1867" t="s">
        <v>17</v>
      </c>
      <c r="I1867" t="s">
        <v>75</v>
      </c>
      <c r="J1867" t="s">
        <v>3779</v>
      </c>
      <c r="K1867" s="3">
        <v>46265</v>
      </c>
      <c r="L1867" t="s">
        <v>2752</v>
      </c>
      <c r="M1867">
        <v>0.3</v>
      </c>
      <c r="N1867">
        <v>1680</v>
      </c>
      <c r="O1867">
        <f t="shared" si="87"/>
        <v>2.1</v>
      </c>
      <c r="P1867">
        <f t="shared" si="88"/>
        <v>4.1666666666666666E-3</v>
      </c>
      <c r="Q1867" t="str">
        <f t="shared" si="89"/>
        <v>Q27-01</v>
      </c>
    </row>
    <row r="1868" spans="1:17" x14ac:dyDescent="0.25">
      <c r="A1868" t="s">
        <v>61</v>
      </c>
      <c r="B1868" t="s">
        <v>71</v>
      </c>
      <c r="C1868" t="s">
        <v>72</v>
      </c>
      <c r="D1868" t="s">
        <v>3744</v>
      </c>
      <c r="E1868" t="s">
        <v>3799</v>
      </c>
      <c r="F1868" s="1">
        <v>12</v>
      </c>
      <c r="G1868" s="1">
        <v>0</v>
      </c>
      <c r="H1868" t="s">
        <v>17</v>
      </c>
      <c r="I1868" t="s">
        <v>75</v>
      </c>
      <c r="J1868" t="s">
        <v>3779</v>
      </c>
      <c r="K1868" s="3">
        <v>46265</v>
      </c>
      <c r="L1868" t="s">
        <v>949</v>
      </c>
      <c r="M1868">
        <v>0.3</v>
      </c>
      <c r="N1868">
        <v>1680</v>
      </c>
      <c r="O1868">
        <f t="shared" si="87"/>
        <v>3.5999999999999996</v>
      </c>
      <c r="P1868">
        <f t="shared" si="88"/>
        <v>7.1428571428571426E-3</v>
      </c>
      <c r="Q1868" t="str">
        <f t="shared" si="89"/>
        <v>Q27-01</v>
      </c>
    </row>
    <row r="1869" spans="1:17" x14ac:dyDescent="0.25">
      <c r="A1869" t="s">
        <v>61</v>
      </c>
      <c r="B1869" t="s">
        <v>219</v>
      </c>
      <c r="C1869" t="s">
        <v>220</v>
      </c>
      <c r="D1869" t="s">
        <v>3744</v>
      </c>
      <c r="E1869" t="s">
        <v>3800</v>
      </c>
      <c r="F1869" s="1">
        <v>3</v>
      </c>
      <c r="G1869" s="1">
        <v>0</v>
      </c>
      <c r="H1869" t="s">
        <v>17</v>
      </c>
      <c r="I1869" t="s">
        <v>222</v>
      </c>
      <c r="J1869" t="s">
        <v>3779</v>
      </c>
      <c r="K1869" s="3">
        <v>46446</v>
      </c>
      <c r="L1869" t="s">
        <v>1467</v>
      </c>
      <c r="M1869">
        <v>0.3</v>
      </c>
      <c r="N1869">
        <v>1680</v>
      </c>
      <c r="O1869">
        <f t="shared" si="87"/>
        <v>0.89999999999999991</v>
      </c>
      <c r="P1869">
        <f t="shared" si="88"/>
        <v>1.7857142857142857E-3</v>
      </c>
      <c r="Q1869" t="str">
        <f t="shared" si="89"/>
        <v>Q27-01</v>
      </c>
    </row>
    <row r="1870" spans="1:17" x14ac:dyDescent="0.25">
      <c r="A1870" t="s">
        <v>61</v>
      </c>
      <c r="B1870" t="s">
        <v>219</v>
      </c>
      <c r="C1870" t="s">
        <v>220</v>
      </c>
      <c r="D1870" t="s">
        <v>3744</v>
      </c>
      <c r="E1870" t="s">
        <v>3801</v>
      </c>
      <c r="F1870" s="1">
        <v>1</v>
      </c>
      <c r="G1870" s="1">
        <v>0</v>
      </c>
      <c r="H1870" t="s">
        <v>17</v>
      </c>
      <c r="I1870" t="s">
        <v>222</v>
      </c>
      <c r="J1870" t="s">
        <v>3779</v>
      </c>
      <c r="K1870" s="3">
        <v>46387</v>
      </c>
      <c r="L1870" t="s">
        <v>1200</v>
      </c>
      <c r="M1870">
        <v>0.3</v>
      </c>
      <c r="N1870">
        <v>1680</v>
      </c>
      <c r="O1870">
        <f t="shared" si="87"/>
        <v>0.3</v>
      </c>
      <c r="P1870">
        <f t="shared" si="88"/>
        <v>5.9523809523809529E-4</v>
      </c>
      <c r="Q1870" t="str">
        <f t="shared" si="89"/>
        <v>Q27-01</v>
      </c>
    </row>
    <row r="1871" spans="1:17" x14ac:dyDescent="0.25">
      <c r="A1871" t="s">
        <v>61</v>
      </c>
      <c r="B1871" t="s">
        <v>219</v>
      </c>
      <c r="C1871" t="s">
        <v>220</v>
      </c>
      <c r="D1871" t="s">
        <v>3744</v>
      </c>
      <c r="E1871" t="s">
        <v>3802</v>
      </c>
      <c r="F1871" s="1">
        <v>1</v>
      </c>
      <c r="G1871" s="1">
        <v>0</v>
      </c>
      <c r="H1871" t="s">
        <v>17</v>
      </c>
      <c r="I1871" t="s">
        <v>222</v>
      </c>
      <c r="J1871" t="s">
        <v>3779</v>
      </c>
      <c r="K1871" s="3">
        <v>46507</v>
      </c>
      <c r="L1871" t="s">
        <v>2024</v>
      </c>
      <c r="M1871">
        <v>0.3</v>
      </c>
      <c r="N1871">
        <v>1680</v>
      </c>
      <c r="O1871">
        <f t="shared" si="87"/>
        <v>0.3</v>
      </c>
      <c r="P1871">
        <f t="shared" si="88"/>
        <v>5.9523809523809529E-4</v>
      </c>
      <c r="Q1871" t="str">
        <f t="shared" si="89"/>
        <v>Q27-01</v>
      </c>
    </row>
    <row r="1872" spans="1:17" x14ac:dyDescent="0.25">
      <c r="A1872" t="s">
        <v>61</v>
      </c>
      <c r="B1872" t="s">
        <v>281</v>
      </c>
      <c r="C1872" t="s">
        <v>282</v>
      </c>
      <c r="D1872" t="s">
        <v>3744</v>
      </c>
      <c r="E1872" t="s">
        <v>3803</v>
      </c>
      <c r="F1872" s="1">
        <v>3</v>
      </c>
      <c r="G1872" s="1">
        <v>0</v>
      </c>
      <c r="H1872" t="s">
        <v>17</v>
      </c>
      <c r="I1872" t="s">
        <v>284</v>
      </c>
      <c r="J1872" t="s">
        <v>3779</v>
      </c>
      <c r="K1872" s="3">
        <v>46234</v>
      </c>
      <c r="L1872" t="s">
        <v>285</v>
      </c>
      <c r="M1872">
        <v>6.8000000000000005E-2</v>
      </c>
      <c r="N1872">
        <v>2240</v>
      </c>
      <c r="O1872">
        <f t="shared" si="87"/>
        <v>0.20400000000000001</v>
      </c>
      <c r="P1872">
        <f t="shared" si="88"/>
        <v>1.3392857142857143E-3</v>
      </c>
      <c r="Q1872" t="str">
        <f t="shared" si="89"/>
        <v>Q27-01</v>
      </c>
    </row>
    <row r="1873" spans="1:17" x14ac:dyDescent="0.25">
      <c r="A1873" t="s">
        <v>61</v>
      </c>
      <c r="B1873" t="s">
        <v>281</v>
      </c>
      <c r="C1873" t="s">
        <v>282</v>
      </c>
      <c r="D1873" t="s">
        <v>3744</v>
      </c>
      <c r="E1873" t="s">
        <v>3804</v>
      </c>
      <c r="F1873" s="1">
        <v>32</v>
      </c>
      <c r="G1873" s="1">
        <v>0</v>
      </c>
      <c r="H1873" t="s">
        <v>17</v>
      </c>
      <c r="I1873" t="s">
        <v>284</v>
      </c>
      <c r="J1873" t="s">
        <v>3779</v>
      </c>
      <c r="K1873" s="3">
        <v>46265</v>
      </c>
      <c r="L1873" t="s">
        <v>304</v>
      </c>
      <c r="M1873">
        <v>6.8000000000000005E-2</v>
      </c>
      <c r="N1873">
        <v>2240</v>
      </c>
      <c r="O1873">
        <f t="shared" si="87"/>
        <v>2.1760000000000002</v>
      </c>
      <c r="P1873">
        <f t="shared" si="88"/>
        <v>1.4285714285714285E-2</v>
      </c>
      <c r="Q1873" t="str">
        <f t="shared" si="89"/>
        <v>Q27-01</v>
      </c>
    </row>
    <row r="1874" spans="1:17" x14ac:dyDescent="0.25">
      <c r="A1874" t="s">
        <v>61</v>
      </c>
      <c r="B1874" t="s">
        <v>219</v>
      </c>
      <c r="C1874" t="s">
        <v>220</v>
      </c>
      <c r="D1874" t="s">
        <v>3744</v>
      </c>
      <c r="E1874" t="s">
        <v>3805</v>
      </c>
      <c r="F1874" s="1">
        <v>1</v>
      </c>
      <c r="G1874" s="1">
        <v>0</v>
      </c>
      <c r="H1874" t="s">
        <v>17</v>
      </c>
      <c r="I1874" t="s">
        <v>222</v>
      </c>
      <c r="J1874" t="s">
        <v>3779</v>
      </c>
      <c r="K1874" s="3">
        <v>46477</v>
      </c>
      <c r="L1874" t="s">
        <v>1776</v>
      </c>
      <c r="M1874">
        <v>0.3</v>
      </c>
      <c r="N1874">
        <v>1680</v>
      </c>
      <c r="O1874">
        <f t="shared" si="87"/>
        <v>0.3</v>
      </c>
      <c r="P1874">
        <f t="shared" si="88"/>
        <v>5.9523809523809529E-4</v>
      </c>
      <c r="Q1874" t="str">
        <f t="shared" si="89"/>
        <v>Q27-01</v>
      </c>
    </row>
    <row r="1875" spans="1:17" x14ac:dyDescent="0.25">
      <c r="A1875" t="s">
        <v>61</v>
      </c>
      <c r="B1875" t="s">
        <v>456</v>
      </c>
      <c r="C1875" t="s">
        <v>457</v>
      </c>
      <c r="D1875" t="s">
        <v>3744</v>
      </c>
      <c r="E1875" t="s">
        <v>3806</v>
      </c>
      <c r="F1875" s="1">
        <v>1</v>
      </c>
      <c r="G1875" s="1">
        <v>0</v>
      </c>
      <c r="H1875" t="s">
        <v>17</v>
      </c>
      <c r="I1875" t="s">
        <v>459</v>
      </c>
      <c r="J1875" t="s">
        <v>3779</v>
      </c>
      <c r="K1875" s="3">
        <v>46568</v>
      </c>
      <c r="L1875" t="s">
        <v>2225</v>
      </c>
      <c r="M1875">
        <v>0.22600000000000001</v>
      </c>
      <c r="N1875">
        <v>1680</v>
      </c>
      <c r="O1875">
        <f t="shared" si="87"/>
        <v>0.22600000000000001</v>
      </c>
      <c r="P1875">
        <f t="shared" si="88"/>
        <v>5.9523809523809529E-4</v>
      </c>
      <c r="Q1875" t="str">
        <f t="shared" si="89"/>
        <v>Q27-01</v>
      </c>
    </row>
    <row r="1876" spans="1:17" x14ac:dyDescent="0.25">
      <c r="A1876" t="s">
        <v>61</v>
      </c>
      <c r="B1876" t="s">
        <v>364</v>
      </c>
      <c r="C1876" t="s">
        <v>365</v>
      </c>
      <c r="D1876" t="s">
        <v>3744</v>
      </c>
      <c r="E1876" t="s">
        <v>3807</v>
      </c>
      <c r="F1876" s="1">
        <v>1</v>
      </c>
      <c r="G1876" s="1">
        <v>0</v>
      </c>
      <c r="H1876" t="s">
        <v>17</v>
      </c>
      <c r="I1876" t="s">
        <v>367</v>
      </c>
      <c r="J1876" t="s">
        <v>3779</v>
      </c>
      <c r="K1876" s="3">
        <v>46446</v>
      </c>
      <c r="L1876" t="s">
        <v>536</v>
      </c>
      <c r="M1876">
        <v>0.158</v>
      </c>
      <c r="N1876">
        <v>1152</v>
      </c>
      <c r="O1876">
        <f t="shared" si="87"/>
        <v>0.158</v>
      </c>
      <c r="P1876">
        <f t="shared" si="88"/>
        <v>8.6805555555555551E-4</v>
      </c>
      <c r="Q1876" t="str">
        <f t="shared" si="89"/>
        <v>Q27-01</v>
      </c>
    </row>
    <row r="1877" spans="1:17" x14ac:dyDescent="0.25">
      <c r="A1877" t="s">
        <v>61</v>
      </c>
      <c r="B1877" t="s">
        <v>219</v>
      </c>
      <c r="C1877" t="s">
        <v>220</v>
      </c>
      <c r="D1877" t="s">
        <v>3744</v>
      </c>
      <c r="E1877" t="s">
        <v>3808</v>
      </c>
      <c r="F1877" s="1">
        <v>1</v>
      </c>
      <c r="G1877" s="1">
        <v>0</v>
      </c>
      <c r="H1877" t="s">
        <v>17</v>
      </c>
      <c r="I1877" t="s">
        <v>222</v>
      </c>
      <c r="J1877" t="s">
        <v>3779</v>
      </c>
      <c r="K1877" s="3">
        <v>46234</v>
      </c>
      <c r="L1877" t="s">
        <v>789</v>
      </c>
      <c r="M1877">
        <v>0.3</v>
      </c>
      <c r="N1877">
        <v>1680</v>
      </c>
      <c r="O1877">
        <f t="shared" si="87"/>
        <v>0.3</v>
      </c>
      <c r="P1877">
        <f t="shared" si="88"/>
        <v>5.9523809523809529E-4</v>
      </c>
      <c r="Q1877" t="str">
        <f t="shared" si="89"/>
        <v>Q27-01</v>
      </c>
    </row>
    <row r="1878" spans="1:17" x14ac:dyDescent="0.25">
      <c r="A1878" t="s">
        <v>61</v>
      </c>
      <c r="B1878" t="s">
        <v>225</v>
      </c>
      <c r="C1878" t="s">
        <v>226</v>
      </c>
      <c r="D1878" t="s">
        <v>3744</v>
      </c>
      <c r="E1878" t="s">
        <v>3809</v>
      </c>
      <c r="F1878" s="1">
        <v>13</v>
      </c>
      <c r="G1878" s="1">
        <v>0</v>
      </c>
      <c r="H1878" t="s">
        <v>17</v>
      </c>
      <c r="I1878" t="s">
        <v>228</v>
      </c>
      <c r="J1878" t="s">
        <v>3779</v>
      </c>
      <c r="K1878" s="3">
        <v>46234</v>
      </c>
      <c r="L1878" t="s">
        <v>230</v>
      </c>
      <c r="M1878">
        <v>5.8000000000000003E-2</v>
      </c>
      <c r="N1878">
        <v>2880</v>
      </c>
      <c r="O1878">
        <f t="shared" si="87"/>
        <v>0.754</v>
      </c>
      <c r="P1878">
        <f t="shared" si="88"/>
        <v>4.5138888888888885E-3</v>
      </c>
      <c r="Q1878" t="str">
        <f t="shared" si="89"/>
        <v>Q27-01</v>
      </c>
    </row>
    <row r="1879" spans="1:17" x14ac:dyDescent="0.25">
      <c r="A1879" t="s">
        <v>61</v>
      </c>
      <c r="B1879" t="s">
        <v>219</v>
      </c>
      <c r="C1879" t="s">
        <v>220</v>
      </c>
      <c r="D1879" t="s">
        <v>3744</v>
      </c>
      <c r="E1879" t="s">
        <v>3810</v>
      </c>
      <c r="F1879" s="1">
        <v>1</v>
      </c>
      <c r="G1879" s="1">
        <v>0</v>
      </c>
      <c r="H1879" t="s">
        <v>17</v>
      </c>
      <c r="I1879" t="s">
        <v>222</v>
      </c>
      <c r="J1879" t="s">
        <v>3779</v>
      </c>
      <c r="K1879" s="3">
        <v>46477</v>
      </c>
      <c r="L1879" t="s">
        <v>1646</v>
      </c>
      <c r="M1879">
        <v>0.3</v>
      </c>
      <c r="N1879">
        <v>1680</v>
      </c>
      <c r="O1879">
        <f t="shared" si="87"/>
        <v>0.3</v>
      </c>
      <c r="P1879">
        <f t="shared" si="88"/>
        <v>5.9523809523809529E-4</v>
      </c>
      <c r="Q1879" t="str">
        <f t="shared" si="89"/>
        <v>Q27-01</v>
      </c>
    </row>
    <row r="1880" spans="1:17" x14ac:dyDescent="0.25">
      <c r="A1880" t="s">
        <v>61</v>
      </c>
      <c r="B1880" t="s">
        <v>891</v>
      </c>
      <c r="C1880" t="s">
        <v>892</v>
      </c>
      <c r="D1880" t="s">
        <v>3744</v>
      </c>
      <c r="E1880" t="s">
        <v>3811</v>
      </c>
      <c r="F1880" s="1">
        <v>3</v>
      </c>
      <c r="G1880" s="1">
        <v>0</v>
      </c>
      <c r="H1880" t="s">
        <v>17</v>
      </c>
      <c r="I1880" t="s">
        <v>894</v>
      </c>
      <c r="J1880" t="s">
        <v>3779</v>
      </c>
      <c r="K1880" s="3">
        <v>46295</v>
      </c>
      <c r="L1880" t="s">
        <v>1535</v>
      </c>
      <c r="M1880">
        <v>0.312</v>
      </c>
      <c r="N1880">
        <v>1680</v>
      </c>
      <c r="O1880">
        <f t="shared" si="87"/>
        <v>0.93599999999999994</v>
      </c>
      <c r="P1880">
        <f t="shared" si="88"/>
        <v>1.7857142857142857E-3</v>
      </c>
      <c r="Q1880" t="str">
        <f t="shared" si="89"/>
        <v>Q27-01</v>
      </c>
    </row>
    <row r="1881" spans="1:17" x14ac:dyDescent="0.25">
      <c r="A1881" t="s">
        <v>61</v>
      </c>
      <c r="B1881" t="s">
        <v>219</v>
      </c>
      <c r="C1881" t="s">
        <v>220</v>
      </c>
      <c r="D1881" t="s">
        <v>3744</v>
      </c>
      <c r="E1881" t="s">
        <v>3812</v>
      </c>
      <c r="F1881" s="1">
        <v>6</v>
      </c>
      <c r="G1881" s="1">
        <v>0</v>
      </c>
      <c r="H1881" t="s">
        <v>17</v>
      </c>
      <c r="I1881" t="s">
        <v>222</v>
      </c>
      <c r="J1881" t="s">
        <v>3779</v>
      </c>
      <c r="K1881" s="3">
        <v>46234</v>
      </c>
      <c r="L1881" t="s">
        <v>902</v>
      </c>
      <c r="M1881">
        <v>0.3</v>
      </c>
      <c r="N1881">
        <v>1680</v>
      </c>
      <c r="O1881">
        <f t="shared" si="87"/>
        <v>1.7999999999999998</v>
      </c>
      <c r="P1881">
        <f t="shared" si="88"/>
        <v>3.5714285714285713E-3</v>
      </c>
      <c r="Q1881" t="str">
        <f t="shared" si="89"/>
        <v>Q27-01</v>
      </c>
    </row>
    <row r="1882" spans="1:17" x14ac:dyDescent="0.25">
      <c r="A1882" t="s">
        <v>61</v>
      </c>
      <c r="B1882" t="s">
        <v>456</v>
      </c>
      <c r="C1882" t="s">
        <v>457</v>
      </c>
      <c r="D1882" t="s">
        <v>3744</v>
      </c>
      <c r="E1882" t="s">
        <v>3813</v>
      </c>
      <c r="F1882" s="1">
        <v>3</v>
      </c>
      <c r="G1882" s="1">
        <v>0</v>
      </c>
      <c r="H1882" t="s">
        <v>17</v>
      </c>
      <c r="I1882" t="s">
        <v>459</v>
      </c>
      <c r="J1882" t="s">
        <v>3779</v>
      </c>
      <c r="K1882" s="3">
        <v>46234</v>
      </c>
      <c r="L1882" t="s">
        <v>911</v>
      </c>
      <c r="M1882">
        <v>0.22600000000000001</v>
      </c>
      <c r="N1882">
        <v>1680</v>
      </c>
      <c r="O1882">
        <f t="shared" si="87"/>
        <v>0.67800000000000005</v>
      </c>
      <c r="P1882">
        <f t="shared" si="88"/>
        <v>1.7857142857142857E-3</v>
      </c>
      <c r="Q1882" t="str">
        <f t="shared" si="89"/>
        <v>Q27-01</v>
      </c>
    </row>
    <row r="1883" spans="1:17" x14ac:dyDescent="0.25">
      <c r="A1883" t="s">
        <v>61</v>
      </c>
      <c r="B1883" t="s">
        <v>456</v>
      </c>
      <c r="C1883" t="s">
        <v>457</v>
      </c>
      <c r="D1883" t="s">
        <v>3744</v>
      </c>
      <c r="E1883" t="s">
        <v>3814</v>
      </c>
      <c r="F1883" s="1">
        <v>2</v>
      </c>
      <c r="G1883" s="1">
        <v>0</v>
      </c>
      <c r="H1883" t="s">
        <v>17</v>
      </c>
      <c r="I1883" t="s">
        <v>459</v>
      </c>
      <c r="J1883" t="s">
        <v>3779</v>
      </c>
      <c r="K1883" s="3">
        <v>46295</v>
      </c>
      <c r="L1883" t="s">
        <v>1448</v>
      </c>
      <c r="M1883">
        <v>0.22600000000000001</v>
      </c>
      <c r="N1883">
        <v>1680</v>
      </c>
      <c r="O1883">
        <f t="shared" si="87"/>
        <v>0.45200000000000001</v>
      </c>
      <c r="P1883">
        <f t="shared" si="88"/>
        <v>1.1904761904761906E-3</v>
      </c>
      <c r="Q1883" t="str">
        <f t="shared" si="89"/>
        <v>Q27-01</v>
      </c>
    </row>
    <row r="1884" spans="1:17" x14ac:dyDescent="0.25">
      <c r="A1884" t="s">
        <v>61</v>
      </c>
      <c r="B1884" t="s">
        <v>456</v>
      </c>
      <c r="C1884" t="s">
        <v>457</v>
      </c>
      <c r="D1884" t="s">
        <v>3744</v>
      </c>
      <c r="E1884" t="s">
        <v>3815</v>
      </c>
      <c r="F1884" s="1">
        <v>4</v>
      </c>
      <c r="G1884" s="1">
        <v>0</v>
      </c>
      <c r="H1884" t="s">
        <v>17</v>
      </c>
      <c r="I1884" t="s">
        <v>459</v>
      </c>
      <c r="J1884" t="s">
        <v>3779</v>
      </c>
      <c r="K1884" s="3">
        <v>46387</v>
      </c>
      <c r="L1884" t="s">
        <v>1213</v>
      </c>
      <c r="M1884">
        <v>0.22600000000000001</v>
      </c>
      <c r="N1884">
        <v>1680</v>
      </c>
      <c r="O1884">
        <f t="shared" si="87"/>
        <v>0.90400000000000003</v>
      </c>
      <c r="P1884">
        <f t="shared" si="88"/>
        <v>2.3809523809523812E-3</v>
      </c>
      <c r="Q1884" t="str">
        <f t="shared" si="89"/>
        <v>Q27-01</v>
      </c>
    </row>
    <row r="1885" spans="1:17" x14ac:dyDescent="0.25">
      <c r="A1885" t="s">
        <v>61</v>
      </c>
      <c r="B1885" t="s">
        <v>352</v>
      </c>
      <c r="C1885" t="s">
        <v>353</v>
      </c>
      <c r="D1885" t="s">
        <v>3744</v>
      </c>
      <c r="E1885" t="s">
        <v>3816</v>
      </c>
      <c r="F1885" s="1">
        <v>54</v>
      </c>
      <c r="G1885" s="1">
        <v>0</v>
      </c>
      <c r="H1885" t="s">
        <v>17</v>
      </c>
      <c r="I1885" t="s">
        <v>355</v>
      </c>
      <c r="J1885" t="s">
        <v>3779</v>
      </c>
      <c r="K1885" s="3">
        <v>46234</v>
      </c>
      <c r="L1885" t="s">
        <v>357</v>
      </c>
      <c r="M1885">
        <v>5.0999999999999997E-2</v>
      </c>
      <c r="N1885">
        <v>2880</v>
      </c>
      <c r="O1885">
        <f t="shared" si="87"/>
        <v>2.754</v>
      </c>
      <c r="P1885">
        <f t="shared" si="88"/>
        <v>1.8749999999999999E-2</v>
      </c>
      <c r="Q1885" t="str">
        <f t="shared" si="89"/>
        <v>Q27-01</v>
      </c>
    </row>
    <row r="1886" spans="1:17" x14ac:dyDescent="0.25">
      <c r="A1886" t="s">
        <v>61</v>
      </c>
      <c r="B1886" t="s">
        <v>219</v>
      </c>
      <c r="C1886" t="s">
        <v>220</v>
      </c>
      <c r="D1886" t="s">
        <v>3744</v>
      </c>
      <c r="E1886" t="s">
        <v>3817</v>
      </c>
      <c r="F1886" s="1">
        <v>44</v>
      </c>
      <c r="G1886" s="1">
        <v>0</v>
      </c>
      <c r="H1886" t="s">
        <v>17</v>
      </c>
      <c r="I1886" t="s">
        <v>222</v>
      </c>
      <c r="J1886" t="s">
        <v>3779</v>
      </c>
      <c r="K1886" s="3">
        <v>46265</v>
      </c>
      <c r="L1886" t="s">
        <v>1000</v>
      </c>
      <c r="M1886">
        <v>0.3</v>
      </c>
      <c r="N1886">
        <v>1680</v>
      </c>
      <c r="O1886">
        <f t="shared" si="87"/>
        <v>13.2</v>
      </c>
      <c r="P1886">
        <f t="shared" si="88"/>
        <v>2.6190476190476191E-2</v>
      </c>
      <c r="Q1886" t="str">
        <f t="shared" si="89"/>
        <v>Q27-01</v>
      </c>
    </row>
    <row r="1887" spans="1:17" x14ac:dyDescent="0.25">
      <c r="A1887" t="s">
        <v>61</v>
      </c>
      <c r="B1887" t="s">
        <v>456</v>
      </c>
      <c r="C1887" t="s">
        <v>457</v>
      </c>
      <c r="D1887" t="s">
        <v>3744</v>
      </c>
      <c r="E1887" t="s">
        <v>3818</v>
      </c>
      <c r="F1887" s="1">
        <v>59</v>
      </c>
      <c r="G1887" s="1">
        <v>0</v>
      </c>
      <c r="H1887" t="s">
        <v>17</v>
      </c>
      <c r="I1887" t="s">
        <v>459</v>
      </c>
      <c r="J1887" t="s">
        <v>3779</v>
      </c>
      <c r="K1887" s="3">
        <v>46264</v>
      </c>
      <c r="L1887" t="s">
        <v>778</v>
      </c>
      <c r="M1887">
        <v>0.22600000000000001</v>
      </c>
      <c r="N1887">
        <v>1680</v>
      </c>
      <c r="O1887">
        <f t="shared" si="87"/>
        <v>13.334</v>
      </c>
      <c r="P1887">
        <f t="shared" si="88"/>
        <v>3.5119047619047619E-2</v>
      </c>
      <c r="Q1887" t="str">
        <f t="shared" si="89"/>
        <v>Q27-01</v>
      </c>
    </row>
    <row r="1888" spans="1:17" x14ac:dyDescent="0.25">
      <c r="A1888" t="s">
        <v>61</v>
      </c>
      <c r="B1888" t="s">
        <v>420</v>
      </c>
      <c r="C1888" t="s">
        <v>421</v>
      </c>
      <c r="D1888" t="s">
        <v>3819</v>
      </c>
      <c r="E1888" t="s">
        <v>3820</v>
      </c>
      <c r="F1888" s="1">
        <v>3</v>
      </c>
      <c r="G1888" s="1">
        <v>0</v>
      </c>
      <c r="H1888" t="s">
        <v>17</v>
      </c>
      <c r="I1888" t="s">
        <v>423</v>
      </c>
      <c r="J1888" t="s">
        <v>3821</v>
      </c>
      <c r="K1888" s="3">
        <v>46812</v>
      </c>
      <c r="L1888" t="s">
        <v>2625</v>
      </c>
      <c r="M1888">
        <v>0.156</v>
      </c>
      <c r="N1888">
        <v>1152</v>
      </c>
      <c r="O1888">
        <f t="shared" si="87"/>
        <v>0.46799999999999997</v>
      </c>
      <c r="P1888">
        <f t="shared" si="88"/>
        <v>2.6041666666666665E-3</v>
      </c>
      <c r="Q1888" t="str">
        <f t="shared" si="89"/>
        <v>Q27-01</v>
      </c>
    </row>
    <row r="1889" spans="1:17" x14ac:dyDescent="0.25">
      <c r="A1889" t="s">
        <v>61</v>
      </c>
      <c r="B1889" t="s">
        <v>420</v>
      </c>
      <c r="C1889" t="s">
        <v>421</v>
      </c>
      <c r="D1889" t="s">
        <v>3819</v>
      </c>
      <c r="E1889" t="s">
        <v>3822</v>
      </c>
      <c r="F1889" s="1">
        <v>13</v>
      </c>
      <c r="G1889" s="1">
        <v>0</v>
      </c>
      <c r="H1889" t="s">
        <v>17</v>
      </c>
      <c r="I1889" t="s">
        <v>423</v>
      </c>
      <c r="J1889" t="s">
        <v>3821</v>
      </c>
      <c r="K1889" s="3">
        <v>46812</v>
      </c>
      <c r="L1889" t="s">
        <v>2250</v>
      </c>
      <c r="M1889">
        <v>0.156</v>
      </c>
      <c r="N1889">
        <v>1152</v>
      </c>
      <c r="O1889">
        <f t="shared" si="87"/>
        <v>2.028</v>
      </c>
      <c r="P1889">
        <f t="shared" si="88"/>
        <v>1.1284722222222222E-2</v>
      </c>
      <c r="Q1889" t="str">
        <f t="shared" si="89"/>
        <v>Q27-01</v>
      </c>
    </row>
    <row r="1890" spans="1:17" x14ac:dyDescent="0.25">
      <c r="A1890" t="s">
        <v>61</v>
      </c>
      <c r="B1890" t="s">
        <v>420</v>
      </c>
      <c r="C1890" t="s">
        <v>421</v>
      </c>
      <c r="D1890" t="s">
        <v>3819</v>
      </c>
      <c r="E1890" t="s">
        <v>3823</v>
      </c>
      <c r="F1890" s="1">
        <v>3</v>
      </c>
      <c r="G1890" s="1">
        <v>0</v>
      </c>
      <c r="H1890" t="s">
        <v>17</v>
      </c>
      <c r="I1890" t="s">
        <v>423</v>
      </c>
      <c r="J1890" t="s">
        <v>3821</v>
      </c>
      <c r="K1890" s="3">
        <v>46812</v>
      </c>
      <c r="L1890" t="s">
        <v>2250</v>
      </c>
      <c r="M1890">
        <v>0.156</v>
      </c>
      <c r="N1890">
        <v>1152</v>
      </c>
      <c r="O1890">
        <f t="shared" si="87"/>
        <v>0.46799999999999997</v>
      </c>
      <c r="P1890">
        <f t="shared" si="88"/>
        <v>2.6041666666666665E-3</v>
      </c>
      <c r="Q1890" t="str">
        <f t="shared" si="89"/>
        <v>Q27-01</v>
      </c>
    </row>
    <row r="1891" spans="1:17" x14ac:dyDescent="0.25">
      <c r="A1891" t="s">
        <v>61</v>
      </c>
      <c r="B1891" t="s">
        <v>420</v>
      </c>
      <c r="C1891" t="s">
        <v>421</v>
      </c>
      <c r="D1891" t="s">
        <v>3819</v>
      </c>
      <c r="E1891" t="s">
        <v>3824</v>
      </c>
      <c r="F1891" s="1">
        <v>19</v>
      </c>
      <c r="G1891" s="1">
        <v>0</v>
      </c>
      <c r="H1891" t="s">
        <v>17</v>
      </c>
      <c r="I1891" t="s">
        <v>423</v>
      </c>
      <c r="J1891" t="s">
        <v>3821</v>
      </c>
      <c r="K1891" s="3">
        <v>46691</v>
      </c>
      <c r="L1891" t="s">
        <v>1722</v>
      </c>
      <c r="M1891">
        <v>0.156</v>
      </c>
      <c r="N1891">
        <v>1152</v>
      </c>
      <c r="O1891">
        <f t="shared" si="87"/>
        <v>2.964</v>
      </c>
      <c r="P1891">
        <f t="shared" si="88"/>
        <v>1.6493055555555556E-2</v>
      </c>
      <c r="Q1891" t="str">
        <f t="shared" si="89"/>
        <v>Q27-01</v>
      </c>
    </row>
    <row r="1892" spans="1:17" x14ac:dyDescent="0.25">
      <c r="A1892" t="s">
        <v>61</v>
      </c>
      <c r="B1892" t="s">
        <v>420</v>
      </c>
      <c r="C1892" t="s">
        <v>421</v>
      </c>
      <c r="D1892" t="s">
        <v>3819</v>
      </c>
      <c r="E1892" t="s">
        <v>3825</v>
      </c>
      <c r="F1892" s="1">
        <v>12</v>
      </c>
      <c r="G1892" s="1">
        <v>0</v>
      </c>
      <c r="H1892" t="s">
        <v>17</v>
      </c>
      <c r="I1892" t="s">
        <v>423</v>
      </c>
      <c r="J1892" t="s">
        <v>3821</v>
      </c>
      <c r="K1892" s="3">
        <v>46691</v>
      </c>
      <c r="L1892" t="s">
        <v>1722</v>
      </c>
      <c r="M1892">
        <v>0.156</v>
      </c>
      <c r="N1892">
        <v>1152</v>
      </c>
      <c r="O1892">
        <f t="shared" si="87"/>
        <v>1.8719999999999999</v>
      </c>
      <c r="P1892">
        <f t="shared" si="88"/>
        <v>1.0416666666666666E-2</v>
      </c>
      <c r="Q1892" t="str">
        <f t="shared" si="89"/>
        <v>Q27-01</v>
      </c>
    </row>
    <row r="1893" spans="1:17" x14ac:dyDescent="0.25">
      <c r="A1893" t="s">
        <v>61</v>
      </c>
      <c r="B1893" t="s">
        <v>420</v>
      </c>
      <c r="C1893" t="s">
        <v>421</v>
      </c>
      <c r="D1893" t="s">
        <v>3819</v>
      </c>
      <c r="E1893" t="s">
        <v>3826</v>
      </c>
      <c r="F1893" s="1">
        <v>16</v>
      </c>
      <c r="G1893" s="1">
        <v>0</v>
      </c>
      <c r="H1893" t="s">
        <v>17</v>
      </c>
      <c r="I1893" t="s">
        <v>423</v>
      </c>
      <c r="J1893" t="s">
        <v>3821</v>
      </c>
      <c r="K1893" s="3">
        <v>46691</v>
      </c>
      <c r="L1893" t="s">
        <v>1722</v>
      </c>
      <c r="M1893">
        <v>0.156</v>
      </c>
      <c r="N1893">
        <v>1152</v>
      </c>
      <c r="O1893">
        <f t="shared" si="87"/>
        <v>2.496</v>
      </c>
      <c r="P1893">
        <f t="shared" si="88"/>
        <v>1.3888888888888888E-2</v>
      </c>
      <c r="Q1893" t="str">
        <f t="shared" si="89"/>
        <v>Q27-01</v>
      </c>
    </row>
    <row r="1894" spans="1:17" x14ac:dyDescent="0.25">
      <c r="A1894" t="s">
        <v>61</v>
      </c>
      <c r="B1894" t="s">
        <v>420</v>
      </c>
      <c r="C1894" t="s">
        <v>421</v>
      </c>
      <c r="D1894" t="s">
        <v>3819</v>
      </c>
      <c r="E1894" t="s">
        <v>3827</v>
      </c>
      <c r="F1894" s="1">
        <v>23</v>
      </c>
      <c r="G1894" s="1">
        <v>0</v>
      </c>
      <c r="H1894" t="s">
        <v>17</v>
      </c>
      <c r="I1894" t="s">
        <v>423</v>
      </c>
      <c r="J1894" t="s">
        <v>3821</v>
      </c>
      <c r="K1894" s="3">
        <v>46630</v>
      </c>
      <c r="L1894" t="s">
        <v>1202</v>
      </c>
      <c r="M1894">
        <v>0.156</v>
      </c>
      <c r="N1894">
        <v>1152</v>
      </c>
      <c r="O1894">
        <f t="shared" si="87"/>
        <v>3.5880000000000001</v>
      </c>
      <c r="P1894">
        <f t="shared" si="88"/>
        <v>1.9965277777777776E-2</v>
      </c>
      <c r="Q1894" t="str">
        <f t="shared" si="89"/>
        <v>Q27-01</v>
      </c>
    </row>
    <row r="1895" spans="1:17" x14ac:dyDescent="0.25">
      <c r="A1895" t="s">
        <v>61</v>
      </c>
      <c r="B1895" t="s">
        <v>420</v>
      </c>
      <c r="C1895" t="s">
        <v>421</v>
      </c>
      <c r="D1895" t="s">
        <v>3819</v>
      </c>
      <c r="E1895" t="s">
        <v>3828</v>
      </c>
      <c r="F1895" s="1">
        <v>1</v>
      </c>
      <c r="G1895" s="1">
        <v>0</v>
      </c>
      <c r="H1895" t="s">
        <v>17</v>
      </c>
      <c r="I1895" t="s">
        <v>423</v>
      </c>
      <c r="J1895" t="s">
        <v>3821</v>
      </c>
      <c r="K1895" s="3">
        <v>46630</v>
      </c>
      <c r="L1895" t="s">
        <v>1202</v>
      </c>
      <c r="M1895">
        <v>0.156</v>
      </c>
      <c r="N1895">
        <v>1152</v>
      </c>
      <c r="O1895">
        <f t="shared" si="87"/>
        <v>0.156</v>
      </c>
      <c r="P1895">
        <f t="shared" si="88"/>
        <v>8.6805555555555551E-4</v>
      </c>
      <c r="Q1895" t="str">
        <f t="shared" si="89"/>
        <v>Q27-01</v>
      </c>
    </row>
    <row r="1896" spans="1:17" x14ac:dyDescent="0.25">
      <c r="A1896" t="s">
        <v>61</v>
      </c>
      <c r="B1896" t="s">
        <v>420</v>
      </c>
      <c r="C1896" t="s">
        <v>421</v>
      </c>
      <c r="D1896" t="s">
        <v>3819</v>
      </c>
      <c r="E1896" t="s">
        <v>3829</v>
      </c>
      <c r="F1896" s="1">
        <v>3</v>
      </c>
      <c r="G1896" s="1">
        <v>0</v>
      </c>
      <c r="H1896" t="s">
        <v>17</v>
      </c>
      <c r="I1896" t="s">
        <v>423</v>
      </c>
      <c r="J1896" t="s">
        <v>3821</v>
      </c>
      <c r="K1896" s="3">
        <v>46356</v>
      </c>
      <c r="L1896" t="s">
        <v>660</v>
      </c>
      <c r="M1896">
        <v>0.156</v>
      </c>
      <c r="N1896">
        <v>1152</v>
      </c>
      <c r="O1896">
        <f t="shared" si="87"/>
        <v>0.46799999999999997</v>
      </c>
      <c r="P1896">
        <f t="shared" si="88"/>
        <v>2.6041666666666665E-3</v>
      </c>
      <c r="Q1896" t="str">
        <f t="shared" si="89"/>
        <v>Q27-01</v>
      </c>
    </row>
    <row r="1897" spans="1:17" x14ac:dyDescent="0.25">
      <c r="A1897" t="s">
        <v>61</v>
      </c>
      <c r="B1897" t="s">
        <v>352</v>
      </c>
      <c r="C1897" t="s">
        <v>353</v>
      </c>
      <c r="D1897" t="s">
        <v>3819</v>
      </c>
      <c r="E1897" t="s">
        <v>3830</v>
      </c>
      <c r="F1897" s="1">
        <v>1</v>
      </c>
      <c r="G1897" s="1">
        <v>0</v>
      </c>
      <c r="H1897" t="s">
        <v>17</v>
      </c>
      <c r="I1897" t="s">
        <v>355</v>
      </c>
      <c r="J1897" t="s">
        <v>3821</v>
      </c>
      <c r="K1897" s="3">
        <v>46599</v>
      </c>
      <c r="L1897" t="s">
        <v>3831</v>
      </c>
      <c r="M1897">
        <v>5.0999999999999997E-2</v>
      </c>
      <c r="N1897">
        <v>2880</v>
      </c>
      <c r="O1897">
        <f t="shared" si="87"/>
        <v>5.0999999999999997E-2</v>
      </c>
      <c r="P1897">
        <f t="shared" si="88"/>
        <v>3.4722222222222224E-4</v>
      </c>
      <c r="Q1897" t="str">
        <f t="shared" si="89"/>
        <v>Q27-01</v>
      </c>
    </row>
    <row r="1898" spans="1:17" x14ac:dyDescent="0.25">
      <c r="A1898" t="s">
        <v>61</v>
      </c>
      <c r="B1898" t="s">
        <v>352</v>
      </c>
      <c r="C1898" t="s">
        <v>353</v>
      </c>
      <c r="D1898" t="s">
        <v>3819</v>
      </c>
      <c r="E1898" t="s">
        <v>3832</v>
      </c>
      <c r="F1898" s="1">
        <v>1</v>
      </c>
      <c r="G1898" s="1">
        <v>0</v>
      </c>
      <c r="H1898" t="s">
        <v>17</v>
      </c>
      <c r="I1898" t="s">
        <v>355</v>
      </c>
      <c r="J1898" t="s">
        <v>3821</v>
      </c>
      <c r="K1898" s="3">
        <v>46599</v>
      </c>
      <c r="L1898" t="s">
        <v>3831</v>
      </c>
      <c r="M1898">
        <v>5.0999999999999997E-2</v>
      </c>
      <c r="N1898">
        <v>2880</v>
      </c>
      <c r="O1898">
        <f t="shared" si="87"/>
        <v>5.0999999999999997E-2</v>
      </c>
      <c r="P1898">
        <f t="shared" si="88"/>
        <v>3.4722222222222224E-4</v>
      </c>
      <c r="Q1898" t="str">
        <f t="shared" si="89"/>
        <v>Q27-01</v>
      </c>
    </row>
    <row r="1899" spans="1:17" x14ac:dyDescent="0.25">
      <c r="A1899" t="s">
        <v>61</v>
      </c>
      <c r="B1899" t="s">
        <v>352</v>
      </c>
      <c r="C1899" t="s">
        <v>353</v>
      </c>
      <c r="D1899" t="s">
        <v>3819</v>
      </c>
      <c r="E1899" t="s">
        <v>3833</v>
      </c>
      <c r="F1899" s="1">
        <v>1</v>
      </c>
      <c r="G1899" s="1">
        <v>0</v>
      </c>
      <c r="H1899" t="s">
        <v>17</v>
      </c>
      <c r="I1899" t="s">
        <v>355</v>
      </c>
      <c r="J1899" t="s">
        <v>3821</v>
      </c>
      <c r="K1899" s="3">
        <v>46599</v>
      </c>
      <c r="L1899" t="s">
        <v>3831</v>
      </c>
      <c r="M1899">
        <v>5.0999999999999997E-2</v>
      </c>
      <c r="N1899">
        <v>2880</v>
      </c>
      <c r="O1899">
        <f t="shared" si="87"/>
        <v>5.0999999999999997E-2</v>
      </c>
      <c r="P1899">
        <f t="shared" si="88"/>
        <v>3.4722222222222224E-4</v>
      </c>
      <c r="Q1899" t="str">
        <f t="shared" si="89"/>
        <v>Q27-01</v>
      </c>
    </row>
    <row r="1900" spans="1:17" x14ac:dyDescent="0.25">
      <c r="A1900" t="s">
        <v>61</v>
      </c>
      <c r="B1900" t="s">
        <v>309</v>
      </c>
      <c r="C1900" t="s">
        <v>310</v>
      </c>
      <c r="D1900" t="s">
        <v>3819</v>
      </c>
      <c r="E1900" t="s">
        <v>3834</v>
      </c>
      <c r="F1900" s="1">
        <v>1</v>
      </c>
      <c r="G1900" s="1">
        <v>0</v>
      </c>
      <c r="H1900" t="s">
        <v>17</v>
      </c>
      <c r="I1900" t="s">
        <v>312</v>
      </c>
      <c r="J1900" t="s">
        <v>3821</v>
      </c>
      <c r="K1900" s="3">
        <v>46418</v>
      </c>
      <c r="L1900" t="s">
        <v>3835</v>
      </c>
      <c r="M1900">
        <v>7.1999999999999995E-2</v>
      </c>
      <c r="N1900">
        <v>1920</v>
      </c>
      <c r="O1900">
        <f t="shared" si="87"/>
        <v>7.1999999999999995E-2</v>
      </c>
      <c r="P1900">
        <f t="shared" si="88"/>
        <v>5.2083333333333333E-4</v>
      </c>
      <c r="Q1900" t="str">
        <f t="shared" si="89"/>
        <v>Q27-01</v>
      </c>
    </row>
    <row r="1901" spans="1:17" x14ac:dyDescent="0.25">
      <c r="A1901" t="s">
        <v>61</v>
      </c>
      <c r="B1901" t="s">
        <v>309</v>
      </c>
      <c r="C1901" t="s">
        <v>310</v>
      </c>
      <c r="D1901" t="s">
        <v>3819</v>
      </c>
      <c r="E1901" t="s">
        <v>3836</v>
      </c>
      <c r="F1901" s="1">
        <v>1</v>
      </c>
      <c r="G1901" s="1">
        <v>0</v>
      </c>
      <c r="H1901" t="s">
        <v>17</v>
      </c>
      <c r="I1901" t="s">
        <v>312</v>
      </c>
      <c r="J1901" t="s">
        <v>3821</v>
      </c>
      <c r="K1901" s="3">
        <v>46356</v>
      </c>
      <c r="L1901" t="s">
        <v>1699</v>
      </c>
      <c r="M1901">
        <v>7.1999999999999995E-2</v>
      </c>
      <c r="N1901">
        <v>1920</v>
      </c>
      <c r="O1901">
        <f t="shared" si="87"/>
        <v>7.1999999999999995E-2</v>
      </c>
      <c r="P1901">
        <f t="shared" si="88"/>
        <v>5.2083333333333333E-4</v>
      </c>
      <c r="Q1901" t="str">
        <f t="shared" si="89"/>
        <v>Q27-01</v>
      </c>
    </row>
    <row r="1902" spans="1:17" x14ac:dyDescent="0.25">
      <c r="A1902" t="s">
        <v>61</v>
      </c>
      <c r="B1902" t="s">
        <v>456</v>
      </c>
      <c r="C1902" t="s">
        <v>457</v>
      </c>
      <c r="D1902" t="s">
        <v>3819</v>
      </c>
      <c r="E1902" t="s">
        <v>3837</v>
      </c>
      <c r="F1902" s="1">
        <v>1</v>
      </c>
      <c r="G1902" s="1">
        <v>0</v>
      </c>
      <c r="H1902" t="s">
        <v>17</v>
      </c>
      <c r="I1902" t="s">
        <v>459</v>
      </c>
      <c r="J1902" t="s">
        <v>3821</v>
      </c>
      <c r="K1902" s="3">
        <v>46599</v>
      </c>
      <c r="L1902" t="s">
        <v>2862</v>
      </c>
      <c r="M1902">
        <v>0.22600000000000001</v>
      </c>
      <c r="N1902">
        <v>1680</v>
      </c>
      <c r="O1902">
        <f t="shared" si="87"/>
        <v>0.22600000000000001</v>
      </c>
      <c r="P1902">
        <f t="shared" si="88"/>
        <v>5.9523809523809529E-4</v>
      </c>
      <c r="Q1902" t="str">
        <f t="shared" si="89"/>
        <v>Q27-01</v>
      </c>
    </row>
    <row r="1903" spans="1:17" x14ac:dyDescent="0.25">
      <c r="A1903" t="s">
        <v>61</v>
      </c>
      <c r="B1903" t="s">
        <v>456</v>
      </c>
      <c r="C1903" t="s">
        <v>457</v>
      </c>
      <c r="D1903" t="s">
        <v>3819</v>
      </c>
      <c r="E1903" t="s">
        <v>3838</v>
      </c>
      <c r="F1903" s="1">
        <v>1</v>
      </c>
      <c r="G1903" s="1">
        <v>0</v>
      </c>
      <c r="H1903" t="s">
        <v>17</v>
      </c>
      <c r="I1903" t="s">
        <v>459</v>
      </c>
      <c r="J1903" t="s">
        <v>3821</v>
      </c>
      <c r="K1903" s="3">
        <v>46538</v>
      </c>
      <c r="L1903" t="s">
        <v>2030</v>
      </c>
      <c r="M1903">
        <v>0.22600000000000001</v>
      </c>
      <c r="N1903">
        <v>1680</v>
      </c>
      <c r="O1903">
        <f t="shared" si="87"/>
        <v>0.22600000000000001</v>
      </c>
      <c r="P1903">
        <f t="shared" si="88"/>
        <v>5.9523809523809529E-4</v>
      </c>
      <c r="Q1903" t="str">
        <f t="shared" si="89"/>
        <v>Q27-01</v>
      </c>
    </row>
    <row r="1904" spans="1:17" x14ac:dyDescent="0.25">
      <c r="A1904" t="s">
        <v>61</v>
      </c>
      <c r="B1904" t="s">
        <v>456</v>
      </c>
      <c r="C1904" t="s">
        <v>457</v>
      </c>
      <c r="D1904" t="s">
        <v>3819</v>
      </c>
      <c r="E1904" t="s">
        <v>3839</v>
      </c>
      <c r="F1904" s="1">
        <v>2</v>
      </c>
      <c r="G1904" s="1">
        <v>0</v>
      </c>
      <c r="H1904" t="s">
        <v>17</v>
      </c>
      <c r="I1904" t="s">
        <v>459</v>
      </c>
      <c r="J1904" t="s">
        <v>3821</v>
      </c>
      <c r="K1904" s="3">
        <v>46538</v>
      </c>
      <c r="L1904" t="s">
        <v>2030</v>
      </c>
      <c r="M1904">
        <v>0.22600000000000001</v>
      </c>
      <c r="N1904">
        <v>1680</v>
      </c>
      <c r="O1904">
        <f t="shared" si="87"/>
        <v>0.45200000000000001</v>
      </c>
      <c r="P1904">
        <f t="shared" si="88"/>
        <v>1.1904761904761906E-3</v>
      </c>
      <c r="Q1904" t="str">
        <f t="shared" si="89"/>
        <v>Q27-01</v>
      </c>
    </row>
    <row r="1905" spans="1:17" x14ac:dyDescent="0.25">
      <c r="A1905" t="s">
        <v>61</v>
      </c>
      <c r="B1905" t="s">
        <v>456</v>
      </c>
      <c r="C1905" t="s">
        <v>457</v>
      </c>
      <c r="D1905" t="s">
        <v>3819</v>
      </c>
      <c r="E1905" t="s">
        <v>3840</v>
      </c>
      <c r="F1905" s="1">
        <v>2</v>
      </c>
      <c r="G1905" s="1">
        <v>0</v>
      </c>
      <c r="H1905" t="s">
        <v>17</v>
      </c>
      <c r="I1905" t="s">
        <v>459</v>
      </c>
      <c r="J1905" t="s">
        <v>3821</v>
      </c>
      <c r="K1905" s="3">
        <v>46477</v>
      </c>
      <c r="L1905" t="s">
        <v>1780</v>
      </c>
      <c r="M1905">
        <v>0.22600000000000001</v>
      </c>
      <c r="N1905">
        <v>1680</v>
      </c>
      <c r="O1905">
        <f t="shared" si="87"/>
        <v>0.45200000000000001</v>
      </c>
      <c r="P1905">
        <f t="shared" si="88"/>
        <v>1.1904761904761906E-3</v>
      </c>
      <c r="Q1905" t="str">
        <f t="shared" si="89"/>
        <v>Q27-01</v>
      </c>
    </row>
    <row r="1906" spans="1:17" x14ac:dyDescent="0.25">
      <c r="A1906" t="s">
        <v>61</v>
      </c>
      <c r="B1906" t="s">
        <v>456</v>
      </c>
      <c r="C1906" t="s">
        <v>457</v>
      </c>
      <c r="D1906" t="s">
        <v>3819</v>
      </c>
      <c r="E1906" t="s">
        <v>3841</v>
      </c>
      <c r="F1906" s="1">
        <v>3</v>
      </c>
      <c r="G1906" s="1">
        <v>0</v>
      </c>
      <c r="H1906" t="s">
        <v>17</v>
      </c>
      <c r="I1906" t="s">
        <v>459</v>
      </c>
      <c r="J1906" t="s">
        <v>3821</v>
      </c>
      <c r="K1906" s="3">
        <v>46446</v>
      </c>
      <c r="L1906" t="s">
        <v>1456</v>
      </c>
      <c r="M1906">
        <v>0.22600000000000001</v>
      </c>
      <c r="N1906">
        <v>1680</v>
      </c>
      <c r="O1906">
        <f t="shared" si="87"/>
        <v>0.67800000000000005</v>
      </c>
      <c r="P1906">
        <f t="shared" si="88"/>
        <v>1.7857142857142857E-3</v>
      </c>
      <c r="Q1906" t="str">
        <f t="shared" si="89"/>
        <v>Q27-01</v>
      </c>
    </row>
    <row r="1907" spans="1:17" x14ac:dyDescent="0.25">
      <c r="A1907" t="s">
        <v>61</v>
      </c>
      <c r="B1907" t="s">
        <v>456</v>
      </c>
      <c r="C1907" t="s">
        <v>457</v>
      </c>
      <c r="D1907" t="s">
        <v>3819</v>
      </c>
      <c r="E1907" t="s">
        <v>3842</v>
      </c>
      <c r="F1907" s="1">
        <v>4</v>
      </c>
      <c r="G1907" s="1">
        <v>0</v>
      </c>
      <c r="H1907" t="s">
        <v>17</v>
      </c>
      <c r="I1907" t="s">
        <v>459</v>
      </c>
      <c r="J1907" t="s">
        <v>3821</v>
      </c>
      <c r="K1907" s="3">
        <v>46387</v>
      </c>
      <c r="L1907" t="s">
        <v>1213</v>
      </c>
      <c r="M1907">
        <v>0.22600000000000001</v>
      </c>
      <c r="N1907">
        <v>1680</v>
      </c>
      <c r="O1907">
        <f t="shared" si="87"/>
        <v>0.90400000000000003</v>
      </c>
      <c r="P1907">
        <f t="shared" si="88"/>
        <v>2.3809523809523812E-3</v>
      </c>
      <c r="Q1907" t="str">
        <f t="shared" si="89"/>
        <v>Q27-01</v>
      </c>
    </row>
    <row r="1908" spans="1:17" x14ac:dyDescent="0.25">
      <c r="A1908" t="s">
        <v>61</v>
      </c>
      <c r="B1908" t="s">
        <v>456</v>
      </c>
      <c r="C1908" t="s">
        <v>457</v>
      </c>
      <c r="D1908" t="s">
        <v>3819</v>
      </c>
      <c r="E1908" t="s">
        <v>3843</v>
      </c>
      <c r="F1908" s="1">
        <v>2</v>
      </c>
      <c r="G1908" s="1">
        <v>0</v>
      </c>
      <c r="H1908" t="s">
        <v>17</v>
      </c>
      <c r="I1908" t="s">
        <v>459</v>
      </c>
      <c r="J1908" t="s">
        <v>3821</v>
      </c>
      <c r="K1908" s="3">
        <v>46387</v>
      </c>
      <c r="L1908" t="s">
        <v>1213</v>
      </c>
      <c r="M1908">
        <v>0.22600000000000001</v>
      </c>
      <c r="N1908">
        <v>1680</v>
      </c>
      <c r="O1908">
        <f t="shared" si="87"/>
        <v>0.45200000000000001</v>
      </c>
      <c r="P1908">
        <f t="shared" si="88"/>
        <v>1.1904761904761906E-3</v>
      </c>
      <c r="Q1908" t="str">
        <f t="shared" si="89"/>
        <v>Q27-01</v>
      </c>
    </row>
    <row r="1909" spans="1:17" x14ac:dyDescent="0.25">
      <c r="A1909" t="s">
        <v>61</v>
      </c>
      <c r="B1909" t="s">
        <v>456</v>
      </c>
      <c r="C1909" t="s">
        <v>457</v>
      </c>
      <c r="D1909" t="s">
        <v>3819</v>
      </c>
      <c r="E1909" t="s">
        <v>3844</v>
      </c>
      <c r="F1909" s="1">
        <v>4</v>
      </c>
      <c r="G1909" s="1">
        <v>0</v>
      </c>
      <c r="H1909" t="s">
        <v>17</v>
      </c>
      <c r="I1909" t="s">
        <v>459</v>
      </c>
      <c r="J1909" t="s">
        <v>3821</v>
      </c>
      <c r="K1909" s="3">
        <v>46295</v>
      </c>
      <c r="L1909" t="s">
        <v>946</v>
      </c>
      <c r="M1909">
        <v>0.22600000000000001</v>
      </c>
      <c r="N1909">
        <v>1680</v>
      </c>
      <c r="O1909">
        <f t="shared" si="87"/>
        <v>0.90400000000000003</v>
      </c>
      <c r="P1909">
        <f t="shared" si="88"/>
        <v>2.3809523809523812E-3</v>
      </c>
      <c r="Q1909" t="str">
        <f t="shared" si="89"/>
        <v>Q27-01</v>
      </c>
    </row>
    <row r="1910" spans="1:17" x14ac:dyDescent="0.25">
      <c r="A1910" t="s">
        <v>61</v>
      </c>
      <c r="B1910" t="s">
        <v>364</v>
      </c>
      <c r="C1910" t="s">
        <v>365</v>
      </c>
      <c r="D1910" t="s">
        <v>3819</v>
      </c>
      <c r="E1910" t="s">
        <v>3845</v>
      </c>
      <c r="F1910" s="1">
        <v>7</v>
      </c>
      <c r="G1910" s="1">
        <v>0</v>
      </c>
      <c r="H1910" t="s">
        <v>17</v>
      </c>
      <c r="I1910" t="s">
        <v>367</v>
      </c>
      <c r="J1910" t="s">
        <v>3821</v>
      </c>
      <c r="K1910" s="3">
        <v>46934</v>
      </c>
      <c r="L1910" t="s">
        <v>2620</v>
      </c>
      <c r="M1910">
        <v>0.158</v>
      </c>
      <c r="N1910">
        <v>1152</v>
      </c>
      <c r="O1910">
        <f t="shared" si="87"/>
        <v>1.1060000000000001</v>
      </c>
      <c r="P1910">
        <f t="shared" si="88"/>
        <v>6.076388888888889E-3</v>
      </c>
      <c r="Q1910" t="str">
        <f t="shared" si="89"/>
        <v>Q27-01</v>
      </c>
    </row>
    <row r="1911" spans="1:17" x14ac:dyDescent="0.25">
      <c r="A1911" t="s">
        <v>61</v>
      </c>
      <c r="B1911" t="s">
        <v>364</v>
      </c>
      <c r="C1911" t="s">
        <v>365</v>
      </c>
      <c r="D1911" t="s">
        <v>3819</v>
      </c>
      <c r="E1911" t="s">
        <v>3846</v>
      </c>
      <c r="F1911" s="1">
        <v>19</v>
      </c>
      <c r="G1911" s="1">
        <v>0</v>
      </c>
      <c r="H1911" t="s">
        <v>17</v>
      </c>
      <c r="I1911" t="s">
        <v>367</v>
      </c>
      <c r="J1911" t="s">
        <v>3821</v>
      </c>
      <c r="K1911" s="3">
        <v>46904</v>
      </c>
      <c r="L1911" t="s">
        <v>2591</v>
      </c>
      <c r="M1911">
        <v>0.158</v>
      </c>
      <c r="N1911">
        <v>1152</v>
      </c>
      <c r="O1911">
        <f t="shared" si="87"/>
        <v>3.0020000000000002</v>
      </c>
      <c r="P1911">
        <f t="shared" si="88"/>
        <v>1.6493055555555556E-2</v>
      </c>
      <c r="Q1911" t="str">
        <f t="shared" si="89"/>
        <v>Q27-01</v>
      </c>
    </row>
    <row r="1912" spans="1:17" x14ac:dyDescent="0.25">
      <c r="A1912" t="s">
        <v>61</v>
      </c>
      <c r="B1912" t="s">
        <v>364</v>
      </c>
      <c r="C1912" t="s">
        <v>365</v>
      </c>
      <c r="D1912" t="s">
        <v>3819</v>
      </c>
      <c r="E1912" t="s">
        <v>3847</v>
      </c>
      <c r="F1912" s="1">
        <v>11</v>
      </c>
      <c r="G1912" s="1">
        <v>0</v>
      </c>
      <c r="H1912" t="s">
        <v>17</v>
      </c>
      <c r="I1912" t="s">
        <v>367</v>
      </c>
      <c r="J1912" t="s">
        <v>3821</v>
      </c>
      <c r="K1912" s="3">
        <v>46904</v>
      </c>
      <c r="L1912" t="s">
        <v>2591</v>
      </c>
      <c r="M1912">
        <v>0.158</v>
      </c>
      <c r="N1912">
        <v>1152</v>
      </c>
      <c r="O1912">
        <f t="shared" si="87"/>
        <v>1.738</v>
      </c>
      <c r="P1912">
        <f t="shared" si="88"/>
        <v>9.5486111111111119E-3</v>
      </c>
      <c r="Q1912" t="str">
        <f t="shared" si="89"/>
        <v>Q27-01</v>
      </c>
    </row>
    <row r="1913" spans="1:17" x14ac:dyDescent="0.25">
      <c r="A1913" t="s">
        <v>61</v>
      </c>
      <c r="B1913" t="s">
        <v>364</v>
      </c>
      <c r="C1913" t="s">
        <v>365</v>
      </c>
      <c r="D1913" t="s">
        <v>3819</v>
      </c>
      <c r="E1913" t="s">
        <v>3848</v>
      </c>
      <c r="F1913" s="1">
        <v>17</v>
      </c>
      <c r="G1913" s="1">
        <v>0</v>
      </c>
      <c r="H1913" t="s">
        <v>17</v>
      </c>
      <c r="I1913" t="s">
        <v>367</v>
      </c>
      <c r="J1913" t="s">
        <v>3821</v>
      </c>
      <c r="K1913" s="3">
        <v>46752</v>
      </c>
      <c r="L1913" t="s">
        <v>1766</v>
      </c>
      <c r="M1913">
        <v>0.158</v>
      </c>
      <c r="N1913">
        <v>1152</v>
      </c>
      <c r="O1913">
        <f t="shared" si="87"/>
        <v>2.6859999999999999</v>
      </c>
      <c r="P1913">
        <f t="shared" si="88"/>
        <v>1.4756944444444444E-2</v>
      </c>
      <c r="Q1913" t="str">
        <f t="shared" si="89"/>
        <v>Q27-01</v>
      </c>
    </row>
    <row r="1914" spans="1:17" x14ac:dyDescent="0.25">
      <c r="A1914" t="s">
        <v>61</v>
      </c>
      <c r="B1914" t="s">
        <v>364</v>
      </c>
      <c r="C1914" t="s">
        <v>365</v>
      </c>
      <c r="D1914" t="s">
        <v>3819</v>
      </c>
      <c r="E1914" t="s">
        <v>3849</v>
      </c>
      <c r="F1914" s="1">
        <v>15</v>
      </c>
      <c r="G1914" s="1">
        <v>0</v>
      </c>
      <c r="H1914" t="s">
        <v>17</v>
      </c>
      <c r="I1914" t="s">
        <v>367</v>
      </c>
      <c r="J1914" t="s">
        <v>3821</v>
      </c>
      <c r="K1914" s="3">
        <v>46752</v>
      </c>
      <c r="L1914" t="s">
        <v>1766</v>
      </c>
      <c r="M1914">
        <v>0.158</v>
      </c>
      <c r="N1914">
        <v>1152</v>
      </c>
      <c r="O1914">
        <f t="shared" si="87"/>
        <v>2.37</v>
      </c>
      <c r="P1914">
        <f t="shared" si="88"/>
        <v>1.3020833333333334E-2</v>
      </c>
      <c r="Q1914" t="str">
        <f t="shared" si="89"/>
        <v>Q27-01</v>
      </c>
    </row>
    <row r="1915" spans="1:17" x14ac:dyDescent="0.25">
      <c r="A1915" t="s">
        <v>61</v>
      </c>
      <c r="B1915" t="s">
        <v>364</v>
      </c>
      <c r="C1915" t="s">
        <v>365</v>
      </c>
      <c r="D1915" t="s">
        <v>3819</v>
      </c>
      <c r="E1915" t="s">
        <v>3850</v>
      </c>
      <c r="F1915" s="1">
        <v>25</v>
      </c>
      <c r="G1915" s="1">
        <v>0</v>
      </c>
      <c r="H1915" t="s">
        <v>17</v>
      </c>
      <c r="I1915" t="s">
        <v>367</v>
      </c>
      <c r="J1915" t="s">
        <v>3821</v>
      </c>
      <c r="K1915" s="3">
        <v>46752</v>
      </c>
      <c r="L1915" t="s">
        <v>1766</v>
      </c>
      <c r="M1915">
        <v>0.158</v>
      </c>
      <c r="N1915">
        <v>1152</v>
      </c>
      <c r="O1915">
        <f t="shared" si="87"/>
        <v>3.95</v>
      </c>
      <c r="P1915">
        <f t="shared" si="88"/>
        <v>2.1701388888888888E-2</v>
      </c>
      <c r="Q1915" t="str">
        <f t="shared" si="89"/>
        <v>Q27-01</v>
      </c>
    </row>
    <row r="1916" spans="1:17" x14ac:dyDescent="0.25">
      <c r="A1916" t="s">
        <v>61</v>
      </c>
      <c r="B1916" t="s">
        <v>364</v>
      </c>
      <c r="C1916" t="s">
        <v>365</v>
      </c>
      <c r="D1916" t="s">
        <v>3819</v>
      </c>
      <c r="E1916" t="s">
        <v>3851</v>
      </c>
      <c r="F1916" s="1">
        <v>1</v>
      </c>
      <c r="G1916" s="1">
        <v>0</v>
      </c>
      <c r="H1916" t="s">
        <v>17</v>
      </c>
      <c r="I1916" t="s">
        <v>367</v>
      </c>
      <c r="J1916" t="s">
        <v>3821</v>
      </c>
      <c r="K1916" s="3">
        <v>46752</v>
      </c>
      <c r="L1916" t="s">
        <v>1766</v>
      </c>
      <c r="M1916">
        <v>0.158</v>
      </c>
      <c r="N1916">
        <v>1152</v>
      </c>
      <c r="O1916">
        <f t="shared" si="87"/>
        <v>0.158</v>
      </c>
      <c r="P1916">
        <f t="shared" si="88"/>
        <v>8.6805555555555551E-4</v>
      </c>
      <c r="Q1916" t="str">
        <f t="shared" si="89"/>
        <v>Q27-01</v>
      </c>
    </row>
    <row r="1917" spans="1:17" x14ac:dyDescent="0.25">
      <c r="A1917" t="s">
        <v>61</v>
      </c>
      <c r="B1917" t="s">
        <v>364</v>
      </c>
      <c r="C1917" t="s">
        <v>365</v>
      </c>
      <c r="D1917" t="s">
        <v>3819</v>
      </c>
      <c r="E1917" t="s">
        <v>3852</v>
      </c>
      <c r="F1917" s="1">
        <v>22</v>
      </c>
      <c r="G1917" s="1">
        <v>0</v>
      </c>
      <c r="H1917" t="s">
        <v>17</v>
      </c>
      <c r="I1917" t="s">
        <v>367</v>
      </c>
      <c r="J1917" t="s">
        <v>3821</v>
      </c>
      <c r="K1917" s="3">
        <v>46812</v>
      </c>
      <c r="L1917" t="s">
        <v>1904</v>
      </c>
      <c r="M1917">
        <v>0.158</v>
      </c>
      <c r="N1917">
        <v>1152</v>
      </c>
      <c r="O1917">
        <f t="shared" si="87"/>
        <v>3.476</v>
      </c>
      <c r="P1917">
        <f t="shared" si="88"/>
        <v>1.9097222222222224E-2</v>
      </c>
      <c r="Q1917" t="str">
        <f t="shared" si="89"/>
        <v>Q27-01</v>
      </c>
    </row>
    <row r="1918" spans="1:17" x14ac:dyDescent="0.25">
      <c r="A1918" t="s">
        <v>61</v>
      </c>
      <c r="B1918" t="s">
        <v>364</v>
      </c>
      <c r="C1918" t="s">
        <v>365</v>
      </c>
      <c r="D1918" t="s">
        <v>3819</v>
      </c>
      <c r="E1918" t="s">
        <v>3853</v>
      </c>
      <c r="F1918" s="1">
        <v>19</v>
      </c>
      <c r="G1918" s="1">
        <v>0</v>
      </c>
      <c r="H1918" t="s">
        <v>17</v>
      </c>
      <c r="I1918" t="s">
        <v>367</v>
      </c>
      <c r="J1918" t="s">
        <v>3821</v>
      </c>
      <c r="K1918" s="3">
        <v>46721</v>
      </c>
      <c r="L1918" t="s">
        <v>1191</v>
      </c>
      <c r="M1918">
        <v>0.158</v>
      </c>
      <c r="N1918">
        <v>1152</v>
      </c>
      <c r="O1918">
        <f t="shared" si="87"/>
        <v>3.0020000000000002</v>
      </c>
      <c r="P1918">
        <f t="shared" si="88"/>
        <v>1.6493055555555556E-2</v>
      </c>
      <c r="Q1918" t="str">
        <f t="shared" si="89"/>
        <v>Q27-01</v>
      </c>
    </row>
    <row r="1919" spans="1:17" x14ac:dyDescent="0.25">
      <c r="A1919" t="s">
        <v>61</v>
      </c>
      <c r="B1919" t="s">
        <v>364</v>
      </c>
      <c r="C1919" t="s">
        <v>365</v>
      </c>
      <c r="D1919" t="s">
        <v>3819</v>
      </c>
      <c r="E1919" t="s">
        <v>3854</v>
      </c>
      <c r="F1919" s="1">
        <v>1</v>
      </c>
      <c r="G1919" s="1">
        <v>0</v>
      </c>
      <c r="H1919" t="s">
        <v>17</v>
      </c>
      <c r="I1919" t="s">
        <v>367</v>
      </c>
      <c r="J1919" t="s">
        <v>3821</v>
      </c>
      <c r="K1919" s="3">
        <v>46356</v>
      </c>
      <c r="L1919" t="s">
        <v>419</v>
      </c>
      <c r="M1919">
        <v>0.158</v>
      </c>
      <c r="N1919">
        <v>1152</v>
      </c>
      <c r="O1919">
        <f t="shared" si="87"/>
        <v>0.158</v>
      </c>
      <c r="P1919">
        <f t="shared" si="88"/>
        <v>8.6805555555555551E-4</v>
      </c>
      <c r="Q1919" t="str">
        <f t="shared" si="89"/>
        <v>Q27-01</v>
      </c>
    </row>
    <row r="1920" spans="1:17" x14ac:dyDescent="0.25">
      <c r="A1920" t="s">
        <v>61</v>
      </c>
      <c r="B1920" t="s">
        <v>891</v>
      </c>
      <c r="C1920" t="s">
        <v>892</v>
      </c>
      <c r="D1920" t="s">
        <v>3819</v>
      </c>
      <c r="E1920" t="s">
        <v>3855</v>
      </c>
      <c r="F1920" s="1">
        <v>3</v>
      </c>
      <c r="G1920" s="1">
        <v>0</v>
      </c>
      <c r="H1920" t="s">
        <v>17</v>
      </c>
      <c r="I1920" t="s">
        <v>894</v>
      </c>
      <c r="J1920" t="s">
        <v>3821</v>
      </c>
      <c r="K1920" s="3">
        <v>46599</v>
      </c>
      <c r="L1920" t="s">
        <v>2246</v>
      </c>
      <c r="M1920">
        <v>0.312</v>
      </c>
      <c r="N1920">
        <v>1680</v>
      </c>
      <c r="O1920">
        <f t="shared" si="87"/>
        <v>0.93599999999999994</v>
      </c>
      <c r="P1920">
        <f t="shared" si="88"/>
        <v>1.7857142857142857E-3</v>
      </c>
      <c r="Q1920" t="str">
        <f t="shared" si="89"/>
        <v>Q27-01</v>
      </c>
    </row>
    <row r="1921" spans="1:17" x14ac:dyDescent="0.25">
      <c r="A1921" t="s">
        <v>61</v>
      </c>
      <c r="B1921" t="s">
        <v>891</v>
      </c>
      <c r="C1921" t="s">
        <v>892</v>
      </c>
      <c r="D1921" t="s">
        <v>3819</v>
      </c>
      <c r="E1921" t="s">
        <v>3856</v>
      </c>
      <c r="F1921" s="1">
        <v>1</v>
      </c>
      <c r="G1921" s="1">
        <v>0</v>
      </c>
      <c r="H1921" t="s">
        <v>17</v>
      </c>
      <c r="I1921" t="s">
        <v>894</v>
      </c>
      <c r="J1921" t="s">
        <v>3821</v>
      </c>
      <c r="K1921" s="3">
        <v>46418</v>
      </c>
      <c r="L1921" t="s">
        <v>1180</v>
      </c>
      <c r="M1921">
        <v>0.312</v>
      </c>
      <c r="N1921">
        <v>1680</v>
      </c>
      <c r="O1921">
        <f t="shared" si="87"/>
        <v>0.312</v>
      </c>
      <c r="P1921">
        <f t="shared" si="88"/>
        <v>5.9523809523809529E-4</v>
      </c>
      <c r="Q1921" t="str">
        <f t="shared" si="89"/>
        <v>Q27-01</v>
      </c>
    </row>
    <row r="1922" spans="1:17" x14ac:dyDescent="0.25">
      <c r="A1922" t="s">
        <v>61</v>
      </c>
      <c r="B1922" t="s">
        <v>891</v>
      </c>
      <c r="C1922" t="s">
        <v>892</v>
      </c>
      <c r="D1922" t="s">
        <v>3819</v>
      </c>
      <c r="E1922" t="s">
        <v>3857</v>
      </c>
      <c r="F1922" s="1">
        <v>1</v>
      </c>
      <c r="G1922" s="1">
        <v>0</v>
      </c>
      <c r="H1922" t="s">
        <v>17</v>
      </c>
      <c r="I1922" t="s">
        <v>894</v>
      </c>
      <c r="J1922" t="s">
        <v>3821</v>
      </c>
      <c r="K1922" s="3">
        <v>46418</v>
      </c>
      <c r="L1922" t="s">
        <v>1180</v>
      </c>
      <c r="M1922">
        <v>0.312</v>
      </c>
      <c r="N1922">
        <v>1680</v>
      </c>
      <c r="O1922">
        <f t="shared" si="87"/>
        <v>0.312</v>
      </c>
      <c r="P1922">
        <f t="shared" si="88"/>
        <v>5.9523809523809529E-4</v>
      </c>
      <c r="Q1922" t="str">
        <f t="shared" si="89"/>
        <v>Q27-01</v>
      </c>
    </row>
    <row r="1923" spans="1:17" x14ac:dyDescent="0.25">
      <c r="A1923" t="s">
        <v>61</v>
      </c>
      <c r="B1923" t="s">
        <v>166</v>
      </c>
      <c r="C1923" t="s">
        <v>167</v>
      </c>
      <c r="D1923" t="s">
        <v>3819</v>
      </c>
      <c r="E1923" t="s">
        <v>3858</v>
      </c>
      <c r="F1923" s="1">
        <v>2</v>
      </c>
      <c r="G1923" s="1">
        <v>0</v>
      </c>
      <c r="H1923" t="s">
        <v>17</v>
      </c>
      <c r="I1923" t="s">
        <v>170</v>
      </c>
      <c r="J1923" t="s">
        <v>3821</v>
      </c>
      <c r="K1923" s="3">
        <v>46660</v>
      </c>
      <c r="L1923" t="s">
        <v>1343</v>
      </c>
      <c r="M1923">
        <v>9.2999999999999999E-2</v>
      </c>
      <c r="N1923">
        <v>1536</v>
      </c>
      <c r="O1923">
        <f t="shared" ref="O1923:O1975" si="90">F1923*M1923</f>
        <v>0.186</v>
      </c>
      <c r="P1923">
        <f t="shared" ref="P1923:P1975" si="91">F1923/N1923</f>
        <v>1.3020833333333333E-3</v>
      </c>
      <c r="Q1923" t="str">
        <f t="shared" ref="Q1923:Q1975" si="92">LEFT(D1923,6)</f>
        <v>Q27-01</v>
      </c>
    </row>
    <row r="1924" spans="1:17" x14ac:dyDescent="0.25">
      <c r="A1924" t="s">
        <v>61</v>
      </c>
      <c r="B1924" t="s">
        <v>166</v>
      </c>
      <c r="C1924" t="s">
        <v>167</v>
      </c>
      <c r="D1924" t="s">
        <v>3819</v>
      </c>
      <c r="E1924" t="s">
        <v>3859</v>
      </c>
      <c r="F1924" s="1">
        <v>3</v>
      </c>
      <c r="G1924" s="1">
        <v>0</v>
      </c>
      <c r="H1924" t="s">
        <v>17</v>
      </c>
      <c r="I1924" t="s">
        <v>170</v>
      </c>
      <c r="J1924" t="s">
        <v>3821</v>
      </c>
      <c r="K1924" s="3">
        <v>46446</v>
      </c>
      <c r="L1924" t="s">
        <v>907</v>
      </c>
      <c r="M1924">
        <v>9.2999999999999999E-2</v>
      </c>
      <c r="N1924">
        <v>1536</v>
      </c>
      <c r="O1924">
        <f t="shared" si="90"/>
        <v>0.27900000000000003</v>
      </c>
      <c r="P1924">
        <f t="shared" si="91"/>
        <v>1.953125E-3</v>
      </c>
      <c r="Q1924" t="str">
        <f t="shared" si="92"/>
        <v>Q27-01</v>
      </c>
    </row>
    <row r="1925" spans="1:17" x14ac:dyDescent="0.25">
      <c r="A1925" t="s">
        <v>61</v>
      </c>
      <c r="B1925" t="s">
        <v>166</v>
      </c>
      <c r="C1925" t="s">
        <v>167</v>
      </c>
      <c r="D1925" t="s">
        <v>3819</v>
      </c>
      <c r="E1925" t="s">
        <v>3860</v>
      </c>
      <c r="F1925" s="1">
        <v>2</v>
      </c>
      <c r="G1925" s="1">
        <v>0</v>
      </c>
      <c r="H1925" t="s">
        <v>17</v>
      </c>
      <c r="I1925" t="s">
        <v>170</v>
      </c>
      <c r="J1925" t="s">
        <v>3821</v>
      </c>
      <c r="K1925" s="3">
        <v>46446</v>
      </c>
      <c r="L1925" t="s">
        <v>907</v>
      </c>
      <c r="M1925">
        <v>9.2999999999999999E-2</v>
      </c>
      <c r="N1925">
        <v>1536</v>
      </c>
      <c r="O1925">
        <f t="shared" si="90"/>
        <v>0.186</v>
      </c>
      <c r="P1925">
        <f t="shared" si="91"/>
        <v>1.3020833333333333E-3</v>
      </c>
      <c r="Q1925" t="str">
        <f t="shared" si="92"/>
        <v>Q27-01</v>
      </c>
    </row>
    <row r="1926" spans="1:17" x14ac:dyDescent="0.25">
      <c r="A1926" t="s">
        <v>61</v>
      </c>
      <c r="B1926" t="s">
        <v>225</v>
      </c>
      <c r="C1926" t="s">
        <v>226</v>
      </c>
      <c r="D1926" t="s">
        <v>3819</v>
      </c>
      <c r="E1926" t="s">
        <v>3861</v>
      </c>
      <c r="F1926" s="1">
        <v>1</v>
      </c>
      <c r="G1926" s="1">
        <v>0</v>
      </c>
      <c r="H1926" t="s">
        <v>17</v>
      </c>
      <c r="I1926" t="s">
        <v>228</v>
      </c>
      <c r="J1926" t="s">
        <v>3821</v>
      </c>
      <c r="K1926" s="3">
        <v>46783</v>
      </c>
      <c r="L1926" t="s">
        <v>1717</v>
      </c>
      <c r="M1926">
        <v>5.8000000000000003E-2</v>
      </c>
      <c r="N1926">
        <v>2880</v>
      </c>
      <c r="O1926">
        <f t="shared" si="90"/>
        <v>5.8000000000000003E-2</v>
      </c>
      <c r="P1926">
        <f t="shared" si="91"/>
        <v>3.4722222222222224E-4</v>
      </c>
      <c r="Q1926" t="str">
        <f t="shared" si="92"/>
        <v>Q27-01</v>
      </c>
    </row>
    <row r="1927" spans="1:17" x14ac:dyDescent="0.25">
      <c r="A1927" t="s">
        <v>61</v>
      </c>
      <c r="B1927" t="s">
        <v>275</v>
      </c>
      <c r="C1927" t="s">
        <v>276</v>
      </c>
      <c r="D1927" t="s">
        <v>3819</v>
      </c>
      <c r="E1927" t="s">
        <v>3862</v>
      </c>
      <c r="F1927" s="1">
        <v>4</v>
      </c>
      <c r="G1927" s="1">
        <v>0</v>
      </c>
      <c r="H1927" t="s">
        <v>17</v>
      </c>
      <c r="I1927" t="s">
        <v>278</v>
      </c>
      <c r="J1927" t="s">
        <v>3821</v>
      </c>
      <c r="K1927" s="3">
        <v>46660</v>
      </c>
      <c r="L1927" t="s">
        <v>3863</v>
      </c>
      <c r="M1927">
        <v>4.8000000000000001E-2</v>
      </c>
      <c r="N1927">
        <v>2880</v>
      </c>
      <c r="O1927">
        <f t="shared" si="90"/>
        <v>0.192</v>
      </c>
      <c r="P1927">
        <f t="shared" si="91"/>
        <v>1.3888888888888889E-3</v>
      </c>
      <c r="Q1927" t="str">
        <f t="shared" si="92"/>
        <v>Q27-01</v>
      </c>
    </row>
    <row r="1928" spans="1:17" x14ac:dyDescent="0.25">
      <c r="A1928" t="s">
        <v>61</v>
      </c>
      <c r="B1928" t="s">
        <v>1701</v>
      </c>
      <c r="C1928" t="s">
        <v>1702</v>
      </c>
      <c r="D1928" t="s">
        <v>3819</v>
      </c>
      <c r="E1928" t="s">
        <v>3864</v>
      </c>
      <c r="F1928" s="1">
        <v>1</v>
      </c>
      <c r="G1928" s="1">
        <v>0</v>
      </c>
      <c r="H1928" t="s">
        <v>17</v>
      </c>
      <c r="I1928" t="s">
        <v>1704</v>
      </c>
      <c r="J1928" t="s">
        <v>3821</v>
      </c>
      <c r="K1928" s="3">
        <v>46507</v>
      </c>
      <c r="L1928" t="s">
        <v>1705</v>
      </c>
      <c r="M1928">
        <v>6.0999999999999999E-2</v>
      </c>
      <c r="N1928">
        <v>2688</v>
      </c>
      <c r="O1928">
        <f t="shared" si="90"/>
        <v>6.0999999999999999E-2</v>
      </c>
      <c r="P1928">
        <f t="shared" si="91"/>
        <v>3.720238095238095E-4</v>
      </c>
      <c r="Q1928" t="str">
        <f t="shared" si="92"/>
        <v>Q27-01</v>
      </c>
    </row>
    <row r="1929" spans="1:17" x14ac:dyDescent="0.25">
      <c r="A1929" t="s">
        <v>61</v>
      </c>
      <c r="B1929" t="s">
        <v>233</v>
      </c>
      <c r="C1929" t="s">
        <v>234</v>
      </c>
      <c r="D1929" t="s">
        <v>3819</v>
      </c>
      <c r="E1929" t="s">
        <v>3865</v>
      </c>
      <c r="F1929" s="1">
        <v>1</v>
      </c>
      <c r="G1929" s="1">
        <v>0</v>
      </c>
      <c r="H1929" t="s">
        <v>17</v>
      </c>
      <c r="I1929" t="s">
        <v>236</v>
      </c>
      <c r="J1929" t="s">
        <v>3821</v>
      </c>
      <c r="K1929" s="3">
        <v>47391</v>
      </c>
      <c r="L1929" t="s">
        <v>2980</v>
      </c>
      <c r="M1929">
        <v>7.4999999999999997E-2</v>
      </c>
      <c r="N1929">
        <v>2688</v>
      </c>
      <c r="O1929">
        <f t="shared" si="90"/>
        <v>7.4999999999999997E-2</v>
      </c>
      <c r="P1929">
        <f t="shared" si="91"/>
        <v>3.720238095238095E-4</v>
      </c>
      <c r="Q1929" t="str">
        <f t="shared" si="92"/>
        <v>Q27-01</v>
      </c>
    </row>
    <row r="1930" spans="1:17" x14ac:dyDescent="0.25">
      <c r="A1930" t="s">
        <v>61</v>
      </c>
      <c r="B1930" t="s">
        <v>233</v>
      </c>
      <c r="C1930" t="s">
        <v>234</v>
      </c>
      <c r="D1930" t="s">
        <v>3819</v>
      </c>
      <c r="E1930" t="s">
        <v>3866</v>
      </c>
      <c r="F1930" s="1">
        <v>2</v>
      </c>
      <c r="G1930" s="1">
        <v>0</v>
      </c>
      <c r="H1930" t="s">
        <v>17</v>
      </c>
      <c r="I1930" t="s">
        <v>236</v>
      </c>
      <c r="J1930" t="s">
        <v>3821</v>
      </c>
      <c r="K1930" s="3">
        <v>47057</v>
      </c>
      <c r="L1930" t="s">
        <v>1156</v>
      </c>
      <c r="M1930">
        <v>7.4999999999999997E-2</v>
      </c>
      <c r="N1930">
        <v>2688</v>
      </c>
      <c r="O1930">
        <f t="shared" si="90"/>
        <v>0.15</v>
      </c>
      <c r="P1930">
        <f t="shared" si="91"/>
        <v>7.4404761904761901E-4</v>
      </c>
      <c r="Q1930" t="str">
        <f t="shared" si="92"/>
        <v>Q27-01</v>
      </c>
    </row>
    <row r="1931" spans="1:17" x14ac:dyDescent="0.25">
      <c r="A1931" t="s">
        <v>61</v>
      </c>
      <c r="B1931" t="s">
        <v>233</v>
      </c>
      <c r="C1931" t="s">
        <v>234</v>
      </c>
      <c r="D1931" t="s">
        <v>3819</v>
      </c>
      <c r="E1931" t="s">
        <v>3867</v>
      </c>
      <c r="F1931" s="1">
        <v>1</v>
      </c>
      <c r="G1931" s="1">
        <v>0</v>
      </c>
      <c r="H1931" t="s">
        <v>17</v>
      </c>
      <c r="I1931" t="s">
        <v>236</v>
      </c>
      <c r="J1931" t="s">
        <v>3821</v>
      </c>
      <c r="K1931" s="3">
        <v>47057</v>
      </c>
      <c r="L1931" t="s">
        <v>1156</v>
      </c>
      <c r="M1931">
        <v>7.4999999999999997E-2</v>
      </c>
      <c r="N1931">
        <v>2688</v>
      </c>
      <c r="O1931">
        <f t="shared" si="90"/>
        <v>7.4999999999999997E-2</v>
      </c>
      <c r="P1931">
        <f t="shared" si="91"/>
        <v>3.720238095238095E-4</v>
      </c>
      <c r="Q1931" t="str">
        <f t="shared" si="92"/>
        <v>Q27-01</v>
      </c>
    </row>
    <row r="1932" spans="1:17" x14ac:dyDescent="0.25">
      <c r="A1932" t="s">
        <v>61</v>
      </c>
      <c r="B1932" t="s">
        <v>233</v>
      </c>
      <c r="C1932" t="s">
        <v>234</v>
      </c>
      <c r="D1932" t="s">
        <v>3819</v>
      </c>
      <c r="E1932" t="s">
        <v>3868</v>
      </c>
      <c r="F1932" s="1">
        <v>1</v>
      </c>
      <c r="G1932" s="1">
        <v>0</v>
      </c>
      <c r="H1932" t="s">
        <v>17</v>
      </c>
      <c r="I1932" t="s">
        <v>236</v>
      </c>
      <c r="J1932" t="s">
        <v>3821</v>
      </c>
      <c r="K1932" s="3">
        <v>47057</v>
      </c>
      <c r="L1932" t="s">
        <v>1154</v>
      </c>
      <c r="M1932">
        <v>7.4999999999999997E-2</v>
      </c>
      <c r="N1932">
        <v>2688</v>
      </c>
      <c r="O1932">
        <f t="shared" si="90"/>
        <v>7.4999999999999997E-2</v>
      </c>
      <c r="P1932">
        <f t="shared" si="91"/>
        <v>3.720238095238095E-4</v>
      </c>
      <c r="Q1932" t="str">
        <f t="shared" si="92"/>
        <v>Q27-01</v>
      </c>
    </row>
    <row r="1933" spans="1:17" x14ac:dyDescent="0.25">
      <c r="A1933" t="s">
        <v>61</v>
      </c>
      <c r="B1933" t="s">
        <v>317</v>
      </c>
      <c r="C1933" t="s">
        <v>318</v>
      </c>
      <c r="D1933" t="s">
        <v>3819</v>
      </c>
      <c r="E1933" t="s">
        <v>3869</v>
      </c>
      <c r="F1933" s="1">
        <v>3</v>
      </c>
      <c r="G1933" s="1">
        <v>0</v>
      </c>
      <c r="H1933" t="s">
        <v>17</v>
      </c>
      <c r="I1933" t="s">
        <v>320</v>
      </c>
      <c r="J1933" t="s">
        <v>3821</v>
      </c>
      <c r="K1933" s="3">
        <v>46752</v>
      </c>
      <c r="L1933" t="s">
        <v>1790</v>
      </c>
      <c r="M1933">
        <v>0.04</v>
      </c>
      <c r="N1933">
        <v>2688</v>
      </c>
      <c r="O1933">
        <f t="shared" si="90"/>
        <v>0.12</v>
      </c>
      <c r="P1933">
        <f t="shared" si="91"/>
        <v>1.1160714285714285E-3</v>
      </c>
      <c r="Q1933" t="str">
        <f t="shared" si="92"/>
        <v>Q27-01</v>
      </c>
    </row>
    <row r="1934" spans="1:17" x14ac:dyDescent="0.25">
      <c r="A1934" t="s">
        <v>61</v>
      </c>
      <c r="B1934" t="s">
        <v>317</v>
      </c>
      <c r="C1934" t="s">
        <v>318</v>
      </c>
      <c r="D1934" t="s">
        <v>3819</v>
      </c>
      <c r="E1934" t="s">
        <v>3870</v>
      </c>
      <c r="F1934" s="1">
        <v>3</v>
      </c>
      <c r="G1934" s="1">
        <v>0</v>
      </c>
      <c r="H1934" t="s">
        <v>17</v>
      </c>
      <c r="I1934" t="s">
        <v>320</v>
      </c>
      <c r="J1934" t="s">
        <v>3821</v>
      </c>
      <c r="K1934" s="3">
        <v>46752</v>
      </c>
      <c r="L1934" t="s">
        <v>1790</v>
      </c>
      <c r="M1934">
        <v>0.04</v>
      </c>
      <c r="N1934">
        <v>2688</v>
      </c>
      <c r="O1934">
        <f t="shared" si="90"/>
        <v>0.12</v>
      </c>
      <c r="P1934">
        <f t="shared" si="91"/>
        <v>1.1160714285714285E-3</v>
      </c>
      <c r="Q1934" t="str">
        <f t="shared" si="92"/>
        <v>Q27-01</v>
      </c>
    </row>
    <row r="1935" spans="1:17" x14ac:dyDescent="0.25">
      <c r="A1935" t="s">
        <v>61</v>
      </c>
      <c r="B1935" t="s">
        <v>317</v>
      </c>
      <c r="C1935" t="s">
        <v>318</v>
      </c>
      <c r="D1935" t="s">
        <v>3819</v>
      </c>
      <c r="E1935" t="s">
        <v>3871</v>
      </c>
      <c r="F1935" s="1">
        <v>7</v>
      </c>
      <c r="G1935" s="1">
        <v>0</v>
      </c>
      <c r="H1935" t="s">
        <v>17</v>
      </c>
      <c r="I1935" t="s">
        <v>320</v>
      </c>
      <c r="J1935" t="s">
        <v>3821</v>
      </c>
      <c r="K1935" s="3">
        <v>46721</v>
      </c>
      <c r="L1935" t="s">
        <v>1636</v>
      </c>
      <c r="M1935">
        <v>0.04</v>
      </c>
      <c r="N1935">
        <v>2688</v>
      </c>
      <c r="O1935">
        <f t="shared" si="90"/>
        <v>0.28000000000000003</v>
      </c>
      <c r="P1935">
        <f t="shared" si="91"/>
        <v>2.6041666666666665E-3</v>
      </c>
      <c r="Q1935" t="str">
        <f t="shared" si="92"/>
        <v>Q27-01</v>
      </c>
    </row>
    <row r="1936" spans="1:17" x14ac:dyDescent="0.25">
      <c r="A1936" t="s">
        <v>61</v>
      </c>
      <c r="B1936" t="s">
        <v>317</v>
      </c>
      <c r="C1936" t="s">
        <v>318</v>
      </c>
      <c r="D1936" t="s">
        <v>3819</v>
      </c>
      <c r="E1936" t="s">
        <v>3872</v>
      </c>
      <c r="F1936" s="1">
        <v>4</v>
      </c>
      <c r="G1936" s="1">
        <v>0</v>
      </c>
      <c r="H1936" t="s">
        <v>17</v>
      </c>
      <c r="I1936" t="s">
        <v>320</v>
      </c>
      <c r="J1936" t="s">
        <v>3821</v>
      </c>
      <c r="K1936" s="3">
        <v>46721</v>
      </c>
      <c r="L1936" t="s">
        <v>1636</v>
      </c>
      <c r="M1936">
        <v>0.04</v>
      </c>
      <c r="N1936">
        <v>2688</v>
      </c>
      <c r="O1936">
        <f t="shared" si="90"/>
        <v>0.16</v>
      </c>
      <c r="P1936">
        <f t="shared" si="91"/>
        <v>1.488095238095238E-3</v>
      </c>
      <c r="Q1936" t="str">
        <f t="shared" si="92"/>
        <v>Q27-01</v>
      </c>
    </row>
    <row r="1937" spans="1:17" x14ac:dyDescent="0.25">
      <c r="A1937" t="s">
        <v>61</v>
      </c>
      <c r="B1937" t="s">
        <v>317</v>
      </c>
      <c r="C1937" t="s">
        <v>318</v>
      </c>
      <c r="D1937" t="s">
        <v>3819</v>
      </c>
      <c r="E1937" t="s">
        <v>3873</v>
      </c>
      <c r="F1937" s="1">
        <v>1</v>
      </c>
      <c r="G1937" s="1">
        <v>0</v>
      </c>
      <c r="H1937" t="s">
        <v>17</v>
      </c>
      <c r="I1937" t="s">
        <v>320</v>
      </c>
      <c r="J1937" t="s">
        <v>3821</v>
      </c>
      <c r="K1937" s="3">
        <v>46721</v>
      </c>
      <c r="L1937" t="s">
        <v>1636</v>
      </c>
      <c r="M1937">
        <v>0.04</v>
      </c>
      <c r="N1937">
        <v>2688</v>
      </c>
      <c r="O1937">
        <f t="shared" si="90"/>
        <v>0.04</v>
      </c>
      <c r="P1937">
        <f t="shared" si="91"/>
        <v>3.720238095238095E-4</v>
      </c>
      <c r="Q1937" t="str">
        <f t="shared" si="92"/>
        <v>Q27-01</v>
      </c>
    </row>
    <row r="1938" spans="1:17" x14ac:dyDescent="0.25">
      <c r="A1938" t="s">
        <v>61</v>
      </c>
      <c r="B1938" t="s">
        <v>317</v>
      </c>
      <c r="C1938" t="s">
        <v>318</v>
      </c>
      <c r="D1938" t="s">
        <v>3819</v>
      </c>
      <c r="E1938" t="s">
        <v>3874</v>
      </c>
      <c r="F1938" s="1">
        <v>6</v>
      </c>
      <c r="G1938" s="1">
        <v>0</v>
      </c>
      <c r="H1938" t="s">
        <v>17</v>
      </c>
      <c r="I1938" t="s">
        <v>320</v>
      </c>
      <c r="J1938" t="s">
        <v>3821</v>
      </c>
      <c r="K1938" s="3">
        <v>46752</v>
      </c>
      <c r="L1938" t="s">
        <v>1785</v>
      </c>
      <c r="M1938">
        <v>0.04</v>
      </c>
      <c r="N1938">
        <v>2688</v>
      </c>
      <c r="O1938">
        <f t="shared" si="90"/>
        <v>0.24</v>
      </c>
      <c r="P1938">
        <f t="shared" si="91"/>
        <v>2.232142857142857E-3</v>
      </c>
      <c r="Q1938" t="str">
        <f t="shared" si="92"/>
        <v>Q27-01</v>
      </c>
    </row>
    <row r="1939" spans="1:17" x14ac:dyDescent="0.25">
      <c r="A1939" t="s">
        <v>61</v>
      </c>
      <c r="B1939" t="s">
        <v>317</v>
      </c>
      <c r="C1939" t="s">
        <v>318</v>
      </c>
      <c r="D1939" t="s">
        <v>3819</v>
      </c>
      <c r="E1939" t="s">
        <v>3875</v>
      </c>
      <c r="F1939" s="1">
        <v>3</v>
      </c>
      <c r="G1939" s="1">
        <v>0</v>
      </c>
      <c r="H1939" t="s">
        <v>17</v>
      </c>
      <c r="I1939" t="s">
        <v>320</v>
      </c>
      <c r="J1939" t="s">
        <v>3821</v>
      </c>
      <c r="K1939" s="3">
        <v>46691</v>
      </c>
      <c r="L1939" t="s">
        <v>1348</v>
      </c>
      <c r="M1939">
        <v>0.04</v>
      </c>
      <c r="N1939">
        <v>2688</v>
      </c>
      <c r="O1939">
        <f t="shared" si="90"/>
        <v>0.12</v>
      </c>
      <c r="P1939">
        <f t="shared" si="91"/>
        <v>1.1160714285714285E-3</v>
      </c>
      <c r="Q1939" t="str">
        <f t="shared" si="92"/>
        <v>Q27-01</v>
      </c>
    </row>
    <row r="1940" spans="1:17" x14ac:dyDescent="0.25">
      <c r="A1940" t="s">
        <v>61</v>
      </c>
      <c r="B1940" t="s">
        <v>317</v>
      </c>
      <c r="C1940" t="s">
        <v>318</v>
      </c>
      <c r="D1940" t="s">
        <v>3819</v>
      </c>
      <c r="E1940" t="s">
        <v>3876</v>
      </c>
      <c r="F1940" s="1">
        <v>6</v>
      </c>
      <c r="G1940" s="1">
        <v>0</v>
      </c>
      <c r="H1940" t="s">
        <v>17</v>
      </c>
      <c r="I1940" t="s">
        <v>320</v>
      </c>
      <c r="J1940" t="s">
        <v>3821</v>
      </c>
      <c r="K1940" s="3">
        <v>46599</v>
      </c>
      <c r="L1940" t="s">
        <v>1117</v>
      </c>
      <c r="M1940">
        <v>0.04</v>
      </c>
      <c r="N1940">
        <v>2688</v>
      </c>
      <c r="O1940">
        <f t="shared" si="90"/>
        <v>0.24</v>
      </c>
      <c r="P1940">
        <f t="shared" si="91"/>
        <v>2.232142857142857E-3</v>
      </c>
      <c r="Q1940" t="str">
        <f t="shared" si="92"/>
        <v>Q27-01</v>
      </c>
    </row>
    <row r="1941" spans="1:17" x14ac:dyDescent="0.25">
      <c r="A1941" t="s">
        <v>61</v>
      </c>
      <c r="B1941" t="s">
        <v>71</v>
      </c>
      <c r="C1941" t="s">
        <v>72</v>
      </c>
      <c r="D1941" t="s">
        <v>3819</v>
      </c>
      <c r="E1941" t="s">
        <v>3877</v>
      </c>
      <c r="F1941" s="1">
        <v>4</v>
      </c>
      <c r="G1941" s="1">
        <v>0</v>
      </c>
      <c r="H1941" t="s">
        <v>17</v>
      </c>
      <c r="I1941" t="s">
        <v>75</v>
      </c>
      <c r="J1941" t="s">
        <v>3821</v>
      </c>
      <c r="K1941" s="3">
        <v>46507</v>
      </c>
      <c r="L1941" t="s">
        <v>2036</v>
      </c>
      <c r="M1941">
        <v>0.3</v>
      </c>
      <c r="N1941">
        <v>1680</v>
      </c>
      <c r="O1941">
        <f t="shared" si="90"/>
        <v>1.2</v>
      </c>
      <c r="P1941">
        <f t="shared" si="91"/>
        <v>2.3809523809523812E-3</v>
      </c>
      <c r="Q1941" t="str">
        <f t="shared" si="92"/>
        <v>Q27-01</v>
      </c>
    </row>
    <row r="1942" spans="1:17" x14ac:dyDescent="0.25">
      <c r="A1942" t="s">
        <v>61</v>
      </c>
      <c r="B1942" t="s">
        <v>71</v>
      </c>
      <c r="C1942" t="s">
        <v>72</v>
      </c>
      <c r="D1942" t="s">
        <v>3819</v>
      </c>
      <c r="E1942" t="s">
        <v>3878</v>
      </c>
      <c r="F1942" s="1">
        <v>1</v>
      </c>
      <c r="G1942" s="1">
        <v>0</v>
      </c>
      <c r="H1942" t="s">
        <v>17</v>
      </c>
      <c r="I1942" t="s">
        <v>75</v>
      </c>
      <c r="J1942" t="s">
        <v>3821</v>
      </c>
      <c r="K1942" s="3">
        <v>46477</v>
      </c>
      <c r="L1942" t="s">
        <v>1778</v>
      </c>
      <c r="M1942">
        <v>0.3</v>
      </c>
      <c r="N1942">
        <v>1680</v>
      </c>
      <c r="O1942">
        <f t="shared" si="90"/>
        <v>0.3</v>
      </c>
      <c r="P1942">
        <f t="shared" si="91"/>
        <v>5.9523809523809529E-4</v>
      </c>
      <c r="Q1942" t="str">
        <f t="shared" si="92"/>
        <v>Q27-01</v>
      </c>
    </row>
    <row r="1943" spans="1:17" x14ac:dyDescent="0.25">
      <c r="A1943" t="s">
        <v>61</v>
      </c>
      <c r="B1943" t="s">
        <v>71</v>
      </c>
      <c r="C1943" t="s">
        <v>72</v>
      </c>
      <c r="D1943" t="s">
        <v>3819</v>
      </c>
      <c r="E1943" t="s">
        <v>3879</v>
      </c>
      <c r="F1943" s="1">
        <v>1</v>
      </c>
      <c r="G1943" s="1">
        <v>0</v>
      </c>
      <c r="H1943" t="s">
        <v>17</v>
      </c>
      <c r="I1943" t="s">
        <v>75</v>
      </c>
      <c r="J1943" t="s">
        <v>3821</v>
      </c>
      <c r="K1943" s="3">
        <v>46477</v>
      </c>
      <c r="L1943" t="s">
        <v>1778</v>
      </c>
      <c r="M1943">
        <v>0.3</v>
      </c>
      <c r="N1943">
        <v>1680</v>
      </c>
      <c r="O1943">
        <f t="shared" si="90"/>
        <v>0.3</v>
      </c>
      <c r="P1943">
        <f t="shared" si="91"/>
        <v>5.9523809523809529E-4</v>
      </c>
      <c r="Q1943" t="str">
        <f t="shared" si="92"/>
        <v>Q27-01</v>
      </c>
    </row>
    <row r="1944" spans="1:17" x14ac:dyDescent="0.25">
      <c r="A1944" t="s">
        <v>61</v>
      </c>
      <c r="B1944" t="s">
        <v>71</v>
      </c>
      <c r="C1944" t="s">
        <v>72</v>
      </c>
      <c r="D1944" t="s">
        <v>3819</v>
      </c>
      <c r="E1944" t="s">
        <v>3880</v>
      </c>
      <c r="F1944" s="1">
        <v>4</v>
      </c>
      <c r="G1944" s="1">
        <v>0</v>
      </c>
      <c r="H1944" t="s">
        <v>17</v>
      </c>
      <c r="I1944" t="s">
        <v>75</v>
      </c>
      <c r="J1944" t="s">
        <v>3821</v>
      </c>
      <c r="K1944" s="3">
        <v>46599</v>
      </c>
      <c r="L1944" t="s">
        <v>2006</v>
      </c>
      <c r="M1944">
        <v>0.3</v>
      </c>
      <c r="N1944">
        <v>1680</v>
      </c>
      <c r="O1944">
        <f t="shared" si="90"/>
        <v>1.2</v>
      </c>
      <c r="P1944">
        <f t="shared" si="91"/>
        <v>2.3809523809523812E-3</v>
      </c>
      <c r="Q1944" t="str">
        <f t="shared" si="92"/>
        <v>Q27-01</v>
      </c>
    </row>
    <row r="1945" spans="1:17" x14ac:dyDescent="0.25">
      <c r="A1945" t="s">
        <v>61</v>
      </c>
      <c r="B1945" t="s">
        <v>71</v>
      </c>
      <c r="C1945" t="s">
        <v>72</v>
      </c>
      <c r="D1945" t="s">
        <v>3819</v>
      </c>
      <c r="E1945" t="s">
        <v>3881</v>
      </c>
      <c r="F1945" s="1">
        <v>6</v>
      </c>
      <c r="G1945" s="1">
        <v>0</v>
      </c>
      <c r="H1945" t="s">
        <v>17</v>
      </c>
      <c r="I1945" t="s">
        <v>75</v>
      </c>
      <c r="J1945" t="s">
        <v>3821</v>
      </c>
      <c r="K1945" s="3">
        <v>46356</v>
      </c>
      <c r="L1945" t="s">
        <v>1149</v>
      </c>
      <c r="M1945">
        <v>0.3</v>
      </c>
      <c r="N1945">
        <v>1680</v>
      </c>
      <c r="O1945">
        <f t="shared" si="90"/>
        <v>1.7999999999999998</v>
      </c>
      <c r="P1945">
        <f t="shared" si="91"/>
        <v>3.5714285714285713E-3</v>
      </c>
      <c r="Q1945" t="str">
        <f t="shared" si="92"/>
        <v>Q27-01</v>
      </c>
    </row>
    <row r="1946" spans="1:17" x14ac:dyDescent="0.25">
      <c r="A1946" t="s">
        <v>61</v>
      </c>
      <c r="B1946" t="s">
        <v>219</v>
      </c>
      <c r="C1946" t="s">
        <v>220</v>
      </c>
      <c r="D1946" t="s">
        <v>3819</v>
      </c>
      <c r="E1946" t="s">
        <v>3882</v>
      </c>
      <c r="F1946" s="1">
        <v>1</v>
      </c>
      <c r="G1946" s="1">
        <v>0</v>
      </c>
      <c r="H1946" t="s">
        <v>17</v>
      </c>
      <c r="I1946" t="s">
        <v>222</v>
      </c>
      <c r="J1946" t="s">
        <v>3821</v>
      </c>
      <c r="K1946" s="3">
        <v>46630</v>
      </c>
      <c r="L1946" t="s">
        <v>2865</v>
      </c>
      <c r="M1946">
        <v>0.3</v>
      </c>
      <c r="N1946">
        <v>1680</v>
      </c>
      <c r="O1946">
        <f t="shared" si="90"/>
        <v>0.3</v>
      </c>
      <c r="P1946">
        <f t="shared" si="91"/>
        <v>5.9523809523809529E-4</v>
      </c>
      <c r="Q1946" t="str">
        <f t="shared" si="92"/>
        <v>Q27-01</v>
      </c>
    </row>
    <row r="1947" spans="1:17" x14ac:dyDescent="0.25">
      <c r="A1947" t="s">
        <v>61</v>
      </c>
      <c r="B1947" t="s">
        <v>219</v>
      </c>
      <c r="C1947" t="s">
        <v>220</v>
      </c>
      <c r="D1947" t="s">
        <v>3819</v>
      </c>
      <c r="E1947" t="s">
        <v>3883</v>
      </c>
      <c r="F1947" s="1">
        <v>2</v>
      </c>
      <c r="G1947" s="1">
        <v>0</v>
      </c>
      <c r="H1947" t="s">
        <v>17</v>
      </c>
      <c r="I1947" t="s">
        <v>222</v>
      </c>
      <c r="J1947" t="s">
        <v>3821</v>
      </c>
      <c r="K1947" s="3">
        <v>46446</v>
      </c>
      <c r="L1947" t="s">
        <v>1467</v>
      </c>
      <c r="M1947">
        <v>0.3</v>
      </c>
      <c r="N1947">
        <v>1680</v>
      </c>
      <c r="O1947">
        <f t="shared" si="90"/>
        <v>0.6</v>
      </c>
      <c r="P1947">
        <f t="shared" si="91"/>
        <v>1.1904761904761906E-3</v>
      </c>
      <c r="Q1947" t="str">
        <f t="shared" si="92"/>
        <v>Q27-01</v>
      </c>
    </row>
    <row r="1948" spans="1:17" x14ac:dyDescent="0.25">
      <c r="A1948" t="s">
        <v>61</v>
      </c>
      <c r="B1948" t="s">
        <v>219</v>
      </c>
      <c r="C1948" t="s">
        <v>220</v>
      </c>
      <c r="D1948" t="s">
        <v>3819</v>
      </c>
      <c r="E1948" t="s">
        <v>3884</v>
      </c>
      <c r="F1948" s="1">
        <v>1</v>
      </c>
      <c r="G1948" s="1">
        <v>0</v>
      </c>
      <c r="H1948" t="s">
        <v>17</v>
      </c>
      <c r="I1948" t="s">
        <v>222</v>
      </c>
      <c r="J1948" t="s">
        <v>3821</v>
      </c>
      <c r="K1948" s="3">
        <v>46446</v>
      </c>
      <c r="L1948" t="s">
        <v>1467</v>
      </c>
      <c r="M1948">
        <v>0.3</v>
      </c>
      <c r="N1948">
        <v>1680</v>
      </c>
      <c r="O1948">
        <f t="shared" si="90"/>
        <v>0.3</v>
      </c>
      <c r="P1948">
        <f t="shared" si="91"/>
        <v>5.9523809523809529E-4</v>
      </c>
      <c r="Q1948" t="str">
        <f t="shared" si="92"/>
        <v>Q27-01</v>
      </c>
    </row>
    <row r="1949" spans="1:17" x14ac:dyDescent="0.25">
      <c r="A1949" t="s">
        <v>61</v>
      </c>
      <c r="B1949" t="s">
        <v>219</v>
      </c>
      <c r="C1949" t="s">
        <v>220</v>
      </c>
      <c r="D1949" t="s">
        <v>3819</v>
      </c>
      <c r="E1949" t="s">
        <v>3885</v>
      </c>
      <c r="F1949" s="1">
        <v>1</v>
      </c>
      <c r="G1949" s="1">
        <v>0</v>
      </c>
      <c r="H1949" t="s">
        <v>17</v>
      </c>
      <c r="I1949" t="s">
        <v>222</v>
      </c>
      <c r="J1949" t="s">
        <v>3821</v>
      </c>
      <c r="K1949" s="3">
        <v>46477</v>
      </c>
      <c r="L1949" t="s">
        <v>1776</v>
      </c>
      <c r="M1949">
        <v>0.3</v>
      </c>
      <c r="N1949">
        <v>1680</v>
      </c>
      <c r="O1949">
        <f t="shared" si="90"/>
        <v>0.3</v>
      </c>
      <c r="P1949">
        <f t="shared" si="91"/>
        <v>5.9523809523809529E-4</v>
      </c>
      <c r="Q1949" t="str">
        <f t="shared" si="92"/>
        <v>Q27-01</v>
      </c>
    </row>
    <row r="1950" spans="1:17" x14ac:dyDescent="0.25">
      <c r="A1950" t="s">
        <v>61</v>
      </c>
      <c r="B1950" t="s">
        <v>219</v>
      </c>
      <c r="C1950" t="s">
        <v>220</v>
      </c>
      <c r="D1950" t="s">
        <v>3819</v>
      </c>
      <c r="E1950" t="s">
        <v>3886</v>
      </c>
      <c r="F1950" s="1">
        <v>5</v>
      </c>
      <c r="G1950" s="1">
        <v>0</v>
      </c>
      <c r="H1950" t="s">
        <v>17</v>
      </c>
      <c r="I1950" t="s">
        <v>222</v>
      </c>
      <c r="J1950" t="s">
        <v>3821</v>
      </c>
      <c r="K1950" s="3">
        <v>46477</v>
      </c>
      <c r="L1950" t="s">
        <v>1646</v>
      </c>
      <c r="M1950">
        <v>0.3</v>
      </c>
      <c r="N1950">
        <v>1680</v>
      </c>
      <c r="O1950">
        <f t="shared" si="90"/>
        <v>1.5</v>
      </c>
      <c r="P1950">
        <f t="shared" si="91"/>
        <v>2.976190476190476E-3</v>
      </c>
      <c r="Q1950" t="str">
        <f t="shared" si="92"/>
        <v>Q27-01</v>
      </c>
    </row>
    <row r="1951" spans="1:17" x14ac:dyDescent="0.25">
      <c r="A1951" t="s">
        <v>61</v>
      </c>
      <c r="B1951" t="s">
        <v>219</v>
      </c>
      <c r="C1951" t="s">
        <v>220</v>
      </c>
      <c r="D1951" t="s">
        <v>3819</v>
      </c>
      <c r="E1951" t="s">
        <v>3887</v>
      </c>
      <c r="F1951" s="1">
        <v>4</v>
      </c>
      <c r="G1951" s="1">
        <v>0</v>
      </c>
      <c r="H1951" t="s">
        <v>17</v>
      </c>
      <c r="I1951" t="s">
        <v>222</v>
      </c>
      <c r="J1951" t="s">
        <v>3821</v>
      </c>
      <c r="K1951" s="3">
        <v>46507</v>
      </c>
      <c r="L1951" t="s">
        <v>2024</v>
      </c>
      <c r="M1951">
        <v>0.3</v>
      </c>
      <c r="N1951">
        <v>1680</v>
      </c>
      <c r="O1951">
        <f t="shared" si="90"/>
        <v>1.2</v>
      </c>
      <c r="P1951">
        <f t="shared" si="91"/>
        <v>2.3809523809523812E-3</v>
      </c>
      <c r="Q1951" t="str">
        <f t="shared" si="92"/>
        <v>Q27-01</v>
      </c>
    </row>
    <row r="1952" spans="1:17" x14ac:dyDescent="0.25">
      <c r="A1952" t="s">
        <v>61</v>
      </c>
      <c r="B1952" t="s">
        <v>219</v>
      </c>
      <c r="C1952" t="s">
        <v>220</v>
      </c>
      <c r="D1952" t="s">
        <v>3819</v>
      </c>
      <c r="E1952" t="s">
        <v>3888</v>
      </c>
      <c r="F1952" s="1">
        <v>2</v>
      </c>
      <c r="G1952" s="1">
        <v>0</v>
      </c>
      <c r="H1952" t="s">
        <v>17</v>
      </c>
      <c r="I1952" t="s">
        <v>222</v>
      </c>
      <c r="J1952" t="s">
        <v>3821</v>
      </c>
      <c r="K1952" s="3">
        <v>46507</v>
      </c>
      <c r="L1952" t="s">
        <v>2221</v>
      </c>
      <c r="M1952">
        <v>0.3</v>
      </c>
      <c r="N1952">
        <v>1680</v>
      </c>
      <c r="O1952">
        <f t="shared" si="90"/>
        <v>0.6</v>
      </c>
      <c r="P1952">
        <f t="shared" si="91"/>
        <v>1.1904761904761906E-3</v>
      </c>
      <c r="Q1952" t="str">
        <f t="shared" si="92"/>
        <v>Q27-01</v>
      </c>
    </row>
    <row r="1953" spans="1:17" x14ac:dyDescent="0.25">
      <c r="A1953" t="s">
        <v>12</v>
      </c>
      <c r="B1953" t="s">
        <v>3313</v>
      </c>
      <c r="C1953" t="s">
        <v>3314</v>
      </c>
      <c r="D1953" t="s">
        <v>727</v>
      </c>
      <c r="E1953" t="s">
        <v>3889</v>
      </c>
      <c r="F1953" s="1">
        <v>6</v>
      </c>
      <c r="G1953" s="1">
        <v>0</v>
      </c>
      <c r="H1953" t="s">
        <v>17</v>
      </c>
      <c r="I1953" t="s">
        <v>1398</v>
      </c>
      <c r="J1953" t="s">
        <v>3890</v>
      </c>
      <c r="K1953" s="3">
        <v>47137</v>
      </c>
      <c r="L1953" t="s">
        <v>3891</v>
      </c>
      <c r="M1953">
        <v>0.154</v>
      </c>
      <c r="N1953">
        <v>1680</v>
      </c>
      <c r="O1953">
        <f t="shared" si="90"/>
        <v>0.92399999999999993</v>
      </c>
      <c r="P1953">
        <f t="shared" si="91"/>
        <v>3.5714285714285713E-3</v>
      </c>
      <c r="Q1953" t="str">
        <f t="shared" si="92"/>
        <v>Q26-03</v>
      </c>
    </row>
    <row r="1954" spans="1:17" x14ac:dyDescent="0.25">
      <c r="A1954" t="s">
        <v>12</v>
      </c>
      <c r="B1954" t="s">
        <v>1139</v>
      </c>
      <c r="C1954" t="s">
        <v>1140</v>
      </c>
      <c r="D1954" t="s">
        <v>388</v>
      </c>
      <c r="E1954" t="s">
        <v>3892</v>
      </c>
      <c r="F1954" s="1">
        <v>8</v>
      </c>
      <c r="G1954" s="1">
        <v>0</v>
      </c>
      <c r="H1954" t="s">
        <v>17</v>
      </c>
      <c r="I1954" t="s">
        <v>3893</v>
      </c>
      <c r="J1954" t="s">
        <v>3894</v>
      </c>
      <c r="K1954" s="3">
        <v>46822</v>
      </c>
      <c r="L1954" t="s">
        <v>3895</v>
      </c>
      <c r="M1954">
        <v>0.114</v>
      </c>
      <c r="N1954">
        <v>1728</v>
      </c>
      <c r="O1954">
        <f t="shared" si="90"/>
        <v>0.91200000000000003</v>
      </c>
      <c r="P1954">
        <f t="shared" si="91"/>
        <v>4.6296296296296294E-3</v>
      </c>
      <c r="Q1954" t="str">
        <f t="shared" si="92"/>
        <v>Q26-03</v>
      </c>
    </row>
    <row r="1955" spans="1:17" x14ac:dyDescent="0.25">
      <c r="A1955" t="s">
        <v>385</v>
      </c>
      <c r="B1955" t="s">
        <v>2295</v>
      </c>
      <c r="C1955" t="s">
        <v>2296</v>
      </c>
      <c r="D1955" t="s">
        <v>727</v>
      </c>
      <c r="E1955" t="s">
        <v>3896</v>
      </c>
      <c r="F1955" s="1">
        <v>3</v>
      </c>
      <c r="G1955" s="1">
        <v>0</v>
      </c>
      <c r="H1955" t="s">
        <v>17</v>
      </c>
      <c r="I1955" t="s">
        <v>2298</v>
      </c>
      <c r="J1955" t="s">
        <v>3897</v>
      </c>
      <c r="K1955" s="3">
        <v>46698</v>
      </c>
      <c r="L1955" t="s">
        <v>3737</v>
      </c>
      <c r="M1955">
        <v>0.14399999999999999</v>
      </c>
      <c r="N1955">
        <v>1728</v>
      </c>
      <c r="O1955">
        <f t="shared" si="90"/>
        <v>0.43199999999999994</v>
      </c>
      <c r="P1955">
        <f t="shared" si="91"/>
        <v>1.736111111111111E-3</v>
      </c>
      <c r="Q1955" t="str">
        <f t="shared" si="92"/>
        <v>Q26-03</v>
      </c>
    </row>
    <row r="1956" spans="1:17" x14ac:dyDescent="0.25">
      <c r="A1956" t="s">
        <v>12</v>
      </c>
      <c r="B1956" t="s">
        <v>3507</v>
      </c>
      <c r="C1956" t="s">
        <v>3508</v>
      </c>
      <c r="D1956" t="s">
        <v>382</v>
      </c>
      <c r="E1956" t="s">
        <v>3898</v>
      </c>
      <c r="F1956" s="1">
        <v>1</v>
      </c>
      <c r="G1956" s="1">
        <v>0</v>
      </c>
      <c r="H1956" t="s">
        <v>17</v>
      </c>
      <c r="I1956" t="s">
        <v>84</v>
      </c>
      <c r="J1956" t="s">
        <v>3899</v>
      </c>
      <c r="K1956" s="3">
        <v>47149</v>
      </c>
      <c r="L1956" t="s">
        <v>3900</v>
      </c>
      <c r="M1956">
        <v>0.106</v>
      </c>
      <c r="N1956">
        <v>0</v>
      </c>
      <c r="O1956">
        <f t="shared" si="90"/>
        <v>0.106</v>
      </c>
      <c r="Q1956" t="str">
        <f t="shared" si="92"/>
        <v>Q27-03</v>
      </c>
    </row>
    <row r="1957" spans="1:17" x14ac:dyDescent="0.25">
      <c r="A1957" t="s">
        <v>12</v>
      </c>
      <c r="B1957" t="s">
        <v>3901</v>
      </c>
      <c r="C1957" t="s">
        <v>3902</v>
      </c>
      <c r="D1957" t="s">
        <v>388</v>
      </c>
      <c r="E1957" t="s">
        <v>3903</v>
      </c>
      <c r="F1957" s="1">
        <v>6</v>
      </c>
      <c r="G1957" s="1">
        <v>0</v>
      </c>
      <c r="H1957" t="s">
        <v>17</v>
      </c>
      <c r="I1957" t="s">
        <v>3904</v>
      </c>
      <c r="J1957" t="s">
        <v>3905</v>
      </c>
      <c r="K1957" s="3">
        <v>47149</v>
      </c>
      <c r="L1957" t="s">
        <v>3906</v>
      </c>
      <c r="M1957">
        <v>1.2E-2</v>
      </c>
      <c r="N1957">
        <v>5760</v>
      </c>
      <c r="O1957">
        <f t="shared" si="90"/>
        <v>7.2000000000000008E-2</v>
      </c>
      <c r="P1957">
        <f t="shared" si="91"/>
        <v>1.0416666666666667E-3</v>
      </c>
      <c r="Q1957" t="str">
        <f t="shared" si="92"/>
        <v>Q26-03</v>
      </c>
    </row>
    <row r="1958" spans="1:17" x14ac:dyDescent="0.25">
      <c r="A1958" t="s">
        <v>12</v>
      </c>
      <c r="B1958" t="s">
        <v>3907</v>
      </c>
      <c r="C1958" t="s">
        <v>3908</v>
      </c>
      <c r="D1958" t="s">
        <v>407</v>
      </c>
      <c r="E1958" t="s">
        <v>3909</v>
      </c>
      <c r="F1958" s="1">
        <v>4.83</v>
      </c>
      <c r="G1958" s="1">
        <v>0</v>
      </c>
      <c r="H1958" t="s">
        <v>17</v>
      </c>
      <c r="I1958" t="s">
        <v>3910</v>
      </c>
      <c r="J1958" t="s">
        <v>3911</v>
      </c>
      <c r="K1958" s="3">
        <v>46082</v>
      </c>
      <c r="L1958" t="s">
        <v>3912</v>
      </c>
      <c r="M1958">
        <v>6.8000000000000005E-2</v>
      </c>
      <c r="N1958">
        <v>480</v>
      </c>
      <c r="O1958">
        <f t="shared" si="90"/>
        <v>0.32844000000000001</v>
      </c>
      <c r="P1958">
        <f t="shared" si="91"/>
        <v>1.00625E-2</v>
      </c>
      <c r="Q1958" t="str">
        <f t="shared" si="92"/>
        <v>Q27-01</v>
      </c>
    </row>
    <row r="1959" spans="1:17" x14ac:dyDescent="0.25">
      <c r="A1959" t="s">
        <v>12</v>
      </c>
      <c r="B1959" t="s">
        <v>3907</v>
      </c>
      <c r="C1959" t="s">
        <v>3908</v>
      </c>
      <c r="D1959" t="s">
        <v>407</v>
      </c>
      <c r="E1959" t="s">
        <v>3913</v>
      </c>
      <c r="F1959" s="1">
        <v>40</v>
      </c>
      <c r="G1959" s="1">
        <v>0</v>
      </c>
      <c r="H1959" t="s">
        <v>17</v>
      </c>
      <c r="I1959" t="s">
        <v>3910</v>
      </c>
      <c r="J1959" t="s">
        <v>3914</v>
      </c>
      <c r="K1959" s="3">
        <v>46082</v>
      </c>
      <c r="L1959" t="s">
        <v>3912</v>
      </c>
      <c r="M1959">
        <v>6.8000000000000005E-2</v>
      </c>
      <c r="N1959">
        <v>480</v>
      </c>
      <c r="O1959">
        <f t="shared" si="90"/>
        <v>2.72</v>
      </c>
      <c r="P1959">
        <f t="shared" si="91"/>
        <v>8.3333333333333329E-2</v>
      </c>
      <c r="Q1959" t="str">
        <f t="shared" si="92"/>
        <v>Q27-01</v>
      </c>
    </row>
    <row r="1960" spans="1:17" x14ac:dyDescent="0.25">
      <c r="A1960" t="s">
        <v>12</v>
      </c>
      <c r="B1960" t="s">
        <v>3576</v>
      </c>
      <c r="C1960" t="s">
        <v>3577</v>
      </c>
      <c r="D1960" t="s">
        <v>336</v>
      </c>
      <c r="E1960" t="s">
        <v>3915</v>
      </c>
      <c r="F1960" s="1">
        <v>1</v>
      </c>
      <c r="G1960" s="1">
        <v>0</v>
      </c>
      <c r="H1960" t="s">
        <v>17</v>
      </c>
      <c r="I1960" t="s">
        <v>3579</v>
      </c>
      <c r="J1960" t="s">
        <v>3916</v>
      </c>
      <c r="K1960" s="3">
        <v>47057</v>
      </c>
      <c r="L1960" t="s">
        <v>3581</v>
      </c>
      <c r="M1960">
        <v>7.3999999999999996E-2</v>
      </c>
      <c r="N1960">
        <v>4000</v>
      </c>
      <c r="O1960">
        <f t="shared" si="90"/>
        <v>7.3999999999999996E-2</v>
      </c>
      <c r="P1960">
        <f t="shared" si="91"/>
        <v>2.5000000000000001E-4</v>
      </c>
      <c r="Q1960" t="str">
        <f t="shared" si="92"/>
        <v>Q27-03</v>
      </c>
    </row>
    <row r="1961" spans="1:17" x14ac:dyDescent="0.25">
      <c r="A1961" t="s">
        <v>61</v>
      </c>
      <c r="B1961" t="s">
        <v>219</v>
      </c>
      <c r="C1961" t="s">
        <v>220</v>
      </c>
      <c r="D1961" t="s">
        <v>3556</v>
      </c>
      <c r="E1961" t="s">
        <v>3917</v>
      </c>
      <c r="F1961" s="1">
        <v>28</v>
      </c>
      <c r="G1961" s="1">
        <v>0</v>
      </c>
      <c r="H1961" t="s">
        <v>17</v>
      </c>
      <c r="I1961" t="s">
        <v>222</v>
      </c>
      <c r="J1961" t="s">
        <v>3918</v>
      </c>
      <c r="K1961" s="3">
        <v>46477</v>
      </c>
      <c r="L1961" t="s">
        <v>1646</v>
      </c>
      <c r="M1961">
        <v>0.3</v>
      </c>
      <c r="N1961">
        <v>1680</v>
      </c>
      <c r="O1961">
        <f t="shared" si="90"/>
        <v>8.4</v>
      </c>
      <c r="P1961">
        <f t="shared" si="91"/>
        <v>1.6666666666666666E-2</v>
      </c>
      <c r="Q1961" t="str">
        <f t="shared" si="92"/>
        <v>Q27-03</v>
      </c>
    </row>
    <row r="1962" spans="1:17" x14ac:dyDescent="0.25">
      <c r="A1962" t="s">
        <v>12</v>
      </c>
      <c r="B1962" t="s">
        <v>979</v>
      </c>
      <c r="C1962" t="s">
        <v>980</v>
      </c>
      <c r="D1962" t="s">
        <v>388</v>
      </c>
      <c r="E1962" t="s">
        <v>3919</v>
      </c>
      <c r="F1962" s="1">
        <v>1</v>
      </c>
      <c r="G1962" s="1">
        <v>0</v>
      </c>
      <c r="H1962" t="s">
        <v>17</v>
      </c>
      <c r="I1962" t="s">
        <v>3920</v>
      </c>
      <c r="J1962" t="s">
        <v>3921</v>
      </c>
      <c r="K1962" s="3">
        <v>46758</v>
      </c>
      <c r="L1962" t="s">
        <v>3922</v>
      </c>
      <c r="M1962">
        <v>1.9E-2</v>
      </c>
      <c r="N1962">
        <v>4320</v>
      </c>
      <c r="O1962">
        <f t="shared" si="90"/>
        <v>1.9E-2</v>
      </c>
      <c r="P1962">
        <f t="shared" si="91"/>
        <v>2.3148148148148149E-4</v>
      </c>
      <c r="Q1962" t="str">
        <f t="shared" si="92"/>
        <v>Q26-03</v>
      </c>
    </row>
    <row r="1963" spans="1:17" x14ac:dyDescent="0.25">
      <c r="A1963" t="s">
        <v>12</v>
      </c>
      <c r="B1963" t="s">
        <v>589</v>
      </c>
      <c r="C1963" t="s">
        <v>590</v>
      </c>
      <c r="D1963" t="s">
        <v>388</v>
      </c>
      <c r="E1963" t="s">
        <v>3923</v>
      </c>
      <c r="F1963" s="1">
        <v>1</v>
      </c>
      <c r="G1963" s="1">
        <v>0</v>
      </c>
      <c r="H1963" t="s">
        <v>17</v>
      </c>
      <c r="I1963" t="s">
        <v>592</v>
      </c>
      <c r="J1963" t="s">
        <v>3924</v>
      </c>
      <c r="K1963" s="3">
        <v>46517</v>
      </c>
      <c r="L1963" t="s">
        <v>3925</v>
      </c>
      <c r="M1963">
        <v>4.1000000000000002E-2</v>
      </c>
      <c r="N1963">
        <v>1280</v>
      </c>
      <c r="O1963">
        <f t="shared" si="90"/>
        <v>4.1000000000000002E-2</v>
      </c>
      <c r="P1963">
        <f t="shared" si="91"/>
        <v>7.8125000000000004E-4</v>
      </c>
      <c r="Q1963" t="str">
        <f t="shared" si="92"/>
        <v>Q26-03</v>
      </c>
    </row>
    <row r="1964" spans="1:17" x14ac:dyDescent="0.25">
      <c r="A1964" t="s">
        <v>12</v>
      </c>
      <c r="B1964" t="s">
        <v>3926</v>
      </c>
      <c r="C1964" t="s">
        <v>3927</v>
      </c>
      <c r="D1964" t="s">
        <v>727</v>
      </c>
      <c r="E1964" t="s">
        <v>3928</v>
      </c>
      <c r="F1964" s="1">
        <v>24</v>
      </c>
      <c r="G1964" s="1">
        <v>0</v>
      </c>
      <c r="H1964" t="s">
        <v>17</v>
      </c>
      <c r="I1964" t="s">
        <v>3929</v>
      </c>
      <c r="J1964" t="s">
        <v>3930</v>
      </c>
      <c r="K1964" s="3">
        <v>46850</v>
      </c>
      <c r="L1964" t="s">
        <v>3931</v>
      </c>
      <c r="M1964">
        <v>8.7999999999999995E-2</v>
      </c>
      <c r="N1964">
        <v>1152</v>
      </c>
      <c r="O1964">
        <f t="shared" si="90"/>
        <v>2.1120000000000001</v>
      </c>
      <c r="P1964">
        <f t="shared" si="91"/>
        <v>2.0833333333333332E-2</v>
      </c>
      <c r="Q1964" t="str">
        <f t="shared" si="92"/>
        <v>Q26-03</v>
      </c>
    </row>
    <row r="1965" spans="1:17" x14ac:dyDescent="0.25">
      <c r="A1965" t="s">
        <v>12</v>
      </c>
      <c r="B1965" t="s">
        <v>3926</v>
      </c>
      <c r="C1965" t="s">
        <v>3927</v>
      </c>
      <c r="D1965" t="s">
        <v>727</v>
      </c>
      <c r="E1965" t="s">
        <v>3932</v>
      </c>
      <c r="F1965" s="1">
        <v>11</v>
      </c>
      <c r="G1965" s="1">
        <v>0</v>
      </c>
      <c r="H1965" t="s">
        <v>17</v>
      </c>
      <c r="I1965" t="s">
        <v>3929</v>
      </c>
      <c r="J1965" t="s">
        <v>3930</v>
      </c>
      <c r="K1965" s="3">
        <v>46850</v>
      </c>
      <c r="L1965" t="s">
        <v>3933</v>
      </c>
      <c r="M1965">
        <v>8.7999999999999995E-2</v>
      </c>
      <c r="N1965">
        <v>1152</v>
      </c>
      <c r="O1965">
        <f t="shared" si="90"/>
        <v>0.96799999999999997</v>
      </c>
      <c r="P1965">
        <f t="shared" si="91"/>
        <v>9.5486111111111119E-3</v>
      </c>
      <c r="Q1965" t="str">
        <f t="shared" si="92"/>
        <v>Q26-03</v>
      </c>
    </row>
    <row r="1966" spans="1:17" x14ac:dyDescent="0.25">
      <c r="A1966" t="s">
        <v>385</v>
      </c>
      <c r="B1966" t="s">
        <v>979</v>
      </c>
      <c r="C1966" t="s">
        <v>980</v>
      </c>
      <c r="D1966" t="s">
        <v>727</v>
      </c>
      <c r="E1966" t="s">
        <v>3934</v>
      </c>
      <c r="F1966" s="1">
        <v>7</v>
      </c>
      <c r="G1966" s="1">
        <v>0</v>
      </c>
      <c r="H1966" t="s">
        <v>17</v>
      </c>
      <c r="I1966" t="s">
        <v>3920</v>
      </c>
      <c r="J1966" t="s">
        <v>3921</v>
      </c>
      <c r="K1966" s="3">
        <v>46758</v>
      </c>
      <c r="L1966" t="s">
        <v>3922</v>
      </c>
      <c r="M1966">
        <v>1.9E-2</v>
      </c>
      <c r="N1966">
        <v>4320</v>
      </c>
      <c r="O1966">
        <f t="shared" si="90"/>
        <v>0.13300000000000001</v>
      </c>
      <c r="P1966">
        <f t="shared" si="91"/>
        <v>1.6203703703703703E-3</v>
      </c>
      <c r="Q1966" t="str">
        <f t="shared" si="92"/>
        <v>Q26-03</v>
      </c>
    </row>
    <row r="1967" spans="1:17" x14ac:dyDescent="0.25">
      <c r="A1967" t="s">
        <v>385</v>
      </c>
      <c r="B1967" t="s">
        <v>979</v>
      </c>
      <c r="C1967" t="s">
        <v>980</v>
      </c>
      <c r="D1967" t="s">
        <v>727</v>
      </c>
      <c r="E1967" t="s">
        <v>3935</v>
      </c>
      <c r="F1967" s="1">
        <v>1</v>
      </c>
      <c r="G1967" s="1">
        <v>0</v>
      </c>
      <c r="H1967" t="s">
        <v>17</v>
      </c>
      <c r="I1967" t="s">
        <v>3920</v>
      </c>
      <c r="J1967" t="s">
        <v>3921</v>
      </c>
      <c r="K1967" s="3">
        <v>46758</v>
      </c>
      <c r="L1967" t="s">
        <v>3922</v>
      </c>
      <c r="M1967">
        <v>1.9E-2</v>
      </c>
      <c r="N1967">
        <v>4320</v>
      </c>
      <c r="O1967">
        <f t="shared" si="90"/>
        <v>1.9E-2</v>
      </c>
      <c r="P1967">
        <f t="shared" si="91"/>
        <v>2.3148148148148149E-4</v>
      </c>
      <c r="Q1967" t="str">
        <f t="shared" si="92"/>
        <v>Q26-03</v>
      </c>
    </row>
    <row r="1968" spans="1:17" x14ac:dyDescent="0.25">
      <c r="A1968" t="s">
        <v>12</v>
      </c>
      <c r="B1968" t="s">
        <v>3936</v>
      </c>
      <c r="C1968" t="s">
        <v>3937</v>
      </c>
      <c r="D1968" t="s">
        <v>382</v>
      </c>
      <c r="E1968" t="s">
        <v>3938</v>
      </c>
      <c r="F1968" s="1">
        <v>1</v>
      </c>
      <c r="G1968" s="1">
        <v>0</v>
      </c>
      <c r="H1968" t="s">
        <v>17</v>
      </c>
      <c r="I1968" t="s">
        <v>84</v>
      </c>
      <c r="J1968" t="s">
        <v>3939</v>
      </c>
      <c r="K1968" s="3">
        <v>47185</v>
      </c>
      <c r="L1968" t="s">
        <v>3940</v>
      </c>
      <c r="M1968">
        <v>0.11799999999999999</v>
      </c>
      <c r="N1968">
        <v>0</v>
      </c>
      <c r="O1968">
        <f t="shared" si="90"/>
        <v>0.11799999999999999</v>
      </c>
      <c r="Q1968" t="str">
        <f t="shared" si="92"/>
        <v>Q27-03</v>
      </c>
    </row>
    <row r="1969" spans="1:17" x14ac:dyDescent="0.25">
      <c r="A1969" t="s">
        <v>12</v>
      </c>
      <c r="B1969" t="s">
        <v>1523</v>
      </c>
      <c r="C1969" t="s">
        <v>1524</v>
      </c>
      <c r="D1969" t="s">
        <v>382</v>
      </c>
      <c r="E1969" t="s">
        <v>3941</v>
      </c>
      <c r="F1969" s="1">
        <v>2</v>
      </c>
      <c r="G1969" s="1">
        <v>0</v>
      </c>
      <c r="H1969" t="s">
        <v>17</v>
      </c>
      <c r="I1969" t="s">
        <v>1526</v>
      </c>
      <c r="J1969" t="s">
        <v>3942</v>
      </c>
      <c r="K1969" s="3">
        <v>46203</v>
      </c>
      <c r="L1969" t="s">
        <v>3436</v>
      </c>
      <c r="M1969">
        <v>4.9000000000000002E-2</v>
      </c>
      <c r="N1969">
        <v>2880</v>
      </c>
      <c r="O1969">
        <f t="shared" si="90"/>
        <v>9.8000000000000004E-2</v>
      </c>
      <c r="P1969">
        <f t="shared" si="91"/>
        <v>6.9444444444444447E-4</v>
      </c>
      <c r="Q1969" t="str">
        <f t="shared" si="92"/>
        <v>Q27-03</v>
      </c>
    </row>
    <row r="1970" spans="1:17" x14ac:dyDescent="0.25">
      <c r="A1970" t="s">
        <v>12</v>
      </c>
      <c r="B1970" t="s">
        <v>3943</v>
      </c>
      <c r="C1970" t="s">
        <v>3944</v>
      </c>
      <c r="D1970" t="s">
        <v>727</v>
      </c>
      <c r="E1970" t="s">
        <v>3945</v>
      </c>
      <c r="F1970" s="1">
        <v>2</v>
      </c>
      <c r="G1970" s="1">
        <v>0</v>
      </c>
      <c r="H1970" t="s">
        <v>17</v>
      </c>
      <c r="I1970" t="s">
        <v>3946</v>
      </c>
      <c r="J1970" t="s">
        <v>3947</v>
      </c>
      <c r="K1970" s="3">
        <v>46418</v>
      </c>
      <c r="L1970" t="s">
        <v>3948</v>
      </c>
      <c r="M1970">
        <v>0.154</v>
      </c>
      <c r="N1970">
        <v>4704</v>
      </c>
      <c r="O1970">
        <f t="shared" si="90"/>
        <v>0.308</v>
      </c>
      <c r="P1970">
        <f t="shared" si="91"/>
        <v>4.2517006802721087E-4</v>
      </c>
      <c r="Q1970" t="str">
        <f t="shared" si="92"/>
        <v>Q26-03</v>
      </c>
    </row>
    <row r="1971" spans="1:17" x14ac:dyDescent="0.25">
      <c r="A1971" t="s">
        <v>12</v>
      </c>
      <c r="B1971" t="s">
        <v>3949</v>
      </c>
      <c r="C1971" t="s">
        <v>3950</v>
      </c>
      <c r="D1971" t="s">
        <v>388</v>
      </c>
      <c r="E1971" t="s">
        <v>3951</v>
      </c>
      <c r="F1971" s="1">
        <v>2</v>
      </c>
      <c r="G1971" s="1">
        <v>0</v>
      </c>
      <c r="H1971" t="s">
        <v>17</v>
      </c>
      <c r="I1971" t="s">
        <v>3952</v>
      </c>
      <c r="J1971" t="s">
        <v>3953</v>
      </c>
      <c r="K1971" s="3">
        <v>47064</v>
      </c>
      <c r="L1971" t="s">
        <v>3954</v>
      </c>
      <c r="M1971">
        <v>0.02</v>
      </c>
      <c r="N1971">
        <v>3520</v>
      </c>
      <c r="O1971">
        <f t="shared" si="90"/>
        <v>0.04</v>
      </c>
      <c r="P1971">
        <f t="shared" si="91"/>
        <v>5.6818181818181815E-4</v>
      </c>
      <c r="Q1971" t="str">
        <f t="shared" si="92"/>
        <v>Q26-03</v>
      </c>
    </row>
    <row r="1972" spans="1:17" x14ac:dyDescent="0.25">
      <c r="A1972" t="s">
        <v>12</v>
      </c>
      <c r="B1972" t="s">
        <v>3955</v>
      </c>
      <c r="C1972" t="s">
        <v>3956</v>
      </c>
      <c r="D1972" t="s">
        <v>382</v>
      </c>
      <c r="E1972" t="s">
        <v>3957</v>
      </c>
      <c r="F1972" s="1">
        <v>1</v>
      </c>
      <c r="G1972" s="1">
        <v>0</v>
      </c>
      <c r="H1972" t="s">
        <v>17</v>
      </c>
      <c r="I1972" t="s">
        <v>84</v>
      </c>
      <c r="J1972" t="s">
        <v>3958</v>
      </c>
      <c r="K1972" s="3">
        <v>47047</v>
      </c>
      <c r="L1972" t="s">
        <v>3959</v>
      </c>
      <c r="M1972">
        <v>0.11799999999999999</v>
      </c>
      <c r="N1972">
        <v>0</v>
      </c>
      <c r="O1972">
        <f t="shared" si="90"/>
        <v>0.11799999999999999</v>
      </c>
      <c r="Q1972" t="str">
        <f t="shared" si="92"/>
        <v>Q27-03</v>
      </c>
    </row>
    <row r="1973" spans="1:17" x14ac:dyDescent="0.25">
      <c r="A1973" t="s">
        <v>12</v>
      </c>
      <c r="B1973" t="s">
        <v>3960</v>
      </c>
      <c r="C1973" t="s">
        <v>3961</v>
      </c>
      <c r="D1973" t="s">
        <v>382</v>
      </c>
      <c r="E1973" t="s">
        <v>3957</v>
      </c>
      <c r="F1973" s="1">
        <v>1</v>
      </c>
      <c r="G1973" s="1">
        <v>0</v>
      </c>
      <c r="H1973" t="s">
        <v>17</v>
      </c>
      <c r="I1973" t="s">
        <v>84</v>
      </c>
      <c r="J1973" t="s">
        <v>3958</v>
      </c>
      <c r="K1973" s="3">
        <v>46479</v>
      </c>
      <c r="L1973" t="s">
        <v>3962</v>
      </c>
      <c r="M1973">
        <v>0.11799999999999999</v>
      </c>
      <c r="N1973">
        <v>0</v>
      </c>
      <c r="O1973">
        <f t="shared" si="90"/>
        <v>0.11799999999999999</v>
      </c>
      <c r="Q1973" t="str">
        <f t="shared" si="92"/>
        <v>Q27-03</v>
      </c>
    </row>
    <row r="1974" spans="1:17" x14ac:dyDescent="0.25">
      <c r="A1974" t="s">
        <v>12</v>
      </c>
      <c r="B1974" t="s">
        <v>3963</v>
      </c>
      <c r="C1974" t="s">
        <v>3964</v>
      </c>
      <c r="D1974" t="s">
        <v>382</v>
      </c>
      <c r="E1974" t="s">
        <v>3957</v>
      </c>
      <c r="F1974" s="1">
        <v>1</v>
      </c>
      <c r="G1974" s="1">
        <v>0</v>
      </c>
      <c r="H1974" t="s">
        <v>17</v>
      </c>
      <c r="I1974" t="s">
        <v>84</v>
      </c>
      <c r="J1974" t="s">
        <v>3958</v>
      </c>
      <c r="K1974" s="3">
        <v>46477</v>
      </c>
      <c r="L1974" t="s">
        <v>3965</v>
      </c>
      <c r="M1974">
        <v>0.11799999999999999</v>
      </c>
      <c r="N1974">
        <v>0</v>
      </c>
      <c r="O1974">
        <f t="shared" si="90"/>
        <v>0.11799999999999999</v>
      </c>
      <c r="Q1974" t="str">
        <f t="shared" si="92"/>
        <v>Q27-03</v>
      </c>
    </row>
    <row r="1975" spans="1:17" x14ac:dyDescent="0.25">
      <c r="A1975" t="s">
        <v>385</v>
      </c>
      <c r="B1975" t="s">
        <v>3157</v>
      </c>
      <c r="C1975" t="s">
        <v>3158</v>
      </c>
      <c r="D1975" t="s">
        <v>407</v>
      </c>
      <c r="E1975" t="s">
        <v>3966</v>
      </c>
      <c r="F1975" s="1">
        <v>5</v>
      </c>
      <c r="G1975" s="1">
        <v>0</v>
      </c>
      <c r="H1975" t="s">
        <v>17</v>
      </c>
      <c r="I1975" t="s">
        <v>3160</v>
      </c>
      <c r="J1975" t="s">
        <v>3967</v>
      </c>
      <c r="K1975" s="3">
        <v>47194</v>
      </c>
      <c r="L1975" t="s">
        <v>3968</v>
      </c>
      <c r="M1975">
        <v>0.18</v>
      </c>
      <c r="N1975">
        <v>1440</v>
      </c>
      <c r="O1975">
        <f t="shared" si="90"/>
        <v>0.89999999999999991</v>
      </c>
      <c r="P1975">
        <f t="shared" si="91"/>
        <v>3.472222222222222E-3</v>
      </c>
      <c r="Q1975" t="str">
        <f t="shared" si="92"/>
        <v>Q27-01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workbookViewId="0">
      <selection activeCell="G20" sqref="F20:G20"/>
    </sheetView>
  </sheetViews>
  <sheetFormatPr defaultRowHeight="15" x14ac:dyDescent="0.25"/>
  <cols>
    <col min="1" max="1" width="13.140625" customWidth="1"/>
    <col min="2" max="2" width="14.28515625" style="10" bestFit="1" customWidth="1"/>
    <col min="3" max="3" width="12.7109375" style="10" customWidth="1"/>
  </cols>
  <sheetData>
    <row r="3" spans="1:3" x14ac:dyDescent="0.25">
      <c r="A3" s="8" t="s">
        <v>3974</v>
      </c>
      <c r="B3" s="10" t="s">
        <v>3983</v>
      </c>
      <c r="C3" s="10" t="s">
        <v>3984</v>
      </c>
    </row>
    <row r="4" spans="1:3" x14ac:dyDescent="0.25">
      <c r="A4" s="9" t="s">
        <v>3975</v>
      </c>
      <c r="B4" s="10">
        <v>2340.3946600000013</v>
      </c>
      <c r="C4" s="10">
        <v>10.296810411281839</v>
      </c>
    </row>
    <row r="5" spans="1:3" x14ac:dyDescent="0.25">
      <c r="A5" s="9" t="s">
        <v>3976</v>
      </c>
      <c r="B5" s="10">
        <v>36.267300000000013</v>
      </c>
      <c r="C5" s="10">
        <v>0.18616666666666662</v>
      </c>
    </row>
    <row r="6" spans="1:3" x14ac:dyDescent="0.25">
      <c r="A6" s="9" t="s">
        <v>3977</v>
      </c>
      <c r="B6" s="10">
        <v>1572.240400000002</v>
      </c>
      <c r="C6" s="10">
        <v>8.3196341266106408</v>
      </c>
    </row>
    <row r="7" spans="1:3" x14ac:dyDescent="0.25">
      <c r="A7" s="9" t="s">
        <v>3978</v>
      </c>
      <c r="B7" s="10">
        <v>2559.9329400000011</v>
      </c>
      <c r="C7" s="10">
        <v>11.712841521397504</v>
      </c>
    </row>
    <row r="8" spans="1:3" x14ac:dyDescent="0.25">
      <c r="A8" s="9" t="s">
        <v>3979</v>
      </c>
      <c r="B8" s="10">
        <v>2000.7528000000004</v>
      </c>
      <c r="C8" s="10">
        <v>8.3541059449809598</v>
      </c>
    </row>
    <row r="9" spans="1:3" x14ac:dyDescent="0.25">
      <c r="A9" s="9" t="s">
        <v>3980</v>
      </c>
      <c r="B9" s="10">
        <v>2.6571000000000002</v>
      </c>
      <c r="C9" s="10">
        <v>7.9857142857142849E-2</v>
      </c>
    </row>
    <row r="10" spans="1:3" x14ac:dyDescent="0.25">
      <c r="A10" s="9" t="s">
        <v>3981</v>
      </c>
      <c r="B10" s="10">
        <v>0</v>
      </c>
    </row>
    <row r="11" spans="1:3" x14ac:dyDescent="0.25">
      <c r="A11" s="9" t="s">
        <v>3982</v>
      </c>
      <c r="B11" s="10">
        <v>8512.2452000000048</v>
      </c>
      <c r="C11" s="10">
        <v>38.949415813794758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Khoi, Le Minh</cp:lastModifiedBy>
  <dcterms:created xsi:type="dcterms:W3CDTF">2026-05-08T09:24:38Z</dcterms:created>
  <dcterms:modified xsi:type="dcterms:W3CDTF">2026-05-13T10:22:50Z</dcterms:modified>
</cp:coreProperties>
</file>