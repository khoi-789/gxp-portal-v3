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P:\7. LONG HAU\24. Ung dung AI\1. ISSUE - Solution\1. Team QLSP\GxP Portal\Preference\"/>
    </mc:Choice>
  </mc:AlternateContent>
  <xr:revisionPtr revIDLastSave="0" documentId="13_ncr:1_{B562BDB0-1284-4F6E-9FD4-1FB576F89F05}" xr6:coauthVersionLast="47" xr6:coauthVersionMax="47" xr10:uidLastSave="{00000000-0000-0000-0000-000000000000}"/>
  <bookViews>
    <workbookView xWindow="-110" yWindow="-110" windowWidth="19420" windowHeight="11500" firstSheet="1" activeTab="1" xr2:uid="{00000000-000D-0000-FFFF-FFFF00000000}"/>
  </bookViews>
  <sheets>
    <sheet name="2025" sheetId="6" state="hidden" r:id="rId1"/>
    <sheet name="2025-New" sheetId="9" r:id="rId2"/>
  </sheets>
  <definedNames>
    <definedName name="_xlnm._FilterDatabase" localSheetId="0" hidden="1">'2025'!$A$3:$U$21</definedName>
    <definedName name="_xlnm.Print_Area" localSheetId="0">'2025'!$A$1:$N$21</definedName>
    <definedName name="_xlnm.Print_Area" localSheetId="1">'2025-New'!$A$1:$N$74</definedName>
    <definedName name="_xlnm.Print_Titles" localSheetId="0">'2025'!$3:$3</definedName>
    <definedName name="_xlnm.Print_Titles" localSheetId="1">'2025-New'!$1:$1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1" i="9" l="1"/>
  <c r="A220" i="9"/>
  <c r="A219" i="9"/>
  <c r="A218" i="9" l="1"/>
  <c r="A217" i="9"/>
  <c r="A216" i="9" l="1"/>
  <c r="A215" i="9"/>
  <c r="A214" i="9" l="1"/>
  <c r="A213" i="9"/>
  <c r="A212" i="9"/>
  <c r="A211" i="9"/>
  <c r="A210" i="9"/>
  <c r="A209" i="9"/>
  <c r="A208" i="9" l="1"/>
  <c r="A203" i="9"/>
  <c r="A204" i="9"/>
  <c r="A205" i="9"/>
  <c r="A206" i="9"/>
  <c r="A207" i="9"/>
  <c r="A202" i="9" l="1"/>
  <c r="A201" i="9"/>
  <c r="A199" i="9"/>
  <c r="A200" i="9"/>
  <c r="A198" i="9"/>
  <c r="A197" i="9"/>
  <c r="A196" i="9"/>
  <c r="A195" i="9" l="1"/>
  <c r="A193" i="9"/>
  <c r="A192" i="9"/>
  <c r="A191" i="9"/>
  <c r="A190" i="9"/>
  <c r="A189" i="9"/>
  <c r="A188" i="9"/>
  <c r="A187" i="9"/>
  <c r="A186" i="9"/>
  <c r="A185" i="9" l="1"/>
  <c r="A184" i="9" l="1"/>
  <c r="A183" i="9" l="1"/>
  <c r="A182" i="9"/>
  <c r="A181" i="9" l="1"/>
  <c r="A180" i="9" l="1"/>
  <c r="A179" i="9" l="1"/>
  <c r="A178" i="9"/>
  <c r="A177" i="9" l="1"/>
  <c r="A5" i="9" l="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P4" i="9" l="1"/>
  <c r="A5" i="6" l="1"/>
  <c r="A6" i="6"/>
  <c r="A7" i="6"/>
  <c r="A8" i="6"/>
  <c r="A9" i="6"/>
  <c r="A10" i="6"/>
  <c r="A11" i="6"/>
  <c r="A12" i="6"/>
  <c r="A13" i="6"/>
  <c r="A14" i="6"/>
  <c r="A15" i="6"/>
  <c r="A16" i="6"/>
  <c r="A17" i="6"/>
  <c r="A18" i="6"/>
  <c r="A19" i="6"/>
  <c r="A20" i="6"/>
  <c r="A21" i="6"/>
  <c r="A4" i="6"/>
  <c r="U4" i="6"/>
  <c r="T4" i="6"/>
  <c r="T5" i="6" l="1"/>
  <c r="T6" i="6"/>
  <c r="T7" i="6"/>
  <c r="T8" i="6"/>
  <c r="T9" i="6"/>
  <c r="T10" i="6"/>
  <c r="T11" i="6"/>
  <c r="T12" i="6"/>
  <c r="T13" i="6"/>
  <c r="T14" i="6"/>
  <c r="T15" i="6"/>
  <c r="T16" i="6"/>
  <c r="T17" i="6"/>
  <c r="T18" i="6"/>
  <c r="T19" i="6"/>
  <c r="T20" i="6"/>
  <c r="T21" i="6"/>
  <c r="U5" i="6"/>
  <c r="U6" i="6"/>
  <c r="U7" i="6"/>
  <c r="U8" i="6"/>
  <c r="U9" i="6"/>
  <c r="U10" i="6"/>
  <c r="U11" i="6"/>
  <c r="U12" i="6"/>
  <c r="U13" i="6"/>
  <c r="U14" i="6"/>
  <c r="U15" i="6"/>
  <c r="U16" i="6"/>
  <c r="U17" i="6"/>
  <c r="U18" i="6"/>
  <c r="U19" i="6"/>
  <c r="U20" i="6"/>
  <c r="U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Thao, Do Thi Thanh</author>
    <author>Khoi, Le Minh</author>
  </authors>
  <commentList>
    <comment ref="R4" authorId="0" shapeId="0" xr:uid="{00000000-0006-0000-0000-000001000000}">
      <text>
        <r>
          <rPr>
            <b/>
            <sz val="9"/>
            <color indexed="81"/>
            <rFont val="Tahoma"/>
            <family val="2"/>
          </rPr>
          <t>Thao, Do Thi Thanh:</t>
        </r>
        <r>
          <rPr>
            <sz val="9"/>
            <color indexed="81"/>
            <rFont val="Tahoma"/>
            <family val="2"/>
          </rPr>
          <t xml:space="preserve">
test
</t>
        </r>
      </text>
    </comment>
    <comment ref="S4" authorId="0" shapeId="0" xr:uid="{00000000-0006-0000-0000-000002000000}">
      <text>
        <r>
          <rPr>
            <b/>
            <sz val="9"/>
            <color indexed="81"/>
            <rFont val="Tahoma"/>
            <family val="2"/>
          </rPr>
          <t>Thao, Do Thi Thanh:</t>
        </r>
        <r>
          <rPr>
            <sz val="9"/>
            <color indexed="81"/>
            <rFont val="Tahoma"/>
            <family val="2"/>
          </rPr>
          <t xml:space="preserve">
TEST
</t>
        </r>
      </text>
    </comment>
    <comment ref="R5" authorId="1" shapeId="0" xr:uid="{00000000-0006-0000-0000-000003000000}">
      <text>
        <r>
          <rPr>
            <b/>
            <sz val="9"/>
            <color indexed="81"/>
            <rFont val="Tahoma"/>
            <family val="2"/>
          </rPr>
          <t>Khoi, Le Minh:</t>
        </r>
        <r>
          <rPr>
            <sz val="9"/>
            <color indexed="81"/>
            <rFont val="Tahoma"/>
            <family val="2"/>
          </rPr>
          <t xml:space="preserve">
TEST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Phuc, Do Thi Hong</author>
  </authors>
  <commentList>
    <comment ref="G65" authorId="0" shapeId="0" xr:uid="{00000000-0006-0000-0100-000001000000}">
      <text>
        <r>
          <rPr>
            <b/>
            <sz val="9"/>
            <color indexed="81"/>
            <rFont val="Tahoma"/>
            <family val="2"/>
          </rPr>
          <t>Phuc, Do Thi Hong:</t>
        </r>
        <r>
          <rPr>
            <sz val="9"/>
            <color indexed="81"/>
            <rFont val="Tahoma"/>
            <family val="2"/>
          </rPr>
          <t xml:space="preserve">
Ngày 20/06/2025, thay đổi sổ lô do CS thông tin nhầm từ FE3304C-&gt;FE3273C</t>
        </r>
      </text>
    </comment>
    <comment ref="K81" authorId="0" shapeId="0" xr:uid="{00000000-0006-0000-0100-000002000000}">
      <text>
        <r>
          <rPr>
            <b/>
            <sz val="9"/>
            <color indexed="81"/>
            <rFont val="Tahoma"/>
            <family val="2"/>
          </rPr>
          <t>Phuc, Do Thi Hong:</t>
        </r>
        <r>
          <rPr>
            <sz val="9"/>
            <color indexed="81"/>
            <rFont val="Tahoma"/>
            <family val="2"/>
          </rPr>
          <t xml:space="preserve">
CẬP NHẬT SỐ LƯỢNG TỪ 01 GÓI SANG 06 HỘP
Hàng về kho chỉ có 2 hộp bị lỗi</t>
        </r>
      </text>
    </comment>
  </commentList>
</comments>
</file>

<file path=xl/sharedStrings.xml><?xml version="1.0" encoding="utf-8"?>
<sst xmlns="http://schemas.openxmlformats.org/spreadsheetml/2006/main" count="2702" uniqueCount="1355">
  <si>
    <t xml:space="preserve">STT
No.
</t>
  </si>
  <si>
    <r>
      <t xml:space="preserve">Ngày
</t>
    </r>
    <r>
      <rPr>
        <b/>
        <i/>
        <sz val="11"/>
        <color theme="1"/>
        <rFont val="Tahoma"/>
        <family val="2"/>
      </rPr>
      <t>date</t>
    </r>
  </si>
  <si>
    <t xml:space="preserve">Code 
CC- </t>
  </si>
  <si>
    <r>
      <t xml:space="preserve">Tên khách hàng
</t>
    </r>
    <r>
      <rPr>
        <b/>
        <i/>
        <sz val="11"/>
        <color theme="1"/>
        <rFont val="Tahoma"/>
        <family val="2"/>
      </rPr>
      <t>Customer</t>
    </r>
  </si>
  <si>
    <r>
      <t xml:space="preserve">Địa chỉ
</t>
    </r>
    <r>
      <rPr>
        <b/>
        <i/>
        <sz val="11"/>
        <color theme="1"/>
        <rFont val="Tahoma"/>
        <family val="2"/>
      </rPr>
      <t>address</t>
    </r>
  </si>
  <si>
    <r>
      <t xml:space="preserve">Tên sản phẩm
</t>
    </r>
    <r>
      <rPr>
        <b/>
        <i/>
        <sz val="11"/>
        <color theme="1"/>
        <rFont val="Tahoma"/>
        <family val="2"/>
      </rPr>
      <t>Product name</t>
    </r>
  </si>
  <si>
    <r>
      <t xml:space="preserve">Số Lô
</t>
    </r>
    <r>
      <rPr>
        <b/>
        <i/>
        <sz val="11"/>
        <color theme="1"/>
        <rFont val="Tahoma"/>
        <family val="2"/>
      </rPr>
      <t>batch No.</t>
    </r>
  </si>
  <si>
    <r>
      <t xml:space="preserve">NSX
</t>
    </r>
    <r>
      <rPr>
        <b/>
        <i/>
        <sz val="11"/>
        <color theme="1"/>
        <rFont val="Tahoma"/>
        <family val="2"/>
      </rPr>
      <t>Mfg date</t>
    </r>
  </si>
  <si>
    <r>
      <t xml:space="preserve">HD
</t>
    </r>
    <r>
      <rPr>
        <b/>
        <i/>
        <sz val="11"/>
        <color theme="1"/>
        <rFont val="Tahoma"/>
        <family val="2"/>
      </rPr>
      <t>Exp date</t>
    </r>
  </si>
  <si>
    <r>
      <t xml:space="preserve">Đơn vị tính
</t>
    </r>
    <r>
      <rPr>
        <b/>
        <i/>
        <sz val="11"/>
        <color theme="1"/>
        <rFont val="Tahoma"/>
        <family val="2"/>
      </rPr>
      <t>Unit</t>
    </r>
  </si>
  <si>
    <r>
      <t xml:space="preserve">Số Lượng
</t>
    </r>
    <r>
      <rPr>
        <b/>
        <i/>
        <sz val="11"/>
        <color theme="1"/>
        <rFont val="Tahoma"/>
        <family val="2"/>
      </rPr>
      <t>Quanity</t>
    </r>
  </si>
  <si>
    <r>
      <t xml:space="preserve">Lý do khiếu nại
</t>
    </r>
    <r>
      <rPr>
        <b/>
        <i/>
        <sz val="11"/>
        <color theme="1"/>
        <rFont val="Tahoma"/>
        <family val="2"/>
      </rPr>
      <t>Reason of complaint</t>
    </r>
  </si>
  <si>
    <r>
      <t xml:space="preserve">Tình trạng
</t>
    </r>
    <r>
      <rPr>
        <b/>
        <i/>
        <sz val="11"/>
        <color theme="1"/>
        <rFont val="Tahoma"/>
        <family val="2"/>
      </rPr>
      <t>status</t>
    </r>
  </si>
  <si>
    <t>NA</t>
  </si>
  <si>
    <t>chai</t>
  </si>
  <si>
    <t>Hộp</t>
  </si>
  <si>
    <t>MENACTRA BOX OF 1 VIAL</t>
  </si>
  <si>
    <t>hộp</t>
  </si>
  <si>
    <t>Người duyệt/ Approved by</t>
  </si>
  <si>
    <t xml:space="preserve"> </t>
  </si>
  <si>
    <t>Xuất mẫu sang văn phòng hãng</t>
  </si>
  <si>
    <t>VERORAB BOX OF 10 VIALS + 10 SYRINGES</t>
  </si>
  <si>
    <t>Lọ</t>
  </si>
  <si>
    <t>Bút</t>
  </si>
  <si>
    <t>2B PHO QUANG, PHUONG 2, QUAN TAN BINH, TP. HO CHI MINH, VIET NAM</t>
  </si>
  <si>
    <t>Ống</t>
  </si>
  <si>
    <t>PHOSPHALUGEL 12.38G/20G ORGEL SC26 VN</t>
  </si>
  <si>
    <t>60-60A PHAN XICH LONG, PHUONG 1, QUAN PHU NHUAN, TP.HO CHI MINH</t>
  </si>
  <si>
    <t>01/2025</t>
  </si>
  <si>
    <t>TAVANIC 500MG TABCO BL5 M36 VN</t>
  </si>
  <si>
    <t>TANG 1, SO 18 L1-5 VSIP II,DUONG SO 3, KCN VIET NAM-SINGAPORE II,HOA PHU, TP THU DAU MOT, BINH DUONG</t>
  </si>
  <si>
    <t>bút</t>
  </si>
  <si>
    <t>CONG TY TNHH DUOC PHAM MEDX</t>
  </si>
  <si>
    <t>Chai</t>
  </si>
  <si>
    <t>AVAXIM 80 U PEDIATRIC BOX OF 1 SYRINGE 0.5ML</t>
  </si>
  <si>
    <t>Vỉ</t>
  </si>
  <si>
    <t>Viên</t>
  </si>
  <si>
    <t>CONG TY CO PHAN Y TE CHAN VAN</t>
  </si>
  <si>
    <t>541/21 SU VAN HANH, PHUONG 13, QUAN TAN BINH, TP. HO CHI MINH</t>
  </si>
  <si>
    <t>DEPAKINE CHRONO 500MG TUBE OF 30 TABS VN</t>
  </si>
  <si>
    <t>VAXIGRIP TETRA BOX OF 1 SYR 0.5ML</t>
  </si>
  <si>
    <t>HỘP</t>
  </si>
  <si>
    <t>CALCIUM CORBIERE EXTRA 3SUPX10 10ML VN</t>
  </si>
  <si>
    <t>BIỂU MẪU 02/ FORM 02
DANH SÁCH KHIẾU NẠI KHÁCH HÀNG NĂM 2024
LIST OF CUSTOMER COMPLAINTS - YEAR 2024</t>
  </si>
  <si>
    <t>CHI NHANH HA NOI-CONG TY CO PHAN DUOC PHAM FPT LONG CHAU</t>
  </si>
  <si>
    <t>TO DAN PHO 4, THI TRAN QUANG MINH, HUYEN ME LINH, HA NOI</t>
  </si>
  <si>
    <t>LOVENOX 40MG/0.4ML INJ. B/ 2 SYRINGES VN</t>
  </si>
  <si>
    <t>FORTRAGET</t>
  </si>
  <si>
    <t>06/2025</t>
  </si>
  <si>
    <t>TOUJEO SOLOSTAR 450IU B/5 PENS X 1.5ML</t>
  </si>
  <si>
    <t>SO 12 DUONG 400, KHU PHO 3, PHUONG TAN PHU, THANH PHO THU DUC, TP. HO CHI MINH</t>
  </si>
  <si>
    <t>ZOLADEX 3.6 MG DEPOT 1'S</t>
  </si>
  <si>
    <t>IMOJEV 0.5ML 1DOSE</t>
  </si>
  <si>
    <t>VAXIGRIP TETRA 0.5ML 1D INJ PS1 M12 (SH)</t>
  </si>
  <si>
    <t>x</t>
  </si>
  <si>
    <t>CHAI</t>
  </si>
  <si>
    <t>CONG TY TNHH BENH VIEN DA KHOA PHUONG CHI</t>
  </si>
  <si>
    <t>CONG TY CO PHAN BENH VIEN DA KHOA HOAN MY DA LAT</t>
  </si>
  <si>
    <t>DOI LONG THO, P10, TP DA LAT, TINH LAM DONG</t>
  </si>
  <si>
    <t>RINOFIL SYRUP 2.5MG/5ML BT 15ML B/1</t>
  </si>
  <si>
    <t>Nguyên nhân khiếu nại/ Cause of complaint</t>
  </si>
  <si>
    <t>MAGRAX (HOP/100VIEN) - EU</t>
  </si>
  <si>
    <t>Lỗi từ nhà sản xuất</t>
  </si>
  <si>
    <t>LỌ</t>
  </si>
  <si>
    <t>BÚT</t>
  </si>
  <si>
    <t>Người lập/ Prepare by</t>
  </si>
  <si>
    <t>DOLUTEGRAVIR, LAMIVUDINE AND TENOFOVIR DISOPROXIL FUMARATE TABLETS 50/300/300MG (HOP/1 LO 30 VIEN)</t>
  </si>
  <si>
    <t>E243664</t>
  </si>
  <si>
    <t>4F039A</t>
  </si>
  <si>
    <t>01</t>
  </si>
  <si>
    <t>NO-SPA 40MG/2ML INJ AM25 VN</t>
  </si>
  <si>
    <t>TYPHIM VI BOX OF 1 SYRINGE 0.5ML</t>
  </si>
  <si>
    <t>BẢO MẬT THÔNG TIN CÁ NHÂN</t>
  </si>
  <si>
    <t>PIASCLEDINE TAB 15'S</t>
  </si>
  <si>
    <t>X3D131V</t>
  </si>
  <si>
    <t>Không có thuốc bên trong</t>
  </si>
  <si>
    <t>HÌNH THỨC NHẬN</t>
  </si>
  <si>
    <t>KHOA DUOC BENH VIEN QUAN Y 175</t>
  </si>
  <si>
    <t xml:space="preserve"> 786 NGUYEN KIEM, PHUONG 3, QUAN GO VAP, THANH PHO HO CHI MINH</t>
  </si>
  <si>
    <t>call</t>
  </si>
  <si>
    <t>Ngày 03/01/2025 tại Kho Ngoại trú BHYT ghi nhận 1 cây bút không vặn chỉnh liều được</t>
  </si>
  <si>
    <t>CC_020125-HCM</t>
  </si>
  <si>
    <t>CC_010125-HCM
HUY</t>
  </si>
  <si>
    <t>Ngày 03/01/2025, nhận được hướng xử lý từ hãng
Ngày 03/01/2025, Khách hàng hủy khiếu nại ("Sau khi khoa kiểm tra lại bút Toujeo, thì đó là bút của bệnh nhân đem từ nhà lên chứ không phải của Bệnh viện phát. Nên em xin thông tin lại cho công ty. Trường hợp này không cần phải giải quyết gi nữa ạ. Em cảm ơn chị đã hỗ trợ")
--&gt; Hoàn tất</t>
  </si>
  <si>
    <t>CC_030125-HCM</t>
  </si>
  <si>
    <t>TRUNG TAM Y TE QUAN 1</t>
  </si>
  <si>
    <t>SO 2 DANG TAT, PHUONG TAN DINH, QUAN 1, TP.HCM</t>
  </si>
  <si>
    <t>BENH VIEN PHAM NGOC THACH</t>
  </si>
  <si>
    <t>120 HONG BANG, PHUONG 12, QUAN 5, TP. HO CHI MINH</t>
  </si>
  <si>
    <t>BEPRASAN 20MG (H/VI/ 10V)</t>
  </si>
  <si>
    <t>NU6864</t>
  </si>
  <si>
    <t>NTBV báo phát hiện tình trạng lỗi khi đang cấp phát thuốc theo toa của bác sĩ, mở hộp thuốc thì thấy vỉ thuốc bị rách</t>
  </si>
  <si>
    <t>CC_040125-HCM</t>
  </si>
  <si>
    <t>CONG TY CO PHAN Y KHOA BAC SY GIA DINH</t>
  </si>
  <si>
    <t>73 NGUYEN HUU THO,PHUONG HOA THUAN TAY,QUAN HAI CHAU,THANH PHO DA NANG VIET NAM</t>
  </si>
  <si>
    <t>BENH VIEN PHAP VIET</t>
  </si>
  <si>
    <t>BENH VIEN DA KHOA TINH TRA VINH</t>
  </si>
  <si>
    <t>Không có thông tin trên ống thuốc</t>
  </si>
  <si>
    <t>1 bút  xoay thể tích không được, 1 bút xoay được nhưng bấm không ra thuốc</t>
  </si>
  <si>
    <t>CC_070125-HCM</t>
  </si>
  <si>
    <t xml:space="preserve">BENH VIEN DA KHOA TINH BINH THUAN </t>
  </si>
  <si>
    <t>DUONG TRUONG CHINH, PHUONG PHU TAI, TP PHAN THIET, TINH BINH THUAN</t>
  </si>
  <si>
    <t xml:space="preserve">LANTUS SOLOSTAR 100IU/ML B/5 PENS X 3ML
</t>
  </si>
  <si>
    <t>4F9694A</t>
  </si>
  <si>
    <t>BV báo bút tiêm cấp cho bệnh nhân sử dụng, vặn chỉnh liều được nhưng bấm rất cứng và không ra thuốc.</t>
  </si>
  <si>
    <t>Chấp nhận đổi hàng cho khách, hàng lỗi thu về chuyển sang khu vực chờ hủy theo xác nhận từ Phòng Kinh Doanh Dược
--&gt; Hoàn tất</t>
  </si>
  <si>
    <t>Ngày 12/12 BN mua 28 bơm về chích và cả 28 bơm đều bị rỉ như vậy
Có thể BN nhận lô JS044A vì từ đầu tháng 10 đến 20/12/24, FV đang sử dụng lô này. BN ko nhớ rõ lô chỉ báo bị tương tự lô trước.
·         Ngày 9/1 BN mua tiếp 28 bơm lô JS045A ,BN chích tiếp 2 bơm đều bị rỉ, trả lại FV 26 bơm
·         Số lô JS045A, hạn dung: 31/12/2025, số hd: 212738 (27/12/24)
·         Số lượng còn lại: 81 hộp
·         BN người nước ngoài
·         FV đã đổi lại lô mới nhất cho BN JS371A, hạn dung: 30/6/2026. Đến thời điểm hiện tại không thấy BN phản ánh</t>
  </si>
  <si>
    <t>JS045A</t>
  </si>
  <si>
    <t>06 Nguyen Luong Bang Street, Phu My Hung, District 7, Ho Chi Minh City, Vietnam</t>
  </si>
  <si>
    <t>hình ảnh Zalo</t>
  </si>
  <si>
    <t xml:space="preserve"> TTYT báo lỗi nắp thuốc bị ố vàng, trong đó có 2 lọ bị bung màng bọc lộ phần bông gòn với 1 lọ TTYT mở ra để kiểm tra chất lượng thuốc như hình đính kèm</t>
  </si>
  <si>
    <t xml:space="preserve">Hộp </t>
  </si>
  <si>
    <t>EVH2311</t>
  </si>
  <si>
    <t xml:space="preserve"> 08/04/2026</t>
  </si>
  <si>
    <t>ống</t>
  </si>
  <si>
    <t>SO 399, DUONG NGUYEN DANG, KHOM 10, PHUONG 7, THANH PHO TRA VINH, TINH TRA VINH</t>
  </si>
  <si>
    <t>CC_080125-HCM</t>
  </si>
  <si>
    <t>JS044A</t>
  </si>
  <si>
    <t>Ngày 15/01/2025, gửi email cho hãng
Ngày 16/01/2025. nhận được thông tin từu khách, báo hãng và hãng đồng ý đền bù cho khách, hàng thu về xuất sang văn phòng hãng</t>
  </si>
  <si>
    <t>Hãng chấp nhận đền bù, Xuất mẫu sang văn phòng hãng
Ngày 17/01/2025, Khách hủy khiếu nại do không muốn cung cấp hồ sơ chứng từ cho việc hủy
--&gt; Hoàn tất</t>
  </si>
  <si>
    <t>CC_050125-ĐN
HUY</t>
  </si>
  <si>
    <t xml:space="preserve">Ngày 20/01/2025, nhận được thông tin, chấp nhận đổi hàng cho khách và hàng khiếu nại cho vào khu vực chờ xử lý, chờ quyết định của hãng
</t>
  </si>
  <si>
    <t>CC_090125-HCM</t>
  </si>
  <si>
    <t>E243694</t>
  </si>
  <si>
    <t>TRUNG TAM Y TE THANH PHO BIEN HOA</t>
  </si>
  <si>
    <t>98/487 DUONG PHAM VAN THUAN, P. TAN MAI, TP. BIEN HOA, TINH DONG NAI</t>
  </si>
  <si>
    <t>CC_100125-HCM</t>
  </si>
  <si>
    <t>BENH VIEN PHAP VIET (CTTNHH YTE VIEN DONG VN)</t>
  </si>
  <si>
    <t>MIRGY 100MG CAPS 10'S</t>
  </si>
  <si>
    <t>Trong quá trình soạn thuốc cho bệnh nhân, phát hiện hộp Gabapentin (MIRGY) cap 100mg còn kín nguyên vẹn nhưng không có thuốc bên trong</t>
  </si>
  <si>
    <t>TTYT báo thuốc cấp cho bệnh nhận sử dụng thì bệnh nhân phát hiện báo viên thuốc màu xanh không phải màu cam như bình thường</t>
  </si>
  <si>
    <t>6 NGUYEN LUONG BANG, PHUONG TAN PHU,DO THI MOI NAM TP, QUAN 7, TP HCM</t>
  </si>
  <si>
    <t>373C07</t>
  </si>
  <si>
    <t>CC_060125-HCM
HUY</t>
  </si>
  <si>
    <t>Không xác định được nguyên nhân</t>
  </si>
  <si>
    <t>CONG TY CO PHAN BENH VIEN DAI HOC Y DUOC-HOANG ANH GIA LAI</t>
  </si>
  <si>
    <t xml:space="preserve">Khoa nhi nói pha nước vào vacxin verorab màu không trong hơi đục và dẻo. </t>
  </si>
  <si>
    <t>Ngày 14/01/2025, gửi email cho hãng
Hãng nhận khiếu nại nhưng vẫn đang đợi thêm thông tin điều tra từ phía khách hàng
Ngày 06/02/2025, khách hủy khiếu nại
--&gt; Hoàn tất</t>
  </si>
  <si>
    <t>BENH VIEN THONG NHAT </t>
  </si>
  <si>
    <t>CC_120225-HCM</t>
  </si>
  <si>
    <t>1 LY THUONG KIET, PHUONG 7, QUAN TAN BINH, TP. HO CHI MINH</t>
  </si>
  <si>
    <t>TEGRUCIL-1 (HOP/100VIEN) - EU</t>
  </si>
  <si>
    <t>CC_130225-HCM</t>
  </si>
  <si>
    <t>238 LE DUAN, P.TRA BA,TP.PLEIKU,TINH GIA LAI</t>
  </si>
  <si>
    <t>Ngày 11/02/2025, gửi email đến hãng và hãng nhận thông tin, đang chờ fb từ hãng</t>
  </si>
  <si>
    <t>CONG TY CO PHAN BENH VIEN MY PHUOC</t>
  </si>
  <si>
    <t>Tháng 9/2024 Viện kiểm nghiệm thuốc TP.HCM có thực hiện lấy mẫu thuốc Tegrucil-1, số lô 241600.
Đến tháng 02/2025 Bệnh viện Thống Nhất có nhận được kết quả mẫu thuốc không đạt yêu cầu chất lượng theo quy định (file đính kèm).
Hiện nay, lô thuốc trên đã sử dụng hết và bệnh viện đang tồn 2.790 viên Tegrucil-1, số lô 243474.
Yêu cầu công ty kiểm tra chất lượng và phản hồi lại bằng văn bản lô thuốc số 243474 để bệnh viện tiếp tục sử dụng</t>
  </si>
  <si>
    <t xml:space="preserve">THUA DAT SO 2292, TO BAN DO SO 58, DUONG TC3, TO 6, KHU PHO 3, PHUONG MY PHUOC, THANH PHO BEN CAT, TINH BINH DUONG, VIET NAM </t>
  </si>
  <si>
    <t>1 hộp vaccine vaxigrip bị nghẹt pitton không đẩy lên được</t>
  </si>
  <si>
    <t>Y4A171V</t>
  </si>
  <si>
    <t>W1C561V</t>
  </si>
  <si>
    <t>TRUNG TAM TIEM CHUNG VAC XIN NINH HOA</t>
  </si>
  <si>
    <t>594 - 596 TRAN QUY CAP, TO DAN PHO 1, PHUONG NINH HIEP, THI XA NINH HOA, TINH KHANH HOA</t>
  </si>
  <si>
    <t xml:space="preserve"> VERORAB 0.5ML 10D INJ VL10+P10 M36 H VN</t>
  </si>
  <si>
    <t>CC_140225-HCM</t>
  </si>
  <si>
    <t>X1D421V</t>
  </si>
  <si>
    <t>1 hộp vaccine Verorab không bơm nước pha vào lọ được và phần kim bị gỉ sét </t>
  </si>
  <si>
    <t>zalo</t>
  </si>
  <si>
    <t>CC_150225-HCM</t>
  </si>
  <si>
    <t>Zuellig Viet Nam</t>
  </si>
  <si>
    <t>08A2306GA</t>
  </si>
  <si>
    <t>Trong đợt nhận hàng IMOJEV vừa qua từ Hoàng Đức, kho ZPV có phát hiện một trường hợp hàng bị hư hỏng (hộp bị móp) được ghi nhận như hình ảnh và biên bản đính kèm</t>
  </si>
  <si>
    <t>7-9 Đường Số 8, Tân Tạo A, Bình Tân, Hồ Chí Minh</t>
  </si>
  <si>
    <t>14/02/2025 báo email cho hãng
17/02/2025 hãng chấp nhận khiếu nại và tiến hành thu hồi xuất sang văn phòng hãng
--&gt; Hoàn tất</t>
  </si>
  <si>
    <t>11/02/2025 báo email cho hãng và nhận được hướng xử lý
12/02/2025 nhận được thông tin số lô và hạn dùng sản phẩm khiếu nại
--&gt; Hoàn tất</t>
  </si>
  <si>
    <t>Hãng chấp nhận đền bù, xuất mẫu sang văn phòng hãng
Ngày 10/02/2024, nhập kho và xuất mẫu trả hãng
--&gt; Hoàn tất</t>
  </si>
  <si>
    <t>Tương tự case CC_040125-HCM
--&gt;Hoàn tất</t>
  </si>
  <si>
    <t>OSPAMOX 500MG TAB 10'S</t>
  </si>
  <si>
    <t>LO 2.11H, DUONG SO 6, KHU CONG NGHIEP TRA NOC II, PHUONG PHUOC THOI, QUAN O MON, THANH PHO CAN THO</t>
  </si>
  <si>
    <t>00523</t>
  </si>
  <si>
    <t>CC_160225-HCM</t>
  </si>
  <si>
    <t>CONG TY CO PHAN DUOC PHAM AN KHANG PHARMA</t>
  </si>
  <si>
    <t xml:space="preserve">Sản phẩm bị lỗi thiếu số lượng trong vỉ </t>
  </si>
  <si>
    <t>Xin thêm thông tin từ khách, viên được phát hiện trong cấp lẻ cho bệnh nhân (BV giao cho bệnh nhân 1 hộp chẵn và 1 hộp lẻ)
Đang đợi thông tin phản hồi của hãng
Ngày 20/02/2025, hãng gửi công văn 
Ngày 21/02/2025, mail cho CS để thông tin đến khách
--&gt; Hoàn tất</t>
  </si>
  <si>
    <t>Thu 10 hộp xuất sang văn phòng hãng, Khách yêu cầu thu luôn 81 hộp-&gt; hãng đồng ý và tiến hành thu về
Đã hoàn thành xuất mẫu sang hãng ngày 04/02/2025
Ngày 26/02/2025, nhận được kết quả điều tra của hãng và đã gửi email đến khách
--&gt; Hoàn tất</t>
  </si>
  <si>
    <t xml:space="preserve">27/02/2025, nhận được xác nhận từ team kinh doanh đổi hàng cho khách
03/03/2025 báo email complaint với nhà sản xuất
</t>
  </si>
  <si>
    <t>19/02/2025 báo email cho hãng
20/02/2025 nhận được phản hồi từ hãng. Không ảnh hưởng chất lượng nên hàng bán bình thường (móp nhẹ)</t>
  </si>
  <si>
    <t>10/02/2025 báo email sang hãng, nhận được hướng xử lý từ hãng
Ngày 13/02/2025, CS thông tin số lô
--&gt; Hoàn tất
Ngày 06/03/2025, khách hủy khiếu nại, do không cung cấp được chứng từ cho việc đền bù</t>
  </si>
  <si>
    <t>CC_110225-HCM
HUY</t>
  </si>
  <si>
    <t>CC_170325-HN</t>
  </si>
  <si>
    <t>BENH VIEN DA KHOA PHUONG DONG</t>
  </si>
  <si>
    <t xml:space="preserve">SO 9, PHO VIEN, PHUONG CO NHUE 2, QUAN BAC TU LIEM , HA NOI </t>
  </si>
  <si>
    <t xml:space="preserve"> PODOXRED 500MG (H/1 LO)</t>
  </si>
  <si>
    <t>H240904</t>
  </si>
  <si>
    <t>lọ thuốc bị thủng đáy và bột bị rơi ra ngoài (hình ảnh đính kèm)</t>
  </si>
  <si>
    <t>Nhận được email từ CS rằng hãng đồng ý đền bù 12/03/2025</t>
  </si>
  <si>
    <t>CC_180325-HN</t>
  </si>
  <si>
    <t>CONG TY DUOC PHAM HA NOI</t>
  </si>
  <si>
    <t>Depakine 200mg TABEC TB40 – SPAIN</t>
  </si>
  <si>
    <t>Depakine Solution 200mg BTLX40ml VN tổng số lượng 2.000 hộp ở hóa đơn 23438 số lượng 1.000 hộp và hóa đơn 23463 số lượng 1.000 hộp cùng lô ELB03419 hạn dùng 04/2027 có 01 hộp bị móp méo trong kiện nguyên.
Depakine 200mg TABEC TB40 – SPAIN hóa đơn 23464 số lượng 1.720 hộp lô 4R983 hạn dùng 05/2027 có 07 hộp bị móp méo trong kiện nguyên</t>
  </si>
  <si>
    <t xml:space="preserve">ELB03419
4R983 </t>
  </si>
  <si>
    <t>NGÀY NHẬN</t>
  </si>
  <si>
    <t>FIXED EXP</t>
  </si>
  <si>
    <t>FIXED IMPORT</t>
  </si>
  <si>
    <t>Xuất mẫu theo đợt</t>
  </si>
  <si>
    <t>Chờ hủy</t>
  </si>
  <si>
    <t>XUẤT MẪU NGAY</t>
  </si>
  <si>
    <t>XÁC NHẬN TỪ HÃNG</t>
  </si>
  <si>
    <t>Tên sản phẩm
Product name</t>
  </si>
  <si>
    <t>Số Lô
batch No.</t>
  </si>
  <si>
    <t>Số Lượng
Quanity</t>
  </si>
  <si>
    <t>Đơn vị tính
Unit</t>
  </si>
  <si>
    <t>Tên khách hàng
Customer</t>
  </si>
  <si>
    <t>Ngày
date</t>
  </si>
  <si>
    <t>Địa chỉ
address</t>
  </si>
  <si>
    <t>NSX
Mfg date</t>
  </si>
  <si>
    <t>HD
Exp date</t>
  </si>
  <si>
    <t>Lý do khiếu nại
Reason of complaint</t>
  </si>
  <si>
    <t>STT
No.</t>
  </si>
  <si>
    <t>XUẤT MẪU NGAY NHẬN</t>
  </si>
  <si>
    <t>Chờ xử lý</t>
  </si>
  <si>
    <t>Trả lời câu hỏi</t>
  </si>
  <si>
    <t>Chuyển bán</t>
  </si>
  <si>
    <t>HỦY KHIẾU NẠI</t>
  </si>
  <si>
    <t>TRUNG TAM Y TE HUYEN DAM RONG</t>
  </si>
  <si>
    <t>THON 1, RO MEN, HUYEN DAM RONG, TINH LAM DONG</t>
  </si>
  <si>
    <t>HC410A</t>
  </si>
  <si>
    <t xml:space="preserve">Bị vỡ </t>
  </si>
  <si>
    <t>CC_200325-HCM</t>
  </si>
  <si>
    <t>HO KINH DOANH  TIEM CHUNG VAC – XIN DICH VU TNT - NINH HOA</t>
  </si>
  <si>
    <t>543 TRAN QUY CAP TDP 2, PHUONG NINH HIEP, THI XA NINH HOA, TINH KHANH HOA</t>
  </si>
  <si>
    <t>Y1A082V</t>
  </si>
  <si>
    <t>Khi chuẩn bị sử dụng thuốc cho khách hàng, 1 bơm tiêm chứa dung môi bị cứng không thể thực hiện các thao tác tiếp theo được</t>
  </si>
  <si>
    <t>Ngày 18/03/2025, nhận được email hướng xử lý từ hãng</t>
  </si>
  <si>
    <t>email</t>
  </si>
  <si>
    <t xml:space="preserve">NHA THUOC TAY HAI </t>
  </si>
  <si>
    <t>SO 40 NGU CAU 1, AN THUONG, HOAI DUC, HA NOI</t>
  </si>
  <si>
    <t>J231007</t>
  </si>
  <si>
    <t>Ngày 17/03/2025, báo email cho CS xin thêm thông tin
Ngày 18/03/2025, remind CS</t>
  </si>
  <si>
    <t>Ngày 17/03/2025, báo email cho khách, kho, GSDP xin thêm thông tin cho điều tra nguyên nhân
Ngày 20/03/2025, báo email cho khách đồng ý đổi hàng cho khách, vì hàng móp nhẹ, không ảnh hưởng chất lượng sản phẩm bên trong. 
Hàng khiếu nại thu về sẽ xem xét cho việc release</t>
  </si>
  <si>
    <t>ELB03419
4R983</t>
  </si>
  <si>
    <t>04/2027
05/2027</t>
  </si>
  <si>
    <t>CC_210325-HN</t>
  </si>
  <si>
    <t xml:space="preserve"> KHOA DUOC BENH VIEN QUAN Y 175 </t>
  </si>
  <si>
    <t>FAS3705</t>
  </si>
  <si>
    <t>lọ thuốc bị nứt</t>
  </si>
  <si>
    <t>CC_220325-HCM</t>
  </si>
  <si>
    <t>Ngày 24/03/2025, nhận được hướng xử lý của hãng, hãng đồng ý khiếu nại</t>
  </si>
  <si>
    <t xml:space="preserve">27/02/2025, nhận được xác nhận từ team kinh doanh đổi hàng cho khách
03/03/2025 báo email complaint với nhà sản xuất
18/03/2025 vẫn chưa nhận được phản hồi từ hãng
21/03/2025, nhận được email từ nhà máy, đồng ý đền bù cho khách và sẽ xuất trả mẫu cho nhà máy để điều tra nguyên nhân
</t>
  </si>
  <si>
    <t>CC_230325-HCM</t>
  </si>
  <si>
    <t>CONG TY CO PHAN DAU TU BENH VIEN XUYEN A – CN VINH LONG</t>
  </si>
  <si>
    <t>SO 68E – DUONG PHAM HUNG – TO 69 – KHOM 2 – PHUONG 9 – TP VINH LONG – TINH VINH LONG</t>
  </si>
  <si>
    <t>CODODAMED 75MG (HOP/ 56 VIEN)</t>
  </si>
  <si>
    <t>07/2020</t>
  </si>
  <si>
    <t>VỈ</t>
  </si>
  <si>
    <t>Trong 7 vỉ đó. Có khoảng 10 viên bị đổ hoạt chất ra ngoài nang (mỗi vỉ bị 1 hoặc 2 viên)
Bv chỉ lưu lại vỉ lỗi chứ không có chừa cả hộp, mỗi hộp bị 1 vỉ</t>
  </si>
  <si>
    <t>170 Đ. LA THÀNH, CHỢ DỪA, ĐỐNG ĐA, HÀ NỘI</t>
  </si>
  <si>
    <t>02623</t>
  </si>
  <si>
    <t>01523</t>
  </si>
  <si>
    <t>CC_240325-HCM</t>
  </si>
  <si>
    <t xml:space="preserve">BENH VIEN NGUYEN TRAI </t>
  </si>
  <si>
    <t>314 NGUYEN TRAI, PHUONG 7, QUAN 5, THANH PHO HO CHI MINH</t>
  </si>
  <si>
    <t>SN173</t>
  </si>
  <si>
    <t>Báo phát hiện đầu kim bị thụt vào trong không sử dụng được cho bệnh nhân</t>
  </si>
  <si>
    <t>CC_250325-HCM</t>
  </si>
  <si>
    <t xml:space="preserve">02623 
</t>
  </si>
  <si>
    <t>HEXAXIM BOX OF 1 PRE-FILLED SYRINGE  + 2 NEEDLES</t>
  </si>
  <si>
    <t>W3B234V</t>
  </si>
  <si>
    <t>KH cá nhân đã tiêm 3 mũi vaccine HEXAXIM BOX OF 1 PRE-FILLED SYRINGE  + 2 NEEDLES, mũi gần nhất tiêm đầu tháng 2/2024 ( thông tin sản phẩm : Số lô: w3b234v; Hạn dùng Tháng 11/2025; Ngày Sản xuất 03/12/2021
KH tìm hiểu trên internet thông tin thường vaccine có HSD 3 năm nhưng trên vỏ hộp để HSD 4 năm, hiện KH lo lắng cần giải đáp thắc mắc hiện mặt hàng HEXAXIM có HSD 3 năm hay 4 năm</t>
  </si>
  <si>
    <t>Thắc mắc của khách hàng về hạn dùng</t>
  </si>
  <si>
    <t>12917535</t>
  </si>
  <si>
    <t>hình ảnh</t>
  </si>
  <si>
    <t>CC_260325-HCM</t>
  </si>
  <si>
    <t xml:space="preserve"> TRUNG TAM Y TE THI XA DUYEN HAI</t>
  </si>
  <si>
    <t>KHOM 3, PHUONG 1, THI XA DUYEN HAI, TINH TRA VINH</t>
  </si>
  <si>
    <t>INSUNOVA -G PEN (HOP/1 BUT TIEM NAP SAN 3ML DUNG DICH THUOC )</t>
  </si>
  <si>
    <t>BF24002924</t>
  </si>
  <si>
    <t>Báo thông tin thuốc bị kẹt không vặn chỉnh liều được</t>
  </si>
  <si>
    <t>CC_190325-HCM
HUY</t>
  </si>
  <si>
    <t>Ngày 28/03/2025 nhận được hướng xử lý của hãng, chấp nhận khiếu nại, và xuất mẫu khiếu nại trả hãng
Ngày 01/04/2025, nhận được thông tin đổi số lượng khiếu nại từ 05 sang 01 bút</t>
  </si>
  <si>
    <t>Ống dung môi của Verorab bị lỗi, phần kim phía trong lòng ống màu vàng vàng và pít Tông bị cứng không đẩy lên được</t>
  </si>
  <si>
    <t>CC_270425-HCM</t>
  </si>
  <si>
    <t>Ngày 21/03/2025, báo email cho Plan để làm việc với nhà cung cấp
Ngày 24/03/2025, nhờ CS xin thêm thông tin để Plan báo hãng
Ngày 27/03/2025, nhận được thông tin và đã phản hồi cho cho Plan
Ngày 04/04/2025, nhận được hướng xử lý từ hãng, chấp nhận đền bù cho khách</t>
  </si>
  <si>
    <t>X</t>
  </si>
  <si>
    <t>CC_280425-ĐN</t>
  </si>
  <si>
    <t>CÔNG TY CP Y KHOA GIA DINH</t>
  </si>
  <si>
    <t>DAVYCA 75MG (HOP/28VIEN) - EU</t>
  </si>
  <si>
    <t>242116</t>
  </si>
  <si>
    <t>Bị lỗi đổ bột</t>
  </si>
  <si>
    <t>Ngày 04/04/2025, báo email cho hãng</t>
  </si>
  <si>
    <t>Ngày 03/04/2025, báo email cho hãng
Ngày 08/04/2025, nhận được hướng xử lý đổi hàng cho khách từ hãng
--&gt; Hoàn tất</t>
  </si>
  <si>
    <t>Ngày 28/03/2025 nhận được câu trả lời để giải đáp thắc mắc cho khách
--&gt; Hoàn tất</t>
  </si>
  <si>
    <t>Ngày 27/03/2025 báo email cho hãng
Ngày 01/04/2025 nhận được email từ hãng chấp nhận khiếu nại và xuất mẫu khiếu nại về nhà máy
--&gt; Hoàn tất</t>
  </si>
  <si>
    <t>BIỂU MẪU 02/ FORM 02
DANH SÁCH KHIẾU NẠI KHÁCH HÀNG NĂM 2025
LIST OF CUSTOMER COMPLAINTS - YEAR 2025</t>
  </si>
  <si>
    <t>73 Nguyễn Hữu Thọ, Đà Nẵng</t>
  </si>
  <si>
    <t>CC_290425-ĐN</t>
  </si>
  <si>
    <t xml:space="preserve">CONG TY TNHH DUOC PHAM MEDX </t>
  </si>
  <si>
    <t>ALUMINIUM PHOSPHAT GEL</t>
  </si>
  <si>
    <t>223475</t>
  </si>
  <si>
    <t>CONG TY CO PHAN Y TE AMVGROUP</t>
  </si>
  <si>
    <t>167B LE VAN LUONG, AP 5, XA PHUOC KIEN, HUYEN NHA BE, THANH PHO HO CHI MINH</t>
  </si>
  <si>
    <t>X3H271V</t>
  </si>
  <si>
    <t>1 hộp vaccine avaxim không có lọ thuốc bên trong</t>
  </si>
  <si>
    <t>CC_300425-ĐN</t>
  </si>
  <si>
    <t>ZALO</t>
  </si>
  <si>
    <t>CC_310425-HN</t>
  </si>
  <si>
    <t>BVĐK Phương Đông</t>
  </si>
  <si>
    <t>Số 9 Phố Viên, Cổ Nhuế 2, Bắc Từ Liêm, HN</t>
  </si>
  <si>
    <t>BV Đại Học Y Hà Nội</t>
  </si>
  <si>
    <t>Redditux 500</t>
  </si>
  <si>
    <t>CC_330425-HN</t>
  </si>
  <si>
    <t>CC_320425-HCM</t>
  </si>
  <si>
    <t>KHOA DUOC BV BINH DAN</t>
  </si>
  <si>
    <t>SN795</t>
  </si>
  <si>
    <t>CC_340425-HCM</t>
  </si>
  <si>
    <t xml:space="preserve">27/02/2025, nhận được xác nhận từ team kinh doanh đổi hàng cho khách
03/03/2025 báo email complaint với nhà sản xuất
18/03/2025 vẫn chưa nhận được phản hồi từ hãng
21/03/2025, nhận được email từ nhà máy, đồng ý đền bù cho khách và sẽ xuất trả mẫu cho nhà máy để điều tra nguyên nhân
Ngày 15/04/2025 nhận được công văn giải thích của nhà máy, lỗi không xuất phát từ quá trình sản xuất, đóng gói giao nhận
</t>
  </si>
  <si>
    <t>Lỗi không xuất phát từ quá trình sản xuất, đóng gói giao nhận</t>
  </si>
  <si>
    <t>INSUNOVA 30/70 (BIPHASIC) (HOP/1 LO 10ML)</t>
  </si>
  <si>
    <t>BF24002915</t>
  </si>
  <si>
    <t>BENH VIEN THONG NHAT</t>
  </si>
  <si>
    <t> 1 LY THUONG KIET, PHUONG 7, QUAN TAN BINH, TP. HO CHI MINH</t>
  </si>
  <si>
    <t>Trong quá trình cấp phát cho bệnh nhân, kho phát hiện có 01 lọ Insunova bị bể ( hình đính kèm), BV nhờ Công ty xem xét có phương án bù 01 lọ cho bệnh viện gửi lại thuốc cho bệnh nhân</t>
  </si>
  <si>
    <t>Vitamin D3 Ocean Health</t>
  </si>
  <si>
    <t>VN0302</t>
  </si>
  <si>
    <t>371 DIEN BIEN PHU,QUAN 3</t>
  </si>
  <si>
    <t>Khoa Dược Bệnh viện Đại Học Y Hà Nội hôm nay có phản ánh về 1 lọ thuốc Redditux500 của Dr Reddy’s có hiện tượng như sau:
Bệnh nhân mua thuốc này lúc khoảng 10h ngày 15/4/2025 với số lượng 2 lọ (Kèm đơn như trong email). Trước đó 2 lọ bảo quản ngăn mát 2-8 độ như nhau. Thuốc được lĩnh về bệnh phòng để truyền cho bệnh nhân.
Khoảng 10h30 điều dưỡng rút thuốc để truyền thì thấy hiện tượng 1 lọ thuốc bị đông đá. Điều dưỡng mô tả như sau: Do bề mặt lọ thuốc đọng nước nên điều dưỡng không phát hiện ra bị đông đá. Hút được 1/2 thì phát hiện bị đông đá. Họ chưa từng gặp tình huống này bao giờ. Hiện tại 1 nửa lọ đó đang được bảo quản lại tại vị trí ban đầu.
Bệnh viện có báo trực tiếp cho nhân viên công ty (Nguyễn Văn Trường) phản ánh về lọ thuốc này. Viện đang đề nghị công ty hỗ trợ đổi cho bệnh viện 01 lọ thuốc mới cho bệnh viện.</t>
  </si>
  <si>
    <t>N240505A</t>
  </si>
  <si>
    <t>08/2024</t>
  </si>
  <si>
    <t>CC_350425-HCM</t>
  </si>
  <si>
    <t>HC084A</t>
  </si>
  <si>
    <t>BV báo khi mở ra thì đã thấy bơm rời làm 2 phần, lò xo vẫn còn nguyên ( hình đính kèm). BV yêu cầu công ty đổi 1 bơm khác</t>
  </si>
  <si>
    <t>SO 1 PHO TON THAT TUNG, PHUONG KIM LIEN, QUAN DONG DA, THANH PHO HA NOI</t>
  </si>
  <si>
    <t>Nhận được hướng xử lý từ hãng ngày 16/04/2025</t>
  </si>
  <si>
    <t>Khách Hàng của BV đã mua 1 lọ Vitamin D3 Ocean Health với số lô: VN0302
Nhưng do KH quét mã vạch không tìm kiếm và check được thông tin sản phẩm nên KH đã nghi ngờ BV bán hàng giả.
Mặc dù đội ngũ BV đã giải thích cặn kẽ, đưa ra các thông tin hoá đơn nhập hàng đầy đủ từ Cty Hoàng Đức, thông tin số công bố hợp lệ. Nhưng KH vẫn chưa thật sự tin tưởng và yên tâm về sản phẩm nhập khẩu này.
BV mong muốn đc sự tham vấn và hỗ trợ thêm từ Công Ty để có thêm thông tin giải đáp, minh chứng cho sự uy tín của Bệnh Viện.</t>
  </si>
  <si>
    <t>Thắc mắc của khách hàng về mã vạch</t>
  </si>
  <si>
    <t>bệnh nhân bị ngứa dọc đường tiêm. 
Bệnh viện yêu cầu trả lời</t>
  </si>
  <si>
    <t>CC_360425-HCM
NOI BO</t>
  </si>
  <si>
    <t>FEROGLOBIN B12 CAPSULES (H/30 VIEN)</t>
  </si>
  <si>
    <t>FW2418PA</t>
  </si>
  <si>
    <t>Lỗi do Hoàng Đức</t>
  </si>
  <si>
    <t xml:space="preserve">
16/04/2025, báo email cho hãng và đang nhờ CS xin thêm thông tin
Ngày 24/4/2025, hãng đồng ý khiếu nại, tiến hành đền bù cho khách, thu mẫu khiếu nại trả hãng</t>
  </si>
  <si>
    <t>CC_370425-HCM</t>
  </si>
  <si>
    <t>CHI NHANH CONG TY CO PHAN BENH VIEN DA KHOA TAM ANH</t>
  </si>
  <si>
    <t>CORDARONE 200mg</t>
  </si>
  <si>
    <t>FA3060</t>
  </si>
  <si>
    <t>Hãng hướng dẫn trả lời 15/04/2025
--&gt; Hoàn tất</t>
  </si>
  <si>
    <t>Ngày 15/04/2025, báo email cho hãng và nhận được hướng xử lý. Chấp nhận 
--&gt; Hoàn tất</t>
  </si>
  <si>
    <t xml:space="preserve"> Lô C2-7, đường 15, khu công nghiệp Hoà Cầm, P. Hoà Thọ Tây, Q. Cẩm Lệ, TP Đà Nẵng</t>
  </si>
  <si>
    <t>02 gói bị chảy nước</t>
  </si>
  <si>
    <t xml:space="preserve">Ngày 20/01/2025, nhận được thông tin, chấp nhận đổi hàng cho khách và hàng khiếu nại cho vào khu vực chờ xử lý, chờ quyết định của hãng
--&gt; Hoàn tất
</t>
  </si>
  <si>
    <t>Ngày 25/03/2025, báo cho Plan
Xin thêm thông tin hình ảnh
Ngày 04/04/2025, DAVI yêu cầu điều tra nguyên nhân
21/04/2025, nhận được thông tin từ nhà máy DAVI không do DAVI nhập khẩu nên đóng case
22/04/2025, SALE DAVI sẽ làm việc trực tiếp với bệnh viện
05/05/2025, bệnh viện đã được Sale liên hệ</t>
  </si>
  <si>
    <t>Không chấp nhận khiếu nại</t>
  </si>
  <si>
    <t>CONG TY CO PHAN DUOC PHAM FPT LONG CHAU</t>
  </si>
  <si>
    <t>ATASART H TAB 28'S</t>
  </si>
  <si>
    <t>LO L-1, DUONG N2, KCN HUU THANH, XA HUU THANH, HUYEN DUC HOA, TINH LONG AN</t>
  </si>
  <si>
    <t>CC_380525-HCM</t>
  </si>
  <si>
    <t>230T03</t>
  </si>
  <si>
    <t>Đơn hàng giao tới kiểm tra có 1 hộp ATASART H không có thông tin lô date như hình đính kèm mail, yêu cầu công ty đổi hàng</t>
  </si>
  <si>
    <t>Không đạt cảm quan, vỉ thuốc bị vệt hằng bột ẩm, phân rả vài hạt trên thanh vỉ. Bên cạnh đó có 3 viên bị bể trong vỉ</t>
  </si>
  <si>
    <t>CC_390525-HCM</t>
  </si>
  <si>
    <t>Hãng đồng ý nhận hàng khiếu nại về để điều tra nguyên nhân-&gt; đang đợi thông tin từ CS
Ngày 22/04/2025, khách không yêu cầu đền bù
--&gt; Hoàn tất</t>
  </si>
  <si>
    <t>ALUMINIUM PHOSPHAT GEL (HOP/20GOI)</t>
  </si>
  <si>
    <t>230825</t>
  </si>
  <si>
    <t>CC_400525-HCM</t>
  </si>
  <si>
    <t xml:space="preserve">CONG TY CO PHAN BENH VIEN DA KHOA HOAN MY DA LAT </t>
  </si>
  <si>
    <t>Bệnh nhân phản hồi vặn lên tới mức 4 UI bị cứng</t>
  </si>
  <si>
    <t>Hãng chấp nhận đền bù cho khách, hàng khiếu nại thu về cho vào khu vực chờ xử lý, chờ hướng xử lý từ hãng</t>
  </si>
  <si>
    <t>CC_410525-HCM</t>
  </si>
  <si>
    <t>Phòng khám Menhealth phản hồi là đã bán 2 hộp Androgel cho bệnh nhân mang từ VN về Úc mở hộp ra thấy 1 hộp bình thường, 1 hộp có 16 gói không có thuốc (gói thuốc hở như hình) 14 tube còn lại cảm quan thấy bình thường. Gần đây các đơn hàng Androgel cảm quan hầu như đơn nào cũng sẽ có hộp bị tróc keo dán phần nắp vỏ ngoài (trước đó rất ít gặp)</t>
  </si>
  <si>
    <t>7B/31 THANH THAI, PHUONG 14, QUAN 10, THANH PHO HO CHI MINH</t>
  </si>
  <si>
    <t>ANDROGEL GEL 50MG 30'S</t>
  </si>
  <si>
    <t>82152</t>
  </si>
  <si>
    <t>05/05/2025, gửi email cho hãng và nhận được hướng xử lý đền bù cho khách
Hãng chấp nhận đền bù cho khách, hàng khiếu nại thu về xuất sang văn phòng hãng</t>
  </si>
  <si>
    <t>CC_420525-HCM</t>
  </si>
  <si>
    <t>TTYT HUYEN PHU TAN</t>
  </si>
  <si>
    <t>123 HAI THUONG LAN ONG, KHOM THUONG 2, PHU MY, PHU TAN, AN GIANG</t>
  </si>
  <si>
    <t>Tháng 4 có đặt đơn hàng NO-SPA 40mg/2ml khi nhận hàng có đồng kiểm bên ngoại hộp. Nhưng nay kiểm kho phát hiện bể 3 ống như hình đính kèm</t>
  </si>
  <si>
    <t>CC_430525-HCM</t>
  </si>
  <si>
    <t>TRUNG TAM Y TE QUAN 5</t>
  </si>
  <si>
    <t>DOLUTEGAVIR, LAMIVUDINE ,TENOFOVIR 50/300/300mg</t>
  </si>
  <si>
    <t>42A NGUYEN TRAI, PHUONG 11, QUAN 5, TP. HO CHI MINH</t>
  </si>
  <si>
    <t>Nhờ Công Ty xem tình hình về sản xuất thuốc DOLUTEGAVIR, LAMIVUDINE ,TENOFOVIR 50/300/300mg bị mất 1/2 viên.
Trong lúc cấp phát cho bệnh nhân thì phát hiện thuốc trong lọ bị mất 1/2 viên đồng thời bệnh nhân cũng phản ánh về việc thuốc chỉ có 1/2 viên trong lọ.
Tình hình bị mất thuốc như thế sẽ ảnh hưởng đến việc khoa Dược đền thuốc.</t>
  </si>
  <si>
    <t xml:space="preserve">NHA THUOC TAY TRA ANH  DUY - TRUNG TAM MEN 'S HEALTH </t>
  </si>
  <si>
    <t>Nixki</t>
  </si>
  <si>
    <t>CC_440525-ĐN</t>
  </si>
  <si>
    <t>1 hộp sản phẩm ALUMINIUM bị chảy dính ra ngoài hộp, kiểm tra bên trong có 1 gói rách lỗ to và 4 gói rách lỗ nhỏ
Ngày 19/05/2025, nhận được yêu cầu điều tra từ DAVI</t>
  </si>
  <si>
    <t>Lỗi không xuất phát từ quá trình đóng gói giao nhận</t>
  </si>
  <si>
    <t>Ngày 11/02/2025, gửi email đến hãng và hãng nhận thông tin, đang chờ fb từ hãng
Ngày 21/05/2025, hãng gửi email đồng ý thu về toàn bộ các lô còn tồn tại BV</t>
  </si>
  <si>
    <t>CC_450525-HCM</t>
  </si>
  <si>
    <t xml:space="preserve"> BENH VIEN UNG BUOU</t>
  </si>
  <si>
    <t>ZOLADEX 10.8 MG DEPOT 1'S</t>
  </si>
  <si>
    <t>SS879</t>
  </si>
  <si>
    <t>BV báo có một lọ Zoladex 10.8 bị lỗi không đẩy pittong xuống được như hình đính kèm, BV báo nhờ hỗ trợ đổi một lọ mới</t>
  </si>
  <si>
    <t>230463</t>
  </si>
  <si>
    <t>231492</t>
  </si>
  <si>
    <t>222693</t>
  </si>
  <si>
    <t>223510</t>
  </si>
  <si>
    <t>Bị đổi màu và vỉ thuốc bị móp</t>
  </si>
  <si>
    <t>CC_460525-HCM</t>
  </si>
  <si>
    <t>TAGRISSO PA TAB 80MG BL 3X10 EA VN</t>
  </si>
  <si>
    <t>FMDF</t>
  </si>
  <si>
    <t>Về việc sản phẩm cùng lot date nhưng hộp lại khác màu</t>
  </si>
  <si>
    <t>Ngày 22/05/2025, báo email cho hãng
Ngày 26/05/2025, hãng thông tin không ảnh hưởng chất lượng và khách cũng không cần trả lời bằng công văn</t>
  </si>
  <si>
    <t xml:space="preserve"> Ngày 16/05/2025 CS liên hệ khách xin thêm thông tin
Ngày 19/05/2025, nhận được phản hồi từ hãng không chấp nhận khiếu nại vì lỗi không đến từ hãng
Ngày 23/05/2025, khách không cung cấp được thông tin lỗi từ Hoàng Đức nên không tiến hành đổi cho khách
--&gt; Hoàn tất</t>
  </si>
  <si>
    <t>BENH VIEN DA KHOA CAM PHA</t>
  </si>
  <si>
    <t>Có phản ánh có 1 bút Insunova G-pen bị lỗi.</t>
  </si>
  <si>
    <t>Ngày 16/05/2025, báo email cho hãng
Ngày 27/05/2025, nhắc mail hãng</t>
  </si>
  <si>
    <t>Nhận được thông tin email từ hãng thu mẫu khiếu nại và xuất sang hãng để phục vụ điều tra
Ngày 19/05/2025, nhận được email yêu cầu điều tra tại kho và vận chuyển 
26/05/2025, gửi báo cáo điều tra cho DAVI</t>
  </si>
  <si>
    <t>371 DUONG TRAN PHU, PHUONG CAM THANH, TP. CAM PHA, TINH QUANG NINH</t>
  </si>
  <si>
    <t>CC_480525-HCM</t>
  </si>
  <si>
    <t>FORLAX 10G 20SACH VN</t>
  </si>
  <si>
    <t xml:space="preserve"> 
C55238</t>
  </si>
  <si>
    <t>Bị móp rách</t>
  </si>
  <si>
    <t>Check lịch sử đơn hàng không do Hoàng Đức xuất bán</t>
  </si>
  <si>
    <t>CC_470525-HCM
HUY</t>
  </si>
  <si>
    <t>BF24003310</t>
  </si>
  <si>
    <t>Ngày 15/05/2025, liên hệ khách xin thêm thông tin
Ngày 16/05/2025, hãng chấp nhận khiếu nại và đền bù cho khách
Ngày 20/05/2025, chờ confirm từ hãng
Ngày 27/05/2025, hãng đồng ý đền bù, tuy nhiên không có hàng khiếu nại về kho cần kế toán hướng dẫn về việc đảm bảo inventory hàng 
Ngày 30/05/2025, hãng đồng ý không thu hàng khiếu nại từ khách, sẽ tiến hành hình thức write off (hủy hàng khiếu nại)để cân đối tồn kho
--&gt; Hoàn tất</t>
  </si>
  <si>
    <t>CC_490525-HCM</t>
  </si>
  <si>
    <t>CC_500525-HCM</t>
  </si>
  <si>
    <t>CC_510525-HCM</t>
  </si>
  <si>
    <t>CC_520525-HCM</t>
  </si>
  <si>
    <t>CC_530525-HCM</t>
  </si>
  <si>
    <t>TYPHIM VI 25MCG</t>
  </si>
  <si>
    <t>X2A452V</t>
  </si>
  <si>
    <t>Khi kiểm tra cảm quan thì phát hiện không có bơm tiêm chứa vắc xin bên trong hộp. Hộp vắc xin còn nguyên vẹn và đã khui seal để kiểm tra cảm quan</t>
  </si>
  <si>
    <t>AVAXIM 80U PEDIATRIC</t>
  </si>
  <si>
    <t>+ Khi kiểm tra cảm quan thì phát hiện không có bơm tiêm chứa vắc xin bên trong hộp.     
+ Hộp vắc xin còn nguyên vẹn và đã khui seal để kiểm tra cảm quan.</t>
  </si>
  <si>
    <t>+ Khi kiểm tra cảm quan thì phát hiện không có bơm tiêm chứa vắc xin bên trong khay nhựa PVC
+ Hộp vắc xin còn nguyên vẹn và đã khui seal để kiểm tra cảm quan</t>
  </si>
  <si>
    <t>VERORAB 0.5ML</t>
  </si>
  <si>
    <t>Khi kiểm tra cảm quan thì phát hiện nhãn dán trên lọ bột đông khô bị lỗi</t>
  </si>
  <si>
    <t>TAVANIC 500MG</t>
  </si>
  <si>
    <t>PHARMACITY</t>
  </si>
  <si>
    <t>CS nhận được thông tin khách hàng của chuỗi Pharmacity mua Viên nén Tavanic 500mg điều trị nhiễm khuẩn (1 vỉ x 5 viên), thắc mắc tại sao 1 hộp có ghi thông tin công ty nhập khẩu, 1 hộp thì không có thông tin. (Hình ảnh đính kèm)
-          Hộp lô 4MF4A không ghi thông tin công ty nhập khẩu
-          Hộp lô 4ND3A có ghi thông tin nhập khẩu</t>
  </si>
  <si>
    <t xml:space="preserve"> 4MF4A</t>
  </si>
  <si>
    <t>04/2024</t>
  </si>
  <si>
    <t>Đã nhận được câu trả lời từ hãng--&gt; Hoàn tất</t>
  </si>
  <si>
    <t>248 NO TRANG LONG, P12, Q BINH THANH, TP. HO CHI MINH</t>
  </si>
  <si>
    <t>CC_540625-HCM</t>
  </si>
  <si>
    <t>NHA THUOC PHAM HUU CHI</t>
  </si>
  <si>
    <t>Khách hàng phản hồi chai thuốc không xịt ra được</t>
  </si>
  <si>
    <t>B07850</t>
  </si>
  <si>
    <t>SỐ 243 ĐƯỜNG LÊ TRUNG ĐỊNH, TỔ 6, PHƯỜNG TRẦN HƯNG ĐẠO, TP.QUẢNG NGÃI, T. QUẢNG NGÃI</t>
  </si>
  <si>
    <t>13 THUAN KIEU, PHUONG 12, QUAN 5</t>
  </si>
  <si>
    <t>EASYEF HOP/1 BO 10ML (BOM TIEM CHUA 1ML DUNG DICH THUOC + LO CHUA 9ML DUNG MOI)</t>
  </si>
  <si>
    <t>CC_550625-HCM</t>
  </si>
  <si>
    <t>STERIMAR BLOCKED NOSE BABY 50 ML</t>
  </si>
  <si>
    <t>SỐ 21 ĐƯỜNG D1 KHU CHẾ XUẤT TÂN THUẬN - Q.7- TP. HCM</t>
  </si>
  <si>
    <t>Kho ODN Quận 7</t>
  </si>
  <si>
    <t>CC_560625-HN</t>
  </si>
  <si>
    <t>Winduza</t>
  </si>
  <si>
    <t>H250330</t>
  </si>
  <si>
    <t>Lỗi không xuất phát từ quá trình bảo quản và vận chuyển</t>
  </si>
  <si>
    <t>Ngày 30/05/2025, báo email cho hãng
Chấp nhận đền bù cho khách-&gt; hoàn tất</t>
  </si>
  <si>
    <t>Hàng bị móp</t>
  </si>
  <si>
    <t>Email</t>
  </si>
  <si>
    <t>Có cặn sau khi hoàn nguyên</t>
  </si>
  <si>
    <t>5 P. PHẠM VĂN BẠCH, YÊN HOÀ, CẦU GIẤY, HÀ NỘI</t>
  </si>
  <si>
    <t>Viện Huyết học Truyền Máu Trung ương</t>
  </si>
  <si>
    <t>CC_580625-HCM</t>
  </si>
  <si>
    <t>CC_570625-HN</t>
  </si>
  <si>
    <t>ZOLADEX 3.6 MG DEPOT 1'S </t>
  </si>
  <si>
    <t>Ngày 09/09/2024, Hoàng Đức nhận được sự cố tiêm khi tiêm sản phẩm ZOLADEX 3.6 MG DEPOT 1'S  (mô tả như file đính kèm) của CN004928 - BENH VIEN UNG BUOU HUNG VIET, cần công văn phản hồi về chất lượng sản phẩm</t>
  </si>
  <si>
    <t>Bệnh viện K có đặt hàng Redditux 100 vào ngày 9/6/2025 với số lượng 100 hộp. Ngày 10/6/2025 khoa Dược bệnh viện có nhận hàng và phát hiện 1 lọ thuốc Redditux100  bên ngoài vỏ hộp bị lỗi (Hình ảnh như trong video).
Bệnh viện đề nghị công ty thu hồi hộp lỗi này và đổi cho bệnh viện 01 hộp mới.</t>
  </si>
  <si>
    <t>Lỗi do đơn vị vận chuyển</t>
  </si>
  <si>
    <t>Đền bù cho khách và thu mẫu khiếu nại
Ngày 19/05/2025, nhận được email yêu cầu điều tra tại kho và vận chuyển 
19/06/2025, nhận được công văn trả lời từ DAVI
--&gt; Hoàn tất</t>
  </si>
  <si>
    <t>FE3273C</t>
  </si>
  <si>
    <t>CC_590625-HCM</t>
  </si>
  <si>
    <t>+ Khi kiểm tra cảm quan thì phát hiện màng nhựa trên khay nhựa chứa bơm tiêm vắc xin bị hở. + Bơm tiêm chứa vắc xin vẫn còn nằm trong khay nhựa. Hộp vắc xin còn nguyên vẹn và đã khui seal để kiểm tra cảm quan.</t>
  </si>
  <si>
    <t>TETRAXIM</t>
  </si>
  <si>
    <t>W3H384V</t>
  </si>
  <si>
    <t>29/04/2025, hãng chấp nhận khiếu nại và chuyển mẫu khiếu nại về hãng
05/05/2025, nhận được thêm thông tin từ khách và đã chuyển thông tin này cho hãng
Ngày 07/05/2025, gửi email xác nhận số lượng và tình trạng lỗi
07/05/2025-16/05/2025: cung cấp thêm thông tin cho hãng điều tra
14/05/2025, không cần xuất mẫu về văn phòng hãng
16/05/2025, xác nhận số lượng đền bù là 20 hộp
18/06/2025, hàng khiếu nại về kho
--&gt; Hoàn tất</t>
  </si>
  <si>
    <t xml:space="preserve">Ngày 29/05/2025, báo email cho các bộ phận liên quan điều tra
Ngày 09/06/2025, báo email cho CS rằng không đủ căn cứ để đền bù cho khách
</t>
  </si>
  <si>
    <t>CC_600625-ĐN</t>
  </si>
  <si>
    <t>THON LA THO, XA DIEN HOA, THI XA DIEN BAN, TINH QUANG NAM</t>
  </si>
  <si>
    <t>QUAY THUOC SO 182 THUOC CONG TY CO PHAN THUONG MAI DUOC –SAM NGOC LINH QUANG NAM</t>
  </si>
  <si>
    <t>CC_610625-HCM</t>
  </si>
  <si>
    <t>CONG TY CO PHAN BENH VIEN DA KHOA HOAN MY SAI GON</t>
  </si>
  <si>
    <t>4F119A</t>
  </si>
  <si>
    <t>Ngày 30/05/2025, báo email cho hãng
Đang chờ khách cung cấp chứng từ hóa đơn 
Khách hàng không cung cấp chứng từ, nên không khiếu nại nữa
-&gt; hoàn tất</t>
  </si>
  <si>
    <t>Ngày 20/05/2025, đã báo hãng
Ngày 26/06/2025, nhận được công văn trả lời từ hãng
Tiến hành đền bù cho khách
--&gt; Hoàn tất</t>
  </si>
  <si>
    <t>Ngày 27/06/2025, đã nhận được công văn giải trình về chất lượng sản phẩm từ bộ phận QA AZ
Ngày 26/06/2025, Hoàng Đức gửi đến Bộ phận thông tin Y Khoa của AZ để xin thêm thông tin giải đáp cho khách hàng</t>
  </si>
  <si>
    <t>BENH VIEN UNG BUOU HUNG VIET</t>
  </si>
  <si>
    <t>SO NHA 34, PHO DAI CO VIET, PHUONG LE DAI HANH, QUAN HAI BA TRUNG, THANH PHO HA NOI</t>
  </si>
  <si>
    <t>NHÀ THUỐC DŨNG LOAN</t>
  </si>
  <si>
    <t>CC_630625-ĐN</t>
  </si>
  <si>
    <t>Ngày 23/06/2025, gửi email cho hãng và nhận được phản hồi chấp nhận đền bù cho khách</t>
  </si>
  <si>
    <t>Bệnh nhân nhận bút ngày 23/06/2025 đến ngày 25/06/2025 bệnh nhân mang bút đến qua kiểm tra thì bút bị cứng không đẩy thuốc ra ngoài được. Bệnh nhân sử dụng kim: Kim tiêm Insulin Novofine, 31 G, Cái (Novo Nordisk, Denmark)</t>
  </si>
  <si>
    <t>Ngày 26/06/2025, gửi mail cho hãng và chấp nhận đền bù, tuy nhiên bên hãng cần thêm thông tin hình ảnh lô sản phẩm
Liên hệ với khách xin thêm thông tin và chính sách bảo mật thông tin cá nhân</t>
  </si>
  <si>
    <t>HO KINH DOANH PHONG KHAM NHI VA TIEM NGUA DICH VU KHANH LINH</t>
  </si>
  <si>
    <t>52 DUONG MAC DINH CHI, KHOM 1, PHUONG 1, THANH PHO SOC TRANG, TINH SOC TRANG</t>
  </si>
  <si>
    <t>VERORAB 0.5ML 10D INJ VL10+P10 M36 H VN</t>
  </si>
  <si>
    <t xml:space="preserve"> Y1A171V</t>
  </si>
  <si>
    <t>1 hộp vaccine Verorab bị thiếu 1 ống nước</t>
  </si>
  <si>
    <t>X2A561V</t>
  </si>
  <si>
    <t>TYPHIM Vi</t>
  </si>
  <si>
    <t>Hãng đồng ý đền bù cho khách
30/06/2025 khách cancel  case do không cung cấp chứng từ theo quy trình xử lý khiếu nại 
--&gt; Hoàn tất</t>
  </si>
  <si>
    <t>CC_640725-HCM</t>
  </si>
  <si>
    <t>Ngày 02/07/2025, hãng yêu cầu gửi điều tra</t>
  </si>
  <si>
    <t>NGUYEN LUONG BANG, PHUONG TAN PHU,DO THI MOI NAM TP, QUAN 7, TP HCM</t>
  </si>
  <si>
    <t>PAXUS PM (HOP/1 LO)</t>
  </si>
  <si>
    <t>GP32512</t>
  </si>
  <si>
    <t>Hãng chấp nhận khiếu nại, tiến hành đền bù cho khách 
--&gt; Hoàn tất</t>
  </si>
  <si>
    <t>HỘ KINH DOANH DỊCH VỤ VẮC XIN NGƯỜI LỚN VÀ TRẺ EM</t>
  </si>
  <si>
    <t>03/2025</t>
  </si>
  <si>
    <t>BENH VIEN K</t>
  </si>
  <si>
    <t>115 TRAN HUNG DAO, PHUONG CAM PHO, THANH PHO HOI AN, TINH QUANG NAM</t>
  </si>
  <si>
    <t>CC_650725-HCM</t>
  </si>
  <si>
    <t>KHOA DUOC BENH VIEN NHI DONG 2 </t>
  </si>
  <si>
    <t>14 LY TU TRONG - PHUONG BEN NGHE - QUAN 1 – TP. HO CHI MINH</t>
  </si>
  <si>
    <t>528028</t>
  </si>
  <si>
    <t>Gói</t>
  </si>
  <si>
    <t>Sản phẩm sau khi hoàn nguyên bị đục</t>
  </si>
  <si>
    <t>Lỗi không có thuốc bên trong hộp (hình ảnh và video đính kèm)</t>
  </si>
  <si>
    <t>KAM nhận thông tin và trực tiếp vào khoa ghi nhận có khoảng 3 túi Phosphalugel bị bục đáy, thuốc tràn ra ngoài đã khô dính không thể sử dụng được</t>
  </si>
  <si>
    <t>CC_660725-HCM</t>
  </si>
  <si>
    <t xml:space="preserve">NHA THUOC THANH QUI </t>
  </si>
  <si>
    <t xml:space="preserve"> 28 DIEN BIEN PHU, KHOM 3, PHUONG 2, THANH PHO TRA VINH, TINH TRA VINH</t>
  </si>
  <si>
    <t>OSPAMOX 500MG TAB 10'S (NQ)</t>
  </si>
  <si>
    <t>040D002</t>
  </si>
  <si>
    <t>Khách hàng báo có 1 vỉ không có viên thuốc bên trong</t>
  </si>
  <si>
    <t>vỉ</t>
  </si>
  <si>
    <t>Nhận được email đồng ý đền bù cho khách và gửi mẫu về nhà máy điều tra</t>
  </si>
  <si>
    <t>CC_670725-HCM</t>
  </si>
  <si>
    <t>CC_680725-HN</t>
  </si>
  <si>
    <t xml:space="preserve">DAU GOI CHONG GAU (SELSUN ANTI-DANDRUFF SHAMPOO WITH SELENIUM SULFIDE) 50ML </t>
  </si>
  <si>
    <t>CB24</t>
  </si>
  <si>
    <t>Khách hàng báo có 2 hộp DAU GOI CHONG GAU (SELSUN ANTI-DANDRUFF SHAMPOO WITH SELENIUM SULFIDE) 50ML bị móp và có kiến</t>
  </si>
  <si>
    <t>DEPAKINE SOLUTION 200MG BTLX40ML VN</t>
  </si>
  <si>
    <t>ELB04510</t>
  </si>
  <si>
    <t>Khách hàng phản ánh có 1 lọ không có dung dịch bên trong</t>
  </si>
  <si>
    <t>CC_690725-HCM</t>
  </si>
  <si>
    <t xml:space="preserve"> LO SO CN20-1A, SO 93 DUONG HUU NGHI, KHU CONG NGHIEP, DO THI VA DICH VU VSIP BAC NINH, XA DAI DONG, HA NOI</t>
  </si>
  <si>
    <t>C56397</t>
  </si>
  <si>
    <t>223509</t>
  </si>
  <si>
    <t>sản phẩm có tình trạng ướt viên thuốc và dính vỉ </t>
  </si>
  <si>
    <t xml:space="preserve">QUAY 504 HAPU </t>
  </si>
  <si>
    <t>SO 1 NGUYEN HUY TUONG – THANH XUAN – HA NOI</t>
  </si>
  <si>
    <t>CC_700725-HN</t>
  </si>
  <si>
    <t xml:space="preserve"> 040D003</t>
  </si>
  <si>
    <t>Khách hàng báo có 2 vỉ OSPAMOX 500MG bị bong như hình. Tại thời điểm nhận hàng, khách chỉ đồng kiểm, khui thùng và kiểm hàng tổng quan, không check từng vỉ nên chưa thấy lỗi, hôm nay mang ra dán giá bán mới phát hiện.</t>
  </si>
  <si>
    <t>CC_710725-HN</t>
  </si>
  <si>
    <t xml:space="preserve"> MILGAMMA N INJ 2ML 5'S</t>
  </si>
  <si>
    <t>40429E</t>
  </si>
  <si>
    <t>KH phản ánh về tình trạng hàng Milgamma N và có yêu cầu công ty vào bv để tiến hành đồng kiểm tra chất lượng sản phẩm. Đồng thời có phương án hỗ trợ thay thế hàng cho bv nếu sản phẩm kiểm tra không đạt.</t>
  </si>
  <si>
    <t xml:space="preserve"> 
31/03/2027</t>
  </si>
  <si>
    <t>lọ</t>
  </si>
  <si>
    <t>VIEN Y HOC PHONG KHONG – KHONG QUAN</t>
  </si>
  <si>
    <t>SO 255 DUONG TRUONG CHINH, PHUONG KHUONG MAI, QUAN THANH XUAN, THANH PHO HA NOI</t>
  </si>
  <si>
    <t>Hãng chấp nhận đền bù
Đang đợi thông tin từ CS để hỗ trợ hãng điều tra nguyên nhân</t>
  </si>
  <si>
    <t>Hãng đồng ý chuyển hủy và đền bù cho khách
-&gt; Hoàn tất</t>
  </si>
  <si>
    <t>18/07/2025, báo email cho hãng
Đồng ý đền bù cho khách</t>
  </si>
  <si>
    <t>Hãng đồng ý đền bù cho khách
thu hàng lỗi vào khu vực chờ xử lý để chờ kết quả điều tra nguyên nhân từ nhà máy</t>
  </si>
  <si>
    <t>Chưa có nhãn phụ trên sản phẩm</t>
  </si>
  <si>
    <t>Ngày 14/05/2025, Đã thu được 1798/2688 hộp về kho tổng của Long Châu. Trong đó có 73hộp không đạt cảm quan chuyển về kho Long Hậu
Ngày 27/05/2025, hàng đã đưa về kho và đang kiểm 
Ngày 03/07/2025, đã thu 141 /890 hộp dán nhãn. Trong đó có 66 hộp không đạt cảm quan chuyển về kho Long Hậu, phần còn lại release bán</t>
  </si>
  <si>
    <t>CC_720725-HCM</t>
  </si>
  <si>
    <t>NHA THUOC HOANG LIEM 1</t>
  </si>
  <si>
    <t>248 BS YERSIN, TO 10, KHU PHO 2, PHUONG HIEP THANH, THANH PHO THU DAU MOT, TINH BINH DUONG </t>
  </si>
  <si>
    <t>DEPAKINE CHRONO 500MG TUBE OF 30 TABS VN, DEPAKINE 200MG TABEC TB40 và DEPAKINE SOLUTION 200MG BTLX40ML VN</t>
  </si>
  <si>
    <t>NHA THUOC HOANG LIEM 1 ( 248 BS YERSIN, TO 10, KHU PHO 2, PHUONG HIEP THANH, THANH PHO THU DAU MOT, TINH BINH DUONG ) có thắc mắc về vấn đề liên quan đến mặt hàng DEPAKINE CHRONO 500MG TUBE OF 30 TABS VN, DEPAKINE 200MG TABEC TB40 và DEPAKINE SOLUTION 200MG BTLX40ML VN
Các sản phẩm trên có thuộc danh mục thuốc cần kiểm soát đặc biệt không?
Các sản phẩm trên có cần bán theo đơn bác sĩ không?
Điều kiện bảo quản cho các sản phẩm trên như thế nào? Cần lưu ý điều gì khi bảo quản?</t>
  </si>
  <si>
    <t>22/07/2025, nhận được câu trả lời từ hãng</t>
  </si>
  <si>
    <t>CC_730725-HCM</t>
  </si>
  <si>
    <t>CONG TY TNHH DUOC PHAM DONAPHARM</t>
  </si>
  <si>
    <t>Hiện tại phía khách hàng phản ánh bình xịt Fortraget khi sử dụng xịt thì chỉ sử dụng được 1 lần, tới lần xịt thứ 2 thì không xịt được, phải đợi một lúc lâu mới xịt được tiếp, hơi của bình xịt bị yếu, bác sĩ bảo không ra đủ liều.
Hiện tại nhờ công ty đổi lại 5 bình</t>
  </si>
  <si>
    <t>BÌNH</t>
  </si>
  <si>
    <t>CC_740725-HCM</t>
  </si>
  <si>
    <t>CC_750725-HN</t>
  </si>
  <si>
    <t>24/07/2025 hãng đồng ý đền bù cho khách</t>
  </si>
  <si>
    <t>THUOC NHO MAT (V.ROHTO VITAMIN) 13 ML</t>
  </si>
  <si>
    <t>THUOC NHO MAT (NEW V-ROHTO) 13ML</t>
  </si>
  <si>
    <t>DIA DIEM KINH DOANH CONG TY CO PHAN THUONG MAI DUOC VUONG - KHO HANG HOA HO CHI MINH</t>
  </si>
  <si>
    <t>LA11B</t>
  </si>
  <si>
    <t>JA03-3</t>
  </si>
  <si>
    <t>sản phẩm bị lỗi không thể vặn nắp được</t>
  </si>
  <si>
    <t>CC_760725-HCM</t>
  </si>
  <si>
    <t>Thông tin từ bác sĩ H, hiện đang công tác tại khoa Nội tiết BV Thống Nhất HCM. Có 1 bệnh nhân ĐTĐ tip 2 hiện đang điều trị với thuốc uống, tuy nhiên vì HbA1c còn cao &gt;9% =&gt; BS có chỉ định sản phẩm Toujeo của SNF ngày 24/07. Sau khi tiêm BN xuất hiện tình trạng ngứa da ngoài vị trí tiêm + sốt nhẹ. Ngày 25/7 tình trạng ngứa nặng hơn và vẫn còn sốt. BS có phản hồi đến TDV SNF đang phụ trách địa bàn Thống Nhất.</t>
  </si>
  <si>
    <t>C1A, KHU PHO 7, PHUONG BINH DA (KHU PHO 3, PHUONG TAM HOA CU ),THANH PHO BIEN HOA, TINH DONG NAI</t>
  </si>
  <si>
    <t>TANG 2, SO 16 NGO 773 DUONG GIAI PHONG, PHUONG GIAP BAT, QUAN HOANG MAI, THANH PHO HA NOI</t>
  </si>
  <si>
    <t>CONG TY TNHH CAREACE</t>
  </si>
  <si>
    <t>107M03</t>
  </si>
  <si>
    <t>Chai Sterimar block nose bb bị lỗi không như hình ảnh</t>
  </si>
  <si>
    <t>FE4048</t>
  </si>
  <si>
    <t>02/2024</t>
  </si>
  <si>
    <t>E245330</t>
  </si>
  <si>
    <t>Hộp chưa khui seal nhưng khi cầm lên thấy nhẹ. TTYT có quay clip so sánh hộp lỗi và hộp nguyên khác</t>
  </si>
  <si>
    <t>TRUNG TAM Y TE KHU VUC THOT NOT</t>
  </si>
  <si>
    <t>CC_770725-HCM</t>
  </si>
  <si>
    <t>QUOC LO 91, KHU VUC PHUNG THANH 1, P.THOT NOT, Q.THOT NOT, TP.CAN THO</t>
  </si>
  <si>
    <t xml:space="preserve">Báo CS kiểm tra lịch sử đơn hàng
13/06/2025, Hàng đã được Hoàng Đức thu về
Chưa nhận được email hướng xử lý từ hãng
Xuất sang hãng điều tra nguyên nhân
</t>
  </si>
  <si>
    <t>N250204A</t>
  </si>
  <si>
    <t>Đã báo hãng
Hãng đồng ý đền bù 
-&gt; Hoàn tất</t>
  </si>
  <si>
    <t>FORTRANS 4SACH VN</t>
  </si>
  <si>
    <t>14A TAN THOI NHAT 8, PHUONG TAN THOI NHAT, QUAN 12, THANH PHO HO CHI MINH</t>
  </si>
  <si>
    <t>Không</t>
  </si>
  <si>
    <t>mail</t>
  </si>
  <si>
    <t>CC_780725-HCM</t>
  </si>
  <si>
    <t>Có dị vật bên trong lọ</t>
  </si>
  <si>
    <t>CC_790725-HN</t>
  </si>
  <si>
    <t>SO 30 CAU BUOU, TAN TRIEU, THANH TRI, HA NOI</t>
  </si>
  <si>
    <t>Sau khi được cấp phát ngày 28/7/2025, tối cùng ngày bệnh nhân đã xịt 1 lần. Đến sáng ngày 29/7/2025 thì không sử dụng được nữa</t>
  </si>
  <si>
    <t>09/07/2025: báo email cho hãng
10/07/2025: Chấp nhận đền bù cho khách
23/07/2025: hãng yêu cầu cung cấp thêm thông tin hình ảnh
31/07/2025: cung cấp hình ảnh cho hãng và hãng chấp nhận khiếu nại
01/08/2025: khách không cần đền bù đổi trả
--&gt; Hoàn tất</t>
  </si>
  <si>
    <t>CC_800825-HCM</t>
  </si>
  <si>
    <t>SO 263 TRAN QUOC TOAN, PHUONG B’LAO, TP. BAO LOC, TINH LAM DONG</t>
  </si>
  <si>
    <t xml:space="preserve">BENH VIEN II LAM DONG </t>
  </si>
  <si>
    <t>24 viên Magrax bị đổi màu như hình đính kèm</t>
  </si>
  <si>
    <t>230963</t>
  </si>
  <si>
    <t>viên</t>
  </si>
  <si>
    <t>không</t>
  </si>
  <si>
    <t>Đang xin thêm thông tin để điều tra nguyên nhân
28/07/2025 gửi email cho hãng,
29/07/2025, hãng đồng ý khiếu nại, đang chờ CS hoàn tất các chứng từ liên quan, hàng khiếu nại sẽ chuyển sang văn phòng hãng
--&gt; Hoàn tất</t>
  </si>
  <si>
    <t xml:space="preserve">09/06/2025, báo email cho CS xin thêm thông tin từ khách
Sau khi điều tra lỗi do đơn vị vận chuyển
Tiến hành thu hồi lỗi về và đổi cho khách,
Hướng xử lý với hàng bị lỗi đang chờ thông tin từ đơn vị vận chuyển
15/07 nhắc mail cho đơn vị vận chuyển về việc hàng bị lỗi,
Lỗi móp không ảnh hưởng sản phẩm bên trong chuyển bán chỉ định
--&gt; hoàn tất
</t>
  </si>
  <si>
    <t>CC_810825-HCM</t>
  </si>
  <si>
    <t> NHA THUOC KIM NGAN</t>
  </si>
  <si>
    <t>10 LY THUONG KIET, KHOM 7, PHUONG 6, TP CA MAU, TINH CA MAU</t>
  </si>
  <si>
    <t>NIXKI-20 (HOP/100VIEN) - EU</t>
  </si>
  <si>
    <t>Bị nổ viên + dính vỉ</t>
  </si>
  <si>
    <t>Hãng chấp nhận đền bù cho khách, hàng khiếu nại thu về cho vào khu vực chờ xử lý, xuất trả hãng theo đợt
Về phía khách, hãng sẽ làm việc trực tiếp
Hàng đã được hãng tới trực tiếp bệnh viện để lấy
--&gt; Hoàn tất
07/08/2025, hãng báo đền bù thêm cho khách 05 lọ nhưng không có mẫu thu về chỉ làm trên chứng từ hóa đơn</t>
  </si>
  <si>
    <t>CC_820825-HN</t>
  </si>
  <si>
    <t>GP32461</t>
  </si>
  <si>
    <t>64 HAI BA TRUNG, PHUONG LE HONG PHONG, TP THAI BINH, THAI BINH</t>
  </si>
  <si>
    <t>NHA THUOC TAY HOAN ( PK NOI SOI TAI MUI HONG)</t>
  </si>
  <si>
    <t>FE3274</t>
  </si>
  <si>
    <t>Nhận được thông tin chấp nhận đền bù cho hãng</t>
  </si>
  <si>
    <t>CC_830825-HCM</t>
  </si>
  <si>
    <t>HC620A</t>
  </si>
  <si>
    <t> Bệnh viện cho biết khi nhận hàng chỉ đồng kiểm bên ngoài, cảm quan hộp bình thường, đến khi sử dụng và mở ra kiểm hàng mới thấy bể 2 ống</t>
  </si>
  <si>
    <t>13/08/2025, hãng đồng ý đền bù cho khách</t>
  </si>
  <si>
    <t>CC_840825-HN</t>
  </si>
  <si>
    <t>SO 55, NGO 54 NGUYEN CHI THANH ( PHONG 1, TANG 1 : MUON MB) P. LANG THUONG, Q. DONG DA, TP HA NOI</t>
  </si>
  <si>
    <t>HO KINH DOANH NHA THUOC GIA HUY NCT</t>
  </si>
  <si>
    <t>STERIMAR NOSE HYGIENE BABY 50 ML</t>
  </si>
  <si>
    <t>FE4024B</t>
  </si>
  <si>
    <t xml:space="preserve">Sản phẩm bị lỗi vòi xịt </t>
  </si>
  <si>
    <t>13/08/2025: Báo email cho hãng
13/08/2025: hãng từ chối đền bù do không đủ căn cứ để xác định lỗi từ hãng
13/08/2025: yêu cầu khách cung cấp thêm chứng cứ để điều tra nguyên nhân, đồng thời dựa vào những thông tin của khách cung cấp, lỗi không xuất phát từ Hoàng Đức</t>
  </si>
  <si>
    <t>Đã gửi email cho hãng và hãng đồng ý đổi ngang, phía Hoàng Đức đang check với các bộ phận liên quan cho việc đổi trả</t>
  </si>
  <si>
    <t xml:space="preserve">Hàng bị dính vỏ hộp với nhau </t>
  </si>
  <si>
    <t>Nhận được yêu cầu đổi hàng từ hãng
01/08/2025: Báo email cho hãng
03/08/2025: hãng chấp nhận thu về ở điều kiện thường
--&gt; hoàn tất</t>
  </si>
  <si>
    <t>31/07/2025 : báo email cho hãng
03/08/2025: hãng chấp nhận đền bù
CS làm việc với khách để thu hàng khiếu nại</t>
  </si>
  <si>
    <t>25/07/2025 báo email cho hãng
29/07/2025, nhận được hướng xử lý của hãng: chấp nhận đền bù cho khách và chuyển hủy mẫu khiếu nại
--&gt; Hoàn tất</t>
  </si>
  <si>
    <t>Đã báo email cho CS để liên hệ khách xin thông tin
SNF không chấp nhận đây là case khiếu nại
30/07/2025: Hoàng Đức close case
--&gt; Hoàn tất</t>
  </si>
  <si>
    <t>Khi kiểm tra cảm quan thì phát hiện màng nhựa PVC chứa bơm tiêm vắc xin bị hở. Hộp vắc xin còn nguyên vẹn và đã khui seal để kiểm tra cảm quan</t>
  </si>
  <si>
    <t>HEXAXIM BOX OF 1 PRE-FILLED SYRINGE  + 2 NEEDLES</t>
  </si>
  <si>
    <t>X3C204V</t>
  </si>
  <si>
    <t>CC_850825-HCM</t>
  </si>
  <si>
    <t>CC_860825-HCM</t>
  </si>
  <si>
    <t>CC_870825-HCM</t>
  </si>
  <si>
    <t>CONG TY CP Y TE THANH THANH PHAT - DIA DIEM KINH DOANH THANH PHAT TAN CHAU</t>
  </si>
  <si>
    <t>CHI NHANH CONG TY TRACH NHIEM HUU HAN THUONG MAI – DICH VU MY MY – BENH VIEN QUOC TE MY</t>
  </si>
  <si>
    <t>Y1B67D1</t>
  </si>
  <si>
    <t xml:space="preserve">30/04/2027    </t>
  </si>
  <si>
    <t>Vào ngày 31/07/2025, khi điều dưỡng đang tiến hành pha thuốc để thực hiện cho người bệnh theo y lệnh của Bác sỹ thì nhận thấy trong lúc rút thuốc, miếng cao su ở nắp lọ vắc-xin bị dính vào đầu kim, gây cản trở dòng thuốc. Do áp lực nghẹt miếng cao su, dưới lực kéo, pit-tông của xy-lanh bị đẩy bật ra, làm thuốc bị tràn và đổ ra ngoài. Lọ vắc xin này có số lô là Y1A26 và hạn sử dụng là 01/2027.
Ngày hôm đó, điều dưỡng này cũng thực hiện thao tác pha thuốc và thực hiện trên 2 người bệnh khác, nhưng không xảy ra vấn đề gì.
Từ trước đến nay, Bệnh viện chúng tôi vẫn luôn sử dụng sản phẩm vắc xin Verorab 0.5mL và chưa từng xảy ra sự cố như vậy.
Do đây là sự cố vỡ ống dẫn vắc xin nên sau khi xảy ra thì xy lanh và lọ vắc xin đều được đem huỷ, không giữ lại. Chúng tôi chỉ còn giữ hình ảnh lọ vắc xin (hình đính kèm công văn).</t>
  </si>
  <si>
    <t>SO 6, DUONG BAC NAM 3, PHUONG BINH TRUNG, THANH PHO HO CHI MINH, VIET NAM</t>
  </si>
  <si>
    <t>TO 1, AP LONG THANH B, PHUONG LONG THANH, THI XA TAN CHAU, TINH AN GIANG</t>
  </si>
  <si>
    <t>1 hộp vaccine Typhim không có lọ thuốc bên trong</t>
  </si>
  <si>
    <t>Chấp nhận nhưng không có mẫu khiếu nại thu về</t>
  </si>
  <si>
    <t>Xuất mẫu ngay khi nhận</t>
  </si>
  <si>
    <t>Hủy khiếu nại</t>
  </si>
  <si>
    <t>Điều tra nguyên nhân tại kho và đơn vị vận chuyển: không phát hiện bất thường để xảy ra lỗi như khiếu nại
Đã nhắc mail khách nhiều lần nhưng chưa phản hồi, đợi đến 30/07/2025 nếu khách không phản hồi thì close case
Vẫn không liên hệ được khách để xin thông tin
--&gt; Hủy do khách không cung cấp được thông tin để điều tra</t>
  </si>
  <si>
    <t>Nhận được thông tin email từ hãng. Hàng khiếu nại thu về đúng điều kiện bảo quản
Hàng khiếu nại được thu hồi từ Hà Nội- hold tại kho Hà Nội
29/04/2025, hàng về kho chi nhánh HN
Ngày 19/05/2025, hãng gửi email yêu cầu cung cấp thêm thông tin
11/06/2025, hãng đồng ý chuyển hủy
--&gt; Hoàn tất</t>
  </si>
  <si>
    <t>CONG TY TNHH BENH VIEN DA KHOA PHUONG CHI / ĐC: THUA DAT SO 172.TO BAN DO DHC 20-6,DUONG DX76,KHU PHO 2, PHUONG DINH HOA, THANH PHO THU DAU MOT, TINH BINH DUONG</t>
  </si>
  <si>
    <t>ALFA – LIPOGAMMA 600 ORAL BOX/30'S</t>
  </si>
  <si>
    <t>CC_880825-HCM</t>
  </si>
  <si>
    <t xml:space="preserve">INSUNOVA -G PEN (HOP/1 BUT TIEM NAP SAN 3ML DUNG DICH THUOC )
</t>
  </si>
  <si>
    <t>CC_890825-HCM</t>
  </si>
  <si>
    <t>BF24003328</t>
  </si>
  <si>
    <t>Bút không đẩy ra được</t>
  </si>
  <si>
    <t>Bút bị cứng vặn không được</t>
  </si>
  <si>
    <t>BENH VIEN DA KHOA TINH BINH THUAN</t>
  </si>
  <si>
    <t>CONG TY CO PHAN DUOC PHAM AN KHANG PHARMA( DONG THAP )</t>
  </si>
  <si>
    <t xml:space="preserve"> THUA DAT SO 1403, TO BAN DO SO 7, THI TRAN MY THO, HUYEN CAO LANH, TINH DONG THAP</t>
  </si>
  <si>
    <t>405785</t>
  </si>
  <si>
    <t>Sản phẩm bị lỗi hỏng vỉ nhôm. Nhưng vỏ hộp còn nguyên vẹn, không móp.</t>
  </si>
  <si>
    <t>Mail, File</t>
  </si>
  <si>
    <t>Ngày 18/08/2025 báo email cho hãng
25/08/2025, báo email cho hãng thêm thông tin</t>
  </si>
  <si>
    <t>Ngày 15/08/2025, báo email cho hãng, và chấp nhận khiếu nại. Tuy nhiên khách không có nhu cầu đền bù
--&gt; Hoàn tất</t>
  </si>
  <si>
    <t>BENH VIEN DA KHOA TINH KIEN GIANG</t>
  </si>
  <si>
    <t> 13 NAM KY KHOI NGHIA, PHUONG AN HOA, THANH PHO RACH GIA, TINH KIEN GIANG</t>
  </si>
  <si>
    <t>Bút có 1 ống bị trồi cái đầu tròn tròn như bị lỗi bệnh nhân không tiêm được nên trả hàng</t>
  </si>
  <si>
    <t>03/2024</t>
  </si>
  <si>
    <t>CC_910825-HCM</t>
  </si>
  <si>
    <t>CONG TY CO PHAN Y TE CV HEALTH 24</t>
  </si>
  <si>
    <t>5DA24D1G</t>
  </si>
  <si>
    <t>CC_920825-HCM</t>
  </si>
  <si>
    <t>1212 LE DUC THO, PHUONG 13, QUAN GO VAP, THANH PHO HO CHI MINH</t>
  </si>
  <si>
    <t>25/08/2025, báo email cho hãng
26/08/2025: liên hệ khách xin thêm thông tin
29/08/2025: khách cancel xử lý nội bộ
--&gt; hoàn tất</t>
  </si>
  <si>
    <t>HO KINH DOANH NHA THUOC MINH ANH HOSPITAL</t>
  </si>
  <si>
    <t>42 DUONG SO 1B, PHUONG BINH TRI DONG B, QUAN BINH TAN, THANH PHO HO CHI MINH</t>
  </si>
  <si>
    <t>29/08/2025; báo email cho hãng</t>
  </si>
  <si>
    <t>1 hộp vaccine Vaxigrip (bị bung nắp lò xo)</t>
  </si>
  <si>
    <t>26/08/2025, báo hãng và đồng ý đền bù cho khách</t>
  </si>
  <si>
    <t>CC_900825-HCM-HUY</t>
  </si>
  <si>
    <t>CC_620625-HCM-HUY</t>
  </si>
  <si>
    <t>CONG TY CO PHAN BENH VIEN DA KHOA MY DUC</t>
  </si>
  <si>
    <t xml:space="preserve"> 04 NUI THANH, PHUONG 13, QUAN TAN BINH, TP HO CHI MINH</t>
  </si>
  <si>
    <t>FVH1013</t>
  </si>
  <si>
    <t>Khách hàng báo có 1 ống thuốc bị gãy đầu ống (trong hôp 30 ống</t>
  </si>
  <si>
    <t>CC_940925-HCM</t>
  </si>
  <si>
    <t>Nút vặn xoay liều bị cứng, không xoay được đến liều sử dụng 15 UI. Bệnh nhân đã dùng bút này nhiều lần. Bút bị sự cố là bút mới, chỉ mới lắp kim và chưa tiêm. Kim sử dụng là kim mới. Em có thử thay kim và cũng không vặn được đến liều 15 UI</t>
  </si>
  <si>
    <t>CC_950925-HCM</t>
  </si>
  <si>
    <t>KHOA DUOC BENH VIEN TRUNG VUONG</t>
  </si>
  <si>
    <t>CC_960925-HN</t>
  </si>
  <si>
    <t>ZOLADEX 3.6 MG DEPOT 1'S - UNITED KINGDOM</t>
  </si>
  <si>
    <t>BENH VIEN UNG BUOU HA NOI</t>
  </si>
  <si>
    <t>ST259</t>
  </si>
  <si>
    <t>Lỗi trong bơm không có thuốc</t>
  </si>
  <si>
    <t>CC_970925-HCM</t>
  </si>
  <si>
    <t>BENH VIEN UNG BUOU</t>
  </si>
  <si>
    <t>ST849</t>
  </si>
  <si>
    <t>CC_980925-HCM</t>
  </si>
  <si>
    <t>Dầu gội chống gàu selsun 1% rohto</t>
  </si>
  <si>
    <t>DB11A</t>
  </si>
  <si>
    <t>09/09/2025:Báo mail cho hãng
Hãng đồng ý đền bù
Tuy nhiên khách không cung cấp đủ thông tin nên hủy khiếu nại</t>
  </si>
  <si>
    <t>CC_930925-HCM-HUY</t>
  </si>
  <si>
    <t>GAS0846</t>
  </si>
  <si>
    <t>Chấp nhận đổi hàng cho khách
--&gt; Hoàn tất</t>
  </si>
  <si>
    <t>Hãng đồng ý đền bù và xuất mẫu để hãng điều tra
--&gt; Hoàn tất</t>
  </si>
  <si>
    <t>Bị mờ lô date</t>
  </si>
  <si>
    <t>266 LÝ THƯỜNG KIỆT, PHƯỜNG DIÊN HỒNG, THÀNH PHỐ HỒ CHÍ MINH</t>
  </si>
  <si>
    <t>42A THANH NHÀN, PHƯỜNG BẠCH MAI, THÀNH PHỐ HÀ NỘI</t>
  </si>
  <si>
    <t>QUAY THUOC THIEN NGOC</t>
  </si>
  <si>
    <t>TO 11, AP 4, XA LAM SAN, HUYEN CAM MY, TINH DONG NAI</t>
  </si>
  <si>
    <t>CC_990925-HCM</t>
  </si>
  <si>
    <t xml:space="preserve">OSTEOCARE (H/30 VIEN) </t>
  </si>
  <si>
    <t>CC_1000925-HN</t>
  </si>
  <si>
    <t>4P77A</t>
  </si>
  <si>
    <t>QUAY 441 HAPU</t>
  </si>
  <si>
    <t>QUAY 441 HAPU – SO 1 NGUYEN HUY TUONG – THANH XUAN – HA NOI</t>
  </si>
  <si>
    <t xml:space="preserve"> vỉ thuốc chỉ có 4 viên ( quy cách 1 vỉ có 5 viên)</t>
  </si>
  <si>
    <t>NHA THUOC BENH VIEN NHAN DAN 115</t>
  </si>
  <si>
    <t>khui hộp thuốc thì phát hiện bị lỗi nắp như hình đính kèm</t>
  </si>
  <si>
    <t xml:space="preserve">22/08/2025, báo email cho hãng
25/08/2025 hãng email sẽ liên hệ khách
24/09/2025 nhận được thông tin chấp nhận đền bù </t>
  </si>
  <si>
    <t>527 SƯ VẠN HẠNH, PHƯỜNG HÒA HƯNG, THÀNH PHỐ HỒ CHÍ MINH, VIỆT NAM</t>
  </si>
  <si>
    <t>23/09/2025, khách hủy case, xử lý nội bộ</t>
  </si>
  <si>
    <t>CC_1010925-HCM-HUY</t>
  </si>
  <si>
    <t>CC_1020925-HN</t>
  </si>
  <si>
    <t>CONG TY TNHH DUOC PHAM DA PHUC</t>
  </si>
  <si>
    <t>THON 5, XA PHU CAT, HUYEN QUOC OAI, THANH PHO HA NOI</t>
  </si>
  <si>
    <t>OSPAMOX 500MG</t>
  </si>
  <si>
    <t>040D003</t>
  </si>
  <si>
    <t>2 viên thuốc bị mốc trong 2 vỉ</t>
  </si>
  <si>
    <t>Khui hộp nguyên ra thì nắp hộp đang trong tình trạng như hình đính kèm</t>
  </si>
  <si>
    <t>Bị lỗi ko có pittong</t>
  </si>
  <si>
    <t>11/09/2025 đã thông tin số lô và số lượng cho hãng
hãng đồng ý đền bù cho khách
--&gt; Hoàn tất</t>
  </si>
  <si>
    <t>CC_1030925-HCM</t>
  </si>
  <si>
    <t>Khi kiểm tra cảm quan thì phát hiện kim tiêm bị rỉ sét</t>
  </si>
  <si>
    <t>25/09/2025 báo email cho hãng</t>
  </si>
  <si>
    <t>CC_1040925-HN</t>
  </si>
  <si>
    <t>QUAY 320</t>
  </si>
  <si>
    <t>QUAY 320, TANG 3, TOA NHA 24T1, SO 1 NGUYEN HUY TUONG</t>
  </si>
  <si>
    <t>FE3299C</t>
  </si>
  <si>
    <t>Vòi chai bị kẹt, không ấn xuống được (Hình ảnh và video đính kèm).</t>
  </si>
  <si>
    <t>OT2312P</t>
  </si>
  <si>
    <t>Viên bị nứt. Khách báo do trước đó đã bán hết cho khách rồi nên bây giờ chỉ còn lại 1 hộp. Khi khách mở 1 hộp này ra thì thấy tầm 5 6 viên bị nứt như hình. Và khách có thông tin thêm sản phẩm này trước đây khách uống thì thấy bình thường nhưng bây giờ uống vào lại thấy bột bột không giống như trước.</t>
  </si>
  <si>
    <t>Đang yêu cầu cung cấp thêm thông tin để điều tra
Hãng đồng ý đền bù, hàng khiếu nại xuất sang văn phòng hãng
--&gt; Hoàn tất</t>
  </si>
  <si>
    <t>CC_1050925-HCM</t>
  </si>
  <si>
    <t>COFIDEC TAB 20.S</t>
  </si>
  <si>
    <t>BENH VIEN Y HOC CO TRUYEN</t>
  </si>
  <si>
    <t>179-187 NAM KY KHOI NGHIA, PHUONG VO THI SAU, QUAN 3, TP. HO CHI MINH</t>
  </si>
  <si>
    <t>PD7990</t>
  </si>
  <si>
    <t>lỗi vỉ, bọc nhôm thuốc bị hở như hình đính kèm</t>
  </si>
  <si>
    <t>26/09/2025, báo mail cho hãng
-&gt; Hãng đổi hàng cho khách và cho vào công nợ T9, hàng lỗi xuất vp hãng
--&gt; Hoàn tất</t>
  </si>
  <si>
    <t>23/09/2025, mail báo hãng
-&gt; Hãng chấp nhận khiếu nại và đền bù cho khách
-&gt; Hoàn tất</t>
  </si>
  <si>
    <t>12/09/2025 mail báo hãng
-&gt; Hãng yêu cầu thu hàng lỗi về nhà máy để điều tra và chấp nhận khiếu nại
-&gt; Hoàn tất</t>
  </si>
  <si>
    <t>CC_1061025-ĐN</t>
  </si>
  <si>
    <t>BENH VIEN DA KHOA TRUNG TAM TINH GIA LAI</t>
  </si>
  <si>
    <t>SO 106 NGUYEN HUE, PHUONG TRAN PHU, THANH PHO QUY NHON, TINH BINH DINH, VIET NAM</t>
  </si>
  <si>
    <t>4F176A</t>
  </si>
  <si>
    <t>Khách hàng báo lỗi 1 bút không vặn lên được</t>
  </si>
  <si>
    <t>4F05HP</t>
  </si>
  <si>
    <t>3 chai bị đổ ướt ra ngoài</t>
  </si>
  <si>
    <t>CC_1081025-HN</t>
  </si>
  <si>
    <t>CC_1091025-HCM</t>
  </si>
  <si>
    <t>ALVORI 200MG (HOP/3 VI X 10 VIEN)</t>
  </si>
  <si>
    <t>1405498</t>
  </si>
  <si>
    <t xml:space="preserve"> Bệnh Viện việt pháp khi boc lẻ hộp thuốc cấp phát bệnh nhân nội thấy 1 vỉ (8/10 viên ) Alvori vỡ viên như hình bên . Hiên tại 2 viên lành không bị vỡ vỏ viên đã được bênh viện sử dụng cho bênh nhân</t>
  </si>
  <si>
    <t xml:space="preserve">CONG TY TNHH BENH VIEN VIET PHAP HA NOI </t>
  </si>
  <si>
    <t>SO 1 PHO PHUONG MAI, PHUONG KIM LIEN, THANH PHO HA NOI</t>
  </si>
  <si>
    <t>1 hộp vaccine Typhim bị tụt Pít tông</t>
  </si>
  <si>
    <t>02/10/2025, Báo email cho hãng</t>
  </si>
  <si>
    <t>yes</t>
  </si>
  <si>
    <t>8/54/131 TRAN PHU, PHUONG PHUOC VINH, QUAN THUAN HOA, THANH PHO HUE</t>
  </si>
  <si>
    <t>HO KINH DOANH LE THI THUY NGA</t>
  </si>
  <si>
    <t>T3 ACNE BODY WASH 200ML</t>
  </si>
  <si>
    <t>FORTRAGET INHALER 200MCG+6MCG</t>
  </si>
  <si>
    <t>117M03</t>
  </si>
  <si>
    <t>Bình dạng xịt không ra thuốc</t>
  </si>
  <si>
    <t>BENH VIEN DA KHOA XANH PON</t>
  </si>
  <si>
    <t>12 CHU VAN AN, PHƯỜNG BA ĐÌNH, THÀNH PHỐ HÀ NỘI</t>
  </si>
  <si>
    <t>PANFOR SR-750 750MG</t>
  </si>
  <si>
    <t>A08902508</t>
  </si>
  <si>
    <t>CC_1111025-HN</t>
  </si>
  <si>
    <t>No</t>
  </si>
  <si>
    <t>Mail</t>
  </si>
  <si>
    <t>02/10/2025: báo email cho bp Kinh doanh:  khách đã nhận và đồng kiểm hàng với nhân viên giao hàng. Do đó, nếu công ty xác nhận giải quyết đổi cho khách thì kho ĐN mới thực hiện thủ tục đổi hàng.</t>
  </si>
  <si>
    <t>CC_1101025-HCM-HUY</t>
  </si>
  <si>
    <t>30/09/2025 Báo email cho hãng
06/10/2025 Nhận được email từ hãng, đồng ý đền bù cho khách và sẽ tiến hành điều tra trong vòng 60 ngày</t>
  </si>
  <si>
    <t>CC_1071025-ĐN-HUY</t>
  </si>
  <si>
    <t>CC_1121025-HCM</t>
  </si>
  <si>
    <t>CONG TY TNHH Y KHOA SAI GON KIEN TUONG</t>
  </si>
  <si>
    <t>252 QUOC LO 62, KHU PHO 3, PHUONG 1, THI XA KIEN TUONG, TINH LONG AN, VIET NAM</t>
  </si>
  <si>
    <t>ALENTA 10MG TAB 10'S</t>
  </si>
  <si>
    <t>113T23</t>
  </si>
  <si>
    <t> Khách hàng khui hàng bán tại chỗ sau khi nhận thì phát hiện 10 hộp chỉ có 9 vỉ, 1 hộp không có vỉ thuốc bên trong (hình ảnh đính kèm)</t>
  </si>
  <si>
    <t>02/10/2025, xin thêm thông tin chứng minh lỗi từ HĐ hoặc NSX
07/10/2025, khách báo không có thông tin nào thêm, và báo email cho hãng</t>
  </si>
  <si>
    <t>CC_1131025-HCM</t>
  </si>
  <si>
    <t>NHA THUOC MINH QUI</t>
  </si>
  <si>
    <t>040D008</t>
  </si>
  <si>
    <t>Nhà thuốc phát hiện có 1 viên/ vỉ bị bột trắng khi lấy ra bán cho khách như hình đính kèm</t>
  </si>
  <si>
    <t>09/2023</t>
  </si>
  <si>
    <t>Báo email cho hãng 
Nhận được hướng xử lý chấp nhận đền bù, hàng khiếu nại thu về chuyển vào khu vực chờ hủy
--&gt; Hoàn tất</t>
  </si>
  <si>
    <t>CC_1141025-HCM</t>
  </si>
  <si>
    <t>07/10/2025 báo email cho hãng
hãng đồng ý đền bù cho khách</t>
  </si>
  <si>
    <t>TL 854, ẤP TÂN LẬP, XÃ TÂN NHUẬN ĐÔNG, ĐỒNG THÁP</t>
  </si>
  <si>
    <t>C56395</t>
  </si>
  <si>
    <t>CC_1151025-HCM</t>
  </si>
  <si>
    <t>CC_1161025-HCM-HUY</t>
  </si>
  <si>
    <t>Y1B68D1</t>
  </si>
  <si>
    <t>Khi thực hiện thao tác đuổi khí thì phát hiện pittong bị cứng không đẩy được</t>
  </si>
  <si>
    <t>09/10/2025, báo email cho hãng và tiến hành đền bù</t>
  </si>
  <si>
    <t>CALCIUM CORBIERE EXTRA</t>
  </si>
  <si>
    <t>PHONG KHAM DA KHOA - CONG TY CO PHAN DINH DUONG NUTRIHOME - CHI NHANH THANH PHO HO CHI MINH</t>
  </si>
  <si>
    <t>198 HOANG VAN THU, PHUONG 9, QUAN PHU NHUAN, THANH PHO HO CHI MINH</t>
  </si>
  <si>
    <t>FVH1673</t>
  </si>
  <si>
    <t>ỐNG</t>
  </si>
  <si>
    <t>Bị gãy đầu trong hộp nguyên</t>
  </si>
  <si>
    <t>Khách hủy khiếu nại</t>
  </si>
  <si>
    <t xml:space="preserve">Số khiếu nại: COMP-VN-2025-135 (1 gói lỗi)
Hãng chấp nhận đền bù
09/09/2025, nhận được trả lời của hãng về khiếu nại
--&gt; Hoàn tất
18/09/2025: hãng đồng ý đền bù 06 hộp
07/10/2025: hàng về kho có 2 lô bị lỗi 
- C56397: 02 hộp (01 hộp 4 gói + 1 hộp 1 gói) trong đó có 04 gói bị lỗi.
- C56395:  04 hộp (16 gói) trong đó có 09 gói bị lỗi
Do đó, hãng điều chỉnh như sau: COMP-VN-2025-152: 12 gói lỗi (9 gói lô C56395 + 3 gói lô C56397)
</t>
  </si>
  <si>
    <t>Bị lủng trong hộp còn seal. Trong đó có 09/16 gói bị lỗi</t>
  </si>
  <si>
    <t xml:space="preserve">Bị lủng trong hộp còn seal. </t>
  </si>
  <si>
    <t>CC_1171025-HN</t>
  </si>
  <si>
    <t>CC_1181025-HCM</t>
  </si>
  <si>
    <t>CC_1191025-HCM</t>
  </si>
  <si>
    <t>Bệnh viện báo có 1 bơm đẩy hết pittong mà thuốc không ra được</t>
  </si>
  <si>
    <t>CC_1201025-HCM</t>
  </si>
  <si>
    <t>BENH VIEN DA KHOA TRUNG UONG CAN THO</t>
  </si>
  <si>
    <t>SO 315 DUONG NGUYEN VAN LINH, P. AN KHANH, Q. NINH KIEU, TP. CAN THO</t>
  </si>
  <si>
    <t xml:space="preserve"> TOUJEO SOLOSTAR 450IU B/5 PENS X 1.5ML</t>
  </si>
  <si>
    <t>4F257A</t>
  </si>
  <si>
    <t>Bệnh viện báo khi mới khui bút mới thì thấy bên trong chỉ còn phân nửa thuốc</t>
  </si>
  <si>
    <t>CC_1211025-HCM</t>
  </si>
  <si>
    <t>SILYGAMMA</t>
  </si>
  <si>
    <t>CC_1221025-HN</t>
  </si>
  <si>
    <t>BỆNH VIỆN TÂM ANH</t>
  </si>
  <si>
    <t>441094</t>
  </si>
  <si>
    <t>Bị lỗi bao bì màu đỏ</t>
  </si>
  <si>
    <t>DAU GOI NGAN RUNG TOC (50 MEGUMI HAIR FALL CONTROL SHAMPOO) 250ML</t>
  </si>
  <si>
    <t>HB01A</t>
  </si>
  <si>
    <t xml:space="preserve">Bị lỗi nắp </t>
  </si>
  <si>
    <t>QUAY THUOC SO 18</t>
  </si>
  <si>
    <t>10/10 vỉ có viên bị vỡ (cậ nhật 15/10 tổng 250 viên)</t>
  </si>
  <si>
    <t>CC_1231025-HN</t>
  </si>
  <si>
    <t>Trình dược đã trao đổi với khách và close khiếu nại</t>
  </si>
  <si>
    <t>10/2024</t>
  </si>
  <si>
    <t>09/2027</t>
  </si>
  <si>
    <t>STERIMAR BLOCKED NOSE BABY 50 ML</t>
  </si>
  <si>
    <t>HỘ KINH DOANH NHÀ THUỐC GIA HUY NCT - PHẠM THỊ PHƯỢNG</t>
  </si>
  <si>
    <t>FE4051</t>
  </si>
  <si>
    <t>Bị lỗi vòi xịt</t>
  </si>
  <si>
    <t>CC_1241025-ĐN</t>
  </si>
  <si>
    <t>BỆNH VIỆN UNG BƯỚU ĐÀ NẴNG</t>
  </si>
  <si>
    <t>ABIRATRED 250MG 120'S</t>
  </si>
  <si>
    <t>H2500727</t>
  </si>
  <si>
    <t xml:space="preserve"> trong lọ có 1 viên không nguyên vẹn chỉ có 1 nửa</t>
  </si>
  <si>
    <t>Đường Hoàng Thị Loan, phường Hoà Khánh, TP Đà Nẵng</t>
  </si>
  <si>
    <t>NO</t>
  </si>
  <si>
    <t>17/10/2025, hãng đồng ý đền bù cho khách
27/10/2025. khách thu hồi khiếu nại, tự xử lý nội bộ</t>
  </si>
  <si>
    <t>23/10/2025, báo mail cho hãng
27/10/2025, hãng đồng ý khiếu nại, hàng lỗi chuyển về VP Rohto</t>
  </si>
  <si>
    <t>25/09/2025, báo mail hãng
29/09/2025, hãng chấp nhận đền bù, hàng lỗi thu về trả hãng
23/10/2025, CS báo đi thu hồi hàng, ko còn 2 vỉ lỗi, không thu hồi hàng nữa
--&gt; Đóng khiếu nại</t>
  </si>
  <si>
    <t>CC_1251025-HCM</t>
  </si>
  <si>
    <t>SO 02, DUONG LE QUOC HUNG, PHUONG 13, QUAN 4, THANH PHO HO CHI MINH</t>
  </si>
  <si>
    <t xml:space="preserve">TRUNG TAM Y TE KHU VUC XOM CHIEU </t>
  </si>
  <si>
    <t>E250808</t>
  </si>
  <si>
    <t>sản phẩm nguyên seal nhưng không có thuốc bên trong hộp</t>
  </si>
  <si>
    <t>CC_1261025-HN</t>
  </si>
  <si>
    <t>CÔNG TY TNHH BỆNH VIỆN ĐKTN AN SINH - PHÚC TRƯỜNG MINH</t>
  </si>
  <si>
    <t>8 CHAU VAN LIEM, PHUONG PHU DO, QUAN NAM TU LIEM, THANH PHO HA NOI, VIET NAM</t>
  </si>
  <si>
    <t>4ND3A</t>
  </si>
  <si>
    <t>05/2024</t>
  </si>
  <si>
    <t>04/2027</t>
  </si>
  <si>
    <t>bị lỗi quy cách đóng gói (quy cách hộp 5 viên nhưng viện mở hộp ra bị thiếu 2 viên, viện đã sử dụng cấp phát 1 viên, còn 2 viên chưa sử dụng</t>
  </si>
  <si>
    <t>CC_1271125-HN</t>
  </si>
  <si>
    <t>CC_1281125-HCM</t>
  </si>
  <si>
    <t>HO KINH DOANH NGUYEN THI DIEP</t>
  </si>
  <si>
    <t>ĐC: SN 211, DUONG DINH TIEN HOANG, PHO 9, PHUONG DONG THANH, THANH PHO NINH BINH, TINH NINH BINH</t>
  </si>
  <si>
    <t>FE4097</t>
  </si>
  <si>
    <t>Lỗi vòi xịt</t>
  </si>
  <si>
    <t>ĐC: SO 55, NGO 54 NGUYEN CHI THANH ( PHONG 1, TANG 1 : MUON MB) P. LANG THUONG, Q. DONG DA, TP HA NOI</t>
  </si>
  <si>
    <t>THON THUONG BI, XA YET KIEU, HUYEN GIA LOC, TINH HAI DUONG</t>
  </si>
  <si>
    <t>CONG TY TNHH Y TE DAI PHUOC</t>
  </si>
  <si>
    <t>829 - 829A - 831 - 833 DUONG 3/2, PHUONG 7, QUAN 11, THANH PHO HO CHI MINH, VIET NAM</t>
  </si>
  <si>
    <t>ACEMUC KIDS 200MG 1G_SC30_VN</t>
  </si>
  <si>
    <t>FVH0032</t>
  </si>
  <si>
    <t>Khách hàng báo có 4 hộp có gói thuốc bên trong hàn không kín (đã cung cấp hình ảnh cho TDV)</t>
  </si>
  <si>
    <t>Không xuất phát từ bảo quản, phân phối đến khách</t>
  </si>
  <si>
    <t xml:space="preserve">14/10/2025 Báo email cho hãng
</t>
  </si>
  <si>
    <t>CC_1291125-HCM</t>
  </si>
  <si>
    <t>CONG TY CP DUOC PHAM MEDX</t>
  </si>
  <si>
    <t xml:space="preserve"> SILYGAMMA 150MG 100'S</t>
  </si>
  <si>
    <t>464835</t>
  </si>
  <si>
    <t>thuốc bị nứt viên theo hình đính kèm mail</t>
  </si>
  <si>
    <t>Không phải lỗi, chỉ là vết giữa viên và PVC</t>
  </si>
  <si>
    <t>EASYEF 0.005% DAEWOONG 10ML</t>
  </si>
  <si>
    <t>Bình xịt Easyef vẫn còn dung dịch thuốc bên trong nhưng không xịt được</t>
  </si>
  <si>
    <t>14/10/2025, báo email cho hãng
đang chờ confirm của SC -AZ</t>
  </si>
  <si>
    <t>CC_1301125-HCM</t>
  </si>
  <si>
    <t>CC_1311125-HCM</t>
  </si>
  <si>
    <t>STAMLO-T (HOP/ 28 VIEN)</t>
  </si>
  <si>
    <t>CHI NHANH CONG TY CO PHAN BENH VIEN DA KHOA TAM ANH TP. HO CHI MINH - KHOA DUOC</t>
  </si>
  <si>
    <t>02/10/2025 báo mail cho hãng
-&gt; Hãng xác nhận đổi 1h nguyên cho khách, hộp có vỉ bị vỡ thu về trả hãng (2 vỉ nguyên + 3 viên vỡ)
-&gt; Hoàn tất</t>
  </si>
  <si>
    <t>06/10/2025, báo email cho hãng
24/10/2025, hãng xác nhận đổi 03 hộp cho khách, thu về 150 viên trả hãng</t>
  </si>
  <si>
    <t>10/10 báo mail cho hãng
04/11/2025, hãng đồng ý đổi hàng, trừ vào công nợ tháng</t>
  </si>
  <si>
    <t>23/10/2025, báo mail cho hãng
04/11/2025, hãng đồng ý đổi hàng, trừ vào công nợ tháng</t>
  </si>
  <si>
    <t>29/10/2025, báo mail cho hãng
-&gt; hãng chấp nhận khiếu nại, làm biên bản giảm trừ tiền 2 viên thiếu
11/11/2025: viện không đồng ý làm điều chỉnh hóa đơn và thống nhất đóng khiếu nại không xử lý thêm</t>
  </si>
  <si>
    <t>03/10/2025, báo mail cho hãng
-&gt; 04/11/2025 hãng đồng ý đổi hàng, trừ công nợ tháng</t>
  </si>
  <si>
    <t>CC_1321125-HCM</t>
  </si>
  <si>
    <t>V2500577</t>
  </si>
  <si>
    <t>Nhà thuốc ghi nhận trong quá trình cấp phát thuốc cho KH có 1 hộp STAMLO- T (40mg + 5mg) bị lỗi rách vỉ (hình ảnh đính kèm)</t>
  </si>
  <si>
    <t>Đã báo hãng, đang chờ CS xin thêm thông tin
14/11/2025, nhận thêm thông tin từu CS</t>
  </si>
  <si>
    <t>AA520</t>
  </si>
  <si>
    <t>1 hộp bị lỗi 1 viên</t>
  </si>
  <si>
    <t xml:space="preserve">CONG TY TNHH COLUMBIA ASIA BINH DUONG </t>
  </si>
  <si>
    <t>KHU PHO HOA LAN, PHUONG THUAN GIAO, THANH PHO THUAN AN, TINH BINH DUONG</t>
  </si>
  <si>
    <t>có</t>
  </si>
  <si>
    <t>Sale hãng làm việc với khách
Đồng ý đền bù cho khách (17/11/2025)</t>
  </si>
  <si>
    <t>CC_1331125-HCM</t>
  </si>
  <si>
    <t>PHONG KHAM TU VAN VA DIEU TRI DU PHONG BS TRAN DUY THUAN</t>
  </si>
  <si>
    <t>Y1B69D2</t>
  </si>
  <si>
    <t>67 NGUYEN THAI HOC, PHUONG 3, TP TUY HOA, TINH PHU YEN</t>
  </si>
  <si>
    <t>1 lọ vaccine verorab có kết tủa màu vàng</t>
  </si>
  <si>
    <t>CC_1341125-HCM</t>
  </si>
  <si>
    <t>31 THUAN KIEU, PHUONG 12, QUAN 5, THANH PHO HO CHI MINH</t>
  </si>
  <si>
    <t>DIA DIEM KINH DOANH SO 02 - CONG TY TNHH GOOD PHARMA NGOC TUYET </t>
  </si>
  <si>
    <t>B07946</t>
  </si>
  <si>
    <t>Khách hàng sử dụng bình xịt Easyef vẫn còn dung dịch thuốc bên trong nhưng không xịt được</t>
  </si>
  <si>
    <t>CONG TY CO PHAN DUOC PHAM CHO THUOC TOT</t>
  </si>
  <si>
    <t>CC_1351125-HCM</t>
  </si>
  <si>
    <t>040D015</t>
  </si>
  <si>
    <t xml:space="preserve"> 10 DUONG TAN THOI NHAT 08, KHU PHO 5, PHUONG TAN THOI NHAT, QUAN 12, THANH PHO HO CHI MINH</t>
  </si>
  <si>
    <t>1 vỉ ospamox bị lỗi như hình ảnh đính kèm</t>
  </si>
  <si>
    <t>CC_1361125-HCM</t>
  </si>
  <si>
    <t>TRUNG TAM KIEM SOAT BENH TAT TIEN GIANG</t>
  </si>
  <si>
    <t>E250782</t>
  </si>
  <si>
    <t xml:space="preserve"> SO 316, QUOC LO 1A,TO 22, AP LONG HUNG, XA PHUOC THANH, THANH PHO MY THO, TINH TIEN GIANG</t>
  </si>
  <si>
    <t>Không có hộp thuốc bên trong</t>
  </si>
  <si>
    <t>CC_1371125-HCM</t>
  </si>
  <si>
    <t>CC_1381125-HCM</t>
  </si>
  <si>
    <t xml:space="preserve"> (HOP 60 GOI) DAU GOI CHONG GAU (SELSUN ANTI-DANDRUFF SHAMPOO WITH SELENIUM SULFIDE ) GOI 5ML</t>
  </si>
  <si>
    <t>IB03C</t>
  </si>
  <si>
    <t>Mờ lô date</t>
  </si>
  <si>
    <t>X3C471V</t>
  </si>
  <si>
    <t xml:space="preserve">X3C204V
</t>
  </si>
  <si>
    <t xml:space="preserve">31/01/2027
</t>
  </si>
  <si>
    <t>Thông tin vỏ hộp hàng lỗi bị mốc, có nhiều chấm đen</t>
  </si>
  <si>
    <t>08/10/2025, báo email cho hãng
Ngày 07/10/2025, hàng lỗi khiếu nại số CC_690725-HCM về kho, phát hiện có 2 lô
- C56397: 02 hộp (01 hộp 4 gói + 1 hộp 1 gói) trong đó có 04 gói bị lỗi.
- C56395:  04 hộp (16 gói) trong đó có 09 gói bị lỗi
Do đó, hãng điều chỉnh như sau: COMP-VN-2025-152: 12 gói lỗi (9 gói lô C56395 + 3 gói lô C56397)
Nhận được thông tin chuyển hủy ngày 02/12/2025
--&gt; Hoàn tất</t>
  </si>
  <si>
    <t>BENH VIEN DA KHOA TP CAN THO</t>
  </si>
  <si>
    <t>Bút không có thuốc bên trong</t>
  </si>
  <si>
    <t>Báo hãng và xin hướng xử lý
Hãng chấp nhận khiếu nại, tiến hành đền bù cho khách 
--&gt; Hoàn tất</t>
  </si>
  <si>
    <t>SỐ 04 ĐƯỜNG CHÂU VĂN LIÊM,PHƯỜNG NINH KIỀU,TP CẦN THƠ</t>
  </si>
  <si>
    <t>07/10/2025: hãng đồng ý khiếu nại
23/10/2025: CS liên hệ nhưng khách vẫn chưa đồng ý thực hiện thủ tục đền bù
10/11/2025: close case, không thu hồi được mẫu khiếu nại. Lý do: không hoàn tất được chứng từ; Hoàng Đức đã cố gắng liên hệ nhưng khách không phản hồi</t>
  </si>
  <si>
    <t>24/10/2025: hãng yc thu hồi lọ khiếu nại và đổi hàng cho khách
28/10/2025: gửi BC khiếu nại cho hãng
04/11/2025: gửi trả lời các câu hỏi cho hãng
06/11/2025: hàng rời kho ĐN về kho LH
26/11/2025: XNK báo không thể xuất mẫu về ẤN ĐỘ
03/12/2025: Hãng xác nhận chuyển huỷ mẫu</t>
  </si>
  <si>
    <t>CC_1401225-HCM</t>
  </si>
  <si>
    <t>NHA THUOC TU NHAN 48 PHAN CHU TRINH</t>
  </si>
  <si>
    <t>SOLIQUA 300IU/+ INJ SOLO3 PEA M24 XC</t>
  </si>
  <si>
    <t xml:space="preserve">48 PHAN CHU TRINH, PHUONG THANH CONG, THANH PHO BUON MA THUOT, TINH DAK LAK </t>
  </si>
  <si>
    <t>4F304A</t>
  </si>
  <si>
    <t>Khách hàng báo có 1 bút tiêm SOLIQUA SOLO INJ 300IU B/3 pensx3ML M24 từ KH lẻ phản ánh bút mua về bị kẹt không tiêm ra thuốc</t>
  </si>
  <si>
    <t>CC_1391225-HCM-HUY</t>
  </si>
  <si>
    <t>Bên hãng đã làm việc với khách
Hãng đồng ý đền bù và xuất mẫu để hãng điều tra
--&gt; Hoàn tất</t>
  </si>
  <si>
    <t>CC_1411225-HCM</t>
  </si>
  <si>
    <t>10 DUONG TAN THOI NHAT 08, KHU PHO 5, PHUONG TAN THOI NHAT, QUAN 12, THANH PHO HO CHI MINH</t>
  </si>
  <si>
    <t>040D019</t>
  </si>
  <si>
    <t xml:space="preserve"> 01/07/2029</t>
  </si>
  <si>
    <t xml:space="preserve">Bị bong </t>
  </si>
  <si>
    <t xml:space="preserve">Báo hãng và xin hướng xử lý
</t>
  </si>
  <si>
    <t>CC_1421225-HN</t>
  </si>
  <si>
    <t>QUAY 335 TOA NHA HAPU</t>
  </si>
  <si>
    <t>1 NGUYEN HUY TUONG - THANH XUAN - HN</t>
  </si>
  <si>
    <t>1 vỉ thuốc không rách nhưng có 1 viên bị bung thuốc ra</t>
  </si>
  <si>
    <t>CC_1431225-HCM</t>
  </si>
  <si>
    <t>SAN PHAM XUA MUOI REMOS SA CHANH 150ML</t>
  </si>
  <si>
    <t>IB05</t>
  </si>
  <si>
    <t>Medx kiểm tra phát hiện có 1 chai bị chảy nước như hình đính kèm mail</t>
  </si>
  <si>
    <t>CC_1441225-HCM</t>
  </si>
  <si>
    <t>BENH VIEN DA KHOA BUU DIEN - CO SO 1</t>
  </si>
  <si>
    <t>LO B9 THANH THAI, P15, QUAN 10, TPHCM</t>
  </si>
  <si>
    <t>OZZY-40 (HOP/30 VIEN) - EU</t>
  </si>
  <si>
    <t>252449</t>
  </si>
  <si>
    <t>Trong quá trình cấp phát thuốc, bệnh viện phát hiện 1 hộp thuốc Ozzy - 40 (Quy cách trên bao bì: Hộp 30 viên), tuy nhiên thực tế đóng gói hộp chỉ có 2 vỉ x 10 viên (Hình đính kèm)</t>
  </si>
  <si>
    <t>CC_1451225-HCM</t>
  </si>
  <si>
    <t>TANAKAN 40MG 30TABS VN</t>
  </si>
  <si>
    <t>D51988</t>
  </si>
  <si>
    <t>báo lỗi vỉ bên trong bị cắt dập, hộp ngoài vẫn nguyên vẹn</t>
  </si>
  <si>
    <t>CONG TY CO PHAN Y KHOA HANO</t>
  </si>
  <si>
    <t>CC_1461225-HN</t>
  </si>
  <si>
    <t>1 bơm lỗi không bơm được do không bật được đầu kim lên để tiêm</t>
  </si>
  <si>
    <t>BENH VIEN DA KHOA QUOC TE S.I.S CAN THO - CHI NHANH CONG TY CO PHAN DAU TU Y TE VIET CUONG</t>
  </si>
  <si>
    <t>397, NGUYEN VAN CU, PHUONG AN BINH, QUAN NINH KIEU, THANH PHO CAN THO, VIET NAM</t>
  </si>
  <si>
    <t>GAS1287</t>
  </si>
  <si>
    <t>Khi khui hộp thuốc thì phát hiện bị lỗi nắp như hình đính kèm</t>
  </si>
  <si>
    <t>CC_1481225-HCM</t>
  </si>
  <si>
    <t>CC_1491225-HCM</t>
  </si>
  <si>
    <t>CC_1501225-HCM</t>
  </si>
  <si>
    <t>Báo email cho hãng 
Chấp nhận đền bù cho khách</t>
  </si>
  <si>
    <t>HEXAXIM</t>
  </si>
  <si>
    <t>TYPHIM</t>
  </si>
  <si>
    <t>Vẫn chưa nhận được câu trả lời của hãng
Đã nhận được hướng xử lý</t>
  </si>
  <si>
    <t>CC_1511225-HCM</t>
  </si>
  <si>
    <t>PERGLIM M-2 (HOP/5 VI X 20 VIEN)</t>
  </si>
  <si>
    <t xml:space="preserve"> F99 VO THI SAU, F.THONG NHAT, TP.BIEN HOA, TINH DONG NAI</t>
  </si>
  <si>
    <t xml:space="preserve"> CONG TY CO PHAN BENH VIEN THUAN MY ITO DONG NAI</t>
  </si>
  <si>
    <t>A08922506</t>
  </si>
  <si>
    <t>Báo email cho hãng 
BV báo do cuối năm xử lý nhiều việc, vì phần xử lý chứng từ mất nhiều thời gian nên viện sẽ tự xử lý nội bộ hộp lỗi này
--&gt; Hoàn tất</t>
  </si>
  <si>
    <t>CC_1471225-HCM-HUY</t>
  </si>
  <si>
    <t>BVDK DONG NAI</t>
  </si>
  <si>
    <t>SO 02, DUONG DONG KHOI, PHUONG BINH DA, THANH PHO BIEN HOA, TINH DONG NAI</t>
  </si>
  <si>
    <t>V2501712</t>
  </si>
  <si>
    <t>Bệnh viện báo có 1 vỉ thuốc bị bong viên thuốc bên trong</t>
  </si>
  <si>
    <t>CHI NHÁNH CÔNG TY CỔ PHẦN BỆNH VIỆN ĐA KHOA QUỐC TẾ VINMEC - BỆNH VIỆN ĐA KHOA QUỐC TẾ VINMEC TIMES CITY</t>
  </si>
  <si>
    <t>01/2024</t>
  </si>
  <si>
    <t>SO 458 MINH KHAI, PHUONG VINH TUY, QUAN HAI BA TRUNG, THANH PHO HA NOI</t>
  </si>
  <si>
    <t>CC_1521225-HN</t>
  </si>
  <si>
    <t>24/12/2025, báo email cho hãng
-&gt; hãng đồng ý đổi hàng cho khách, trừ vào công nợ T12/2025</t>
  </si>
  <si>
    <t>CC_1531225-HCM</t>
  </si>
  <si>
    <t>FE3274B</t>
  </si>
  <si>
    <t>Medx báo chai xịt bị lỗi vòi xịt như video đính kèm</t>
  </si>
  <si>
    <t>PHONG TIEM CHUNG VAC XIN QUANG TRI</t>
  </si>
  <si>
    <t>X3C231V</t>
  </si>
  <si>
    <t>bao bì bị mốc</t>
  </si>
  <si>
    <t>8 LÊ LỢI, PHƯỜNG NAM ĐÔNG HÀ, TỈNH QUẢNG TRỊ, VIỆT NAM</t>
  </si>
  <si>
    <t>CC_1541225-HN</t>
  </si>
  <si>
    <t>BỆNH VIỆN NHIỆT ĐỚI TRUNG ƯƠNG</t>
  </si>
  <si>
    <t>DOLUTEGRAVIR, LAMIVUDINE AND TENOFOVIR DISOPROXIL FUMARATE T ABLETS 50/300/300MG (HOP/1 LO 30 VIEN)</t>
  </si>
  <si>
    <t>Hộp không có lọ thuốc bên trong</t>
  </si>
  <si>
    <t>E250327</t>
  </si>
  <si>
    <t>Bị lỗi vỉ</t>
  </si>
  <si>
    <t>CC_1551225-HCM</t>
  </si>
  <si>
    <t>CC_1561225-HCM</t>
  </si>
  <si>
    <t xml:space="preserve"> 
MENQUADFI 0.5ML 1D INJSU VL1 VN</t>
  </si>
  <si>
    <t>U8534AA</t>
  </si>
  <si>
    <t>U8464AD</t>
  </si>
  <si>
    <t>Sau khi thực hiện mở hộp vắc xin để kiểm tra cảm quan thì phát hiện nắp cao su trên lọ bị rơi ra ngoài
Hộp vắc xin còn nguyên vẹn và đã khui seal để kiểm tra cảm quan</t>
  </si>
  <si>
    <t>+ Khi kiểm tra cảm quan vắc xin thì phát hiện có chấm đen bên trong lọ
+ Hộp vắc xin còn nguyên vẹn và đã khui seal để kiểm tra cảm quan</t>
  </si>
  <si>
    <t>THON BAU, XA KIM CHUNG, HUYEN DONG ANH, THANH PHO HA NOI</t>
  </si>
  <si>
    <t xml:space="preserve">E250693A
</t>
  </si>
  <si>
    <t xml:space="preserve">13/02/2027
</t>
  </si>
  <si>
    <t>08/12/2025, gửi mail báo hãng
-&gt; 09/12/2025, hãng chấp nhận đền bù, hàng lỗi thu về trả hãng</t>
  </si>
  <si>
    <t>SO 17 TT6A KHU DO THI TAY NAM HO LINH DAM, PHUONG HOANG LIET, QUAN HOANG MAI, THANH PHO HA NOI</t>
  </si>
  <si>
    <t>Báo email cho hãng 
-&gt; 15/12 QA hãng chấp nhận khiếu nại, chờ xác nhận chi phí để thu hồi hàng
-&gt; 31/12, hãng xác nhận thu hồi hàng khiếu nại</t>
  </si>
  <si>
    <t>Báo email cho hãng 
Chấp nhận đền bù cho khách
--&gt; Hoàn tất</t>
  </si>
  <si>
    <t>Báo email cho hãng
05/01/2025 Chấp nhận đền bù cho khách. Hàng khiếu nại thu về cho vào khu vực chờ xử lý
--&gt; Hoàn tất</t>
  </si>
  <si>
    <t>Hãng đồng ý đền bù, hàng cho vào khu vực chờ hủy
--&gt; Hoàn tất</t>
  </si>
  <si>
    <t>Báo email cho hãng. Code:COMP-VN-2025-199.
Chấp nhận đền bù cho khách</t>
  </si>
  <si>
    <t>CC_010126-HCM</t>
  </si>
  <si>
    <t>CONG TY CO PHAN BENH VIEN TIM TAM DUC</t>
  </si>
  <si>
    <t>CC_030126-HCM</t>
  </si>
  <si>
    <t>MAGNE B6 CORBIERE BL5X10 VN</t>
  </si>
  <si>
    <t>04 NGUYEN LUONG BANG, PHUONG TAN PHU, QUAN 7, TP HO CHI MINH ( LAU 1 )</t>
  </si>
  <si>
    <t>FVH2654</t>
  </si>
  <si>
    <t>Theo như BV báo trong vỉ thuốc có xuất hiện bóng khí li ti, khi có ánh sáng chiếu vào thì sẽ nhìn thấy rõ hiện tượng này ( hình ảnh và video có đính kèm mail )</t>
  </si>
  <si>
    <t xml:space="preserve">
Báo email cho hãng
Hãng chấp nhận khiếu nại, tiến hành đền bù cho khách 
--&gt; Hoàn tất</t>
  </si>
  <si>
    <t>CONG TY CO PHAN BENH VIEN DA KHOA TAM ANH</t>
  </si>
  <si>
    <t>108 HOANG NHU TIEP, PHUONG BO DE, QUAN LONG BIEN, THANH PHO HA NOI</t>
  </si>
  <si>
    <t>STERIMAR BLOCKED NOSE BABY 50ML</t>
  </si>
  <si>
    <t>CC_020126-HN</t>
  </si>
  <si>
    <t>Khi thực hiện bơm dung môi vào lọ bột đông khô thì phát hiện pittong bị cứng không đẩy được dung môi vào lọ bột đông khô</t>
  </si>
  <si>
    <t>Báo email cho hãng
-&gt; Hãng xác nhận đổi hàng cho khách</t>
  </si>
  <si>
    <t>CC_040126-HCM</t>
  </si>
  <si>
    <t>FVH2821</t>
  </si>
  <si>
    <t>13/01/2026, Hoàng Đức có giao 1 đơn hàng (lô FVH2821), khi kiểm tra vẫn phát hiện tình trạng lỗi tương tự với lô FVH2654. Và do viện cần thuốc để cấp phát nên đã nhận đơn hàng này. 
Viện có yêu cầu cung cấp Công văn giải thích nếu như trong trường hợp không phải lỗi do thuốc mà do bao bì (vì viện có bóc thử 1 vỉ lỗi ra thì thấy viên thuốc bình thường)</t>
  </si>
  <si>
    <t>Báo email cho hãng 
Nhận được công văn giải trình từ hãng, đồng ý đền bù và chuyển hàng khiếu nại thu về trả hãng
--&gt; hoàn tất</t>
  </si>
  <si>
    <t>Điều tra nguyên nhân tại kho và đơn vị vận chuyển: không phát hiện bất thường để xảy ra lỗi như khiếu nại,  chấp nhận đền bù cho khách 
-&gt; Hoàn tất</t>
  </si>
  <si>
    <t xml:space="preserve">
Báo email cho hãng
Hãng ghi nhận khiếu nại</t>
  </si>
  <si>
    <t>CC_050126-ĐN</t>
  </si>
  <si>
    <t>CONG AN THANH PHO DA NANG</t>
  </si>
  <si>
    <t>22 PHAN LANG 8, PHUONG AN KHE, QUAN THANH KHE, THANH PHO DA NANG</t>
  </si>
  <si>
    <t>ENTEROGERMINA,4BCFU/5ML,SP,BT20,VN</t>
  </si>
  <si>
    <t>CC_060126-HCM</t>
  </si>
  <si>
    <t>DAPTOMRED</t>
  </si>
  <si>
    <t>CC_070126-HCM</t>
  </si>
  <si>
    <t>SILYGAMMA 150MG</t>
  </si>
  <si>
    <t>468659A</t>
  </si>
  <si>
    <t>K250095</t>
  </si>
  <si>
    <t>03/10/2025, Báo email cho CS xin thêm thông tin
Sau khi kiểm tra khách xác nhận không phát sinh lỗi nên hủy khiếu nại
--&gt; Hoàn tất</t>
  </si>
  <si>
    <t>CC_080126-HCM</t>
  </si>
  <si>
    <t>BENH VIEN 22 – 12</t>
  </si>
  <si>
    <t>34/4 NGUYEN THIEN THUAT, PHUONG TAN TIEN, THANH PHO NHA TRANG, TINH KHANH HOA</t>
  </si>
  <si>
    <t>STAMLO-T 80/5MG (HOP/28 VIEN)</t>
  </si>
  <si>
    <t>V2502056</t>
  </si>
  <si>
    <t>Viên bị lỗi</t>
  </si>
  <si>
    <t>Bị lỗi màng nhôm</t>
  </si>
  <si>
    <t xml:space="preserve">Đầu ống thuốc trong vỉ bị xỉn màu, thuốc có dấu hiệu nổi bọt khí ở đáy ống </t>
  </si>
  <si>
    <t>Không phải lỗi, Hãng giải thích: hiện tượng đầu ống xỉn màu là do lắng đọng của các bào tử Bacillus clausii. Khi lắc lên, bào tử phân tán sẽ không còn nhìn thấy tình trạng này. Do bào tử đọng ở phía đầu ống nên có thể sẽ hơi khó để phân tán hoàn toàn. Phần bọt khí nhìn thấy là do trong ống đóng vẫn còn khoảng không nên phần khí này có thể là do lượng không khí còn sót khi lắc ống.</t>
  </si>
  <si>
    <t>Báo email cho hãng
Hãng không chấp nhận khiếu nại --&gt; Hoàn tất</t>
  </si>
  <si>
    <t>4I277</t>
  </si>
  <si>
    <t>CC_090126-HCM</t>
  </si>
  <si>
    <t>CC_100126-HCM</t>
  </si>
  <si>
    <t>NHA THUOC GIANG NAM</t>
  </si>
  <si>
    <t>14A-16 TRAN PHU, PHUONG VINH THANH, THANH PHO RACH GIA, TINH KIEN GIANG</t>
  </si>
  <si>
    <t>STAMLO 5</t>
  </si>
  <si>
    <t>10/2025</t>
  </si>
  <si>
    <t>B2503423</t>
  </si>
  <si>
    <t>hỘP</t>
  </si>
  <si>
    <t>có mùi lạ, nghị ngờ thuốc giả</t>
  </si>
  <si>
    <t>Lỗi không xuất phát từ quá trình bảo quản và vận chuyển của đơn vị phân phối, và không xuất phát từ nhà sản xuất</t>
  </si>
  <si>
    <t>Hàng không chấp nhận khiếu nại dựa vào email phản hồi ngày 16/01/2026
--&gt; Hoàn tất</t>
  </si>
  <si>
    <t>BENH VIEN DA KHOA THU DUC</t>
  </si>
  <si>
    <t>29 PHU CHAU, PHUONG TAM BINH, THANH PHO HO CHI MINH</t>
  </si>
  <si>
    <t>4F283A</t>
  </si>
  <si>
    <t>bệnh nhân sử dụng bút bị kẹt không tiêm ra thuốc, dù đã thử thay đổi kim tiêm,
Phía đơn vị BV yêu cầu tiến hành đổi trả bút lỗi này để bệnh nhân sử dụng</t>
  </si>
  <si>
    <t>08/2025</t>
  </si>
  <si>
    <t>BENH VIEN HUNG VUONG</t>
  </si>
  <si>
    <t>CC_110126-HCM</t>
  </si>
  <si>
    <t>128 HONG BANG, PHUONG 12, QUAN 5, THANH PHO HO CHI MINH</t>
  </si>
  <si>
    <t>Hexaxim bị lỗi Pittong rớt ra ngoài, nút cao su chặn thuốc vẫn còn trong ống.(chi tiết file đính kèm)</t>
  </si>
  <si>
    <t xml:space="preserve"> VIEN HUYET HOC TRUYEN MAU TRUNG UONG</t>
  </si>
  <si>
    <t>CC_120126-HN</t>
  </si>
  <si>
    <t xml:space="preserve"> PHUONG YEN HOA, QUAN CAU GIAY, HA NOI</t>
  </si>
  <si>
    <t>H250517</t>
  </si>
  <si>
    <t>WINDUZA (H/1 LO)</t>
  </si>
  <si>
    <t xml:space="preserve">31/05/2027
</t>
  </si>
  <si>
    <t>đề nghị cần đổi 1 lọ Winduza SO 1418299 do độ tan không đồng đều (chưa biết chính xác lí do gì)</t>
  </si>
  <si>
    <t>CC_130126-HN</t>
  </si>
  <si>
    <t>N250148A</t>
  </si>
  <si>
    <t>DUONG NGUYEN QUYEN, PHUONG VO CUONG, THANH PHO BAC NINH, TINH BAC NINH</t>
  </si>
  <si>
    <t>Lọ thuốc đông đá 1 phần</t>
  </si>
  <si>
    <t>X3C194V</t>
  </si>
  <si>
    <t xml:space="preserve">
Báo email cho hãng
Hãng chấp nhận khiếu nại, tiến hành đền bù cho khách 
Phía CS không xin được thêm thông tin hình ảnh do đó hàng về kho sẽ chụp để lưu thông tin.
--&gt; Hoàn tất</t>
  </si>
  <si>
    <t>CC_140226-HN</t>
  </si>
  <si>
    <t xml:space="preserve">FMDS
</t>
  </si>
  <si>
    <t>nghi ngờ sản phẩm không chính hãng, sản phẩm không có tem nhập khẩu, chất lượng in tệ
nghi ngờ về nguồn gốc và yêu cầu chứng minh nguồn gốc của thuốc, chứng minh sản phẩm nhập chính hãng</t>
  </si>
  <si>
    <t>CC_150226-ĐN</t>
  </si>
  <si>
    <t>CONG TY CO PHAN BENH VIEN DA KHOA SAI GON HOI AN</t>
  </si>
  <si>
    <t>có 1 cây Soliqua bị lỗi không bơm thuốc lên được</t>
  </si>
  <si>
    <t>07/2024</t>
  </si>
  <si>
    <t>Sau khi trao đổi, Bệnh viện thông tin lại như sau: Sau khi bệnh viện thay đổi mũi tiêm thì hiện tại thuốc đã xuống được, xác định là lỗi kim nên không cần đổi bút cho bệnh viện nữa. --&gt; BÁO HÃNG CLOSE CASE</t>
  </si>
  <si>
    <t>6 PHAN DINH PHUNG, PHUONG HOI AN TAY, THANH PHO DA NANG</t>
  </si>
  <si>
    <t>CC_160226-HCM</t>
  </si>
  <si>
    <t xml:space="preserve"> FORLAX 10G 20SACH VN</t>
  </si>
  <si>
    <t>D52436</t>
  </si>
  <si>
    <t>Viện vừa khui hộp nguyên FORLAX thì có gói bị rách (có hình ảnh đính kèm trong mail)</t>
  </si>
  <si>
    <t>Báo mail cho hãng
-&gt;04/02/2026, hãng phản hồi thông tin, 05/02/2026 QA gửi thông tin cho CS để phản hồi khách hàng
-&gt;12/02/2026 đã gửi công văn phản hồi cho khách hàng
-&gt;23/02/2026 hãng xác nhận phương án hàng trả về</t>
  </si>
  <si>
    <t>Báo email cho hãng
Ngày 23/02/2026 nhận được phản hồi từ hãng</t>
  </si>
  <si>
    <t>Lỗi không xuất phát từ Hoàng Đức và nhà sản xuất</t>
  </si>
  <si>
    <t>Lỗi không xuất phát từ Hoàng Đức</t>
  </si>
  <si>
    <t>CC_170226-HCM</t>
  </si>
  <si>
    <t>BENH VIEN PHONG-DA LIEU TRUNG UONG QUY HOA</t>
  </si>
  <si>
    <t xml:space="preserve">Đã báo hãng và xin hướng xử lý
25/02/2026 hãng đồng ý đền bù, </t>
  </si>
  <si>
    <t>PHUONG GHENH RANG, THANH PHO QUY NHON, TINH BINH DINH</t>
  </si>
  <si>
    <t xml:space="preserve">Yêu cầu gửi giấy tiếp nhận của Cục về nội dung công bố giá của sản phẩm Beyfortus, do khách không thấy trên cổng dịch vụ công. </t>
  </si>
  <si>
    <t>BEYFORTUS</t>
  </si>
  <si>
    <t>Đã báo hãng</t>
  </si>
  <si>
    <t>Không phải lỗi nhà sản xuất, do vật tư sử dụng của BV</t>
  </si>
  <si>
    <t>CC_180226-ĐN</t>
  </si>
  <si>
    <t>khi khách hàng vào phòng tiêm, nhân viên y tế đã lấy lọ Verorab để tư vấn và chuẩn bị pha tiêm theo đúng quy trình. Tuy nhiên, khi đưa kim tiêm vào ống sạc thuốc để tiến hành pha, kim tiêm bất ngờ rơi ra khỏi ống sạc, làm dung môi đổ ra ngoài và không thể tiếp tục sử dụng.
Qua kiểm tra ban đầu, chúng tôi nghi ngờ phần đốc kim có thể đã bị lỗi trước khi pha tiêm. Do phần này trong suốt nên rất khó quan sát bằng mắt thường, dẫn đến nhân viên không phát hiện bất thường trước khi thao tác. Đây là sự cố ngoài ý muốn và trong suốt thời gian sử dụng sản phẩm trước đây, chúng tôi chưa từng gặp tình huống tương tự.
Sự việc không chỉ gây hao hụt thuốc (vắc xin) mà còn ảnh hưởng đến quy trình chuyên môn và tâm lý khách hàng tại thời điểm xảy ra sự cố.
Vì vậy, chúng tôi kính đề nghị Quý Công ty/Quý Nhà phân phối xem xét hỗ trợ hoàn lại cho bệnh viện 01 lọ Verorab mới tương ứng với sản phẩm bị hỏng nêu trên</t>
  </si>
  <si>
    <t>1</t>
  </si>
  <si>
    <t>VERORAB</t>
  </si>
  <si>
    <t>BENH VIEN SAN -NHI TINH QUANG NGAI</t>
  </si>
  <si>
    <t>BENH VIEN DAI HOC Y DUOC THANH PHO HO CHI MINH (CO SO 1 – NHA THUOC)</t>
  </si>
  <si>
    <t xml:space="preserve">	
215 HONG BANG, PHUONG 11, QUAN 5, TPHCM</t>
  </si>
  <si>
    <t>GAS2950</t>
  </si>
  <si>
    <t>13/06/2025</t>
  </si>
  <si>
    <t>184 HUNG VUONG, P. TRAN PHU, TP QUANG NGAI, TINH QUANG NGAI</t>
  </si>
  <si>
    <t>CC_190226-HCM-HUY</t>
  </si>
  <si>
    <t>Đã báo hãng và chấp nhận đền bù
--&gt; hoàn tất
26/02/2026 khách hủy khiếu nại và không cần đền bù</t>
  </si>
  <si>
    <t>CC_200226-HCM</t>
  </si>
  <si>
    <t>Bệnh viện Hùng Vương Gia Lai xin phản hồi chất lượng của sản phẩm Toujeo
Bình thường bệnh nhân sẽ dùng được hơn 1 tháng, tuy nhiên mới 10 ngày thì thuốc hết .</t>
  </si>
  <si>
    <t>CONG TY TNHH BENH VIEN HUNG VUONG GIA LAI</t>
  </si>
  <si>
    <t>236A LE DUAN, PHUONG TRA BA, THANH PHO PLEIKU, TINH GIA LAI, VIET NAM</t>
  </si>
  <si>
    <t>03/09/2024</t>
  </si>
  <si>
    <t xml:space="preserve">Viện đang kiểm tra và làm thủ tục khi nào xong sẽ báo lại 
04/02/2026, viện báo yêu cầu đổi hàng, và HĐ gửi thông tin cho hãng
-&gt; hàng về kho hãng báo hold chờ hướng xử lý từ nhà máy
</t>
  </si>
  <si>
    <t>Hãng yêu cầu đổi hàng cho khách và thu hàng khiếu nại về điều tra 
-&gt; 04/02/2026 hàng thu hồi về đến kho, hãng báo hold chờ hướng xử lý từ nhà máy</t>
  </si>
  <si>
    <t>báo mail cho hãng
-&gt; Hãng báo đổi hàng cho viện, hàng thu về chuyển chờ hủy</t>
  </si>
  <si>
    <t>REDDITUX 100MG (H/1LO X 10ML)</t>
  </si>
  <si>
    <t>BENH VIEN DA KHOA TINH BAC NINH</t>
  </si>
  <si>
    <t>Y1C38D1</t>
  </si>
  <si>
    <t>12/07/2024</t>
  </si>
  <si>
    <t>Đã báo hãng, hãng chấp nhận khiếu nại --&gt; hoàn tất
Thu mẫu gửi về văn phòng cho hãng</t>
  </si>
  <si>
    <t>Có</t>
  </si>
  <si>
    <t>CC_210226-ĐN</t>
  </si>
  <si>
    <t>2 Phan Đình Phùng, Phường Hải Châu, TP Đà Nẵng</t>
  </si>
  <si>
    <t>09/10/2023</t>
  </si>
  <si>
    <t>Đã báo hãng và chấp nhận đền bù. Thu mẫu gửi hãng theo đợt
--&gt; hoàn tất</t>
  </si>
  <si>
    <t>Yes</t>
  </si>
  <si>
    <t>1 hộp vaccine Avaxim không có lọ thuốc bên trong</t>
  </si>
  <si>
    <t>CC_220326-HCM</t>
  </si>
  <si>
    <t>Hoàng Đức nhận được phản ánh từ khách hàng báo người nhà có uống 1 ống Calcium Corbière (mua ở Nhà thuốc số 2 tại khu vực của khách - không nói rõ địa chỉ) thì nhận thấy ống thuốc có vị chua và đắng, không giống mọi khi thường dùng. Khách cần kiểm tra vị này có đúng thực tế hay không do nghi ngại thuốc có vấn đề chất lượng</t>
  </si>
  <si>
    <t xml:space="preserve">CONG TY CP DUOC - TBYT DA NANG - DIA DIEM KINH DOANH TRUNG TAM TIEM CHUNG VA DICH VU Y TE NEOVITA </t>
  </si>
  <si>
    <t>KHÁCH LẺ (DUYÊN)</t>
  </si>
  <si>
    <t>Đã báo email cho hãng
Nhận được câu trả lời từ hãng. Không có vấn đề liên quan chất lượng</t>
  </si>
  <si>
    <t>FVH2704</t>
  </si>
  <si>
    <t>04/11/2027</t>
  </si>
  <si>
    <t>BỆNH VIỆN QUÂN ĐỘI 108</t>
  </si>
  <si>
    <t>TEMOTERO 20 (HOP/ 5 VIEN)</t>
  </si>
  <si>
    <t>FE250337A</t>
  </si>
  <si>
    <t>Viên thuốc bị vỡ</t>
  </si>
  <si>
    <t>16/05/2025</t>
  </si>
  <si>
    <t>CC_230326-HN</t>
  </si>
  <si>
    <t>SO 1 TRAN HUNG DAO, QUAN HAI BA TRUNG, THANH PHO HA NOI</t>
  </si>
  <si>
    <t>10/03/2026, gửi mail báo hãng
-&gt; 11/03/2026, hãng báo đổi hàng cho khách</t>
  </si>
  <si>
    <t>CORBIERE CALCIUM PLUS 3SUPx10 10ML_VN</t>
  </si>
  <si>
    <t>251765</t>
  </si>
  <si>
    <t>Zhekof</t>
  </si>
  <si>
    <t>Bv có phản ánh có 3 vỉ thuốc bị bong góc dập nên bị hở</t>
  </si>
  <si>
    <t>3</t>
  </si>
  <si>
    <t xml:space="preserve">BENH VIEN DA KHOA KHU VUC CU CHI </t>
  </si>
  <si>
    <t>9A NGUYEN VAN HOAI, AP BAU TRE 2, XA TAN AN HOI, HUYEN CU CHI, TP. HO CHI MINH</t>
  </si>
  <si>
    <t>CC_250326-HCM</t>
  </si>
  <si>
    <t xml:space="preserve"> Y1C38D1</t>
  </si>
  <si>
    <t>Khi thực hiện rút nút cao su thì phát hiện đầu kim tiêm bị gãy</t>
  </si>
  <si>
    <t>13/09/2025</t>
  </si>
  <si>
    <t>CC_260326-ĐN</t>
  </si>
  <si>
    <t xml:space="preserve"> TRUNG TAM Y TE QUAN SON TRA</t>
  </si>
  <si>
    <t xml:space="preserve"> Insunova G-pen</t>
  </si>
  <si>
    <t>BF25004331</t>
  </si>
  <si>
    <t>1 bút bị lỗi không bấm được</t>
  </si>
  <si>
    <t>30/08/2025</t>
  </si>
  <si>
    <t>SILYGAMMA 150MG 100'S</t>
  </si>
  <si>
    <t>471618</t>
  </si>
  <si>
    <t>Khách hàng báo viên thuốc bị vỡ, đổi màu như hình đính kèm</t>
  </si>
  <si>
    <t>09/2025</t>
  </si>
  <si>
    <t>CC_280326-HCM</t>
  </si>
  <si>
    <t>B2503424</t>
  </si>
  <si>
    <t>Tình trạng viên tan rã có mùi hôi nồng:
Bệnh nhân uống vào không có tác dụng điều trị hạ huyết áp</t>
  </si>
  <si>
    <t>Công ty Trung Sơn Alpha Cần Thơ</t>
  </si>
  <si>
    <t>1118 NGO QUYEN, PHUONG AN HAI, THANH PHO DA NANG</t>
  </si>
  <si>
    <t>19/3/2026, gửi mail bão hãng
24/03/2026: Hãng đồng ý đổi hàng mới cho khách, mẫu khiếu nại trả hãng theo đợt
25/03/2026: BV báo khách đã lấy bút, nên huỷ khiếu nại</t>
  </si>
  <si>
    <t>2</t>
  </si>
  <si>
    <t>Đã báo hãng và chấp nhận đền bù
--&gt; hoàn tất</t>
  </si>
  <si>
    <t>CC_270326-HCM
HUY</t>
  </si>
  <si>
    <t>Đã báo hãng
Ngày 26/03/2026 khách báo hủy khiếu nại, xử lý nội bộ</t>
  </si>
  <si>
    <t xml:space="preserve">
Báo email cho hãng
Cần thu hồi hàng lỗi để điều tra 
30/01/2026, hàng lỗi về kho
26/03/2026, hãng gửi điều tra, hàng khiếu nại chuyển hủy
--&gt; Hoàn tất
</t>
  </si>
  <si>
    <t>TANG 4 TOA NHA TRUNG SON, 12 MAI CHI THO, KDC 586, PHUONG PHU THU, QUAN CAI RANG, THANH PHO CAN THO</t>
  </si>
  <si>
    <t>CC_290326-HCM</t>
  </si>
  <si>
    <t>CONG TY CO PHAN DUOC PHAM AN KHANG PHARMA</t>
  </si>
  <si>
    <t>SAN PHAM XUA MUOI REMOS SA CHANH 70ML</t>
  </si>
  <si>
    <t>JB03</t>
  </si>
  <si>
    <t xml:space="preserve">
Báo email cho hãng
Hãng chấp nhận khiếu nại, tiến hành đền bù cho khách 
Đã nhận được email từ hãng đồng ý chuyển hủy ngày 30/03/2026
--&gt; Hoàn tất</t>
  </si>
  <si>
    <t>CÔNG TY CỔ PHẦN BỆNH VIỆN ĐA KHOA TÂM ANH</t>
  </si>
  <si>
    <t>IC622A</t>
  </si>
  <si>
    <t>Khi giao hàng, viện chỉ đồng kiểm với giao hàng về số lượng hàng hóa, không phát hiện lỗi tại thời điểm giao hàng, có ký nhận hóa đơn. Hôm qua (30/3) khi viện dỡ thuốc ra khỏi thùng để xếp thì phát hiện ra có 1 hộp bị ướt ngoài vỏ hộp, mở ra kiểm tra thì phát hiện có ống bị vỡ và ố vàng</t>
  </si>
  <si>
    <t>CC_300326-HN</t>
  </si>
  <si>
    <t>BỆNH VIỆN QUỐC TẾ SẢN - NHI HẢI PHÒNG</t>
  </si>
  <si>
    <t>IC538A</t>
  </si>
  <si>
    <t>Khi giao hàng, viện chỉ đồng kiểm với giao hàng về số lượng hàng hóa, không phát hiện lỗi tại thời điểm giao hàng, có ký nhận hóa đơn. Đơn giao thành công 10/03, 1 tuần sau (17/3) viện sử dụng hàng có phát hiện ra hàng bị vỡ (ảnh đính kèm). Đơn khi giao cho viện đóng trong 1 kiện lẻ, không cùng với hàng khác.</t>
  </si>
  <si>
    <t>CC_310426-HN</t>
  </si>
  <si>
    <t>124 NGUYEN DUC CANH, PHUONG CAT DAI, QUẠN LE CHAN, THANH PHO HAI PHONG</t>
  </si>
  <si>
    <t>PHONG KHAM CHUYEN KHOA MAT DR. THU HA</t>
  </si>
  <si>
    <t>LIPOSIC EYE GEL 0.2%</t>
  </si>
  <si>
    <t>2486</t>
  </si>
  <si>
    <t xml:space="preserve">Sản phẩm khi bán cho bệnh nhân còn nguyên nhưng khi bệnh nhân mở ra để sử dụng thì phát hiện tuýp thuốc bị rách </t>
  </si>
  <si>
    <t>CC_320426-HN</t>
  </si>
  <si>
    <t>01/04/2026, gửi mail báo hãng
-&gt; Hãng báo đổi hàng cho khách, cấn trừ công nợ vào tháng 4</t>
  </si>
  <si>
    <t>CC_330426-HN</t>
  </si>
  <si>
    <t>KHOA DƯỢC BỆNH VIỆN K</t>
  </si>
  <si>
    <t>ZOLADEX INJ 3.6MG SS 1X1 EA VN</t>
  </si>
  <si>
    <t>SW869</t>
  </si>
  <si>
    <t>viện sử dụng thuốc thì phát hiện 1 bơm bị gãy kim</t>
  </si>
  <si>
    <t>bị chảy nước</t>
  </si>
  <si>
    <t>Đã nhận được thông tin từ khách và báo hãng ngày 26/03/2026
30/03 khách không cung cấp thông tin, tự xử lý nội bộ 
-&gt; Hoàn tất</t>
  </si>
  <si>
    <t>no</t>
  </si>
  <si>
    <t>CÔNG TY TNHH DƯỢC PHẨM MED-PHARMA</t>
  </si>
  <si>
    <t xml:space="preserve">Vỉ thuốc bị rách bao bạc </t>
  </si>
  <si>
    <t>471619</t>
  </si>
  <si>
    <t>TANG M, TÒA 278 PHO THUY KHUE, PHUONG THUY KHUE, QUAN TAY HO, THANH PHO HA NOI</t>
  </si>
  <si>
    <t>CC_340426-HN</t>
  </si>
  <si>
    <t>CC_350426-HCM</t>
  </si>
  <si>
    <t>01/09/2025</t>
  </si>
  <si>
    <t>02</t>
  </si>
  <si>
    <t>Khi thực hiện rút nút cao su thì phát hiện đầu kim tiêm bị gãy (file đính kèm)</t>
  </si>
  <si>
    <t>Đã báo hãng, đang chờ CS xin thêm thông tin
30/03/2026 QA chưa nhận được thông tin từ khách
Hoàn tất do khách không cung cấp thông tin mặc dù CS đã cố gắng liên hệ</t>
  </si>
  <si>
    <t>CC_240326-HCM
HUY</t>
  </si>
  <si>
    <t>Đã báo hãng
Hãng đồng ý tiếp nhận khiếu nai, và đền bù cho khách
-&gt; Hoàn tất</t>
  </si>
  <si>
    <t>SO 30, CAU BUOU, TAN TRIEU, THANH TRI, HA NOI</t>
  </si>
  <si>
    <t>SO 80 NGUYEN BAC, XA TU HIEP, HUYEN THANH TRI, THANH PHO HA NOI</t>
  </si>
  <si>
    <t>CC_360426-HCM</t>
  </si>
  <si>
    <t>BENH VIEN TINH NINH THUAN</t>
  </si>
  <si>
    <t xml:space="preserve"> DUONG NGUYEN VAN CU, PHUONG VAN HAI, TP PHAN RANG-THAP CHAM, TINH NINH THUAN</t>
  </si>
  <si>
    <t>BF25004028</t>
  </si>
  <si>
    <t>CC_370426-HCM</t>
  </si>
  <si>
    <t>BF25004575</t>
  </si>
  <si>
    <t>03</t>
  </si>
  <si>
    <t>do cứng bút, không vặn tiêm được. Nhân viên y tế đã có thao tác các bước kiểm tra tại thời điểm tiếp nhận và xác nhận lỗi nên đã đổi bút khác cho bệnh nhận</t>
  </si>
  <si>
    <t>29/08/2025</t>
  </si>
  <si>
    <t>03/04/2026, gửi mail báo hãng
-&gt; 08/04/2026, hãng xác nhận đổi trả nguyên hộp cho khách</t>
  </si>
  <si>
    <t>01/04/2026, gửi mail báo hãng
-&gt; 02/04/2026, nhận được thông tin phản hồi từ hãng
-&gt; 07/04/2026 close case do khách không cung cấp được thêm thông tin lỗi từ Hoàng Đức</t>
  </si>
  <si>
    <t>CC_380426-HCM</t>
  </si>
  <si>
    <t xml:space="preserve"> HO KINH DOANH PHONG TIEM CHUNG VAC XIN PASTEUR-PHONG KHAM NOI</t>
  </si>
  <si>
    <t>170 XO VIET NGHE TINH, PHUONG THANH CONG, THANH PHO BUON MA THUOT, TINH DAK LAKTHANH PHO BUON MA THUOT</t>
  </si>
  <si>
    <t xml:space="preserve">Vào ngày 5/4/2026 phòng tiêm có lấy 1 kim tiêm có chứa dung môi bị lỗi . Khi nhân viên rút đầu kim ra là đã thấy kim còn gắn vào thân ống kim . Và chúng tôi thấy đầu gắn kim đã bị lỗi </t>
  </si>
  <si>
    <t>CC_390426-HCM</t>
  </si>
  <si>
    <t>CONG TY CO PHAN BENH VIEN DA KHOA CHAU THANH NAM TAN UYEN</t>
  </si>
  <si>
    <t>68 DUONG DT 746, KP TAN BINH, PHUONG TAN HIEP, THANH PHO TAN UYEN, TINH BINH DUONG, VIET NAM</t>
  </si>
  <si>
    <t>Loại kim tương thích cho Lantus</t>
  </si>
  <si>
    <t>CC_400426-HCM</t>
  </si>
  <si>
    <t>18 NO TRANG LONG, PHUONG TAN TIEN, TP BUON ME THUOT, TINH DAKLAK</t>
  </si>
  <si>
    <t>NHA THUOC TAN THAI BINH</t>
  </si>
  <si>
    <t>CC_410426-HCM</t>
  </si>
  <si>
    <t>GAS5052</t>
  </si>
  <si>
    <t>Viên bị hư</t>
  </si>
  <si>
    <t>Không có thuốc trong vỉ</t>
  </si>
  <si>
    <t>HO KINH DOANH NHA THUOC MINH KHUE 1</t>
  </si>
  <si>
    <t>STERIMAR NOSE HYGIENE BABY 50ML</t>
  </si>
  <si>
    <t>FE4024C</t>
  </si>
  <si>
    <t>Gãy, lỗi vòi xịt</t>
  </si>
  <si>
    <t>CC_420426-HN</t>
  </si>
  <si>
    <t>SO 360A, DUONG HOANG QUOC VIET, PHUONG VU NINH, TINH BAC NINH</t>
  </si>
  <si>
    <t>469T13</t>
  </si>
  <si>
    <t>04/12/2024</t>
  </si>
  <si>
    <t>786 NGUYEN KIEM, PHUONG 3, QUAN GO VAP, THANH PHO HO CHI MINH</t>
  </si>
  <si>
    <t>Đã gửi email cho hãng
Đã nhận được câu trả lời từ hãng ngày 10/04/2026
--&gt; hoàn tất</t>
  </si>
  <si>
    <t>Lantus Solostar</t>
  </si>
  <si>
    <t>Đã gửi email cho hãng
Hãng đồng ý đền bù cho khách
--&gt; Hoàn tất</t>
  </si>
  <si>
    <t>03/04/2026 đã báo hãng
10/04/2026 hãng đồng ý đền bù cho khách
--&gt; Hoàn tất</t>
  </si>
  <si>
    <t xml:space="preserve">Lỗi không xuất phát từ Hoàng Đức </t>
  </si>
  <si>
    <t>Lỗi 1 phần do bao bì cấp 1 nhạy cảm với độ ẩm cao, 1 phần có thể do điều kiện bảo quản từ khách</t>
  </si>
  <si>
    <t>- 20/06/2025, hàng khiếu nại về kho
- 17/07/2025, khách cung cấp thông tin không có video kiểm hàng
Đồng ý đền bù cho khách
--&gt; Hoàn tất</t>
  </si>
  <si>
    <t>Ngày 22/05/2025, báo email cho hãng
27/05/2025, nhắc mail hãng
--&gt; hoàn tất</t>
  </si>
  <si>
    <t>Đã gửi email cho hãng
Hãng đồng ý khiếu nại
--&gt; Hoàn tất</t>
  </si>
  <si>
    <t>Đã báo hãng và xin hướng xử lý
Hãng đồng ý đền bù cho khách, hàng khiếu nại thu về xuất sang hãng
Đã xuất mẫu, chờ nhà máy phản hồi</t>
  </si>
  <si>
    <t>GETZGLIM 4MG TAB 20'S</t>
  </si>
  <si>
    <t>Đã gửi email cho hãng
Hãng đồng ý đền bù, hàng khiếu nại thu về cho vào khu vực chờ xử lý
Khách không còn giữ mẫu khiếu nại, nên không thể đền bù c</t>
  </si>
  <si>
    <t>CC_430426-HCM</t>
  </si>
  <si>
    <t>KHOA DUOC BENH VIEN NHAN DAN 115</t>
  </si>
  <si>
    <t xml:space="preserve">LOVENOX 40MG/0.4ML INJ. B/ 2 SYRINGES VN </t>
  </si>
  <si>
    <t>KS061A</t>
  </si>
  <si>
    <t>Không có bơm tiêm</t>
  </si>
  <si>
    <t>527 SU VAN HANH, P12, QUAN 10, TPHCM</t>
  </si>
  <si>
    <t>04/02/2025</t>
  </si>
  <si>
    <t>17/04/2026</t>
  </si>
  <si>
    <t>CC_440426-HN</t>
  </si>
  <si>
    <t>31/05/2027</t>
  </si>
  <si>
    <t>CONG TY CO PHAN UPHARMA</t>
  </si>
  <si>
    <t xml:space="preserve"> TOA NHA VINH QUANG GROUP, LO DX, KDT TAY NAM HO LINH DAM, PHUONG HOANG LIET, QUAN HOANG MAI, THANH PHO HA
NOI</t>
  </si>
  <si>
    <t>428593</t>
  </si>
  <si>
    <t>06/2024</t>
  </si>
  <si>
    <t>viên bị vỡ</t>
  </si>
  <si>
    <t>Đã gửi mail cho hãng</t>
  </si>
  <si>
    <t>Đã gửi mail cho hãng
-&gt; Hãng báo đổi hàng và trừ công nợ tháng 4</t>
  </si>
  <si>
    <t>CC_450426-HCM</t>
  </si>
  <si>
    <t>Trong quá trình sử dụng sản phẩm thuốc CISPLATIN INJECTION 50MG/50ML (Cisplatin 1mg) và tham khảo qua tờ Hướng dẫn sử dụng của thuốc, Bệnh viện có thắc mắc kính nhờ quý công ty giải đáp như sau:
Về điều kiện bảo quản: Do đặc thù là bệnh viện nhi, trong một số trường hợp bệnh nhi không sử dụng hết toàn bộ thể tích thuốc đã pha loãng, vậy xin quý công ty cho biết Dung dịch sau pha loãng với dung môi có thể bảo quản trong bao lâu và ở điều kiện như thế nào?
Để chúng tôi có thể hoàn thành công việc trong thời hạn quy định, xin Quý công ty vui lòng phản hồi nội dung tư vấn bằng văn bản chính thức và cung cấp các kết quả nghiên cứu/ tài liệu làm căn cứ khoa học (nếu có) cho các nội dung tư vấn liên quan đến vấn đề trên trước 16h00 ngày 24/04/2026.</t>
  </si>
  <si>
    <t>CISPLATIN INJECTION 50MG/50ML</t>
  </si>
  <si>
    <t>20/04/2026 khách phản hồi sản phẩm lúc phát hiện vẫn còn seal
số lượng khiếu nại confirm là 04 ống (2 hộp)
Hãng đồng ý đền bù cho khách
--&gt;Hoàn tất</t>
  </si>
  <si>
    <t xml:space="preserve">BENH VIEN NHI DONG THANH PHO </t>
  </si>
  <si>
    <t>SO 15 DUONG VO TRAN CHI, XA TAN KIEN, HUYEN BINH CHANH, TP.HCM</t>
  </si>
  <si>
    <t>BENH VIEN DA KHOA VUNG TAY NGUYEN</t>
  </si>
  <si>
    <t>CC_460426-HCM</t>
  </si>
  <si>
    <t>BF25006236</t>
  </si>
  <si>
    <t>SO 184 TRAN QUY CAP, PHUONG TU AN, THANH PHO BUON MA THUOT, TINH DAK LAK</t>
  </si>
  <si>
    <t>20/09/2025</t>
  </si>
  <si>
    <t>Hỏng nút vặn</t>
  </si>
  <si>
    <t>Thắc mắc của khách hàng về điều kiện bảo quản</t>
  </si>
  <si>
    <t>CC_470426-HCM</t>
  </si>
  <si>
    <t>KHOA DUOC BV BINH DAN  /</t>
  </si>
  <si>
    <t xml:space="preserve"> 371 DIEN BIEN PHU,QUAN 3</t>
  </si>
  <si>
    <t>ZOLADEX INJ 10.8 MG SS 1X1 EA VN</t>
  </si>
  <si>
    <t>SX572</t>
  </si>
  <si>
    <t>16/06/2025</t>
  </si>
  <si>
    <t>Viện báo lỗi 1 bút Zoladex 10.8mg do khi mở bao bì chứa bút đã thấy bút bung ra</t>
  </si>
  <si>
    <t>Đã gửi email cho hãng
10/04/2026, hãng cần thêm video để điều tra nhưng khách từ chối cung cấp mặc dù Hoàng Đức đã cố gắng 
Hãng đồng ý đền bù
--&gt; Hoàn tất</t>
  </si>
  <si>
    <t>Tình trạng/ Status</t>
  </si>
  <si>
    <t>CC_480426-ĐN</t>
  </si>
  <si>
    <t>01/04/2026, gửi mail báo hãng
-&gt; 03/04/2026 hãng phản hồi cần thu mẫu về nhà máy kiểm tra
-&gt; 10/04/2026 hãng đồng ý thu hàng về, và gửi yêu cầu lấy mẫu sau</t>
  </si>
  <si>
    <t>CÔNG TY CP Y KHOA BS GIA ĐÌNH</t>
  </si>
  <si>
    <t>73 Nguyễn Hữu Thọ, Phường Hoà Cường, TP Đà Nẵng</t>
  </si>
  <si>
    <t xml:space="preserve"> không vặn liều được, bút Bệnh nhân chưa dùng lần nào về mở lần đầu tiên để tiêm thì bị lỗi</t>
  </si>
  <si>
    <t>28/04/2026: gửi mail cho hãng
29/04/2026: hãng chấp nhận khiếu nại, thu mẫu theo định kỳ</t>
  </si>
  <si>
    <t>Đã gửi email cho hãng
Hãng gửi câu trả lời tuy nhiên chưa có công văn
Ngày 04/05/2026: hãng gửi công văn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</si>
</sst>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2">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VNI-Times"/>
    </font>
    <font>
      <sz val="8"/>
      <color theme="1"/>
      <name val="Arial"/>
      <family val="2"/>
    </font>
    <font>
      <b/>
      <sz val="12"/>
      <color theme="1"/>
      <name val="Tahoma"/>
      <family val="2"/>
    </font>
    <font>
      <sz val="10"/>
      <color theme="1"/>
      <name val="Arial"/>
      <family val="2"/>
    </font>
    <font>
      <sz val="12"/>
      <color theme="1"/>
      <name val="Tahoma"/>
      <family val="2"/>
    </font>
    <font>
      <sz val="11"/>
      <color theme="1"/>
      <name val="Tahoma"/>
      <family val="2"/>
    </font>
    <font>
      <b/>
      <sz val="11"/>
      <color theme="1"/>
      <name val="Tahoma"/>
      <family val="2"/>
    </font>
    <font>
      <b/>
      <i/>
      <sz val="11"/>
      <color theme="1"/>
      <name val="Tahoma"/>
      <family val="2"/>
    </font>
    <font>
      <sz val="11"/>
      <color rgb="FFFF0000"/>
      <name val="Tahoma"/>
      <family val="2"/>
    </font>
    <font>
      <sz val="9"/>
      <color indexed="81"/>
      <name val="Tahoma"/>
      <family val="2"/>
    </font>
    <font>
      <b/>
      <sz val="9"/>
      <color indexed="81"/>
      <name val="Tahoma"/>
      <family val="2"/>
    </font>
    <font>
      <sz val="11"/>
      <color theme="3" tint="0.39997558519241921"/>
      <name val="Tahoma"/>
      <family val="2"/>
    </font>
    <font>
      <sz val="8"/>
      <color theme="1"/>
      <name val="Tahoma"/>
      <family val="2"/>
    </font>
    <font>
      <sz val="10"/>
      <color theme="1"/>
      <name val="Tahoma"/>
      <family val="2"/>
    </font>
    <font>
      <b/>
      <sz val="8"/>
      <color theme="1"/>
      <name val="Tahoma"/>
      <family val="2"/>
    </font>
    <font>
      <b/>
      <sz val="10"/>
      <name val="Arial"/>
      <family val="2"/>
    </font>
    <font>
      <sz val="10"/>
      <color theme="3"/>
      <name val="Arial"/>
      <family val="2"/>
    </font>
    <font>
      <sz val="10"/>
      <name val="Arial"/>
      <family val="2"/>
    </font>
    <font>
      <sz val="10"/>
      <color rgb="FFFF0000"/>
      <name val="Arial"/>
      <family val="2"/>
    </font>
    <font>
      <b/>
      <sz val="10"/>
      <color theme="1"/>
      <name val="Arial"/>
      <family val="2"/>
    </font>
    <font>
      <b/>
      <sz val="10"/>
      <color theme="3"/>
      <name val="Arial"/>
      <family val="2"/>
    </font>
    <font>
      <b/>
      <sz val="10"/>
      <name val="Arial"/>
      <family val="2"/>
    </font>
    <font>
      <b/>
      <sz val="10"/>
      <color theme="1"/>
      <name val="Tahoma"/>
      <family val="2"/>
    </font>
    <font>
      <b/>
      <sz val="10"/>
      <name val="Arial"/>
      <family val="2"/>
    </font>
    <font>
      <sz val="10"/>
      <color theme="1"/>
      <name val="Tahoma"/>
      <family val="2"/>
    </font>
    <font>
      <sz val="10"/>
      <color theme="1"/>
      <name val="Tahoma"/>
      <family val="2"/>
    </font>
    <font>
      <b/>
      <sz val="10"/>
      <name val="Arial"/>
      <family val="2"/>
    </font>
    <font>
      <sz val="10"/>
      <color theme="1"/>
      <name val="Tahoma"/>
      <family val="2"/>
    </font>
  </fonts>
  <fills count="9">
    <fill>
      <patternFill patternType="none"/>
    </fill>
    <fill>
      <patternFill patternType="gray125"/>
    </fill>
    <fill>
      <patternFill patternType="solid">
        <fgColor rgb="FF99CCFF"/>
        <bgColor indexed="64"/>
      </patternFill>
    </fill>
    <fill>
      <patternFill patternType="solid">
        <fgColor rgb="FFFFFF00"/>
        <bgColor indexed="64"/>
      </patternFill>
    </fill>
    <fill>
      <patternFill patternType="solid">
        <fgColor theme="0"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s>
  <cellStyleXfs count="6">
    <xf numFmtId="0" fontId="0" fillId="0" borderId="0"/>
    <xf numFmtId="0" fontId="4" fillId="0" borderId="0"/>
    <xf numFmtId="0" fontId="4" fillId="0" borderId="0"/>
    <xf numFmtId="0" fontId="3" fillId="0" borderId="0"/>
    <xf numFmtId="0" fontId="2" fillId="0" borderId="0"/>
    <xf numFmtId="0" fontId="1" fillId="0" borderId="0"/>
  </cellStyleXfs>
  <cellXfs count="292">
    <xf numFmtId="0" fontId="0" fillId="0" borderId="0" xfId="0"/>
    <xf numFmtId="0" fontId="7" fillId="0" borderId="0" xfId="0" applyFont="1" applyAlignment="1">
      <alignment horizontal="center" vertical="center"/>
    </xf>
    <xf numFmtId="0" fontId="7" fillId="0" borderId="0" xfId="0" applyFont="1"/>
    <xf numFmtId="0" fontId="7" fillId="0" borderId="0" xfId="0" applyFont="1" applyAlignment="1">
      <alignment horizontal="left"/>
    </xf>
    <xf numFmtId="0" fontId="7" fillId="0" borderId="0" xfId="0" applyFont="1" applyAlignment="1">
      <alignment horizontal="center"/>
    </xf>
    <xf numFmtId="0" fontId="9" fillId="0" borderId="0" xfId="0" applyFont="1" applyAlignment="1">
      <alignment horizontal="center" vertical="center"/>
    </xf>
    <xf numFmtId="1" fontId="7" fillId="0" borderId="0" xfId="0" applyNumberFormat="1" applyFont="1"/>
    <xf numFmtId="49" fontId="7" fillId="0" borderId="0" xfId="0" applyNumberFormat="1" applyFont="1"/>
    <xf numFmtId="49" fontId="8" fillId="0" borderId="0" xfId="0" applyNumberFormat="1" applyFont="1"/>
    <xf numFmtId="0" fontId="17" fillId="0" borderId="0" xfId="0" applyFont="1" applyAlignment="1">
      <alignment horizontal="center" vertical="center"/>
    </xf>
    <xf numFmtId="0" fontId="16" fillId="0" borderId="0" xfId="1" applyFont="1" applyAlignment="1">
      <alignment horizontal="center" vertical="center"/>
    </xf>
    <xf numFmtId="0" fontId="18" fillId="0" borderId="0" xfId="1" applyFont="1" applyAlignment="1">
      <alignment horizontal="left" vertical="center"/>
    </xf>
    <xf numFmtId="0" fontId="18" fillId="0" borderId="0" xfId="1" applyFont="1" applyAlignment="1">
      <alignment horizontal="center" vertical="center"/>
    </xf>
    <xf numFmtId="0" fontId="18" fillId="0" borderId="0" xfId="1" applyFont="1" applyAlignment="1">
      <alignment horizontal="center" vertical="center" wrapText="1"/>
    </xf>
    <xf numFmtId="14" fontId="18" fillId="0" borderId="0" xfId="1" applyNumberFormat="1" applyFont="1" applyAlignment="1">
      <alignment horizontal="center" vertical="center"/>
    </xf>
    <xf numFmtId="1" fontId="18" fillId="0" borderId="0" xfId="1" applyNumberFormat="1" applyFont="1" applyAlignment="1">
      <alignment horizontal="center" vertical="center"/>
    </xf>
    <xf numFmtId="49" fontId="18" fillId="0" borderId="0" xfId="1" applyNumberFormat="1" applyFont="1" applyAlignment="1">
      <alignment horizontal="justify" vertical="center"/>
    </xf>
    <xf numFmtId="49" fontId="18" fillId="0" borderId="0" xfId="1" applyNumberFormat="1" applyFont="1" applyAlignment="1">
      <alignment horizontal="center" vertical="center"/>
    </xf>
    <xf numFmtId="49" fontId="17" fillId="0" borderId="0" xfId="0" applyNumberFormat="1" applyFont="1" applyAlignment="1">
      <alignment horizontal="center" vertical="center"/>
    </xf>
    <xf numFmtId="0" fontId="17" fillId="0" borderId="0" xfId="0" applyFont="1" applyAlignment="1">
      <alignment vertical="center"/>
    </xf>
    <xf numFmtId="0" fontId="16" fillId="0" borderId="0" xfId="1" applyFont="1" applyAlignment="1">
      <alignment vertical="center"/>
    </xf>
    <xf numFmtId="49" fontId="17" fillId="0" borderId="0" xfId="0" applyNumberFormat="1" applyFont="1" applyAlignment="1">
      <alignment vertical="center"/>
    </xf>
    <xf numFmtId="0" fontId="9" fillId="0" borderId="0" xfId="0" applyFont="1" applyAlignment="1">
      <alignment vertical="center"/>
    </xf>
    <xf numFmtId="1" fontId="16" fillId="0" borderId="0" xfId="1" applyNumberFormat="1" applyFont="1" applyAlignment="1">
      <alignment vertical="center"/>
    </xf>
    <xf numFmtId="0" fontId="15" fillId="0" borderId="0" xfId="0" applyFont="1" applyAlignment="1">
      <alignment vertical="center"/>
    </xf>
    <xf numFmtId="0" fontId="12" fillId="0" borderId="0" xfId="0" applyFont="1" applyAlignment="1">
      <alignment vertical="center"/>
    </xf>
    <xf numFmtId="1" fontId="17" fillId="0" borderId="0" xfId="0" applyNumberFormat="1" applyFont="1" applyAlignment="1">
      <alignment vertical="center"/>
    </xf>
    <xf numFmtId="0" fontId="17" fillId="0" borderId="0" xfId="0" applyFont="1" applyAlignment="1">
      <alignment vertical="center" wrapText="1"/>
    </xf>
    <xf numFmtId="0" fontId="17" fillId="0" borderId="0" xfId="0" applyFont="1" applyAlignment="1">
      <alignment horizontal="left" vertical="center"/>
    </xf>
    <xf numFmtId="14" fontId="17" fillId="0" borderId="0" xfId="0" applyNumberFormat="1" applyFont="1" applyAlignment="1">
      <alignment horizontal="center" vertical="center"/>
    </xf>
    <xf numFmtId="1" fontId="17" fillId="0" borderId="0" xfId="0" applyNumberFormat="1" applyFont="1" applyAlignment="1">
      <alignment horizontal="center" vertical="center"/>
    </xf>
    <xf numFmtId="0" fontId="9" fillId="6" borderId="8" xfId="0" applyFont="1" applyFill="1" applyBorder="1" applyAlignment="1">
      <alignment vertical="center" wrapText="1"/>
    </xf>
    <xf numFmtId="14" fontId="9" fillId="3" borderId="8" xfId="0" applyNumberFormat="1" applyFont="1" applyFill="1" applyBorder="1" applyAlignment="1">
      <alignment vertical="center"/>
    </xf>
    <xf numFmtId="1" fontId="10" fillId="2" borderId="0" xfId="2" applyNumberFormat="1" applyFont="1" applyFill="1" applyAlignment="1">
      <alignment horizontal="center" vertical="center" wrapText="1"/>
    </xf>
    <xf numFmtId="0" fontId="10" fillId="2" borderId="9" xfId="2" applyFont="1" applyFill="1" applyBorder="1" applyAlignment="1">
      <alignment horizontal="center" vertical="center" wrapText="1"/>
    </xf>
    <xf numFmtId="14" fontId="10" fillId="2" borderId="9" xfId="0" applyNumberFormat="1" applyFont="1" applyFill="1" applyBorder="1" applyAlignment="1">
      <alignment horizontal="center" vertical="center" wrapText="1"/>
    </xf>
    <xf numFmtId="0" fontId="10" fillId="2" borderId="9" xfId="0" applyFont="1" applyFill="1" applyBorder="1" applyAlignment="1">
      <alignment horizontal="center" vertical="center" wrapText="1"/>
    </xf>
    <xf numFmtId="1" fontId="10" fillId="2" borderId="9" xfId="2" applyNumberFormat="1" applyFont="1" applyFill="1" applyBorder="1" applyAlignment="1">
      <alignment horizontal="center" vertical="center" wrapText="1"/>
    </xf>
    <xf numFmtId="49" fontId="10" fillId="2" borderId="9" xfId="2" applyNumberFormat="1"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4" borderId="9" xfId="0" applyFont="1" applyFill="1" applyBorder="1" applyAlignment="1">
      <alignment horizontal="center" vertical="center" wrapText="1"/>
    </xf>
    <xf numFmtId="49" fontId="17" fillId="0" borderId="0" xfId="0" applyNumberFormat="1" applyFont="1" applyAlignment="1">
      <alignment vertical="center" wrapText="1"/>
    </xf>
    <xf numFmtId="0" fontId="12" fillId="0" borderId="8" xfId="2" applyFont="1" applyBorder="1" applyAlignment="1">
      <alignment horizontal="left" vertical="center" wrapText="1"/>
    </xf>
    <xf numFmtId="0" fontId="12" fillId="0" borderId="8" xfId="2" applyFont="1" applyBorder="1" applyAlignment="1">
      <alignment horizontal="center" vertical="center" wrapText="1"/>
    </xf>
    <xf numFmtId="14" fontId="12" fillId="0" borderId="8" xfId="0" applyNumberFormat="1" applyFont="1" applyBorder="1" applyAlignment="1">
      <alignment horizontal="center" vertical="center" wrapText="1"/>
    </xf>
    <xf numFmtId="0" fontId="12" fillId="0" borderId="8" xfId="0" applyFont="1" applyBorder="1" applyAlignment="1">
      <alignment horizontal="center" vertical="center" wrapText="1"/>
    </xf>
    <xf numFmtId="1" fontId="12" fillId="0" borderId="8" xfId="2" applyNumberFormat="1" applyFont="1" applyBorder="1" applyAlignment="1">
      <alignment horizontal="center" vertical="center" wrapText="1"/>
    </xf>
    <xf numFmtId="49" fontId="12" fillId="0" borderId="8" xfId="2" applyNumberFormat="1" applyFont="1" applyBorder="1" applyAlignment="1">
      <alignment horizontal="center" vertical="center" wrapText="1"/>
    </xf>
    <xf numFmtId="49" fontId="12" fillId="0" borderId="8" xfId="2" applyNumberFormat="1" applyFont="1" applyBorder="1" applyAlignment="1">
      <alignment horizontal="left" vertical="center" wrapText="1"/>
    </xf>
    <xf numFmtId="0" fontId="9" fillId="0" borderId="8" xfId="2" applyFont="1" applyBorder="1" applyAlignment="1">
      <alignment horizontal="center" vertical="center" wrapText="1"/>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8" xfId="0" applyFont="1" applyBorder="1" applyAlignment="1">
      <alignment vertical="center"/>
    </xf>
    <xf numFmtId="0" fontId="9" fillId="0" borderId="8" xfId="2" applyFont="1" applyBorder="1" applyAlignment="1">
      <alignment horizontal="left" vertical="center" wrapText="1"/>
    </xf>
    <xf numFmtId="14" fontId="9" fillId="0" borderId="8" xfId="0" applyNumberFormat="1" applyFont="1" applyBorder="1" applyAlignment="1">
      <alignment horizontal="center" vertical="center" wrapText="1"/>
    </xf>
    <xf numFmtId="1" fontId="9" fillId="0" borderId="8" xfId="2" applyNumberFormat="1" applyFont="1" applyBorder="1" applyAlignment="1">
      <alignment horizontal="center" vertical="center" wrapText="1"/>
    </xf>
    <xf numFmtId="49" fontId="9" fillId="0" borderId="8" xfId="2" applyNumberFormat="1" applyFont="1" applyBorder="1" applyAlignment="1">
      <alignment horizontal="center" vertical="center" wrapText="1"/>
    </xf>
    <xf numFmtId="49" fontId="9" fillId="0" borderId="8" xfId="2" applyNumberFormat="1" applyFont="1" applyBorder="1" applyAlignment="1">
      <alignment horizontal="left" vertical="center" wrapText="1"/>
    </xf>
    <xf numFmtId="0" fontId="15" fillId="0" borderId="8" xfId="2" applyFont="1" applyBorder="1" applyAlignment="1">
      <alignment horizontal="center" vertical="center" wrapText="1"/>
    </xf>
    <xf numFmtId="14" fontId="15" fillId="0" borderId="8" xfId="2" applyNumberFormat="1" applyFont="1" applyBorder="1" applyAlignment="1">
      <alignment horizontal="center" vertical="center" wrapText="1"/>
    </xf>
    <xf numFmtId="14" fontId="15" fillId="0" borderId="8" xfId="0" applyNumberFormat="1" applyFont="1" applyBorder="1" applyAlignment="1">
      <alignment horizontal="center" vertical="center" wrapText="1"/>
    </xf>
    <xf numFmtId="0" fontId="15" fillId="0" borderId="8" xfId="0" applyFont="1" applyBorder="1" applyAlignment="1">
      <alignment horizontal="center" vertical="center" wrapText="1"/>
    </xf>
    <xf numFmtId="1" fontId="15" fillId="0" borderId="8" xfId="2" applyNumberFormat="1" applyFont="1" applyBorder="1" applyAlignment="1">
      <alignment horizontal="center" vertical="center" wrapText="1"/>
    </xf>
    <xf numFmtId="49" fontId="15" fillId="0" borderId="8" xfId="2" applyNumberFormat="1" applyFont="1" applyBorder="1" applyAlignment="1">
      <alignment horizontal="left" vertical="center" wrapText="1"/>
    </xf>
    <xf numFmtId="0" fontId="15" fillId="0" borderId="8" xfId="0" applyFont="1" applyBorder="1" applyAlignment="1">
      <alignment vertical="center" wrapText="1"/>
    </xf>
    <xf numFmtId="0" fontId="15" fillId="0" borderId="8" xfId="0" applyFont="1" applyBorder="1" applyAlignment="1">
      <alignment vertical="center"/>
    </xf>
    <xf numFmtId="14" fontId="9" fillId="0" borderId="8" xfId="2" applyNumberFormat="1" applyFont="1" applyBorder="1" applyAlignment="1">
      <alignment horizontal="center" vertical="center" wrapText="1"/>
    </xf>
    <xf numFmtId="14" fontId="12" fillId="0" borderId="8" xfId="2" applyNumberFormat="1" applyFont="1" applyBorder="1" applyAlignment="1">
      <alignment horizontal="center" vertical="center" wrapText="1"/>
    </xf>
    <xf numFmtId="0" fontId="12" fillId="0" borderId="8" xfId="0" applyFont="1" applyBorder="1" applyAlignment="1">
      <alignment vertical="center" wrapText="1"/>
    </xf>
    <xf numFmtId="0" fontId="12" fillId="0" borderId="8" xfId="0" applyFont="1" applyBorder="1" applyAlignment="1">
      <alignment vertical="center"/>
    </xf>
    <xf numFmtId="0" fontId="9" fillId="3" borderId="8" xfId="0" applyFont="1" applyFill="1" applyBorder="1" applyAlignment="1">
      <alignment vertical="center"/>
    </xf>
    <xf numFmtId="0" fontId="15" fillId="0" borderId="8" xfId="2" applyFont="1" applyBorder="1" applyAlignment="1">
      <alignment horizontal="left" vertical="center" wrapText="1"/>
    </xf>
    <xf numFmtId="1" fontId="9" fillId="0" borderId="6" xfId="2" applyNumberFormat="1" applyFont="1" applyBorder="1" applyAlignment="1">
      <alignment horizontal="center" vertical="center" wrapText="1"/>
    </xf>
    <xf numFmtId="1" fontId="9" fillId="0" borderId="5" xfId="2" applyNumberFormat="1" applyFont="1" applyBorder="1" applyAlignment="1">
      <alignment horizontal="center" vertical="center" wrapText="1"/>
    </xf>
    <xf numFmtId="14" fontId="9" fillId="0" borderId="5" xfId="2" applyNumberFormat="1" applyFont="1" applyBorder="1" applyAlignment="1">
      <alignment horizontal="center" vertical="center" wrapText="1"/>
    </xf>
    <xf numFmtId="0" fontId="9" fillId="0" borderId="5" xfId="2" applyFont="1" applyBorder="1" applyAlignment="1">
      <alignment horizontal="left" vertical="center" wrapText="1"/>
    </xf>
    <xf numFmtId="0" fontId="9" fillId="0" borderId="5" xfId="0" applyFont="1" applyBorder="1" applyAlignment="1">
      <alignment vertical="center" wrapText="1"/>
    </xf>
    <xf numFmtId="0" fontId="9" fillId="0" borderId="5" xfId="2" applyFont="1" applyBorder="1" applyAlignment="1">
      <alignment horizontal="center" vertical="center" wrapText="1"/>
    </xf>
    <xf numFmtId="49" fontId="9" fillId="0" borderId="5" xfId="2" applyNumberFormat="1" applyFont="1" applyBorder="1" applyAlignment="1">
      <alignment horizontal="left" vertical="center" wrapText="1"/>
    </xf>
    <xf numFmtId="0" fontId="9" fillId="0" borderId="5" xfId="0" applyFont="1" applyBorder="1" applyAlignment="1">
      <alignment horizontal="center" vertical="center" wrapText="1"/>
    </xf>
    <xf numFmtId="0" fontId="9" fillId="0" borderId="5" xfId="0" applyFont="1" applyBorder="1" applyAlignment="1">
      <alignment vertical="center"/>
    </xf>
    <xf numFmtId="0" fontId="9" fillId="6" borderId="5" xfId="0" applyFont="1" applyFill="1" applyBorder="1" applyAlignment="1">
      <alignment vertical="center" wrapText="1"/>
    </xf>
    <xf numFmtId="0" fontId="0" fillId="0" borderId="0" xfId="0" applyAlignment="1">
      <alignment horizontal="center" vertical="center"/>
    </xf>
    <xf numFmtId="0" fontId="6" fillId="0" borderId="11" xfId="1" applyFont="1" applyBorder="1" applyAlignment="1" applyProtection="1">
      <alignment vertical="center" wrapText="1"/>
      <protection locked="0"/>
    </xf>
    <xf numFmtId="0" fontId="6" fillId="0" borderId="2" xfId="1" applyFont="1" applyBorder="1" applyAlignment="1" applyProtection="1">
      <alignment vertical="center" wrapText="1"/>
      <protection locked="0"/>
    </xf>
    <xf numFmtId="0" fontId="7" fillId="0" borderId="0" xfId="0" applyFont="1" applyAlignment="1" applyProtection="1">
      <alignment horizontal="center" vertical="center"/>
      <protection locked="0"/>
    </xf>
    <xf numFmtId="0" fontId="7" fillId="0" borderId="0" xfId="0" applyFont="1" applyProtection="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14" fontId="0" fillId="0" borderId="0" xfId="0" applyNumberFormat="1" applyAlignment="1" applyProtection="1">
      <alignment vertical="center"/>
      <protection locked="0"/>
    </xf>
    <xf numFmtId="0" fontId="19" fillId="0" borderId="4" xfId="0" applyFont="1" applyBorder="1" applyAlignment="1" applyProtection="1">
      <alignment horizontal="center" vertical="center" wrapText="1"/>
      <protection locked="0"/>
    </xf>
    <xf numFmtId="0" fontId="19" fillId="7" borderId="4" xfId="0" applyFont="1" applyFill="1" applyBorder="1" applyAlignment="1" applyProtection="1">
      <alignment horizontal="center" vertical="center" wrapText="1"/>
      <protection locked="0"/>
    </xf>
    <xf numFmtId="0" fontId="19" fillId="3" borderId="4" xfId="0" applyFont="1" applyFill="1" applyBorder="1" applyAlignment="1" applyProtection="1">
      <alignment horizontal="center" vertical="center" wrapText="1"/>
      <protection locked="0"/>
    </xf>
    <xf numFmtId="14" fontId="19" fillId="3" borderId="4" xfId="0" applyNumberFormat="1" applyFont="1" applyFill="1" applyBorder="1" applyAlignment="1" applyProtection="1">
      <alignment horizontal="center" vertical="center" wrapText="1"/>
      <protection locked="0"/>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wrapText="1"/>
      <protection locked="0"/>
    </xf>
    <xf numFmtId="0" fontId="21" fillId="0" borderId="1" xfId="0" applyFont="1" applyBorder="1" applyAlignment="1" applyProtection="1">
      <alignment vertical="center"/>
      <protection locked="0"/>
    </xf>
    <xf numFmtId="0" fontId="21" fillId="0" borderId="1" xfId="0" applyFont="1" applyBorder="1" applyAlignment="1" applyProtection="1">
      <alignment vertical="center" wrapText="1"/>
      <protection locked="0"/>
    </xf>
    <xf numFmtId="14" fontId="21" fillId="0" borderId="1" xfId="0" applyNumberFormat="1" applyFont="1" applyBorder="1" applyAlignment="1" applyProtection="1">
      <alignment vertical="center"/>
      <protection locked="0"/>
    </xf>
    <xf numFmtId="0" fontId="20" fillId="0" borderId="1" xfId="0" applyFont="1" applyBorder="1" applyAlignment="1" applyProtection="1">
      <alignment vertical="center"/>
      <protection locked="0"/>
    </xf>
    <xf numFmtId="0" fontId="20" fillId="0" borderId="1" xfId="0" applyFont="1" applyBorder="1" applyAlignment="1" applyProtection="1">
      <alignment vertical="center" wrapText="1"/>
      <protection locked="0"/>
    </xf>
    <xf numFmtId="14" fontId="7" fillId="0" borderId="1" xfId="0" applyNumberFormat="1" applyFont="1" applyBorder="1" applyAlignment="1" applyProtection="1">
      <alignment vertical="center"/>
      <protection locked="0"/>
    </xf>
    <xf numFmtId="0" fontId="21" fillId="0" borderId="1" xfId="0" applyFont="1" applyBorder="1" applyAlignment="1" applyProtection="1">
      <alignment horizontal="right" vertical="center" wrapText="1"/>
      <protection locked="0"/>
    </xf>
    <xf numFmtId="0" fontId="21" fillId="0" borderId="3" xfId="0" applyFont="1" applyBorder="1" applyAlignment="1" applyProtection="1">
      <alignment vertical="center"/>
      <protection locked="0"/>
    </xf>
    <xf numFmtId="0" fontId="21" fillId="0" borderId="3" xfId="0" applyFont="1" applyBorder="1" applyAlignment="1" applyProtection="1">
      <alignment vertical="center" wrapText="1"/>
      <protection locked="0"/>
    </xf>
    <xf numFmtId="14" fontId="21" fillId="0" borderId="3" xfId="0" applyNumberFormat="1" applyFont="1" applyBorder="1" applyAlignment="1" applyProtection="1">
      <alignment vertical="center"/>
      <protection locked="0"/>
    </xf>
    <xf numFmtId="0" fontId="21" fillId="0" borderId="3" xfId="0" applyFont="1" applyBorder="1" applyAlignment="1" applyProtection="1">
      <alignment horizontal="right" vertical="center"/>
      <protection locked="0"/>
    </xf>
    <xf numFmtId="0" fontId="21" fillId="0" borderId="3" xfId="0" applyFont="1" applyBorder="1" applyAlignment="1" applyProtection="1">
      <alignment vertical="top" wrapText="1"/>
      <protection locked="0"/>
    </xf>
    <xf numFmtId="0" fontId="7" fillId="0" borderId="3" xfId="0" applyFont="1" applyBorder="1" applyAlignment="1" applyProtection="1">
      <alignment vertical="center" wrapText="1"/>
      <protection locked="0"/>
    </xf>
    <xf numFmtId="0" fontId="7" fillId="0" borderId="3" xfId="0" applyFont="1" applyBorder="1" applyAlignment="1" applyProtection="1">
      <alignment vertical="center"/>
      <protection locked="0"/>
    </xf>
    <xf numFmtId="14" fontId="7" fillId="0" borderId="3" xfId="0" applyNumberFormat="1" applyFont="1" applyBorder="1" applyAlignment="1" applyProtection="1">
      <alignment vertical="center"/>
      <protection locked="0"/>
    </xf>
    <xf numFmtId="49" fontId="21" fillId="0" borderId="1" xfId="0" applyNumberFormat="1" applyFont="1" applyBorder="1" applyAlignment="1" applyProtection="1">
      <alignment horizontal="left" vertical="center"/>
      <protection locked="0"/>
    </xf>
    <xf numFmtId="0" fontId="21" fillId="0" borderId="3" xfId="0" quotePrefix="1" applyFont="1" applyBorder="1" applyAlignment="1" applyProtection="1">
      <alignment vertical="center" wrapText="1"/>
      <protection locked="0"/>
    </xf>
    <xf numFmtId="49" fontId="19" fillId="0" borderId="1" xfId="0" applyNumberFormat="1" applyFont="1" applyBorder="1" applyAlignment="1" applyProtection="1">
      <alignment horizontal="left" vertical="center"/>
      <protection locked="0"/>
    </xf>
    <xf numFmtId="0" fontId="0" fillId="0" borderId="3" xfId="0" applyBorder="1" applyAlignment="1" applyProtection="1">
      <alignment vertical="center"/>
      <protection locked="0"/>
    </xf>
    <xf numFmtId="0" fontId="0" fillId="0" borderId="3" xfId="0" applyBorder="1" applyAlignment="1" applyProtection="1">
      <alignment vertical="center" wrapText="1"/>
      <protection locked="0"/>
    </xf>
    <xf numFmtId="14" fontId="0" fillId="0" borderId="3" xfId="0" applyNumberFormat="1" applyBorder="1" applyAlignment="1" applyProtection="1">
      <alignment vertical="center"/>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14" fontId="0" fillId="0" borderId="1" xfId="0" applyNumberFormat="1" applyBorder="1" applyAlignment="1" applyProtection="1">
      <alignment vertical="center"/>
      <protection locked="0"/>
    </xf>
    <xf numFmtId="0" fontId="19" fillId="0" borderId="0" xfId="0" applyFont="1" applyAlignment="1" applyProtection="1">
      <alignment horizontal="center" vertical="center" wrapText="1"/>
      <protection locked="0"/>
    </xf>
    <xf numFmtId="49" fontId="23" fillId="0" borderId="1" xfId="0" applyNumberFormat="1" applyFont="1" applyBorder="1" applyAlignment="1" applyProtection="1">
      <alignment horizontal="left" vertical="center"/>
      <protection locked="0"/>
    </xf>
    <xf numFmtId="0" fontId="21" fillId="0" borderId="0" xfId="0" applyFont="1" applyAlignment="1" applyProtection="1">
      <alignment vertical="center"/>
      <protection locked="0"/>
    </xf>
    <xf numFmtId="49" fontId="24" fillId="0" borderId="1" xfId="0" applyNumberFormat="1" applyFont="1" applyBorder="1" applyAlignment="1" applyProtection="1">
      <alignment horizontal="left" vertical="center"/>
      <protection locked="0"/>
    </xf>
    <xf numFmtId="0" fontId="7" fillId="0" borderId="0" xfId="0" applyFont="1" applyAlignment="1" applyProtection="1">
      <alignment vertical="center"/>
      <protection locked="0"/>
    </xf>
    <xf numFmtId="49" fontId="19" fillId="0" borderId="1" xfId="0" applyNumberFormat="1" applyFont="1" applyBorder="1" applyAlignment="1" applyProtection="1">
      <alignment horizontal="left" vertical="center" wrapText="1"/>
      <protection locked="0"/>
    </xf>
    <xf numFmtId="14" fontId="21" fillId="0" borderId="1" xfId="0" applyNumberFormat="1" applyFont="1" applyBorder="1" applyAlignment="1" applyProtection="1">
      <alignment vertical="center" wrapText="1"/>
      <protection locked="0"/>
    </xf>
    <xf numFmtId="49" fontId="19" fillId="0" borderId="3" xfId="0" applyNumberFormat="1" applyFont="1" applyBorder="1" applyAlignment="1" applyProtection="1">
      <alignment horizontal="left" vertical="center" wrapText="1"/>
      <protection locked="0"/>
    </xf>
    <xf numFmtId="14" fontId="21" fillId="0" borderId="3" xfId="0" applyNumberFormat="1" applyFont="1" applyBorder="1" applyAlignment="1" applyProtection="1">
      <alignment vertical="center" wrapText="1"/>
      <protection locked="0"/>
    </xf>
    <xf numFmtId="49" fontId="19" fillId="0" borderId="2" xfId="0" applyNumberFormat="1" applyFont="1" applyBorder="1" applyAlignment="1" applyProtection="1">
      <alignment horizontal="left" vertical="center"/>
      <protection locked="0"/>
    </xf>
    <xf numFmtId="49" fontId="19" fillId="0" borderId="7" xfId="0" applyNumberFormat="1" applyFont="1" applyBorder="1" applyAlignment="1" applyProtection="1">
      <alignment horizontal="left" vertical="center"/>
      <protection locked="0"/>
    </xf>
    <xf numFmtId="2" fontId="21" fillId="0" borderId="3" xfId="0" quotePrefix="1" applyNumberFormat="1" applyFont="1" applyBorder="1" applyAlignment="1" applyProtection="1">
      <alignment horizontal="right" vertical="center"/>
      <protection locked="0"/>
    </xf>
    <xf numFmtId="17" fontId="0" fillId="0" borderId="1" xfId="0" quotePrefix="1" applyNumberFormat="1" applyBorder="1" applyAlignment="1" applyProtection="1">
      <alignment horizontal="right" vertical="center"/>
      <protection locked="0"/>
    </xf>
    <xf numFmtId="0" fontId="19" fillId="0" borderId="0" xfId="0" applyFont="1" applyAlignment="1" applyProtection="1">
      <alignment horizontal="left" vertical="center"/>
      <protection locked="0"/>
    </xf>
    <xf numFmtId="0" fontId="6" fillId="0" borderId="11" xfId="1" applyFont="1" applyBorder="1" applyAlignment="1" applyProtection="1">
      <alignment horizontal="center" vertical="center" wrapText="1"/>
      <protection locked="0"/>
    </xf>
    <xf numFmtId="0" fontId="5" fillId="0" borderId="5" xfId="1" applyFont="1" applyBorder="1"/>
    <xf numFmtId="0" fontId="5" fillId="0" borderId="2" xfId="1" applyFont="1" applyBorder="1"/>
    <xf numFmtId="0" fontId="6" fillId="0" borderId="5" xfId="1" applyFont="1" applyBorder="1" applyAlignment="1">
      <alignment horizontal="center" vertical="center" wrapText="1"/>
    </xf>
    <xf numFmtId="0" fontId="6" fillId="0" borderId="11" xfId="1" applyFont="1" applyBorder="1" applyAlignment="1">
      <alignment horizontal="center" vertical="center" wrapText="1"/>
    </xf>
    <xf numFmtId="0" fontId="19" fillId="0" borderId="10" xfId="0" applyFont="1" applyBorder="1" applyAlignment="1">
      <alignment horizontal="center" vertical="center" wrapText="1"/>
    </xf>
    <xf numFmtId="0" fontId="19" fillId="0" borderId="4" xfId="0" applyFont="1" applyBorder="1" applyAlignment="1">
      <alignment horizontal="center" vertical="center" wrapText="1"/>
    </xf>
    <xf numFmtId="1" fontId="17" fillId="0" borderId="2" xfId="2" applyNumberFormat="1" applyFont="1" applyBorder="1" applyAlignment="1">
      <alignment horizontal="center" vertical="center" wrapText="1"/>
    </xf>
    <xf numFmtId="0" fontId="23" fillId="0" borderId="1" xfId="0" applyFont="1" applyBorder="1" applyAlignment="1">
      <alignment vertical="center" wrapText="1"/>
    </xf>
    <xf numFmtId="0" fontId="7" fillId="0" borderId="1" xfId="0" applyFont="1" applyBorder="1" applyAlignment="1">
      <alignment vertical="center" wrapText="1"/>
    </xf>
    <xf numFmtId="0" fontId="19" fillId="0" borderId="1" xfId="0" applyFont="1" applyBorder="1" applyAlignment="1">
      <alignment vertical="center" wrapText="1"/>
    </xf>
    <xf numFmtId="0" fontId="21"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vertical="center" wrapText="1"/>
    </xf>
    <xf numFmtId="0" fontId="21" fillId="0" borderId="2" xfId="0" applyFont="1" applyBorder="1" applyAlignment="1">
      <alignment vertical="center" wrapText="1"/>
    </xf>
    <xf numFmtId="0" fontId="21" fillId="0" borderId="5" xfId="0" applyFont="1" applyBorder="1" applyAlignment="1">
      <alignment vertical="center" wrapText="1"/>
    </xf>
    <xf numFmtId="0" fontId="19" fillId="0" borderId="3" xfId="0" applyFont="1" applyBorder="1" applyAlignment="1">
      <alignment vertical="center" wrapText="1"/>
    </xf>
    <xf numFmtId="0" fontId="21" fillId="0" borderId="3" xfId="0" applyFont="1" applyBorder="1" applyAlignment="1">
      <alignment vertical="center" wrapText="1"/>
    </xf>
    <xf numFmtId="0" fontId="21" fillId="0" borderId="7" xfId="0" applyFont="1" applyBorder="1" applyAlignment="1">
      <alignment vertical="center" wrapText="1"/>
    </xf>
    <xf numFmtId="0" fontId="21" fillId="0" borderId="8" xfId="0" applyFont="1" applyBorder="1" applyAlignment="1">
      <alignment vertical="center" wrapText="1"/>
    </xf>
    <xf numFmtId="0" fontId="19" fillId="0" borderId="8" xfId="0" applyFont="1" applyBorder="1" applyAlignment="1">
      <alignment vertical="center" wrapText="1"/>
    </xf>
    <xf numFmtId="0" fontId="23" fillId="0" borderId="3" xfId="0" applyFont="1" applyBorder="1" applyAlignment="1">
      <alignment vertical="center" wrapText="1"/>
    </xf>
    <xf numFmtId="0" fontId="7" fillId="0" borderId="7" xfId="0" applyFont="1" applyBorder="1" applyAlignment="1">
      <alignment vertical="center" wrapText="1"/>
    </xf>
    <xf numFmtId="0" fontId="7" fillId="0" borderId="8" xfId="0" applyFont="1" applyBorder="1" applyAlignment="1">
      <alignment vertical="center" wrapText="1"/>
    </xf>
    <xf numFmtId="0" fontId="22" fillId="0" borderId="7" xfId="0" applyFont="1" applyBorder="1" applyAlignment="1">
      <alignment vertical="center" wrapText="1"/>
    </xf>
    <xf numFmtId="0" fontId="22" fillId="0" borderId="1" xfId="0" applyFont="1" applyBorder="1"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0" fillId="0" borderId="1" xfId="0" applyBorder="1" applyAlignment="1">
      <alignment vertical="center" wrapText="1"/>
    </xf>
    <xf numFmtId="0" fontId="7" fillId="0" borderId="5" xfId="0" applyFont="1" applyBorder="1" applyAlignment="1">
      <alignment vertical="center" wrapText="1"/>
    </xf>
    <xf numFmtId="0" fontId="0" fillId="0" borderId="7" xfId="0" applyBorder="1" applyAlignment="1">
      <alignment horizontal="left" vertical="center" wrapText="1"/>
    </xf>
    <xf numFmtId="0" fontId="25" fillId="0" borderId="1" xfId="0" applyFont="1" applyBorder="1" applyAlignment="1">
      <alignment vertical="center" wrapText="1"/>
    </xf>
    <xf numFmtId="0" fontId="19" fillId="0" borderId="0" xfId="0" applyFont="1" applyAlignment="1">
      <alignment vertical="center" wrapText="1"/>
    </xf>
    <xf numFmtId="0" fontId="0" fillId="0" borderId="0" xfId="0" applyAlignment="1">
      <alignment vertical="center" wrapText="1"/>
    </xf>
    <xf numFmtId="49" fontId="19" fillId="0" borderId="3" xfId="0" applyNumberFormat="1" applyFont="1" applyBorder="1" applyAlignment="1" applyProtection="1">
      <alignment horizontal="left" vertical="center"/>
      <protection locked="0"/>
    </xf>
    <xf numFmtId="0" fontId="21" fillId="0" borderId="3" xfId="0" quotePrefix="1" applyFont="1" applyBorder="1" applyAlignment="1" applyProtection="1">
      <alignment horizontal="right" vertical="center"/>
      <protection locked="0"/>
    </xf>
    <xf numFmtId="0" fontId="0" fillId="0" borderId="5" xfId="0" applyBorder="1" applyAlignment="1">
      <alignment vertical="center" wrapText="1"/>
    </xf>
    <xf numFmtId="49" fontId="21" fillId="0" borderId="7" xfId="0" applyNumberFormat="1" applyFont="1" applyBorder="1" applyAlignment="1" applyProtection="1">
      <alignment horizontal="right" vertical="center"/>
      <protection locked="0"/>
    </xf>
    <xf numFmtId="14" fontId="21" fillId="0" borderId="3" xfId="0" quotePrefix="1" applyNumberFormat="1" applyFont="1" applyBorder="1" applyAlignment="1" applyProtection="1">
      <alignment horizontal="right" vertical="center"/>
      <protection locked="0"/>
    </xf>
    <xf numFmtId="0" fontId="19" fillId="0" borderId="5" xfId="0" applyFont="1" applyBorder="1" applyAlignment="1">
      <alignment vertical="center" wrapText="1"/>
    </xf>
    <xf numFmtId="0" fontId="17" fillId="0" borderId="1" xfId="0" applyFont="1" applyBorder="1" applyAlignment="1" applyProtection="1">
      <alignment vertical="center" wrapText="1"/>
      <protection locked="0"/>
    </xf>
    <xf numFmtId="0" fontId="6" fillId="0" borderId="11" xfId="1" applyFont="1" applyBorder="1" applyAlignment="1" applyProtection="1">
      <alignment horizontal="right" vertical="center" wrapText="1"/>
      <protection locked="0"/>
    </xf>
    <xf numFmtId="0" fontId="7" fillId="0" borderId="1" xfId="0" applyFont="1" applyBorder="1" applyAlignment="1" applyProtection="1">
      <alignment horizontal="right" vertical="center"/>
      <protection locked="0"/>
    </xf>
    <xf numFmtId="0" fontId="21" fillId="0" borderId="1" xfId="0" applyFont="1" applyBorder="1" applyAlignment="1" applyProtection="1">
      <alignment horizontal="right" vertical="center"/>
      <protection locked="0"/>
    </xf>
    <xf numFmtId="0" fontId="20" fillId="0" borderId="1" xfId="0" applyFont="1" applyBorder="1" applyAlignment="1" applyProtection="1">
      <alignment horizontal="right" vertical="center"/>
      <protection locked="0"/>
    </xf>
    <xf numFmtId="0" fontId="21" fillId="0" borderId="2" xfId="0" applyFont="1" applyBorder="1" applyAlignment="1" applyProtection="1">
      <alignment horizontal="right" vertical="center"/>
      <protection locked="0"/>
    </xf>
    <xf numFmtId="14" fontId="21" fillId="0" borderId="7" xfId="0" applyNumberFormat="1" applyFont="1" applyBorder="1" applyAlignment="1" applyProtection="1">
      <alignment horizontal="right" vertical="center"/>
      <protection locked="0"/>
    </xf>
    <xf numFmtId="17" fontId="21" fillId="0" borderId="7" xfId="0" quotePrefix="1" applyNumberFormat="1" applyFont="1" applyBorder="1" applyAlignment="1" applyProtection="1">
      <alignment horizontal="right" vertical="center"/>
      <protection locked="0"/>
    </xf>
    <xf numFmtId="14" fontId="21" fillId="0" borderId="3" xfId="0" applyNumberFormat="1" applyFont="1" applyBorder="1" applyAlignment="1" applyProtection="1">
      <alignment horizontal="right" vertical="center"/>
      <protection locked="0"/>
    </xf>
    <xf numFmtId="14" fontId="21" fillId="0" borderId="1" xfId="0" applyNumberFormat="1" applyFont="1" applyBorder="1" applyAlignment="1" applyProtection="1">
      <alignment horizontal="right" vertical="center"/>
      <protection locked="0"/>
    </xf>
    <xf numFmtId="17" fontId="7" fillId="0" borderId="1" xfId="0" quotePrefix="1" applyNumberFormat="1" applyFont="1" applyBorder="1" applyAlignment="1" applyProtection="1">
      <alignment horizontal="right" vertical="center"/>
      <protection locked="0"/>
    </xf>
    <xf numFmtId="49" fontId="21" fillId="0" borderId="1" xfId="0" applyNumberFormat="1" applyFont="1" applyBorder="1" applyAlignment="1" applyProtection="1">
      <alignment horizontal="right" vertical="center"/>
      <protection locked="0"/>
    </xf>
    <xf numFmtId="17" fontId="21" fillId="0" borderId="1" xfId="0" quotePrefix="1" applyNumberFormat="1" applyFont="1" applyBorder="1" applyAlignment="1" applyProtection="1">
      <alignment horizontal="right" vertical="center"/>
      <protection locked="0"/>
    </xf>
    <xf numFmtId="49" fontId="19" fillId="0" borderId="1" xfId="0" applyNumberFormat="1" applyFont="1" applyBorder="1" applyAlignment="1" applyProtection="1">
      <alignment horizontal="right" vertical="center"/>
      <protection locked="0"/>
    </xf>
    <xf numFmtId="14" fontId="21" fillId="0" borderId="1" xfId="0" quotePrefix="1" applyNumberFormat="1" applyFont="1" applyBorder="1" applyAlignment="1" applyProtection="1">
      <alignment horizontal="right" vertical="center"/>
      <protection locked="0"/>
    </xf>
    <xf numFmtId="14" fontId="0" fillId="0" borderId="1" xfId="0" applyNumberFormat="1" applyBorder="1" applyAlignment="1" applyProtection="1">
      <alignment horizontal="right" vertical="center"/>
      <protection locked="0"/>
    </xf>
    <xf numFmtId="14" fontId="0" fillId="0" borderId="3" xfId="0" applyNumberFormat="1" applyBorder="1" applyAlignment="1" applyProtection="1">
      <alignment horizontal="right" vertical="center"/>
      <protection locked="0"/>
    </xf>
    <xf numFmtId="0" fontId="0" fillId="0" borderId="1" xfId="0" applyBorder="1" applyAlignment="1" applyProtection="1">
      <alignment horizontal="right" vertical="center"/>
      <protection locked="0"/>
    </xf>
    <xf numFmtId="0" fontId="0" fillId="0" borderId="3" xfId="0" applyBorder="1" applyAlignment="1" applyProtection="1">
      <alignment horizontal="right" vertical="center"/>
      <protection locked="0"/>
    </xf>
    <xf numFmtId="0" fontId="0" fillId="0" borderId="3" xfId="0" quotePrefix="1" applyBorder="1" applyAlignment="1" applyProtection="1">
      <alignment horizontal="right" vertical="center"/>
      <protection locked="0"/>
    </xf>
    <xf numFmtId="14" fontId="7" fillId="0" borderId="1" xfId="0" applyNumberFormat="1" applyFont="1" applyBorder="1" applyAlignment="1" applyProtection="1">
      <alignment horizontal="right" vertical="center"/>
      <protection locked="0"/>
    </xf>
    <xf numFmtId="49" fontId="19" fillId="0" borderId="7" xfId="0" applyNumberFormat="1" applyFont="1" applyBorder="1" applyAlignment="1" applyProtection="1">
      <alignment horizontal="right" vertical="center"/>
      <protection locked="0"/>
    </xf>
    <xf numFmtId="0" fontId="7" fillId="0" borderId="0" xfId="0" applyFont="1" applyAlignment="1">
      <alignment horizontal="right" wrapText="1"/>
    </xf>
    <xf numFmtId="0" fontId="0" fillId="0" borderId="0" xfId="0" applyAlignment="1" applyProtection="1">
      <alignment horizontal="right" vertical="center"/>
      <protection locked="0"/>
    </xf>
    <xf numFmtId="14" fontId="0" fillId="0" borderId="0" xfId="0" applyNumberFormat="1" applyAlignment="1" applyProtection="1">
      <alignment horizontal="right" vertical="center"/>
      <protection locked="0"/>
    </xf>
    <xf numFmtId="0" fontId="17" fillId="0" borderId="7" xfId="0" applyFont="1" applyBorder="1" applyAlignment="1">
      <alignment vertical="center" wrapText="1"/>
    </xf>
    <xf numFmtId="0" fontId="17" fillId="0" borderId="8" xfId="0" applyFont="1" applyBorder="1" applyAlignment="1">
      <alignment vertical="center" wrapText="1"/>
    </xf>
    <xf numFmtId="0" fontId="17" fillId="0" borderId="3" xfId="0" applyFont="1" applyBorder="1" applyAlignment="1" applyProtection="1">
      <alignment vertical="center"/>
      <protection locked="0"/>
    </xf>
    <xf numFmtId="49" fontId="17" fillId="0" borderId="3" xfId="0" applyNumberFormat="1" applyFont="1" applyBorder="1" applyAlignment="1" applyProtection="1">
      <alignment vertical="center" wrapText="1"/>
      <protection locked="0"/>
    </xf>
    <xf numFmtId="14" fontId="17" fillId="0" borderId="3" xfId="0" applyNumberFormat="1" applyFont="1" applyBorder="1" applyAlignment="1" applyProtection="1">
      <alignment horizontal="right" vertical="center"/>
      <protection locked="0"/>
    </xf>
    <xf numFmtId="0" fontId="26" fillId="0" borderId="1" xfId="0" applyFont="1" applyBorder="1" applyAlignment="1">
      <alignment vertical="center" wrapText="1"/>
    </xf>
    <xf numFmtId="49" fontId="27" fillId="0" borderId="1" xfId="0" applyNumberFormat="1" applyFont="1" applyBorder="1" applyAlignment="1" applyProtection="1">
      <alignment horizontal="left" vertical="center"/>
      <protection locked="0"/>
    </xf>
    <xf numFmtId="0" fontId="17" fillId="0" borderId="1" xfId="0" applyFont="1" applyBorder="1" applyAlignment="1" applyProtection="1">
      <alignment horizontal="right" vertical="center"/>
      <protection locked="0"/>
    </xf>
    <xf numFmtId="14" fontId="17" fillId="0" borderId="1" xfId="0" applyNumberFormat="1" applyFont="1" applyBorder="1" applyAlignment="1" applyProtection="1">
      <alignment horizontal="right" vertical="center"/>
      <protection locked="0"/>
    </xf>
    <xf numFmtId="0" fontId="17" fillId="0" borderId="1" xfId="0" applyFont="1" applyBorder="1" applyAlignment="1" applyProtection="1">
      <alignment vertical="center"/>
      <protection locked="0"/>
    </xf>
    <xf numFmtId="49" fontId="17" fillId="0" borderId="1" xfId="0" applyNumberFormat="1" applyFont="1" applyBorder="1" applyAlignment="1" applyProtection="1">
      <alignment vertical="center" wrapText="1"/>
      <protection locked="0"/>
    </xf>
    <xf numFmtId="0" fontId="26" fillId="0" borderId="8" xfId="0" applyFont="1" applyBorder="1" applyAlignment="1">
      <alignment vertical="center" wrapText="1"/>
    </xf>
    <xf numFmtId="0" fontId="17" fillId="0" borderId="1" xfId="0" applyFont="1" applyBorder="1" applyAlignment="1">
      <alignment vertical="center" wrapText="1"/>
    </xf>
    <xf numFmtId="14" fontId="17" fillId="0" borderId="1" xfId="0" quotePrefix="1" applyNumberFormat="1" applyFont="1" applyBorder="1" applyAlignment="1" applyProtection="1">
      <alignment horizontal="right" vertical="center"/>
      <protection locked="0"/>
    </xf>
    <xf numFmtId="14" fontId="17" fillId="0" borderId="3" xfId="0" quotePrefix="1" applyNumberFormat="1" applyFont="1" applyBorder="1" applyAlignment="1" applyProtection="1">
      <alignment horizontal="right" vertical="center"/>
      <protection locked="0"/>
    </xf>
    <xf numFmtId="49" fontId="23" fillId="0" borderId="7" xfId="0" applyNumberFormat="1" applyFont="1" applyBorder="1" applyAlignment="1" applyProtection="1">
      <alignment horizontal="left" vertical="center"/>
      <protection locked="0"/>
    </xf>
    <xf numFmtId="14" fontId="7" fillId="0" borderId="3" xfId="0" applyNumberFormat="1" applyFont="1" applyBorder="1" applyAlignment="1" applyProtection="1">
      <alignment horizontal="right" vertical="center"/>
      <protection locked="0"/>
    </xf>
    <xf numFmtId="0" fontId="17" fillId="0" borderId="2" xfId="0" applyFont="1" applyBorder="1" applyAlignment="1">
      <alignment vertical="center" wrapText="1"/>
    </xf>
    <xf numFmtId="49" fontId="23" fillId="0" borderId="2" xfId="0" applyNumberFormat="1" applyFont="1" applyBorder="1" applyAlignment="1" applyProtection="1">
      <alignment horizontal="left" vertical="center"/>
      <protection locked="0"/>
    </xf>
    <xf numFmtId="1" fontId="28" fillId="0" borderId="7" xfId="2" applyNumberFormat="1" applyFont="1" applyBorder="1" applyAlignment="1">
      <alignment horizontal="center" vertical="center" wrapText="1"/>
    </xf>
    <xf numFmtId="14" fontId="7" fillId="0" borderId="3" xfId="0" quotePrefix="1" applyNumberFormat="1" applyFont="1" applyBorder="1" applyAlignment="1" applyProtection="1">
      <alignment horizontal="right" vertical="center"/>
      <protection locked="0"/>
    </xf>
    <xf numFmtId="164" fontId="7" fillId="0" borderId="8" xfId="0" applyNumberFormat="1" applyFont="1" applyBorder="1" applyAlignment="1">
      <alignment vertical="center"/>
    </xf>
    <xf numFmtId="49" fontId="23" fillId="0" borderId="1" xfId="0" applyNumberFormat="1" applyFont="1" applyBorder="1" applyAlignment="1" applyProtection="1">
      <alignment horizontal="left" vertical="center" wrapText="1"/>
      <protection locked="0"/>
    </xf>
    <xf numFmtId="14" fontId="7" fillId="0" borderId="1" xfId="0" quotePrefix="1" applyNumberFormat="1" applyFont="1" applyBorder="1" applyAlignment="1" applyProtection="1">
      <alignment horizontal="right" vertical="center"/>
      <protection locked="0"/>
    </xf>
    <xf numFmtId="164" fontId="5" fillId="0" borderId="11" xfId="1" applyNumberFormat="1" applyFont="1" applyBorder="1"/>
    <xf numFmtId="164" fontId="19" fillId="0" borderId="4" xfId="0" applyNumberFormat="1" applyFont="1" applyBorder="1" applyAlignment="1">
      <alignment horizontal="center" vertical="center" wrapText="1"/>
    </xf>
    <xf numFmtId="164" fontId="7" fillId="0" borderId="0" xfId="0" applyNumberFormat="1" applyFont="1"/>
    <xf numFmtId="164" fontId="0" fillId="0" borderId="0" xfId="0" applyNumberFormat="1" applyAlignment="1">
      <alignment vertical="center"/>
    </xf>
    <xf numFmtId="164" fontId="6" fillId="0" borderId="11" xfId="1" applyNumberFormat="1" applyFont="1" applyBorder="1" applyAlignment="1" applyProtection="1">
      <alignment horizontal="right" vertical="center" wrapText="1"/>
      <protection locked="0"/>
    </xf>
    <xf numFmtId="164" fontId="19" fillId="0" borderId="4" xfId="0" applyNumberFormat="1" applyFont="1" applyBorder="1" applyAlignment="1" applyProtection="1">
      <alignment horizontal="right" vertical="center" wrapText="1"/>
      <protection locked="0"/>
    </xf>
    <xf numFmtId="164" fontId="7" fillId="0" borderId="1" xfId="0" applyNumberFormat="1" applyFont="1" applyBorder="1" applyAlignment="1" applyProtection="1">
      <alignment horizontal="right" vertical="center"/>
      <protection locked="0"/>
    </xf>
    <xf numFmtId="164" fontId="21" fillId="0" borderId="1" xfId="0" applyNumberFormat="1" applyFont="1" applyBorder="1" applyAlignment="1" applyProtection="1">
      <alignment horizontal="right" vertical="center"/>
      <protection locked="0"/>
    </xf>
    <xf numFmtId="164" fontId="20" fillId="0" borderId="1" xfId="0" applyNumberFormat="1" applyFont="1" applyBorder="1" applyAlignment="1" applyProtection="1">
      <alignment horizontal="right" vertical="center"/>
      <protection locked="0"/>
    </xf>
    <xf numFmtId="164" fontId="21" fillId="0" borderId="1" xfId="0" applyNumberFormat="1" applyFont="1" applyBorder="1" applyAlignment="1" applyProtection="1">
      <alignment horizontal="right" vertical="center" wrapText="1"/>
      <protection locked="0"/>
    </xf>
    <xf numFmtId="164" fontId="21" fillId="0" borderId="3" xfId="0" applyNumberFormat="1" applyFont="1" applyBorder="1" applyAlignment="1" applyProtection="1">
      <alignment horizontal="right" vertical="center" wrapText="1"/>
      <protection locked="0"/>
    </xf>
    <xf numFmtId="164" fontId="21" fillId="0" borderId="3" xfId="0" applyNumberFormat="1" applyFont="1" applyBorder="1" applyAlignment="1" applyProtection="1">
      <alignment horizontal="right" vertical="center"/>
      <protection locked="0"/>
    </xf>
    <xf numFmtId="164" fontId="19" fillId="0" borderId="1" xfId="0" applyNumberFormat="1" applyFont="1" applyBorder="1" applyAlignment="1" applyProtection="1">
      <alignment horizontal="right" vertical="center"/>
      <protection locked="0"/>
    </xf>
    <xf numFmtId="164" fontId="0" fillId="0" borderId="1" xfId="0" applyNumberFormat="1" applyBorder="1" applyAlignment="1" applyProtection="1">
      <alignment horizontal="right" vertical="center"/>
      <protection locked="0"/>
    </xf>
    <xf numFmtId="164" fontId="0" fillId="0" borderId="3" xfId="0" applyNumberFormat="1" applyBorder="1" applyAlignment="1" applyProtection="1">
      <alignment horizontal="right" vertical="center"/>
      <protection locked="0"/>
    </xf>
    <xf numFmtId="164" fontId="0" fillId="0" borderId="3" xfId="0" applyNumberFormat="1" applyBorder="1" applyAlignment="1" applyProtection="1">
      <alignment horizontal="right" vertical="center" wrapText="1"/>
      <protection locked="0"/>
    </xf>
    <xf numFmtId="164" fontId="19" fillId="0" borderId="7" xfId="0" applyNumberFormat="1" applyFont="1" applyBorder="1" applyAlignment="1" applyProtection="1">
      <alignment horizontal="right" vertical="center"/>
      <protection locked="0"/>
    </xf>
    <xf numFmtId="164" fontId="0" fillId="0" borderId="1" xfId="0" applyNumberFormat="1" applyBorder="1" applyAlignment="1" applyProtection="1">
      <alignment horizontal="right" vertical="center" wrapText="1"/>
      <protection locked="0"/>
    </xf>
    <xf numFmtId="164" fontId="21" fillId="0" borderId="7" xfId="0" applyNumberFormat="1" applyFont="1" applyBorder="1" applyAlignment="1" applyProtection="1">
      <alignment horizontal="right" vertical="center"/>
      <protection locked="0"/>
    </xf>
    <xf numFmtId="164" fontId="21" fillId="0" borderId="3" xfId="0" quotePrefix="1" applyNumberFormat="1" applyFont="1" applyBorder="1" applyAlignment="1" applyProtection="1">
      <alignment horizontal="right" vertical="center"/>
      <protection locked="0"/>
    </xf>
    <xf numFmtId="164" fontId="21" fillId="0" borderId="1" xfId="0" quotePrefix="1" applyNumberFormat="1" applyFont="1" applyBorder="1" applyAlignment="1" applyProtection="1">
      <alignment horizontal="right" vertical="center"/>
      <protection locked="0"/>
    </xf>
    <xf numFmtId="164" fontId="17" fillId="0" borderId="1" xfId="0" applyNumberFormat="1" applyFont="1" applyBorder="1" applyAlignment="1" applyProtection="1">
      <alignment horizontal="right" vertical="center"/>
      <protection locked="0"/>
    </xf>
    <xf numFmtId="164" fontId="17" fillId="0" borderId="3" xfId="0" applyNumberFormat="1" applyFont="1" applyBorder="1" applyAlignment="1" applyProtection="1">
      <alignment horizontal="right" vertical="center"/>
      <protection locked="0"/>
    </xf>
    <xf numFmtId="164" fontId="17" fillId="0" borderId="3" xfId="0" applyNumberFormat="1" applyFont="1" applyBorder="1" applyAlignment="1" applyProtection="1">
      <alignment horizontal="right" vertical="center" wrapText="1"/>
      <protection locked="0"/>
    </xf>
    <xf numFmtId="164" fontId="17" fillId="0" borderId="1" xfId="0" applyNumberFormat="1" applyFont="1" applyBorder="1" applyAlignment="1" applyProtection="1">
      <alignment horizontal="right" vertical="center" wrapText="1"/>
      <protection locked="0"/>
    </xf>
    <xf numFmtId="164" fontId="7" fillId="0" borderId="3" xfId="0" applyNumberFormat="1" applyFont="1" applyBorder="1" applyAlignment="1" applyProtection="1">
      <alignment horizontal="right" vertical="center"/>
      <protection locked="0"/>
    </xf>
    <xf numFmtId="164" fontId="7" fillId="0" borderId="3" xfId="0" applyNumberFormat="1" applyFont="1" applyBorder="1" applyAlignment="1" applyProtection="1">
      <alignment horizontal="right" vertical="center" wrapText="1"/>
      <protection locked="0"/>
    </xf>
    <xf numFmtId="164" fontId="7" fillId="0" borderId="3" xfId="0" quotePrefix="1" applyNumberFormat="1" applyFont="1" applyBorder="1" applyAlignment="1" applyProtection="1">
      <alignment horizontal="right" vertical="center"/>
      <protection locked="0"/>
    </xf>
    <xf numFmtId="164" fontId="7" fillId="0" borderId="1" xfId="0" quotePrefix="1" applyNumberFormat="1" applyFont="1" applyBorder="1" applyAlignment="1" applyProtection="1">
      <alignment horizontal="right" vertical="center"/>
      <protection locked="0"/>
    </xf>
    <xf numFmtId="164" fontId="7" fillId="0" borderId="0" xfId="0" applyNumberFormat="1" applyFont="1" applyAlignment="1">
      <alignment horizontal="right"/>
    </xf>
    <xf numFmtId="164" fontId="0" fillId="0" borderId="0" xfId="0" applyNumberFormat="1" applyAlignment="1" applyProtection="1">
      <alignment horizontal="right" vertical="center"/>
      <protection locked="0"/>
    </xf>
    <xf numFmtId="49" fontId="23" fillId="0" borderId="3" xfId="0" applyNumberFormat="1" applyFont="1" applyBorder="1" applyAlignment="1" applyProtection="1">
      <alignment horizontal="right" vertical="center"/>
      <protection locked="0"/>
    </xf>
    <xf numFmtId="164" fontId="23" fillId="0" borderId="3" xfId="0" applyNumberFormat="1" applyFont="1" applyBorder="1" applyAlignment="1" applyProtection="1">
      <alignment horizontal="right" vertical="center"/>
      <protection locked="0"/>
    </xf>
    <xf numFmtId="49" fontId="23" fillId="0" borderId="3" xfId="0" applyNumberFormat="1" applyFont="1" applyBorder="1" applyAlignment="1" applyProtection="1">
      <alignment vertical="center"/>
      <protection locked="0"/>
    </xf>
    <xf numFmtId="49" fontId="23" fillId="0" borderId="1" xfId="0" applyNumberFormat="1" applyFont="1" applyBorder="1" applyAlignment="1" applyProtection="1">
      <alignment horizontal="right" vertical="center"/>
      <protection locked="0"/>
    </xf>
    <xf numFmtId="164" fontId="23" fillId="0" borderId="1" xfId="0" applyNumberFormat="1" applyFont="1" applyBorder="1" applyAlignment="1" applyProtection="1">
      <alignment horizontal="right" vertical="center"/>
      <protection locked="0"/>
    </xf>
    <xf numFmtId="49" fontId="23" fillId="0" borderId="1" xfId="0" applyNumberFormat="1" applyFont="1" applyBorder="1" applyAlignment="1" applyProtection="1">
      <alignment vertical="center"/>
      <protection locked="0"/>
    </xf>
    <xf numFmtId="164" fontId="7" fillId="0" borderId="1" xfId="0" applyNumberFormat="1" applyFont="1" applyBorder="1" applyAlignment="1">
      <alignment vertical="center"/>
    </xf>
    <xf numFmtId="1" fontId="29" fillId="0" borderId="7" xfId="2" applyNumberFormat="1" applyFont="1" applyBorder="1" applyAlignment="1">
      <alignment horizontal="center" vertical="center" wrapText="1"/>
    </xf>
    <xf numFmtId="164" fontId="7" fillId="0" borderId="5" xfId="0" applyNumberFormat="1" applyFont="1" applyBorder="1" applyAlignment="1">
      <alignment vertical="center"/>
    </xf>
    <xf numFmtId="49" fontId="23" fillId="0" borderId="1" xfId="0" applyNumberFormat="1" applyFont="1" applyBorder="1" applyAlignment="1" applyProtection="1">
      <alignment horizontal="right" vertical="center" wrapText="1"/>
      <protection locked="0"/>
    </xf>
    <xf numFmtId="0" fontId="30" fillId="0" borderId="1" xfId="0" applyFont="1" applyBorder="1" applyAlignment="1">
      <alignment vertical="center" wrapText="1"/>
    </xf>
    <xf numFmtId="1" fontId="31" fillId="0" borderId="7" xfId="2" applyNumberFormat="1" applyFont="1" applyBorder="1" applyAlignment="1">
      <alignment horizontal="center" vertical="center" wrapText="1"/>
    </xf>
    <xf numFmtId="49" fontId="19" fillId="0" borderId="3" xfId="0" applyNumberFormat="1" applyFont="1" applyBorder="1" applyAlignment="1" applyProtection="1">
      <alignment horizontal="right" vertical="center"/>
      <protection locked="0"/>
    </xf>
    <xf numFmtId="164" fontId="19" fillId="0" borderId="3" xfId="0" applyNumberFormat="1" applyFont="1" applyBorder="1" applyAlignment="1" applyProtection="1">
      <alignment horizontal="right" vertical="center"/>
      <protection locked="0"/>
    </xf>
    <xf numFmtId="49" fontId="19" fillId="0" borderId="3" xfId="0" applyNumberFormat="1" applyFont="1" applyBorder="1" applyAlignment="1" applyProtection="1">
      <alignment vertical="center"/>
      <protection locked="0"/>
    </xf>
    <xf numFmtId="1" fontId="17" fillId="0" borderId="7" xfId="2" applyNumberFormat="1" applyFont="1" applyBorder="1" applyAlignment="1">
      <alignment horizontal="center" vertical="center" wrapText="1"/>
    </xf>
    <xf numFmtId="49" fontId="19" fillId="0" borderId="3" xfId="0" quotePrefix="1" applyNumberFormat="1" applyFont="1" applyBorder="1" applyAlignment="1" applyProtection="1">
      <alignment horizontal="right" vertical="center"/>
      <protection locked="0"/>
    </xf>
    <xf numFmtId="1" fontId="17" fillId="8" borderId="7" xfId="2" applyNumberFormat="1" applyFont="1" applyFill="1" applyBorder="1" applyAlignment="1">
      <alignment horizontal="center" vertical="center" wrapText="1"/>
    </xf>
    <xf numFmtId="164" fontId="7" fillId="8" borderId="8" xfId="0" applyNumberFormat="1" applyFont="1" applyFill="1" applyBorder="1" applyAlignment="1">
      <alignment vertical="center"/>
    </xf>
    <xf numFmtId="0" fontId="23" fillId="8" borderId="3" xfId="0" applyFont="1" applyFill="1" applyBorder="1" applyAlignment="1">
      <alignment vertical="center" wrapText="1"/>
    </xf>
    <xf numFmtId="0" fontId="17" fillId="8" borderId="7" xfId="0" applyFont="1" applyFill="1" applyBorder="1" applyAlignment="1">
      <alignment vertical="center" wrapText="1"/>
    </xf>
    <xf numFmtId="0" fontId="7" fillId="8" borderId="8" xfId="0" applyFont="1" applyFill="1" applyBorder="1" applyAlignment="1">
      <alignment vertical="center" wrapText="1"/>
    </xf>
    <xf numFmtId="0" fontId="23" fillId="8" borderId="1" xfId="0" applyFont="1" applyFill="1" applyBorder="1" applyAlignment="1">
      <alignment vertical="center" wrapText="1"/>
    </xf>
    <xf numFmtId="49" fontId="23" fillId="8" borderId="1" xfId="0" applyNumberFormat="1" applyFont="1" applyFill="1" applyBorder="1" applyAlignment="1" applyProtection="1">
      <alignment horizontal="left" vertical="center"/>
      <protection locked="0"/>
    </xf>
    <xf numFmtId="49" fontId="23" fillId="8" borderId="3" xfId="0" applyNumberFormat="1" applyFont="1" applyFill="1" applyBorder="1" applyAlignment="1" applyProtection="1">
      <alignment horizontal="right" vertical="center"/>
      <protection locked="0"/>
    </xf>
    <xf numFmtId="164" fontId="23" fillId="8" borderId="3" xfId="0" applyNumberFormat="1" applyFont="1" applyFill="1" applyBorder="1" applyAlignment="1" applyProtection="1">
      <alignment horizontal="right" vertical="center"/>
      <protection locked="0"/>
    </xf>
    <xf numFmtId="49" fontId="23" fillId="8" borderId="3" xfId="0" applyNumberFormat="1" applyFont="1" applyFill="1" applyBorder="1" applyAlignment="1" applyProtection="1">
      <alignment vertical="center"/>
      <protection locked="0"/>
    </xf>
    <xf numFmtId="0" fontId="7" fillId="8" borderId="3" xfId="0" applyFont="1" applyFill="1" applyBorder="1" applyAlignment="1" applyProtection="1">
      <alignment vertical="center" wrapText="1"/>
      <protection locked="0"/>
    </xf>
    <xf numFmtId="0" fontId="7" fillId="8" borderId="3" xfId="0" applyFont="1" applyFill="1" applyBorder="1" applyAlignment="1" applyProtection="1">
      <alignment vertical="center"/>
      <protection locked="0"/>
    </xf>
    <xf numFmtId="14" fontId="7" fillId="8" borderId="3" xfId="0" applyNumberFormat="1" applyFont="1" applyFill="1" applyBorder="1" applyAlignment="1" applyProtection="1">
      <alignment vertical="center"/>
      <protection locked="0"/>
    </xf>
    <xf numFmtId="0" fontId="7" fillId="8" borderId="0" xfId="0" applyFont="1" applyFill="1" applyAlignment="1" applyProtection="1">
      <alignment vertical="center"/>
      <protection locked="0"/>
    </xf>
    <xf numFmtId="164" fontId="7" fillId="0" borderId="8" xfId="0" applyNumberFormat="1" applyFont="1" applyBorder="1" applyAlignment="1">
      <alignment horizontal="right" vertical="center"/>
    </xf>
    <xf numFmtId="2" fontId="0" fillId="0" borderId="0" xfId="0" applyNumberFormat="1" applyAlignment="1" applyProtection="1">
      <alignment vertical="center"/>
      <protection locked="0"/>
    </xf>
    <xf numFmtId="49" fontId="23" fillId="0" borderId="1" xfId="0" quotePrefix="1" applyNumberFormat="1" applyFont="1" applyBorder="1" applyAlignment="1" applyProtection="1">
      <alignment horizontal="right" vertical="center"/>
      <protection locked="0"/>
    </xf>
    <xf numFmtId="0" fontId="16" fillId="0" borderId="1" xfId="1" applyFont="1" applyBorder="1" applyAlignment="1">
      <alignment horizontal="center" vertical="center"/>
    </xf>
    <xf numFmtId="0" fontId="6" fillId="0" borderId="1" xfId="1" applyFont="1" applyBorder="1" applyAlignment="1">
      <alignment horizontal="center" vertical="center" wrapText="1"/>
    </xf>
    <xf numFmtId="0" fontId="16" fillId="0" borderId="0" xfId="1" applyFont="1" applyAlignment="1">
      <alignment horizontal="left" vertical="center"/>
    </xf>
  </cellXfs>
  <cellStyles count="6">
    <cellStyle name="Normal" xfId="0" builtinId="0"/>
    <cellStyle name="Normal 2" xfId="3" xr:uid="{00000000-0005-0000-0000-000001000000}"/>
    <cellStyle name="Normal 2 2" xfId="4" xr:uid="{00000000-0005-0000-0000-000002000000}"/>
    <cellStyle name="Normal 3" xfId="5" xr:uid="{00000000-0005-0000-0000-000003000000}"/>
    <cellStyle name="Normal_CUSTOMER COMPLAINT 2008" xfId="1" xr:uid="{00000000-0005-0000-0000-000004000000}"/>
    <cellStyle name="Normal_Sheet1" xfId="2" xr:uid="{00000000-0005-0000-0000-000005000000}"/>
  </cellStyles>
  <dxfs count="85">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ill>
        <patternFill>
          <bgColor rgb="FFFFFF99"/>
        </patternFill>
      </fill>
    </dxf>
    <dxf>
      <font>
        <color rgb="FFC00000"/>
      </font>
    </dxf>
    <dxf>
      <fill>
        <patternFill>
          <bgColor theme="5" tint="0.59996337778862885"/>
        </patternFill>
      </fill>
    </dxf>
    <dxf>
      <fill>
        <patternFill>
          <bgColor theme="5" tint="0.59996337778862885"/>
        </patternFill>
      </fill>
    </dxf>
    <dxf>
      <font>
        <color rgb="FFC00000"/>
      </font>
    </dxf>
    <dxf>
      <fill>
        <patternFill>
          <bgColor rgb="FFFFFF99"/>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ont>
        <color rgb="FFC00000"/>
      </font>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ont>
        <color rgb="FFC00000"/>
      </font>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ont>
        <color rgb="FFC00000"/>
      </font>
    </dxf>
    <dxf>
      <font>
        <color rgb="FF9C0006"/>
      </font>
      <fill>
        <patternFill>
          <bgColor rgb="FFFFC7CE"/>
        </patternFill>
      </fill>
    </dxf>
    <dxf>
      <font>
        <b val="0"/>
        <i val="0"/>
        <strike val="0"/>
        <condense val="0"/>
        <extend val="0"/>
        <outline val="0"/>
        <shadow val="0"/>
        <u val="none"/>
        <vertAlign val="baseline"/>
        <sz val="11"/>
        <color theme="1"/>
        <name val="Tahoma"/>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rder>
    </dxf>
    <dxf>
      <font>
        <strike val="0"/>
        <outline val="0"/>
        <shadow val="0"/>
        <u val="none"/>
        <vertAlign val="baseline"/>
        <sz val="10"/>
      </font>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numFmt numFmtId="164" formatCode="dd\/mm\/yyyy"/>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strike val="0"/>
        <outline val="0"/>
        <shadow val="0"/>
        <u val="none"/>
        <vertAlign val="baseline"/>
        <sz val="10"/>
      </font>
      <numFmt numFmtId="30" formatCode="@"/>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strike val="0"/>
        <outline val="0"/>
        <shadow val="0"/>
        <u val="none"/>
        <vertAlign val="baseline"/>
        <sz val="10"/>
      </font>
      <alignment horizontal="general" vertical="center" textRotation="0" wrapText="1" indent="0" justifyLastLine="0" shrinkToFit="0" readingOrder="0"/>
      <border diagonalUp="0" diagonalDown="0">
        <left style="thin">
          <color indexed="64"/>
        </left>
        <right/>
        <top style="thin">
          <color indexed="64"/>
        </top>
        <bottom style="thin">
          <color indexed="64"/>
        </bottom>
      </border>
      <protection locked="1"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top style="thin">
          <color indexed="64"/>
        </top>
        <bottom style="thin">
          <color indexed="64"/>
        </bottom>
      </border>
      <protection locked="1" hidden="0"/>
    </dxf>
    <dxf>
      <font>
        <strike val="0"/>
        <outline val="0"/>
        <shadow val="0"/>
        <u val="none"/>
        <vertAlign val="baseline"/>
        <sz val="10"/>
      </font>
      <alignment horizontal="general"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font>
        <b/>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strike val="0"/>
        <outline val="0"/>
        <shadow val="0"/>
        <u val="none"/>
        <vertAlign val="baseline"/>
        <sz val="10"/>
      </font>
      <numFmt numFmtId="164" formatCode="dd\/mm\/yyyy"/>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0"/>
        <color theme="1"/>
        <name val="Tahoma"/>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font>
      <alignment vertical="center" textRotation="0" indent="0" justifyLastLine="0" shrinkToFit="0" readingOrder="0"/>
      <protection locked="0" hidden="0"/>
    </dxf>
    <dxf>
      <border outline="0">
        <bottom style="thin">
          <color indexed="64"/>
        </bottom>
      </border>
    </dxf>
    <dxf>
      <alignment vertical="center" textRotation="0" indent="0" justifyLastLine="0" shrinkToFit="0" readingOrder="0"/>
      <protection locked="0" hidden="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47625</xdr:rowOff>
    </xdr:from>
    <xdr:to>
      <xdr:col>2</xdr:col>
      <xdr:colOff>371475</xdr:colOff>
      <xdr:row>0</xdr:row>
      <xdr:rowOff>590550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1651635" cy="535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0</xdr:rowOff>
    </xdr:from>
    <xdr:to>
      <xdr:col>2</xdr:col>
      <xdr:colOff>800100</xdr:colOff>
      <xdr:row>0</xdr:row>
      <xdr:rowOff>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20097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306721</xdr:colOff>
      <xdr:row>0</xdr:row>
      <xdr:rowOff>53788</xdr:rowOff>
    </xdr:from>
    <xdr:to>
      <xdr:col>2</xdr:col>
      <xdr:colOff>1222482</xdr:colOff>
      <xdr:row>0</xdr:row>
      <xdr:rowOff>558613</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250" y="53788"/>
          <a:ext cx="187498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U21" totalsRowShown="0" tableBorderDxfId="61">
  <autoFilter ref="A3:U21" xr:uid="{00000000-0009-0000-0100-000001000000}"/>
  <tableColumns count="21">
    <tableColumn id="1" xr3:uid="{00000000-0010-0000-0000-000001000000}" name="STT_x000a_No._x000a_" dataDxfId="60" dataCellStyle="Normal_Sheet1">
      <calculatedColumnFormula>ROW(B4)-3</calculatedColumnFormula>
    </tableColumn>
    <tableColumn id="2" xr3:uid="{00000000-0010-0000-0000-000002000000}" name="Ngày_x000a_date" dataDxfId="59" dataCellStyle="Normal_Sheet1"/>
    <tableColumn id="3" xr3:uid="{00000000-0010-0000-0000-000003000000}" name="Code _x000a_CC- " dataDxfId="58" dataCellStyle="Normal_Sheet1"/>
    <tableColumn id="4" xr3:uid="{00000000-0010-0000-0000-000004000000}" name="Tên khách hàng_x000a_Customer" dataDxfId="57" dataCellStyle="Normal_Sheet1"/>
    <tableColumn id="5" xr3:uid="{00000000-0010-0000-0000-000005000000}" name="Địa chỉ_x000a_address" dataDxfId="56"/>
    <tableColumn id="6" xr3:uid="{00000000-0010-0000-0000-000006000000}" name="Tên sản phẩm_x000a_Product name" dataDxfId="55" dataCellStyle="Normal_Sheet1"/>
    <tableColumn id="7" xr3:uid="{00000000-0010-0000-0000-000007000000}" name="Số Lô_x000a_batch No." dataDxfId="54" dataCellStyle="Normal_Sheet1"/>
    <tableColumn id="8" xr3:uid="{00000000-0010-0000-0000-000008000000}" name="NSX_x000a_Mfg date" dataDxfId="53" dataCellStyle="Normal_Sheet1"/>
    <tableColumn id="9" xr3:uid="{00000000-0010-0000-0000-000009000000}" name="HD_x000a_Exp date" dataDxfId="52" dataCellStyle="Normal_Sheet1"/>
    <tableColumn id="10" xr3:uid="{00000000-0010-0000-0000-00000A000000}" name="Đơn vị tính_x000a_Unit" dataDxfId="51" dataCellStyle="Normal_Sheet1"/>
    <tableColumn id="11" xr3:uid="{00000000-0010-0000-0000-00000B000000}" name="Số Lượng_x000a_Quanity" dataDxfId="50" dataCellStyle="Normal_Sheet1"/>
    <tableColumn id="12" xr3:uid="{00000000-0010-0000-0000-00000C000000}" name="Lý do khiếu nại_x000a_Reason of complaint" dataDxfId="49" dataCellStyle="Normal_Sheet1"/>
    <tableColumn id="13" xr3:uid="{00000000-0010-0000-0000-00000D000000}" name="Nguyên nhân khiếu nại/ Cause of complaint" dataDxfId="48" dataCellStyle="Normal_Sheet1"/>
    <tableColumn id="14" xr3:uid="{00000000-0010-0000-0000-00000E000000}" name="Tình trạng_x000a_status" dataDxfId="47" dataCellStyle="Normal_Sheet1"/>
    <tableColumn id="15" xr3:uid="{00000000-0010-0000-0000-00000F000000}" name="Xuất mẫu sang văn phòng hãng" dataDxfId="46" dataCellStyle="Normal_Sheet1"/>
    <tableColumn id="16" xr3:uid="{00000000-0010-0000-0000-000010000000}" name="BẢO MẬT THÔNG TIN CÁ NHÂN" dataDxfId="45"/>
    <tableColumn id="17" xr3:uid="{00000000-0010-0000-0000-000011000000}" name="HÌNH THỨC NHẬN" dataDxfId="44"/>
    <tableColumn id="18" xr3:uid="{00000000-0010-0000-0000-000012000000}" name="XÁC NHẬN TỪ HÃNG" dataDxfId="43"/>
    <tableColumn id="19" xr3:uid="{00000000-0010-0000-0000-000013000000}" name="NGÀY NHẬN" dataDxfId="42"/>
    <tableColumn id="20" xr3:uid="{00000000-0010-0000-0000-000014000000}" name="FIXED EXP" dataDxfId="41">
      <calculatedColumnFormula>IF(I4="","CHƯA NHẬP NGÀY",TEXT(I4,"dd/mm/yyyy"))</calculatedColumnFormula>
    </tableColumn>
    <tableColumn id="21" xr3:uid="{00000000-0010-0000-0000-000015000000}" name="FIXED IMPORT" dataDxfId="40">
      <calculatedColumnFormula>IF(S4="","CHƯA NHẬP NGÀY",TEXT(S4,"dd/mm/yyyy"))</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R221" totalsRowShown="0" headerRowDxfId="84" dataDxfId="82" headerRowBorderDxfId="83" tableBorderDxfId="81" totalsRowBorderDxfId="80">
  <autoFilter ref="A3:R221" xr:uid="{00000000-0009-0000-0100-000002000000}"/>
  <tableColumns count="18">
    <tableColumn id="1" xr3:uid="{00000000-0010-0000-0100-000001000000}" name="STT_x000a_No." dataDxfId="79" dataCellStyle="Normal_Sheet1">
      <calculatedColumnFormula>ROW(B4)-4</calculatedColumnFormula>
    </tableColumn>
    <tableColumn id="2" xr3:uid="{00000000-0010-0000-0100-000002000000}" name="Ngày_x000a_date" dataDxfId="78"/>
    <tableColumn id="3" xr3:uid="{00000000-0010-0000-0100-000003000000}" name="Code _x000a_CC- " dataDxfId="77"/>
    <tableColumn id="4" xr3:uid="{00000000-0010-0000-0100-000004000000}" name="Tên khách hàng_x000a_Customer" dataDxfId="76"/>
    <tableColumn id="5" xr3:uid="{00000000-0010-0000-0100-000005000000}" name="Địa chỉ_x000a_address" dataDxfId="75"/>
    <tableColumn id="6" xr3:uid="{00000000-0010-0000-0100-000006000000}" name="Tên sản phẩm_x000a_Product name" dataDxfId="74"/>
    <tableColumn id="7" xr3:uid="{00000000-0010-0000-0100-000007000000}" name="Số Lô_x000a_batch No." dataDxfId="73"/>
    <tableColumn id="8" xr3:uid="{00000000-0010-0000-0100-000008000000}" name="NSX_x000a_Mfg date" dataDxfId="72"/>
    <tableColumn id="9" xr3:uid="{00000000-0010-0000-0100-000009000000}" name="HD_x000a_Exp date" dataDxfId="71"/>
    <tableColumn id="10" xr3:uid="{00000000-0010-0000-0100-00000A000000}" name="Đơn vị tính_x000a_Unit" dataDxfId="70"/>
    <tableColumn id="11" xr3:uid="{00000000-0010-0000-0100-00000B000000}" name="Số Lượng_x000a_Quanity" dataDxfId="69"/>
    <tableColumn id="12" xr3:uid="{00000000-0010-0000-0100-00000C000000}" name="Lý do khiếu nại_x000a_Reason of complaint" dataDxfId="68"/>
    <tableColumn id="13" xr3:uid="{00000000-0010-0000-0100-00000D000000}" name="Nguyên nhân khiếu nại/ Cause of complaint" dataDxfId="67"/>
    <tableColumn id="14" xr3:uid="{00000000-0010-0000-0100-00000E000000}" name="Tình trạng/ Status" dataDxfId="66"/>
    <tableColumn id="16" xr3:uid="{00000000-0010-0000-0100-000010000000}" name="BẢO MẬT THÔNG TIN CÁ NHÂN" dataDxfId="65"/>
    <tableColumn id="17" xr3:uid="{00000000-0010-0000-0100-000011000000}" name="HÌNH THỨC NHẬN" dataDxfId="64"/>
    <tableColumn id="18" xr3:uid="{00000000-0010-0000-0100-000012000000}" name="XÁC NHẬN TỪ HÃNG" dataDxfId="63"/>
    <tableColumn id="19" xr3:uid="{00000000-0010-0000-0100-000013000000}" name="NGÀY NHẬN" dataDxfId="6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U27"/>
  <sheetViews>
    <sheetView zoomScale="80" zoomScaleNormal="80" zoomScaleSheetLayoutView="70" workbookViewId="0">
      <pane ySplit="3" topLeftCell="A4" activePane="bottomLeft" state="frozen"/>
      <selection pane="bottomLeft" activeCell="D1" sqref="A1:N1"/>
    </sheetView>
  </sheetViews>
  <sheetFormatPr defaultColWidth="8.81640625" defaultRowHeight="14"/>
  <cols>
    <col min="1" max="1" width="7.453125" style="26" customWidth="1"/>
    <col min="2" max="2" width="14.1796875" style="19" customWidth="1"/>
    <col min="3" max="3" width="19.54296875" style="28" customWidth="1"/>
    <col min="4" max="4" width="24" style="19" customWidth="1"/>
    <col min="5" max="5" width="19.453125" style="19" customWidth="1"/>
    <col min="6" max="6" width="20.1796875" style="28" customWidth="1"/>
    <col min="7" max="7" width="11.81640625" style="19" customWidth="1"/>
    <col min="8" max="8" width="14.54296875" style="27" customWidth="1"/>
    <col min="9" max="9" width="14.81640625" style="29" customWidth="1"/>
    <col min="10" max="10" width="11.54296875" style="9" customWidth="1"/>
    <col min="11" max="11" width="13.54296875" style="30" customWidth="1"/>
    <col min="12" max="12" width="42.1796875" style="21" customWidth="1"/>
    <col min="13" max="13" width="51.1796875" style="21" customWidth="1"/>
    <col min="14" max="14" width="45.54296875" style="21" customWidth="1"/>
    <col min="15" max="15" width="38.453125" style="9" customWidth="1"/>
    <col min="16" max="16" width="36.453125" style="9" customWidth="1"/>
    <col min="17" max="17" width="22.453125" style="19" customWidth="1"/>
    <col min="18" max="18" width="24.81640625" style="22" customWidth="1"/>
    <col min="19" max="19" width="23.453125" style="19" customWidth="1"/>
    <col min="20" max="20" width="14.453125" style="27" customWidth="1"/>
    <col min="21" max="21" width="19.1796875" style="27" customWidth="1"/>
    <col min="22" max="16384" width="8.81640625" style="19"/>
  </cols>
  <sheetData>
    <row r="1" spans="1:21" ht="46.4" customHeight="1">
      <c r="A1" s="289"/>
      <c r="B1" s="289"/>
      <c r="C1" s="289"/>
      <c r="D1" s="290" t="s">
        <v>43</v>
      </c>
      <c r="E1" s="290"/>
      <c r="F1" s="290"/>
      <c r="G1" s="290"/>
      <c r="H1" s="290"/>
      <c r="I1" s="290"/>
      <c r="J1" s="290"/>
      <c r="K1" s="290"/>
      <c r="L1" s="290"/>
      <c r="M1" s="290"/>
      <c r="N1" s="290"/>
    </row>
    <row r="2" spans="1:21">
      <c r="A2" s="23"/>
      <c r="B2" s="20"/>
      <c r="C2" s="291"/>
      <c r="D2" s="291"/>
      <c r="E2" s="10"/>
      <c r="F2" s="11"/>
      <c r="G2" s="12"/>
      <c r="H2" s="13"/>
      <c r="I2" s="14"/>
      <c r="J2" s="12"/>
      <c r="K2" s="15"/>
      <c r="L2" s="16"/>
      <c r="M2" s="16"/>
      <c r="N2" s="17"/>
    </row>
    <row r="3" spans="1:21" s="5" customFormat="1" ht="42">
      <c r="A3" s="33" t="s">
        <v>0</v>
      </c>
      <c r="B3" s="34" t="s">
        <v>1</v>
      </c>
      <c r="C3" s="34" t="s">
        <v>2</v>
      </c>
      <c r="D3" s="34" t="s">
        <v>3</v>
      </c>
      <c r="E3" s="34" t="s">
        <v>4</v>
      </c>
      <c r="F3" s="34" t="s">
        <v>5</v>
      </c>
      <c r="G3" s="34" t="s">
        <v>6</v>
      </c>
      <c r="H3" s="34" t="s">
        <v>7</v>
      </c>
      <c r="I3" s="35" t="s">
        <v>8</v>
      </c>
      <c r="J3" s="36" t="s">
        <v>9</v>
      </c>
      <c r="K3" s="37" t="s">
        <v>10</v>
      </c>
      <c r="L3" s="38" t="s">
        <v>11</v>
      </c>
      <c r="M3" s="38" t="s">
        <v>60</v>
      </c>
      <c r="N3" s="38" t="s">
        <v>12</v>
      </c>
      <c r="O3" s="34" t="s">
        <v>20</v>
      </c>
      <c r="P3" s="39" t="s">
        <v>72</v>
      </c>
      <c r="Q3" s="39" t="s">
        <v>76</v>
      </c>
      <c r="R3" s="40" t="s">
        <v>197</v>
      </c>
      <c r="S3" s="40" t="s">
        <v>191</v>
      </c>
      <c r="T3" s="41" t="s">
        <v>192</v>
      </c>
      <c r="U3" s="41" t="s">
        <v>193</v>
      </c>
    </row>
    <row r="4" spans="1:21" s="22" customFormat="1" ht="123" customHeight="1">
      <c r="A4" s="73">
        <f>ROW(B4)-3</f>
        <v>1</v>
      </c>
      <c r="B4" s="68">
        <v>45660</v>
      </c>
      <c r="C4" s="43" t="s">
        <v>82</v>
      </c>
      <c r="D4" s="43" t="s">
        <v>57</v>
      </c>
      <c r="E4" s="44" t="s">
        <v>58</v>
      </c>
      <c r="F4" s="43" t="s">
        <v>49</v>
      </c>
      <c r="G4" s="44" t="s">
        <v>68</v>
      </c>
      <c r="H4" s="44" t="s">
        <v>13</v>
      </c>
      <c r="I4" s="45">
        <v>46234</v>
      </c>
      <c r="J4" s="46" t="s">
        <v>64</v>
      </c>
      <c r="K4" s="47">
        <v>1</v>
      </c>
      <c r="L4" s="48" t="s">
        <v>80</v>
      </c>
      <c r="M4" s="48" t="s">
        <v>13</v>
      </c>
      <c r="N4" s="49" t="s">
        <v>83</v>
      </c>
      <c r="O4" s="50"/>
      <c r="P4" s="51"/>
      <c r="Q4" s="52"/>
      <c r="R4" s="71" t="s">
        <v>194</v>
      </c>
      <c r="S4" s="32">
        <v>45728</v>
      </c>
      <c r="T4" s="31" t="str">
        <f>IF(I4="","CHƯA NHẬP NGÀY",TEXT(I4,"dd/mm/yyyy"))</f>
        <v>31/07/2026</v>
      </c>
      <c r="U4" s="31" t="str">
        <f>IF(S4="","CHƯA NHẬP NGÀY",TEXT(S4,"dd/mm/yyyy"))</f>
        <v>12/03/2025</v>
      </c>
    </row>
    <row r="5" spans="1:21" s="22" customFormat="1" ht="59.15" customHeight="1">
      <c r="A5" s="73">
        <f t="shared" ref="A5:A21" si="0">ROW(B5)-3</f>
        <v>2</v>
      </c>
      <c r="B5" s="67">
        <v>45665</v>
      </c>
      <c r="C5" s="54" t="s">
        <v>81</v>
      </c>
      <c r="D5" s="54" t="s">
        <v>87</v>
      </c>
      <c r="E5" s="50" t="s">
        <v>88</v>
      </c>
      <c r="F5" s="54" t="s">
        <v>89</v>
      </c>
      <c r="G5" s="50" t="s">
        <v>90</v>
      </c>
      <c r="H5" s="50" t="s">
        <v>13</v>
      </c>
      <c r="I5" s="55">
        <v>46086</v>
      </c>
      <c r="J5" s="51" t="s">
        <v>15</v>
      </c>
      <c r="K5" s="56">
        <v>1</v>
      </c>
      <c r="L5" s="57" t="s">
        <v>91</v>
      </c>
      <c r="M5" s="58" t="s">
        <v>62</v>
      </c>
      <c r="N5" s="58" t="s">
        <v>105</v>
      </c>
      <c r="O5" s="50"/>
      <c r="P5" s="51" t="s">
        <v>54</v>
      </c>
      <c r="Q5" s="52" t="s">
        <v>109</v>
      </c>
      <c r="R5" s="71" t="s">
        <v>196</v>
      </c>
      <c r="S5" s="53"/>
      <c r="T5" s="31" t="str">
        <f t="shared" ref="T5:T21" si="1">IF(I5="","CHƯA NHẬP NGÀY",TEXT(I5,"dd/mm/yyyy"))</f>
        <v>05/03/2026</v>
      </c>
      <c r="U5" s="31" t="str">
        <f t="shared" ref="U5:U21" si="2">IF(S5="","CHƯA NHẬP NGÀY",TEXT(S5,"dd/mm/yyyy"))</f>
        <v>CHƯA NHẬP NGÀY</v>
      </c>
    </row>
    <row r="6" spans="1:21" s="24" customFormat="1" ht="81" customHeight="1">
      <c r="A6" s="73">
        <f t="shared" si="0"/>
        <v>3</v>
      </c>
      <c r="B6" s="60">
        <v>45666</v>
      </c>
      <c r="C6" s="72" t="s">
        <v>84</v>
      </c>
      <c r="D6" s="72" t="s">
        <v>85</v>
      </c>
      <c r="E6" s="66" t="s">
        <v>86</v>
      </c>
      <c r="F6" s="59" t="s">
        <v>66</v>
      </c>
      <c r="G6" s="59" t="s">
        <v>67</v>
      </c>
      <c r="H6" s="60">
        <v>45533</v>
      </c>
      <c r="I6" s="61">
        <v>46262</v>
      </c>
      <c r="J6" s="62" t="s">
        <v>111</v>
      </c>
      <c r="K6" s="63">
        <v>25</v>
      </c>
      <c r="L6" s="64" t="s">
        <v>110</v>
      </c>
      <c r="M6" s="64" t="s">
        <v>62</v>
      </c>
      <c r="N6" s="64" t="s">
        <v>121</v>
      </c>
      <c r="O6" s="59"/>
      <c r="P6" s="62"/>
      <c r="Q6" s="65"/>
      <c r="R6" s="53"/>
      <c r="S6" s="66"/>
      <c r="T6" s="31" t="str">
        <f t="shared" si="1"/>
        <v>28/08/2026</v>
      </c>
      <c r="U6" s="31" t="str">
        <f t="shared" si="2"/>
        <v>CHƯA NHẬP NGÀY</v>
      </c>
    </row>
    <row r="7" spans="1:21" s="22" customFormat="1" ht="236.9" customHeight="1">
      <c r="A7" s="73">
        <f t="shared" si="0"/>
        <v>4</v>
      </c>
      <c r="B7" s="67">
        <v>45670</v>
      </c>
      <c r="C7" s="54" t="s">
        <v>92</v>
      </c>
      <c r="D7" s="54" t="s">
        <v>95</v>
      </c>
      <c r="E7" s="52" t="s">
        <v>108</v>
      </c>
      <c r="F7" s="50" t="s">
        <v>46</v>
      </c>
      <c r="G7" s="50" t="s">
        <v>107</v>
      </c>
      <c r="H7" s="67" t="s">
        <v>13</v>
      </c>
      <c r="I7" s="55">
        <v>46022</v>
      </c>
      <c r="J7" s="51" t="s">
        <v>17</v>
      </c>
      <c r="K7" s="56">
        <v>81</v>
      </c>
      <c r="L7" s="58" t="s">
        <v>106</v>
      </c>
      <c r="M7" s="53" t="s">
        <v>62</v>
      </c>
      <c r="N7" s="58" t="s">
        <v>174</v>
      </c>
      <c r="O7" s="50" t="s">
        <v>54</v>
      </c>
      <c r="P7" s="51"/>
      <c r="Q7" s="52"/>
      <c r="R7" s="53"/>
      <c r="S7" s="53"/>
      <c r="T7" s="31" t="str">
        <f t="shared" si="1"/>
        <v>31/12/2025</v>
      </c>
      <c r="U7" s="31" t="str">
        <f t="shared" si="2"/>
        <v>CHƯA NHẬP NGÀY</v>
      </c>
    </row>
    <row r="8" spans="1:21" s="25" customFormat="1" ht="81" customHeight="1">
      <c r="A8" s="73">
        <f t="shared" si="0"/>
        <v>5</v>
      </c>
      <c r="B8" s="68">
        <v>45670</v>
      </c>
      <c r="C8" s="43" t="s">
        <v>120</v>
      </c>
      <c r="D8" s="43" t="s">
        <v>93</v>
      </c>
      <c r="E8" s="69" t="s">
        <v>94</v>
      </c>
      <c r="F8" s="44" t="s">
        <v>42</v>
      </c>
      <c r="G8" s="44" t="s">
        <v>112</v>
      </c>
      <c r="H8" s="68" t="s">
        <v>13</v>
      </c>
      <c r="I8" s="45" t="s">
        <v>113</v>
      </c>
      <c r="J8" s="46" t="s">
        <v>114</v>
      </c>
      <c r="K8" s="47">
        <v>1</v>
      </c>
      <c r="L8" s="48" t="s">
        <v>97</v>
      </c>
      <c r="M8" s="49" t="s">
        <v>62</v>
      </c>
      <c r="N8" s="49" t="s">
        <v>119</v>
      </c>
      <c r="O8" s="44" t="s">
        <v>54</v>
      </c>
      <c r="P8" s="46"/>
      <c r="Q8" s="69"/>
      <c r="R8" s="53"/>
      <c r="S8" s="70"/>
      <c r="T8" s="31" t="str">
        <f t="shared" si="1"/>
        <v xml:space="preserve"> 08/04/2026</v>
      </c>
      <c r="U8" s="31" t="str">
        <f t="shared" si="2"/>
        <v>CHƯA NHẬP NGÀY</v>
      </c>
    </row>
    <row r="9" spans="1:21" s="22" customFormat="1" ht="81" customHeight="1">
      <c r="A9" s="73">
        <f t="shared" si="0"/>
        <v>6</v>
      </c>
      <c r="B9" s="68">
        <v>45671</v>
      </c>
      <c r="C9" s="43" t="s">
        <v>133</v>
      </c>
      <c r="D9" s="43" t="s">
        <v>96</v>
      </c>
      <c r="E9" s="69" t="s">
        <v>115</v>
      </c>
      <c r="F9" s="44" t="s">
        <v>49</v>
      </c>
      <c r="G9" s="44" t="s">
        <v>68</v>
      </c>
      <c r="H9" s="68">
        <v>45323</v>
      </c>
      <c r="I9" s="45">
        <v>46234</v>
      </c>
      <c r="J9" s="46" t="s">
        <v>31</v>
      </c>
      <c r="K9" s="47">
        <v>2</v>
      </c>
      <c r="L9" s="48" t="s">
        <v>98</v>
      </c>
      <c r="M9" s="48" t="s">
        <v>134</v>
      </c>
      <c r="N9" s="49" t="s">
        <v>137</v>
      </c>
      <c r="O9" s="50"/>
      <c r="P9" s="51"/>
      <c r="Q9" s="52"/>
      <c r="R9" s="53"/>
      <c r="S9" s="53"/>
      <c r="T9" s="31" t="str">
        <f t="shared" si="1"/>
        <v>31/07/2026</v>
      </c>
      <c r="U9" s="31" t="str">
        <f t="shared" si="2"/>
        <v>CHƯA NHẬP NGÀY</v>
      </c>
    </row>
    <row r="10" spans="1:21" s="22" customFormat="1" ht="81" customHeight="1">
      <c r="A10" s="73">
        <f t="shared" si="0"/>
        <v>7</v>
      </c>
      <c r="B10" s="67">
        <v>45671</v>
      </c>
      <c r="C10" s="54" t="s">
        <v>99</v>
      </c>
      <c r="D10" s="54" t="s">
        <v>100</v>
      </c>
      <c r="E10" s="52" t="s">
        <v>101</v>
      </c>
      <c r="F10" s="50" t="s">
        <v>102</v>
      </c>
      <c r="G10" s="50" t="s">
        <v>103</v>
      </c>
      <c r="H10" s="67" t="s">
        <v>13</v>
      </c>
      <c r="I10" s="55">
        <v>46446</v>
      </c>
      <c r="J10" s="51" t="s">
        <v>31</v>
      </c>
      <c r="K10" s="56">
        <v>1</v>
      </c>
      <c r="L10" s="58" t="s">
        <v>104</v>
      </c>
      <c r="M10" s="58" t="s">
        <v>62</v>
      </c>
      <c r="N10" s="58" t="s">
        <v>118</v>
      </c>
      <c r="O10" s="50" t="s">
        <v>54</v>
      </c>
      <c r="P10" s="51"/>
      <c r="Q10" s="52"/>
      <c r="R10" s="53"/>
      <c r="S10" s="53"/>
      <c r="T10" s="31" t="str">
        <f t="shared" si="1"/>
        <v>28/02/2027</v>
      </c>
      <c r="U10" s="31" t="str">
        <f t="shared" si="2"/>
        <v>CHƯA NHẬP NGÀY</v>
      </c>
    </row>
    <row r="11" spans="1:21" s="22" customFormat="1" ht="210">
      <c r="A11" s="73">
        <f t="shared" si="0"/>
        <v>8</v>
      </c>
      <c r="B11" s="67">
        <v>45672</v>
      </c>
      <c r="C11" s="54" t="s">
        <v>116</v>
      </c>
      <c r="D11" s="54" t="s">
        <v>95</v>
      </c>
      <c r="E11" s="52" t="s">
        <v>131</v>
      </c>
      <c r="F11" s="50" t="s">
        <v>46</v>
      </c>
      <c r="G11" s="50" t="s">
        <v>117</v>
      </c>
      <c r="H11" s="67" t="s">
        <v>13</v>
      </c>
      <c r="I11" s="67" t="s">
        <v>13</v>
      </c>
      <c r="J11" s="67" t="s">
        <v>13</v>
      </c>
      <c r="K11" s="56" t="s">
        <v>13</v>
      </c>
      <c r="L11" s="58" t="s">
        <v>106</v>
      </c>
      <c r="M11" s="58" t="s">
        <v>62</v>
      </c>
      <c r="N11" s="58" t="s">
        <v>166</v>
      </c>
      <c r="O11" s="50"/>
      <c r="P11" s="51"/>
      <c r="Q11" s="52"/>
      <c r="R11" s="53"/>
      <c r="S11" s="53"/>
      <c r="T11" s="31" t="str">
        <f t="shared" si="1"/>
        <v>NA</v>
      </c>
      <c r="U11" s="31" t="str">
        <f t="shared" si="2"/>
        <v>CHƯA NHẬP NGÀY</v>
      </c>
    </row>
    <row r="12" spans="1:21" s="22" customFormat="1" ht="123.65" customHeight="1">
      <c r="A12" s="73">
        <f t="shared" si="0"/>
        <v>9</v>
      </c>
      <c r="B12" s="67">
        <v>45677</v>
      </c>
      <c r="C12" s="54" t="s">
        <v>122</v>
      </c>
      <c r="D12" s="54" t="s">
        <v>124</v>
      </c>
      <c r="E12" s="52" t="s">
        <v>125</v>
      </c>
      <c r="F12" s="50" t="s">
        <v>66</v>
      </c>
      <c r="G12" s="50" t="s">
        <v>123</v>
      </c>
      <c r="H12" s="67">
        <v>45535</v>
      </c>
      <c r="I12" s="67">
        <v>46264</v>
      </c>
      <c r="J12" s="67" t="s">
        <v>15</v>
      </c>
      <c r="K12" s="56">
        <v>1</v>
      </c>
      <c r="L12" s="58" t="s">
        <v>130</v>
      </c>
      <c r="M12" s="58" t="s">
        <v>134</v>
      </c>
      <c r="N12" s="58" t="s">
        <v>173</v>
      </c>
      <c r="O12" s="50"/>
      <c r="P12" s="51"/>
      <c r="Q12" s="52"/>
      <c r="R12" s="53"/>
      <c r="S12" s="53"/>
      <c r="T12" s="31" t="str">
        <f t="shared" si="1"/>
        <v>30/08/2026</v>
      </c>
      <c r="U12" s="31" t="str">
        <f t="shared" si="2"/>
        <v>CHƯA NHẬP NGÀY</v>
      </c>
    </row>
    <row r="13" spans="1:21" s="22" customFormat="1" ht="81" customHeight="1">
      <c r="A13" s="73">
        <f t="shared" si="0"/>
        <v>10</v>
      </c>
      <c r="B13" s="67">
        <v>45681</v>
      </c>
      <c r="C13" s="54" t="s">
        <v>126</v>
      </c>
      <c r="D13" s="54" t="s">
        <v>127</v>
      </c>
      <c r="E13" s="52" t="s">
        <v>131</v>
      </c>
      <c r="F13" s="50" t="s">
        <v>128</v>
      </c>
      <c r="G13" s="50" t="s">
        <v>132</v>
      </c>
      <c r="H13" s="67">
        <v>45531</v>
      </c>
      <c r="I13" s="67">
        <v>46626</v>
      </c>
      <c r="J13" s="67" t="s">
        <v>15</v>
      </c>
      <c r="K13" s="56">
        <v>1</v>
      </c>
      <c r="L13" s="58" t="s">
        <v>129</v>
      </c>
      <c r="M13" s="58" t="s">
        <v>62</v>
      </c>
      <c r="N13" s="58" t="s">
        <v>165</v>
      </c>
      <c r="O13" s="50" t="s">
        <v>54</v>
      </c>
      <c r="P13" s="51"/>
      <c r="Q13" s="52"/>
      <c r="R13" s="53"/>
      <c r="S13" s="53"/>
      <c r="T13" s="31" t="str">
        <f t="shared" si="1"/>
        <v>27/08/2027</v>
      </c>
      <c r="U13" s="31" t="str">
        <f t="shared" si="2"/>
        <v>CHƯA NHẬP NGÀY</v>
      </c>
    </row>
    <row r="14" spans="1:21" s="25" customFormat="1" ht="105" customHeight="1">
      <c r="A14" s="73">
        <f t="shared" si="0"/>
        <v>11</v>
      </c>
      <c r="B14" s="68">
        <v>45695</v>
      </c>
      <c r="C14" s="43" t="s">
        <v>178</v>
      </c>
      <c r="D14" s="43" t="s">
        <v>135</v>
      </c>
      <c r="E14" s="69" t="s">
        <v>143</v>
      </c>
      <c r="F14" s="44" t="s">
        <v>21</v>
      </c>
      <c r="G14" s="44" t="s">
        <v>150</v>
      </c>
      <c r="H14" s="68">
        <v>44872</v>
      </c>
      <c r="I14" s="68">
        <v>45961</v>
      </c>
      <c r="J14" s="68" t="s">
        <v>22</v>
      </c>
      <c r="K14" s="47">
        <v>1</v>
      </c>
      <c r="L14" s="49" t="s">
        <v>136</v>
      </c>
      <c r="M14" s="49" t="s">
        <v>62</v>
      </c>
      <c r="N14" s="49" t="s">
        <v>177</v>
      </c>
      <c r="O14" s="44" t="s">
        <v>54</v>
      </c>
      <c r="P14" s="46"/>
      <c r="Q14" s="69"/>
      <c r="R14" s="53"/>
      <c r="S14" s="70"/>
      <c r="T14" s="31" t="str">
        <f t="shared" si="1"/>
        <v>31/10/2025</v>
      </c>
      <c r="U14" s="31" t="str">
        <f t="shared" si="2"/>
        <v>CHƯA NHẬP NGÀY</v>
      </c>
    </row>
    <row r="15" spans="1:21" s="24" customFormat="1" ht="168">
      <c r="A15" s="73">
        <f t="shared" si="0"/>
        <v>12</v>
      </c>
      <c r="B15" s="60">
        <v>45698</v>
      </c>
      <c r="C15" s="72" t="s">
        <v>139</v>
      </c>
      <c r="D15" s="72" t="s">
        <v>138</v>
      </c>
      <c r="E15" s="65" t="s">
        <v>140</v>
      </c>
      <c r="F15" s="59" t="s">
        <v>141</v>
      </c>
      <c r="G15" s="59">
        <v>243474</v>
      </c>
      <c r="H15" s="60" t="s">
        <v>13</v>
      </c>
      <c r="I15" s="60">
        <v>46713</v>
      </c>
      <c r="J15" s="60" t="s">
        <v>36</v>
      </c>
      <c r="K15" s="63">
        <v>2790</v>
      </c>
      <c r="L15" s="64" t="s">
        <v>146</v>
      </c>
      <c r="M15" s="64"/>
      <c r="N15" s="64" t="s">
        <v>144</v>
      </c>
      <c r="O15" s="59"/>
      <c r="P15" s="62"/>
      <c r="Q15" s="65"/>
      <c r="R15" s="53"/>
      <c r="S15" s="66"/>
      <c r="T15" s="31" t="str">
        <f t="shared" si="1"/>
        <v>22/11/2027</v>
      </c>
      <c r="U15" s="31" t="str">
        <f t="shared" si="2"/>
        <v>CHƯA NHẬP NGÀY</v>
      </c>
    </row>
    <row r="16" spans="1:21" s="22" customFormat="1" ht="86.15" customHeight="1">
      <c r="A16" s="73">
        <f t="shared" si="0"/>
        <v>13</v>
      </c>
      <c r="B16" s="67">
        <v>45699</v>
      </c>
      <c r="C16" s="54" t="s">
        <v>142</v>
      </c>
      <c r="D16" s="54" t="s">
        <v>145</v>
      </c>
      <c r="E16" s="52" t="s">
        <v>147</v>
      </c>
      <c r="F16" s="50" t="s">
        <v>40</v>
      </c>
      <c r="G16" s="50" t="s">
        <v>149</v>
      </c>
      <c r="H16" s="67">
        <v>45471</v>
      </c>
      <c r="I16" s="67">
        <v>45808</v>
      </c>
      <c r="J16" s="67" t="s">
        <v>15</v>
      </c>
      <c r="K16" s="56">
        <v>1</v>
      </c>
      <c r="L16" s="58" t="s">
        <v>148</v>
      </c>
      <c r="M16" s="58" t="s">
        <v>62</v>
      </c>
      <c r="N16" s="58" t="s">
        <v>164</v>
      </c>
      <c r="O16" s="50" t="s">
        <v>54</v>
      </c>
      <c r="P16" s="51" t="s">
        <v>54</v>
      </c>
      <c r="Q16" s="52" t="s">
        <v>157</v>
      </c>
      <c r="R16" s="53"/>
      <c r="S16" s="53"/>
      <c r="T16" s="31" t="str">
        <f t="shared" si="1"/>
        <v>31/05/2025</v>
      </c>
      <c r="U16" s="31" t="str">
        <f t="shared" si="2"/>
        <v>CHƯA NHẬP NGÀY</v>
      </c>
    </row>
    <row r="17" spans="1:21" s="22" customFormat="1" ht="81" customHeight="1">
      <c r="A17" s="73">
        <f t="shared" si="0"/>
        <v>14</v>
      </c>
      <c r="B17" s="67">
        <v>45701</v>
      </c>
      <c r="C17" s="54" t="s">
        <v>154</v>
      </c>
      <c r="D17" s="54" t="s">
        <v>151</v>
      </c>
      <c r="E17" s="52" t="s">
        <v>152</v>
      </c>
      <c r="F17" s="50" t="s">
        <v>153</v>
      </c>
      <c r="G17" s="50" t="s">
        <v>155</v>
      </c>
      <c r="H17" s="67">
        <v>45274</v>
      </c>
      <c r="I17" s="67">
        <v>46356</v>
      </c>
      <c r="J17" s="67" t="s">
        <v>17</v>
      </c>
      <c r="K17" s="56">
        <v>1</v>
      </c>
      <c r="L17" s="58" t="s">
        <v>156</v>
      </c>
      <c r="M17" s="58" t="s">
        <v>62</v>
      </c>
      <c r="N17" s="58" t="s">
        <v>163</v>
      </c>
      <c r="O17" s="50" t="s">
        <v>54</v>
      </c>
      <c r="P17" s="51" t="s">
        <v>54</v>
      </c>
      <c r="Q17" s="52" t="s">
        <v>157</v>
      </c>
      <c r="R17" s="53"/>
      <c r="S17" s="53"/>
      <c r="T17" s="31" t="str">
        <f t="shared" si="1"/>
        <v>30/11/2026</v>
      </c>
      <c r="U17" s="31" t="str">
        <f t="shared" si="2"/>
        <v>CHƯA NHẬP NGÀY</v>
      </c>
    </row>
    <row r="18" spans="1:21" s="22" customFormat="1" ht="81" customHeight="1">
      <c r="A18" s="73">
        <f t="shared" si="0"/>
        <v>15</v>
      </c>
      <c r="B18" s="67">
        <v>45707</v>
      </c>
      <c r="C18" s="54" t="s">
        <v>158</v>
      </c>
      <c r="D18" s="54" t="s">
        <v>159</v>
      </c>
      <c r="E18" s="52" t="s">
        <v>162</v>
      </c>
      <c r="F18" s="50" t="s">
        <v>52</v>
      </c>
      <c r="G18" s="50" t="s">
        <v>160</v>
      </c>
      <c r="H18" s="67" t="s">
        <v>13</v>
      </c>
      <c r="I18" s="67">
        <v>46164</v>
      </c>
      <c r="J18" s="67" t="s">
        <v>17</v>
      </c>
      <c r="K18" s="56">
        <v>1</v>
      </c>
      <c r="L18" s="58" t="s">
        <v>161</v>
      </c>
      <c r="M18" s="58" t="s">
        <v>62</v>
      </c>
      <c r="N18" s="58" t="s">
        <v>176</v>
      </c>
      <c r="O18" s="50"/>
      <c r="P18" s="51"/>
      <c r="Q18" s="52"/>
      <c r="R18" s="53"/>
      <c r="S18" s="53"/>
      <c r="T18" s="31" t="str">
        <f t="shared" si="1"/>
        <v>22/05/2026</v>
      </c>
      <c r="U18" s="31" t="str">
        <f t="shared" si="2"/>
        <v>CHƯA NHẬP NGÀY</v>
      </c>
    </row>
    <row r="19" spans="1:21" s="22" customFormat="1" ht="81" customHeight="1">
      <c r="A19" s="73">
        <f t="shared" si="0"/>
        <v>16</v>
      </c>
      <c r="B19" s="67">
        <v>45715</v>
      </c>
      <c r="C19" s="54" t="s">
        <v>170</v>
      </c>
      <c r="D19" s="54" t="s">
        <v>171</v>
      </c>
      <c r="E19" s="52" t="s">
        <v>168</v>
      </c>
      <c r="F19" s="50" t="s">
        <v>167</v>
      </c>
      <c r="G19" s="50" t="s">
        <v>169</v>
      </c>
      <c r="H19" s="67" t="s">
        <v>13</v>
      </c>
      <c r="I19" s="67">
        <v>46618</v>
      </c>
      <c r="J19" s="67" t="s">
        <v>35</v>
      </c>
      <c r="K19" s="56">
        <v>9</v>
      </c>
      <c r="L19" s="58" t="s">
        <v>172</v>
      </c>
      <c r="M19" s="58" t="s">
        <v>62</v>
      </c>
      <c r="N19" s="58" t="s">
        <v>175</v>
      </c>
      <c r="O19" s="50"/>
      <c r="P19" s="51"/>
      <c r="Q19" s="52"/>
      <c r="R19" s="53"/>
      <c r="S19" s="53"/>
      <c r="T19" s="31" t="str">
        <f t="shared" si="1"/>
        <v>19/08/2027</v>
      </c>
      <c r="U19" s="31" t="str">
        <f t="shared" si="2"/>
        <v>CHƯA NHẬP NGÀY</v>
      </c>
    </row>
    <row r="20" spans="1:21" s="22" customFormat="1" ht="81" customHeight="1">
      <c r="A20" s="73">
        <f t="shared" si="0"/>
        <v>17</v>
      </c>
      <c r="B20" s="67">
        <v>45728</v>
      </c>
      <c r="C20" s="54" t="s">
        <v>179</v>
      </c>
      <c r="D20" s="54" t="s">
        <v>180</v>
      </c>
      <c r="E20" s="52" t="s">
        <v>181</v>
      </c>
      <c r="F20" s="50" t="s">
        <v>182</v>
      </c>
      <c r="G20" s="50" t="s">
        <v>183</v>
      </c>
      <c r="H20" s="67" t="s">
        <v>13</v>
      </c>
      <c r="I20" s="67">
        <v>46326</v>
      </c>
      <c r="J20" s="67" t="s">
        <v>17</v>
      </c>
      <c r="K20" s="56">
        <v>1</v>
      </c>
      <c r="L20" s="58" t="s">
        <v>184</v>
      </c>
      <c r="M20" s="58" t="s">
        <v>62</v>
      </c>
      <c r="N20" s="58" t="s">
        <v>185</v>
      </c>
      <c r="O20" s="50"/>
      <c r="P20" s="51"/>
      <c r="Q20" s="52"/>
      <c r="R20" s="53"/>
      <c r="S20" s="53"/>
      <c r="T20" s="31" t="str">
        <f t="shared" si="1"/>
        <v>31/10/2026</v>
      </c>
      <c r="U20" s="31" t="str">
        <f t="shared" si="2"/>
        <v>CHƯA NHẬP NGÀY</v>
      </c>
    </row>
    <row r="21" spans="1:21" s="22" customFormat="1" ht="129" customHeight="1">
      <c r="A21" s="73">
        <f t="shared" si="0"/>
        <v>18</v>
      </c>
      <c r="B21" s="75">
        <v>45729</v>
      </c>
      <c r="C21" s="76" t="s">
        <v>186</v>
      </c>
      <c r="D21" s="76" t="s">
        <v>187</v>
      </c>
      <c r="E21" s="77"/>
      <c r="F21" s="78" t="s">
        <v>188</v>
      </c>
      <c r="G21" s="78" t="s">
        <v>190</v>
      </c>
      <c r="H21" s="75"/>
      <c r="I21" s="75"/>
      <c r="J21" s="75"/>
      <c r="K21" s="74"/>
      <c r="L21" s="79" t="s">
        <v>189</v>
      </c>
      <c r="M21" s="79"/>
      <c r="N21" s="79"/>
      <c r="O21" s="78"/>
      <c r="P21" s="80"/>
      <c r="Q21" s="77"/>
      <c r="R21" s="81"/>
      <c r="S21" s="81"/>
      <c r="T21" s="82" t="str">
        <f t="shared" si="1"/>
        <v>CHƯA NHẬP NGÀY</v>
      </c>
      <c r="U21" s="82" t="str">
        <f t="shared" si="2"/>
        <v>CHƯA NHẬP NGÀY</v>
      </c>
    </row>
    <row r="22" spans="1:21" s="21" customFormat="1">
      <c r="A22" s="26"/>
      <c r="B22" s="19"/>
      <c r="C22" s="28"/>
      <c r="D22" s="19"/>
      <c r="E22" s="19"/>
      <c r="F22" s="28"/>
      <c r="G22" s="19"/>
      <c r="H22" s="27"/>
      <c r="I22" s="29"/>
      <c r="J22" s="9"/>
      <c r="K22" s="30" t="s">
        <v>19</v>
      </c>
      <c r="O22" s="9"/>
      <c r="P22" s="18"/>
      <c r="R22" s="22"/>
      <c r="T22" s="42"/>
      <c r="U22" s="42"/>
    </row>
    <row r="27" spans="1:21" s="21" customFormat="1">
      <c r="A27" s="26"/>
      <c r="B27" s="19"/>
      <c r="C27" s="19"/>
      <c r="D27" s="9"/>
      <c r="E27" s="9"/>
      <c r="F27" s="28"/>
      <c r="G27" s="19"/>
      <c r="H27" s="27"/>
      <c r="I27" s="29"/>
      <c r="J27" s="9"/>
      <c r="K27" s="30"/>
      <c r="O27" s="9"/>
      <c r="P27" s="18"/>
      <c r="R27" s="22"/>
      <c r="T27" s="42"/>
      <c r="U27" s="42"/>
    </row>
  </sheetData>
  <mergeCells count="3">
    <mergeCell ref="A1:C1"/>
    <mergeCell ref="D1:N1"/>
    <mergeCell ref="C2:D2"/>
  </mergeCells>
  <conditionalFormatting sqref="T1:U1048576">
    <cfRule type="containsText" dxfId="39" priority="1" operator="containsText" text="CHƯA">
      <formula>NOT(ISERROR(SEARCH("CHƯA",T1)))</formula>
    </cfRule>
  </conditionalFormatting>
  <dataValidations count="2">
    <dataValidation type="list" allowBlank="1" showInputMessage="1" showErrorMessage="1" sqref="R4:R1048576" xr:uid="{00000000-0002-0000-0000-000000000000}">
      <formula1>$A$3:$A$5</formula1>
    </dataValidation>
    <dataValidation type="list" allowBlank="1" showInputMessage="1" showErrorMessage="1" sqref="R1:R2" xr:uid="{00000000-0002-0000-0000-000001000000}">
      <formula1>#REF!</formula1>
    </dataValidation>
  </dataValidations>
  <printOptions horizontalCentered="1"/>
  <pageMargins left="0.2" right="0.2" top="0" bottom="0.5" header="0.05" footer="0.25"/>
  <pageSetup paperSize="9" scale="47" fitToHeight="0" orientation="landscape" r:id="rId1"/>
  <headerFooter alignWithMargins="0">
    <oddFooter>&amp;L&amp;"Tahoma,Regular"&amp;11BM-QT-QLCL-009-10-02&amp;R&amp;"Tahoma,Regular"&amp;11Trang/page &amp;P/&amp;N</oddFooter>
  </headerFooter>
  <rowBreaks count="1" manualBreakCount="1">
    <brk id="15" max="13" man="1"/>
  </rowBreaks>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R228"/>
  <sheetViews>
    <sheetView tabSelected="1" zoomScale="85" zoomScaleNormal="85" zoomScaleSheetLayoutView="70" workbookViewId="0">
      <pane ySplit="3" topLeftCell="A4" activePane="bottomLeft" state="frozen"/>
      <selection pane="bottomLeft" activeCell="D4" sqref="D4"/>
    </sheetView>
  </sheetViews>
  <sheetFormatPr defaultColWidth="9.1796875" defaultRowHeight="13" outlineLevelCol="1"/>
  <cols>
    <col min="1" max="1" width="9.1796875" style="83"/>
    <col min="2" max="2" width="14" style="227" customWidth="1"/>
    <col min="3" max="3" width="20" style="167" customWidth="1"/>
    <col min="4" max="4" width="33.81640625" style="168" customWidth="1"/>
    <col min="5" max="5" width="28.54296875" style="168" customWidth="1"/>
    <col min="6" max="6" width="31.54296875" style="167" customWidth="1"/>
    <col min="7" max="7" width="17.54296875" style="134" customWidth="1"/>
    <col min="8" max="8" width="17" style="198" customWidth="1"/>
    <col min="9" max="9" width="13.54296875" style="254" customWidth="1"/>
    <col min="10" max="10" width="9.1796875" style="88"/>
    <col min="11" max="11" width="14.453125" style="88" customWidth="1"/>
    <col min="12" max="12" width="68.453125" style="89" customWidth="1" outlineLevel="1"/>
    <col min="13" max="13" width="46.1796875" style="89" customWidth="1" outlineLevel="1"/>
    <col min="14" max="14" width="68.54296875" style="89" customWidth="1" outlineLevel="1"/>
    <col min="15" max="15" width="11.81640625" style="88" customWidth="1" outlineLevel="1"/>
    <col min="16" max="16" width="20" style="88" customWidth="1" outlineLevel="1"/>
    <col min="17" max="17" width="21.81640625" style="88" customWidth="1" outlineLevel="1"/>
    <col min="18" max="18" width="14" style="90" customWidth="1"/>
    <col min="19" max="16384" width="9.1796875" style="88"/>
  </cols>
  <sheetData>
    <row r="1" spans="1:18" s="87" customFormat="1" ht="56.9" customHeight="1">
      <c r="A1" s="136"/>
      <c r="B1" s="224"/>
      <c r="C1" s="137"/>
      <c r="D1" s="138" t="s">
        <v>283</v>
      </c>
      <c r="E1" s="139"/>
      <c r="F1" s="139"/>
      <c r="G1" s="135"/>
      <c r="H1" s="176"/>
      <c r="I1" s="228"/>
      <c r="J1" s="135"/>
      <c r="K1" s="135"/>
      <c r="L1" s="84"/>
      <c r="M1" s="84"/>
      <c r="N1" s="85"/>
      <c r="O1" s="86"/>
      <c r="P1" s="86"/>
    </row>
    <row r="3" spans="1:18" s="121" customFormat="1" ht="37.4" customHeight="1">
      <c r="A3" s="140" t="s">
        <v>208</v>
      </c>
      <c r="B3" s="225" t="s">
        <v>203</v>
      </c>
      <c r="C3" s="141" t="s">
        <v>2</v>
      </c>
      <c r="D3" s="141" t="s">
        <v>202</v>
      </c>
      <c r="E3" s="141" t="s">
        <v>204</v>
      </c>
      <c r="F3" s="141" t="s">
        <v>198</v>
      </c>
      <c r="G3" s="91" t="s">
        <v>199</v>
      </c>
      <c r="H3" s="91" t="s">
        <v>205</v>
      </c>
      <c r="I3" s="229" t="s">
        <v>206</v>
      </c>
      <c r="J3" s="91" t="s">
        <v>201</v>
      </c>
      <c r="K3" s="91" t="s">
        <v>200</v>
      </c>
      <c r="L3" s="91" t="s">
        <v>207</v>
      </c>
      <c r="M3" s="91" t="s">
        <v>60</v>
      </c>
      <c r="N3" s="91" t="s">
        <v>1347</v>
      </c>
      <c r="O3" s="92" t="s">
        <v>72</v>
      </c>
      <c r="P3" s="92" t="s">
        <v>76</v>
      </c>
      <c r="Q3" s="93" t="s">
        <v>197</v>
      </c>
      <c r="R3" s="94" t="s">
        <v>191</v>
      </c>
    </row>
    <row r="4" spans="1:18" s="123" customFormat="1" ht="119.9" customHeight="1">
      <c r="A4" s="142">
        <v>1</v>
      </c>
      <c r="B4" s="221">
        <v>45660</v>
      </c>
      <c r="C4" s="143" t="s">
        <v>82</v>
      </c>
      <c r="D4" s="144" t="s">
        <v>57</v>
      </c>
      <c r="E4" s="144" t="s">
        <v>58</v>
      </c>
      <c r="F4" s="143" t="s">
        <v>49</v>
      </c>
      <c r="G4" s="122" t="s">
        <v>68</v>
      </c>
      <c r="H4" s="177" t="s">
        <v>13</v>
      </c>
      <c r="I4" s="230">
        <v>46234</v>
      </c>
      <c r="J4" s="95" t="s">
        <v>64</v>
      </c>
      <c r="K4" s="95">
        <v>1</v>
      </c>
      <c r="L4" s="96" t="s">
        <v>80</v>
      </c>
      <c r="M4" s="96" t="s">
        <v>13</v>
      </c>
      <c r="N4" s="96" t="s">
        <v>83</v>
      </c>
      <c r="O4" s="97"/>
      <c r="P4" s="97" t="b">
        <f>IF($Q4="Chờ xử lý", TRUE, FALSE)</f>
        <v>0</v>
      </c>
      <c r="Q4" s="98" t="s">
        <v>195</v>
      </c>
      <c r="R4" s="99"/>
    </row>
    <row r="5" spans="1:18" s="123" customFormat="1" ht="68.150000000000006" customHeight="1">
      <c r="A5" s="142">
        <f>IF(Table2[[#This Row],[Code 
CC- ]]="", "", A4+1)</f>
        <v>2</v>
      </c>
      <c r="B5" s="221">
        <v>45665</v>
      </c>
      <c r="C5" s="145" t="s">
        <v>81</v>
      </c>
      <c r="D5" s="146" t="s">
        <v>87</v>
      </c>
      <c r="E5" s="146" t="s">
        <v>88</v>
      </c>
      <c r="F5" s="145" t="s">
        <v>89</v>
      </c>
      <c r="G5" s="114" t="s">
        <v>90</v>
      </c>
      <c r="H5" s="178" t="s">
        <v>13</v>
      </c>
      <c r="I5" s="231">
        <v>46086</v>
      </c>
      <c r="J5" s="97" t="s">
        <v>15</v>
      </c>
      <c r="K5" s="97">
        <v>1</v>
      </c>
      <c r="L5" s="98" t="s">
        <v>91</v>
      </c>
      <c r="M5" s="98" t="s">
        <v>62</v>
      </c>
      <c r="N5" s="98" t="s">
        <v>105</v>
      </c>
      <c r="O5" s="97" t="s">
        <v>54</v>
      </c>
      <c r="P5" s="97" t="s">
        <v>294</v>
      </c>
      <c r="Q5" s="98" t="s">
        <v>211</v>
      </c>
      <c r="R5" s="99"/>
    </row>
    <row r="6" spans="1:18" s="123" customFormat="1" ht="93" customHeight="1">
      <c r="A6" s="142">
        <f>IF(Table2[[#This Row],[Code 
CC- ]]="", "", A5+1)</f>
        <v>3</v>
      </c>
      <c r="B6" s="221">
        <v>45666</v>
      </c>
      <c r="C6" s="147" t="s">
        <v>84</v>
      </c>
      <c r="D6" s="148" t="s">
        <v>85</v>
      </c>
      <c r="E6" s="148" t="s">
        <v>86</v>
      </c>
      <c r="F6" s="147" t="s">
        <v>66</v>
      </c>
      <c r="G6" s="124" t="s">
        <v>67</v>
      </c>
      <c r="H6" s="179">
        <v>45533</v>
      </c>
      <c r="I6" s="232">
        <v>46262</v>
      </c>
      <c r="J6" s="100" t="s">
        <v>111</v>
      </c>
      <c r="K6" s="100">
        <v>25</v>
      </c>
      <c r="L6" s="101" t="s">
        <v>110</v>
      </c>
      <c r="M6" s="101" t="s">
        <v>62</v>
      </c>
      <c r="N6" s="101" t="s">
        <v>339</v>
      </c>
      <c r="O6" s="100"/>
      <c r="P6" s="100"/>
      <c r="Q6" s="98" t="s">
        <v>195</v>
      </c>
      <c r="R6" s="99">
        <v>45736</v>
      </c>
    </row>
    <row r="7" spans="1:18" s="123" customFormat="1" ht="125">
      <c r="A7" s="142">
        <f>IF(Table2[[#This Row],[Code 
CC- ]]="", "", A6+1)</f>
        <v>4</v>
      </c>
      <c r="B7" s="221">
        <v>45670</v>
      </c>
      <c r="C7" s="145" t="s">
        <v>92</v>
      </c>
      <c r="D7" s="146" t="s">
        <v>95</v>
      </c>
      <c r="E7" s="146" t="s">
        <v>108</v>
      </c>
      <c r="F7" s="145" t="s">
        <v>46</v>
      </c>
      <c r="G7" s="114" t="s">
        <v>107</v>
      </c>
      <c r="H7" s="178" t="s">
        <v>13</v>
      </c>
      <c r="I7" s="231">
        <v>46022</v>
      </c>
      <c r="J7" s="97" t="s">
        <v>17</v>
      </c>
      <c r="K7" s="97">
        <v>81</v>
      </c>
      <c r="L7" s="98" t="s">
        <v>106</v>
      </c>
      <c r="M7" s="98" t="s">
        <v>62</v>
      </c>
      <c r="N7" s="98" t="s">
        <v>174</v>
      </c>
      <c r="O7" s="97"/>
      <c r="P7" s="97"/>
      <c r="Q7" s="98" t="s">
        <v>209</v>
      </c>
      <c r="R7" s="99"/>
    </row>
    <row r="8" spans="1:18" s="123" customFormat="1" ht="50">
      <c r="A8" s="142">
        <f>IF(Table2[[#This Row],[Code 
CC- ]]="", "", A7+1)</f>
        <v>5</v>
      </c>
      <c r="B8" s="221">
        <v>45670</v>
      </c>
      <c r="C8" s="145" t="s">
        <v>120</v>
      </c>
      <c r="D8" s="146" t="s">
        <v>93</v>
      </c>
      <c r="E8" s="146" t="s">
        <v>94</v>
      </c>
      <c r="F8" s="145" t="s">
        <v>42</v>
      </c>
      <c r="G8" s="114" t="s">
        <v>112</v>
      </c>
      <c r="H8" s="178" t="s">
        <v>13</v>
      </c>
      <c r="I8" s="231" t="s">
        <v>113</v>
      </c>
      <c r="J8" s="97" t="s">
        <v>114</v>
      </c>
      <c r="K8" s="97">
        <v>1</v>
      </c>
      <c r="L8" s="98" t="s">
        <v>97</v>
      </c>
      <c r="M8" s="98" t="s">
        <v>62</v>
      </c>
      <c r="N8" s="98" t="s">
        <v>119</v>
      </c>
      <c r="O8" s="97"/>
      <c r="P8" s="97"/>
      <c r="Q8" s="98" t="s">
        <v>213</v>
      </c>
      <c r="R8" s="99"/>
    </row>
    <row r="9" spans="1:18" s="123" customFormat="1" ht="62.5">
      <c r="A9" s="142">
        <f>IF(Table2[[#This Row],[Code 
CC- ]]="", "", A8+1)</f>
        <v>6</v>
      </c>
      <c r="B9" s="221">
        <v>45671</v>
      </c>
      <c r="C9" s="145" t="s">
        <v>133</v>
      </c>
      <c r="D9" s="146" t="s">
        <v>96</v>
      </c>
      <c r="E9" s="146" t="s">
        <v>115</v>
      </c>
      <c r="F9" s="145" t="s">
        <v>49</v>
      </c>
      <c r="G9" s="114" t="s">
        <v>68</v>
      </c>
      <c r="H9" s="178">
        <v>45323</v>
      </c>
      <c r="I9" s="231">
        <v>46234</v>
      </c>
      <c r="J9" s="97" t="s">
        <v>31</v>
      </c>
      <c r="K9" s="97">
        <v>2</v>
      </c>
      <c r="L9" s="98" t="s">
        <v>98</v>
      </c>
      <c r="M9" s="98" t="s">
        <v>134</v>
      </c>
      <c r="N9" s="98" t="s">
        <v>137</v>
      </c>
      <c r="O9" s="97"/>
      <c r="P9" s="97"/>
      <c r="Q9" s="98" t="s">
        <v>213</v>
      </c>
      <c r="R9" s="99"/>
    </row>
    <row r="10" spans="1:18" s="123" customFormat="1" ht="89.9" customHeight="1">
      <c r="A10" s="142">
        <f>IF(Table2[[#This Row],[Code 
CC- ]]="", "", A9+1)</f>
        <v>7</v>
      </c>
      <c r="B10" s="221">
        <v>45671</v>
      </c>
      <c r="C10" s="145" t="s">
        <v>99</v>
      </c>
      <c r="D10" s="146" t="s">
        <v>100</v>
      </c>
      <c r="E10" s="146" t="s">
        <v>101</v>
      </c>
      <c r="F10" s="145" t="s">
        <v>102</v>
      </c>
      <c r="G10" s="114" t="s">
        <v>103</v>
      </c>
      <c r="H10" s="178" t="s">
        <v>13</v>
      </c>
      <c r="I10" s="231">
        <v>46446</v>
      </c>
      <c r="J10" s="97" t="s">
        <v>31</v>
      </c>
      <c r="K10" s="97">
        <v>1</v>
      </c>
      <c r="L10" s="98" t="s">
        <v>104</v>
      </c>
      <c r="M10" s="98" t="s">
        <v>62</v>
      </c>
      <c r="N10" s="98" t="s">
        <v>118</v>
      </c>
      <c r="O10" s="97"/>
      <c r="P10" s="97"/>
      <c r="Q10" s="98" t="s">
        <v>209</v>
      </c>
      <c r="R10" s="99"/>
    </row>
    <row r="11" spans="1:18" s="123" customFormat="1" ht="201.65" customHeight="1">
      <c r="A11" s="142">
        <f>IF(Table2[[#This Row],[Code 
CC- ]]="", "", A10+1)</f>
        <v>8</v>
      </c>
      <c r="B11" s="221">
        <v>45672</v>
      </c>
      <c r="C11" s="145" t="s">
        <v>116</v>
      </c>
      <c r="D11" s="146" t="s">
        <v>95</v>
      </c>
      <c r="E11" s="146" t="s">
        <v>131</v>
      </c>
      <c r="F11" s="145" t="s">
        <v>46</v>
      </c>
      <c r="G11" s="114" t="s">
        <v>117</v>
      </c>
      <c r="H11" s="178" t="s">
        <v>13</v>
      </c>
      <c r="I11" s="231" t="s">
        <v>13</v>
      </c>
      <c r="J11" s="97" t="s">
        <v>13</v>
      </c>
      <c r="K11" s="97" t="s">
        <v>13</v>
      </c>
      <c r="L11" s="98" t="s">
        <v>106</v>
      </c>
      <c r="M11" s="98" t="s">
        <v>62</v>
      </c>
      <c r="N11" s="98" t="s">
        <v>166</v>
      </c>
      <c r="O11" s="97"/>
      <c r="P11" s="97"/>
      <c r="Q11" s="98" t="s">
        <v>209</v>
      </c>
      <c r="R11" s="99"/>
    </row>
    <row r="12" spans="1:18" s="123" customFormat="1" ht="75">
      <c r="A12" s="142">
        <f>IF(Table2[[#This Row],[Code 
CC- ]]="", "", A11+1)</f>
        <v>9</v>
      </c>
      <c r="B12" s="221">
        <v>45677</v>
      </c>
      <c r="C12" s="145" t="s">
        <v>122</v>
      </c>
      <c r="D12" s="146" t="s">
        <v>124</v>
      </c>
      <c r="E12" s="146" t="s">
        <v>125</v>
      </c>
      <c r="F12" s="145" t="s">
        <v>66</v>
      </c>
      <c r="G12" s="114" t="s">
        <v>123</v>
      </c>
      <c r="H12" s="178">
        <v>45535</v>
      </c>
      <c r="I12" s="231">
        <v>46264</v>
      </c>
      <c r="J12" s="97" t="s">
        <v>15</v>
      </c>
      <c r="K12" s="97">
        <v>1</v>
      </c>
      <c r="L12" s="98" t="s">
        <v>130</v>
      </c>
      <c r="M12" s="98" t="s">
        <v>134</v>
      </c>
      <c r="N12" s="98" t="s">
        <v>173</v>
      </c>
      <c r="O12" s="97"/>
      <c r="P12" s="97"/>
      <c r="Q12" s="98" t="s">
        <v>211</v>
      </c>
      <c r="R12" s="99"/>
    </row>
    <row r="13" spans="1:18" s="123" customFormat="1" ht="37.5">
      <c r="A13" s="142">
        <f>IF(Table2[[#This Row],[Code 
CC- ]]="", "", A12+1)</f>
        <v>10</v>
      </c>
      <c r="B13" s="221">
        <v>45681</v>
      </c>
      <c r="C13" s="145" t="s">
        <v>126</v>
      </c>
      <c r="D13" s="146" t="s">
        <v>127</v>
      </c>
      <c r="E13" s="146" t="s">
        <v>131</v>
      </c>
      <c r="F13" s="145" t="s">
        <v>128</v>
      </c>
      <c r="G13" s="114" t="s">
        <v>132</v>
      </c>
      <c r="H13" s="178">
        <v>45531</v>
      </c>
      <c r="I13" s="231">
        <v>46626</v>
      </c>
      <c r="J13" s="97" t="s">
        <v>15</v>
      </c>
      <c r="K13" s="97">
        <v>1</v>
      </c>
      <c r="L13" s="98" t="s">
        <v>129</v>
      </c>
      <c r="M13" s="98"/>
      <c r="N13" s="98" t="s">
        <v>165</v>
      </c>
      <c r="O13" s="97"/>
      <c r="P13" s="97"/>
      <c r="Q13" s="98" t="s">
        <v>209</v>
      </c>
      <c r="R13" s="99"/>
    </row>
    <row r="14" spans="1:18" s="123" customFormat="1" ht="114.65" customHeight="1">
      <c r="A14" s="142">
        <f>IF(Table2[[#This Row],[Code 
CC- ]]="", "", A13+1)</f>
        <v>11</v>
      </c>
      <c r="B14" s="221">
        <v>45695</v>
      </c>
      <c r="C14" s="143" t="s">
        <v>178</v>
      </c>
      <c r="D14" s="144" t="s">
        <v>135</v>
      </c>
      <c r="E14" s="146" t="s">
        <v>143</v>
      </c>
      <c r="F14" s="145" t="s">
        <v>21</v>
      </c>
      <c r="G14" s="114" t="s">
        <v>150</v>
      </c>
      <c r="H14" s="178">
        <v>44872</v>
      </c>
      <c r="I14" s="231">
        <v>45961</v>
      </c>
      <c r="J14" s="97" t="s">
        <v>22</v>
      </c>
      <c r="K14" s="97">
        <v>1</v>
      </c>
      <c r="L14" s="98" t="s">
        <v>136</v>
      </c>
      <c r="M14" s="98" t="s">
        <v>62</v>
      </c>
      <c r="N14" s="98" t="s">
        <v>177</v>
      </c>
      <c r="O14" s="97"/>
      <c r="P14" s="97"/>
      <c r="Q14" s="98" t="s">
        <v>213</v>
      </c>
      <c r="R14" s="99"/>
    </row>
    <row r="15" spans="1:18" s="125" customFormat="1" ht="100">
      <c r="A15" s="142">
        <f>IF(Table2[[#This Row],[Code 
CC- ]]="", "", A14+1)</f>
        <v>12</v>
      </c>
      <c r="B15" s="221">
        <v>45698</v>
      </c>
      <c r="C15" s="143" t="s">
        <v>139</v>
      </c>
      <c r="D15" s="144" t="s">
        <v>138</v>
      </c>
      <c r="E15" s="144" t="s">
        <v>140</v>
      </c>
      <c r="F15" s="143" t="s">
        <v>141</v>
      </c>
      <c r="G15" s="122">
        <v>243474</v>
      </c>
      <c r="H15" s="177" t="s">
        <v>13</v>
      </c>
      <c r="I15" s="230">
        <v>46713</v>
      </c>
      <c r="J15" s="95" t="s">
        <v>36</v>
      </c>
      <c r="K15" s="95">
        <v>2790</v>
      </c>
      <c r="L15" s="96" t="s">
        <v>146</v>
      </c>
      <c r="M15" s="96" t="s">
        <v>62</v>
      </c>
      <c r="N15" s="96" t="s">
        <v>377</v>
      </c>
      <c r="O15" s="95"/>
      <c r="P15" s="95"/>
      <c r="Q15" s="96" t="s">
        <v>194</v>
      </c>
      <c r="R15" s="102"/>
    </row>
    <row r="16" spans="1:18" s="123" customFormat="1" ht="84.65" customHeight="1">
      <c r="A16" s="142">
        <f>IF(Table2[[#This Row],[Code 
CC- ]]="", "", A15+1)</f>
        <v>13</v>
      </c>
      <c r="B16" s="221">
        <v>45699</v>
      </c>
      <c r="C16" s="145" t="s">
        <v>142</v>
      </c>
      <c r="D16" s="146" t="s">
        <v>145</v>
      </c>
      <c r="E16" s="146" t="s">
        <v>147</v>
      </c>
      <c r="F16" s="145" t="s">
        <v>40</v>
      </c>
      <c r="G16" s="114" t="s">
        <v>149</v>
      </c>
      <c r="H16" s="178">
        <v>45471</v>
      </c>
      <c r="I16" s="231">
        <v>45808</v>
      </c>
      <c r="J16" s="97" t="s">
        <v>15</v>
      </c>
      <c r="K16" s="97">
        <v>1</v>
      </c>
      <c r="L16" s="98" t="s">
        <v>148</v>
      </c>
      <c r="M16" s="98" t="s">
        <v>62</v>
      </c>
      <c r="N16" s="98" t="s">
        <v>164</v>
      </c>
      <c r="O16" s="97" t="s">
        <v>54</v>
      </c>
      <c r="P16" s="97" t="s">
        <v>294</v>
      </c>
      <c r="Q16" s="98" t="s">
        <v>209</v>
      </c>
      <c r="R16" s="99">
        <v>45771</v>
      </c>
    </row>
    <row r="17" spans="1:18" s="123" customFormat="1" ht="83.15" customHeight="1">
      <c r="A17" s="142">
        <f>IF(Table2[[#This Row],[Code 
CC- ]]="", "", A16+1)</f>
        <v>14</v>
      </c>
      <c r="B17" s="221">
        <v>45701</v>
      </c>
      <c r="C17" s="145" t="s">
        <v>154</v>
      </c>
      <c r="D17" s="146" t="s">
        <v>151</v>
      </c>
      <c r="E17" s="146" t="s">
        <v>152</v>
      </c>
      <c r="F17" s="145" t="s">
        <v>153</v>
      </c>
      <c r="G17" s="114" t="s">
        <v>155</v>
      </c>
      <c r="H17" s="178">
        <v>45274</v>
      </c>
      <c r="I17" s="231">
        <v>46356</v>
      </c>
      <c r="J17" s="97" t="s">
        <v>15</v>
      </c>
      <c r="K17" s="97">
        <v>1</v>
      </c>
      <c r="L17" s="98" t="s">
        <v>156</v>
      </c>
      <c r="M17" s="98" t="s">
        <v>62</v>
      </c>
      <c r="N17" s="98" t="s">
        <v>163</v>
      </c>
      <c r="O17" s="97" t="s">
        <v>54</v>
      </c>
      <c r="P17" s="97" t="s">
        <v>294</v>
      </c>
      <c r="Q17" s="98" t="s">
        <v>209</v>
      </c>
      <c r="R17" s="99"/>
    </row>
    <row r="18" spans="1:18" s="123" customFormat="1" ht="86.9" customHeight="1">
      <c r="A18" s="142">
        <f>IF(Table2[[#This Row],[Code 
CC- ]]="", "", A17+1)</f>
        <v>15</v>
      </c>
      <c r="B18" s="221">
        <v>45707</v>
      </c>
      <c r="C18" s="145" t="s">
        <v>158</v>
      </c>
      <c r="D18" s="146" t="s">
        <v>159</v>
      </c>
      <c r="E18" s="146" t="s">
        <v>162</v>
      </c>
      <c r="F18" s="145" t="s">
        <v>52</v>
      </c>
      <c r="G18" s="114" t="s">
        <v>160</v>
      </c>
      <c r="H18" s="178" t="s">
        <v>13</v>
      </c>
      <c r="I18" s="231">
        <v>46164</v>
      </c>
      <c r="J18" s="97" t="s">
        <v>15</v>
      </c>
      <c r="K18" s="97">
        <v>1</v>
      </c>
      <c r="L18" s="98" t="s">
        <v>161</v>
      </c>
      <c r="M18" s="98" t="s">
        <v>62</v>
      </c>
      <c r="N18" s="98" t="s">
        <v>176</v>
      </c>
      <c r="O18" s="97"/>
      <c r="P18" s="97"/>
      <c r="Q18" s="98" t="s">
        <v>212</v>
      </c>
      <c r="R18" s="99"/>
    </row>
    <row r="19" spans="1:18" s="123" customFormat="1" ht="87.5">
      <c r="A19" s="142">
        <f>IF(Table2[[#This Row],[Code 
CC- ]]="", "", A18+1)</f>
        <v>16</v>
      </c>
      <c r="B19" s="221">
        <v>45715</v>
      </c>
      <c r="C19" s="145" t="s">
        <v>170</v>
      </c>
      <c r="D19" s="146" t="s">
        <v>171</v>
      </c>
      <c r="E19" s="146" t="s">
        <v>168</v>
      </c>
      <c r="F19" s="145" t="s">
        <v>167</v>
      </c>
      <c r="G19" s="114" t="s">
        <v>169</v>
      </c>
      <c r="H19" s="178" t="s">
        <v>13</v>
      </c>
      <c r="I19" s="231">
        <v>46618</v>
      </c>
      <c r="J19" s="97" t="s">
        <v>35</v>
      </c>
      <c r="K19" s="97">
        <v>3</v>
      </c>
      <c r="L19" s="98" t="s">
        <v>172</v>
      </c>
      <c r="M19" s="98" t="s">
        <v>62</v>
      </c>
      <c r="N19" s="98" t="s">
        <v>238</v>
      </c>
      <c r="O19" s="97"/>
      <c r="P19" s="97"/>
      <c r="Q19" s="98" t="s">
        <v>209</v>
      </c>
      <c r="R19" s="99">
        <v>45735</v>
      </c>
    </row>
    <row r="20" spans="1:18" s="123" customFormat="1" ht="87.5">
      <c r="A20" s="142">
        <f>IF(Table2[[#This Row],[Code 
CC- ]]="", "", A19+1)</f>
        <v>17</v>
      </c>
      <c r="B20" s="221">
        <v>45715</v>
      </c>
      <c r="C20" s="145" t="s">
        <v>170</v>
      </c>
      <c r="D20" s="149" t="s">
        <v>171</v>
      </c>
      <c r="E20" s="150" t="s">
        <v>168</v>
      </c>
      <c r="F20" s="145" t="s">
        <v>167</v>
      </c>
      <c r="G20" s="114" t="s">
        <v>247</v>
      </c>
      <c r="H20" s="180" t="s">
        <v>13</v>
      </c>
      <c r="I20" s="231">
        <v>46644</v>
      </c>
      <c r="J20" s="97" t="s">
        <v>35</v>
      </c>
      <c r="K20" s="97">
        <v>5</v>
      </c>
      <c r="L20" s="98" t="s">
        <v>172</v>
      </c>
      <c r="M20" s="98" t="s">
        <v>62</v>
      </c>
      <c r="N20" s="98" t="s">
        <v>238</v>
      </c>
      <c r="O20" s="97"/>
      <c r="P20" s="97"/>
      <c r="Q20" s="98" t="s">
        <v>209</v>
      </c>
      <c r="R20" s="99">
        <v>45735</v>
      </c>
    </row>
    <row r="21" spans="1:18" s="123" customFormat="1" ht="112.5">
      <c r="A21" s="142">
        <f>IF(Table2[[#This Row],[Code 
CC- ]]="", "", A20+1)</f>
        <v>18</v>
      </c>
      <c r="B21" s="221">
        <v>45715</v>
      </c>
      <c r="C21" s="145" t="s">
        <v>170</v>
      </c>
      <c r="D21" s="149" t="s">
        <v>171</v>
      </c>
      <c r="E21" s="150" t="s">
        <v>168</v>
      </c>
      <c r="F21" s="145" t="s">
        <v>167</v>
      </c>
      <c r="G21" s="126" t="s">
        <v>248</v>
      </c>
      <c r="H21" s="180" t="s">
        <v>13</v>
      </c>
      <c r="I21" s="233">
        <v>46636</v>
      </c>
      <c r="J21" s="97" t="s">
        <v>35</v>
      </c>
      <c r="K21" s="97">
        <v>1</v>
      </c>
      <c r="L21" s="98" t="s">
        <v>172</v>
      </c>
      <c r="M21" s="98" t="s">
        <v>306</v>
      </c>
      <c r="N21" s="98" t="s">
        <v>305</v>
      </c>
      <c r="O21" s="97"/>
      <c r="P21" s="97"/>
      <c r="Q21" s="98" t="s">
        <v>209</v>
      </c>
      <c r="R21" s="99">
        <v>45735</v>
      </c>
    </row>
    <row r="22" spans="1:18" s="123" customFormat="1" ht="87.5">
      <c r="A22" s="142">
        <f>IF(Table2[[#This Row],[Code 
CC- ]]="", "", A21+1)</f>
        <v>19</v>
      </c>
      <c r="B22" s="221">
        <v>45715</v>
      </c>
      <c r="C22" s="145" t="s">
        <v>170</v>
      </c>
      <c r="D22" s="149" t="s">
        <v>171</v>
      </c>
      <c r="E22" s="150" t="s">
        <v>168</v>
      </c>
      <c r="F22" s="145" t="s">
        <v>167</v>
      </c>
      <c r="G22" s="126" t="s">
        <v>255</v>
      </c>
      <c r="H22" s="180" t="s">
        <v>13</v>
      </c>
      <c r="I22" s="233">
        <v>46644</v>
      </c>
      <c r="J22" s="97" t="s">
        <v>35</v>
      </c>
      <c r="K22" s="97">
        <v>5</v>
      </c>
      <c r="L22" s="98" t="s">
        <v>172</v>
      </c>
      <c r="M22" s="98" t="s">
        <v>62</v>
      </c>
      <c r="N22" s="98" t="s">
        <v>238</v>
      </c>
      <c r="O22" s="97"/>
      <c r="P22" s="97"/>
      <c r="Q22" s="98" t="s">
        <v>209</v>
      </c>
      <c r="R22" s="99">
        <v>45735</v>
      </c>
    </row>
    <row r="23" spans="1:18" s="123" customFormat="1" ht="87.5">
      <c r="A23" s="142">
        <f>IF(Table2[[#This Row],[Code 
CC- ]]="", "", A22+1)</f>
        <v>20</v>
      </c>
      <c r="B23" s="221">
        <v>45715</v>
      </c>
      <c r="C23" s="145" t="s">
        <v>170</v>
      </c>
      <c r="D23" s="149" t="s">
        <v>171</v>
      </c>
      <c r="E23" s="150" t="s">
        <v>168</v>
      </c>
      <c r="F23" s="145" t="s">
        <v>167</v>
      </c>
      <c r="G23" s="126" t="s">
        <v>169</v>
      </c>
      <c r="H23" s="180" t="s">
        <v>13</v>
      </c>
      <c r="I23" s="233">
        <v>46618</v>
      </c>
      <c r="J23" s="97" t="s">
        <v>35</v>
      </c>
      <c r="K23" s="97">
        <v>3</v>
      </c>
      <c r="L23" s="103" t="s">
        <v>172</v>
      </c>
      <c r="M23" s="98" t="s">
        <v>62</v>
      </c>
      <c r="N23" s="98" t="s">
        <v>238</v>
      </c>
      <c r="O23" s="97"/>
      <c r="P23" s="97"/>
      <c r="Q23" s="98" t="s">
        <v>209</v>
      </c>
      <c r="R23" s="99">
        <v>45735</v>
      </c>
    </row>
    <row r="24" spans="1:18" s="123" customFormat="1" ht="37.5">
      <c r="A24" s="142">
        <f>IF(Table2[[#This Row],[Code 
CC- ]]="", "", A23+1)</f>
        <v>21</v>
      </c>
      <c r="B24" s="221">
        <v>45728</v>
      </c>
      <c r="C24" s="145" t="s">
        <v>179</v>
      </c>
      <c r="D24" s="146" t="s">
        <v>180</v>
      </c>
      <c r="E24" s="146" t="s">
        <v>181</v>
      </c>
      <c r="F24" s="145" t="s">
        <v>182</v>
      </c>
      <c r="G24" s="114" t="s">
        <v>183</v>
      </c>
      <c r="H24" s="178" t="s">
        <v>13</v>
      </c>
      <c r="I24" s="231">
        <v>46326</v>
      </c>
      <c r="J24" s="97" t="s">
        <v>15</v>
      </c>
      <c r="K24" s="97">
        <v>1</v>
      </c>
      <c r="L24" s="98" t="s">
        <v>184</v>
      </c>
      <c r="M24" s="98" t="s">
        <v>62</v>
      </c>
      <c r="N24" s="98" t="s">
        <v>185</v>
      </c>
      <c r="O24" s="97"/>
      <c r="P24" s="97"/>
      <c r="Q24" s="98" t="s">
        <v>195</v>
      </c>
      <c r="R24" s="99"/>
    </row>
    <row r="25" spans="1:18" s="123" customFormat="1" ht="62.5">
      <c r="A25" s="142">
        <f>IF(Table2[[#This Row],[Code 
CC- ]]="", "", A24+1)</f>
        <v>22</v>
      </c>
      <c r="B25" s="221">
        <v>45729</v>
      </c>
      <c r="C25" s="151" t="s">
        <v>186</v>
      </c>
      <c r="D25" s="152" t="s">
        <v>187</v>
      </c>
      <c r="E25" s="152" t="s">
        <v>246</v>
      </c>
      <c r="F25" s="151" t="s">
        <v>188</v>
      </c>
      <c r="G25" s="128" t="s">
        <v>230</v>
      </c>
      <c r="H25" s="107" t="s">
        <v>13</v>
      </c>
      <c r="I25" s="234" t="s">
        <v>231</v>
      </c>
      <c r="J25" s="104" t="s">
        <v>17</v>
      </c>
      <c r="K25" s="104">
        <v>8</v>
      </c>
      <c r="L25" s="105" t="s">
        <v>189</v>
      </c>
      <c r="M25" s="105" t="s">
        <v>134</v>
      </c>
      <c r="N25" s="105" t="s">
        <v>229</v>
      </c>
      <c r="O25" s="104"/>
      <c r="P25" s="104"/>
      <c r="Q25" s="105" t="s">
        <v>212</v>
      </c>
      <c r="R25" s="106"/>
    </row>
    <row r="26" spans="1:18" s="123" customFormat="1" ht="26">
      <c r="A26" s="142">
        <f>IF(Table2[[#This Row],[Code 
CC- ]]="", "", A25+1)</f>
        <v>23</v>
      </c>
      <c r="B26" s="221">
        <v>45733</v>
      </c>
      <c r="C26" s="151" t="s">
        <v>268</v>
      </c>
      <c r="D26" s="153" t="s">
        <v>214</v>
      </c>
      <c r="E26" s="154" t="s">
        <v>215</v>
      </c>
      <c r="F26" s="155" t="s">
        <v>70</v>
      </c>
      <c r="G26" s="114" t="s">
        <v>216</v>
      </c>
      <c r="H26" s="181">
        <v>45447</v>
      </c>
      <c r="I26" s="235">
        <v>46542</v>
      </c>
      <c r="J26" s="104" t="s">
        <v>25</v>
      </c>
      <c r="K26" s="104">
        <v>3</v>
      </c>
      <c r="L26" s="105" t="s">
        <v>217</v>
      </c>
      <c r="M26" s="98" t="s">
        <v>62</v>
      </c>
      <c r="N26" s="105" t="s">
        <v>228</v>
      </c>
      <c r="O26" s="104"/>
      <c r="P26" s="104"/>
      <c r="Q26" s="105" t="s">
        <v>194</v>
      </c>
      <c r="R26" s="106"/>
    </row>
    <row r="27" spans="1:18" s="123" customFormat="1" ht="59.9" customHeight="1">
      <c r="A27" s="142">
        <f>IF(Table2[[#This Row],[Code 
CC- ]]="", "", A26+1)</f>
        <v>24</v>
      </c>
      <c r="B27" s="221">
        <v>45733</v>
      </c>
      <c r="C27" s="151" t="s">
        <v>218</v>
      </c>
      <c r="D27" s="153" t="s">
        <v>219</v>
      </c>
      <c r="E27" s="154" t="s">
        <v>220</v>
      </c>
      <c r="F27" s="145" t="s">
        <v>153</v>
      </c>
      <c r="G27" s="130" t="s">
        <v>221</v>
      </c>
      <c r="H27" s="181">
        <v>45328</v>
      </c>
      <c r="I27" s="235">
        <v>46418</v>
      </c>
      <c r="J27" s="104" t="s">
        <v>22</v>
      </c>
      <c r="K27" s="104">
        <v>1</v>
      </c>
      <c r="L27" s="105" t="s">
        <v>222</v>
      </c>
      <c r="M27" s="98" t="s">
        <v>62</v>
      </c>
      <c r="N27" s="105" t="s">
        <v>223</v>
      </c>
      <c r="O27" s="104" t="s">
        <v>54</v>
      </c>
      <c r="P27" s="104" t="s">
        <v>224</v>
      </c>
      <c r="Q27" s="105" t="s">
        <v>209</v>
      </c>
      <c r="R27" s="106">
        <v>45763</v>
      </c>
    </row>
    <row r="28" spans="1:18" s="123" customFormat="1" ht="50">
      <c r="A28" s="142">
        <f>IF(Table2[[#This Row],[Code 
CC- ]]="", "", A27+1)</f>
        <v>25</v>
      </c>
      <c r="B28" s="221">
        <v>45737</v>
      </c>
      <c r="C28" s="151" t="s">
        <v>232</v>
      </c>
      <c r="D28" s="153" t="s">
        <v>225</v>
      </c>
      <c r="E28" s="154" t="s">
        <v>226</v>
      </c>
      <c r="F28" s="145" t="s">
        <v>59</v>
      </c>
      <c r="G28" s="131" t="s">
        <v>227</v>
      </c>
      <c r="H28" s="181">
        <v>45200</v>
      </c>
      <c r="I28" s="235">
        <v>45930</v>
      </c>
      <c r="J28" s="104" t="s">
        <v>15</v>
      </c>
      <c r="K28" s="104">
        <v>1</v>
      </c>
      <c r="L28" s="105" t="s">
        <v>75</v>
      </c>
      <c r="M28" s="98" t="s">
        <v>62</v>
      </c>
      <c r="N28" s="105" t="s">
        <v>272</v>
      </c>
      <c r="O28" s="104"/>
      <c r="P28" s="104"/>
      <c r="Q28" s="105" t="s">
        <v>209</v>
      </c>
      <c r="R28" s="106"/>
    </row>
    <row r="29" spans="1:18" s="123" customFormat="1" ht="37.5">
      <c r="A29" s="142">
        <f>IF(Table2[[#This Row],[Code 
CC- ]]="", "", A28+1)</f>
        <v>26</v>
      </c>
      <c r="B29" s="221">
        <v>45737</v>
      </c>
      <c r="C29" s="151" t="s">
        <v>236</v>
      </c>
      <c r="D29" s="153" t="s">
        <v>233</v>
      </c>
      <c r="E29" s="154" t="s">
        <v>78</v>
      </c>
      <c r="F29" s="145" t="s">
        <v>39</v>
      </c>
      <c r="G29" s="131" t="s">
        <v>234</v>
      </c>
      <c r="H29" s="182" t="s">
        <v>243</v>
      </c>
      <c r="I29" s="235">
        <v>46568</v>
      </c>
      <c r="J29" s="104" t="s">
        <v>15</v>
      </c>
      <c r="K29" s="104">
        <v>1</v>
      </c>
      <c r="L29" s="105" t="s">
        <v>235</v>
      </c>
      <c r="M29" s="98" t="s">
        <v>62</v>
      </c>
      <c r="N29" s="105" t="s">
        <v>237</v>
      </c>
      <c r="O29" s="104" t="s">
        <v>54</v>
      </c>
      <c r="P29" s="104" t="s">
        <v>261</v>
      </c>
      <c r="Q29" s="105" t="s">
        <v>194</v>
      </c>
      <c r="R29" s="106">
        <v>45765</v>
      </c>
    </row>
    <row r="30" spans="1:18" s="123" customFormat="1" ht="111" customHeight="1">
      <c r="A30" s="142">
        <f>IF(Table2[[#This Row],[Code 
CC- ]]="", "", A29+1)</f>
        <v>27</v>
      </c>
      <c r="B30" s="221">
        <v>45737</v>
      </c>
      <c r="C30" s="151" t="s">
        <v>239</v>
      </c>
      <c r="D30" s="153" t="s">
        <v>240</v>
      </c>
      <c r="E30" s="154" t="s">
        <v>241</v>
      </c>
      <c r="F30" s="145" t="s">
        <v>242</v>
      </c>
      <c r="G30" s="131" t="s">
        <v>260</v>
      </c>
      <c r="H30" s="181">
        <v>45159</v>
      </c>
      <c r="I30" s="235">
        <v>46255</v>
      </c>
      <c r="J30" s="104" t="s">
        <v>244</v>
      </c>
      <c r="K30" s="104">
        <v>7</v>
      </c>
      <c r="L30" s="105" t="s">
        <v>245</v>
      </c>
      <c r="M30" s="98" t="s">
        <v>62</v>
      </c>
      <c r="N30" s="105" t="s">
        <v>340</v>
      </c>
      <c r="O30" s="104"/>
      <c r="P30" s="104"/>
      <c r="Q30" s="105" t="s">
        <v>341</v>
      </c>
      <c r="R30" s="106"/>
    </row>
    <row r="31" spans="1:18" s="123" customFormat="1" ht="67.400000000000006" customHeight="1">
      <c r="A31" s="142">
        <f>IF(Table2[[#This Row],[Code 
CC- ]]="", "", A30+1)</f>
        <v>28</v>
      </c>
      <c r="B31" s="221">
        <v>45743</v>
      </c>
      <c r="C31" s="151" t="s">
        <v>249</v>
      </c>
      <c r="D31" s="153" t="s">
        <v>250</v>
      </c>
      <c r="E31" s="154" t="s">
        <v>251</v>
      </c>
      <c r="F31" s="145" t="s">
        <v>51</v>
      </c>
      <c r="G31" s="131" t="s">
        <v>252</v>
      </c>
      <c r="H31" s="183">
        <v>45280</v>
      </c>
      <c r="I31" s="235">
        <v>46011</v>
      </c>
      <c r="J31" s="104" t="s">
        <v>15</v>
      </c>
      <c r="K31" s="104">
        <v>1</v>
      </c>
      <c r="L31" s="105" t="s">
        <v>253</v>
      </c>
      <c r="M31" s="98" t="s">
        <v>62</v>
      </c>
      <c r="N31" s="105" t="s">
        <v>282</v>
      </c>
      <c r="O31" s="104"/>
      <c r="P31" s="104"/>
      <c r="Q31" s="105" t="s">
        <v>209</v>
      </c>
      <c r="R31" s="106"/>
    </row>
    <row r="32" spans="1:18" s="123" customFormat="1" ht="108.65" customHeight="1">
      <c r="A32" s="142">
        <f>IF(Table2[[#This Row],[Code 
CC- ]]="", "", A31+1)</f>
        <v>29</v>
      </c>
      <c r="B32" s="221">
        <v>45743</v>
      </c>
      <c r="C32" s="151" t="s">
        <v>254</v>
      </c>
      <c r="D32" s="153" t="s">
        <v>95</v>
      </c>
      <c r="E32" s="146" t="s">
        <v>131</v>
      </c>
      <c r="F32" s="145" t="s">
        <v>256</v>
      </c>
      <c r="G32" s="114" t="s">
        <v>257</v>
      </c>
      <c r="H32" s="183">
        <v>44533</v>
      </c>
      <c r="I32" s="235">
        <v>45991</v>
      </c>
      <c r="J32" s="104" t="s">
        <v>13</v>
      </c>
      <c r="K32" s="107" t="s">
        <v>13</v>
      </c>
      <c r="L32" s="108" t="s">
        <v>258</v>
      </c>
      <c r="M32" s="105" t="s">
        <v>259</v>
      </c>
      <c r="N32" s="105" t="s">
        <v>281</v>
      </c>
      <c r="O32" s="104"/>
      <c r="P32" s="104"/>
      <c r="Q32" s="105" t="s">
        <v>211</v>
      </c>
      <c r="R32" s="106">
        <v>45744</v>
      </c>
    </row>
    <row r="33" spans="1:18" s="123" customFormat="1" ht="39">
      <c r="A33" s="142">
        <f>IF(Table2[[#This Row],[Code 
CC- ]]="", "", A32+1)</f>
        <v>30</v>
      </c>
      <c r="B33" s="221">
        <v>45744</v>
      </c>
      <c r="C33" s="151" t="s">
        <v>262</v>
      </c>
      <c r="D33" s="153" t="s">
        <v>263</v>
      </c>
      <c r="E33" s="154" t="s">
        <v>264</v>
      </c>
      <c r="F33" s="145" t="s">
        <v>265</v>
      </c>
      <c r="G33" s="114" t="s">
        <v>266</v>
      </c>
      <c r="H33" s="183">
        <v>45437</v>
      </c>
      <c r="I33" s="235">
        <v>46531</v>
      </c>
      <c r="J33" s="104" t="s">
        <v>23</v>
      </c>
      <c r="K33" s="104">
        <v>1</v>
      </c>
      <c r="L33" s="105" t="s">
        <v>267</v>
      </c>
      <c r="M33" s="98" t="s">
        <v>62</v>
      </c>
      <c r="N33" s="105" t="s">
        <v>269</v>
      </c>
      <c r="O33" s="104"/>
      <c r="P33" s="104"/>
      <c r="Q33" s="105" t="s">
        <v>209</v>
      </c>
      <c r="R33" s="106"/>
    </row>
    <row r="34" spans="1:18" s="123" customFormat="1" ht="37.5">
      <c r="A34" s="142">
        <f>IF(Table2[[#This Row],[Code 
CC- ]]="", "", A33+1)</f>
        <v>31</v>
      </c>
      <c r="B34" s="221">
        <v>45750</v>
      </c>
      <c r="C34" s="151" t="s">
        <v>271</v>
      </c>
      <c r="D34" s="146" t="s">
        <v>95</v>
      </c>
      <c r="E34" s="146" t="s">
        <v>131</v>
      </c>
      <c r="F34" s="145" t="s">
        <v>21</v>
      </c>
      <c r="G34" s="114" t="s">
        <v>155</v>
      </c>
      <c r="H34" s="184">
        <v>45274</v>
      </c>
      <c r="I34" s="231">
        <v>46356</v>
      </c>
      <c r="J34" s="97" t="s">
        <v>22</v>
      </c>
      <c r="K34" s="97">
        <v>1</v>
      </c>
      <c r="L34" s="98" t="s">
        <v>270</v>
      </c>
      <c r="M34" s="98" t="s">
        <v>62</v>
      </c>
      <c r="N34" s="105" t="s">
        <v>280</v>
      </c>
      <c r="O34" s="104" t="s">
        <v>273</v>
      </c>
      <c r="P34" s="104" t="s">
        <v>224</v>
      </c>
      <c r="Q34" s="105" t="s">
        <v>209</v>
      </c>
      <c r="R34" s="106">
        <v>45765</v>
      </c>
    </row>
    <row r="35" spans="1:18" s="123" customFormat="1">
      <c r="A35" s="142">
        <f>IF(Table2[[#This Row],[Code 
CC- ]]="", "", A34+1)</f>
        <v>32</v>
      </c>
      <c r="B35" s="221">
        <v>45751</v>
      </c>
      <c r="C35" s="151" t="s">
        <v>274</v>
      </c>
      <c r="D35" s="153" t="s">
        <v>275</v>
      </c>
      <c r="E35" s="154" t="s">
        <v>284</v>
      </c>
      <c r="F35" s="145" t="s">
        <v>276</v>
      </c>
      <c r="G35" s="114" t="s">
        <v>277</v>
      </c>
      <c r="H35" s="178" t="s">
        <v>13</v>
      </c>
      <c r="I35" s="231">
        <v>46602</v>
      </c>
      <c r="J35" s="97" t="s">
        <v>36</v>
      </c>
      <c r="K35" s="97">
        <v>1</v>
      </c>
      <c r="L35" s="105" t="s">
        <v>278</v>
      </c>
      <c r="M35" s="98" t="s">
        <v>62</v>
      </c>
      <c r="N35" s="105" t="s">
        <v>279</v>
      </c>
      <c r="O35" s="104"/>
      <c r="P35" s="104"/>
      <c r="Q35" s="105" t="s">
        <v>209</v>
      </c>
      <c r="R35" s="106"/>
    </row>
    <row r="36" spans="1:18" s="125" customFormat="1" ht="50">
      <c r="A36" s="142">
        <f>IF(Table2[[#This Row],[Code 
CC- ]]="", "", A35+1)</f>
        <v>33</v>
      </c>
      <c r="B36" s="221">
        <v>45761</v>
      </c>
      <c r="C36" s="156" t="s">
        <v>285</v>
      </c>
      <c r="D36" s="157" t="s">
        <v>286</v>
      </c>
      <c r="E36" s="158" t="s">
        <v>337</v>
      </c>
      <c r="F36" s="143" t="s">
        <v>287</v>
      </c>
      <c r="G36" s="122" t="s">
        <v>288</v>
      </c>
      <c r="H36" s="177" t="s">
        <v>13</v>
      </c>
      <c r="I36" s="230">
        <v>46018</v>
      </c>
      <c r="J36" s="95" t="s">
        <v>15</v>
      </c>
      <c r="K36" s="95">
        <v>1</v>
      </c>
      <c r="L36" s="109" t="s">
        <v>338</v>
      </c>
      <c r="M36" s="96" t="s">
        <v>62</v>
      </c>
      <c r="N36" s="109" t="s">
        <v>454</v>
      </c>
      <c r="O36" s="110" t="s">
        <v>273</v>
      </c>
      <c r="P36" s="110" t="s">
        <v>224</v>
      </c>
      <c r="Q36" s="109" t="s">
        <v>209</v>
      </c>
      <c r="R36" s="111"/>
    </row>
    <row r="37" spans="1:18" s="123" customFormat="1" ht="37.5">
      <c r="A37" s="142">
        <f>IF(Table2[[#This Row],[Code 
CC- ]]="", "", A36+1)</f>
        <v>34</v>
      </c>
      <c r="B37" s="221">
        <v>45761</v>
      </c>
      <c r="C37" s="151" t="s">
        <v>293</v>
      </c>
      <c r="D37" s="153" t="s">
        <v>289</v>
      </c>
      <c r="E37" s="154" t="s">
        <v>290</v>
      </c>
      <c r="F37" s="145" t="s">
        <v>34</v>
      </c>
      <c r="G37" s="114" t="s">
        <v>291</v>
      </c>
      <c r="H37" s="178" t="s">
        <v>13</v>
      </c>
      <c r="I37" s="231">
        <v>46295</v>
      </c>
      <c r="J37" s="97" t="s">
        <v>15</v>
      </c>
      <c r="K37" s="97">
        <v>1</v>
      </c>
      <c r="L37" s="105" t="s">
        <v>292</v>
      </c>
      <c r="M37" s="105" t="s">
        <v>62</v>
      </c>
      <c r="N37" s="105" t="s">
        <v>336</v>
      </c>
      <c r="O37" s="104" t="s">
        <v>273</v>
      </c>
      <c r="P37" s="104" t="s">
        <v>294</v>
      </c>
      <c r="Q37" s="105" t="s">
        <v>194</v>
      </c>
      <c r="R37" s="106">
        <v>45794</v>
      </c>
    </row>
    <row r="38" spans="1:18" s="125" customFormat="1" ht="229.4" customHeight="1">
      <c r="A38" s="142">
        <f>IF(Table2[[#This Row],[Code 
CC- ]]="", "", A37+1)</f>
        <v>35</v>
      </c>
      <c r="B38" s="221">
        <v>45762</v>
      </c>
      <c r="C38" s="143" t="s">
        <v>295</v>
      </c>
      <c r="D38" s="144" t="s">
        <v>298</v>
      </c>
      <c r="E38" s="144" t="s">
        <v>321</v>
      </c>
      <c r="F38" s="143" t="s">
        <v>299</v>
      </c>
      <c r="G38" s="122" t="s">
        <v>316</v>
      </c>
      <c r="H38" s="185" t="s">
        <v>317</v>
      </c>
      <c r="I38" s="230">
        <v>46599</v>
      </c>
      <c r="J38" s="95" t="s">
        <v>15</v>
      </c>
      <c r="K38" s="95">
        <v>1</v>
      </c>
      <c r="L38" s="96" t="s">
        <v>315</v>
      </c>
      <c r="M38" s="96" t="s">
        <v>134</v>
      </c>
      <c r="N38" s="96" t="s">
        <v>646</v>
      </c>
      <c r="O38" s="95"/>
      <c r="P38" s="95"/>
      <c r="Q38" s="96" t="s">
        <v>195</v>
      </c>
      <c r="R38" s="102"/>
    </row>
    <row r="39" spans="1:18" s="123" customFormat="1" ht="25">
      <c r="A39" s="142">
        <f>IF(Table2[[#This Row],[Code 
CC- ]]="", "", A38+1)</f>
        <v>36</v>
      </c>
      <c r="B39" s="221">
        <v>45762</v>
      </c>
      <c r="C39" s="151" t="s">
        <v>301</v>
      </c>
      <c r="D39" s="153" t="s">
        <v>302</v>
      </c>
      <c r="E39" s="154" t="s">
        <v>314</v>
      </c>
      <c r="F39" s="155" t="s">
        <v>51</v>
      </c>
      <c r="G39" s="131" t="s">
        <v>303</v>
      </c>
      <c r="H39" s="107" t="s">
        <v>13</v>
      </c>
      <c r="I39" s="235">
        <v>46066</v>
      </c>
      <c r="J39" s="104" t="s">
        <v>15</v>
      </c>
      <c r="K39" s="104">
        <v>1</v>
      </c>
      <c r="L39" s="105" t="s">
        <v>320</v>
      </c>
      <c r="M39" s="105" t="s">
        <v>62</v>
      </c>
      <c r="N39" s="105" t="s">
        <v>322</v>
      </c>
      <c r="O39" s="104"/>
      <c r="P39" s="104"/>
      <c r="Q39" s="105" t="s">
        <v>209</v>
      </c>
      <c r="R39" s="106"/>
    </row>
    <row r="40" spans="1:18" s="123" customFormat="1" ht="100">
      <c r="A40" s="142">
        <f>IF(Table2[[#This Row],[Code 
CC- ]]="", "", A39+1)</f>
        <v>37</v>
      </c>
      <c r="B40" s="221">
        <v>45762</v>
      </c>
      <c r="C40" s="151" t="s">
        <v>300</v>
      </c>
      <c r="D40" s="153" t="s">
        <v>296</v>
      </c>
      <c r="E40" s="146" t="s">
        <v>297</v>
      </c>
      <c r="F40" s="145" t="s">
        <v>312</v>
      </c>
      <c r="G40" s="114" t="s">
        <v>313</v>
      </c>
      <c r="H40" s="178" t="s">
        <v>13</v>
      </c>
      <c r="I40" s="231">
        <v>46508</v>
      </c>
      <c r="J40" s="104" t="s">
        <v>13</v>
      </c>
      <c r="K40" s="104" t="s">
        <v>13</v>
      </c>
      <c r="L40" s="105" t="s">
        <v>323</v>
      </c>
      <c r="M40" s="105" t="s">
        <v>324</v>
      </c>
      <c r="N40" s="105" t="s">
        <v>335</v>
      </c>
      <c r="O40" s="104"/>
      <c r="P40" s="104"/>
      <c r="Q40" s="105" t="s">
        <v>211</v>
      </c>
      <c r="R40" s="106">
        <v>45762</v>
      </c>
    </row>
    <row r="41" spans="1:18" s="123" customFormat="1" ht="65.900000000000006" customHeight="1">
      <c r="A41" s="142">
        <f>IF(Table2[[#This Row],[Code 
CC- ]]="", "", A40+1)</f>
        <v>38</v>
      </c>
      <c r="B41" s="221">
        <v>45762</v>
      </c>
      <c r="C41" s="151" t="s">
        <v>304</v>
      </c>
      <c r="D41" s="153" t="s">
        <v>309</v>
      </c>
      <c r="E41" s="154" t="s">
        <v>310</v>
      </c>
      <c r="F41" s="145" t="s">
        <v>307</v>
      </c>
      <c r="G41" s="114" t="s">
        <v>308</v>
      </c>
      <c r="H41" s="107" t="s">
        <v>13</v>
      </c>
      <c r="I41" s="235">
        <v>46569</v>
      </c>
      <c r="J41" s="104" t="s">
        <v>22</v>
      </c>
      <c r="K41" s="104">
        <v>1</v>
      </c>
      <c r="L41" s="105" t="s">
        <v>311</v>
      </c>
      <c r="M41" s="105" t="s">
        <v>62</v>
      </c>
      <c r="N41" s="105" t="s">
        <v>330</v>
      </c>
      <c r="O41" s="104"/>
      <c r="P41" s="104"/>
      <c r="Q41" s="105" t="s">
        <v>209</v>
      </c>
      <c r="R41" s="106"/>
    </row>
    <row r="42" spans="1:18" s="123" customFormat="1" ht="50">
      <c r="A42" s="142">
        <f>IF(Table2[[#This Row],[Code 
CC- ]]="", "", A41+1)</f>
        <v>39</v>
      </c>
      <c r="B42" s="221">
        <v>45764</v>
      </c>
      <c r="C42" s="151" t="s">
        <v>318</v>
      </c>
      <c r="D42" s="153" t="s">
        <v>309</v>
      </c>
      <c r="E42" s="154" t="s">
        <v>310</v>
      </c>
      <c r="F42" s="145" t="s">
        <v>70</v>
      </c>
      <c r="G42" s="114" t="s">
        <v>319</v>
      </c>
      <c r="H42" s="178" t="s">
        <v>13</v>
      </c>
      <c r="I42" s="235">
        <v>46425</v>
      </c>
      <c r="J42" s="104" t="s">
        <v>13</v>
      </c>
      <c r="K42" s="104" t="s">
        <v>13</v>
      </c>
      <c r="L42" s="105" t="s">
        <v>325</v>
      </c>
      <c r="M42" s="105" t="s">
        <v>13</v>
      </c>
      <c r="N42" s="105" t="s">
        <v>350</v>
      </c>
      <c r="O42" s="104"/>
      <c r="P42" s="104"/>
      <c r="Q42" s="105" t="s">
        <v>213</v>
      </c>
      <c r="R42" s="106"/>
    </row>
    <row r="43" spans="1:18" s="123" customFormat="1" ht="75.650000000000006" customHeight="1">
      <c r="A43" s="142">
        <f>IF(Table2[[#This Row],[Code 
CC- ]]="", "", A42+1)</f>
        <v>40</v>
      </c>
      <c r="B43" s="221">
        <v>45768</v>
      </c>
      <c r="C43" s="151" t="s">
        <v>326</v>
      </c>
      <c r="D43" s="152" t="s">
        <v>44</v>
      </c>
      <c r="E43" s="152" t="s">
        <v>45</v>
      </c>
      <c r="F43" s="145" t="s">
        <v>327</v>
      </c>
      <c r="G43" s="114" t="s">
        <v>328</v>
      </c>
      <c r="H43" s="178" t="s">
        <v>13</v>
      </c>
      <c r="I43" s="235">
        <v>46568</v>
      </c>
      <c r="J43" s="104" t="s">
        <v>41</v>
      </c>
      <c r="K43" s="104">
        <v>2688</v>
      </c>
      <c r="L43" s="105" t="s">
        <v>542</v>
      </c>
      <c r="M43" s="105" t="s">
        <v>329</v>
      </c>
      <c r="N43" s="105" t="s">
        <v>543</v>
      </c>
      <c r="O43" s="104"/>
      <c r="P43" s="104"/>
      <c r="Q43" s="105" t="s">
        <v>212</v>
      </c>
      <c r="R43" s="106"/>
    </row>
    <row r="44" spans="1:18" s="123" customFormat="1" ht="137.9" customHeight="1">
      <c r="A44" s="142">
        <f>IF(Table2[[#This Row],[Code 
CC- ]]="", "", A43+1)</f>
        <v>41</v>
      </c>
      <c r="B44" s="221">
        <v>45771</v>
      </c>
      <c r="C44" s="151" t="s">
        <v>331</v>
      </c>
      <c r="D44" s="153" t="s">
        <v>332</v>
      </c>
      <c r="E44" s="153" t="s">
        <v>24</v>
      </c>
      <c r="F44" s="145" t="s">
        <v>333</v>
      </c>
      <c r="G44" s="114" t="s">
        <v>334</v>
      </c>
      <c r="H44" s="178" t="s">
        <v>13</v>
      </c>
      <c r="I44" s="235">
        <v>46265</v>
      </c>
      <c r="J44" s="104" t="s">
        <v>36</v>
      </c>
      <c r="K44" s="104">
        <v>595</v>
      </c>
      <c r="L44" s="105" t="s">
        <v>348</v>
      </c>
      <c r="M44" s="105" t="s">
        <v>62</v>
      </c>
      <c r="N44" s="105" t="s">
        <v>460</v>
      </c>
      <c r="O44" s="104" t="s">
        <v>273</v>
      </c>
      <c r="P44" s="104" t="s">
        <v>224</v>
      </c>
      <c r="Q44" s="105" t="s">
        <v>194</v>
      </c>
      <c r="R44" s="106"/>
    </row>
    <row r="45" spans="1:18" s="123" customFormat="1" ht="81" customHeight="1">
      <c r="A45" s="142">
        <f>IF(Table2[[#This Row],[Code 
CC- ]]="", "", A44+1)</f>
        <v>42</v>
      </c>
      <c r="B45" s="221">
        <v>45782</v>
      </c>
      <c r="C45" s="151" t="s">
        <v>345</v>
      </c>
      <c r="D45" s="153" t="s">
        <v>342</v>
      </c>
      <c r="E45" s="154" t="s">
        <v>344</v>
      </c>
      <c r="F45" s="145" t="s">
        <v>343</v>
      </c>
      <c r="G45" s="114" t="s">
        <v>346</v>
      </c>
      <c r="H45" s="183">
        <v>45638</v>
      </c>
      <c r="I45" s="235">
        <v>46733</v>
      </c>
      <c r="J45" s="104" t="s">
        <v>41</v>
      </c>
      <c r="K45" s="104">
        <v>1</v>
      </c>
      <c r="L45" s="105" t="s">
        <v>347</v>
      </c>
      <c r="M45" s="105" t="s">
        <v>62</v>
      </c>
      <c r="N45" s="105" t="s">
        <v>362</v>
      </c>
      <c r="O45" s="104"/>
      <c r="P45" s="104"/>
      <c r="Q45" s="105" t="s">
        <v>209</v>
      </c>
      <c r="R45" s="106"/>
    </row>
    <row r="46" spans="1:18" s="123" customFormat="1" ht="26">
      <c r="A46" s="142">
        <f>IF(Table2[[#This Row],[Code 
CC- ]]="", "", A45+1)</f>
        <v>43</v>
      </c>
      <c r="B46" s="221">
        <v>45785</v>
      </c>
      <c r="C46" s="145" t="s">
        <v>349</v>
      </c>
      <c r="D46" s="149" t="s">
        <v>354</v>
      </c>
      <c r="E46" s="150" t="s">
        <v>58</v>
      </c>
      <c r="F46" s="145" t="s">
        <v>49</v>
      </c>
      <c r="G46" s="114" t="s">
        <v>68</v>
      </c>
      <c r="H46" s="178" t="s">
        <v>13</v>
      </c>
      <c r="I46" s="231">
        <v>46234</v>
      </c>
      <c r="J46" s="97" t="s">
        <v>64</v>
      </c>
      <c r="K46" s="97">
        <v>1</v>
      </c>
      <c r="L46" s="98" t="s">
        <v>355</v>
      </c>
      <c r="M46" s="105" t="s">
        <v>62</v>
      </c>
      <c r="N46" s="98" t="s">
        <v>356</v>
      </c>
      <c r="O46" s="97" t="s">
        <v>54</v>
      </c>
      <c r="P46" s="97" t="s">
        <v>224</v>
      </c>
      <c r="Q46" s="98" t="s">
        <v>194</v>
      </c>
      <c r="R46" s="99"/>
    </row>
    <row r="47" spans="1:18" s="123" customFormat="1" ht="50">
      <c r="A47" s="142">
        <f>IF(Table2[[#This Row],[Code 
CC- ]]="", "", A46+1)</f>
        <v>44</v>
      </c>
      <c r="B47" s="221">
        <v>45785</v>
      </c>
      <c r="C47" s="151" t="s">
        <v>353</v>
      </c>
      <c r="D47" s="153" t="s">
        <v>32</v>
      </c>
      <c r="E47" s="154" t="s">
        <v>30</v>
      </c>
      <c r="F47" s="145" t="s">
        <v>351</v>
      </c>
      <c r="G47" s="114" t="s">
        <v>352</v>
      </c>
      <c r="H47" s="183">
        <v>45070</v>
      </c>
      <c r="I47" s="235">
        <v>46166</v>
      </c>
      <c r="J47" s="104" t="s">
        <v>41</v>
      </c>
      <c r="K47" s="104">
        <v>1</v>
      </c>
      <c r="L47" s="105" t="s">
        <v>375</v>
      </c>
      <c r="M47" s="105" t="s">
        <v>62</v>
      </c>
      <c r="N47" s="105" t="s">
        <v>397</v>
      </c>
      <c r="O47" s="104"/>
      <c r="P47" s="104"/>
      <c r="Q47" s="105" t="s">
        <v>209</v>
      </c>
      <c r="R47" s="106">
        <v>45798</v>
      </c>
    </row>
    <row r="48" spans="1:18" s="123" customFormat="1" ht="100">
      <c r="A48" s="142">
        <f>IF(Table2[[#This Row],[Code 
CC- ]]="", "", A47+1)</f>
        <v>45</v>
      </c>
      <c r="B48" s="221">
        <v>45791</v>
      </c>
      <c r="C48" s="151" t="s">
        <v>357</v>
      </c>
      <c r="D48" s="153" t="s">
        <v>372</v>
      </c>
      <c r="E48" s="154" t="s">
        <v>359</v>
      </c>
      <c r="F48" s="145" t="s">
        <v>360</v>
      </c>
      <c r="G48" s="131" t="s">
        <v>361</v>
      </c>
      <c r="H48" s="107" t="s">
        <v>13</v>
      </c>
      <c r="I48" s="235">
        <v>46265</v>
      </c>
      <c r="J48" s="104" t="s">
        <v>41</v>
      </c>
      <c r="K48" s="104">
        <v>1</v>
      </c>
      <c r="L48" s="105" t="s">
        <v>358</v>
      </c>
      <c r="M48" s="105" t="s">
        <v>62</v>
      </c>
      <c r="N48" s="105" t="s">
        <v>406</v>
      </c>
      <c r="O48" s="104"/>
      <c r="P48" s="104"/>
      <c r="Q48" s="105" t="s">
        <v>195</v>
      </c>
      <c r="R48" s="106"/>
    </row>
    <row r="49" spans="1:18" s="123" customFormat="1" ht="85.4" customHeight="1">
      <c r="A49" s="142">
        <f>IF(Table2[[#This Row],[Code 
CC- ]]="", "", A48+1)</f>
        <v>46</v>
      </c>
      <c r="B49" s="221">
        <v>45792</v>
      </c>
      <c r="C49" s="151" t="s">
        <v>363</v>
      </c>
      <c r="D49" s="159" t="s">
        <v>364</v>
      </c>
      <c r="E49" s="154" t="s">
        <v>365</v>
      </c>
      <c r="F49" s="145" t="s">
        <v>70</v>
      </c>
      <c r="G49" s="114" t="s">
        <v>216</v>
      </c>
      <c r="H49" s="178" t="s">
        <v>13</v>
      </c>
      <c r="I49" s="231">
        <v>46542</v>
      </c>
      <c r="J49" s="97" t="s">
        <v>25</v>
      </c>
      <c r="K49" s="97">
        <v>3</v>
      </c>
      <c r="L49" s="105" t="s">
        <v>366</v>
      </c>
      <c r="M49" s="105" t="s">
        <v>376</v>
      </c>
      <c r="N49" s="105" t="s">
        <v>393</v>
      </c>
      <c r="O49" s="104"/>
      <c r="P49" s="104"/>
      <c r="Q49" s="105" t="s">
        <v>213</v>
      </c>
      <c r="R49" s="106"/>
    </row>
    <row r="50" spans="1:18" s="123" customFormat="1" ht="62.5">
      <c r="A50" s="142">
        <f>IF(Table2[[#This Row],[Code 
CC- ]]="", "", A49+1)</f>
        <v>47</v>
      </c>
      <c r="B50" s="221">
        <v>45792</v>
      </c>
      <c r="C50" s="151" t="s">
        <v>367</v>
      </c>
      <c r="D50" s="159" t="s">
        <v>368</v>
      </c>
      <c r="E50" s="154" t="s">
        <v>370</v>
      </c>
      <c r="F50" s="145" t="s">
        <v>369</v>
      </c>
      <c r="G50" s="112" t="s">
        <v>13</v>
      </c>
      <c r="H50" s="186" t="s">
        <v>13</v>
      </c>
      <c r="I50" s="231" t="s">
        <v>13</v>
      </c>
      <c r="J50" s="112" t="s">
        <v>13</v>
      </c>
      <c r="K50" s="112" t="s">
        <v>13</v>
      </c>
      <c r="L50" s="105" t="s">
        <v>371</v>
      </c>
      <c r="M50" s="105" t="s">
        <v>62</v>
      </c>
      <c r="N50" s="105" t="s">
        <v>396</v>
      </c>
      <c r="O50" s="104"/>
      <c r="P50" s="104"/>
      <c r="Q50" s="105" t="s">
        <v>195</v>
      </c>
      <c r="R50" s="106"/>
    </row>
    <row r="51" spans="1:18" s="123" customFormat="1" ht="50">
      <c r="A51" s="142">
        <f>IF(Table2[[#This Row],[Code 
CC- ]]="", "", A50+1)</f>
        <v>48</v>
      </c>
      <c r="B51" s="221">
        <v>45797</v>
      </c>
      <c r="C51" s="151" t="s">
        <v>374</v>
      </c>
      <c r="D51" s="153" t="s">
        <v>473</v>
      </c>
      <c r="E51" s="154" t="s">
        <v>431</v>
      </c>
      <c r="F51" s="145" t="s">
        <v>373</v>
      </c>
      <c r="G51" s="114" t="s">
        <v>383</v>
      </c>
      <c r="H51" s="183">
        <v>45008</v>
      </c>
      <c r="I51" s="235">
        <v>46104</v>
      </c>
      <c r="J51" s="104" t="s">
        <v>41</v>
      </c>
      <c r="K51" s="104">
        <v>80</v>
      </c>
      <c r="L51" s="105" t="s">
        <v>387</v>
      </c>
      <c r="M51" s="105" t="s">
        <v>62</v>
      </c>
      <c r="N51" s="105" t="s">
        <v>469</v>
      </c>
      <c r="O51" s="104"/>
      <c r="P51" s="104"/>
      <c r="Q51" s="105" t="s">
        <v>209</v>
      </c>
      <c r="R51" s="106"/>
    </row>
    <row r="52" spans="1:18" s="123" customFormat="1" ht="50">
      <c r="A52" s="142">
        <f>IF(Table2[[#This Row],[Code 
CC- ]]="", "", A51+1)</f>
        <v>49</v>
      </c>
      <c r="B52" s="221">
        <v>45797</v>
      </c>
      <c r="C52" s="151" t="s">
        <v>374</v>
      </c>
      <c r="D52" s="153" t="s">
        <v>473</v>
      </c>
      <c r="E52" s="154" t="s">
        <v>431</v>
      </c>
      <c r="F52" s="145" t="s">
        <v>373</v>
      </c>
      <c r="G52" s="130" t="s">
        <v>384</v>
      </c>
      <c r="H52" s="184">
        <v>45138</v>
      </c>
      <c r="I52" s="231">
        <v>46234</v>
      </c>
      <c r="J52" s="104" t="s">
        <v>41</v>
      </c>
      <c r="K52" s="97">
        <v>6</v>
      </c>
      <c r="L52" s="105" t="s">
        <v>387</v>
      </c>
      <c r="M52" s="105" t="s">
        <v>62</v>
      </c>
      <c r="N52" s="105" t="s">
        <v>469</v>
      </c>
      <c r="O52" s="97"/>
      <c r="P52" s="97"/>
      <c r="Q52" s="98" t="s">
        <v>209</v>
      </c>
      <c r="R52" s="99"/>
    </row>
    <row r="53" spans="1:18" s="123" customFormat="1" ht="50">
      <c r="A53" s="142">
        <f>IF(Table2[[#This Row],[Code 
CC- ]]="", "", A52+1)</f>
        <v>50</v>
      </c>
      <c r="B53" s="221">
        <v>45797</v>
      </c>
      <c r="C53" s="151" t="s">
        <v>374</v>
      </c>
      <c r="D53" s="153" t="s">
        <v>473</v>
      </c>
      <c r="E53" s="154" t="s">
        <v>431</v>
      </c>
      <c r="F53" s="145" t="s">
        <v>373</v>
      </c>
      <c r="G53" s="130" t="s">
        <v>385</v>
      </c>
      <c r="H53" s="184">
        <v>44883</v>
      </c>
      <c r="I53" s="231">
        <v>45979</v>
      </c>
      <c r="J53" s="104" t="s">
        <v>41</v>
      </c>
      <c r="K53" s="97">
        <v>31</v>
      </c>
      <c r="L53" s="105" t="s">
        <v>387</v>
      </c>
      <c r="M53" s="105" t="s">
        <v>62</v>
      </c>
      <c r="N53" s="105" t="s">
        <v>469</v>
      </c>
      <c r="O53" s="97"/>
      <c r="P53" s="97"/>
      <c r="Q53" s="98" t="s">
        <v>209</v>
      </c>
      <c r="R53" s="99"/>
    </row>
    <row r="54" spans="1:18" s="123" customFormat="1" ht="50">
      <c r="A54" s="142">
        <f>IF(Table2[[#This Row],[Code 
CC- ]]="", "", A53+1)</f>
        <v>51</v>
      </c>
      <c r="B54" s="221">
        <v>45797</v>
      </c>
      <c r="C54" s="151" t="s">
        <v>374</v>
      </c>
      <c r="D54" s="153" t="s">
        <v>473</v>
      </c>
      <c r="E54" s="154" t="s">
        <v>431</v>
      </c>
      <c r="F54" s="145" t="s">
        <v>373</v>
      </c>
      <c r="G54" s="130" t="s">
        <v>386</v>
      </c>
      <c r="H54" s="184">
        <v>44930</v>
      </c>
      <c r="I54" s="231">
        <v>46026</v>
      </c>
      <c r="J54" s="104" t="s">
        <v>41</v>
      </c>
      <c r="K54" s="97">
        <v>38</v>
      </c>
      <c r="L54" s="105" t="s">
        <v>387</v>
      </c>
      <c r="M54" s="105" t="s">
        <v>62</v>
      </c>
      <c r="N54" s="105" t="s">
        <v>469</v>
      </c>
      <c r="O54" s="97"/>
      <c r="P54" s="97"/>
      <c r="Q54" s="98" t="s">
        <v>209</v>
      </c>
      <c r="R54" s="99"/>
    </row>
    <row r="55" spans="1:18" s="123" customFormat="1" ht="45" customHeight="1">
      <c r="A55" s="142">
        <f>IF(Table2[[#This Row],[Code 
CC- ]]="", "", A54+1)</f>
        <v>52</v>
      </c>
      <c r="B55" s="221">
        <v>45799</v>
      </c>
      <c r="C55" s="151" t="s">
        <v>378</v>
      </c>
      <c r="D55" s="157" t="s">
        <v>379</v>
      </c>
      <c r="E55" s="158" t="s">
        <v>50</v>
      </c>
      <c r="F55" s="145" t="s">
        <v>380</v>
      </c>
      <c r="G55" s="114" t="s">
        <v>381</v>
      </c>
      <c r="H55" s="183">
        <v>45498</v>
      </c>
      <c r="I55" s="235">
        <v>46228</v>
      </c>
      <c r="J55" s="104" t="s">
        <v>41</v>
      </c>
      <c r="K55" s="104">
        <v>1</v>
      </c>
      <c r="L55" s="105" t="s">
        <v>382</v>
      </c>
      <c r="M55" s="105" t="s">
        <v>1131</v>
      </c>
      <c r="N55" s="105" t="s">
        <v>1304</v>
      </c>
      <c r="O55" s="104"/>
      <c r="P55" s="104"/>
      <c r="Q55" s="105" t="s">
        <v>209</v>
      </c>
      <c r="R55" s="106"/>
    </row>
    <row r="56" spans="1:18" s="123" customFormat="1" ht="37.5">
      <c r="A56" s="142">
        <f>IF(Table2[[#This Row],[Code 
CC- ]]="", "", A55+1)</f>
        <v>53</v>
      </c>
      <c r="B56" s="221">
        <v>45799</v>
      </c>
      <c r="C56" s="151" t="s">
        <v>388</v>
      </c>
      <c r="D56" s="157" t="s">
        <v>379</v>
      </c>
      <c r="E56" s="158" t="s">
        <v>50</v>
      </c>
      <c r="F56" s="145" t="s">
        <v>389</v>
      </c>
      <c r="G56" s="114" t="s">
        <v>390</v>
      </c>
      <c r="H56" s="183">
        <v>45679</v>
      </c>
      <c r="I56" s="235">
        <v>46774</v>
      </c>
      <c r="J56" s="104" t="s">
        <v>13</v>
      </c>
      <c r="K56" s="104" t="s">
        <v>13</v>
      </c>
      <c r="L56" s="105" t="s">
        <v>391</v>
      </c>
      <c r="M56" s="105" t="s">
        <v>62</v>
      </c>
      <c r="N56" s="105" t="s">
        <v>392</v>
      </c>
      <c r="O56" s="104"/>
      <c r="P56" s="104"/>
      <c r="Q56" s="105" t="s">
        <v>211</v>
      </c>
      <c r="R56" s="106"/>
    </row>
    <row r="57" spans="1:18" s="123" customFormat="1" ht="62.9" customHeight="1">
      <c r="A57" s="142">
        <f>IF(Table2[[#This Row],[Code 
CC- ]]="", "", A56+1)</f>
        <v>54</v>
      </c>
      <c r="B57" s="221">
        <v>45803</v>
      </c>
      <c r="C57" s="151" t="s">
        <v>404</v>
      </c>
      <c r="D57" s="157" t="s">
        <v>394</v>
      </c>
      <c r="E57" s="158" t="s">
        <v>398</v>
      </c>
      <c r="F57" s="145" t="s">
        <v>265</v>
      </c>
      <c r="G57" s="114" t="s">
        <v>405</v>
      </c>
      <c r="H57" s="107" t="s">
        <v>13</v>
      </c>
      <c r="I57" s="235" t="s">
        <v>13</v>
      </c>
      <c r="J57" s="104" t="s">
        <v>64</v>
      </c>
      <c r="K57" s="104">
        <v>1</v>
      </c>
      <c r="L57" s="105" t="s">
        <v>395</v>
      </c>
      <c r="M57" s="105" t="s">
        <v>13</v>
      </c>
      <c r="N57" s="105" t="s">
        <v>403</v>
      </c>
      <c r="O57" s="104"/>
      <c r="P57" s="104"/>
      <c r="Q57" s="105" t="s">
        <v>213</v>
      </c>
      <c r="R57" s="106"/>
    </row>
    <row r="58" spans="1:18" s="123" customFormat="1" ht="50">
      <c r="A58" s="142">
        <f>IF(Table2[[#This Row],[Code 
CC- ]]="", "", A57+1)</f>
        <v>55</v>
      </c>
      <c r="B58" s="221">
        <v>45805</v>
      </c>
      <c r="C58" s="151" t="s">
        <v>399</v>
      </c>
      <c r="D58" s="157" t="s">
        <v>32</v>
      </c>
      <c r="E58" s="158" t="s">
        <v>30</v>
      </c>
      <c r="F58" s="145" t="s">
        <v>400</v>
      </c>
      <c r="G58" s="126" t="s">
        <v>401</v>
      </c>
      <c r="H58" s="183">
        <v>45428</v>
      </c>
      <c r="I58" s="235">
        <v>46523</v>
      </c>
      <c r="J58" s="104" t="s">
        <v>41</v>
      </c>
      <c r="K58" s="104">
        <v>1</v>
      </c>
      <c r="L58" s="105" t="s">
        <v>402</v>
      </c>
      <c r="M58" s="105" t="s">
        <v>441</v>
      </c>
      <c r="N58" s="105" t="s">
        <v>461</v>
      </c>
      <c r="O58" s="104"/>
      <c r="P58" s="104"/>
      <c r="Q58" s="105" t="s">
        <v>213</v>
      </c>
      <c r="R58" s="106"/>
    </row>
    <row r="59" spans="1:18" s="123" customFormat="1" ht="54" customHeight="1">
      <c r="A59" s="142">
        <f>IF(Table2[[#This Row],[Code 
CC- ]]="", "", A58+1)</f>
        <v>56</v>
      </c>
      <c r="B59" s="221">
        <v>45807</v>
      </c>
      <c r="C59" s="151" t="s">
        <v>407</v>
      </c>
      <c r="D59" s="157" t="s">
        <v>342</v>
      </c>
      <c r="E59" s="158" t="s">
        <v>344</v>
      </c>
      <c r="F59" s="145" t="s">
        <v>412</v>
      </c>
      <c r="G59" s="114" t="s">
        <v>413</v>
      </c>
      <c r="H59" s="183">
        <v>45064</v>
      </c>
      <c r="I59" s="235">
        <v>46142</v>
      </c>
      <c r="J59" s="104" t="s">
        <v>41</v>
      </c>
      <c r="K59" s="104">
        <v>2</v>
      </c>
      <c r="L59" s="105" t="s">
        <v>414</v>
      </c>
      <c r="M59" s="105" t="s">
        <v>62</v>
      </c>
      <c r="N59" s="105" t="s">
        <v>442</v>
      </c>
      <c r="O59" s="104" t="s">
        <v>273</v>
      </c>
      <c r="P59" s="104" t="s">
        <v>224</v>
      </c>
      <c r="Q59" s="105" t="s">
        <v>194</v>
      </c>
      <c r="R59" s="106"/>
    </row>
    <row r="60" spans="1:18" s="123" customFormat="1" ht="54" customHeight="1">
      <c r="A60" s="142">
        <f>IF(Table2[[#This Row],[Code 
CC- ]]="", "", A59+1)</f>
        <v>57</v>
      </c>
      <c r="B60" s="221">
        <v>45807</v>
      </c>
      <c r="C60" s="151" t="s">
        <v>408</v>
      </c>
      <c r="D60" s="157" t="s">
        <v>342</v>
      </c>
      <c r="E60" s="158" t="s">
        <v>344</v>
      </c>
      <c r="F60" s="145" t="s">
        <v>415</v>
      </c>
      <c r="G60" s="114" t="s">
        <v>74</v>
      </c>
      <c r="H60" s="183">
        <v>45058</v>
      </c>
      <c r="I60" s="235">
        <v>46142</v>
      </c>
      <c r="J60" s="104" t="s">
        <v>41</v>
      </c>
      <c r="K60" s="104">
        <v>1</v>
      </c>
      <c r="L60" s="113" t="s">
        <v>416</v>
      </c>
      <c r="M60" s="105" t="s">
        <v>62</v>
      </c>
      <c r="N60" s="105" t="s">
        <v>442</v>
      </c>
      <c r="O60" s="104" t="s">
        <v>273</v>
      </c>
      <c r="P60" s="104" t="s">
        <v>224</v>
      </c>
      <c r="Q60" s="105" t="s">
        <v>194</v>
      </c>
      <c r="R60" s="106">
        <v>45839</v>
      </c>
    </row>
    <row r="61" spans="1:18" s="123" customFormat="1" ht="53.15" customHeight="1">
      <c r="A61" s="142">
        <f>IF(Table2[[#This Row],[Code 
CC- ]]="", "", A60+1)</f>
        <v>58</v>
      </c>
      <c r="B61" s="221">
        <v>45807</v>
      </c>
      <c r="C61" s="151" t="s">
        <v>409</v>
      </c>
      <c r="D61" s="157" t="s">
        <v>342</v>
      </c>
      <c r="E61" s="158" t="s">
        <v>344</v>
      </c>
      <c r="F61" s="145" t="s">
        <v>415</v>
      </c>
      <c r="G61" s="114" t="s">
        <v>291</v>
      </c>
      <c r="H61" s="183">
        <v>45208</v>
      </c>
      <c r="I61" s="235">
        <v>46295</v>
      </c>
      <c r="J61" s="104" t="s">
        <v>41</v>
      </c>
      <c r="K61" s="104">
        <v>1</v>
      </c>
      <c r="L61" s="113" t="s">
        <v>417</v>
      </c>
      <c r="M61" s="105" t="s">
        <v>62</v>
      </c>
      <c r="N61" s="105" t="s">
        <v>468</v>
      </c>
      <c r="O61" s="104" t="s">
        <v>273</v>
      </c>
      <c r="P61" s="104" t="s">
        <v>224</v>
      </c>
      <c r="Q61" s="105" t="s">
        <v>194</v>
      </c>
      <c r="R61" s="106"/>
    </row>
    <row r="62" spans="1:18" s="123" customFormat="1" ht="50">
      <c r="A62" s="142">
        <f>IF(Table2[[#This Row],[Code 
CC- ]]="", "", A61+1)</f>
        <v>59</v>
      </c>
      <c r="B62" s="221">
        <v>45807</v>
      </c>
      <c r="C62" s="151" t="s">
        <v>410</v>
      </c>
      <c r="D62" s="157" t="s">
        <v>342</v>
      </c>
      <c r="E62" s="158" t="s">
        <v>344</v>
      </c>
      <c r="F62" s="145" t="s">
        <v>418</v>
      </c>
      <c r="G62" s="114" t="s">
        <v>155</v>
      </c>
      <c r="H62" s="183">
        <v>45274</v>
      </c>
      <c r="I62" s="235">
        <v>46356</v>
      </c>
      <c r="J62" s="104" t="s">
        <v>41</v>
      </c>
      <c r="K62" s="104">
        <v>1</v>
      </c>
      <c r="L62" s="105" t="s">
        <v>419</v>
      </c>
      <c r="M62" s="105" t="s">
        <v>62</v>
      </c>
      <c r="N62" s="105" t="s">
        <v>468</v>
      </c>
      <c r="O62" s="104" t="s">
        <v>273</v>
      </c>
      <c r="P62" s="104" t="s">
        <v>224</v>
      </c>
      <c r="Q62" s="105" t="s">
        <v>194</v>
      </c>
      <c r="R62" s="106">
        <v>45839</v>
      </c>
    </row>
    <row r="63" spans="1:18" s="123" customFormat="1" ht="62.5">
      <c r="A63" s="142">
        <f>IF(Table2[[#This Row],[Code 
CC- ]]="", "", A62+1)</f>
        <v>60</v>
      </c>
      <c r="B63" s="221">
        <v>45807</v>
      </c>
      <c r="C63" s="156" t="s">
        <v>411</v>
      </c>
      <c r="D63" s="157" t="s">
        <v>421</v>
      </c>
      <c r="E63" s="158" t="s">
        <v>426</v>
      </c>
      <c r="F63" s="143" t="s">
        <v>420</v>
      </c>
      <c r="G63" s="114" t="s">
        <v>423</v>
      </c>
      <c r="H63" s="132" t="s">
        <v>424</v>
      </c>
      <c r="I63" s="235">
        <v>46476</v>
      </c>
      <c r="J63" s="104" t="s">
        <v>41</v>
      </c>
      <c r="K63" s="104">
        <v>1</v>
      </c>
      <c r="L63" s="105" t="s">
        <v>422</v>
      </c>
      <c r="M63" s="105" t="s">
        <v>13</v>
      </c>
      <c r="N63" s="105" t="s">
        <v>425</v>
      </c>
      <c r="O63" s="104"/>
      <c r="P63" s="104"/>
      <c r="Q63" s="105" t="s">
        <v>211</v>
      </c>
      <c r="R63" s="106"/>
    </row>
    <row r="64" spans="1:18" s="123" customFormat="1" ht="71.900000000000006" customHeight="1">
      <c r="A64" s="142">
        <f>IF(Table2[[#This Row],[Code 
CC- ]]="", "", A63+1)</f>
        <v>61</v>
      </c>
      <c r="B64" s="221">
        <v>45813</v>
      </c>
      <c r="C64" s="145" t="s">
        <v>427</v>
      </c>
      <c r="D64" s="144" t="s">
        <v>428</v>
      </c>
      <c r="E64" s="144" t="s">
        <v>432</v>
      </c>
      <c r="F64" s="145" t="s">
        <v>433</v>
      </c>
      <c r="G64" s="114" t="s">
        <v>430</v>
      </c>
      <c r="H64" s="184" t="s">
        <v>13</v>
      </c>
      <c r="I64" s="231">
        <v>46312</v>
      </c>
      <c r="J64" s="97" t="s">
        <v>41</v>
      </c>
      <c r="K64" s="97">
        <v>1</v>
      </c>
      <c r="L64" s="105" t="s">
        <v>429</v>
      </c>
      <c r="M64" s="105" t="s">
        <v>62</v>
      </c>
      <c r="N64" s="105" t="s">
        <v>577</v>
      </c>
      <c r="O64" s="104" t="s">
        <v>273</v>
      </c>
      <c r="P64" s="104" t="s">
        <v>444</v>
      </c>
      <c r="Q64" s="105" t="s">
        <v>209</v>
      </c>
      <c r="R64" s="106"/>
    </row>
    <row r="65" spans="1:18" s="125" customFormat="1" ht="83.9" customHeight="1">
      <c r="A65" s="142">
        <f>IF(Table2[[#This Row],[Code 
CC- ]]="", "", A64+1)</f>
        <v>62</v>
      </c>
      <c r="B65" s="221">
        <v>45817</v>
      </c>
      <c r="C65" s="143" t="s">
        <v>434</v>
      </c>
      <c r="D65" s="144" t="s">
        <v>437</v>
      </c>
      <c r="E65" s="144" t="s">
        <v>436</v>
      </c>
      <c r="F65" s="143" t="s">
        <v>435</v>
      </c>
      <c r="G65" s="122" t="s">
        <v>455</v>
      </c>
      <c r="H65" s="177" t="s">
        <v>13</v>
      </c>
      <c r="I65" s="230">
        <v>46295</v>
      </c>
      <c r="J65" s="95" t="s">
        <v>41</v>
      </c>
      <c r="K65" s="95">
        <v>14</v>
      </c>
      <c r="L65" s="109" t="s">
        <v>443</v>
      </c>
      <c r="M65" s="109" t="s">
        <v>453</v>
      </c>
      <c r="N65" s="109" t="s">
        <v>598</v>
      </c>
      <c r="O65" s="110"/>
      <c r="P65" s="110"/>
      <c r="Q65" s="109" t="s">
        <v>212</v>
      </c>
      <c r="R65" s="111"/>
    </row>
    <row r="66" spans="1:18" s="123" customFormat="1" ht="25">
      <c r="A66" s="142">
        <f>IF(Table2[[#This Row],[Code 
CC- ]]="", "", A65+1)</f>
        <v>63</v>
      </c>
      <c r="B66" s="221">
        <v>45817</v>
      </c>
      <c r="C66" s="145" t="s">
        <v>438</v>
      </c>
      <c r="D66" s="146" t="s">
        <v>447</v>
      </c>
      <c r="E66" s="146" t="s">
        <v>446</v>
      </c>
      <c r="F66" s="145" t="s">
        <v>439</v>
      </c>
      <c r="G66" s="114" t="s">
        <v>440</v>
      </c>
      <c r="H66" s="187" t="s">
        <v>493</v>
      </c>
      <c r="I66" s="231">
        <v>46446</v>
      </c>
      <c r="J66" s="97" t="s">
        <v>41</v>
      </c>
      <c r="K66" s="97">
        <v>1</v>
      </c>
      <c r="L66" s="98" t="s">
        <v>445</v>
      </c>
      <c r="M66" s="105" t="s">
        <v>62</v>
      </c>
      <c r="N66" s="105" t="s">
        <v>539</v>
      </c>
      <c r="O66" s="104"/>
      <c r="P66" s="104"/>
      <c r="Q66" s="105" t="s">
        <v>195</v>
      </c>
      <c r="R66" s="106"/>
    </row>
    <row r="67" spans="1:18" s="123" customFormat="1" ht="80.5" customHeight="1">
      <c r="A67" s="142">
        <f>IF(Table2[[#This Row],[Code 
CC- ]]="", "", A66+1)</f>
        <v>64</v>
      </c>
      <c r="B67" s="221">
        <v>45820</v>
      </c>
      <c r="C67" s="145" t="s">
        <v>449</v>
      </c>
      <c r="D67" s="160" t="s">
        <v>494</v>
      </c>
      <c r="E67" s="161" t="s">
        <v>587</v>
      </c>
      <c r="F67" s="145" t="s">
        <v>299</v>
      </c>
      <c r="G67" s="114" t="s">
        <v>578</v>
      </c>
      <c r="H67" s="178" t="s">
        <v>13</v>
      </c>
      <c r="I67" s="231">
        <v>46812</v>
      </c>
      <c r="J67" s="97" t="s">
        <v>41</v>
      </c>
      <c r="K67" s="97">
        <v>1</v>
      </c>
      <c r="L67" s="105" t="s">
        <v>452</v>
      </c>
      <c r="M67" s="105" t="s">
        <v>1130</v>
      </c>
      <c r="N67" s="113" t="s">
        <v>1303</v>
      </c>
      <c r="O67" s="104"/>
      <c r="P67" s="104"/>
      <c r="Q67" s="105" t="s">
        <v>195</v>
      </c>
      <c r="R67" s="106"/>
    </row>
    <row r="68" spans="1:18" s="123" customFormat="1" ht="50">
      <c r="A68" s="142">
        <f>IF(Table2[[#This Row],[Code 
CC- ]]="", "", A67+1)</f>
        <v>65</v>
      </c>
      <c r="B68" s="221">
        <v>45821</v>
      </c>
      <c r="C68" s="145" t="s">
        <v>448</v>
      </c>
      <c r="D68" s="146" t="s">
        <v>471</v>
      </c>
      <c r="E68" s="146" t="s">
        <v>472</v>
      </c>
      <c r="F68" s="145" t="s">
        <v>450</v>
      </c>
      <c r="G68" s="114" t="s">
        <v>13</v>
      </c>
      <c r="H68" s="188" t="s">
        <v>13</v>
      </c>
      <c r="I68" s="236" t="s">
        <v>13</v>
      </c>
      <c r="J68" s="114" t="s">
        <v>13</v>
      </c>
      <c r="K68" s="114" t="s">
        <v>13</v>
      </c>
      <c r="L68" s="105" t="s">
        <v>451</v>
      </c>
      <c r="M68" s="105" t="s">
        <v>13</v>
      </c>
      <c r="N68" s="105" t="s">
        <v>470</v>
      </c>
      <c r="O68" s="104"/>
      <c r="P68" s="104"/>
      <c r="Q68" s="105" t="s">
        <v>211</v>
      </c>
      <c r="R68" s="106"/>
    </row>
    <row r="69" spans="1:18" s="123" customFormat="1" ht="37.5">
      <c r="A69" s="142">
        <f>IF(Table2[[#This Row],[Code 
CC- ]]="", "", A68+1)</f>
        <v>66</v>
      </c>
      <c r="B69" s="221">
        <v>45828</v>
      </c>
      <c r="C69" s="151" t="s">
        <v>456</v>
      </c>
      <c r="D69" s="157" t="s">
        <v>342</v>
      </c>
      <c r="E69" s="144" t="s">
        <v>344</v>
      </c>
      <c r="F69" s="145" t="s">
        <v>458</v>
      </c>
      <c r="G69" s="114" t="s">
        <v>459</v>
      </c>
      <c r="H69" s="184">
        <v>44806</v>
      </c>
      <c r="I69" s="231">
        <v>45900</v>
      </c>
      <c r="J69" s="97" t="s">
        <v>41</v>
      </c>
      <c r="K69" s="97">
        <v>1</v>
      </c>
      <c r="L69" s="113" t="s">
        <v>457</v>
      </c>
      <c r="M69" s="105" t="s">
        <v>62</v>
      </c>
      <c r="N69" s="105" t="s">
        <v>475</v>
      </c>
      <c r="O69" s="104" t="s">
        <v>54</v>
      </c>
      <c r="P69" s="104" t="s">
        <v>583</v>
      </c>
      <c r="Q69" s="105" t="s">
        <v>194</v>
      </c>
      <c r="R69" s="106"/>
    </row>
    <row r="70" spans="1:18" s="123" customFormat="1" ht="63.65" customHeight="1">
      <c r="A70" s="142">
        <f>IF(Table2[[#This Row],[Code 
CC- ]]="", "", A69+1)</f>
        <v>67</v>
      </c>
      <c r="B70" s="221">
        <v>45832</v>
      </c>
      <c r="C70" s="151" t="s">
        <v>462</v>
      </c>
      <c r="D70" s="153" t="s">
        <v>464</v>
      </c>
      <c r="E70" s="154" t="s">
        <v>463</v>
      </c>
      <c r="F70" s="145" t="s">
        <v>373</v>
      </c>
      <c r="G70" s="114" t="s">
        <v>385</v>
      </c>
      <c r="H70" s="107" t="s">
        <v>13</v>
      </c>
      <c r="I70" s="235">
        <v>45979</v>
      </c>
      <c r="J70" s="97" t="s">
        <v>41</v>
      </c>
      <c r="K70" s="104">
        <v>2</v>
      </c>
      <c r="L70" s="105" t="s">
        <v>524</v>
      </c>
      <c r="M70" s="105" t="s">
        <v>1302</v>
      </c>
      <c r="N70" s="105" t="s">
        <v>487</v>
      </c>
      <c r="O70" s="104"/>
      <c r="P70" s="104"/>
      <c r="Q70" s="105" t="s">
        <v>209</v>
      </c>
      <c r="R70" s="106"/>
    </row>
    <row r="71" spans="1:18" s="123" customFormat="1" ht="63.65" customHeight="1">
      <c r="A71" s="142">
        <f>IF(Table2[[#This Row],[Code 
CC- ]]="", "", A70+1)</f>
        <v>68</v>
      </c>
      <c r="B71" s="221">
        <v>45832</v>
      </c>
      <c r="C71" s="151" t="s">
        <v>462</v>
      </c>
      <c r="D71" s="153" t="s">
        <v>464</v>
      </c>
      <c r="E71" s="154" t="s">
        <v>463</v>
      </c>
      <c r="F71" s="145" t="s">
        <v>373</v>
      </c>
      <c r="G71" s="114" t="s">
        <v>523</v>
      </c>
      <c r="H71" s="107" t="s">
        <v>13</v>
      </c>
      <c r="I71" s="235">
        <v>46026</v>
      </c>
      <c r="J71" s="97" t="s">
        <v>41</v>
      </c>
      <c r="K71" s="104">
        <v>4</v>
      </c>
      <c r="L71" s="105" t="s">
        <v>524</v>
      </c>
      <c r="M71" s="105" t="s">
        <v>1302</v>
      </c>
      <c r="N71" s="105" t="s">
        <v>487</v>
      </c>
      <c r="O71" s="104"/>
      <c r="P71" s="104"/>
      <c r="Q71" s="105" t="s">
        <v>209</v>
      </c>
      <c r="R71" s="106"/>
    </row>
    <row r="72" spans="1:18" s="123" customFormat="1" ht="37.5">
      <c r="A72" s="142">
        <f>IF(Table2[[#This Row],[Code 
CC- ]]="", "", A71+1)</f>
        <v>69</v>
      </c>
      <c r="B72" s="221">
        <v>45833</v>
      </c>
      <c r="C72" s="151" t="s">
        <v>465</v>
      </c>
      <c r="D72" s="153" t="s">
        <v>466</v>
      </c>
      <c r="E72" s="154" t="s">
        <v>27</v>
      </c>
      <c r="F72" s="145" t="s">
        <v>49</v>
      </c>
      <c r="G72" s="114" t="s">
        <v>467</v>
      </c>
      <c r="H72" s="189">
        <v>45367</v>
      </c>
      <c r="I72" s="231">
        <v>46235</v>
      </c>
      <c r="J72" s="97" t="s">
        <v>64</v>
      </c>
      <c r="K72" s="97">
        <v>1</v>
      </c>
      <c r="L72" s="105" t="s">
        <v>476</v>
      </c>
      <c r="M72" s="105" t="s">
        <v>62</v>
      </c>
      <c r="N72" s="105" t="s">
        <v>477</v>
      </c>
      <c r="O72" s="104"/>
      <c r="P72" s="104"/>
      <c r="Q72" s="105" t="s">
        <v>194</v>
      </c>
      <c r="R72" s="106"/>
    </row>
    <row r="73" spans="1:18" s="123" customFormat="1" ht="50">
      <c r="A73" s="142">
        <f>IF(Table2[[#This Row],[Code 
CC- ]]="", "", A72+1)</f>
        <v>70</v>
      </c>
      <c r="B73" s="221">
        <v>45835</v>
      </c>
      <c r="C73" s="151" t="s">
        <v>679</v>
      </c>
      <c r="D73" s="153" t="s">
        <v>478</v>
      </c>
      <c r="E73" s="154" t="s">
        <v>479</v>
      </c>
      <c r="F73" s="145" t="s">
        <v>480</v>
      </c>
      <c r="G73" s="114" t="s">
        <v>481</v>
      </c>
      <c r="H73" s="184">
        <v>45331</v>
      </c>
      <c r="I73" s="231">
        <v>46418</v>
      </c>
      <c r="J73" s="104" t="s">
        <v>63</v>
      </c>
      <c r="K73" s="104">
        <v>1</v>
      </c>
      <c r="L73" s="105" t="s">
        <v>482</v>
      </c>
      <c r="M73" s="105" t="s">
        <v>62</v>
      </c>
      <c r="N73" s="105" t="s">
        <v>485</v>
      </c>
      <c r="O73" s="104"/>
      <c r="P73" s="104"/>
      <c r="Q73" s="105" t="s">
        <v>644</v>
      </c>
      <c r="R73" s="106"/>
    </row>
    <row r="74" spans="1:18" ht="37.5">
      <c r="A74" s="142">
        <f>IF(Table2[[#This Row],[Code 
CC- ]]="", "", A73+1)</f>
        <v>71</v>
      </c>
      <c r="B74" s="221">
        <v>45838</v>
      </c>
      <c r="C74" s="151" t="s">
        <v>474</v>
      </c>
      <c r="D74" s="162" t="s">
        <v>492</v>
      </c>
      <c r="E74" s="154" t="s">
        <v>495</v>
      </c>
      <c r="F74" s="145" t="s">
        <v>484</v>
      </c>
      <c r="G74" s="114" t="s">
        <v>483</v>
      </c>
      <c r="H74" s="190">
        <v>45236</v>
      </c>
      <c r="I74" s="237">
        <v>46326</v>
      </c>
      <c r="J74" s="115" t="s">
        <v>15</v>
      </c>
      <c r="K74" s="115">
        <v>1</v>
      </c>
      <c r="L74" s="116" t="s">
        <v>502</v>
      </c>
      <c r="M74" s="105" t="s">
        <v>62</v>
      </c>
      <c r="N74" s="116" t="s">
        <v>491</v>
      </c>
      <c r="O74" s="115"/>
      <c r="P74" s="115"/>
      <c r="Q74" s="116" t="s">
        <v>194</v>
      </c>
      <c r="R74" s="117"/>
    </row>
    <row r="75" spans="1:18" ht="87.5">
      <c r="A75" s="142">
        <f>IF(Table2[[#This Row],[Code 
CC- ]]="", "", A74+1)</f>
        <v>72</v>
      </c>
      <c r="B75" s="221">
        <v>45839</v>
      </c>
      <c r="C75" s="151" t="s">
        <v>486</v>
      </c>
      <c r="D75" s="162" t="s">
        <v>127</v>
      </c>
      <c r="E75" s="161" t="s">
        <v>488</v>
      </c>
      <c r="F75" s="145" t="s">
        <v>489</v>
      </c>
      <c r="G75" s="114" t="s">
        <v>490</v>
      </c>
      <c r="H75" s="190">
        <v>45679</v>
      </c>
      <c r="I75" s="237">
        <v>46408</v>
      </c>
      <c r="J75" s="118" t="s">
        <v>22</v>
      </c>
      <c r="K75" s="118">
        <v>7</v>
      </c>
      <c r="L75" s="116" t="s">
        <v>501</v>
      </c>
      <c r="M75" s="105" t="s">
        <v>62</v>
      </c>
      <c r="N75" s="105" t="s">
        <v>604</v>
      </c>
      <c r="O75" s="115"/>
      <c r="P75" s="115"/>
      <c r="Q75" s="116" t="s">
        <v>194</v>
      </c>
      <c r="R75" s="117"/>
    </row>
    <row r="76" spans="1:18" ht="87.5">
      <c r="A76" s="142">
        <f>IF(Table2[[#This Row],[Code 
CC- ]]="", "", A75+1)</f>
        <v>73</v>
      </c>
      <c r="B76" s="221">
        <v>45839</v>
      </c>
      <c r="C76" s="151" t="s">
        <v>486</v>
      </c>
      <c r="D76" s="162" t="s">
        <v>127</v>
      </c>
      <c r="E76" s="161" t="s">
        <v>488</v>
      </c>
      <c r="F76" s="145" t="s">
        <v>489</v>
      </c>
      <c r="G76" s="114" t="s">
        <v>606</v>
      </c>
      <c r="H76" s="190">
        <v>45455</v>
      </c>
      <c r="I76" s="237">
        <v>46184</v>
      </c>
      <c r="J76" s="118" t="s">
        <v>22</v>
      </c>
      <c r="K76" s="118">
        <v>2</v>
      </c>
      <c r="L76" s="116" t="s">
        <v>501</v>
      </c>
      <c r="M76" s="105" t="s">
        <v>62</v>
      </c>
      <c r="N76" s="105" t="s">
        <v>604</v>
      </c>
      <c r="O76" s="118"/>
      <c r="P76" s="118"/>
      <c r="Q76" s="119" t="s">
        <v>194</v>
      </c>
      <c r="R76" s="120"/>
    </row>
    <row r="77" spans="1:18" ht="75">
      <c r="A77" s="142">
        <f>IF(Table2[[#This Row],[Code 
CC- ]]="", "", A76+1)</f>
        <v>74</v>
      </c>
      <c r="B77" s="221">
        <v>45847</v>
      </c>
      <c r="C77" s="151" t="s">
        <v>496</v>
      </c>
      <c r="D77" s="153" t="s">
        <v>497</v>
      </c>
      <c r="E77" s="154" t="s">
        <v>498</v>
      </c>
      <c r="F77" s="145" t="s">
        <v>26</v>
      </c>
      <c r="G77" s="114" t="s">
        <v>499</v>
      </c>
      <c r="H77" s="191">
        <v>45678</v>
      </c>
      <c r="I77" s="238">
        <v>46773</v>
      </c>
      <c r="J77" s="115" t="s">
        <v>500</v>
      </c>
      <c r="K77" s="115">
        <v>3</v>
      </c>
      <c r="L77" s="105" t="s">
        <v>503</v>
      </c>
      <c r="M77" s="105" t="s">
        <v>62</v>
      </c>
      <c r="N77" s="116" t="s">
        <v>589</v>
      </c>
      <c r="O77" s="115" t="s">
        <v>582</v>
      </c>
      <c r="P77" s="115" t="s">
        <v>583</v>
      </c>
      <c r="Q77" s="116" t="s">
        <v>213</v>
      </c>
      <c r="R77" s="117"/>
    </row>
    <row r="78" spans="1:18" ht="37.5">
      <c r="A78" s="142">
        <f>IF(Table2[[#This Row],[Code 
CC- ]]="", "", A77+1)</f>
        <v>75</v>
      </c>
      <c r="B78" s="221">
        <v>45849</v>
      </c>
      <c r="C78" s="151" t="s">
        <v>504</v>
      </c>
      <c r="D78" s="153" t="s">
        <v>505</v>
      </c>
      <c r="E78" s="154" t="s">
        <v>506</v>
      </c>
      <c r="F78" s="145" t="s">
        <v>507</v>
      </c>
      <c r="G78" s="114" t="s">
        <v>508</v>
      </c>
      <c r="H78" s="192" t="s">
        <v>13</v>
      </c>
      <c r="I78" s="237">
        <v>47244</v>
      </c>
      <c r="J78" s="118" t="s">
        <v>510</v>
      </c>
      <c r="K78" s="118">
        <v>1</v>
      </c>
      <c r="L78" s="98" t="s">
        <v>509</v>
      </c>
      <c r="M78" s="105" t="s">
        <v>62</v>
      </c>
      <c r="N78" s="116" t="s">
        <v>511</v>
      </c>
      <c r="O78" s="115"/>
      <c r="P78" s="115"/>
      <c r="Q78" s="116" t="s">
        <v>209</v>
      </c>
      <c r="R78" s="117"/>
    </row>
    <row r="79" spans="1:18" ht="105.65" customHeight="1">
      <c r="A79" s="142">
        <f>IF(Table2[[#This Row],[Code 
CC- ]]="", "", A78+1)</f>
        <v>76</v>
      </c>
      <c r="B79" s="221">
        <v>45853</v>
      </c>
      <c r="C79" s="151" t="s">
        <v>512</v>
      </c>
      <c r="D79" s="162" t="s">
        <v>286</v>
      </c>
      <c r="E79" s="161" t="s">
        <v>30</v>
      </c>
      <c r="F79" s="145" t="s">
        <v>514</v>
      </c>
      <c r="G79" s="114" t="s">
        <v>515</v>
      </c>
      <c r="H79" s="193" t="s">
        <v>13</v>
      </c>
      <c r="I79" s="238">
        <v>47204</v>
      </c>
      <c r="J79" s="115" t="s">
        <v>41</v>
      </c>
      <c r="K79" s="115">
        <v>2</v>
      </c>
      <c r="L79" s="116" t="s">
        <v>516</v>
      </c>
      <c r="M79" s="116" t="s">
        <v>134</v>
      </c>
      <c r="N79" s="105" t="s">
        <v>645</v>
      </c>
      <c r="O79" s="115"/>
      <c r="P79" s="115"/>
      <c r="Q79" s="116" t="s">
        <v>213</v>
      </c>
      <c r="R79" s="117"/>
    </row>
    <row r="80" spans="1:18" ht="50">
      <c r="A80" s="142">
        <f>IF(Table2[[#This Row],[Code 
CC- ]]="", "", A79+1)</f>
        <v>77</v>
      </c>
      <c r="B80" s="221">
        <v>45854</v>
      </c>
      <c r="C80" s="145" t="s">
        <v>513</v>
      </c>
      <c r="D80" s="163" t="s">
        <v>286</v>
      </c>
      <c r="E80" s="163" t="s">
        <v>521</v>
      </c>
      <c r="F80" s="145" t="s">
        <v>517</v>
      </c>
      <c r="G80" s="114" t="s">
        <v>518</v>
      </c>
      <c r="H80" s="192" t="s">
        <v>13</v>
      </c>
      <c r="I80" s="237">
        <v>46568</v>
      </c>
      <c r="J80" s="118" t="s">
        <v>41</v>
      </c>
      <c r="K80" s="118">
        <v>1</v>
      </c>
      <c r="L80" s="119" t="s">
        <v>519</v>
      </c>
      <c r="M80" s="98" t="s">
        <v>62</v>
      </c>
      <c r="N80" s="119" t="s">
        <v>538</v>
      </c>
      <c r="O80" s="118"/>
      <c r="P80" s="118"/>
      <c r="Q80" s="119" t="s">
        <v>194</v>
      </c>
      <c r="R80" s="120"/>
    </row>
    <row r="81" spans="1:18" ht="137.5">
      <c r="A81" s="142">
        <f>IF(Table2[[#This Row],[Code 
CC- ]]="", "", A80+1)</f>
        <v>78</v>
      </c>
      <c r="B81" s="221">
        <v>45854</v>
      </c>
      <c r="C81" s="145" t="s">
        <v>520</v>
      </c>
      <c r="D81" s="163" t="s">
        <v>286</v>
      </c>
      <c r="E81" s="163" t="s">
        <v>30</v>
      </c>
      <c r="F81" s="145" t="s">
        <v>580</v>
      </c>
      <c r="G81" s="114" t="s">
        <v>522</v>
      </c>
      <c r="H81" s="190">
        <v>45439</v>
      </c>
      <c r="I81" s="237">
        <v>46534</v>
      </c>
      <c r="J81" s="118" t="s">
        <v>41</v>
      </c>
      <c r="K81" s="118">
        <v>2</v>
      </c>
      <c r="L81" s="119" t="s">
        <v>816</v>
      </c>
      <c r="M81" s="119" t="s">
        <v>62</v>
      </c>
      <c r="N81" s="119" t="s">
        <v>814</v>
      </c>
      <c r="O81" s="118"/>
      <c r="P81" s="118"/>
      <c r="Q81" s="119" t="s">
        <v>195</v>
      </c>
      <c r="R81" s="120"/>
    </row>
    <row r="82" spans="1:18" ht="37.5">
      <c r="A82" s="142">
        <f>IF(Table2[[#This Row],[Code 
CC- ]]="", "", A81+1)</f>
        <v>79</v>
      </c>
      <c r="B82" s="221">
        <v>45856</v>
      </c>
      <c r="C82" s="151" t="s">
        <v>527</v>
      </c>
      <c r="D82" s="162" t="s">
        <v>525</v>
      </c>
      <c r="E82" s="161" t="s">
        <v>526</v>
      </c>
      <c r="F82" s="145" t="s">
        <v>507</v>
      </c>
      <c r="G82" s="114" t="s">
        <v>528</v>
      </c>
      <c r="H82" s="193" t="s">
        <v>13</v>
      </c>
      <c r="I82" s="238">
        <v>47245</v>
      </c>
      <c r="J82" s="115" t="s">
        <v>244</v>
      </c>
      <c r="K82" s="115">
        <v>2</v>
      </c>
      <c r="L82" s="116" t="s">
        <v>529</v>
      </c>
      <c r="M82" s="119" t="s">
        <v>62</v>
      </c>
      <c r="N82" s="105" t="s">
        <v>540</v>
      </c>
      <c r="O82" s="115" t="s">
        <v>273</v>
      </c>
      <c r="P82" s="115" t="s">
        <v>224</v>
      </c>
      <c r="Q82" s="116" t="s">
        <v>209</v>
      </c>
      <c r="R82" s="117"/>
    </row>
    <row r="83" spans="1:18" ht="50">
      <c r="A83" s="142">
        <f>IF(Table2[[#This Row],[Code 
CC- ]]="", "", A82+1)</f>
        <v>80</v>
      </c>
      <c r="B83" s="221">
        <v>45856</v>
      </c>
      <c r="C83" s="151" t="s">
        <v>530</v>
      </c>
      <c r="D83" s="162" t="s">
        <v>536</v>
      </c>
      <c r="E83" s="161" t="s">
        <v>537</v>
      </c>
      <c r="F83" s="145" t="s">
        <v>531</v>
      </c>
      <c r="G83" s="114" t="s">
        <v>532</v>
      </c>
      <c r="H83" s="194" t="s">
        <v>424</v>
      </c>
      <c r="I83" s="239" t="s">
        <v>534</v>
      </c>
      <c r="J83" s="115" t="s">
        <v>535</v>
      </c>
      <c r="K83" s="115">
        <v>65</v>
      </c>
      <c r="L83" s="116" t="s">
        <v>533</v>
      </c>
      <c r="M83" s="119" t="s">
        <v>1130</v>
      </c>
      <c r="N83" s="105" t="s">
        <v>541</v>
      </c>
      <c r="O83" s="115"/>
      <c r="P83" s="115"/>
      <c r="Q83" s="116" t="s">
        <v>195</v>
      </c>
      <c r="R83" s="117"/>
    </row>
    <row r="84" spans="1:18" ht="112.5">
      <c r="A84" s="142">
        <f>IF(Table2[[#This Row],[Code 
CC- ]]="", "", A83+1)</f>
        <v>81</v>
      </c>
      <c r="B84" s="221">
        <v>45859</v>
      </c>
      <c r="C84" s="151" t="s">
        <v>544</v>
      </c>
      <c r="D84" s="153" t="s">
        <v>545</v>
      </c>
      <c r="E84" s="146" t="s">
        <v>546</v>
      </c>
      <c r="F84" s="145" t="s">
        <v>547</v>
      </c>
      <c r="G84" s="114" t="s">
        <v>13</v>
      </c>
      <c r="H84" s="188" t="s">
        <v>13</v>
      </c>
      <c r="I84" s="236" t="s">
        <v>13</v>
      </c>
      <c r="J84" s="114" t="s">
        <v>13</v>
      </c>
      <c r="K84" s="114" t="s">
        <v>13</v>
      </c>
      <c r="L84" s="105" t="s">
        <v>548</v>
      </c>
      <c r="M84" s="105" t="s">
        <v>13</v>
      </c>
      <c r="N84" s="105" t="s">
        <v>549</v>
      </c>
      <c r="O84" s="104"/>
      <c r="P84" s="104"/>
      <c r="Q84" s="105" t="s">
        <v>211</v>
      </c>
      <c r="R84" s="106"/>
    </row>
    <row r="85" spans="1:18" ht="50">
      <c r="A85" s="142">
        <f>IF(Table2[[#This Row],[Code 
CC- ]]="", "", A84+1)</f>
        <v>82</v>
      </c>
      <c r="B85" s="221">
        <v>45860</v>
      </c>
      <c r="C85" s="151" t="s">
        <v>550</v>
      </c>
      <c r="D85" s="163" t="s">
        <v>551</v>
      </c>
      <c r="E85" s="163" t="s">
        <v>565</v>
      </c>
      <c r="F85" s="145" t="s">
        <v>47</v>
      </c>
      <c r="G85" s="114" t="s">
        <v>568</v>
      </c>
      <c r="H85" s="192" t="s">
        <v>13</v>
      </c>
      <c r="I85" s="237">
        <v>46368</v>
      </c>
      <c r="J85" s="118" t="s">
        <v>553</v>
      </c>
      <c r="K85" s="118">
        <v>5</v>
      </c>
      <c r="L85" s="119" t="s">
        <v>552</v>
      </c>
      <c r="M85" s="119" t="s">
        <v>62</v>
      </c>
      <c r="N85" s="116" t="s">
        <v>556</v>
      </c>
      <c r="O85" s="115"/>
      <c r="P85" s="115"/>
      <c r="Q85" s="116" t="s">
        <v>209</v>
      </c>
      <c r="R85" s="117"/>
    </row>
    <row r="86" spans="1:18" s="125" customFormat="1" ht="66.650000000000006" customHeight="1">
      <c r="A86" s="142">
        <f>IF(Table2[[#This Row],[Code 
CC- ]]="", "", A85+1)</f>
        <v>83</v>
      </c>
      <c r="B86" s="221">
        <v>45861</v>
      </c>
      <c r="C86" s="156" t="s">
        <v>554</v>
      </c>
      <c r="D86" s="157" t="s">
        <v>559</v>
      </c>
      <c r="E86" s="158" t="s">
        <v>581</v>
      </c>
      <c r="F86" s="143" t="s">
        <v>557</v>
      </c>
      <c r="G86" s="122" t="s">
        <v>560</v>
      </c>
      <c r="H86" s="195">
        <v>45649</v>
      </c>
      <c r="I86" s="230">
        <v>46744</v>
      </c>
      <c r="J86" s="95" t="s">
        <v>63</v>
      </c>
      <c r="K86" s="95">
        <v>6</v>
      </c>
      <c r="L86" s="96" t="s">
        <v>562</v>
      </c>
      <c r="M86" s="96" t="s">
        <v>62</v>
      </c>
      <c r="N86" s="109" t="s">
        <v>597</v>
      </c>
      <c r="O86" s="110"/>
      <c r="P86" s="110"/>
      <c r="Q86" s="109" t="s">
        <v>209</v>
      </c>
      <c r="R86" s="111"/>
    </row>
    <row r="87" spans="1:18" s="125" customFormat="1" ht="68.900000000000006" customHeight="1">
      <c r="A87" s="142">
        <f>IF(Table2[[#This Row],[Code 
CC- ]]="", "", A86+1)</f>
        <v>84</v>
      </c>
      <c r="B87" s="221">
        <v>45861</v>
      </c>
      <c r="C87" s="143" t="s">
        <v>554</v>
      </c>
      <c r="D87" s="157" t="s">
        <v>559</v>
      </c>
      <c r="E87" s="164" t="s">
        <v>581</v>
      </c>
      <c r="F87" s="143" t="s">
        <v>558</v>
      </c>
      <c r="G87" s="122" t="s">
        <v>561</v>
      </c>
      <c r="H87" s="195">
        <v>45567</v>
      </c>
      <c r="I87" s="230">
        <v>46662</v>
      </c>
      <c r="J87" s="95" t="s">
        <v>63</v>
      </c>
      <c r="K87" s="95">
        <v>5</v>
      </c>
      <c r="L87" s="96" t="s">
        <v>562</v>
      </c>
      <c r="M87" s="96" t="s">
        <v>62</v>
      </c>
      <c r="N87" s="109" t="s">
        <v>597</v>
      </c>
      <c r="O87" s="95"/>
      <c r="P87" s="95"/>
      <c r="Q87" s="96" t="s">
        <v>209</v>
      </c>
      <c r="R87" s="102"/>
    </row>
    <row r="88" spans="1:18" ht="50">
      <c r="A88" s="142">
        <f>IF(Table2[[#This Row],[Code 
CC- ]]="", "", A87+1)</f>
        <v>85</v>
      </c>
      <c r="B88" s="221">
        <v>45862</v>
      </c>
      <c r="C88" s="151" t="s">
        <v>555</v>
      </c>
      <c r="D88" s="162" t="s">
        <v>567</v>
      </c>
      <c r="E88" s="161" t="s">
        <v>566</v>
      </c>
      <c r="F88" s="145" t="s">
        <v>435</v>
      </c>
      <c r="G88" s="114" t="s">
        <v>570</v>
      </c>
      <c r="H88" s="133" t="s">
        <v>571</v>
      </c>
      <c r="I88" s="237">
        <v>46446</v>
      </c>
      <c r="J88" s="118"/>
      <c r="K88" s="118"/>
      <c r="L88" s="119" t="s">
        <v>569</v>
      </c>
      <c r="M88" s="119" t="s">
        <v>62</v>
      </c>
      <c r="N88" s="116" t="s">
        <v>579</v>
      </c>
      <c r="O88" s="115"/>
      <c r="P88" s="115"/>
      <c r="Q88" s="116" t="s">
        <v>209</v>
      </c>
      <c r="R88" s="117"/>
    </row>
    <row r="89" spans="1:18" ht="75">
      <c r="A89" s="142">
        <f>IF(Table2[[#This Row],[Code 
CC- ]]="", "", A88+1)</f>
        <v>86</v>
      </c>
      <c r="B89" s="221">
        <v>45863</v>
      </c>
      <c r="C89" s="151" t="s">
        <v>563</v>
      </c>
      <c r="D89" s="162" t="s">
        <v>309</v>
      </c>
      <c r="E89" s="154" t="s">
        <v>310</v>
      </c>
      <c r="F89" s="145" t="s">
        <v>49</v>
      </c>
      <c r="G89" s="114" t="s">
        <v>13</v>
      </c>
      <c r="H89" s="188" t="s">
        <v>13</v>
      </c>
      <c r="I89" s="236" t="s">
        <v>13</v>
      </c>
      <c r="J89" s="114" t="s">
        <v>13</v>
      </c>
      <c r="K89" s="114" t="s">
        <v>13</v>
      </c>
      <c r="L89" s="116" t="s">
        <v>564</v>
      </c>
      <c r="M89" s="116" t="s">
        <v>13</v>
      </c>
      <c r="N89" s="116" t="s">
        <v>627</v>
      </c>
      <c r="O89" s="115"/>
      <c r="P89" s="115"/>
      <c r="Q89" s="116" t="s">
        <v>341</v>
      </c>
      <c r="R89" s="117"/>
    </row>
    <row r="90" spans="1:18" ht="52">
      <c r="A90" s="142">
        <f>IF(Table2[[#This Row],[Code 
CC- ]]="", "", A89+1)</f>
        <v>87</v>
      </c>
      <c r="B90" s="221">
        <v>45863</v>
      </c>
      <c r="C90" s="151" t="s">
        <v>575</v>
      </c>
      <c r="D90" s="162" t="s">
        <v>574</v>
      </c>
      <c r="E90" s="161" t="s">
        <v>576</v>
      </c>
      <c r="F90" s="145" t="s">
        <v>66</v>
      </c>
      <c r="G90" s="114" t="s">
        <v>572</v>
      </c>
      <c r="H90" s="191">
        <v>45642</v>
      </c>
      <c r="I90" s="238">
        <v>46371</v>
      </c>
      <c r="J90" s="115" t="s">
        <v>63</v>
      </c>
      <c r="K90" s="115">
        <v>1</v>
      </c>
      <c r="L90" s="116" t="s">
        <v>573</v>
      </c>
      <c r="M90" s="119" t="s">
        <v>62</v>
      </c>
      <c r="N90" s="116" t="s">
        <v>626</v>
      </c>
      <c r="O90" s="115"/>
      <c r="P90" s="115"/>
      <c r="Q90" s="116" t="s">
        <v>195</v>
      </c>
      <c r="R90" s="117"/>
    </row>
    <row r="91" spans="1:18" ht="50">
      <c r="A91" s="142">
        <f>IF(Table2[[#This Row],[Code 
CC- ]]="", "", A90+1)</f>
        <v>88</v>
      </c>
      <c r="B91" s="221">
        <v>45868</v>
      </c>
      <c r="C91" s="151" t="s">
        <v>584</v>
      </c>
      <c r="D91" s="162" t="s">
        <v>32</v>
      </c>
      <c r="E91" s="161" t="s">
        <v>30</v>
      </c>
      <c r="F91" s="145" t="s">
        <v>557</v>
      </c>
      <c r="G91" s="114" t="s">
        <v>561</v>
      </c>
      <c r="H91" s="193" t="s">
        <v>13</v>
      </c>
      <c r="I91" s="238">
        <v>46662</v>
      </c>
      <c r="J91" s="115" t="s">
        <v>55</v>
      </c>
      <c r="K91" s="115">
        <v>1</v>
      </c>
      <c r="L91" s="116" t="s">
        <v>585</v>
      </c>
      <c r="M91" s="119" t="s">
        <v>62</v>
      </c>
      <c r="N91" s="116" t="s">
        <v>625</v>
      </c>
      <c r="O91" s="115"/>
      <c r="P91" s="115"/>
      <c r="Q91" s="116" t="s">
        <v>209</v>
      </c>
      <c r="R91" s="117"/>
    </row>
    <row r="92" spans="1:18" ht="52">
      <c r="A92" s="142">
        <f>IF(Table2[[#This Row],[Code 
CC- ]]="", "", A91+1)</f>
        <v>89</v>
      </c>
      <c r="B92" s="221">
        <v>45869</v>
      </c>
      <c r="C92" s="151" t="s">
        <v>586</v>
      </c>
      <c r="D92" s="162" t="s">
        <v>494</v>
      </c>
      <c r="E92" s="161" t="s">
        <v>587</v>
      </c>
      <c r="F92" s="145" t="s">
        <v>433</v>
      </c>
      <c r="G92" s="114" t="s">
        <v>430</v>
      </c>
      <c r="H92" s="193" t="s">
        <v>13</v>
      </c>
      <c r="I92" s="238">
        <v>46312</v>
      </c>
      <c r="J92" s="115" t="s">
        <v>55</v>
      </c>
      <c r="K92" s="115">
        <v>1</v>
      </c>
      <c r="L92" s="116" t="s">
        <v>588</v>
      </c>
      <c r="M92" s="119" t="s">
        <v>62</v>
      </c>
      <c r="N92" s="116" t="s">
        <v>624</v>
      </c>
      <c r="O92" s="115"/>
      <c r="P92" s="115"/>
      <c r="Q92" s="116" t="s">
        <v>194</v>
      </c>
      <c r="R92" s="117"/>
    </row>
    <row r="93" spans="1:18" ht="37.5">
      <c r="A93" s="142">
        <f>IF(Table2[[#This Row],[Code 
CC- ]]="", "", A92+1)</f>
        <v>90</v>
      </c>
      <c r="B93" s="221">
        <v>45874</v>
      </c>
      <c r="C93" s="151" t="s">
        <v>590</v>
      </c>
      <c r="D93" s="162" t="s">
        <v>592</v>
      </c>
      <c r="E93" s="161" t="s">
        <v>591</v>
      </c>
      <c r="F93" s="145" t="s">
        <v>61</v>
      </c>
      <c r="G93" s="114" t="s">
        <v>594</v>
      </c>
      <c r="H93" s="193" t="s">
        <v>13</v>
      </c>
      <c r="I93" s="238">
        <v>46179</v>
      </c>
      <c r="J93" s="115" t="s">
        <v>595</v>
      </c>
      <c r="K93" s="115">
        <v>24</v>
      </c>
      <c r="L93" s="116" t="s">
        <v>593</v>
      </c>
      <c r="M93" s="116" t="s">
        <v>441</v>
      </c>
      <c r="N93" s="116" t="s">
        <v>622</v>
      </c>
      <c r="O93" s="115" t="s">
        <v>596</v>
      </c>
      <c r="P93" s="115" t="s">
        <v>224</v>
      </c>
      <c r="Q93" s="116" t="s">
        <v>643</v>
      </c>
      <c r="R93" s="117"/>
    </row>
    <row r="94" spans="1:18" ht="37.5">
      <c r="A94" s="142">
        <f>IF(Table2[[#This Row],[Code 
CC- ]]="", "", A93+1)</f>
        <v>91</v>
      </c>
      <c r="B94" s="221">
        <v>45876</v>
      </c>
      <c r="C94" s="151" t="s">
        <v>599</v>
      </c>
      <c r="D94" s="165" t="s">
        <v>600</v>
      </c>
      <c r="E94" s="161" t="s">
        <v>601</v>
      </c>
      <c r="F94" s="155" t="s">
        <v>602</v>
      </c>
      <c r="G94" s="131" t="s">
        <v>384</v>
      </c>
      <c r="H94" s="191">
        <v>45138</v>
      </c>
      <c r="I94" s="238">
        <v>46234</v>
      </c>
      <c r="J94" s="115" t="s">
        <v>41</v>
      </c>
      <c r="K94" s="115">
        <v>5</v>
      </c>
      <c r="L94" s="116" t="s">
        <v>603</v>
      </c>
      <c r="M94" s="116" t="s">
        <v>441</v>
      </c>
      <c r="N94" s="105" t="s">
        <v>614</v>
      </c>
      <c r="O94" s="115"/>
      <c r="P94" s="115"/>
      <c r="Q94" s="116" t="s">
        <v>643</v>
      </c>
      <c r="R94" s="117"/>
    </row>
    <row r="95" spans="1:18" ht="37.5">
      <c r="A95" s="142">
        <f>IF(Table2[[#This Row],[Code 
CC- ]]="", "", A94+1)</f>
        <v>92</v>
      </c>
      <c r="B95" s="221">
        <v>45876</v>
      </c>
      <c r="C95" s="151" t="s">
        <v>599</v>
      </c>
      <c r="D95" s="165" t="s">
        <v>600</v>
      </c>
      <c r="E95" s="161" t="s">
        <v>601</v>
      </c>
      <c r="F95" s="155" t="s">
        <v>602</v>
      </c>
      <c r="G95" s="131" t="s">
        <v>523</v>
      </c>
      <c r="H95" s="191">
        <v>44930</v>
      </c>
      <c r="I95" s="238">
        <v>46026</v>
      </c>
      <c r="J95" s="115" t="s">
        <v>41</v>
      </c>
      <c r="K95" s="115">
        <v>1</v>
      </c>
      <c r="L95" s="116" t="s">
        <v>603</v>
      </c>
      <c r="M95" s="116" t="s">
        <v>441</v>
      </c>
      <c r="N95" s="105" t="s">
        <v>614</v>
      </c>
      <c r="O95" s="118"/>
      <c r="P95" s="118"/>
      <c r="Q95" s="119" t="s">
        <v>643</v>
      </c>
      <c r="R95" s="120"/>
    </row>
    <row r="96" spans="1:18" ht="37.5">
      <c r="A96" s="142">
        <f>IF(Table2[[#This Row],[Code 
CC- ]]="", "", A95+1)</f>
        <v>93</v>
      </c>
      <c r="B96" s="221">
        <v>45880</v>
      </c>
      <c r="C96" s="151" t="s">
        <v>605</v>
      </c>
      <c r="D96" s="153" t="s">
        <v>608</v>
      </c>
      <c r="E96" s="154" t="s">
        <v>607</v>
      </c>
      <c r="F96" s="145" t="s">
        <v>435</v>
      </c>
      <c r="G96" s="114" t="s">
        <v>609</v>
      </c>
      <c r="H96" s="107" t="s">
        <v>13</v>
      </c>
      <c r="I96" s="238">
        <v>46326</v>
      </c>
      <c r="J96" s="115" t="s">
        <v>41</v>
      </c>
      <c r="K96" s="115">
        <v>19</v>
      </c>
      <c r="L96" s="105" t="s">
        <v>623</v>
      </c>
      <c r="M96" s="119" t="s">
        <v>62</v>
      </c>
      <c r="N96" s="105" t="s">
        <v>610</v>
      </c>
      <c r="O96" s="115"/>
      <c r="P96" s="115"/>
      <c r="Q96" s="116" t="s">
        <v>209</v>
      </c>
      <c r="R96" s="117"/>
    </row>
    <row r="97" spans="1:18" ht="87.5">
      <c r="A97" s="142">
        <f>IF(Table2[[#This Row],[Code 
CC- ]]="", "", A96+1)</f>
        <v>94</v>
      </c>
      <c r="B97" s="221">
        <v>45882</v>
      </c>
      <c r="C97" s="151" t="s">
        <v>611</v>
      </c>
      <c r="D97" s="162" t="s">
        <v>56</v>
      </c>
      <c r="E97" s="154" t="s">
        <v>647</v>
      </c>
      <c r="F97" s="145" t="s">
        <v>70</v>
      </c>
      <c r="G97" s="114" t="s">
        <v>612</v>
      </c>
      <c r="H97" s="191">
        <v>45565</v>
      </c>
      <c r="I97" s="238">
        <v>46660</v>
      </c>
      <c r="J97" s="115" t="s">
        <v>41</v>
      </c>
      <c r="K97" s="115">
        <v>3</v>
      </c>
      <c r="L97" s="116" t="s">
        <v>613</v>
      </c>
      <c r="M97" s="116" t="s">
        <v>134</v>
      </c>
      <c r="N97" s="105" t="s">
        <v>621</v>
      </c>
      <c r="O97" s="115" t="s">
        <v>582</v>
      </c>
      <c r="P97" s="115"/>
      <c r="Q97" s="116" t="s">
        <v>341</v>
      </c>
      <c r="R97" s="117"/>
    </row>
    <row r="98" spans="1:18" ht="50">
      <c r="A98" s="142">
        <f>IF(Table2[[#This Row],[Code 
CC- ]]="", "", A97+1)</f>
        <v>95</v>
      </c>
      <c r="B98" s="221">
        <v>45882</v>
      </c>
      <c r="C98" s="151" t="s">
        <v>615</v>
      </c>
      <c r="D98" s="153" t="s">
        <v>617</v>
      </c>
      <c r="E98" s="154" t="s">
        <v>616</v>
      </c>
      <c r="F98" s="145" t="s">
        <v>618</v>
      </c>
      <c r="G98" s="114" t="s">
        <v>619</v>
      </c>
      <c r="H98" s="183">
        <v>45322</v>
      </c>
      <c r="I98" s="235">
        <v>46418</v>
      </c>
      <c r="J98" s="115" t="s">
        <v>41</v>
      </c>
      <c r="K98" s="104">
        <v>1</v>
      </c>
      <c r="L98" s="105" t="s">
        <v>620</v>
      </c>
      <c r="M98" s="119" t="s">
        <v>62</v>
      </c>
      <c r="N98" s="105" t="s">
        <v>491</v>
      </c>
      <c r="O98" s="104"/>
      <c r="P98" s="104"/>
      <c r="Q98" s="105" t="s">
        <v>643</v>
      </c>
      <c r="R98" s="106"/>
    </row>
    <row r="99" spans="1:18" ht="37.5">
      <c r="A99" s="142">
        <f>IF(Table2[[#This Row],[Code 
CC- ]]="", "", A98+1)</f>
        <v>96</v>
      </c>
      <c r="B99" s="221">
        <v>45882</v>
      </c>
      <c r="C99" s="151" t="s">
        <v>631</v>
      </c>
      <c r="D99" s="162" t="s">
        <v>342</v>
      </c>
      <c r="E99" s="161" t="s">
        <v>344</v>
      </c>
      <c r="F99" s="145" t="s">
        <v>629</v>
      </c>
      <c r="G99" s="114" t="s">
        <v>630</v>
      </c>
      <c r="H99" s="191">
        <v>44966</v>
      </c>
      <c r="I99" s="235">
        <v>46418</v>
      </c>
      <c r="J99" s="115" t="s">
        <v>41</v>
      </c>
      <c r="K99" s="115">
        <v>1</v>
      </c>
      <c r="L99" s="116" t="s">
        <v>628</v>
      </c>
      <c r="M99" s="119" t="s">
        <v>62</v>
      </c>
      <c r="N99" s="105" t="s">
        <v>491</v>
      </c>
      <c r="O99" s="115"/>
      <c r="P99" s="115"/>
      <c r="Q99" s="116" t="s">
        <v>194</v>
      </c>
      <c r="R99" s="117"/>
    </row>
    <row r="100" spans="1:18" ht="150">
      <c r="A100" s="142">
        <f>IF(Table2[[#This Row],[Code 
CC- ]]="", "", A99+1)</f>
        <v>97</v>
      </c>
      <c r="B100" s="221">
        <v>45883</v>
      </c>
      <c r="C100" s="151" t="s">
        <v>632</v>
      </c>
      <c r="D100" s="153" t="s">
        <v>635</v>
      </c>
      <c r="E100" s="154" t="s">
        <v>639</v>
      </c>
      <c r="F100" s="145" t="s">
        <v>480</v>
      </c>
      <c r="G100" s="114" t="s">
        <v>636</v>
      </c>
      <c r="H100" s="183">
        <v>45432</v>
      </c>
      <c r="I100" s="235" t="s">
        <v>637</v>
      </c>
      <c r="J100" s="115" t="s">
        <v>41</v>
      </c>
      <c r="K100" s="115">
        <v>1</v>
      </c>
      <c r="L100" s="105" t="s">
        <v>638</v>
      </c>
      <c r="M100" s="119" t="s">
        <v>62</v>
      </c>
      <c r="N100" s="105" t="s">
        <v>491</v>
      </c>
      <c r="O100" s="115"/>
      <c r="P100" s="115"/>
      <c r="Q100" s="116" t="s">
        <v>642</v>
      </c>
      <c r="R100" s="117"/>
    </row>
    <row r="101" spans="1:18" ht="37.5">
      <c r="A101" s="142">
        <f>IF(Table2[[#This Row],[Code 
CC- ]]="", "", A100+1)</f>
        <v>98</v>
      </c>
      <c r="B101" s="221">
        <v>45884</v>
      </c>
      <c r="C101" s="151" t="s">
        <v>633</v>
      </c>
      <c r="D101" s="162" t="s">
        <v>634</v>
      </c>
      <c r="E101" s="154" t="s">
        <v>640</v>
      </c>
      <c r="F101" s="145" t="s">
        <v>71</v>
      </c>
      <c r="G101" s="114" t="s">
        <v>483</v>
      </c>
      <c r="H101" s="183">
        <v>45236</v>
      </c>
      <c r="I101" s="238">
        <v>46326</v>
      </c>
      <c r="J101" s="115" t="s">
        <v>41</v>
      </c>
      <c r="K101" s="115">
        <v>1</v>
      </c>
      <c r="L101" s="105" t="s">
        <v>641</v>
      </c>
      <c r="M101" s="119" t="s">
        <v>62</v>
      </c>
      <c r="N101" s="105" t="s">
        <v>662</v>
      </c>
      <c r="O101" s="115"/>
      <c r="P101" s="115"/>
      <c r="Q101" s="116" t="s">
        <v>642</v>
      </c>
      <c r="R101" s="117"/>
    </row>
    <row r="102" spans="1:18" ht="50">
      <c r="A102" s="142">
        <f>IF(Table2[[#This Row],[Code 
CC- ]]="", "", A101+1)</f>
        <v>99</v>
      </c>
      <c r="B102" s="221">
        <v>45887</v>
      </c>
      <c r="C102" s="151" t="s">
        <v>649</v>
      </c>
      <c r="D102" s="153" t="s">
        <v>656</v>
      </c>
      <c r="E102" s="154" t="s">
        <v>657</v>
      </c>
      <c r="F102" s="155" t="s">
        <v>648</v>
      </c>
      <c r="G102" s="131" t="s">
        <v>658</v>
      </c>
      <c r="H102" s="107" t="s">
        <v>13</v>
      </c>
      <c r="I102" s="238">
        <v>46345</v>
      </c>
      <c r="J102" s="104" t="s">
        <v>41</v>
      </c>
      <c r="K102" s="115">
        <v>2</v>
      </c>
      <c r="L102" s="105" t="s">
        <v>659</v>
      </c>
      <c r="M102" s="119" t="s">
        <v>62</v>
      </c>
      <c r="N102" s="105" t="s">
        <v>661</v>
      </c>
      <c r="O102" s="115"/>
      <c r="P102" s="115"/>
      <c r="Q102" s="116" t="s">
        <v>195</v>
      </c>
      <c r="R102" s="117"/>
    </row>
    <row r="103" spans="1:18" ht="52">
      <c r="A103" s="142">
        <f>IF(Table2[[#This Row],[Code 
CC- ]]="", "", A102+1)</f>
        <v>100</v>
      </c>
      <c r="B103" s="221">
        <v>45891</v>
      </c>
      <c r="C103" s="151" t="s">
        <v>651</v>
      </c>
      <c r="D103" s="162" t="s">
        <v>655</v>
      </c>
      <c r="E103" s="161" t="s">
        <v>101</v>
      </c>
      <c r="F103" s="145" t="s">
        <v>650</v>
      </c>
      <c r="G103" s="114" t="s">
        <v>652</v>
      </c>
      <c r="H103" s="191">
        <v>45520</v>
      </c>
      <c r="I103" s="238">
        <v>46614</v>
      </c>
      <c r="J103" s="104" t="s">
        <v>64</v>
      </c>
      <c r="K103" s="115">
        <v>1</v>
      </c>
      <c r="L103" s="116" t="s">
        <v>653</v>
      </c>
      <c r="M103" s="119" t="s">
        <v>62</v>
      </c>
      <c r="N103" s="105" t="s">
        <v>718</v>
      </c>
      <c r="O103" s="115" t="s">
        <v>54</v>
      </c>
      <c r="P103" s="115" t="s">
        <v>660</v>
      </c>
      <c r="Q103" s="116" t="s">
        <v>643</v>
      </c>
      <c r="R103" s="117">
        <v>45967</v>
      </c>
    </row>
    <row r="104" spans="1:18" ht="52">
      <c r="A104" s="142">
        <f>IF(Table2[[#This Row],[Code 
CC- ]]="", "", A103+1)</f>
        <v>101</v>
      </c>
      <c r="B104" s="221">
        <v>45891</v>
      </c>
      <c r="C104" s="151" t="s">
        <v>651</v>
      </c>
      <c r="D104" s="162" t="s">
        <v>655</v>
      </c>
      <c r="E104" s="161" t="s">
        <v>101</v>
      </c>
      <c r="F104" s="166" t="s">
        <v>650</v>
      </c>
      <c r="G104" s="114" t="s">
        <v>405</v>
      </c>
      <c r="H104" s="191">
        <v>45522</v>
      </c>
      <c r="I104" s="238">
        <v>46616</v>
      </c>
      <c r="J104" s="104" t="s">
        <v>64</v>
      </c>
      <c r="K104" s="115">
        <v>1</v>
      </c>
      <c r="L104" s="116" t="s">
        <v>654</v>
      </c>
      <c r="M104" s="119" t="s">
        <v>62</v>
      </c>
      <c r="N104" s="105" t="s">
        <v>718</v>
      </c>
      <c r="O104" s="115" t="s">
        <v>54</v>
      </c>
      <c r="P104" s="115" t="s">
        <v>660</v>
      </c>
      <c r="Q104" s="116" t="s">
        <v>643</v>
      </c>
      <c r="R104" s="117">
        <v>45967</v>
      </c>
    </row>
    <row r="105" spans="1:18" ht="50">
      <c r="A105" s="142">
        <f>IF(Table2[[#This Row],[Code 
CC- ]]="", "", A104+1)</f>
        <v>102</v>
      </c>
      <c r="B105" s="221">
        <v>45894</v>
      </c>
      <c r="C105" s="151" t="s">
        <v>678</v>
      </c>
      <c r="D105" s="163" t="s">
        <v>663</v>
      </c>
      <c r="E105" s="163" t="s">
        <v>664</v>
      </c>
      <c r="F105" s="145" t="s">
        <v>49</v>
      </c>
      <c r="G105" s="114" t="s">
        <v>467</v>
      </c>
      <c r="H105" s="133" t="s">
        <v>666</v>
      </c>
      <c r="I105" s="238">
        <v>46265</v>
      </c>
      <c r="J105" s="115" t="s">
        <v>64</v>
      </c>
      <c r="K105" s="115">
        <v>1</v>
      </c>
      <c r="L105" s="116" t="s">
        <v>665</v>
      </c>
      <c r="M105" s="119" t="s">
        <v>62</v>
      </c>
      <c r="N105" s="105" t="s">
        <v>672</v>
      </c>
      <c r="O105" s="115"/>
      <c r="P105" s="115"/>
      <c r="Q105" s="116" t="s">
        <v>644</v>
      </c>
      <c r="R105" s="117"/>
    </row>
    <row r="106" spans="1:18" ht="37.5">
      <c r="A106" s="142">
        <f>IF(Table2[[#This Row],[Code 
CC- ]]="", "", A105+1)</f>
        <v>103</v>
      </c>
      <c r="B106" s="221">
        <v>45895</v>
      </c>
      <c r="C106" s="151" t="s">
        <v>667</v>
      </c>
      <c r="D106" s="153" t="s">
        <v>668</v>
      </c>
      <c r="E106" s="161" t="s">
        <v>671</v>
      </c>
      <c r="F106" s="145" t="s">
        <v>53</v>
      </c>
      <c r="G106" s="114" t="s">
        <v>669</v>
      </c>
      <c r="H106" s="191">
        <v>45718</v>
      </c>
      <c r="I106" s="238">
        <v>46081</v>
      </c>
      <c r="J106" s="115" t="s">
        <v>31</v>
      </c>
      <c r="K106" s="115">
        <v>1</v>
      </c>
      <c r="L106" s="116" t="s">
        <v>676</v>
      </c>
      <c r="M106" s="119" t="s">
        <v>62</v>
      </c>
      <c r="N106" s="116" t="s">
        <v>677</v>
      </c>
      <c r="O106" s="104" t="s">
        <v>54</v>
      </c>
      <c r="P106" s="104" t="s">
        <v>157</v>
      </c>
      <c r="Q106" s="116" t="s">
        <v>194</v>
      </c>
      <c r="R106" s="117"/>
    </row>
    <row r="107" spans="1:18" ht="69" customHeight="1">
      <c r="A107" s="142">
        <f>IF(Table2[[#This Row],[Code 
CC- ]]="", "", A106+1)</f>
        <v>104</v>
      </c>
      <c r="B107" s="221">
        <v>45897</v>
      </c>
      <c r="C107" s="151" t="s">
        <v>670</v>
      </c>
      <c r="D107" s="162" t="s">
        <v>673</v>
      </c>
      <c r="E107" s="161" t="s">
        <v>674</v>
      </c>
      <c r="F107" s="145" t="s">
        <v>49</v>
      </c>
      <c r="G107" s="114" t="s">
        <v>467</v>
      </c>
      <c r="H107" s="191">
        <v>45367</v>
      </c>
      <c r="I107" s="238">
        <v>46265</v>
      </c>
      <c r="J107" s="115" t="s">
        <v>31</v>
      </c>
      <c r="K107" s="115">
        <v>1</v>
      </c>
      <c r="L107" s="116" t="s">
        <v>75</v>
      </c>
      <c r="M107" s="119" t="s">
        <v>62</v>
      </c>
      <c r="N107" s="116" t="s">
        <v>675</v>
      </c>
      <c r="O107" s="115"/>
      <c r="P107" s="115"/>
      <c r="Q107" s="116" t="s">
        <v>643</v>
      </c>
      <c r="R107" s="117">
        <v>45940</v>
      </c>
    </row>
    <row r="108" spans="1:18" ht="37.5">
      <c r="A108" s="142">
        <f>IF(Table2[[#This Row],[Code 
CC- ]]="", "", A107+1)</f>
        <v>105</v>
      </c>
      <c r="B108" s="221">
        <v>45909</v>
      </c>
      <c r="C108" s="151" t="s">
        <v>700</v>
      </c>
      <c r="D108" s="162" t="s">
        <v>680</v>
      </c>
      <c r="E108" s="161" t="s">
        <v>681</v>
      </c>
      <c r="F108" s="145" t="s">
        <v>42</v>
      </c>
      <c r="G108" s="114" t="s">
        <v>682</v>
      </c>
      <c r="H108" s="191">
        <v>45765</v>
      </c>
      <c r="I108" s="238">
        <v>46310</v>
      </c>
      <c r="J108" s="115" t="s">
        <v>63</v>
      </c>
      <c r="K108" s="115">
        <v>1</v>
      </c>
      <c r="L108" s="116" t="s">
        <v>683</v>
      </c>
      <c r="M108" s="116" t="s">
        <v>134</v>
      </c>
      <c r="N108" s="116" t="s">
        <v>699</v>
      </c>
      <c r="O108" s="115"/>
      <c r="P108" s="115"/>
      <c r="Q108" s="116" t="s">
        <v>644</v>
      </c>
      <c r="R108" s="117"/>
    </row>
    <row r="109" spans="1:18" ht="37.5">
      <c r="A109" s="142">
        <f>IF(Table2[[#This Row],[Code 
CC- ]]="", "", A108+1)</f>
        <v>106</v>
      </c>
      <c r="B109" s="221">
        <v>45910</v>
      </c>
      <c r="C109" s="151" t="s">
        <v>684</v>
      </c>
      <c r="D109" s="162" t="s">
        <v>127</v>
      </c>
      <c r="E109" s="161" t="s">
        <v>488</v>
      </c>
      <c r="F109" s="145" t="s">
        <v>49</v>
      </c>
      <c r="G109" s="114" t="s">
        <v>68</v>
      </c>
      <c r="H109" s="191">
        <v>45324</v>
      </c>
      <c r="I109" s="238">
        <v>46234</v>
      </c>
      <c r="J109" s="115" t="s">
        <v>64</v>
      </c>
      <c r="K109" s="115">
        <v>1</v>
      </c>
      <c r="L109" s="116" t="s">
        <v>685</v>
      </c>
      <c r="M109" s="119" t="s">
        <v>62</v>
      </c>
      <c r="N109" s="116" t="s">
        <v>702</v>
      </c>
      <c r="O109" s="115" t="s">
        <v>54</v>
      </c>
      <c r="P109" s="115" t="s">
        <v>583</v>
      </c>
      <c r="Q109" s="116" t="s">
        <v>194</v>
      </c>
      <c r="R109" s="117"/>
    </row>
    <row r="110" spans="1:18" ht="37.5">
      <c r="A110" s="142">
        <f>IF(Table2[[#This Row],[Code 
CC- ]]="", "", A109+1)</f>
        <v>107</v>
      </c>
      <c r="B110" s="221">
        <v>45910</v>
      </c>
      <c r="C110" s="151" t="s">
        <v>686</v>
      </c>
      <c r="D110" s="153" t="s">
        <v>687</v>
      </c>
      <c r="E110" s="154" t="s">
        <v>705</v>
      </c>
      <c r="F110" s="145" t="s">
        <v>39</v>
      </c>
      <c r="G110" s="114" t="s">
        <v>701</v>
      </c>
      <c r="H110" s="183">
        <v>45702</v>
      </c>
      <c r="I110" s="235">
        <v>46783</v>
      </c>
      <c r="J110" s="104" t="s">
        <v>17</v>
      </c>
      <c r="K110" s="104">
        <v>1</v>
      </c>
      <c r="L110" s="105" t="s">
        <v>728</v>
      </c>
      <c r="M110" s="119" t="s">
        <v>62</v>
      </c>
      <c r="N110" s="105" t="s">
        <v>730</v>
      </c>
      <c r="O110" s="104"/>
      <c r="P110" s="104"/>
      <c r="Q110" s="105" t="s">
        <v>643</v>
      </c>
      <c r="R110" s="106">
        <v>45950</v>
      </c>
    </row>
    <row r="111" spans="1:18" ht="37.5">
      <c r="A111" s="142">
        <f>IF(Table2[[#This Row],[Code 
CC- ]]="", "", A110+1)</f>
        <v>108</v>
      </c>
      <c r="B111" s="221">
        <v>45911</v>
      </c>
      <c r="C111" s="151" t="s">
        <v>688</v>
      </c>
      <c r="D111" s="162" t="s">
        <v>690</v>
      </c>
      <c r="E111" s="161" t="s">
        <v>706</v>
      </c>
      <c r="F111" s="145" t="s">
        <v>689</v>
      </c>
      <c r="G111" s="114" t="s">
        <v>691</v>
      </c>
      <c r="H111" s="191">
        <v>45584</v>
      </c>
      <c r="I111" s="238"/>
      <c r="J111" s="115"/>
      <c r="K111" s="115"/>
      <c r="L111" s="116" t="s">
        <v>692</v>
      </c>
      <c r="M111" s="119" t="s">
        <v>62</v>
      </c>
      <c r="N111" s="116" t="s">
        <v>750</v>
      </c>
      <c r="O111" s="115"/>
      <c r="P111" s="115"/>
      <c r="Q111" s="116" t="s">
        <v>643</v>
      </c>
      <c r="R111" s="117"/>
    </row>
    <row r="112" spans="1:18" ht="37.5">
      <c r="A112" s="142">
        <f>IF(Table2[[#This Row],[Code 
CC- ]]="", "", A111+1)</f>
        <v>109</v>
      </c>
      <c r="B112" s="221">
        <v>45912</v>
      </c>
      <c r="C112" s="151" t="s">
        <v>693</v>
      </c>
      <c r="D112" s="162" t="s">
        <v>694</v>
      </c>
      <c r="E112" s="158" t="s">
        <v>50</v>
      </c>
      <c r="F112" s="145" t="s">
        <v>380</v>
      </c>
      <c r="G112" s="114" t="s">
        <v>695</v>
      </c>
      <c r="H112" s="191">
        <v>45623</v>
      </c>
      <c r="I112" s="238">
        <v>46353</v>
      </c>
      <c r="J112" s="115" t="s">
        <v>15</v>
      </c>
      <c r="K112" s="115">
        <v>1</v>
      </c>
      <c r="L112" s="116" t="s">
        <v>729</v>
      </c>
      <c r="M112" s="119" t="s">
        <v>62</v>
      </c>
      <c r="N112" s="116" t="s">
        <v>703</v>
      </c>
      <c r="O112" s="115"/>
      <c r="P112" s="115"/>
      <c r="Q112" s="116" t="s">
        <v>643</v>
      </c>
      <c r="R112" s="117"/>
    </row>
    <row r="113" spans="1:18" ht="50">
      <c r="A113" s="142">
        <f>IF(Table2[[#This Row],[Code 
CC- ]]="", "", A112+1)</f>
        <v>110</v>
      </c>
      <c r="B113" s="221">
        <v>45915</v>
      </c>
      <c r="C113" s="151" t="s">
        <v>696</v>
      </c>
      <c r="D113" s="163" t="s">
        <v>286</v>
      </c>
      <c r="E113" s="163" t="s">
        <v>30</v>
      </c>
      <c r="F113" s="145" t="s">
        <v>697</v>
      </c>
      <c r="G113" s="114" t="s">
        <v>698</v>
      </c>
      <c r="H113" s="193" t="s">
        <v>13</v>
      </c>
      <c r="I113" s="238">
        <v>47232</v>
      </c>
      <c r="J113" s="115" t="s">
        <v>15</v>
      </c>
      <c r="K113" s="115">
        <v>1</v>
      </c>
      <c r="L113" s="116" t="s">
        <v>704</v>
      </c>
      <c r="M113" s="119" t="s">
        <v>62</v>
      </c>
      <c r="N113" s="116" t="s">
        <v>741</v>
      </c>
      <c r="O113" s="115"/>
      <c r="P113" s="115"/>
      <c r="Q113" s="116" t="s">
        <v>643</v>
      </c>
      <c r="R113" s="117"/>
    </row>
    <row r="114" spans="1:18" ht="50">
      <c r="A114" s="142">
        <f>IF(Table2[[#This Row],[Code 
CC- ]]="", "", A113+1)</f>
        <v>111</v>
      </c>
      <c r="B114" s="221">
        <v>45918</v>
      </c>
      <c r="C114" s="151" t="s">
        <v>709</v>
      </c>
      <c r="D114" s="162" t="s">
        <v>707</v>
      </c>
      <c r="E114" s="161" t="s">
        <v>708</v>
      </c>
      <c r="F114" s="145" t="s">
        <v>710</v>
      </c>
      <c r="G114" s="114" t="s">
        <v>739</v>
      </c>
      <c r="H114" s="170" t="s">
        <v>796</v>
      </c>
      <c r="I114" s="238">
        <v>46630</v>
      </c>
      <c r="J114" s="115" t="s">
        <v>15</v>
      </c>
      <c r="K114" s="115">
        <v>1</v>
      </c>
      <c r="L114" s="116" t="s">
        <v>740</v>
      </c>
      <c r="M114" s="119" t="s">
        <v>62</v>
      </c>
      <c r="N114" s="105" t="s">
        <v>797</v>
      </c>
      <c r="O114" s="115"/>
      <c r="P114" s="115"/>
      <c r="Q114" s="116" t="s">
        <v>195</v>
      </c>
      <c r="R114" s="117"/>
    </row>
    <row r="115" spans="1:18" ht="37.5">
      <c r="A115" s="142">
        <f>IF(Table2[[#This Row],[Code 
CC- ]]="", "", A114+1)</f>
        <v>112</v>
      </c>
      <c r="B115" s="221">
        <v>45922</v>
      </c>
      <c r="C115" s="151" t="s">
        <v>711</v>
      </c>
      <c r="D115" s="162" t="s">
        <v>713</v>
      </c>
      <c r="E115" s="161" t="s">
        <v>714</v>
      </c>
      <c r="F115" s="145" t="s">
        <v>29</v>
      </c>
      <c r="G115" s="114" t="s">
        <v>712</v>
      </c>
      <c r="H115" s="191">
        <v>45539</v>
      </c>
      <c r="I115" s="238">
        <v>46630</v>
      </c>
      <c r="J115" s="115" t="s">
        <v>17</v>
      </c>
      <c r="K115" s="115">
        <v>1</v>
      </c>
      <c r="L115" s="116" t="s">
        <v>715</v>
      </c>
      <c r="M115" s="119" t="s">
        <v>62</v>
      </c>
      <c r="N115" s="116" t="s">
        <v>749</v>
      </c>
      <c r="O115" s="115"/>
      <c r="P115" s="115" t="s">
        <v>583</v>
      </c>
      <c r="Q115" s="116" t="s">
        <v>194</v>
      </c>
      <c r="R115" s="117"/>
    </row>
    <row r="116" spans="1:18" ht="37.5">
      <c r="A116" s="142">
        <f>IF(Table2[[#This Row],[Code 
CC- ]]="", "", A115+1)</f>
        <v>113</v>
      </c>
      <c r="B116" s="221">
        <v>45923</v>
      </c>
      <c r="C116" s="151" t="s">
        <v>721</v>
      </c>
      <c r="D116" s="162" t="s">
        <v>716</v>
      </c>
      <c r="E116" s="161" t="s">
        <v>719</v>
      </c>
      <c r="F116" s="145" t="s">
        <v>39</v>
      </c>
      <c r="G116" s="114" t="s">
        <v>13</v>
      </c>
      <c r="H116" s="196" t="s">
        <v>13</v>
      </c>
      <c r="I116" s="240" t="s">
        <v>13</v>
      </c>
      <c r="J116" s="115" t="s">
        <v>41</v>
      </c>
      <c r="K116" s="115">
        <v>1</v>
      </c>
      <c r="L116" s="116" t="s">
        <v>717</v>
      </c>
      <c r="M116" s="116" t="s">
        <v>134</v>
      </c>
      <c r="N116" s="116" t="s">
        <v>720</v>
      </c>
      <c r="O116" s="115"/>
      <c r="P116" s="115"/>
      <c r="Q116" s="116" t="s">
        <v>644</v>
      </c>
      <c r="R116" s="117"/>
    </row>
    <row r="117" spans="1:18" ht="50">
      <c r="A117" s="142">
        <f>IF(Table2[[#This Row],[Code 
CC- ]]="", "", A116+1)</f>
        <v>114</v>
      </c>
      <c r="B117" s="221">
        <v>45924</v>
      </c>
      <c r="C117" s="151" t="s">
        <v>722</v>
      </c>
      <c r="D117" s="162" t="s">
        <v>723</v>
      </c>
      <c r="E117" s="161" t="s">
        <v>724</v>
      </c>
      <c r="F117" s="155" t="s">
        <v>725</v>
      </c>
      <c r="G117" s="131" t="s">
        <v>726</v>
      </c>
      <c r="H117" s="193"/>
      <c r="I117" s="238">
        <v>47245</v>
      </c>
      <c r="J117" s="115" t="s">
        <v>510</v>
      </c>
      <c r="K117" s="115">
        <v>2</v>
      </c>
      <c r="L117" s="116" t="s">
        <v>727</v>
      </c>
      <c r="M117" s="119" t="s">
        <v>62</v>
      </c>
      <c r="N117" s="116" t="s">
        <v>855</v>
      </c>
      <c r="O117" s="115"/>
      <c r="P117" s="115" t="s">
        <v>583</v>
      </c>
      <c r="Q117" s="116" t="s">
        <v>644</v>
      </c>
      <c r="R117" s="117"/>
    </row>
    <row r="118" spans="1:18" ht="37.5">
      <c r="A118" s="142">
        <f>IF(Table2[[#This Row],[Code 
CC- ]]="", "", A117+1)</f>
        <v>115</v>
      </c>
      <c r="B118" s="221">
        <v>45925</v>
      </c>
      <c r="C118" s="151" t="s">
        <v>731</v>
      </c>
      <c r="D118" s="162" t="s">
        <v>342</v>
      </c>
      <c r="E118" s="158" t="s">
        <v>344</v>
      </c>
      <c r="F118" s="145" t="s">
        <v>480</v>
      </c>
      <c r="G118" s="131" t="s">
        <v>221</v>
      </c>
      <c r="H118" s="191">
        <v>45328</v>
      </c>
      <c r="I118" s="238">
        <v>46418</v>
      </c>
      <c r="J118" s="115" t="s">
        <v>63</v>
      </c>
      <c r="K118" s="115">
        <v>1</v>
      </c>
      <c r="L118" s="116" t="s">
        <v>732</v>
      </c>
      <c r="M118" s="119" t="s">
        <v>62</v>
      </c>
      <c r="N118" s="116" t="s">
        <v>733</v>
      </c>
      <c r="O118" s="115"/>
      <c r="P118" s="115"/>
      <c r="Q118" s="116" t="s">
        <v>643</v>
      </c>
      <c r="R118" s="117"/>
    </row>
    <row r="119" spans="1:18" ht="37.5">
      <c r="A119" s="142">
        <f>IF(Table2[[#This Row],[Code 
CC- ]]="", "", A118+1)</f>
        <v>116</v>
      </c>
      <c r="B119" s="221">
        <v>45926</v>
      </c>
      <c r="C119" s="151" t="s">
        <v>734</v>
      </c>
      <c r="D119" s="162" t="s">
        <v>735</v>
      </c>
      <c r="E119" s="161" t="s">
        <v>736</v>
      </c>
      <c r="F119" s="155" t="s">
        <v>618</v>
      </c>
      <c r="G119" s="131" t="s">
        <v>737</v>
      </c>
      <c r="H119" s="193" t="s">
        <v>13</v>
      </c>
      <c r="I119" s="238">
        <v>46326</v>
      </c>
      <c r="J119" s="115" t="s">
        <v>41</v>
      </c>
      <c r="K119" s="115">
        <v>1</v>
      </c>
      <c r="L119" s="116" t="s">
        <v>738</v>
      </c>
      <c r="M119" s="116" t="s">
        <v>62</v>
      </c>
      <c r="N119" s="116" t="s">
        <v>748</v>
      </c>
      <c r="O119" s="115"/>
      <c r="P119" s="115" t="s">
        <v>583</v>
      </c>
      <c r="Q119" s="116" t="s">
        <v>643</v>
      </c>
      <c r="R119" s="117"/>
    </row>
    <row r="120" spans="1:18" ht="58.4" customHeight="1">
      <c r="A120" s="142">
        <f>IF(Table2[[#This Row],[Code 
CC- ]]="", "", A119+1)</f>
        <v>117</v>
      </c>
      <c r="B120" s="221">
        <v>45930</v>
      </c>
      <c r="C120" s="151" t="s">
        <v>742</v>
      </c>
      <c r="D120" s="162" t="s">
        <v>744</v>
      </c>
      <c r="E120" s="161" t="s">
        <v>745</v>
      </c>
      <c r="F120" s="145" t="s">
        <v>743</v>
      </c>
      <c r="G120" s="114" t="s">
        <v>746</v>
      </c>
      <c r="H120" s="191">
        <v>45489</v>
      </c>
      <c r="I120" s="238">
        <v>46219</v>
      </c>
      <c r="J120" s="115" t="s">
        <v>41</v>
      </c>
      <c r="K120" s="115">
        <v>1</v>
      </c>
      <c r="L120" s="116" t="s">
        <v>747</v>
      </c>
      <c r="M120" s="119" t="s">
        <v>62</v>
      </c>
      <c r="N120" s="116" t="s">
        <v>783</v>
      </c>
      <c r="O120" s="115"/>
      <c r="P120" s="115"/>
      <c r="Q120" s="116" t="s">
        <v>210</v>
      </c>
      <c r="R120" s="117"/>
    </row>
    <row r="121" spans="1:18" ht="61.4" customHeight="1">
      <c r="A121" s="142">
        <f>IF(Table2[[#This Row],[Code 
CC- ]]="", "", A120+1)</f>
        <v>118</v>
      </c>
      <c r="B121" s="221">
        <v>45931</v>
      </c>
      <c r="C121" s="151" t="s">
        <v>751</v>
      </c>
      <c r="D121" s="162" t="s">
        <v>752</v>
      </c>
      <c r="E121" s="161" t="s">
        <v>753</v>
      </c>
      <c r="F121" s="145" t="s">
        <v>49</v>
      </c>
      <c r="G121" s="114" t="s">
        <v>754</v>
      </c>
      <c r="H121" s="191">
        <v>45397</v>
      </c>
      <c r="I121" s="238">
        <v>46295</v>
      </c>
      <c r="J121" s="115" t="s">
        <v>15</v>
      </c>
      <c r="K121" s="115">
        <v>1</v>
      </c>
      <c r="L121" s="105" t="s">
        <v>755</v>
      </c>
      <c r="M121" s="119" t="s">
        <v>62</v>
      </c>
      <c r="N121" s="105" t="s">
        <v>946</v>
      </c>
      <c r="O121" s="104" t="s">
        <v>779</v>
      </c>
      <c r="P121" s="104" t="s">
        <v>780</v>
      </c>
      <c r="Q121" s="116" t="s">
        <v>644</v>
      </c>
      <c r="R121" s="117"/>
    </row>
    <row r="122" spans="1:18" ht="37.5">
      <c r="A122" s="142">
        <f>IF(Table2[[#This Row],[Code 
CC- ]]="", "", A121+1)</f>
        <v>119</v>
      </c>
      <c r="B122" s="221">
        <v>45932</v>
      </c>
      <c r="C122" s="151" t="s">
        <v>784</v>
      </c>
      <c r="D122" s="153" t="s">
        <v>769</v>
      </c>
      <c r="E122" s="154" t="s">
        <v>768</v>
      </c>
      <c r="F122" s="145" t="s">
        <v>770</v>
      </c>
      <c r="G122" s="114" t="s">
        <v>756</v>
      </c>
      <c r="H122" s="107" t="s">
        <v>13</v>
      </c>
      <c r="I122" s="238">
        <v>46539</v>
      </c>
      <c r="J122" s="104" t="s">
        <v>33</v>
      </c>
      <c r="K122" s="115">
        <v>3</v>
      </c>
      <c r="L122" s="105" t="s">
        <v>757</v>
      </c>
      <c r="M122" s="116" t="s">
        <v>441</v>
      </c>
      <c r="N122" s="116" t="s">
        <v>781</v>
      </c>
      <c r="O122" s="115" t="s">
        <v>779</v>
      </c>
      <c r="P122" s="115" t="s">
        <v>780</v>
      </c>
      <c r="Q122" s="116" t="s">
        <v>644</v>
      </c>
      <c r="R122" s="117"/>
    </row>
    <row r="123" spans="1:18" ht="50">
      <c r="A123" s="142">
        <f>IF(Table2[[#This Row],[Code 
CC- ]]="", "", A122+1)</f>
        <v>120</v>
      </c>
      <c r="B123" s="221">
        <v>45932</v>
      </c>
      <c r="C123" s="151" t="s">
        <v>758</v>
      </c>
      <c r="D123" s="162" t="s">
        <v>763</v>
      </c>
      <c r="E123" s="154" t="s">
        <v>764</v>
      </c>
      <c r="F123" s="145" t="s">
        <v>760</v>
      </c>
      <c r="G123" s="114" t="s">
        <v>761</v>
      </c>
      <c r="H123" s="170" t="s">
        <v>424</v>
      </c>
      <c r="I123" s="238">
        <v>46477</v>
      </c>
      <c r="J123" s="104" t="s">
        <v>35</v>
      </c>
      <c r="K123" s="115">
        <v>1</v>
      </c>
      <c r="L123" s="105" t="s">
        <v>762</v>
      </c>
      <c r="M123" s="119" t="s">
        <v>62</v>
      </c>
      <c r="N123" s="105" t="s">
        <v>896</v>
      </c>
      <c r="O123" s="115"/>
      <c r="P123" s="115" t="s">
        <v>583</v>
      </c>
      <c r="Q123" s="116" t="s">
        <v>643</v>
      </c>
      <c r="R123" s="117"/>
    </row>
    <row r="124" spans="1:18" ht="60" customHeight="1">
      <c r="A124" s="142">
        <f>IF(Table2[[#This Row],[Code 
CC- ]]="", "", A123+1)</f>
        <v>121</v>
      </c>
      <c r="B124" s="221">
        <v>45932</v>
      </c>
      <c r="C124" s="151" t="s">
        <v>759</v>
      </c>
      <c r="D124" s="153" t="s">
        <v>37</v>
      </c>
      <c r="E124" s="161" t="s">
        <v>38</v>
      </c>
      <c r="F124" s="145" t="s">
        <v>71</v>
      </c>
      <c r="G124" s="169" t="s">
        <v>483</v>
      </c>
      <c r="H124" s="191">
        <v>45236</v>
      </c>
      <c r="I124" s="238">
        <v>46326</v>
      </c>
      <c r="J124" s="115" t="s">
        <v>41</v>
      </c>
      <c r="K124" s="115">
        <v>1</v>
      </c>
      <c r="L124" s="105" t="s">
        <v>765</v>
      </c>
      <c r="M124" s="119" t="s">
        <v>62</v>
      </c>
      <c r="N124" s="105" t="s">
        <v>766</v>
      </c>
      <c r="O124" s="104" t="s">
        <v>767</v>
      </c>
      <c r="P124" s="104" t="s">
        <v>157</v>
      </c>
      <c r="Q124" s="116" t="s">
        <v>643</v>
      </c>
      <c r="R124" s="117"/>
    </row>
    <row r="125" spans="1:18" ht="50">
      <c r="A125" s="142">
        <f>IF(Table2[[#This Row],[Code 
CC- ]]="", "", A124+1)</f>
        <v>122</v>
      </c>
      <c r="B125" s="221">
        <v>45933</v>
      </c>
      <c r="C125" s="151" t="s">
        <v>782</v>
      </c>
      <c r="D125" s="153" t="s">
        <v>551</v>
      </c>
      <c r="E125" s="161" t="s">
        <v>565</v>
      </c>
      <c r="F125" s="155" t="s">
        <v>771</v>
      </c>
      <c r="G125" s="131" t="s">
        <v>772</v>
      </c>
      <c r="H125" s="191">
        <v>45792</v>
      </c>
      <c r="I125" s="238">
        <v>46522</v>
      </c>
      <c r="J125" s="115" t="s">
        <v>41</v>
      </c>
      <c r="K125" s="115">
        <v>10</v>
      </c>
      <c r="L125" s="105" t="s">
        <v>773</v>
      </c>
      <c r="M125" s="119" t="s">
        <v>134</v>
      </c>
      <c r="N125" s="129" t="s">
        <v>1070</v>
      </c>
      <c r="O125" s="104"/>
      <c r="P125" s="104"/>
      <c r="Q125" s="116" t="s">
        <v>644</v>
      </c>
      <c r="R125" s="117"/>
    </row>
    <row r="126" spans="1:18" ht="25">
      <c r="A126" s="142">
        <f>IF(Table2[[#This Row],[Code 
CC- ]]="", "", A125+1)</f>
        <v>123</v>
      </c>
      <c r="B126" s="221">
        <v>45936</v>
      </c>
      <c r="C126" s="145" t="s">
        <v>778</v>
      </c>
      <c r="D126" s="153" t="s">
        <v>774</v>
      </c>
      <c r="E126" s="161" t="s">
        <v>775</v>
      </c>
      <c r="F126" s="155" t="s">
        <v>776</v>
      </c>
      <c r="G126" s="131" t="s">
        <v>777</v>
      </c>
      <c r="H126" s="191" t="s">
        <v>13</v>
      </c>
      <c r="I126" s="238">
        <v>46551</v>
      </c>
      <c r="J126" s="115" t="s">
        <v>41</v>
      </c>
      <c r="K126" s="115">
        <v>1</v>
      </c>
      <c r="L126" s="98" t="s">
        <v>837</v>
      </c>
      <c r="M126" s="119" t="s">
        <v>62</v>
      </c>
      <c r="N126" s="127" t="s">
        <v>897</v>
      </c>
      <c r="O126" s="97"/>
      <c r="P126" s="97" t="s">
        <v>583</v>
      </c>
      <c r="Q126" s="116" t="s">
        <v>643</v>
      </c>
      <c r="R126" s="120"/>
    </row>
    <row r="127" spans="1:18" ht="50">
      <c r="A127" s="142">
        <f>IF(Table2[[#This Row],[Code 
CC- ]]="", "", A126+1)</f>
        <v>124</v>
      </c>
      <c r="B127" s="221">
        <v>45937</v>
      </c>
      <c r="C127" s="151" t="s">
        <v>785</v>
      </c>
      <c r="D127" s="153" t="s">
        <v>786</v>
      </c>
      <c r="E127" s="154" t="s">
        <v>787</v>
      </c>
      <c r="F127" s="145" t="s">
        <v>788</v>
      </c>
      <c r="G127" s="114" t="s">
        <v>789</v>
      </c>
      <c r="H127" s="184">
        <v>45511</v>
      </c>
      <c r="I127" s="235">
        <v>46606</v>
      </c>
      <c r="J127" s="115" t="s">
        <v>41</v>
      </c>
      <c r="K127" s="104">
        <v>1</v>
      </c>
      <c r="L127" s="105" t="s">
        <v>790</v>
      </c>
      <c r="M127" s="119" t="s">
        <v>134</v>
      </c>
      <c r="N127" s="129" t="s">
        <v>791</v>
      </c>
      <c r="O127" s="104" t="s">
        <v>767</v>
      </c>
      <c r="P127" s="104" t="s">
        <v>294</v>
      </c>
      <c r="Q127" s="105" t="s">
        <v>210</v>
      </c>
      <c r="R127" s="106"/>
    </row>
    <row r="128" spans="1:18" ht="25">
      <c r="A128" s="142">
        <f>IF(Table2[[#This Row],[Code 
CC- ]]="", "", A127+1)</f>
        <v>125</v>
      </c>
      <c r="B128" s="221">
        <v>45937</v>
      </c>
      <c r="C128" s="151" t="s">
        <v>792</v>
      </c>
      <c r="D128" s="153" t="s">
        <v>793</v>
      </c>
      <c r="E128" s="154" t="s">
        <v>800</v>
      </c>
      <c r="F128" s="154" t="s">
        <v>507</v>
      </c>
      <c r="G128" s="131" t="s">
        <v>794</v>
      </c>
      <c r="H128" s="183" t="s">
        <v>13</v>
      </c>
      <c r="I128" s="235">
        <v>47272</v>
      </c>
      <c r="J128" s="104" t="s">
        <v>35</v>
      </c>
      <c r="K128" s="104">
        <v>1</v>
      </c>
      <c r="L128" s="105" t="s">
        <v>795</v>
      </c>
      <c r="M128" s="119" t="s">
        <v>62</v>
      </c>
      <c r="N128" s="129" t="s">
        <v>799</v>
      </c>
      <c r="O128" s="104" t="s">
        <v>767</v>
      </c>
      <c r="P128" s="104" t="s">
        <v>79</v>
      </c>
      <c r="Q128" s="105" t="s">
        <v>643</v>
      </c>
      <c r="R128" s="106"/>
    </row>
    <row r="129" spans="1:18" ht="100">
      <c r="A129" s="142">
        <f>IF(Table2[[#This Row],[Code 
CC- ]]="", "", A128+1)</f>
        <v>126</v>
      </c>
      <c r="B129" s="221">
        <v>45937</v>
      </c>
      <c r="C129" s="151" t="s">
        <v>798</v>
      </c>
      <c r="D129" s="163" t="s">
        <v>286</v>
      </c>
      <c r="E129" s="163" t="s">
        <v>30</v>
      </c>
      <c r="F129" s="145" t="s">
        <v>580</v>
      </c>
      <c r="G129" s="114" t="s">
        <v>801</v>
      </c>
      <c r="H129" s="190" t="s">
        <v>13</v>
      </c>
      <c r="I129" s="241">
        <v>46534</v>
      </c>
      <c r="J129" s="118" t="s">
        <v>41</v>
      </c>
      <c r="K129" s="118">
        <v>4</v>
      </c>
      <c r="L129" s="119" t="s">
        <v>815</v>
      </c>
      <c r="M129" s="119" t="s">
        <v>62</v>
      </c>
      <c r="N129" s="129" t="s">
        <v>941</v>
      </c>
      <c r="O129" s="104"/>
      <c r="P129" s="104"/>
      <c r="Q129" s="105" t="s">
        <v>195</v>
      </c>
      <c r="R129" s="106"/>
    </row>
    <row r="130" spans="1:18" ht="63.65" customHeight="1">
      <c r="A130" s="142">
        <f>IF(Table2[[#This Row],[Code 
CC- ]]="", "", A129+1)</f>
        <v>127</v>
      </c>
      <c r="B130" s="221">
        <v>45939</v>
      </c>
      <c r="C130" s="151" t="s">
        <v>802</v>
      </c>
      <c r="D130" s="153" t="s">
        <v>342</v>
      </c>
      <c r="E130" s="161" t="s">
        <v>344</v>
      </c>
      <c r="F130" s="145" t="s">
        <v>418</v>
      </c>
      <c r="G130" s="114" t="s">
        <v>804</v>
      </c>
      <c r="H130" s="183" t="s">
        <v>13</v>
      </c>
      <c r="I130" s="235">
        <v>46507</v>
      </c>
      <c r="J130" s="118" t="s">
        <v>41</v>
      </c>
      <c r="K130" s="104">
        <v>1</v>
      </c>
      <c r="L130" s="105" t="s">
        <v>805</v>
      </c>
      <c r="M130" s="119" t="s">
        <v>62</v>
      </c>
      <c r="N130" s="129" t="s">
        <v>806</v>
      </c>
      <c r="O130" s="104"/>
      <c r="P130" s="104"/>
      <c r="Q130" s="105" t="s">
        <v>643</v>
      </c>
      <c r="R130" s="106"/>
    </row>
    <row r="131" spans="1:18" ht="37.5">
      <c r="A131" s="142">
        <f>IF(Table2[[#This Row],[Code 
CC- ]]="", "", A130+1)</f>
        <v>128</v>
      </c>
      <c r="B131" s="221">
        <v>45939</v>
      </c>
      <c r="C131" s="151" t="s">
        <v>803</v>
      </c>
      <c r="D131" s="153" t="s">
        <v>808</v>
      </c>
      <c r="E131" s="154" t="s">
        <v>809</v>
      </c>
      <c r="F131" s="151" t="s">
        <v>807</v>
      </c>
      <c r="G131" s="169" t="s">
        <v>810</v>
      </c>
      <c r="H131" s="183">
        <v>45855</v>
      </c>
      <c r="I131" s="235">
        <v>46400</v>
      </c>
      <c r="J131" s="104" t="s">
        <v>811</v>
      </c>
      <c r="K131" s="104">
        <v>1</v>
      </c>
      <c r="L131" s="105" t="s">
        <v>812</v>
      </c>
      <c r="M131" s="105" t="s">
        <v>134</v>
      </c>
      <c r="N131" s="129" t="s">
        <v>813</v>
      </c>
      <c r="O131" s="104"/>
      <c r="P131" s="104"/>
      <c r="Q131" s="105" t="s">
        <v>644</v>
      </c>
      <c r="R131" s="106"/>
    </row>
    <row r="132" spans="1:18" ht="50">
      <c r="A132" s="142">
        <f>IF(Table2[[#This Row],[Code 
CC- ]]="", "", A131+1)</f>
        <v>129</v>
      </c>
      <c r="B132" s="221">
        <v>45940</v>
      </c>
      <c r="C132" s="151" t="s">
        <v>817</v>
      </c>
      <c r="D132" s="163" t="s">
        <v>286</v>
      </c>
      <c r="E132" s="171" t="s">
        <v>521</v>
      </c>
      <c r="F132" s="145" t="s">
        <v>618</v>
      </c>
      <c r="G132" s="114" t="s">
        <v>619</v>
      </c>
      <c r="H132" s="181">
        <v>45322</v>
      </c>
      <c r="I132" s="235">
        <v>46418</v>
      </c>
      <c r="J132" s="115" t="s">
        <v>41</v>
      </c>
      <c r="K132" s="104">
        <v>1</v>
      </c>
      <c r="L132" s="105" t="s">
        <v>620</v>
      </c>
      <c r="M132" s="119" t="s">
        <v>62</v>
      </c>
      <c r="N132" s="129" t="s">
        <v>898</v>
      </c>
      <c r="O132" s="104"/>
      <c r="P132" s="104"/>
      <c r="Q132" s="105" t="s">
        <v>194</v>
      </c>
      <c r="R132" s="106"/>
    </row>
    <row r="133" spans="1:18" ht="58.4" customHeight="1">
      <c r="A133" s="142">
        <f>IF(Table2[[#This Row],[Code 
CC- ]]="", "", A132+1)</f>
        <v>130</v>
      </c>
      <c r="B133" s="221">
        <v>45943</v>
      </c>
      <c r="C133" s="151" t="s">
        <v>818</v>
      </c>
      <c r="D133" s="162" t="s">
        <v>57</v>
      </c>
      <c r="E133" s="161" t="s">
        <v>58</v>
      </c>
      <c r="F133" s="145" t="s">
        <v>70</v>
      </c>
      <c r="G133" s="114" t="s">
        <v>612</v>
      </c>
      <c r="H133" s="191">
        <v>45565</v>
      </c>
      <c r="I133" s="238">
        <v>46660</v>
      </c>
      <c r="J133" s="115" t="s">
        <v>25</v>
      </c>
      <c r="K133" s="104">
        <v>1</v>
      </c>
      <c r="L133" s="105" t="s">
        <v>217</v>
      </c>
      <c r="M133" s="105" t="s">
        <v>881</v>
      </c>
      <c r="N133" s="129" t="s">
        <v>882</v>
      </c>
      <c r="O133" s="104"/>
      <c r="P133" s="104"/>
      <c r="Q133" s="105" t="s">
        <v>194</v>
      </c>
      <c r="R133" s="106"/>
    </row>
    <row r="134" spans="1:18" ht="37.5">
      <c r="A134" s="142">
        <f>IF(Table2[[#This Row],[Code 
CC- ]]="", "", A133+1)</f>
        <v>131</v>
      </c>
      <c r="B134" s="221">
        <v>45944</v>
      </c>
      <c r="C134" s="151" t="s">
        <v>819</v>
      </c>
      <c r="D134" s="153" t="s">
        <v>694</v>
      </c>
      <c r="E134" s="154" t="s">
        <v>50</v>
      </c>
      <c r="F134" s="145" t="s">
        <v>51</v>
      </c>
      <c r="G134" s="114" t="s">
        <v>691</v>
      </c>
      <c r="H134" s="184">
        <v>45584</v>
      </c>
      <c r="I134" s="231">
        <v>46314</v>
      </c>
      <c r="J134" s="104" t="s">
        <v>15</v>
      </c>
      <c r="K134" s="104">
        <v>1</v>
      </c>
      <c r="L134" s="105" t="s">
        <v>820</v>
      </c>
      <c r="M134" s="119" t="s">
        <v>62</v>
      </c>
      <c r="N134" s="129" t="s">
        <v>891</v>
      </c>
      <c r="O134" s="104"/>
      <c r="P134" s="104"/>
      <c r="Q134" s="105" t="s">
        <v>643</v>
      </c>
      <c r="R134" s="106"/>
    </row>
    <row r="135" spans="1:18" ht="38.9" customHeight="1">
      <c r="A135" s="142">
        <f>IF(Table2[[#This Row],[Code 
CC- ]]="", "", A134+1)</f>
        <v>132</v>
      </c>
      <c r="B135" s="221">
        <v>45947</v>
      </c>
      <c r="C135" s="151" t="s">
        <v>821</v>
      </c>
      <c r="D135" s="153" t="s">
        <v>822</v>
      </c>
      <c r="E135" s="154" t="s">
        <v>823</v>
      </c>
      <c r="F135" s="155" t="s">
        <v>824</v>
      </c>
      <c r="G135" s="131" t="s">
        <v>825</v>
      </c>
      <c r="H135" s="183">
        <v>45538</v>
      </c>
      <c r="I135" s="235">
        <v>46446</v>
      </c>
      <c r="J135" s="104" t="s">
        <v>64</v>
      </c>
      <c r="K135" s="104">
        <v>1</v>
      </c>
      <c r="L135" s="105" t="s">
        <v>826</v>
      </c>
      <c r="M135" s="119" t="s">
        <v>62</v>
      </c>
      <c r="N135" s="129" t="s">
        <v>853</v>
      </c>
      <c r="O135" s="104"/>
      <c r="P135" s="104"/>
      <c r="Q135" s="105" t="s">
        <v>644</v>
      </c>
      <c r="R135" s="106"/>
    </row>
    <row r="136" spans="1:18" ht="37.5">
      <c r="A136" s="142">
        <f>IF(Table2[[#This Row],[Code 
CC- ]]="", "", A135+1)</f>
        <v>133</v>
      </c>
      <c r="B136" s="221">
        <v>45952</v>
      </c>
      <c r="C136" s="151" t="s">
        <v>827</v>
      </c>
      <c r="D136" s="153" t="s">
        <v>830</v>
      </c>
      <c r="E136" s="153" t="s">
        <v>24</v>
      </c>
      <c r="F136" s="155" t="s">
        <v>828</v>
      </c>
      <c r="G136" s="131" t="s">
        <v>831</v>
      </c>
      <c r="H136" s="172" t="s">
        <v>840</v>
      </c>
      <c r="I136" s="242" t="s">
        <v>841</v>
      </c>
      <c r="J136" s="104" t="s">
        <v>244</v>
      </c>
      <c r="K136" s="104">
        <v>1</v>
      </c>
      <c r="L136" s="105" t="s">
        <v>832</v>
      </c>
      <c r="M136" s="105" t="s">
        <v>134</v>
      </c>
      <c r="N136" s="129" t="s">
        <v>839</v>
      </c>
      <c r="O136" s="104"/>
      <c r="P136" s="104"/>
      <c r="Q136" s="105" t="s">
        <v>644</v>
      </c>
      <c r="R136" s="106"/>
    </row>
    <row r="137" spans="1:18" ht="47.15" customHeight="1">
      <c r="A137" s="142">
        <f>IF(Table2[[#This Row],[Code 
CC- ]]="", "", A136+1)</f>
        <v>134</v>
      </c>
      <c r="B137" s="221">
        <v>45952</v>
      </c>
      <c r="C137" s="151" t="s">
        <v>829</v>
      </c>
      <c r="D137" s="153" t="s">
        <v>836</v>
      </c>
      <c r="E137" s="153" t="s">
        <v>875</v>
      </c>
      <c r="F137" s="155" t="s">
        <v>833</v>
      </c>
      <c r="G137" s="131" t="s">
        <v>834</v>
      </c>
      <c r="H137" s="183"/>
      <c r="I137" s="235">
        <v>46976</v>
      </c>
      <c r="J137" s="104" t="s">
        <v>55</v>
      </c>
      <c r="K137" s="104">
        <v>1</v>
      </c>
      <c r="L137" s="105" t="s">
        <v>835</v>
      </c>
      <c r="M137" s="119" t="s">
        <v>62</v>
      </c>
      <c r="N137" s="129" t="s">
        <v>854</v>
      </c>
      <c r="O137" s="104"/>
      <c r="P137" s="104"/>
      <c r="Q137" s="105" t="s">
        <v>643</v>
      </c>
      <c r="R137" s="106"/>
    </row>
    <row r="138" spans="1:18" ht="50">
      <c r="A138" s="142">
        <f>IF(Table2[[#This Row],[Code 
CC- ]]="", "", A137+1)</f>
        <v>135</v>
      </c>
      <c r="B138" s="221">
        <v>45953</v>
      </c>
      <c r="C138" s="151" t="s">
        <v>838</v>
      </c>
      <c r="D138" s="153" t="s">
        <v>843</v>
      </c>
      <c r="E138" s="150" t="s">
        <v>874</v>
      </c>
      <c r="F138" s="145" t="s">
        <v>842</v>
      </c>
      <c r="G138" s="114" t="s">
        <v>844</v>
      </c>
      <c r="H138" s="173" t="s">
        <v>571</v>
      </c>
      <c r="I138" s="235">
        <v>46446</v>
      </c>
      <c r="J138" s="104" t="s">
        <v>33</v>
      </c>
      <c r="K138" s="104">
        <v>1</v>
      </c>
      <c r="L138" s="105" t="s">
        <v>845</v>
      </c>
      <c r="M138" s="119" t="s">
        <v>62</v>
      </c>
      <c r="N138" s="129" t="s">
        <v>899</v>
      </c>
      <c r="O138" s="104"/>
      <c r="P138" s="104"/>
      <c r="Q138" s="105" t="s">
        <v>194</v>
      </c>
      <c r="R138" s="106"/>
    </row>
    <row r="139" spans="1:18" ht="75">
      <c r="A139" s="142">
        <f>IF(Table2[[#This Row],[Code 
CC- ]]="", "", A138+1)</f>
        <v>136</v>
      </c>
      <c r="B139" s="221">
        <v>45954</v>
      </c>
      <c r="C139" s="151" t="s">
        <v>846</v>
      </c>
      <c r="D139" s="149" t="s">
        <v>847</v>
      </c>
      <c r="E139" s="150" t="s">
        <v>851</v>
      </c>
      <c r="F139" s="145" t="s">
        <v>848</v>
      </c>
      <c r="G139" s="114" t="s">
        <v>849</v>
      </c>
      <c r="H139" s="189" t="s">
        <v>48</v>
      </c>
      <c r="I139" s="231">
        <v>46538</v>
      </c>
      <c r="J139" s="97" t="s">
        <v>22</v>
      </c>
      <c r="K139" s="97">
        <v>1</v>
      </c>
      <c r="L139" s="98" t="s">
        <v>850</v>
      </c>
      <c r="M139" s="116" t="s">
        <v>441</v>
      </c>
      <c r="N139" s="127" t="s">
        <v>947</v>
      </c>
      <c r="O139" s="97" t="s">
        <v>852</v>
      </c>
      <c r="P139" s="97" t="s">
        <v>780</v>
      </c>
      <c r="Q139" s="105" t="s">
        <v>195</v>
      </c>
      <c r="R139" s="99">
        <v>45961</v>
      </c>
    </row>
    <row r="140" spans="1:18" s="2" customFormat="1" ht="52">
      <c r="A140" s="142">
        <f>IF(Table2[[#This Row],[Code 
CC- ]]="", "", A139+1)</f>
        <v>137</v>
      </c>
      <c r="B140" s="221">
        <v>45957</v>
      </c>
      <c r="C140" s="145" t="s">
        <v>856</v>
      </c>
      <c r="D140" s="149" t="s">
        <v>858</v>
      </c>
      <c r="E140" s="150" t="s">
        <v>857</v>
      </c>
      <c r="F140" s="174" t="s">
        <v>66</v>
      </c>
      <c r="G140" s="130" t="s">
        <v>859</v>
      </c>
      <c r="H140" s="189">
        <v>45706</v>
      </c>
      <c r="I140" s="231">
        <v>46435</v>
      </c>
      <c r="J140" s="97" t="s">
        <v>15</v>
      </c>
      <c r="K140" s="97">
        <v>1</v>
      </c>
      <c r="L140" s="98" t="s">
        <v>860</v>
      </c>
      <c r="M140" s="119" t="s">
        <v>62</v>
      </c>
      <c r="N140" s="129" t="s">
        <v>1038</v>
      </c>
      <c r="O140" s="97"/>
      <c r="P140" s="97"/>
      <c r="Q140" s="98" t="s">
        <v>195</v>
      </c>
      <c r="R140" s="99"/>
    </row>
    <row r="141" spans="1:18" s="2" customFormat="1" ht="50">
      <c r="A141" s="142">
        <f>IF(Table2[[#This Row],[Code 
CC- ]]="", "", A140+1)</f>
        <v>138</v>
      </c>
      <c r="B141" s="221">
        <v>45958</v>
      </c>
      <c r="C141" s="145" t="s">
        <v>861</v>
      </c>
      <c r="D141" s="153" t="s">
        <v>862</v>
      </c>
      <c r="E141" s="154" t="s">
        <v>863</v>
      </c>
      <c r="F141" s="155" t="s">
        <v>29</v>
      </c>
      <c r="G141" s="131" t="s">
        <v>864</v>
      </c>
      <c r="H141" s="173" t="s">
        <v>865</v>
      </c>
      <c r="I141" s="243" t="s">
        <v>866</v>
      </c>
      <c r="J141" s="97" t="s">
        <v>15</v>
      </c>
      <c r="K141" s="104">
        <v>1</v>
      </c>
      <c r="L141" s="105" t="s">
        <v>867</v>
      </c>
      <c r="M141" s="119" t="s">
        <v>62</v>
      </c>
      <c r="N141" s="129" t="s">
        <v>900</v>
      </c>
      <c r="O141" s="104"/>
      <c r="P141" s="104"/>
      <c r="Q141" s="105" t="s">
        <v>642</v>
      </c>
      <c r="R141" s="106"/>
    </row>
    <row r="142" spans="1:18" s="2" customFormat="1" ht="50">
      <c r="A142" s="142">
        <f>IF(Table2[[#This Row],[Code 
CC- ]]="", "", A141+1)</f>
        <v>139</v>
      </c>
      <c r="B142" s="221">
        <v>45964</v>
      </c>
      <c r="C142" s="145" t="s">
        <v>868</v>
      </c>
      <c r="D142" s="153" t="s">
        <v>870</v>
      </c>
      <c r="E142" s="154" t="s">
        <v>871</v>
      </c>
      <c r="F142" s="145" t="s">
        <v>435</v>
      </c>
      <c r="G142" s="114" t="s">
        <v>872</v>
      </c>
      <c r="H142" s="189" t="s">
        <v>13</v>
      </c>
      <c r="I142" s="244">
        <v>46507</v>
      </c>
      <c r="J142" s="97" t="s">
        <v>33</v>
      </c>
      <c r="K142" s="97">
        <v>1</v>
      </c>
      <c r="L142" s="105" t="s">
        <v>873</v>
      </c>
      <c r="M142" s="119" t="s">
        <v>62</v>
      </c>
      <c r="N142" s="129" t="s">
        <v>901</v>
      </c>
      <c r="O142" s="104"/>
      <c r="P142" s="104"/>
      <c r="Q142" s="105" t="s">
        <v>194</v>
      </c>
      <c r="R142" s="106"/>
    </row>
    <row r="143" spans="1:18" s="2" customFormat="1" ht="50">
      <c r="A143" s="142">
        <f>IF(Table2[[#This Row],[Code 
CC- ]]="", "", A142+1)</f>
        <v>140</v>
      </c>
      <c r="B143" s="221">
        <v>45964</v>
      </c>
      <c r="C143" s="151" t="s">
        <v>869</v>
      </c>
      <c r="D143" s="153" t="s">
        <v>876</v>
      </c>
      <c r="E143" s="154" t="s">
        <v>877</v>
      </c>
      <c r="F143" s="145" t="s">
        <v>878</v>
      </c>
      <c r="G143" s="114" t="s">
        <v>879</v>
      </c>
      <c r="H143" s="189">
        <v>45658</v>
      </c>
      <c r="I143" s="244">
        <v>46388</v>
      </c>
      <c r="J143" s="97" t="s">
        <v>41</v>
      </c>
      <c r="K143" s="97">
        <v>4</v>
      </c>
      <c r="L143" s="105" t="s">
        <v>880</v>
      </c>
      <c r="M143" s="119" t="s">
        <v>62</v>
      </c>
      <c r="N143" s="129" t="s">
        <v>703</v>
      </c>
      <c r="O143" s="104"/>
      <c r="P143" s="104"/>
      <c r="Q143" s="105" t="s">
        <v>643</v>
      </c>
      <c r="R143" s="106"/>
    </row>
    <row r="144" spans="1:18" s="2" customFormat="1" ht="50">
      <c r="A144" s="142">
        <f>IF(Table2[[#This Row],[Code 
CC- ]]="", "", A143+1)</f>
        <v>141</v>
      </c>
      <c r="B144" s="221">
        <v>45965</v>
      </c>
      <c r="C144" s="151" t="s">
        <v>883</v>
      </c>
      <c r="D144" s="153" t="s">
        <v>884</v>
      </c>
      <c r="E144" s="163" t="s">
        <v>30</v>
      </c>
      <c r="F144" s="145" t="s">
        <v>885</v>
      </c>
      <c r="G144" s="114" t="s">
        <v>886</v>
      </c>
      <c r="H144" s="189" t="s">
        <v>48</v>
      </c>
      <c r="I144" s="244">
        <v>46904</v>
      </c>
      <c r="J144" s="97" t="s">
        <v>41</v>
      </c>
      <c r="K144" s="97">
        <v>17</v>
      </c>
      <c r="L144" s="105" t="s">
        <v>887</v>
      </c>
      <c r="M144" s="116" t="s">
        <v>888</v>
      </c>
      <c r="N144" s="129" t="s">
        <v>911</v>
      </c>
      <c r="O144" s="104"/>
      <c r="P144" s="104"/>
      <c r="Q144" s="105" t="s">
        <v>212</v>
      </c>
      <c r="R144" s="106"/>
    </row>
    <row r="145" spans="1:18" s="2" customFormat="1" ht="37.5">
      <c r="A145" s="142">
        <f>IF(Table2[[#This Row],[Code 
CC- ]]="", "", A144+1)</f>
        <v>142</v>
      </c>
      <c r="B145" s="221">
        <v>45967</v>
      </c>
      <c r="C145" s="151" t="s">
        <v>892</v>
      </c>
      <c r="D145" s="153" t="s">
        <v>342</v>
      </c>
      <c r="E145" s="161" t="s">
        <v>344</v>
      </c>
      <c r="F145" s="145" t="s">
        <v>889</v>
      </c>
      <c r="G145" s="114" t="s">
        <v>430</v>
      </c>
      <c r="H145" s="189">
        <v>45583</v>
      </c>
      <c r="I145" s="244">
        <v>46312</v>
      </c>
      <c r="J145" s="97" t="s">
        <v>41</v>
      </c>
      <c r="K145" s="97">
        <v>1</v>
      </c>
      <c r="L145" s="105" t="s">
        <v>890</v>
      </c>
      <c r="M145" s="119" t="s">
        <v>62</v>
      </c>
      <c r="N145" s="129" t="s">
        <v>955</v>
      </c>
      <c r="O145" s="104"/>
      <c r="P145" s="104"/>
      <c r="Q145" s="105" t="s">
        <v>643</v>
      </c>
      <c r="R145" s="106"/>
    </row>
    <row r="146" spans="1:18" s="2" customFormat="1" ht="52.4" customHeight="1">
      <c r="A146" s="142">
        <f>IF(Table2[[#This Row],[Code 
CC- ]]="", "", A145+1)</f>
        <v>143</v>
      </c>
      <c r="B146" s="221">
        <v>45971</v>
      </c>
      <c r="C146" s="151" t="s">
        <v>893</v>
      </c>
      <c r="D146" s="153" t="s">
        <v>895</v>
      </c>
      <c r="E146" s="153" t="s">
        <v>24</v>
      </c>
      <c r="F146" s="145" t="s">
        <v>894</v>
      </c>
      <c r="G146" s="114" t="s">
        <v>903</v>
      </c>
      <c r="H146" s="189" t="s">
        <v>493</v>
      </c>
      <c r="I146" s="244">
        <v>46446</v>
      </c>
      <c r="J146" s="97" t="s">
        <v>41</v>
      </c>
      <c r="K146" s="97">
        <v>1</v>
      </c>
      <c r="L146" s="105" t="s">
        <v>904</v>
      </c>
      <c r="M146" s="119" t="s">
        <v>62</v>
      </c>
      <c r="N146" s="129" t="s">
        <v>905</v>
      </c>
      <c r="O146" s="104" t="s">
        <v>910</v>
      </c>
      <c r="P146" s="104" t="s">
        <v>224</v>
      </c>
      <c r="Q146" s="105" t="s">
        <v>195</v>
      </c>
      <c r="R146" s="106"/>
    </row>
    <row r="147" spans="1:18" s="2" customFormat="1" ht="37.5">
      <c r="A147" s="142">
        <f>IF(Table2[[#This Row],[Code 
CC- ]]="", "", A146+1)</f>
        <v>144</v>
      </c>
      <c r="B147" s="221">
        <v>45973</v>
      </c>
      <c r="C147" s="151" t="s">
        <v>902</v>
      </c>
      <c r="D147" s="153" t="s">
        <v>908</v>
      </c>
      <c r="E147" s="154" t="s">
        <v>909</v>
      </c>
      <c r="F147" s="145" t="s">
        <v>73</v>
      </c>
      <c r="G147" s="131" t="s">
        <v>906</v>
      </c>
      <c r="H147" s="173" t="s">
        <v>48</v>
      </c>
      <c r="I147" s="243">
        <v>46934</v>
      </c>
      <c r="J147" s="97" t="s">
        <v>41</v>
      </c>
      <c r="K147" s="104">
        <v>1</v>
      </c>
      <c r="L147" s="105" t="s">
        <v>907</v>
      </c>
      <c r="M147" s="119" t="s">
        <v>62</v>
      </c>
      <c r="N147" s="129" t="s">
        <v>491</v>
      </c>
      <c r="O147" s="104"/>
      <c r="P147" s="104"/>
      <c r="Q147" s="105" t="s">
        <v>643</v>
      </c>
      <c r="R147" s="106"/>
    </row>
    <row r="148" spans="1:18" s="2" customFormat="1" ht="37.5">
      <c r="A148" s="142">
        <f>IF(Table2[[#This Row],[Code 
CC- ]]="", "", A147+1)</f>
        <v>145</v>
      </c>
      <c r="B148" s="221">
        <v>45979</v>
      </c>
      <c r="C148" s="151" t="s">
        <v>912</v>
      </c>
      <c r="D148" s="153" t="s">
        <v>913</v>
      </c>
      <c r="E148" s="154" t="s">
        <v>915</v>
      </c>
      <c r="F148" s="145" t="s">
        <v>480</v>
      </c>
      <c r="G148" s="114" t="s">
        <v>914</v>
      </c>
      <c r="H148" s="189">
        <v>45434</v>
      </c>
      <c r="I148" s="243">
        <v>46507</v>
      </c>
      <c r="J148" s="104" t="s">
        <v>63</v>
      </c>
      <c r="K148" s="104">
        <v>1</v>
      </c>
      <c r="L148" s="105" t="s">
        <v>916</v>
      </c>
      <c r="M148" s="119" t="s">
        <v>62</v>
      </c>
      <c r="N148" s="129" t="s">
        <v>491</v>
      </c>
      <c r="O148" s="104"/>
      <c r="P148" s="104"/>
      <c r="Q148" s="105" t="s">
        <v>643</v>
      </c>
      <c r="R148" s="106">
        <v>46020</v>
      </c>
    </row>
    <row r="149" spans="1:18" s="2" customFormat="1" ht="52">
      <c r="A149" s="142">
        <f>IF(Table2[[#This Row],[Code 
CC- ]]="", "", A148+1)</f>
        <v>146</v>
      </c>
      <c r="B149" s="221">
        <v>45981</v>
      </c>
      <c r="C149" s="151" t="s">
        <v>917</v>
      </c>
      <c r="D149" s="153" t="s">
        <v>919</v>
      </c>
      <c r="E149" s="154" t="s">
        <v>918</v>
      </c>
      <c r="F149" s="145" t="s">
        <v>433</v>
      </c>
      <c r="G149" s="114" t="s">
        <v>920</v>
      </c>
      <c r="H149" s="189">
        <v>45597</v>
      </c>
      <c r="I149" s="243">
        <v>46326</v>
      </c>
      <c r="J149" s="104" t="s">
        <v>55</v>
      </c>
      <c r="K149" s="104">
        <v>1</v>
      </c>
      <c r="L149" s="105" t="s">
        <v>921</v>
      </c>
      <c r="M149" s="119" t="s">
        <v>62</v>
      </c>
      <c r="N149" s="129" t="s">
        <v>491</v>
      </c>
      <c r="O149" s="104" t="s">
        <v>910</v>
      </c>
      <c r="P149" s="104" t="s">
        <v>224</v>
      </c>
      <c r="Q149" s="105" t="s">
        <v>643</v>
      </c>
      <c r="R149" s="106"/>
    </row>
    <row r="150" spans="1:18" s="2" customFormat="1" ht="50">
      <c r="A150" s="142">
        <f>IF(Table2[[#This Row],[Code 
CC- ]]="", "", A149+1)</f>
        <v>147</v>
      </c>
      <c r="B150" s="221">
        <v>45981</v>
      </c>
      <c r="C150" s="156" t="s">
        <v>923</v>
      </c>
      <c r="D150" s="200" t="s">
        <v>922</v>
      </c>
      <c r="E150" s="201" t="s">
        <v>925</v>
      </c>
      <c r="F150" s="205" t="s">
        <v>507</v>
      </c>
      <c r="G150" s="114" t="s">
        <v>924</v>
      </c>
      <c r="H150" s="207" t="s">
        <v>13</v>
      </c>
      <c r="I150" s="245">
        <v>47281</v>
      </c>
      <c r="J150" s="202" t="s">
        <v>510</v>
      </c>
      <c r="K150" s="202">
        <v>1</v>
      </c>
      <c r="L150" s="203" t="s">
        <v>926</v>
      </c>
      <c r="M150" s="119" t="s">
        <v>62</v>
      </c>
      <c r="N150" s="129" t="s">
        <v>491</v>
      </c>
      <c r="O150" s="97"/>
      <c r="P150" s="97"/>
      <c r="Q150" s="98" t="s">
        <v>643</v>
      </c>
      <c r="R150" s="99"/>
    </row>
    <row r="151" spans="1:18" s="2" customFormat="1" ht="62.5">
      <c r="A151" s="142">
        <f>IF(Table2[[#This Row],[Code 
CC- ]]="", "", A150+1)</f>
        <v>148</v>
      </c>
      <c r="B151" s="221">
        <v>45981</v>
      </c>
      <c r="C151" s="156" t="s">
        <v>927</v>
      </c>
      <c r="D151" s="200" t="s">
        <v>928</v>
      </c>
      <c r="E151" s="201" t="s">
        <v>930</v>
      </c>
      <c r="F151" s="205" t="s">
        <v>66</v>
      </c>
      <c r="G151" s="114" t="s">
        <v>929</v>
      </c>
      <c r="H151" s="208">
        <v>45706</v>
      </c>
      <c r="I151" s="246">
        <v>46435</v>
      </c>
      <c r="J151" s="202" t="s">
        <v>41</v>
      </c>
      <c r="K151" s="202">
        <v>1</v>
      </c>
      <c r="L151" s="203" t="s">
        <v>931</v>
      </c>
      <c r="M151" s="119" t="s">
        <v>62</v>
      </c>
      <c r="N151" s="127" t="s">
        <v>993</v>
      </c>
      <c r="O151" s="97"/>
      <c r="P151" s="97"/>
      <c r="Q151" s="98" t="s">
        <v>210</v>
      </c>
      <c r="R151" s="99"/>
    </row>
    <row r="152" spans="1:18" s="2" customFormat="1" ht="37.5">
      <c r="A152" s="142">
        <f>IF(Table2[[#This Row],[Code 
CC- ]]="", "", A151+1)</f>
        <v>149</v>
      </c>
      <c r="B152" s="221">
        <v>45987</v>
      </c>
      <c r="C152" s="156" t="s">
        <v>932</v>
      </c>
      <c r="D152" s="200" t="s">
        <v>37</v>
      </c>
      <c r="E152" s="201" t="s">
        <v>38</v>
      </c>
      <c r="F152" s="145" t="s">
        <v>256</v>
      </c>
      <c r="G152" s="114" t="s">
        <v>937</v>
      </c>
      <c r="H152" s="208">
        <v>44855</v>
      </c>
      <c r="I152" s="247">
        <v>46295</v>
      </c>
      <c r="J152" s="202" t="s">
        <v>41</v>
      </c>
      <c r="K152" s="202">
        <v>1</v>
      </c>
      <c r="L152" s="203" t="s">
        <v>940</v>
      </c>
      <c r="M152" s="116" t="s">
        <v>1091</v>
      </c>
      <c r="N152" s="129" t="s">
        <v>1092</v>
      </c>
      <c r="O152" s="104" t="s">
        <v>910</v>
      </c>
      <c r="P152" s="104" t="s">
        <v>224</v>
      </c>
      <c r="Q152" s="105" t="s">
        <v>341</v>
      </c>
      <c r="R152" s="106"/>
    </row>
    <row r="153" spans="1:18" s="2" customFormat="1" ht="37.5">
      <c r="A153" s="142">
        <f>IF(Table2[[#This Row],[Code 
CC- ]]="", "", A152+1)</f>
        <v>150</v>
      </c>
      <c r="B153" s="221">
        <v>45987</v>
      </c>
      <c r="C153" s="156" t="s">
        <v>932</v>
      </c>
      <c r="D153" s="200" t="s">
        <v>37</v>
      </c>
      <c r="E153" s="201" t="s">
        <v>38</v>
      </c>
      <c r="F153" s="145" t="s">
        <v>256</v>
      </c>
      <c r="G153" s="126" t="s">
        <v>938</v>
      </c>
      <c r="H153" s="208">
        <v>44966</v>
      </c>
      <c r="I153" s="247" t="s">
        <v>939</v>
      </c>
      <c r="J153" s="202" t="s">
        <v>41</v>
      </c>
      <c r="K153" s="209">
        <v>10</v>
      </c>
      <c r="L153" s="210" t="s">
        <v>940</v>
      </c>
      <c r="M153" s="116" t="s">
        <v>1091</v>
      </c>
      <c r="N153" s="129" t="s">
        <v>1092</v>
      </c>
      <c r="O153" s="104" t="s">
        <v>910</v>
      </c>
      <c r="P153" s="104" t="s">
        <v>224</v>
      </c>
      <c r="Q153" s="105" t="s">
        <v>341</v>
      </c>
      <c r="R153" s="99"/>
    </row>
    <row r="154" spans="1:18" s="2" customFormat="1" ht="50">
      <c r="A154" s="142">
        <f>IF(Table2[[#This Row],[Code 
CC- ]]="", "", A153+1)</f>
        <v>151</v>
      </c>
      <c r="B154" s="221">
        <v>45987</v>
      </c>
      <c r="C154" s="156" t="s">
        <v>933</v>
      </c>
      <c r="D154" s="200" t="s">
        <v>884</v>
      </c>
      <c r="E154" s="201" t="s">
        <v>30</v>
      </c>
      <c r="F154" s="205" t="s">
        <v>934</v>
      </c>
      <c r="G154" s="206" t="s">
        <v>935</v>
      </c>
      <c r="H154" s="208" t="s">
        <v>13</v>
      </c>
      <c r="I154" s="246">
        <v>47373</v>
      </c>
      <c r="J154" s="202" t="s">
        <v>41</v>
      </c>
      <c r="K154" s="202">
        <v>1</v>
      </c>
      <c r="L154" s="203" t="s">
        <v>936</v>
      </c>
      <c r="M154" s="119" t="s">
        <v>62</v>
      </c>
      <c r="N154" s="129" t="s">
        <v>944</v>
      </c>
      <c r="O154" s="104"/>
      <c r="P154" s="104"/>
      <c r="Q154" s="105" t="s">
        <v>643</v>
      </c>
      <c r="R154" s="106"/>
    </row>
    <row r="155" spans="1:18" s="2" customFormat="1" ht="37.5">
      <c r="A155" s="142">
        <f>IF(Table2[[#This Row],[Code 
CC- ]]="", "", A154+1)</f>
        <v>152</v>
      </c>
      <c r="B155" s="221">
        <v>45994</v>
      </c>
      <c r="C155" s="156" t="s">
        <v>954</v>
      </c>
      <c r="D155" s="200" t="s">
        <v>942</v>
      </c>
      <c r="E155" s="201" t="s">
        <v>945</v>
      </c>
      <c r="F155" s="211" t="s">
        <v>49</v>
      </c>
      <c r="G155" s="131" t="s">
        <v>754</v>
      </c>
      <c r="H155" s="204">
        <v>45397</v>
      </c>
      <c r="I155" s="246">
        <v>46295</v>
      </c>
      <c r="J155" s="202" t="s">
        <v>23</v>
      </c>
      <c r="K155" s="202">
        <v>1</v>
      </c>
      <c r="L155" s="203" t="s">
        <v>943</v>
      </c>
      <c r="M155" s="119" t="s">
        <v>62</v>
      </c>
      <c r="N155" s="129" t="s">
        <v>944</v>
      </c>
      <c r="O155" s="104"/>
      <c r="P155" s="104"/>
      <c r="Q155" s="105" t="s">
        <v>644</v>
      </c>
      <c r="R155" s="106"/>
    </row>
    <row r="156" spans="1:18" s="2" customFormat="1" ht="37.5">
      <c r="A156" s="142">
        <f>IF(Table2[[#This Row],[Code 
CC- ]]="", "", A155+1)</f>
        <v>153</v>
      </c>
      <c r="B156" s="221">
        <v>45996</v>
      </c>
      <c r="C156" s="156" t="s">
        <v>948</v>
      </c>
      <c r="D156" s="200" t="s">
        <v>949</v>
      </c>
      <c r="E156" s="201" t="s">
        <v>951</v>
      </c>
      <c r="F156" s="211" t="s">
        <v>950</v>
      </c>
      <c r="G156" s="131" t="s">
        <v>952</v>
      </c>
      <c r="H156" s="204">
        <v>45497</v>
      </c>
      <c r="I156" s="246">
        <v>46568</v>
      </c>
      <c r="J156" s="202" t="s">
        <v>23</v>
      </c>
      <c r="K156" s="202">
        <v>1</v>
      </c>
      <c r="L156" s="203" t="s">
        <v>953</v>
      </c>
      <c r="M156" s="119" t="s">
        <v>62</v>
      </c>
      <c r="N156" s="129" t="s">
        <v>944</v>
      </c>
      <c r="O156" s="104"/>
      <c r="P156" s="104"/>
      <c r="Q156" s="105" t="s">
        <v>194</v>
      </c>
      <c r="R156" s="106"/>
    </row>
    <row r="157" spans="1:18" s="2" customFormat="1" ht="50">
      <c r="A157" s="142">
        <f>IF(Table2[[#This Row],[Code 
CC- ]]="", "", A156+1)</f>
        <v>154</v>
      </c>
      <c r="B157" s="221">
        <v>45996</v>
      </c>
      <c r="C157" s="156" t="s">
        <v>956</v>
      </c>
      <c r="D157" s="200" t="s">
        <v>922</v>
      </c>
      <c r="E157" s="201" t="s">
        <v>957</v>
      </c>
      <c r="F157" s="205" t="s">
        <v>507</v>
      </c>
      <c r="G157" s="114" t="s">
        <v>958</v>
      </c>
      <c r="H157" s="204" t="s">
        <v>13</v>
      </c>
      <c r="I157" s="246" t="s">
        <v>959</v>
      </c>
      <c r="J157" s="202" t="s">
        <v>244</v>
      </c>
      <c r="K157" s="202">
        <v>1</v>
      </c>
      <c r="L157" s="203" t="s">
        <v>960</v>
      </c>
      <c r="M157" s="119" t="s">
        <v>62</v>
      </c>
      <c r="N157" s="129" t="s">
        <v>961</v>
      </c>
      <c r="O157" s="104" t="s">
        <v>910</v>
      </c>
      <c r="P157" s="104" t="s">
        <v>224</v>
      </c>
      <c r="Q157" s="105" t="s">
        <v>643</v>
      </c>
      <c r="R157" s="106"/>
    </row>
    <row r="158" spans="1:18" s="2" customFormat="1" ht="25">
      <c r="A158" s="142">
        <f>IF(Table2[[#This Row],[Code 
CC- ]]="", "", A157+1)</f>
        <v>155</v>
      </c>
      <c r="B158" s="221">
        <v>45999</v>
      </c>
      <c r="C158" s="156" t="s">
        <v>962</v>
      </c>
      <c r="D158" s="200" t="s">
        <v>963</v>
      </c>
      <c r="E158" s="201" t="s">
        <v>964</v>
      </c>
      <c r="F158" s="205" t="s">
        <v>507</v>
      </c>
      <c r="G158" s="114" t="s">
        <v>794</v>
      </c>
      <c r="H158" s="204" t="s">
        <v>13</v>
      </c>
      <c r="I158" s="246">
        <v>47272</v>
      </c>
      <c r="J158" s="202" t="s">
        <v>35</v>
      </c>
      <c r="K158" s="202">
        <v>1</v>
      </c>
      <c r="L158" s="203" t="s">
        <v>965</v>
      </c>
      <c r="M158" s="119" t="s">
        <v>62</v>
      </c>
      <c r="N158" s="129" t="s">
        <v>1033</v>
      </c>
      <c r="O158" s="104" t="s">
        <v>910</v>
      </c>
      <c r="P158" s="104" t="s">
        <v>224</v>
      </c>
      <c r="Q158" s="105" t="s">
        <v>643</v>
      </c>
      <c r="R158" s="106"/>
    </row>
    <row r="159" spans="1:18" s="2" customFormat="1" ht="50">
      <c r="A159" s="142">
        <f>IF(Table2[[#This Row],[Code 
CC- ]]="", "", A158+1)</f>
        <v>156</v>
      </c>
      <c r="B159" s="221">
        <v>45999</v>
      </c>
      <c r="C159" s="156" t="s">
        <v>966</v>
      </c>
      <c r="D159" s="200" t="s">
        <v>884</v>
      </c>
      <c r="E159" s="201" t="s">
        <v>30</v>
      </c>
      <c r="F159" s="205" t="s">
        <v>967</v>
      </c>
      <c r="G159" s="114" t="s">
        <v>968</v>
      </c>
      <c r="H159" s="204" t="s">
        <v>13</v>
      </c>
      <c r="I159" s="246">
        <v>47025</v>
      </c>
      <c r="J159" s="202" t="s">
        <v>14</v>
      </c>
      <c r="K159" s="202">
        <v>1</v>
      </c>
      <c r="L159" s="203" t="s">
        <v>969</v>
      </c>
      <c r="M159" s="116" t="s">
        <v>1131</v>
      </c>
      <c r="N159" s="129" t="s">
        <v>1058</v>
      </c>
      <c r="O159" s="104"/>
      <c r="P159" s="104"/>
      <c r="Q159" s="105" t="s">
        <v>195</v>
      </c>
      <c r="R159" s="106"/>
    </row>
    <row r="160" spans="1:18" s="2" customFormat="1" ht="50">
      <c r="A160" s="142">
        <f>IF(Table2[[#This Row],[Code 
CC- ]]="", "", A159+1)</f>
        <v>157</v>
      </c>
      <c r="B160" s="221">
        <v>46000</v>
      </c>
      <c r="C160" s="156" t="s">
        <v>970</v>
      </c>
      <c r="D160" s="200" t="s">
        <v>971</v>
      </c>
      <c r="E160" s="201" t="s">
        <v>972</v>
      </c>
      <c r="F160" s="205" t="s">
        <v>973</v>
      </c>
      <c r="G160" s="114" t="s">
        <v>974</v>
      </c>
      <c r="H160" s="204" t="s">
        <v>13</v>
      </c>
      <c r="I160" s="246">
        <v>47061</v>
      </c>
      <c r="J160" s="202" t="s">
        <v>41</v>
      </c>
      <c r="K160" s="202">
        <v>1</v>
      </c>
      <c r="L160" s="203" t="s">
        <v>975</v>
      </c>
      <c r="M160" s="119" t="s">
        <v>62</v>
      </c>
      <c r="N160" s="129" t="s">
        <v>1057</v>
      </c>
      <c r="O160" s="104"/>
      <c r="P160" s="104"/>
      <c r="Q160" s="105" t="s">
        <v>643</v>
      </c>
      <c r="R160" s="106"/>
    </row>
    <row r="161" spans="1:18" s="2" customFormat="1" ht="50">
      <c r="A161" s="142">
        <f>IF(Table2[[#This Row],[Code 
CC- ]]="", "", A160+1)</f>
        <v>158</v>
      </c>
      <c r="B161" s="221">
        <v>46002</v>
      </c>
      <c r="C161" s="156" t="s">
        <v>976</v>
      </c>
      <c r="D161" s="200" t="s">
        <v>884</v>
      </c>
      <c r="E161" s="201" t="s">
        <v>30</v>
      </c>
      <c r="F161" s="211" t="s">
        <v>977</v>
      </c>
      <c r="G161" s="131" t="s">
        <v>978</v>
      </c>
      <c r="H161" s="204" t="s">
        <v>13</v>
      </c>
      <c r="I161" s="246">
        <v>46377</v>
      </c>
      <c r="J161" s="202" t="s">
        <v>41</v>
      </c>
      <c r="K161" s="202">
        <v>1</v>
      </c>
      <c r="L161" s="203" t="s">
        <v>979</v>
      </c>
      <c r="M161" s="119" t="s">
        <v>62</v>
      </c>
      <c r="N161" s="129" t="s">
        <v>1039</v>
      </c>
      <c r="O161" s="104"/>
      <c r="P161" s="104"/>
      <c r="Q161" s="105" t="s">
        <v>195</v>
      </c>
      <c r="R161" s="106"/>
    </row>
    <row r="162" spans="1:18" s="2" customFormat="1" ht="50">
      <c r="A162" s="142">
        <f>IF(Table2[[#This Row],[Code 
CC- ]]="", "", A161+1)</f>
        <v>159</v>
      </c>
      <c r="B162" s="221">
        <v>46003</v>
      </c>
      <c r="C162" s="156" t="s">
        <v>981</v>
      </c>
      <c r="D162" s="200" t="s">
        <v>980</v>
      </c>
      <c r="E162" s="201" t="s">
        <v>1034</v>
      </c>
      <c r="F162" s="211" t="s">
        <v>51</v>
      </c>
      <c r="G162" s="131" t="s">
        <v>691</v>
      </c>
      <c r="H162" s="204" t="s">
        <v>13</v>
      </c>
      <c r="I162" s="246">
        <v>46314</v>
      </c>
      <c r="J162" s="202" t="s">
        <v>41</v>
      </c>
      <c r="K162" s="202">
        <v>1</v>
      </c>
      <c r="L162" s="203" t="s">
        <v>982</v>
      </c>
      <c r="M162" s="116" t="s">
        <v>62</v>
      </c>
      <c r="N162" s="129" t="s">
        <v>1035</v>
      </c>
      <c r="O162" s="104"/>
      <c r="P162" s="104" t="s">
        <v>224</v>
      </c>
      <c r="Q162" s="105" t="s">
        <v>643</v>
      </c>
      <c r="R162" s="106"/>
    </row>
    <row r="163" spans="1:18" s="2" customFormat="1" ht="50">
      <c r="A163" s="142">
        <f>IF(Table2[[#This Row],[Code 
CC- ]]="", "", A162+1)</f>
        <v>160</v>
      </c>
      <c r="B163" s="221">
        <v>46010</v>
      </c>
      <c r="C163" s="156" t="s">
        <v>1000</v>
      </c>
      <c r="D163" s="200" t="s">
        <v>983</v>
      </c>
      <c r="E163" s="201" t="s">
        <v>984</v>
      </c>
      <c r="F163" s="211" t="s">
        <v>39</v>
      </c>
      <c r="G163" s="131" t="s">
        <v>985</v>
      </c>
      <c r="H163" s="204" t="s">
        <v>13</v>
      </c>
      <c r="I163" s="246">
        <v>46812</v>
      </c>
      <c r="J163" s="202" t="s">
        <v>41</v>
      </c>
      <c r="K163" s="202">
        <v>1</v>
      </c>
      <c r="L163" s="203" t="s">
        <v>986</v>
      </c>
      <c r="M163" s="116" t="s">
        <v>62</v>
      </c>
      <c r="N163" s="129" t="s">
        <v>999</v>
      </c>
      <c r="O163" s="104"/>
      <c r="P163" s="104"/>
      <c r="Q163" s="105" t="s">
        <v>644</v>
      </c>
      <c r="R163" s="106"/>
    </row>
    <row r="164" spans="1:18" s="2" customFormat="1" ht="37.5">
      <c r="A164" s="142">
        <f>IF(Table2[[#This Row],[Code 
CC- ]]="", "", A163+1)</f>
        <v>161</v>
      </c>
      <c r="B164" s="221">
        <v>46010</v>
      </c>
      <c r="C164" s="156" t="s">
        <v>987</v>
      </c>
      <c r="D164" s="200" t="s">
        <v>1001</v>
      </c>
      <c r="E164" s="201" t="s">
        <v>1002</v>
      </c>
      <c r="F164" s="211" t="s">
        <v>894</v>
      </c>
      <c r="G164" s="131" t="s">
        <v>1003</v>
      </c>
      <c r="H164" s="204" t="s">
        <v>13</v>
      </c>
      <c r="I164" s="246">
        <v>46599</v>
      </c>
      <c r="J164" s="202" t="s">
        <v>41</v>
      </c>
      <c r="K164" s="202">
        <v>1</v>
      </c>
      <c r="L164" s="203" t="s">
        <v>1004</v>
      </c>
      <c r="M164" s="116" t="s">
        <v>62</v>
      </c>
      <c r="N164" s="129" t="s">
        <v>990</v>
      </c>
      <c r="O164" s="104" t="s">
        <v>910</v>
      </c>
      <c r="P164" s="104" t="s">
        <v>157</v>
      </c>
      <c r="Q164" s="105" t="s">
        <v>210</v>
      </c>
      <c r="R164" s="106"/>
    </row>
    <row r="165" spans="1:18" s="2" customFormat="1" ht="25">
      <c r="A165" s="142">
        <f>IF(Table2[[#This Row],[Code 
CC- ]]="", "", A164+1)</f>
        <v>162</v>
      </c>
      <c r="B165" s="221">
        <v>46013</v>
      </c>
      <c r="C165" s="156" t="s">
        <v>988</v>
      </c>
      <c r="D165" s="200" t="s">
        <v>1013</v>
      </c>
      <c r="E165" s="201" t="s">
        <v>1016</v>
      </c>
      <c r="F165" s="211" t="s">
        <v>991</v>
      </c>
      <c r="G165" s="131" t="s">
        <v>1014</v>
      </c>
      <c r="H165" s="204">
        <v>44975</v>
      </c>
      <c r="I165" s="246">
        <v>46418</v>
      </c>
      <c r="J165" s="202" t="s">
        <v>41</v>
      </c>
      <c r="K165" s="202">
        <v>20</v>
      </c>
      <c r="L165" s="203" t="s">
        <v>1015</v>
      </c>
      <c r="M165" s="116" t="s">
        <v>1130</v>
      </c>
      <c r="N165" s="129" t="s">
        <v>1129</v>
      </c>
      <c r="O165" s="104" t="s">
        <v>910</v>
      </c>
      <c r="P165" s="104" t="s">
        <v>157</v>
      </c>
      <c r="Q165" s="105" t="s">
        <v>341</v>
      </c>
      <c r="R165" s="106"/>
    </row>
    <row r="166" spans="1:18" s="2" customFormat="1" ht="25">
      <c r="A166" s="142">
        <f>IF(Table2[[#This Row],[Code 
CC- ]]="", "", A165+1)</f>
        <v>163</v>
      </c>
      <c r="B166" s="221">
        <v>46013</v>
      </c>
      <c r="C166" s="156" t="s">
        <v>989</v>
      </c>
      <c r="D166" s="200" t="s">
        <v>1013</v>
      </c>
      <c r="E166" s="201" t="s">
        <v>1016</v>
      </c>
      <c r="F166" s="211" t="s">
        <v>992</v>
      </c>
      <c r="G166" s="131" t="s">
        <v>483</v>
      </c>
      <c r="H166" s="204">
        <v>45236</v>
      </c>
      <c r="I166" s="246">
        <v>46326</v>
      </c>
      <c r="J166" s="202" t="s">
        <v>41</v>
      </c>
      <c r="K166" s="202">
        <v>15</v>
      </c>
      <c r="L166" s="203" t="s">
        <v>1015</v>
      </c>
      <c r="M166" s="116" t="s">
        <v>1130</v>
      </c>
      <c r="N166" s="129" t="s">
        <v>1129</v>
      </c>
      <c r="O166" s="104" t="s">
        <v>910</v>
      </c>
      <c r="P166" s="104" t="s">
        <v>157</v>
      </c>
      <c r="Q166" s="105" t="s">
        <v>341</v>
      </c>
      <c r="R166" s="106"/>
    </row>
    <row r="167" spans="1:18" s="2" customFormat="1" ht="50">
      <c r="A167" s="142">
        <f>IF(Table2[[#This Row],[Code 
CC- ]]="", "", A166+1)</f>
        <v>164</v>
      </c>
      <c r="B167" s="221">
        <v>46013</v>
      </c>
      <c r="C167" s="156" t="s">
        <v>994</v>
      </c>
      <c r="D167" s="200" t="s">
        <v>997</v>
      </c>
      <c r="E167" s="201" t="s">
        <v>996</v>
      </c>
      <c r="F167" s="211" t="s">
        <v>995</v>
      </c>
      <c r="G167" s="131" t="s">
        <v>998</v>
      </c>
      <c r="H167" s="204" t="s">
        <v>13</v>
      </c>
      <c r="I167" s="246">
        <v>46417</v>
      </c>
      <c r="J167" s="202" t="s">
        <v>41</v>
      </c>
      <c r="K167" s="202">
        <v>1</v>
      </c>
      <c r="L167" s="203" t="s">
        <v>1022</v>
      </c>
      <c r="M167" s="116" t="s">
        <v>62</v>
      </c>
      <c r="N167" s="129" t="s">
        <v>1037</v>
      </c>
      <c r="O167" s="104" t="s">
        <v>910</v>
      </c>
      <c r="P167" s="104" t="s">
        <v>583</v>
      </c>
      <c r="Q167" s="105" t="s">
        <v>643</v>
      </c>
      <c r="R167" s="106"/>
    </row>
    <row r="168" spans="1:18" s="2" customFormat="1" ht="50">
      <c r="A168" s="142">
        <f>IF(Table2[[#This Row],[Code 
CC- ]]="", "", A167+1)</f>
        <v>165</v>
      </c>
      <c r="B168" s="221">
        <v>46015</v>
      </c>
      <c r="C168" s="143" t="s">
        <v>1008</v>
      </c>
      <c r="D168" s="212" t="s">
        <v>1005</v>
      </c>
      <c r="E168" s="212" t="s">
        <v>1007</v>
      </c>
      <c r="F168" s="205" t="s">
        <v>618</v>
      </c>
      <c r="G168" s="114" t="s">
        <v>619</v>
      </c>
      <c r="H168" s="213" t="s">
        <v>1006</v>
      </c>
      <c r="I168" s="245">
        <v>46418</v>
      </c>
      <c r="J168" s="209" t="s">
        <v>15</v>
      </c>
      <c r="K168" s="209">
        <v>1</v>
      </c>
      <c r="L168" s="210" t="s">
        <v>873</v>
      </c>
      <c r="M168" s="119" t="s">
        <v>62</v>
      </c>
      <c r="N168" s="127" t="s">
        <v>1009</v>
      </c>
      <c r="O168" s="97"/>
      <c r="P168" s="97"/>
      <c r="Q168" s="98" t="s">
        <v>194</v>
      </c>
      <c r="R168" s="99"/>
    </row>
    <row r="169" spans="1:18" s="2" customFormat="1" ht="50">
      <c r="A169" s="142">
        <f>IF(Table2[[#This Row],[Code 
CC- ]]="", "", A168+1)</f>
        <v>166</v>
      </c>
      <c r="B169" s="221">
        <v>46016</v>
      </c>
      <c r="C169" s="156" t="s">
        <v>1010</v>
      </c>
      <c r="D169" s="200" t="s">
        <v>884</v>
      </c>
      <c r="E169" s="201" t="s">
        <v>30</v>
      </c>
      <c r="F169" s="211" t="s">
        <v>435</v>
      </c>
      <c r="G169" s="131" t="s">
        <v>1011</v>
      </c>
      <c r="H169" s="214" t="s">
        <v>13</v>
      </c>
      <c r="I169" s="246">
        <v>46326</v>
      </c>
      <c r="J169" s="202" t="s">
        <v>41</v>
      </c>
      <c r="K169" s="202">
        <v>1</v>
      </c>
      <c r="L169" s="203" t="s">
        <v>1012</v>
      </c>
      <c r="M169" s="116" t="s">
        <v>62</v>
      </c>
      <c r="N169" s="129" t="s">
        <v>1036</v>
      </c>
      <c r="O169" s="104"/>
      <c r="P169" s="104"/>
      <c r="Q169" s="105" t="s">
        <v>195</v>
      </c>
      <c r="R169" s="106"/>
    </row>
    <row r="170" spans="1:18" s="2" customFormat="1" ht="62.5">
      <c r="A170" s="142">
        <f>IF(Table2[[#This Row],[Code 
CC- ]]="", "", A169+1)</f>
        <v>167</v>
      </c>
      <c r="B170" s="221">
        <v>46017</v>
      </c>
      <c r="C170" s="143" t="s">
        <v>1017</v>
      </c>
      <c r="D170" s="212" t="s">
        <v>1018</v>
      </c>
      <c r="E170" s="201" t="s">
        <v>1030</v>
      </c>
      <c r="F170" s="205" t="s">
        <v>1019</v>
      </c>
      <c r="G170" s="126" t="s">
        <v>1021</v>
      </c>
      <c r="H170" s="213" t="s">
        <v>13</v>
      </c>
      <c r="I170" s="248">
        <v>46421</v>
      </c>
      <c r="J170" s="209" t="s">
        <v>15</v>
      </c>
      <c r="K170" s="175">
        <v>4</v>
      </c>
      <c r="L170" s="210" t="s">
        <v>1020</v>
      </c>
      <c r="M170" s="116" t="s">
        <v>62</v>
      </c>
      <c r="N170" s="127" t="s">
        <v>1159</v>
      </c>
      <c r="O170" s="97"/>
      <c r="P170" s="104" t="s">
        <v>224</v>
      </c>
      <c r="Q170" s="98" t="s">
        <v>195</v>
      </c>
      <c r="R170" s="99"/>
    </row>
    <row r="171" spans="1:18" s="2" customFormat="1" ht="62.5">
      <c r="A171" s="142">
        <f>IF(Table2[[#This Row],[Code 
CC- ]]="", "", A170+1)</f>
        <v>168</v>
      </c>
      <c r="B171" s="221">
        <v>46017</v>
      </c>
      <c r="C171" s="143" t="s">
        <v>1017</v>
      </c>
      <c r="D171" s="212" t="s">
        <v>1018</v>
      </c>
      <c r="E171" s="212" t="s">
        <v>1030</v>
      </c>
      <c r="F171" s="205" t="s">
        <v>1019</v>
      </c>
      <c r="G171" s="126" t="s">
        <v>1031</v>
      </c>
      <c r="H171" s="213" t="s">
        <v>13</v>
      </c>
      <c r="I171" s="248" t="s">
        <v>1032</v>
      </c>
      <c r="J171" s="209" t="s">
        <v>15</v>
      </c>
      <c r="K171" s="175">
        <v>2</v>
      </c>
      <c r="L171" s="210" t="s">
        <v>1020</v>
      </c>
      <c r="M171" s="116" t="s">
        <v>62</v>
      </c>
      <c r="N171" s="127" t="s">
        <v>1159</v>
      </c>
      <c r="O171" s="97"/>
      <c r="P171" s="104" t="s">
        <v>224</v>
      </c>
      <c r="Q171" s="98" t="s">
        <v>195</v>
      </c>
      <c r="R171" s="99"/>
    </row>
    <row r="172" spans="1:18" s="2" customFormat="1" ht="65.150000000000006" customHeight="1">
      <c r="A172" s="142">
        <f>IF(Table2[[#This Row],[Code 
CC- ]]="", "", A171+1)</f>
        <v>169</v>
      </c>
      <c r="B172" s="221">
        <v>46017</v>
      </c>
      <c r="C172" s="143" t="s">
        <v>1023</v>
      </c>
      <c r="D172" s="212" t="s">
        <v>342</v>
      </c>
      <c r="E172" s="163" t="s">
        <v>344</v>
      </c>
      <c r="F172" s="205" t="s">
        <v>1025</v>
      </c>
      <c r="G172" s="126" t="s">
        <v>1027</v>
      </c>
      <c r="H172" s="213">
        <v>45470</v>
      </c>
      <c r="I172" s="248">
        <v>46931</v>
      </c>
      <c r="J172" s="209" t="s">
        <v>15</v>
      </c>
      <c r="K172" s="175">
        <v>1</v>
      </c>
      <c r="L172" s="210" t="s">
        <v>1028</v>
      </c>
      <c r="M172" s="119" t="s">
        <v>62</v>
      </c>
      <c r="N172" s="129" t="s">
        <v>1036</v>
      </c>
      <c r="O172" s="97"/>
      <c r="P172" s="97"/>
      <c r="Q172" s="98" t="s">
        <v>643</v>
      </c>
      <c r="R172" s="99"/>
    </row>
    <row r="173" spans="1:18" s="2" customFormat="1" ht="76.5" customHeight="1">
      <c r="A173" s="142">
        <f>IF(Table2[[#This Row],[Code 
CC- ]]="", "", A172+1)</f>
        <v>170</v>
      </c>
      <c r="B173" s="221">
        <v>46017</v>
      </c>
      <c r="C173" s="143" t="s">
        <v>1024</v>
      </c>
      <c r="D173" s="212" t="s">
        <v>342</v>
      </c>
      <c r="E173" s="163" t="s">
        <v>344</v>
      </c>
      <c r="F173" s="205" t="s">
        <v>16</v>
      </c>
      <c r="G173" s="126" t="s">
        <v>1026</v>
      </c>
      <c r="H173" s="213">
        <v>45523</v>
      </c>
      <c r="I173" s="248">
        <v>46291</v>
      </c>
      <c r="J173" s="209" t="s">
        <v>15</v>
      </c>
      <c r="K173" s="175">
        <v>1</v>
      </c>
      <c r="L173" s="210" t="s">
        <v>1029</v>
      </c>
      <c r="M173" s="119" t="s">
        <v>62</v>
      </c>
      <c r="N173" s="129" t="s">
        <v>1036</v>
      </c>
      <c r="O173" s="97"/>
      <c r="P173" s="97"/>
      <c r="Q173" s="98" t="s">
        <v>643</v>
      </c>
      <c r="R173" s="99"/>
    </row>
    <row r="174" spans="1:18" s="123" customFormat="1" ht="68.150000000000006" customHeight="1">
      <c r="A174" s="142">
        <f>IF(Table2[[#This Row],[Code 
CC- ]]="", "", A173+1)</f>
        <v>171</v>
      </c>
      <c r="B174" s="221">
        <v>46030</v>
      </c>
      <c r="C174" s="143" t="s">
        <v>1040</v>
      </c>
      <c r="D174" s="217" t="s">
        <v>342</v>
      </c>
      <c r="E174" s="150" t="s">
        <v>344</v>
      </c>
      <c r="F174" s="174" t="s">
        <v>480</v>
      </c>
      <c r="G174" s="218" t="s">
        <v>221</v>
      </c>
      <c r="H174" s="195">
        <v>45328</v>
      </c>
      <c r="I174" s="230">
        <v>46418</v>
      </c>
      <c r="J174" s="95" t="s">
        <v>63</v>
      </c>
      <c r="K174" s="95">
        <v>1</v>
      </c>
      <c r="L174" s="96" t="s">
        <v>1052</v>
      </c>
      <c r="M174" s="119" t="s">
        <v>62</v>
      </c>
      <c r="N174" s="96" t="s">
        <v>1047</v>
      </c>
      <c r="O174" s="97"/>
      <c r="P174" s="97"/>
      <c r="Q174" s="98" t="s">
        <v>643</v>
      </c>
      <c r="R174" s="99"/>
    </row>
    <row r="175" spans="1:18" s="123" customFormat="1" ht="68.150000000000006" customHeight="1">
      <c r="A175" s="142">
        <f>IF(Table2[[#This Row],[Code 
CC- ]]="", "", A174+1)</f>
        <v>172</v>
      </c>
      <c r="B175" s="221">
        <v>46031</v>
      </c>
      <c r="C175" s="143" t="s">
        <v>1051</v>
      </c>
      <c r="D175" s="217" t="s">
        <v>1048</v>
      </c>
      <c r="E175" s="150" t="s">
        <v>1049</v>
      </c>
      <c r="F175" s="174" t="s">
        <v>1050</v>
      </c>
      <c r="G175" s="218" t="s">
        <v>844</v>
      </c>
      <c r="H175" s="195">
        <v>45350</v>
      </c>
      <c r="I175" s="230">
        <v>46446</v>
      </c>
      <c r="J175" s="95" t="s">
        <v>15</v>
      </c>
      <c r="K175" s="95">
        <v>1</v>
      </c>
      <c r="L175" s="96" t="s">
        <v>873</v>
      </c>
      <c r="M175" s="119" t="s">
        <v>62</v>
      </c>
      <c r="N175" s="96" t="s">
        <v>1053</v>
      </c>
      <c r="O175" s="97"/>
      <c r="P175" s="97"/>
      <c r="Q175" s="98" t="s">
        <v>194</v>
      </c>
      <c r="R175" s="99"/>
    </row>
    <row r="176" spans="1:18" s="123" customFormat="1" ht="68.150000000000006" customHeight="1">
      <c r="A176" s="142">
        <f>IF(Table2[[#This Row],[Code 
CC- ]]="", "", A175+1)</f>
        <v>173</v>
      </c>
      <c r="B176" s="221">
        <v>46031</v>
      </c>
      <c r="C176" s="156" t="s">
        <v>1042</v>
      </c>
      <c r="D176" s="200" t="s">
        <v>1041</v>
      </c>
      <c r="E176" s="154" t="s">
        <v>1044</v>
      </c>
      <c r="F176" s="155" t="s">
        <v>1043</v>
      </c>
      <c r="G176" s="215" t="s">
        <v>1045</v>
      </c>
      <c r="H176" s="216">
        <v>45972</v>
      </c>
      <c r="I176" s="249">
        <v>46702</v>
      </c>
      <c r="J176" s="110" t="s">
        <v>15</v>
      </c>
      <c r="K176" s="110"/>
      <c r="L176" s="109" t="s">
        <v>1046</v>
      </c>
      <c r="M176" s="119" t="s">
        <v>62</v>
      </c>
      <c r="N176" s="96" t="s">
        <v>1047</v>
      </c>
      <c r="O176" s="104"/>
      <c r="P176" s="104"/>
      <c r="Q176" s="105" t="s">
        <v>643</v>
      </c>
      <c r="R176" s="106"/>
    </row>
    <row r="177" spans="1:18" s="123" customFormat="1" ht="97.4" customHeight="1">
      <c r="A177" s="219">
        <f t="shared" ref="A177:A183" si="0">ROW(B177)-4</f>
        <v>173</v>
      </c>
      <c r="B177" s="221">
        <v>46035</v>
      </c>
      <c r="C177" s="156" t="s">
        <v>1054</v>
      </c>
      <c r="D177" s="200" t="s">
        <v>1041</v>
      </c>
      <c r="E177" s="154" t="s">
        <v>1044</v>
      </c>
      <c r="F177" s="155" t="s">
        <v>1043</v>
      </c>
      <c r="G177" s="215" t="s">
        <v>1055</v>
      </c>
      <c r="H177" s="220">
        <v>45989</v>
      </c>
      <c r="I177" s="249">
        <v>46719</v>
      </c>
      <c r="J177" s="110" t="s">
        <v>41</v>
      </c>
      <c r="K177" s="110" t="s">
        <v>13</v>
      </c>
      <c r="L177" s="109" t="s">
        <v>1056</v>
      </c>
      <c r="M177" s="119" t="s">
        <v>62</v>
      </c>
      <c r="N177" s="96" t="s">
        <v>1059</v>
      </c>
      <c r="O177" s="104"/>
      <c r="P177" s="104"/>
      <c r="Q177" s="105" t="s">
        <v>211</v>
      </c>
      <c r="R177" s="106"/>
    </row>
    <row r="178" spans="1:18" s="123" customFormat="1" ht="146.15" customHeight="1">
      <c r="A178" s="219">
        <f t="shared" si="0"/>
        <v>174</v>
      </c>
      <c r="B178" s="221">
        <v>46036</v>
      </c>
      <c r="C178" s="156" t="s">
        <v>1060</v>
      </c>
      <c r="D178" s="200" t="s">
        <v>1061</v>
      </c>
      <c r="E178" s="154" t="s">
        <v>1062</v>
      </c>
      <c r="F178" s="155" t="s">
        <v>1063</v>
      </c>
      <c r="G178" s="215" t="s">
        <v>1081</v>
      </c>
      <c r="H178" s="220">
        <v>45631</v>
      </c>
      <c r="I178" s="249">
        <v>46356</v>
      </c>
      <c r="J178" s="110" t="s">
        <v>41</v>
      </c>
      <c r="K178" s="110">
        <v>4</v>
      </c>
      <c r="L178" s="109" t="s">
        <v>1078</v>
      </c>
      <c r="M178" s="116" t="s">
        <v>1079</v>
      </c>
      <c r="N178" s="109" t="s">
        <v>1080</v>
      </c>
      <c r="O178" s="104" t="s">
        <v>582</v>
      </c>
      <c r="P178" s="104" t="s">
        <v>444</v>
      </c>
      <c r="Q178" s="105" t="s">
        <v>341</v>
      </c>
      <c r="R178" s="106"/>
    </row>
    <row r="179" spans="1:18" s="123" customFormat="1" ht="97.4" customHeight="1">
      <c r="A179" s="219">
        <f t="shared" si="0"/>
        <v>175</v>
      </c>
      <c r="B179" s="221">
        <v>46036</v>
      </c>
      <c r="C179" s="156" t="s">
        <v>1064</v>
      </c>
      <c r="D179" s="200" t="s">
        <v>1041</v>
      </c>
      <c r="E179" s="154" t="s">
        <v>1044</v>
      </c>
      <c r="F179" s="155" t="s">
        <v>1065</v>
      </c>
      <c r="G179" s="215" t="s">
        <v>1069</v>
      </c>
      <c r="H179" s="220" t="s">
        <v>28</v>
      </c>
      <c r="I179" s="249">
        <v>46387</v>
      </c>
      <c r="J179" s="110" t="s">
        <v>41</v>
      </c>
      <c r="K179" s="110">
        <v>1</v>
      </c>
      <c r="L179" s="109" t="s">
        <v>217</v>
      </c>
      <c r="M179" s="119" t="s">
        <v>62</v>
      </c>
      <c r="N179" s="96" t="s">
        <v>1047</v>
      </c>
      <c r="O179" s="104"/>
      <c r="P179" s="104"/>
      <c r="Q179" s="105" t="s">
        <v>195</v>
      </c>
      <c r="R179" s="106"/>
    </row>
    <row r="180" spans="1:18" s="123" customFormat="1" ht="97.4" customHeight="1">
      <c r="A180" s="219">
        <f t="shared" si="0"/>
        <v>176</v>
      </c>
      <c r="B180" s="221">
        <v>46041</v>
      </c>
      <c r="C180" s="156" t="s">
        <v>1066</v>
      </c>
      <c r="D180" s="200" t="s">
        <v>466</v>
      </c>
      <c r="E180" s="154" t="s">
        <v>27</v>
      </c>
      <c r="F180" s="145" t="s">
        <v>1067</v>
      </c>
      <c r="G180" s="122" t="s">
        <v>1068</v>
      </c>
      <c r="H180" s="220" t="s">
        <v>1097</v>
      </c>
      <c r="I180" s="249">
        <v>46965</v>
      </c>
      <c r="J180" s="110" t="s">
        <v>595</v>
      </c>
      <c r="K180" s="110">
        <v>1</v>
      </c>
      <c r="L180" s="109" t="s">
        <v>1076</v>
      </c>
      <c r="M180" s="119" t="s">
        <v>62</v>
      </c>
      <c r="N180" s="96" t="s">
        <v>1224</v>
      </c>
      <c r="O180" s="104"/>
      <c r="P180" s="104"/>
      <c r="Q180" s="105" t="s">
        <v>195</v>
      </c>
      <c r="R180" s="106"/>
    </row>
    <row r="181" spans="1:18" s="123" customFormat="1" ht="97.4" customHeight="1">
      <c r="A181" s="219">
        <f t="shared" si="0"/>
        <v>177</v>
      </c>
      <c r="B181" s="221">
        <v>46042</v>
      </c>
      <c r="C181" s="156" t="s">
        <v>1071</v>
      </c>
      <c r="D181" s="200" t="s">
        <v>1072</v>
      </c>
      <c r="E181" s="154" t="s">
        <v>1073</v>
      </c>
      <c r="F181" s="145" t="s">
        <v>1074</v>
      </c>
      <c r="G181" s="122" t="s">
        <v>1075</v>
      </c>
      <c r="H181" s="220" t="s">
        <v>1087</v>
      </c>
      <c r="I181" s="249">
        <v>46660</v>
      </c>
      <c r="J181" s="110" t="s">
        <v>35</v>
      </c>
      <c r="K181" s="110">
        <v>1</v>
      </c>
      <c r="L181" s="109" t="s">
        <v>1077</v>
      </c>
      <c r="M181" s="119" t="s">
        <v>62</v>
      </c>
      <c r="N181" s="96" t="s">
        <v>1047</v>
      </c>
      <c r="O181" s="104"/>
      <c r="P181" s="104"/>
      <c r="Q181" s="105" t="s">
        <v>195</v>
      </c>
      <c r="R181" s="106"/>
    </row>
    <row r="182" spans="1:18" s="123" customFormat="1" ht="97.4" customHeight="1">
      <c r="A182" s="219">
        <f t="shared" si="0"/>
        <v>178</v>
      </c>
      <c r="B182" s="221">
        <v>46044</v>
      </c>
      <c r="C182" s="156" t="s">
        <v>1082</v>
      </c>
      <c r="D182" s="200" t="s">
        <v>1084</v>
      </c>
      <c r="E182" s="154" t="s">
        <v>1085</v>
      </c>
      <c r="F182" s="145" t="s">
        <v>1086</v>
      </c>
      <c r="G182" s="122" t="s">
        <v>1088</v>
      </c>
      <c r="H182" s="220" t="s">
        <v>1087</v>
      </c>
      <c r="I182" s="249">
        <v>46660</v>
      </c>
      <c r="J182" s="110" t="s">
        <v>1089</v>
      </c>
      <c r="K182" s="110">
        <v>3</v>
      </c>
      <c r="L182" s="109" t="s">
        <v>1090</v>
      </c>
      <c r="M182" s="116" t="s">
        <v>1131</v>
      </c>
      <c r="N182" s="96" t="s">
        <v>1218</v>
      </c>
      <c r="O182" s="104"/>
      <c r="P182" s="104"/>
      <c r="Q182" s="105" t="s">
        <v>195</v>
      </c>
      <c r="R182" s="106"/>
    </row>
    <row r="183" spans="1:18" s="123" customFormat="1" ht="97.4" customHeight="1">
      <c r="A183" s="219">
        <f t="shared" si="0"/>
        <v>179</v>
      </c>
      <c r="B183" s="221">
        <v>46044</v>
      </c>
      <c r="C183" s="156" t="s">
        <v>1083</v>
      </c>
      <c r="D183" s="200" t="s">
        <v>1093</v>
      </c>
      <c r="E183" s="154" t="s">
        <v>1094</v>
      </c>
      <c r="F183" s="145" t="s">
        <v>49</v>
      </c>
      <c r="G183" s="122" t="s">
        <v>1095</v>
      </c>
      <c r="H183" s="220">
        <v>45568</v>
      </c>
      <c r="I183" s="249">
        <v>46447</v>
      </c>
      <c r="J183" s="110" t="s">
        <v>31</v>
      </c>
      <c r="K183" s="110">
        <v>3</v>
      </c>
      <c r="L183" s="109" t="s">
        <v>1096</v>
      </c>
      <c r="M183" s="116" t="s">
        <v>62</v>
      </c>
      <c r="N183" s="96" t="s">
        <v>1047</v>
      </c>
      <c r="O183" s="104"/>
      <c r="P183" s="104"/>
      <c r="Q183" s="105" t="s">
        <v>194</v>
      </c>
      <c r="R183" s="106">
        <v>46083</v>
      </c>
    </row>
    <row r="184" spans="1:18" s="123" customFormat="1" ht="97.4" customHeight="1">
      <c r="A184" s="219">
        <f t="shared" ref="A184:A189" si="1">ROW(B184)-4</f>
        <v>180</v>
      </c>
      <c r="B184" s="221">
        <v>46045</v>
      </c>
      <c r="C184" s="156" t="s">
        <v>1099</v>
      </c>
      <c r="D184" s="200" t="s">
        <v>1098</v>
      </c>
      <c r="E184" s="154" t="s">
        <v>1100</v>
      </c>
      <c r="F184" s="145" t="s">
        <v>991</v>
      </c>
      <c r="G184" s="122" t="s">
        <v>1113</v>
      </c>
      <c r="H184" s="220">
        <v>44964</v>
      </c>
      <c r="I184" s="249">
        <v>46418</v>
      </c>
      <c r="J184" s="110" t="s">
        <v>63</v>
      </c>
      <c r="K184" s="110">
        <v>1</v>
      </c>
      <c r="L184" s="109" t="s">
        <v>1101</v>
      </c>
      <c r="M184" s="116" t="s">
        <v>62</v>
      </c>
      <c r="N184" s="96" t="s">
        <v>1114</v>
      </c>
      <c r="O184" s="104"/>
      <c r="P184" s="104"/>
      <c r="Q184" s="105" t="s">
        <v>194</v>
      </c>
      <c r="R184" s="106"/>
    </row>
    <row r="185" spans="1:18" s="123" customFormat="1" ht="97.4" customHeight="1">
      <c r="A185" s="219">
        <f t="shared" si="1"/>
        <v>181</v>
      </c>
      <c r="B185" s="221">
        <v>46048</v>
      </c>
      <c r="C185" s="156" t="s">
        <v>1103</v>
      </c>
      <c r="D185" s="200" t="s">
        <v>1102</v>
      </c>
      <c r="E185" s="154" t="s">
        <v>1104</v>
      </c>
      <c r="F185" s="145" t="s">
        <v>1106</v>
      </c>
      <c r="G185" s="122" t="s">
        <v>1105</v>
      </c>
      <c r="H185" s="220" t="s">
        <v>48</v>
      </c>
      <c r="I185" s="250" t="s">
        <v>1107</v>
      </c>
      <c r="J185" s="110" t="s">
        <v>63</v>
      </c>
      <c r="K185" s="110">
        <v>1</v>
      </c>
      <c r="L185" s="109" t="s">
        <v>1108</v>
      </c>
      <c r="M185" s="116" t="s">
        <v>1301</v>
      </c>
      <c r="N185" s="109" t="s">
        <v>1157</v>
      </c>
      <c r="O185" s="104"/>
      <c r="P185" s="104" t="s">
        <v>583</v>
      </c>
      <c r="Q185" s="105" t="s">
        <v>210</v>
      </c>
      <c r="R185" s="106"/>
    </row>
    <row r="186" spans="1:18" s="123" customFormat="1" ht="97.4" customHeight="1">
      <c r="A186" s="219">
        <f t="shared" si="1"/>
        <v>182</v>
      </c>
      <c r="B186" s="221">
        <v>46051</v>
      </c>
      <c r="C186" s="156" t="s">
        <v>1109</v>
      </c>
      <c r="D186" s="200" t="s">
        <v>1161</v>
      </c>
      <c r="E186" s="154" t="s">
        <v>1111</v>
      </c>
      <c r="F186" s="145" t="s">
        <v>1160</v>
      </c>
      <c r="G186" s="122" t="s">
        <v>1110</v>
      </c>
      <c r="H186" s="220" t="s">
        <v>493</v>
      </c>
      <c r="I186" s="251">
        <v>46812</v>
      </c>
      <c r="J186" s="110" t="s">
        <v>15</v>
      </c>
      <c r="K186" s="110">
        <v>1</v>
      </c>
      <c r="L186" s="109" t="s">
        <v>1112</v>
      </c>
      <c r="M186" s="116" t="s">
        <v>1301</v>
      </c>
      <c r="N186" s="109" t="s">
        <v>1158</v>
      </c>
      <c r="O186" s="104"/>
      <c r="P186" s="104" t="s">
        <v>583</v>
      </c>
      <c r="Q186" s="105" t="s">
        <v>210</v>
      </c>
      <c r="R186" s="106"/>
    </row>
    <row r="187" spans="1:18" s="123" customFormat="1" ht="97.4" customHeight="1">
      <c r="A187" s="219">
        <f t="shared" si="1"/>
        <v>183</v>
      </c>
      <c r="B187" s="221">
        <v>46056</v>
      </c>
      <c r="C187" s="156" t="s">
        <v>1115</v>
      </c>
      <c r="D187" s="200" t="s">
        <v>342</v>
      </c>
      <c r="E187" s="154" t="s">
        <v>344</v>
      </c>
      <c r="F187" s="145" t="s">
        <v>389</v>
      </c>
      <c r="G187" s="222" t="s">
        <v>1116</v>
      </c>
      <c r="H187" s="220">
        <v>45679</v>
      </c>
      <c r="I187" s="251">
        <v>46774</v>
      </c>
      <c r="J187" s="110" t="s">
        <v>15</v>
      </c>
      <c r="K187" s="110">
        <v>1</v>
      </c>
      <c r="L187" s="109" t="s">
        <v>1117</v>
      </c>
      <c r="M187" s="116" t="s">
        <v>62</v>
      </c>
      <c r="N187" s="109" t="s">
        <v>1128</v>
      </c>
      <c r="O187" s="104"/>
      <c r="P187" s="104" t="s">
        <v>583</v>
      </c>
      <c r="Q187" s="105" t="s">
        <v>643</v>
      </c>
      <c r="R187" s="106"/>
    </row>
    <row r="188" spans="1:18" s="123" customFormat="1" ht="97.4" customHeight="1">
      <c r="A188" s="219">
        <f t="shared" si="1"/>
        <v>184</v>
      </c>
      <c r="B188" s="221">
        <v>46057</v>
      </c>
      <c r="C188" s="156" t="s">
        <v>1118</v>
      </c>
      <c r="D188" s="200" t="s">
        <v>1119</v>
      </c>
      <c r="E188" s="146" t="s">
        <v>1123</v>
      </c>
      <c r="F188" s="145" t="s">
        <v>950</v>
      </c>
      <c r="G188" s="122" t="s">
        <v>952</v>
      </c>
      <c r="H188" s="223" t="s">
        <v>1121</v>
      </c>
      <c r="I188" s="252">
        <v>46568</v>
      </c>
      <c r="J188" s="95" t="s">
        <v>31</v>
      </c>
      <c r="K188" s="95">
        <v>1</v>
      </c>
      <c r="L188" s="109" t="s">
        <v>1120</v>
      </c>
      <c r="M188" s="116" t="s">
        <v>1139</v>
      </c>
      <c r="N188" s="109" t="s">
        <v>1122</v>
      </c>
      <c r="O188" s="104" t="s">
        <v>1165</v>
      </c>
      <c r="P188" s="104" t="s">
        <v>444</v>
      </c>
      <c r="Q188" s="105" t="s">
        <v>644</v>
      </c>
      <c r="R188" s="106"/>
    </row>
    <row r="189" spans="1:18" s="123" customFormat="1" ht="97.4" customHeight="1">
      <c r="A189" s="219">
        <f t="shared" si="1"/>
        <v>185</v>
      </c>
      <c r="B189" s="221">
        <v>46076</v>
      </c>
      <c r="C189" s="156" t="s">
        <v>1124</v>
      </c>
      <c r="D189" s="200" t="s">
        <v>127</v>
      </c>
      <c r="E189" s="154" t="s">
        <v>131</v>
      </c>
      <c r="F189" s="145" t="s">
        <v>1125</v>
      </c>
      <c r="G189" s="122" t="s">
        <v>1126</v>
      </c>
      <c r="H189" s="220">
        <v>45721</v>
      </c>
      <c r="I189" s="251">
        <v>46817</v>
      </c>
      <c r="J189" s="110" t="s">
        <v>17</v>
      </c>
      <c r="K189" s="110">
        <v>1</v>
      </c>
      <c r="L189" s="109" t="s">
        <v>1127</v>
      </c>
      <c r="M189" s="116" t="s">
        <v>1131</v>
      </c>
      <c r="N189" s="109" t="s">
        <v>1134</v>
      </c>
      <c r="O189" s="104"/>
      <c r="P189" s="104"/>
      <c r="Q189" s="105" t="s">
        <v>210</v>
      </c>
      <c r="R189" s="106"/>
    </row>
    <row r="190" spans="1:18" s="123" customFormat="1" ht="97.4" customHeight="1">
      <c r="A190" s="219">
        <f>ROW(B190)-4</f>
        <v>186</v>
      </c>
      <c r="B190" s="221">
        <v>46077</v>
      </c>
      <c r="C190" s="156" t="s">
        <v>1132</v>
      </c>
      <c r="D190" s="200" t="s">
        <v>1133</v>
      </c>
      <c r="E190" s="146" t="s">
        <v>1135</v>
      </c>
      <c r="F190" s="145" t="s">
        <v>1137</v>
      </c>
      <c r="G190" s="122" t="s">
        <v>13</v>
      </c>
      <c r="H190" s="122" t="s">
        <v>13</v>
      </c>
      <c r="I190" s="122" t="s">
        <v>13</v>
      </c>
      <c r="J190" s="122" t="s">
        <v>13</v>
      </c>
      <c r="K190" s="122" t="s">
        <v>13</v>
      </c>
      <c r="L190" s="109" t="s">
        <v>1136</v>
      </c>
      <c r="M190" s="116" t="s">
        <v>13</v>
      </c>
      <c r="N190" s="109" t="s">
        <v>1138</v>
      </c>
      <c r="O190" s="104"/>
      <c r="P190" s="104"/>
      <c r="Q190" s="105" t="s">
        <v>211</v>
      </c>
      <c r="R190" s="106"/>
    </row>
    <row r="191" spans="1:18" s="123" customFormat="1" ht="172.5" customHeight="1">
      <c r="A191" s="219">
        <f>ROW(B191)-4</f>
        <v>187</v>
      </c>
      <c r="B191" s="221">
        <v>46079</v>
      </c>
      <c r="C191" s="156" t="s">
        <v>1140</v>
      </c>
      <c r="D191" s="200" t="s">
        <v>1144</v>
      </c>
      <c r="E191" s="154" t="s">
        <v>1149</v>
      </c>
      <c r="F191" s="145" t="s">
        <v>1143</v>
      </c>
      <c r="G191" s="122" t="s">
        <v>1162</v>
      </c>
      <c r="H191" s="255" t="s">
        <v>1163</v>
      </c>
      <c r="I191" s="256">
        <v>46568</v>
      </c>
      <c r="J191" s="257" t="s">
        <v>41</v>
      </c>
      <c r="K191" s="257" t="s">
        <v>1142</v>
      </c>
      <c r="L191" s="109" t="s">
        <v>1141</v>
      </c>
      <c r="M191" s="116" t="s">
        <v>62</v>
      </c>
      <c r="N191" s="109" t="s">
        <v>1164</v>
      </c>
      <c r="O191" s="104" t="s">
        <v>582</v>
      </c>
      <c r="P191" s="104" t="s">
        <v>444</v>
      </c>
      <c r="Q191" s="105" t="s">
        <v>643</v>
      </c>
      <c r="R191" s="106"/>
    </row>
    <row r="192" spans="1:18" s="123" customFormat="1" ht="97.4" customHeight="1">
      <c r="A192" s="219">
        <f>ROW(B192)-4</f>
        <v>188</v>
      </c>
      <c r="B192" s="221">
        <v>46079</v>
      </c>
      <c r="C192" s="156" t="s">
        <v>1150</v>
      </c>
      <c r="D192" s="200" t="s">
        <v>1145</v>
      </c>
      <c r="E192" s="154" t="s">
        <v>1146</v>
      </c>
      <c r="F192" s="145" t="s">
        <v>39</v>
      </c>
      <c r="G192" s="122" t="s">
        <v>1147</v>
      </c>
      <c r="H192" s="255" t="s">
        <v>1148</v>
      </c>
      <c r="I192" s="256">
        <v>46904</v>
      </c>
      <c r="J192" s="257" t="s">
        <v>41</v>
      </c>
      <c r="K192" s="257" t="s">
        <v>1142</v>
      </c>
      <c r="L192" s="109" t="s">
        <v>217</v>
      </c>
      <c r="M192" s="116" t="s">
        <v>62</v>
      </c>
      <c r="N192" s="109" t="s">
        <v>1151</v>
      </c>
      <c r="O192" s="104"/>
      <c r="P192" s="104"/>
      <c r="Q192" s="105" t="s">
        <v>644</v>
      </c>
      <c r="R192" s="106"/>
    </row>
    <row r="193" spans="1:18" s="285" customFormat="1" ht="97.4" customHeight="1">
      <c r="A193" s="272">
        <f>ROW(B193)-4</f>
        <v>189</v>
      </c>
      <c r="B193" s="273">
        <v>46079</v>
      </c>
      <c r="C193" s="274" t="s">
        <v>1152</v>
      </c>
      <c r="D193" s="275" t="s">
        <v>1154</v>
      </c>
      <c r="E193" s="276" t="s">
        <v>1155</v>
      </c>
      <c r="F193" s="277" t="s">
        <v>49</v>
      </c>
      <c r="G193" s="278" t="s">
        <v>825</v>
      </c>
      <c r="H193" s="279" t="s">
        <v>1156</v>
      </c>
      <c r="I193" s="280">
        <v>46446</v>
      </c>
      <c r="J193" s="281" t="s">
        <v>64</v>
      </c>
      <c r="K193" s="281" t="s">
        <v>1142</v>
      </c>
      <c r="L193" s="282" t="s">
        <v>1153</v>
      </c>
      <c r="M193" s="282" t="s">
        <v>62</v>
      </c>
      <c r="N193" s="282" t="s">
        <v>1306</v>
      </c>
      <c r="O193" s="283"/>
      <c r="P193" s="283"/>
      <c r="Q193" s="282" t="s">
        <v>643</v>
      </c>
      <c r="R193" s="284"/>
    </row>
    <row r="194" spans="1:18" s="123" customFormat="1" ht="97.4" customHeight="1">
      <c r="A194" s="219">
        <v>190</v>
      </c>
      <c r="B194" s="221">
        <v>46080</v>
      </c>
      <c r="C194" s="156" t="s">
        <v>1166</v>
      </c>
      <c r="D194" s="200" t="s">
        <v>1174</v>
      </c>
      <c r="E194" s="154" t="s">
        <v>1167</v>
      </c>
      <c r="F194" s="145" t="s">
        <v>34</v>
      </c>
      <c r="G194" s="122" t="s">
        <v>291</v>
      </c>
      <c r="H194" s="258" t="s">
        <v>1168</v>
      </c>
      <c r="I194" s="256">
        <v>46295</v>
      </c>
      <c r="J194" s="257" t="s">
        <v>63</v>
      </c>
      <c r="K194" s="257" t="s">
        <v>1142</v>
      </c>
      <c r="L194" s="109" t="s">
        <v>1171</v>
      </c>
      <c r="M194" s="116" t="s">
        <v>62</v>
      </c>
      <c r="N194" s="109" t="s">
        <v>1169</v>
      </c>
      <c r="O194" s="104" t="s">
        <v>1170</v>
      </c>
      <c r="P194" s="104" t="s">
        <v>444</v>
      </c>
      <c r="Q194" s="105" t="s">
        <v>194</v>
      </c>
      <c r="R194" s="106"/>
    </row>
    <row r="195" spans="1:18" s="123" customFormat="1" ht="97.4" customHeight="1">
      <c r="A195" s="219">
        <f t="shared" ref="A195:A200" si="2">ROW(B195)-4</f>
        <v>191</v>
      </c>
      <c r="B195" s="261">
        <v>46087</v>
      </c>
      <c r="C195" s="143" t="s">
        <v>1172</v>
      </c>
      <c r="D195" s="212" t="s">
        <v>1175</v>
      </c>
      <c r="E195" s="146" t="s">
        <v>13</v>
      </c>
      <c r="F195" s="145" t="s">
        <v>1187</v>
      </c>
      <c r="G195" s="122" t="s">
        <v>1177</v>
      </c>
      <c r="H195" s="122" t="s">
        <v>13</v>
      </c>
      <c r="I195" s="259" t="s">
        <v>1178</v>
      </c>
      <c r="J195" s="122" t="s">
        <v>13</v>
      </c>
      <c r="K195" s="122" t="s">
        <v>13</v>
      </c>
      <c r="L195" s="109" t="s">
        <v>1173</v>
      </c>
      <c r="M195" s="116" t="s">
        <v>13</v>
      </c>
      <c r="N195" s="109" t="s">
        <v>1176</v>
      </c>
      <c r="O195" s="104"/>
      <c r="P195" s="104"/>
      <c r="Q195" s="105" t="s">
        <v>211</v>
      </c>
      <c r="R195" s="106"/>
    </row>
    <row r="196" spans="1:18" s="123" customFormat="1" ht="97.4" customHeight="1">
      <c r="A196" s="219">
        <f t="shared" si="2"/>
        <v>192</v>
      </c>
      <c r="B196" s="261">
        <v>46091</v>
      </c>
      <c r="C196" s="143" t="s">
        <v>1184</v>
      </c>
      <c r="D196" s="200" t="s">
        <v>1179</v>
      </c>
      <c r="E196" s="146" t="s">
        <v>1185</v>
      </c>
      <c r="F196" s="145" t="s">
        <v>1180</v>
      </c>
      <c r="G196" s="122" t="s">
        <v>1181</v>
      </c>
      <c r="H196" s="258" t="s">
        <v>1183</v>
      </c>
      <c r="I196" s="259">
        <v>46522</v>
      </c>
      <c r="J196" s="260" t="s">
        <v>15</v>
      </c>
      <c r="K196" s="260" t="s">
        <v>1142</v>
      </c>
      <c r="L196" s="109" t="s">
        <v>1182</v>
      </c>
      <c r="M196" s="116" t="s">
        <v>62</v>
      </c>
      <c r="N196" s="109" t="s">
        <v>1186</v>
      </c>
      <c r="O196" s="104"/>
      <c r="P196" s="104"/>
      <c r="Q196" s="105" t="s">
        <v>195</v>
      </c>
      <c r="R196" s="106"/>
    </row>
    <row r="197" spans="1:18" s="123" customFormat="1" ht="97.4" customHeight="1">
      <c r="A197" s="262">
        <f t="shared" si="2"/>
        <v>193</v>
      </c>
      <c r="B197" s="221">
        <v>46097</v>
      </c>
      <c r="C197" s="156" t="s">
        <v>1258</v>
      </c>
      <c r="D197" s="200" t="s">
        <v>1192</v>
      </c>
      <c r="E197" s="154" t="s">
        <v>1193</v>
      </c>
      <c r="F197" s="145" t="s">
        <v>1189</v>
      </c>
      <c r="G197" s="215" t="s">
        <v>1188</v>
      </c>
      <c r="H197" s="255" t="s">
        <v>1197</v>
      </c>
      <c r="I197" s="256">
        <v>47009</v>
      </c>
      <c r="J197" s="260" t="s">
        <v>510</v>
      </c>
      <c r="K197" s="257" t="s">
        <v>1191</v>
      </c>
      <c r="L197" s="109" t="s">
        <v>1190</v>
      </c>
      <c r="M197" s="116" t="s">
        <v>134</v>
      </c>
      <c r="N197" s="109" t="s">
        <v>1257</v>
      </c>
      <c r="O197" s="104"/>
      <c r="P197" s="104"/>
      <c r="Q197" s="105" t="s">
        <v>644</v>
      </c>
      <c r="R197" s="106"/>
    </row>
    <row r="198" spans="1:18" s="123" customFormat="1" ht="97.4" customHeight="1">
      <c r="A198" s="262">
        <f t="shared" si="2"/>
        <v>194</v>
      </c>
      <c r="B198" s="221">
        <v>46098</v>
      </c>
      <c r="C198" s="156" t="s">
        <v>1194</v>
      </c>
      <c r="D198" s="200" t="s">
        <v>342</v>
      </c>
      <c r="E198" s="163" t="s">
        <v>344</v>
      </c>
      <c r="F198" s="145" t="s">
        <v>418</v>
      </c>
      <c r="G198" s="215" t="s">
        <v>1195</v>
      </c>
      <c r="H198" s="255" t="s">
        <v>1163</v>
      </c>
      <c r="I198" s="256">
        <v>46568</v>
      </c>
      <c r="J198" s="257" t="s">
        <v>63</v>
      </c>
      <c r="K198" s="257" t="s">
        <v>1142</v>
      </c>
      <c r="L198" s="109" t="s">
        <v>1196</v>
      </c>
      <c r="M198" s="116" t="s">
        <v>62</v>
      </c>
      <c r="N198" s="109" t="s">
        <v>1215</v>
      </c>
      <c r="O198" s="104" t="s">
        <v>767</v>
      </c>
      <c r="P198" s="104" t="s">
        <v>583</v>
      </c>
      <c r="Q198" s="105" t="s">
        <v>643</v>
      </c>
      <c r="R198" s="106">
        <v>46129</v>
      </c>
    </row>
    <row r="199" spans="1:18" s="123" customFormat="1" ht="97.4" customHeight="1">
      <c r="A199" s="262">
        <f t="shared" si="2"/>
        <v>195</v>
      </c>
      <c r="B199" s="263">
        <v>46100</v>
      </c>
      <c r="C199" s="143" t="s">
        <v>1198</v>
      </c>
      <c r="D199" s="217" t="s">
        <v>1199</v>
      </c>
      <c r="E199" s="171" t="s">
        <v>1212</v>
      </c>
      <c r="F199" s="174" t="s">
        <v>1200</v>
      </c>
      <c r="G199" s="122" t="s">
        <v>1201</v>
      </c>
      <c r="H199" s="258" t="s">
        <v>1203</v>
      </c>
      <c r="I199" s="259">
        <v>46994</v>
      </c>
      <c r="J199" s="260" t="s">
        <v>64</v>
      </c>
      <c r="K199" s="260" t="s">
        <v>1142</v>
      </c>
      <c r="L199" s="96" t="s">
        <v>1202</v>
      </c>
      <c r="M199" s="116" t="s">
        <v>62</v>
      </c>
      <c r="N199" s="96" t="s">
        <v>1213</v>
      </c>
      <c r="O199" s="97" t="s">
        <v>1170</v>
      </c>
      <c r="P199" s="97" t="s">
        <v>444</v>
      </c>
      <c r="Q199" s="98" t="s">
        <v>644</v>
      </c>
      <c r="R199" s="99"/>
    </row>
    <row r="200" spans="1:18" s="123" customFormat="1" ht="97.4" customHeight="1">
      <c r="A200" s="262">
        <f t="shared" si="2"/>
        <v>196</v>
      </c>
      <c r="B200" s="263">
        <v>46104</v>
      </c>
      <c r="C200" s="143" t="s">
        <v>1216</v>
      </c>
      <c r="D200" s="217" t="s">
        <v>466</v>
      </c>
      <c r="E200" s="171" t="s">
        <v>27</v>
      </c>
      <c r="F200" s="174" t="s">
        <v>1204</v>
      </c>
      <c r="G200" s="218" t="s">
        <v>1205</v>
      </c>
      <c r="H200" s="258" t="s">
        <v>1207</v>
      </c>
      <c r="I200" s="259">
        <v>46996</v>
      </c>
      <c r="J200" s="260" t="s">
        <v>595</v>
      </c>
      <c r="K200" s="260" t="s">
        <v>1214</v>
      </c>
      <c r="L200" s="96" t="s">
        <v>1206</v>
      </c>
      <c r="M200" s="116" t="s">
        <v>62</v>
      </c>
      <c r="N200" s="96" t="s">
        <v>1217</v>
      </c>
      <c r="O200" s="97" t="s">
        <v>1170</v>
      </c>
      <c r="P200" s="97" t="s">
        <v>224</v>
      </c>
      <c r="Q200" s="98" t="s">
        <v>644</v>
      </c>
      <c r="R200" s="99"/>
    </row>
    <row r="201" spans="1:18" s="123" customFormat="1" ht="97.4" customHeight="1">
      <c r="A201" s="262">
        <f>ROW(B201)-4</f>
        <v>197</v>
      </c>
      <c r="B201" s="261">
        <v>46104</v>
      </c>
      <c r="C201" s="143" t="s">
        <v>1208</v>
      </c>
      <c r="D201" s="212" t="s">
        <v>1211</v>
      </c>
      <c r="E201" s="163" t="s">
        <v>1219</v>
      </c>
      <c r="F201" s="145" t="s">
        <v>1086</v>
      </c>
      <c r="G201" s="122" t="s">
        <v>1209</v>
      </c>
      <c r="H201" s="258" t="s">
        <v>1087</v>
      </c>
      <c r="I201" s="259">
        <v>46660</v>
      </c>
      <c r="J201" s="260"/>
      <c r="K201" s="260"/>
      <c r="L201" s="96" t="s">
        <v>1210</v>
      </c>
      <c r="M201" s="119" t="s">
        <v>134</v>
      </c>
      <c r="N201" s="96" t="s">
        <v>1246</v>
      </c>
      <c r="O201" s="104" t="s">
        <v>1247</v>
      </c>
      <c r="P201" s="104" t="s">
        <v>157</v>
      </c>
      <c r="Q201" s="105" t="s">
        <v>644</v>
      </c>
      <c r="R201" s="106"/>
    </row>
    <row r="202" spans="1:18" ht="58.5" customHeight="1">
      <c r="A202" s="262">
        <f>ROW(B202)-4</f>
        <v>198</v>
      </c>
      <c r="B202" s="221">
        <v>46108</v>
      </c>
      <c r="C202" s="156" t="s">
        <v>1220</v>
      </c>
      <c r="D202" s="200" t="s">
        <v>1221</v>
      </c>
      <c r="E202" s="161" t="s">
        <v>168</v>
      </c>
      <c r="F202" s="161" t="s">
        <v>1222</v>
      </c>
      <c r="G202" s="155" t="s">
        <v>1223</v>
      </c>
      <c r="H202" s="255"/>
      <c r="I202" s="256">
        <v>47041</v>
      </c>
      <c r="J202" s="257"/>
      <c r="K202" s="257"/>
      <c r="L202" s="109" t="s">
        <v>1245</v>
      </c>
      <c r="M202" s="116" t="s">
        <v>62</v>
      </c>
      <c r="N202" s="109" t="s">
        <v>1259</v>
      </c>
      <c r="O202" s="104"/>
      <c r="P202" s="104"/>
      <c r="Q202" s="105" t="s">
        <v>643</v>
      </c>
      <c r="R202" s="106"/>
    </row>
    <row r="203" spans="1:18" ht="56.5" customHeight="1">
      <c r="A203" s="262">
        <f t="shared" ref="A203:A207" si="3">ROW(B203)-4</f>
        <v>199</v>
      </c>
      <c r="B203" s="221">
        <v>46112</v>
      </c>
      <c r="C203" s="156" t="s">
        <v>1228</v>
      </c>
      <c r="D203" s="200" t="s">
        <v>1225</v>
      </c>
      <c r="E203" s="161" t="s">
        <v>1049</v>
      </c>
      <c r="F203" s="265" t="s">
        <v>70</v>
      </c>
      <c r="G203" s="126" t="s">
        <v>1226</v>
      </c>
      <c r="H203" s="264" t="s">
        <v>13</v>
      </c>
      <c r="I203" s="256">
        <v>46999</v>
      </c>
      <c r="J203" s="257" t="s">
        <v>15</v>
      </c>
      <c r="K203" s="257" t="s">
        <v>69</v>
      </c>
      <c r="L203" s="109" t="s">
        <v>1227</v>
      </c>
      <c r="M203" s="116" t="s">
        <v>1130</v>
      </c>
      <c r="N203" s="109" t="s">
        <v>1272</v>
      </c>
      <c r="O203" s="104"/>
      <c r="P203" s="104" t="s">
        <v>224</v>
      </c>
      <c r="Q203" s="105" t="s">
        <v>341</v>
      </c>
      <c r="R203" s="106"/>
    </row>
    <row r="204" spans="1:18" ht="67.75" customHeight="1">
      <c r="A204" s="262">
        <f t="shared" si="3"/>
        <v>200</v>
      </c>
      <c r="B204" s="263">
        <v>46113</v>
      </c>
      <c r="C204" s="143" t="s">
        <v>1232</v>
      </c>
      <c r="D204" s="217" t="s">
        <v>1229</v>
      </c>
      <c r="E204" s="171" t="s">
        <v>1233</v>
      </c>
      <c r="F204" s="265" t="s">
        <v>70</v>
      </c>
      <c r="G204" s="126" t="s">
        <v>1230</v>
      </c>
      <c r="H204" s="264" t="s">
        <v>13</v>
      </c>
      <c r="I204" s="259">
        <v>46984</v>
      </c>
      <c r="J204" s="257" t="s">
        <v>15</v>
      </c>
      <c r="K204" s="257" t="s">
        <v>69</v>
      </c>
      <c r="L204" s="96" t="s">
        <v>1231</v>
      </c>
      <c r="M204" s="116" t="s">
        <v>1130</v>
      </c>
      <c r="N204" s="109" t="s">
        <v>1272</v>
      </c>
      <c r="O204" s="97"/>
      <c r="P204" s="104" t="s">
        <v>224</v>
      </c>
      <c r="Q204" s="105" t="s">
        <v>341</v>
      </c>
      <c r="R204" s="99"/>
    </row>
    <row r="205" spans="1:18" ht="67.75" customHeight="1">
      <c r="A205" s="262">
        <f t="shared" si="3"/>
        <v>201</v>
      </c>
      <c r="B205" s="263">
        <v>46113</v>
      </c>
      <c r="C205" s="143" t="s">
        <v>1238</v>
      </c>
      <c r="D205" s="200" t="s">
        <v>1234</v>
      </c>
      <c r="E205" s="163" t="s">
        <v>1261</v>
      </c>
      <c r="F205" s="145" t="s">
        <v>1235</v>
      </c>
      <c r="G205" s="114" t="s">
        <v>1236</v>
      </c>
      <c r="H205" s="264" t="s">
        <v>13</v>
      </c>
      <c r="I205" s="259">
        <v>47118</v>
      </c>
      <c r="J205" s="257" t="s">
        <v>15</v>
      </c>
      <c r="K205" s="257" t="s">
        <v>69</v>
      </c>
      <c r="L205" s="109" t="s">
        <v>1237</v>
      </c>
      <c r="M205" s="116" t="s">
        <v>62</v>
      </c>
      <c r="N205" s="109" t="s">
        <v>1239</v>
      </c>
      <c r="O205" s="104"/>
      <c r="P205" s="104" t="s">
        <v>224</v>
      </c>
      <c r="Q205" s="105" t="s">
        <v>194</v>
      </c>
      <c r="R205" s="106"/>
    </row>
    <row r="206" spans="1:18" ht="39" customHeight="1">
      <c r="A206" s="262">
        <f t="shared" si="3"/>
        <v>202</v>
      </c>
      <c r="B206" s="263">
        <v>46113</v>
      </c>
      <c r="C206" s="143" t="s">
        <v>1240</v>
      </c>
      <c r="D206" s="217" t="s">
        <v>1241</v>
      </c>
      <c r="E206" s="171" t="s">
        <v>1260</v>
      </c>
      <c r="F206" s="265" t="s">
        <v>1242</v>
      </c>
      <c r="G206" s="114" t="s">
        <v>1243</v>
      </c>
      <c r="H206" s="264" t="s">
        <v>13</v>
      </c>
      <c r="I206" s="259">
        <v>46510</v>
      </c>
      <c r="J206" s="257" t="s">
        <v>15</v>
      </c>
      <c r="K206" s="257" t="s">
        <v>69</v>
      </c>
      <c r="L206" s="96" t="s">
        <v>1244</v>
      </c>
      <c r="M206" s="116" t="s">
        <v>62</v>
      </c>
      <c r="N206" s="109" t="s">
        <v>1349</v>
      </c>
      <c r="O206" s="97"/>
      <c r="P206" s="104" t="s">
        <v>224</v>
      </c>
      <c r="Q206" s="98" t="s">
        <v>210</v>
      </c>
      <c r="R206" s="99"/>
    </row>
    <row r="207" spans="1:18" ht="59.5" customHeight="1">
      <c r="A207" s="262">
        <f t="shared" si="3"/>
        <v>203</v>
      </c>
      <c r="B207" s="221">
        <v>46115</v>
      </c>
      <c r="C207" s="143" t="s">
        <v>1252</v>
      </c>
      <c r="D207" s="200" t="s">
        <v>1248</v>
      </c>
      <c r="E207" s="161" t="s">
        <v>1251</v>
      </c>
      <c r="F207" s="265" t="s">
        <v>1204</v>
      </c>
      <c r="G207" s="114" t="s">
        <v>1250</v>
      </c>
      <c r="H207" s="258" t="s">
        <v>13</v>
      </c>
      <c r="I207" s="259">
        <v>46996</v>
      </c>
      <c r="J207" s="260" t="s">
        <v>35</v>
      </c>
      <c r="K207" s="260" t="s">
        <v>69</v>
      </c>
      <c r="L207" s="109" t="s">
        <v>1249</v>
      </c>
      <c r="M207" s="116" t="s">
        <v>62</v>
      </c>
      <c r="N207" s="109" t="s">
        <v>1271</v>
      </c>
      <c r="O207" s="104"/>
      <c r="P207" s="104" t="s">
        <v>224</v>
      </c>
      <c r="Q207" s="105" t="s">
        <v>210</v>
      </c>
      <c r="R207" s="106"/>
    </row>
    <row r="208" spans="1:18" ht="51" customHeight="1">
      <c r="A208" s="262">
        <f t="shared" ref="A208:A215" si="4">ROW(B208)-4</f>
        <v>204</v>
      </c>
      <c r="B208" s="221">
        <v>46115</v>
      </c>
      <c r="C208" s="156" t="s">
        <v>1253</v>
      </c>
      <c r="D208" s="200" t="s">
        <v>342</v>
      </c>
      <c r="E208" s="163" t="s">
        <v>344</v>
      </c>
      <c r="F208" s="265" t="s">
        <v>418</v>
      </c>
      <c r="G208" s="114" t="s">
        <v>1162</v>
      </c>
      <c r="H208" s="258" t="s">
        <v>1163</v>
      </c>
      <c r="I208" s="259">
        <v>46568</v>
      </c>
      <c r="J208" s="260" t="s">
        <v>535</v>
      </c>
      <c r="K208" s="260" t="s">
        <v>1255</v>
      </c>
      <c r="L208" s="109" t="s">
        <v>1256</v>
      </c>
      <c r="M208" s="116" t="s">
        <v>62</v>
      </c>
      <c r="N208" s="109" t="s">
        <v>1300</v>
      </c>
      <c r="O208" s="104" t="s">
        <v>54</v>
      </c>
      <c r="P208" s="104" t="s">
        <v>224</v>
      </c>
      <c r="Q208" s="105" t="s">
        <v>643</v>
      </c>
      <c r="R208" s="106"/>
    </row>
    <row r="209" spans="1:18" ht="62.5">
      <c r="A209" s="266">
        <f t="shared" si="4"/>
        <v>205</v>
      </c>
      <c r="B209" s="221">
        <v>46119</v>
      </c>
      <c r="C209" s="156" t="s">
        <v>1262</v>
      </c>
      <c r="D209" s="200" t="s">
        <v>1263</v>
      </c>
      <c r="E209" s="161" t="s">
        <v>1264</v>
      </c>
      <c r="F209" s="145" t="s">
        <v>265</v>
      </c>
      <c r="G209" s="114" t="s">
        <v>1265</v>
      </c>
      <c r="H209" s="255" t="s">
        <v>1270</v>
      </c>
      <c r="I209" s="256">
        <v>46993</v>
      </c>
      <c r="J209" s="257" t="s">
        <v>64</v>
      </c>
      <c r="K209" s="257" t="s">
        <v>1268</v>
      </c>
      <c r="L209" s="109" t="s">
        <v>1269</v>
      </c>
      <c r="M209" s="116" t="s">
        <v>1131</v>
      </c>
      <c r="N209" s="109" t="s">
        <v>1346</v>
      </c>
      <c r="O209" s="104"/>
      <c r="P209" s="104"/>
      <c r="Q209" s="105" t="s">
        <v>643</v>
      </c>
      <c r="R209" s="106"/>
    </row>
    <row r="210" spans="1:18" ht="62.5">
      <c r="A210" s="266">
        <f t="shared" si="4"/>
        <v>206</v>
      </c>
      <c r="B210" s="221">
        <v>46119</v>
      </c>
      <c r="C210" s="156" t="s">
        <v>1266</v>
      </c>
      <c r="D210" s="200" t="s">
        <v>1263</v>
      </c>
      <c r="E210" s="161" t="s">
        <v>1264</v>
      </c>
      <c r="F210" s="145" t="s">
        <v>265</v>
      </c>
      <c r="G210" s="114" t="s">
        <v>1267</v>
      </c>
      <c r="H210" s="255" t="s">
        <v>1254</v>
      </c>
      <c r="I210" s="256">
        <v>46996</v>
      </c>
      <c r="J210" s="257" t="s">
        <v>64</v>
      </c>
      <c r="K210" s="257" t="s">
        <v>69</v>
      </c>
      <c r="L210" s="109" t="s">
        <v>1269</v>
      </c>
      <c r="M210" s="116" t="s">
        <v>1131</v>
      </c>
      <c r="N210" s="109" t="s">
        <v>1346</v>
      </c>
      <c r="O210" s="104"/>
      <c r="P210" s="104"/>
      <c r="Q210" s="105" t="s">
        <v>643</v>
      </c>
      <c r="R210" s="106"/>
    </row>
    <row r="211" spans="1:18" ht="62.5">
      <c r="A211" s="266">
        <f t="shared" si="4"/>
        <v>207</v>
      </c>
      <c r="B211" s="221">
        <v>46120</v>
      </c>
      <c r="C211" s="156" t="s">
        <v>1273</v>
      </c>
      <c r="D211" s="200" t="s">
        <v>1274</v>
      </c>
      <c r="E211" s="161" t="s">
        <v>1275</v>
      </c>
      <c r="F211" s="145" t="s">
        <v>480</v>
      </c>
      <c r="G211" s="114" t="s">
        <v>1162</v>
      </c>
      <c r="H211" s="258" t="s">
        <v>1163</v>
      </c>
      <c r="I211" s="259">
        <v>46568</v>
      </c>
      <c r="J211" s="257" t="s">
        <v>63</v>
      </c>
      <c r="K211" s="257" t="s">
        <v>69</v>
      </c>
      <c r="L211" s="109" t="s">
        <v>1276</v>
      </c>
      <c r="M211" s="116" t="s">
        <v>62</v>
      </c>
      <c r="N211" s="109" t="s">
        <v>1299</v>
      </c>
      <c r="O211" s="104"/>
      <c r="P211" s="104"/>
      <c r="Q211" s="105" t="s">
        <v>643</v>
      </c>
      <c r="R211" s="106"/>
    </row>
    <row r="212" spans="1:18" ht="50">
      <c r="A212" s="266">
        <f t="shared" si="4"/>
        <v>208</v>
      </c>
      <c r="B212" s="221">
        <v>46120</v>
      </c>
      <c r="C212" s="156" t="s">
        <v>1277</v>
      </c>
      <c r="D212" s="200" t="s">
        <v>1278</v>
      </c>
      <c r="E212" s="161" t="s">
        <v>1279</v>
      </c>
      <c r="F212" s="145" t="s">
        <v>1298</v>
      </c>
      <c r="G212" s="114" t="s">
        <v>13</v>
      </c>
      <c r="H212" s="131" t="s">
        <v>13</v>
      </c>
      <c r="I212" s="131" t="s">
        <v>13</v>
      </c>
      <c r="J212" s="131" t="s">
        <v>13</v>
      </c>
      <c r="K212" s="131" t="s">
        <v>13</v>
      </c>
      <c r="L212" s="109" t="s">
        <v>1280</v>
      </c>
      <c r="M212" s="116" t="s">
        <v>13</v>
      </c>
      <c r="N212" s="109" t="s">
        <v>1297</v>
      </c>
      <c r="O212" s="104"/>
      <c r="P212" s="104"/>
      <c r="Q212" s="105" t="s">
        <v>211</v>
      </c>
      <c r="R212" s="106"/>
    </row>
    <row r="213" spans="1:18" ht="37.5">
      <c r="A213" s="266">
        <f t="shared" si="4"/>
        <v>209</v>
      </c>
      <c r="B213" s="221">
        <v>46125</v>
      </c>
      <c r="C213" s="156" t="s">
        <v>1281</v>
      </c>
      <c r="D213" s="200" t="s">
        <v>1283</v>
      </c>
      <c r="E213" s="163" t="s">
        <v>1282</v>
      </c>
      <c r="F213" s="145" t="s">
        <v>1307</v>
      </c>
      <c r="G213" s="114" t="s">
        <v>1294</v>
      </c>
      <c r="H213" s="188" t="s">
        <v>1295</v>
      </c>
      <c r="I213" s="268">
        <v>46725</v>
      </c>
      <c r="J213" s="269" t="s">
        <v>35</v>
      </c>
      <c r="K213" s="269" t="s">
        <v>1142</v>
      </c>
      <c r="L213" s="109" t="s">
        <v>1287</v>
      </c>
      <c r="M213" s="116" t="s">
        <v>62</v>
      </c>
      <c r="N213" s="109" t="s">
        <v>1308</v>
      </c>
      <c r="O213" s="104"/>
      <c r="P213" s="104"/>
      <c r="Q213" s="105" t="s">
        <v>642</v>
      </c>
      <c r="R213" s="106"/>
    </row>
    <row r="214" spans="1:18" ht="45.65" customHeight="1">
      <c r="A214" s="270">
        <f t="shared" si="4"/>
        <v>210</v>
      </c>
      <c r="B214" s="221">
        <v>46125</v>
      </c>
      <c r="C214" s="156" t="s">
        <v>1284</v>
      </c>
      <c r="D214" s="200" t="s">
        <v>77</v>
      </c>
      <c r="E214" s="154" t="s">
        <v>1296</v>
      </c>
      <c r="F214" s="145" t="s">
        <v>39</v>
      </c>
      <c r="G214" s="114" t="s">
        <v>1285</v>
      </c>
      <c r="H214" s="267" t="s">
        <v>1087</v>
      </c>
      <c r="I214" s="268">
        <v>47026</v>
      </c>
      <c r="J214" s="269" t="s">
        <v>63</v>
      </c>
      <c r="K214" s="269" t="s">
        <v>1142</v>
      </c>
      <c r="L214" s="109" t="s">
        <v>1286</v>
      </c>
      <c r="M214" s="116" t="s">
        <v>62</v>
      </c>
      <c r="N214" s="109" t="s">
        <v>1305</v>
      </c>
      <c r="O214" s="104"/>
      <c r="P214" s="104"/>
      <c r="Q214" s="105" t="s">
        <v>194</v>
      </c>
      <c r="R214" s="106">
        <v>46129</v>
      </c>
    </row>
    <row r="215" spans="1:18" ht="37.5">
      <c r="A215" s="270">
        <f t="shared" si="4"/>
        <v>211</v>
      </c>
      <c r="B215" s="221">
        <v>46125</v>
      </c>
      <c r="C215" s="156" t="s">
        <v>1292</v>
      </c>
      <c r="D215" s="200" t="s">
        <v>1288</v>
      </c>
      <c r="E215" s="154" t="s">
        <v>1293</v>
      </c>
      <c r="F215" s="145" t="s">
        <v>1289</v>
      </c>
      <c r="G215" s="114" t="s">
        <v>1290</v>
      </c>
      <c r="H215" s="271" t="s">
        <v>1006</v>
      </c>
      <c r="I215" s="268">
        <v>46418</v>
      </c>
      <c r="J215" s="269" t="s">
        <v>15</v>
      </c>
      <c r="K215" s="269" t="s">
        <v>69</v>
      </c>
      <c r="L215" s="109" t="s">
        <v>1291</v>
      </c>
      <c r="M215" s="116" t="s">
        <v>62</v>
      </c>
      <c r="N215" s="109" t="s">
        <v>1325</v>
      </c>
      <c r="O215" s="104"/>
      <c r="P215" s="104" t="s">
        <v>224</v>
      </c>
      <c r="Q215" s="105" t="s">
        <v>194</v>
      </c>
      <c r="R215" s="106"/>
    </row>
    <row r="216" spans="1:18" ht="71.150000000000006" customHeight="1">
      <c r="A216" s="266">
        <f t="shared" ref="A216:A221" si="5">ROW(B216)-4</f>
        <v>212</v>
      </c>
      <c r="B216" s="221">
        <v>46128</v>
      </c>
      <c r="C216" s="156" t="s">
        <v>1309</v>
      </c>
      <c r="D216" s="200" t="s">
        <v>1310</v>
      </c>
      <c r="E216" s="154" t="s">
        <v>1314</v>
      </c>
      <c r="F216" s="145" t="s">
        <v>1311</v>
      </c>
      <c r="G216" s="114" t="s">
        <v>1312</v>
      </c>
      <c r="H216" s="271" t="s">
        <v>1315</v>
      </c>
      <c r="I216" s="268">
        <v>46418</v>
      </c>
      <c r="J216" s="269" t="s">
        <v>17</v>
      </c>
      <c r="K216" s="269" t="s">
        <v>1255</v>
      </c>
      <c r="L216" s="109" t="s">
        <v>1313</v>
      </c>
      <c r="M216" s="116" t="s">
        <v>62</v>
      </c>
      <c r="N216" s="109" t="s">
        <v>1329</v>
      </c>
      <c r="O216" s="104" t="s">
        <v>596</v>
      </c>
      <c r="P216" s="104" t="s">
        <v>79</v>
      </c>
      <c r="Q216" s="105" t="s">
        <v>194</v>
      </c>
      <c r="R216" s="106"/>
    </row>
    <row r="217" spans="1:18" ht="75">
      <c r="A217" s="266">
        <f t="shared" si="5"/>
        <v>213</v>
      </c>
      <c r="B217" s="286" t="s">
        <v>1316</v>
      </c>
      <c r="C217" s="156" t="s">
        <v>1317</v>
      </c>
      <c r="D217" s="200" t="s">
        <v>1319</v>
      </c>
      <c r="E217" s="161" t="s">
        <v>1320</v>
      </c>
      <c r="F217" s="145" t="s">
        <v>1204</v>
      </c>
      <c r="G217" s="122" t="s">
        <v>1321</v>
      </c>
      <c r="H217" s="255" t="s">
        <v>1322</v>
      </c>
      <c r="I217" s="256" t="s">
        <v>1318</v>
      </c>
      <c r="J217" s="257" t="s">
        <v>15</v>
      </c>
      <c r="K217" s="257" t="s">
        <v>69</v>
      </c>
      <c r="L217" s="109" t="s">
        <v>1323</v>
      </c>
      <c r="M217" s="116"/>
      <c r="N217" s="109" t="s">
        <v>1324</v>
      </c>
      <c r="O217" s="104" t="s">
        <v>767</v>
      </c>
      <c r="P217" s="104" t="s">
        <v>224</v>
      </c>
      <c r="Q217" s="105"/>
      <c r="R217" s="106"/>
    </row>
    <row r="218" spans="1:18" ht="168" customHeight="1">
      <c r="A218" s="266">
        <f t="shared" si="5"/>
        <v>214</v>
      </c>
      <c r="B218" s="221">
        <v>46134</v>
      </c>
      <c r="C218" s="156" t="s">
        <v>1326</v>
      </c>
      <c r="D218" s="200" t="s">
        <v>1330</v>
      </c>
      <c r="E218" s="161" t="s">
        <v>1331</v>
      </c>
      <c r="F218" s="145" t="s">
        <v>1328</v>
      </c>
      <c r="G218" s="122" t="s">
        <v>13</v>
      </c>
      <c r="H218" s="215" t="s">
        <v>13</v>
      </c>
      <c r="I218" s="215" t="s">
        <v>13</v>
      </c>
      <c r="J218" s="215" t="s">
        <v>13</v>
      </c>
      <c r="K218" s="215" t="s">
        <v>13</v>
      </c>
      <c r="L218" s="109" t="s">
        <v>1327</v>
      </c>
      <c r="M218" s="116" t="s">
        <v>1338</v>
      </c>
      <c r="N218" s="109" t="s">
        <v>1354</v>
      </c>
      <c r="O218" s="104"/>
      <c r="P218" s="104"/>
      <c r="Q218" s="105" t="s">
        <v>211</v>
      </c>
      <c r="R218" s="106"/>
    </row>
    <row r="219" spans="1:18" ht="168" customHeight="1">
      <c r="A219" s="266">
        <f t="shared" si="5"/>
        <v>215</v>
      </c>
      <c r="B219" s="221">
        <v>46135</v>
      </c>
      <c r="C219" s="156" t="s">
        <v>1333</v>
      </c>
      <c r="D219" s="200" t="s">
        <v>1332</v>
      </c>
      <c r="E219" s="161" t="s">
        <v>1335</v>
      </c>
      <c r="F219" s="145" t="s">
        <v>265</v>
      </c>
      <c r="G219" s="122" t="s">
        <v>1334</v>
      </c>
      <c r="H219" s="255" t="s">
        <v>1336</v>
      </c>
      <c r="I219" s="256">
        <v>46984</v>
      </c>
      <c r="J219" s="257" t="s">
        <v>64</v>
      </c>
      <c r="K219" s="257" t="s">
        <v>1214</v>
      </c>
      <c r="L219" s="109" t="s">
        <v>1337</v>
      </c>
      <c r="M219" s="116"/>
      <c r="N219" s="109"/>
      <c r="O219" s="104"/>
      <c r="P219" s="104"/>
      <c r="Q219" s="105"/>
      <c r="R219" s="106"/>
    </row>
    <row r="220" spans="1:18" ht="117" customHeight="1">
      <c r="A220" s="266">
        <f t="shared" si="5"/>
        <v>216</v>
      </c>
      <c r="B220" s="221">
        <v>46136</v>
      </c>
      <c r="C220" s="156" t="s">
        <v>1339</v>
      </c>
      <c r="D220" s="200" t="s">
        <v>1340</v>
      </c>
      <c r="E220" s="161" t="s">
        <v>1341</v>
      </c>
      <c r="F220" s="155" t="s">
        <v>1342</v>
      </c>
      <c r="G220" s="215" t="s">
        <v>1343</v>
      </c>
      <c r="H220" s="255" t="s">
        <v>1344</v>
      </c>
      <c r="I220" s="256">
        <v>46554</v>
      </c>
      <c r="J220" s="257" t="s">
        <v>64</v>
      </c>
      <c r="K220" s="257" t="s">
        <v>1142</v>
      </c>
      <c r="L220" s="109" t="s">
        <v>1345</v>
      </c>
      <c r="M220" s="116"/>
      <c r="N220" s="109"/>
      <c r="O220" s="104"/>
      <c r="P220" s="104"/>
      <c r="Q220" s="105"/>
      <c r="R220" s="106"/>
    </row>
    <row r="221" spans="1:18" ht="168" customHeight="1">
      <c r="A221" s="266">
        <f t="shared" si="5"/>
        <v>217</v>
      </c>
      <c r="B221" s="221">
        <v>46140</v>
      </c>
      <c r="C221" s="156" t="s">
        <v>1348</v>
      </c>
      <c r="D221" s="200" t="s">
        <v>1350</v>
      </c>
      <c r="E221" s="161" t="s">
        <v>1351</v>
      </c>
      <c r="F221" s="145" t="s">
        <v>950</v>
      </c>
      <c r="G221" s="122" t="s">
        <v>952</v>
      </c>
      <c r="H221" s="288" t="s">
        <v>1121</v>
      </c>
      <c r="I221" s="252">
        <v>46568</v>
      </c>
      <c r="J221" s="95" t="s">
        <v>31</v>
      </c>
      <c r="K221" s="257" t="s">
        <v>1142</v>
      </c>
      <c r="L221" s="109" t="s">
        <v>1352</v>
      </c>
      <c r="M221" s="116" t="s">
        <v>62</v>
      </c>
      <c r="N221" s="109" t="s">
        <v>1353</v>
      </c>
      <c r="O221" s="104" t="s">
        <v>1170</v>
      </c>
      <c r="P221" s="104" t="s">
        <v>224</v>
      </c>
      <c r="Q221" s="105" t="s">
        <v>194</v>
      </c>
      <c r="R221" s="106"/>
    </row>
    <row r="222" spans="1:18" ht="15">
      <c r="A222" s="6"/>
      <c r="B222" s="226"/>
      <c r="C222" s="8" t="s">
        <v>65</v>
      </c>
      <c r="D222" s="2"/>
      <c r="E222" s="2"/>
      <c r="F222" s="3"/>
      <c r="G222" s="2"/>
      <c r="H222" s="197"/>
      <c r="I222" s="253"/>
      <c r="J222" s="4"/>
      <c r="K222" s="4"/>
      <c r="L222" s="8" t="s">
        <v>18</v>
      </c>
      <c r="M222" s="7"/>
      <c r="N222" s="7"/>
      <c r="O222" s="1"/>
      <c r="P222" s="1"/>
      <c r="Q222" s="2"/>
      <c r="R222" s="2"/>
    </row>
    <row r="223" spans="1:18" ht="12.5">
      <c r="A223" s="6"/>
      <c r="B223" s="226"/>
      <c r="C223" s="2"/>
      <c r="D223" s="2"/>
      <c r="E223" s="2"/>
      <c r="F223" s="3"/>
      <c r="G223" s="2"/>
      <c r="H223" s="197"/>
      <c r="I223" s="253"/>
      <c r="J223" s="4"/>
      <c r="K223" s="4"/>
      <c r="L223" s="2"/>
      <c r="M223" s="2"/>
      <c r="N223" s="7"/>
      <c r="O223" s="1"/>
      <c r="P223" s="1"/>
      <c r="Q223" s="2"/>
      <c r="R223" s="2"/>
    </row>
    <row r="225" spans="4:8">
      <c r="F225" s="287"/>
    </row>
    <row r="226" spans="4:8">
      <c r="H226" s="199"/>
    </row>
    <row r="228" spans="4:8">
      <c r="D228" s="90"/>
    </row>
  </sheetData>
  <sheetProtection sort="0" autoFilter="0" pivotTables="0"/>
  <dataConsolidate/>
  <conditionalFormatting sqref="A1:R3 C4:R161 A4:A221 C162:H169 M162:R169 E170:E207 M170:M221 D174:D207 F174:F221 N174:R221 G177:G221 B187:C221 H196:L220 D208:E221 H221 K221:M221 A222:R1048576">
    <cfRule type="expression" dxfId="38" priority="318">
      <formula>IF(IFERROR(SEARCH("HUY",$C1,1),0)&gt;0,TRUE,FALSE)</formula>
    </cfRule>
    <cfRule type="expression" dxfId="37" priority="317">
      <formula>IF(AND($Q1="",$C1&gt;0),TRUE,FALSE)</formula>
    </cfRule>
    <cfRule type="expression" dxfId="36" priority="256">
      <formula>IF($Q1="Chờ xử lý", TRUE, FALSE)</formula>
    </cfRule>
  </conditionalFormatting>
  <conditionalFormatting sqref="B4:B186 G174:L176 C174:C186 H177:L186 I187:L189">
    <cfRule type="expression" dxfId="35" priority="74">
      <formula>IF(AND($Q4="",$C4&gt;0),TRUE,FALSE)</formula>
    </cfRule>
    <cfRule type="expression" dxfId="34" priority="73">
      <formula>IF($Q4="Chờ xử lý", TRUE, FALSE)</formula>
    </cfRule>
    <cfRule type="expression" dxfId="33" priority="75">
      <formula>IF(IFERROR(SEARCH("HUY",$C4,1),0)&gt;0,TRUE,FALSE)</formula>
    </cfRule>
  </conditionalFormatting>
  <conditionalFormatting sqref="H187:H189">
    <cfRule type="expression" dxfId="32" priority="25">
      <formula>IF($Q187="Chờ xử lý", TRUE, FALSE)</formula>
    </cfRule>
    <cfRule type="expression" dxfId="31" priority="26">
      <formula>IF(AND($Q187="",$C187&gt;0),TRUE,FALSE)</formula>
    </cfRule>
    <cfRule type="expression" dxfId="30" priority="27">
      <formula>IF(IFERROR(SEARCH("HUY",$C187,1),0)&gt;0,TRUE,FALSE)</formula>
    </cfRule>
  </conditionalFormatting>
  <conditionalFormatting sqref="H195 J195:K195">
    <cfRule type="expression" dxfId="29" priority="13">
      <formula>IF($Q195="Chờ xử lý", TRUE, FALSE)</formula>
    </cfRule>
    <cfRule type="expression" dxfId="28" priority="14">
      <formula>IF(AND($Q195="",$C195&gt;0),TRUE,FALSE)</formula>
    </cfRule>
    <cfRule type="expression" dxfId="27" priority="15">
      <formula>IF(IFERROR(SEARCH("HUY",$C195,1),0)&gt;0,TRUE,FALSE)</formula>
    </cfRule>
  </conditionalFormatting>
  <conditionalFormatting sqref="H190:L194 L195">
    <cfRule type="expression" dxfId="26" priority="24">
      <formula>IF(IFERROR(SEARCH("HUY",$C190,1),0)&gt;0,TRUE,FALSE)</formula>
    </cfRule>
    <cfRule type="expression" dxfId="25" priority="23">
      <formula>IF(AND($Q190="",$C190&gt;0),TRUE,FALSE)</formula>
    </cfRule>
    <cfRule type="expression" dxfId="24" priority="22">
      <formula>IF($Q190="Chờ xử lý", TRUE, FALSE)</formula>
    </cfRule>
  </conditionalFormatting>
  <conditionalFormatting sqref="I195">
    <cfRule type="expression" dxfId="23" priority="10">
      <formula>IF($Q195="Chờ xử lý", TRUE, FALSE)</formula>
    </cfRule>
    <cfRule type="expression" dxfId="22" priority="11">
      <formula>IF(AND($Q195="",$C195&gt;0),TRUE,FALSE)</formula>
    </cfRule>
    <cfRule type="expression" dxfId="21" priority="12">
      <formula>IF(IFERROR(SEARCH("HUY",$C195,1),0)&gt;0,TRUE,FALSE)</formula>
    </cfRule>
  </conditionalFormatting>
  <conditionalFormatting sqref="I221">
    <cfRule type="expression" dxfId="20" priority="4">
      <formula>IF($Q221="Chờ xử lý", TRUE, FALSE)</formula>
    </cfRule>
    <cfRule type="expression" dxfId="19" priority="5">
      <formula>IF(AND($Q221="",$C221&gt;0),TRUE,FALSE)</formula>
    </cfRule>
    <cfRule type="expression" dxfId="18" priority="6">
      <formula>IF(IFERROR(SEARCH("HUY",$C221,1),0)&gt;0,TRUE,FALSE)</formula>
    </cfRule>
  </conditionalFormatting>
  <conditionalFormatting sqref="I162:L173">
    <cfRule type="expression" dxfId="17" priority="111">
      <formula>IF($Q162="Chờ xử lý", TRUE, FALSE)</formula>
    </cfRule>
    <cfRule type="expression" dxfId="16" priority="112">
      <formula>IF(AND($Q162="",$C162&gt;0),TRUE,FALSE)</formula>
    </cfRule>
    <cfRule type="expression" dxfId="15" priority="113">
      <formula>IF(IFERROR(SEARCH("HUY",$C162,1),0)&gt;0,TRUE,FALSE)</formula>
    </cfRule>
  </conditionalFormatting>
  <conditionalFormatting sqref="J221">
    <cfRule type="expression" dxfId="14" priority="2">
      <formula>IF(AND($Q221="",$C221&gt;0),TRUE,FALSE)</formula>
    </cfRule>
    <cfRule type="expression" dxfId="13" priority="3">
      <formula>IF(IFERROR(SEARCH("HUY",$C221,1),0)&gt;0,TRUE,FALSE)</formula>
    </cfRule>
    <cfRule type="expression" dxfId="12" priority="1">
      <formula>IF($Q221="Chờ xử lý", TRUE, FALSE)</formula>
    </cfRule>
  </conditionalFormatting>
  <conditionalFormatting sqref="N171:N173">
    <cfRule type="expression" dxfId="11" priority="16">
      <formula>IF($Q171="Chờ xử lý", TRUE, FALSE)</formula>
    </cfRule>
    <cfRule type="expression" dxfId="10" priority="18">
      <formula>IF(IFERROR(SEARCH("HUY",$C171,1),0)&gt;0,TRUE,FALSE)</formula>
    </cfRule>
    <cfRule type="expression" dxfId="9" priority="17">
      <formula>IF(AND($Q171="",$C171&gt;0),TRUE,FALSE)</formula>
    </cfRule>
  </conditionalFormatting>
  <conditionalFormatting sqref="N170:O170">
    <cfRule type="expression" dxfId="8" priority="120">
      <formula>IF($Q170="Chờ xử lý", TRUE, FALSE)</formula>
    </cfRule>
    <cfRule type="expression" dxfId="7" priority="121">
      <formula>IF(AND($Q170="",$C170&gt;0),TRUE,FALSE)</formula>
    </cfRule>
    <cfRule type="expression" dxfId="6" priority="122">
      <formula>IF(IFERROR(SEARCH("HUY",$C170,1),0)&gt;0,TRUE,FALSE)</formula>
    </cfRule>
  </conditionalFormatting>
  <conditionalFormatting sqref="P170:P171">
    <cfRule type="expression" dxfId="5" priority="76">
      <formula>IF($Q170="Chờ xử lý", TRUE, FALSE)</formula>
    </cfRule>
    <cfRule type="expression" dxfId="4" priority="77">
      <formula>IF(AND($Q170="",$C170&gt;0),TRUE,FALSE)</formula>
    </cfRule>
    <cfRule type="expression" dxfId="3" priority="78">
      <formula>IF(IFERROR(SEARCH("HUY",$C170,1),0)&gt;0,TRUE,FALSE)</formula>
    </cfRule>
  </conditionalFormatting>
  <conditionalFormatting sqref="Q170:R171 C170:D173 F170:H173 O171 O172:R173">
    <cfRule type="expression" dxfId="2" priority="114">
      <formula>IF($Q170="Chờ xử lý", TRUE, FALSE)</formula>
    </cfRule>
    <cfRule type="expression" dxfId="1" priority="115">
      <formula>IF(AND($Q170="",$C170&gt;0),TRUE,FALSE)</formula>
    </cfRule>
    <cfRule type="expression" dxfId="0" priority="116">
      <formula>IF(IFERROR(SEARCH("HUY",$C170,1),0)&gt;0,TRUE,FALSE)</formula>
    </cfRule>
  </conditionalFormatting>
  <dataValidations count="1">
    <dataValidation type="list" allowBlank="1" showInputMessage="1" showErrorMessage="1" sqref="Q1:Q1048576" xr:uid="{00000000-0002-0000-0100-000000000000}">
      <formula1>#REF!</formula1>
    </dataValidation>
  </dataValidations>
  <pageMargins left="0.7" right="0.7" top="0.75" bottom="0.75" header="0.3" footer="0.3"/>
  <pageSetup paperSize="9" scale="34" fitToHeight="0" orientation="landscape" r:id="rId1"/>
  <headerFooter>
    <oddFooter>&amp;LBM-QT-QLCL-009-10-02&amp;RTrang/Page &amp;N/&amp;P</oddFooter>
  </headerFooter>
  <colBreaks count="1" manualBreakCount="1">
    <brk id="15" max="1048575" man="1"/>
  </colBreaks>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6FAE5389D67549B3C161A50C1490AD" ma:contentTypeVersion="15" ma:contentTypeDescription="Create a new document." ma:contentTypeScope="" ma:versionID="87feff1b842e11901df86292e1e6f1b8">
  <xsd:schema xmlns:xsd="http://www.w3.org/2001/XMLSchema" xmlns:xs="http://www.w3.org/2001/XMLSchema" xmlns:p="http://schemas.microsoft.com/office/2006/metadata/properties" xmlns:ns2="6e6e8265-b7f6-4695-973b-9c31cd7e7b7b" xmlns:ns3="5e4442f1-44b3-4435-a556-736cb911c888" targetNamespace="http://schemas.microsoft.com/office/2006/metadata/properties" ma:root="true" ma:fieldsID="7b8faa466b98d48ba61c60bb0965dbf4" ns2:_="" ns3:_="">
    <xsd:import namespace="6e6e8265-b7f6-4695-973b-9c31cd7e7b7b"/>
    <xsd:import namespace="5e4442f1-44b3-4435-a556-736cb911c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6e8265-b7f6-4695-973b-9c31cd7e7b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569b5a7-b0a8-4bda-b660-4751e5e0c8d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4442f1-44b3-4435-a556-736cb911c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ec1b6a5-4790-499e-aa9d-b23a2d810bbf}" ma:internalName="TaxCatchAll" ma:showField="CatchAllData" ma:web="5e4442f1-44b3-4435-a556-736cb911c88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0887B-F3DB-43E6-88C6-F62D864D3C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6e8265-b7f6-4695-973b-9c31cd7e7b7b"/>
    <ds:schemaRef ds:uri="5e4442f1-44b3-4435-a556-736cb911c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723E93-D212-4886-91F9-9C1F567862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2025</vt:lpstr>
      <vt:lpstr>2025-New</vt:lpstr>
      <vt:lpstr>'2025'!Print_Area</vt:lpstr>
      <vt:lpstr>'2025-New'!Print_Area</vt:lpstr>
      <vt:lpstr>'2025'!Print_Titles</vt:lpstr>
      <vt:lpstr>'2025-New'!Print_Titles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 Le Thi</dc:creator>
  <cp:lastModifiedBy>Đỗ Thị Hồng Phúc</cp:lastModifiedBy>
  <cp:revision/>
  <cp:lastPrinted>2026-02-02T04:22:20Z</cp:lastPrinted>
  <dcterms:created xsi:type="dcterms:W3CDTF">2020-01-16T03:36:02Z</dcterms:created>
  <dcterms:modified xsi:type="dcterms:W3CDTF">2026-05-11T04:39:07Z</dcterms:modified>
</cp:coreProperties>
</file>