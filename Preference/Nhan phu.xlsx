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qa17\Desktop\GxP Portal\Preference\"/>
    </mc:Choice>
  </mc:AlternateContent>
  <bookViews>
    <workbookView xWindow="0" yWindow="0" windowWidth="25200" windowHeight="11760"/>
  </bookViews>
  <sheets>
    <sheet name="2022-Nay" sheetId="1" r:id="rId1"/>
  </sheets>
  <definedNames>
    <definedName name="_xlnm._FilterDatabase" localSheetId="0" hidden="1">'2022-Nay'!$A$6:$P$700</definedName>
    <definedName name="_xlnm.Print_Area" localSheetId="0">'2022-Nay'!$A$1:$M$176</definedName>
  </definedNames>
  <calcPr calcId="191029"/>
</workbook>
</file>

<file path=xl/calcChain.xml><?xml version="1.0" encoding="utf-8"?>
<calcChain xmlns="http://schemas.openxmlformats.org/spreadsheetml/2006/main">
  <c r="A442" i="1" l="1"/>
  <c r="A443" i="1"/>
  <c r="A403" i="1"/>
  <c r="A404" i="1"/>
  <c r="A405" i="1"/>
  <c r="A366" i="1"/>
  <c r="A367" i="1"/>
  <c r="A368" i="1"/>
  <c r="A369" i="1"/>
  <c r="A370" i="1"/>
  <c r="A371" i="1"/>
  <c r="A365" i="1"/>
  <c r="A293" i="1"/>
  <c r="A333" i="1" l="1"/>
  <c r="A334" i="1"/>
  <c r="A302" i="1" l="1"/>
  <c r="A303" i="1"/>
  <c r="A243" i="1" l="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4" i="1"/>
  <c r="A295" i="1"/>
  <c r="A296" i="1"/>
  <c r="A297" i="1"/>
  <c r="A298" i="1"/>
  <c r="A299" i="1"/>
  <c r="A300" i="1"/>
  <c r="A301"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240" i="1" l="1"/>
  <c r="A241" i="1"/>
  <c r="A242" i="1"/>
  <c r="A231" i="1" l="1"/>
  <c r="A232" i="1"/>
  <c r="A142" i="1" l="1"/>
  <c r="N2" i="1"/>
  <c r="A94" i="1" l="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91" i="1"/>
  <c r="A195"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3" i="1"/>
  <c r="A234" i="1"/>
  <c r="A235" i="1"/>
  <c r="A236" i="1"/>
  <c r="A237" i="1"/>
  <c r="A238" i="1"/>
  <c r="A239" i="1"/>
  <c r="A87" i="1"/>
  <c r="A88" i="1"/>
  <c r="A89" i="1"/>
  <c r="A90" i="1"/>
  <c r="A91" i="1"/>
  <c r="A92" i="1"/>
  <c r="A93" i="1"/>
  <c r="A85" i="1"/>
  <c r="A86" i="1"/>
  <c r="A79" i="1"/>
  <c r="A80" i="1"/>
  <c r="A81" i="1"/>
  <c r="A82" i="1"/>
  <c r="A83" i="1"/>
  <c r="A8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9" i="1" l="1"/>
  <c r="A10" i="1"/>
  <c r="A11" i="1"/>
  <c r="A12" i="1"/>
  <c r="A13" i="1"/>
  <c r="A14" i="1"/>
  <c r="A8" i="1" l="1"/>
  <c r="A7" i="1"/>
</calcChain>
</file>

<file path=xl/sharedStrings.xml><?xml version="1.0" encoding="utf-8"?>
<sst xmlns="http://schemas.openxmlformats.org/spreadsheetml/2006/main" count="2719" uniqueCount="1149">
  <si>
    <t>STT</t>
  </si>
  <si>
    <t>Tên sản phẩm</t>
  </si>
  <si>
    <t>Mã hóa</t>
  </si>
  <si>
    <t>Ngày hiệu lực</t>
  </si>
  <si>
    <t>Ghi chú</t>
  </si>
  <si>
    <t>BIỂU MẪU 05/ FORM 05
DANH SÁCH MÃ NHÃN PHỤ
LIST OF SUB-LABEL CODES</t>
  </si>
  <si>
    <t>Ocean Health Omega 3 Fish Oil 1000mg</t>
  </si>
  <si>
    <t>Hệ thống kim sinh thiết tự động (Achieve Programmable Automatic Biopsy System) - A1411, A1415, A1420, A146, A149, A1611, A1615, A1620, A166, A169, A1811, A1815, A1820, A1825, A186, A189, A2011, A2015, A2020, A206, A209</t>
  </si>
  <si>
    <t>Hệ thống kim sinh thiết tự động (Pink Achieve Progammable Automatic Biopsy System)- BA1211, BA1215, BA129, BA1411, BA149</t>
  </si>
  <si>
    <t>Kim sinh thiết mô mềm (Temno (Temno Biopsy Device)-T1411, T1415, T1420, T146, T149, T1611, T1615, T1620, T166, T169, T1811, T1815, T1820, T186, T189, T1915, T2011, T2015, T2020, T206, T209, T2215, T226, T229</t>
  </si>
  <si>
    <t>Kim sinh thiết mô mềm (Temno Evolution (Temno Evolution Biopsy Device))- TT1411, TT1415, TT1420, TT146, TT1611, TT1615, TT1620, TT166, TT1811, TT1815, TT1820, TT186, TT2011, TT2015, TT2020, TT206</t>
  </si>
  <si>
    <t>Kim sinh thiết mô mềm (Tru-Cut Biopsy Needles)
Mã Global Medical Device Nomenclature- 2N2700X, 2N2702X, 2N2704X, 2N2711X, 2N2712X, 2N2713X</t>
  </si>
  <si>
    <t>GÓI MUỐI RỬA MŨI ENTCLEAR Packets</t>
  </si>
  <si>
    <t>BÌNH RỬA MŨI ENTCLEAR Nasal Wash Bottle</t>
  </si>
  <si>
    <t>Cập nhật số công bố mới</t>
  </si>
  <si>
    <t>Thay đổi số CB mới; công dụng</t>
  </si>
  <si>
    <t>cập nhật số công bố, tên sản phẩm</t>
  </si>
  <si>
    <t>Bổ sug chủ sở hữu số lưu hành, số lưu hành, tên sản phẩm đúng hồ sơ công bố
Thay cho mã 00305- ver 03</t>
  </si>
  <si>
    <t>Bổ sug chủ sở hữu số lưu hành, số lưu hành, tên sản phẩm đúng hồ sơ công bố
Thay cho mã 00306- ver 02</t>
  </si>
  <si>
    <t>HOE</t>
  </si>
  <si>
    <t>HYPHENS</t>
  </si>
  <si>
    <t>MERIT</t>
  </si>
  <si>
    <t>Hãng</t>
  </si>
  <si>
    <t>X</t>
  </si>
  <si>
    <t>x</t>
  </si>
  <si>
    <t>Thuốc</t>
  </si>
  <si>
    <t>TPCN</t>
  </si>
  <si>
    <t>TTBYT</t>
  </si>
  <si>
    <t>Mỹ phẩm</t>
  </si>
  <si>
    <t>Ocean Health VIT D3 1000 IU</t>
  </si>
  <si>
    <t>Soạn mới</t>
  </si>
  <si>
    <t>Soạn mới
01/02-nhãn hộp
02/02-nhãn túi</t>
  </si>
  <si>
    <t>23/07/2022
22/07/2022</t>
  </si>
  <si>
    <t>NUMED</t>
  </si>
  <si>
    <t>ASCENCIA</t>
  </si>
  <si>
    <t>ELLGY H2O ARR CREAM - VER02</t>
  </si>
  <si>
    <t>Kim lấy máu đo đường huyết MICROLET Lancets</t>
  </si>
  <si>
    <t>WELLKID MULTI-VITAMIN LIQUID - VER02</t>
  </si>
  <si>
    <t>ABBOTT</t>
  </si>
  <si>
    <t>DR.REDDY'S</t>
  </si>
  <si>
    <t>Thuốc tiêm DECITABINE 50 mg/lọ</t>
  </si>
  <si>
    <t>BLU VOILE SUNSCREEN</t>
  </si>
  <si>
    <t>CERADAN GENTLE CLEANSER</t>
  </si>
  <si>
    <t>RIVAXORED 10MG</t>
  </si>
  <si>
    <t>ELLGY PLUS CRACKED HEEL CREAM</t>
  </si>
  <si>
    <t xml:space="preserve">T3 ACNE BODY WASH </t>
  </si>
  <si>
    <t>CERADAN HYDRA MOISTURISER</t>
  </si>
  <si>
    <t xml:space="preserve">CERADAN </t>
  </si>
  <si>
    <t xml:space="preserve">Thay đổi giá niêm yết
Cập nhật tên sản phẩm, quy cách đóng gói đúng </t>
  </si>
  <si>
    <t>MÁY ĐO ĐƯỜNG HUYẾT CONTOUR TS BLOOD GLUCOSE METER</t>
  </si>
  <si>
    <t>MÁY ĐO ĐƯỜNG HUYẾT CONTOUR PLUS BLOOD GLUCOSE METER</t>
  </si>
  <si>
    <t>Thay đổi theo yêu cầu của hãng bổ sung "Số ĐKSP: 7634/2021/ĐKSP"</t>
  </si>
  <si>
    <t>29/09/2022</t>
  </si>
  <si>
    <t>Nhãn phụ cho dịch vụ Nhập khẩu ủy thác</t>
  </si>
  <si>
    <t>Bendamustine HCl</t>
  </si>
  <si>
    <t>Rupafin solution 120 ml</t>
  </si>
  <si>
    <t>Rupafin solution 30 ml</t>
  </si>
  <si>
    <t>TDF Acne E-Rase</t>
  </si>
  <si>
    <t>TDF AHA Revitalizing Cleanser 4</t>
  </si>
  <si>
    <t xml:space="preserve">Thay đổi tên sản phẩm đúng với phiếu công bố/ Change product name to match the notification of cosmetic product 
- Bổ sung nội dung cách dùng, lưu ý và cảnh báo cháy nắng/ Additional content on how to use, note and warn about sunburn
</t>
  </si>
  <si>
    <t>TDF AHA Revitalizing Lotion 10</t>
  </si>
  <si>
    <t xml:space="preserve">Thay đổi tên sản phẩm đúng với phiếu công bố/ Change product name to match the notification of cosmetic product 
- Bổ sung nội dung cách dùng, lưu ý/ Additional content on how to use, note </t>
  </si>
  <si>
    <t>TDF BLU VOILE SUNSCREEN</t>
  </si>
  <si>
    <t>TDF "C"  SCAPE + SERUM</t>
  </si>
  <si>
    <t>TDF Fairence T-Complex</t>
  </si>
  <si>
    <t xml:space="preserve">- Bỏ thông tin NSX/ remove information of Mfg. date
-Thay đổi tên sản phẩm đúng với phiếu công bố/ Change product name to match the notification of cosmetic product 
- Bổ sung nội dung cách dùng, lưu ý/ Additional content on how to use, note </t>
  </si>
  <si>
    <t>TDF MILD ASTRINGENT</t>
  </si>
  <si>
    <t>TDF QUICK RECOVERY CREAM</t>
  </si>
  <si>
    <t xml:space="preserve">TDF SPF30 UVA/UVB SUNSCREEN </t>
  </si>
  <si>
    <t>TDF METABIOTIC FACIAL WASH</t>
  </si>
  <si>
    <t>TDF POST PEEL NEUTRALIZER</t>
  </si>
  <si>
    <t xml:space="preserve">TDF GLYCOLIC ACID PEEL 20% </t>
  </si>
  <si>
    <t xml:space="preserve">
-Thay đổi tên sản phẩm đúng với phiếu công bố/ Change product name to match the notification of cosmetic product
- Bổ sung nội dung cách dùng, lưu ý và cảnh báo cháy nắng/ Additional content on how to use, note and warn about sunburn</t>
  </si>
  <si>
    <t xml:space="preserve">TDF GLYCOLIC ACID PEEL 35% </t>
  </si>
  <si>
    <t xml:space="preserve">TDF VCI GLYCOLIC ACID PEEL 70% </t>
  </si>
  <si>
    <t xml:space="preserve">TDF ULTRA LIGHT HYDRATOR </t>
  </si>
  <si>
    <t>TDF PA+++ UVA/UVB SPF50+SUNSCREEN 50G</t>
  </si>
  <si>
    <t xml:space="preserve">
-Thay đổi tên sản phẩm đúng với phiếu công bố/ Change product name to match the notification of cosmetic product
- Bổ sung nội dung cách dùng, lưu ý / Additional content on how to use, note </t>
  </si>
  <si>
    <t xml:space="preserve">TDF Non-Drying Cleansing Lotion </t>
  </si>
  <si>
    <t>Soạn mới. Áp dụng cho quy cách 100ml và 237 ml</t>
  </si>
  <si>
    <t>- Thay đổi số mã hóa do trước đây bị trùng số mã hóa với nhãn phụ RESILO 50MG 
-Thay đổi tên sản phẩm đúng với phiếu công bố/ Change product name to match the notification of cosmetic product
- Bổ sung nội dung cách dùng, lưu ý và cảnh báo cháy nắng/ Additional content on how to use, note and warn about sunburn</t>
  </si>
  <si>
    <r>
      <t>Dung dịch xịt mũi  Sterimar</t>
    </r>
    <r>
      <rPr>
        <vertAlign val="superscript"/>
        <sz val="11"/>
        <color theme="1"/>
        <rFont val="Tahoma"/>
        <family val="2"/>
      </rPr>
      <t>TM</t>
    </r>
    <r>
      <rPr>
        <sz val="11"/>
        <color theme="1"/>
        <rFont val="Tahoma"/>
        <family val="2"/>
      </rPr>
      <t xml:space="preserve"> Nose Hygiene and Comfort    </t>
    </r>
  </si>
  <si>
    <t>CERADAN SOOTHING GEL</t>
  </si>
  <si>
    <t xml:space="preserve">KIM DẪN ĐỒNG TRỤC (COAXIAL INTRODUCER (TEMNO COAXIAL INTRODUCER))
</t>
  </si>
  <si>
    <t>TDF AGE DEFENSE CLEANSING GEL</t>
  </si>
  <si>
    <t>Bỏ giá niêm yết</t>
  </si>
  <si>
    <t>Cập nhật công dụng theo số công bố mới
Cập nhật theo form quy trình mới</t>
  </si>
  <si>
    <t>VE</t>
  </si>
  <si>
    <t>CARDIOACE TABLETS</t>
  </si>
  <si>
    <t xml:space="preserve">Bổ sung thành phần khác, thông tin ngày sản xuất, hạn dùng.
Thay đổi giá.
Thay đổi màu chữ.
</t>
  </si>
  <si>
    <t xml:space="preserve">OSTEOCARE LIQUID </t>
  </si>
  <si>
    <t>Thay đổi địa chỉ chịu trách nhiệm chất lượng hàng hóa
Bổ sung dòng chữ "LẮC KỸ NHIỀU LẦN TRƯỚC KHI SỬ DỤNG"
Bổ sung thành phần khác, thông tin ngày sản xuất, hạn dùng.
Thay đổi giá
Thay đổi màu chữ</t>
  </si>
  <si>
    <t>OSTEOCARE TABLET</t>
  </si>
  <si>
    <t>Thay đổi địa chỉ chịu trách nhiệm chất lượng hàng hóa
Bổ sung thành phần khác, thông tin ngày sản xuất, hạn dùng.
Thay đổi giá
Thay đổi màu chữ</t>
  </si>
  <si>
    <t xml:space="preserve">FEROGLOBIN LIQUID </t>
  </si>
  <si>
    <t xml:space="preserve">FEROGLOBIN CAPSULES  </t>
  </si>
  <si>
    <t>PREGNACARE PLUS OMEGA - 3</t>
  </si>
  <si>
    <t>Thay đổi địa chỉ chịu trách nhiệm chất lượng hàng hóa
Điều chỉnh nội dung thành phần chính
Bổ sung thành phần khác, thông tin ngày sản xuất, hạn dùng.
Thay đổi giá
Thay đổi màu chữ</t>
  </si>
  <si>
    <t>DOTAREM</t>
  </si>
  <si>
    <t>Cập nhật số đăng kí mới</t>
  </si>
  <si>
    <t>XENETIX 300 50ML</t>
  </si>
  <si>
    <t>Cập nhật nhãn mới</t>
  </si>
  <si>
    <t>WELLMAN Tablets</t>
  </si>
  <si>
    <t>Thay đổi địa chỉ chịu trách nhiệm chất lượng hàng hóa
Bổ sung thành phần khác, thông tin ngày sản xuất, hạn dùng.
Thay đổi giá</t>
  </si>
  <si>
    <t>Thay đổi giá</t>
  </si>
  <si>
    <t>LIVERIL Tablets</t>
  </si>
  <si>
    <t>PERFECTIL Tablets - Ver07</t>
  </si>
  <si>
    <t>WELLBABY MULTI-VITAMIN LIQUID</t>
  </si>
  <si>
    <t>PREGNACARE ORIGINAL</t>
  </si>
  <si>
    <t>SEVELAMER CARBONATE TABLETS 800MG</t>
  </si>
  <si>
    <t xml:space="preserve">Thay đổi tên sản phẩm đúng với phiếu công bố/ Change product name to match the notification of cosmetic product
- Bổ sung nội dung cách dùng, lưu ý và cảnh báo cháy nắng/ Additional content on how to use, note and warn about sunburn
</t>
  </si>
  <si>
    <t>GLYCOLIC ACID PEEL 35%  50 ml</t>
  </si>
  <si>
    <t xml:space="preserve">DIABETONE </t>
  </si>
  <si>
    <t>Thay đổi địa chỉ chịu trách nhiệm chất lượng hàng hóa
Bổ sung thành phần khác, thông tin ngày sản xuất, hạn dùng.
Thay đổi màu chữ</t>
  </si>
  <si>
    <t>JOINTACE TABLETS</t>
  </si>
  <si>
    <t>Bỏ nội dung giá cho BV pháp việt</t>
  </si>
  <si>
    <t>Numed</t>
  </si>
  <si>
    <t>MOUNTED CP STENT</t>
  </si>
  <si>
    <t xml:space="preserve">Bổ sung nhãn phụ 2
Thay đổi nội dung nhãn phụ 1
</t>
  </si>
  <si>
    <t>XENETIX 300 100ML</t>
  </si>
  <si>
    <t>Thay đổi mẫu nhãn
Thay đổi số ấn bản theo dõi</t>
  </si>
  <si>
    <t>XENETIX 350 100ML</t>
  </si>
  <si>
    <t>Sửa lỗi số visa</t>
  </si>
  <si>
    <t>Cập nhật nội dung nhãn mới theo công văn 5739/QLD-ĐK</t>
  </si>
  <si>
    <t>Liposic eye gel</t>
  </si>
  <si>
    <t>-Cập nhật điều kiện bảo quản đúng trên nhãn gốc/ update storge condition based on original package</t>
  </si>
  <si>
    <t>QUE THỬ DÙNG CHO MÁY ĐO ĐƯỜNG HUYẾT CONTOUR PLUS - HỘP 25 QUE</t>
  </si>
  <si>
    <t>QUE THỬ DÙNG CHO MÁY ĐO ĐƯỜNG HUYẾT CONTOUR PLUS - HỘP 50 QUE</t>
  </si>
  <si>
    <t xml:space="preserve">QUE THỬ DÙNG CHO MÁY ĐO ĐƯỜNG HUYẾT CONTOUR TS - HỘP 25 QUE </t>
  </si>
  <si>
    <t xml:space="preserve">QUE THỬ DÙNG CHO MÁY ĐO ĐƯỜNG HUYẾT CONTOUR TS - HỘP 50 QUE </t>
  </si>
  <si>
    <t xml:space="preserve"> CERADAN SKIN BARRIER REPAIR CREAM</t>
  </si>
  <si>
    <t>Soạn mới. Thay đổi số công bố do thay đổi tên sản phẩm từ CERADAN sang CERADAN SKIN BARRIER REPAIR CREAM</t>
  </si>
  <si>
    <t>Soạn mới. Thay đổi số công bố do thay đổi tên sản phẩm từ Ceradan Moisturising Body Wash sang CERADAN MOISTURISING WASH</t>
  </si>
  <si>
    <t>CERADAN MOISTURISING WASH</t>
  </si>
  <si>
    <t>Cập nhật số công bố mới
Thay đổi thông tin nhà sản xuất và đóng gói</t>
  </si>
  <si>
    <t>Bổ sung thông tin chủ sỡ hữu</t>
  </si>
  <si>
    <t>Thay đổi thông tin số lô, NSX, HD</t>
  </si>
  <si>
    <t>CUROSURF (LO 1177577)</t>
  </si>
  <si>
    <t>Sửa đổi nội dung nhãn để phù hợp với quy cách đóng gói 10g</t>
  </si>
  <si>
    <t>-Thay đổi quy cách đóng gói</t>
  </si>
  <si>
    <t>FORTIMEL POWDER VANILLA</t>
  </si>
  <si>
    <t>DANONE</t>
  </si>
  <si>
    <t>FORTIMEL PROTEIN (HƯƠNG VANI)</t>
  </si>
  <si>
    <t>Ống thông mang bóng nong động mạch phổi TYSHAK MINI CATHETER (MỸ)</t>
  </si>
  <si>
    <t>Ống thông mang bóng nong động mạch phổi TYSHAK II CATHETER (MỸ)</t>
  </si>
  <si>
    <t>Ống thông mang bóng nong động mạch phổi Z-MED II CATHETER (MỸ)</t>
  </si>
  <si>
    <t xml:space="preserve">Ống thông mang bóng nong mạch máu ngoại biên Z-5 Atrioseptostomy Catheter  </t>
  </si>
  <si>
    <t>TDF GLYCOLIC ACID PEEL 35% (Lô WH0235)</t>
  </si>
  <si>
    <t>TDF POST PEEL NEUTRALIZER- LÔ WG0199</t>
  </si>
  <si>
    <t>FORTIMEL PROTEIN (HƯƠNG DÂU)</t>
  </si>
  <si>
    <t xml:space="preserve">RUPAFIN </t>
  </si>
  <si>
    <t>Thay đổi thông tin NSX</t>
  </si>
  <si>
    <t>KALVEL 30</t>
  </si>
  <si>
    <t>Contour plus elite</t>
  </si>
  <si>
    <t>CUROSURF-LÔ 1179813</t>
  </si>
  <si>
    <t xml:space="preserve">Thay đổi giá </t>
  </si>
  <si>
    <t>TDF GLYCOLIC ACID PEEL 20% -Lô WH0236</t>
  </si>
  <si>
    <t>TDF VCI GLYCOLIC ACID PEEL 70% -LÔ WH0234</t>
  </si>
  <si>
    <t>PREGNACARE PLUS OMEGA-3 (KHÔNG GIÁ)</t>
  </si>
  <si>
    <t>WELLBABY MULTI-VITAMIN LIQUID  (KHÔNG GIÁ)</t>
  </si>
  <si>
    <t>WELLKID MULTI-VITAMIN LIQUID  (KHÔNG GIÁ)</t>
  </si>
  <si>
    <t>OSTEOCARE LIQUID  (KHÔNG GIÁ)</t>
  </si>
  <si>
    <t>OSTEOCARE TABLET (KHÔNG GIÁ)</t>
  </si>
  <si>
    <t>FEROGLOBIN LIQUID  (KHÔNG GIÁ)</t>
  </si>
  <si>
    <t>FEROGLOBIN CAPSULES   (KHÔNG GIÁ)</t>
  </si>
  <si>
    <t>PREGNACARE BREAST-FEEDING  (KHÔNG GIÁ)</t>
  </si>
  <si>
    <t>ABIRATRED</t>
  </si>
  <si>
    <t>WELLKID MULTI-VITAMIN SMART CHEWABLE</t>
  </si>
  <si>
    <t>TDF VCI GLYCOLIC ACID PEEL 70% -LÔ WJ0276</t>
  </si>
  <si>
    <t>HOEBEPROSALIC OINTMENT</t>
  </si>
  <si>
    <t>LIVERIL Tablets (KHÔNG GIÁ)</t>
  </si>
  <si>
    <t>OSTEOCARE FIZZ</t>
  </si>
  <si>
    <t>CASPOFUNGIN ACETATE FOR INJECTION 50 mg</t>
  </si>
  <si>
    <t>Thay đổi tên đúng theo công văn gia hạn 777/QĐ-QLD
Bỏ mục số đăng ký , điều chỉnh xem thông tin số đăng ký trên bao bì gốc</t>
  </si>
  <si>
    <t>Thay đổi tên đúng theo công văn gia hạn 796/QĐ-QLD</t>
  </si>
  <si>
    <t>CUROSURF-LÔ 1182651</t>
  </si>
  <si>
    <t>LIPIODOL ULTRA FLUIDE</t>
  </si>
  <si>
    <t>Cập nhật số VISA</t>
  </si>
  <si>
    <t>CARDIOACE (KHÔNG GIÁ)</t>
  </si>
  <si>
    <t>DIABETONE Tablets (KHÔNG GIÁ)</t>
  </si>
  <si>
    <t>PERFECTIL Tablets (KHÔNG GIÁ)</t>
  </si>
  <si>
    <t>WELLMAN TABLETS (KHÔNG GIÁ)</t>
  </si>
  <si>
    <t>WELLMAN TABLETS</t>
  </si>
  <si>
    <t>Thay đổi giá áp dụng cho hàng bán 01/02/2024</t>
  </si>
  <si>
    <t>CARDIOACE Tablets</t>
  </si>
  <si>
    <t>MENOPACE TABLETS</t>
  </si>
  <si>
    <t>DIABETONE Tablets</t>
  </si>
  <si>
    <t>TDF GLYCOLIC ACID PEEL 20% -Lô WF0171</t>
  </si>
  <si>
    <t>BORTEZOMIB 3.5MG</t>
  </si>
  <si>
    <t>TDF GLYCOLIC ACID PEEL 35% - LÔ WK0336</t>
  </si>
  <si>
    <t>Thêm quy cách đóng gói “Hộp 1 tuýp 30ml”
Thêm nội dung cách dùng</t>
  </si>
  <si>
    <t>CUROSURF-LÔ 1186762</t>
  </si>
  <si>
    <t xml:space="preserve">Băng vết thương StrataXRT </t>
  </si>
  <si>
    <t>Cập nhật số công bố
Bổ sung chủ sỡ hữu số công bố</t>
  </si>
  <si>
    <t>FEROGLOBIN FIZZ</t>
  </si>
  <si>
    <t>Số mã hóa lớn nhất:</t>
  </si>
  <si>
    <t>Số mã hóa</t>
  </si>
  <si>
    <t>00370 - Ver01</t>
  </si>
  <si>
    <t>00181 - Ver05</t>
  </si>
  <si>
    <t>00031 - Ver05</t>
  </si>
  <si>
    <t>00088 - Ver05</t>
  </si>
  <si>
    <t>00083 - Ver04</t>
  </si>
  <si>
    <t>00371 - Ver01-01/02
00371 - Ver01-02/02</t>
  </si>
  <si>
    <t>00372 - Ver01-01/02
00372 - Ver01-02/02</t>
  </si>
  <si>
    <t>00373 - Ver01-01/02
00373 - Ver01-02/02</t>
  </si>
  <si>
    <t>00374 - Ver01-01/02
00374 - Ver01-02/02</t>
  </si>
  <si>
    <t>00375 - Ver01-01/02
00375 - Ver01-02/02</t>
  </si>
  <si>
    <t>00376 - Ver01</t>
  </si>
  <si>
    <t>00063 - Ver03</t>
  </si>
  <si>
    <t>00377 - Ver01</t>
  </si>
  <si>
    <t>00378 - Ver01</t>
  </si>
  <si>
    <t>00044 - Ver08</t>
  </si>
  <si>
    <t>00110 - Ver07</t>
  </si>
  <si>
    <t>00370 - Ver02</t>
  </si>
  <si>
    <t>00379 - Ver01</t>
  </si>
  <si>
    <t>00380 - Ver01</t>
  </si>
  <si>
    <t>00381 - Ver01</t>
  </si>
  <si>
    <t>00382 - Ver01</t>
  </si>
  <si>
    <t>00094 - Ver04</t>
  </si>
  <si>
    <t>00359 - Ver04</t>
  </si>
  <si>
    <t>00383 - Ver01</t>
  </si>
  <si>
    <t>00304 - Ver04</t>
  </si>
  <si>
    <t>00360 - Ver02</t>
  </si>
  <si>
    <t>00361 - Ver02</t>
  </si>
  <si>
    <t>00299 - Ver03</t>
  </si>
  <si>
    <t>00274 - Ver04</t>
  </si>
  <si>
    <t>00168 - Ver05</t>
  </si>
  <si>
    <t>00221 - Ver03</t>
  </si>
  <si>
    <t>00294 - Ver03</t>
  </si>
  <si>
    <t>00255 - Ver04</t>
  </si>
  <si>
    <t>00112 - Ver05</t>
  </si>
  <si>
    <t>00180 - Ver04</t>
  </si>
  <si>
    <t>00191 - Ver03</t>
  </si>
  <si>
    <t>00095 - Ver05</t>
  </si>
  <si>
    <t>00229 - Ver04</t>
  </si>
  <si>
    <t>00384 - Ver01</t>
  </si>
  <si>
    <t>00270 - Ver04</t>
  </si>
  <si>
    <t>00385 - Ver01-01/02
00385 - Ver01-02/02</t>
  </si>
  <si>
    <t>00386 - Ver01</t>
  </si>
  <si>
    <t>00044 - Ver09</t>
  </si>
  <si>
    <t>00110 - Ver08</t>
  </si>
  <si>
    <t>00001 - Ver05</t>
  </si>
  <si>
    <t>00010 - Ver07</t>
  </si>
  <si>
    <t>00011 - Ver07</t>
  </si>
  <si>
    <t>00004 - Ver05</t>
  </si>
  <si>
    <t>00003 - Ver06</t>
  </si>
  <si>
    <t>00013 - Ver07</t>
  </si>
  <si>
    <t>00271 - Ver03</t>
  </si>
  <si>
    <t>00014 - Ver04</t>
  </si>
  <si>
    <t>00235 - Ver04</t>
  </si>
  <si>
    <t>00324 - Ver03</t>
  </si>
  <si>
    <t>00015 - Ver05</t>
  </si>
  <si>
    <t>00007 - Ver06</t>
  </si>
  <si>
    <t>00012 - Ver08</t>
  </si>
  <si>
    <t>00006 - Ver05</t>
  </si>
  <si>
    <t>00276 - Ver03</t>
  </si>
  <si>
    <t>00272 - Ver03</t>
  </si>
  <si>
    <t>00387 - Ver01</t>
  </si>
  <si>
    <t>00086 - Ver03</t>
  </si>
  <si>
    <t>00005 - Ver05</t>
  </si>
  <si>
    <t>00002 - Ver06</t>
  </si>
  <si>
    <t>00388 - Ver01</t>
  </si>
  <si>
    <t>00093 - Ver04-01/02
00093 - Ver04-02/02</t>
  </si>
  <si>
    <t>00092 - Ver04-01/02
00092 - Ver04-02/02</t>
  </si>
  <si>
    <t>00389 - Ver01</t>
  </si>
  <si>
    <t>00390 - Ver01</t>
  </si>
  <si>
    <t>00299 - Ver04</t>
  </si>
  <si>
    <t>00235 - Ver05</t>
  </si>
  <si>
    <t>00124 - Ver04</t>
  </si>
  <si>
    <t>00111 - Ver03</t>
  </si>
  <si>
    <t>00177 - Ver04</t>
  </si>
  <si>
    <t>00140 - Ver05</t>
  </si>
  <si>
    <t>00141 - Ver05</t>
  </si>
  <si>
    <t>00178 - Ver04</t>
  </si>
  <si>
    <t>00031 - Ver06</t>
  </si>
  <si>
    <t>00362 - Ver03</t>
  </si>
  <si>
    <t>00391 - Ver01</t>
  </si>
  <si>
    <t>00392 - Ver01</t>
  </si>
  <si>
    <t>00093 - Ver05-01/02
00093 - Ver05-02/02</t>
  </si>
  <si>
    <t>00092 - Ver05-01/02
00092 - Ver05-02/02</t>
  </si>
  <si>
    <t>00081 - Ver06</t>
  </si>
  <si>
    <t>00181 - Ver06</t>
  </si>
  <si>
    <t>00299 - Ver05</t>
  </si>
  <si>
    <t>00393 - Ver01</t>
  </si>
  <si>
    <t>00394 - Ver01-01/02
00394 - Ver01-02/02</t>
  </si>
  <si>
    <t>00395 - Ver01-01/02
00395 - Ver01-02/02</t>
  </si>
  <si>
    <t>00396 - Ver01</t>
  </si>
  <si>
    <t>00397 - Ver01</t>
  </si>
  <si>
    <t>00398 - Ver01</t>
  </si>
  <si>
    <t>00399 - Ver01</t>
  </si>
  <si>
    <t>00180 - Ver05</t>
  </si>
  <si>
    <t>00255 - Ver05</t>
  </si>
  <si>
    <t>00347 - Ver03</t>
  </si>
  <si>
    <t>00400 - Ver01</t>
  </si>
  <si>
    <t>00401 - Ver01</t>
  </si>
  <si>
    <t>00402 - Ver01</t>
  </si>
  <si>
    <t>00081 - Ver07</t>
  </si>
  <si>
    <t>00014 - Ver05</t>
  </si>
  <si>
    <t>00112 - Ver06</t>
  </si>
  <si>
    <t>00191 - Ver04</t>
  </si>
  <si>
    <t>00403 - Ver01</t>
  </si>
  <si>
    <t>00404 - Ver01</t>
  </si>
  <si>
    <t>00405 - Ver01</t>
  </si>
  <si>
    <t>00406 - Ver01</t>
  </si>
  <si>
    <t>00407 - Ver01</t>
  </si>
  <si>
    <t>00408 - Ver01</t>
  </si>
  <si>
    <t>00409 - Ver01</t>
  </si>
  <si>
    <t>00225 - Ver03</t>
  </si>
  <si>
    <t>00413 - Ver01</t>
  </si>
  <si>
    <t>00410 - Ver01</t>
  </si>
  <si>
    <t>00191 - Ver05</t>
  </si>
  <si>
    <t>00411 - Ver01</t>
  </si>
  <si>
    <t>00412 - Ver01</t>
  </si>
  <si>
    <t>00189 - Ver04</t>
  </si>
  <si>
    <t>00323 - Ver04</t>
  </si>
  <si>
    <t>00224 - Ver03</t>
  </si>
  <si>
    <t>00081 - Ver08</t>
  </si>
  <si>
    <t>00325 - Ver03</t>
  </si>
  <si>
    <t>00414 - Ver01</t>
  </si>
  <si>
    <t>00415 - Ver01</t>
  </si>
  <si>
    <t>00416 - Ver01</t>
  </si>
  <si>
    <t>00015 - Ver06</t>
  </si>
  <si>
    <t>00005 - Ver06</t>
  </si>
  <si>
    <t>00001 - Ver06</t>
  </si>
  <si>
    <t>00007 - Ver07</t>
  </si>
  <si>
    <t>00002 - Ver07</t>
  </si>
  <si>
    <t>00112 - Ver07</t>
  </si>
  <si>
    <t>00180 - Ver06</t>
  </si>
  <si>
    <t>00392 - Ver02</t>
  </si>
  <si>
    <t>00081 - Ver09</t>
  </si>
  <si>
    <t>00369 - Ver02</t>
  </si>
  <si>
    <t>00418 - Ver01</t>
  </si>
  <si>
    <t>00417 - Ver01</t>
  </si>
  <si>
    <t>Cập nhật số đăng kí</t>
  </si>
  <si>
    <t>00347 - Ver04</t>
  </si>
  <si>
    <t>00410 - Ver02</t>
  </si>
  <si>
    <t>Bỏ thông tin nhà phân phối</t>
  </si>
  <si>
    <t>VISIONACE ORIGINAL</t>
  </si>
  <si>
    <t>00419 - Ver01</t>
  </si>
  <si>
    <t>00271 - Ver04</t>
  </si>
  <si>
    <t>Bỏ thông tin nhà phân phối
Bổ sung thông tin "Độc quyền nhập khẩu,…"</t>
  </si>
  <si>
    <t>TDF VCI GLYCOLIC ACID PEEL 70% -LÔ WN0360</t>
  </si>
  <si>
    <t>00191 - Ver06</t>
  </si>
  <si>
    <t>00414 - Ver02</t>
  </si>
  <si>
    <t>00001 - Ver07</t>
  </si>
  <si>
    <t>00002 - Ver08</t>
  </si>
  <si>
    <t>00415 - Ver02</t>
  </si>
  <si>
    <t>00003 - Ver07</t>
  </si>
  <si>
    <t>00408 - Ver02</t>
  </si>
  <si>
    <t>00004 - Ver06</t>
  </si>
  <si>
    <t>00407 - Ver02</t>
  </si>
  <si>
    <t>00005 - Ver07</t>
  </si>
  <si>
    <t>00006 - Ver06</t>
  </si>
  <si>
    <t>00412 - Ver02</t>
  </si>
  <si>
    <t>00007 - Ver08</t>
  </si>
  <si>
    <t>00413 - Ver02</t>
  </si>
  <si>
    <t>00010 - Ver08</t>
  </si>
  <si>
    <t>00405 - Ver02</t>
  </si>
  <si>
    <t>00011 - Ver08</t>
  </si>
  <si>
    <t>00406 - Ver02</t>
  </si>
  <si>
    <t>00012 - Ver09</t>
  </si>
  <si>
    <t>00416 - Ver02</t>
  </si>
  <si>
    <t>00409 - Ver02</t>
  </si>
  <si>
    <t>00014 - Ver06</t>
  </si>
  <si>
    <t>00388 - Ver02</t>
  </si>
  <si>
    <t>00013 - Ver08</t>
  </si>
  <si>
    <t>00276 - Ver04</t>
  </si>
  <si>
    <t>00403 - Ver02</t>
  </si>
  <si>
    <t>00272 - Ver04</t>
  </si>
  <si>
    <t>00404 - Ver02</t>
  </si>
  <si>
    <t>00015 - Ver07</t>
  </si>
  <si>
    <t>00417 - Ver02</t>
  </si>
  <si>
    <t>Giá</t>
  </si>
  <si>
    <t>PERFECTIL Tablets</t>
  </si>
  <si>
    <t>WELLKID MULTI-VITAMIN LIQUID</t>
  </si>
  <si>
    <t>PREGNACARE BREAST-FEEDING</t>
  </si>
  <si>
    <t>00255 - Ver06</t>
  </si>
  <si>
    <t>TDF POST PEEL NEUTRALIZER- LÔ WJ0279</t>
  </si>
  <si>
    <t>PREGNACARE MAX</t>
  </si>
  <si>
    <t>00420 - Ver01</t>
  </si>
  <si>
    <t>00346 - Ver05</t>
  </si>
  <si>
    <t>00346 - Ver06</t>
  </si>
  <si>
    <t>00346 - Ver07</t>
  </si>
  <si>
    <t>00346 - Ver08</t>
  </si>
  <si>
    <t>00346 - Ver09</t>
  </si>
  <si>
    <t>Bổ sung thông tin số lô SX, ngày sản xuất, hạn sử dụng</t>
  </si>
  <si>
    <t>00346 - Ver10</t>
  </si>
  <si>
    <t>00346 - Ver11</t>
  </si>
  <si>
    <t>00346 - Ver12</t>
  </si>
  <si>
    <t>00346 - Ver13</t>
  </si>
  <si>
    <t>00401 - Ver02</t>
  </si>
  <si>
    <t>DORITHRICIN_LÔ 2444702</t>
  </si>
  <si>
    <t>DORITHRICIN_LÔ 2444802</t>
  </si>
  <si>
    <t>DORITHRICIN_LÔ 2444901</t>
  </si>
  <si>
    <t>DORITHRICIN_LÔ 2445001</t>
  </si>
  <si>
    <t>DORITHRICIN_LÔ 2445601</t>
  </si>
  <si>
    <t>DORITHRICIN_LÔ 2445701</t>
  </si>
  <si>
    <t>DORITHRICIN_LÔ 2445801</t>
  </si>
  <si>
    <t>DORITHRICIN_LÔ 2445901</t>
  </si>
  <si>
    <t>DORITHRICIN_LÔ 2446001</t>
  </si>
  <si>
    <t>Bỏ câu "Hạn sử dụng là ngày cuối cùng của tháng hết hạn"</t>
  </si>
  <si>
    <t>OSTEOCARE CHEWABLE</t>
  </si>
  <si>
    <t>00421 - Ver01</t>
  </si>
  <si>
    <t>TDF POST PEEL NEUTRALIZER- LÔ VC00060</t>
  </si>
  <si>
    <t>00255 - Ver07</t>
  </si>
  <si>
    <t>Thay đổi số lô, NSX, HD</t>
  </si>
  <si>
    <t>00270 - Ver05</t>
  </si>
  <si>
    <t>Thêm nội dung cách dùng, chú ý</t>
  </si>
  <si>
    <t>Indocollyre</t>
  </si>
  <si>
    <t>00135 - Ver05</t>
  </si>
  <si>
    <t>Ocean Health Vitamin D3 1000IU</t>
  </si>
  <si>
    <t>00376 - Ver02</t>
  </si>
  <si>
    <t xml:space="preserve">Bỏ cụm từ “Xuất xứ: Singapore”;
Thay đổi “Thương nhân ủy thác nhập khẩu, phân phối” thành “Thương nhân nhập khẩu, phân phối”.
</t>
  </si>
  <si>
    <t>FENOSUP LIDOSE</t>
  </si>
  <si>
    <t>Cập nhật SĐK mới</t>
  </si>
  <si>
    <t>00351 - Ver03</t>
  </si>
  <si>
    <t>00124 - Ver05</t>
  </si>
  <si>
    <t>Thay đổi địa chỉ nhà sản xuất</t>
  </si>
  <si>
    <t>CERADAN DIAPER CREAM</t>
  </si>
  <si>
    <t>00137 - Ver05</t>
  </si>
  <si>
    <t>Bổ sung nội dung cách dùng</t>
  </si>
  <si>
    <t>00083 - Ver05</t>
  </si>
  <si>
    <t>CERADAN SKIN BARRIER REPAIR CREAM</t>
  </si>
  <si>
    <t>Bổ sung quy cách đóng gói "Hộp 1 tuýp 5g"
Bổ sung nội dung cách dùng</t>
  </si>
  <si>
    <t>00391 - Ver02</t>
  </si>
  <si>
    <t>STAMLO 5</t>
  </si>
  <si>
    <t>00176 - Ver03</t>
  </si>
  <si>
    <t>Sửa đổi chữ “Mfg” thành chữ “FAB”.</t>
  </si>
  <si>
    <t>00422- Ver 01</t>
  </si>
  <si>
    <t>CERADAN GENTLE CLEANSER (1 gói x 2 chai 1 L)</t>
  </si>
  <si>
    <t>DORITHRICIN_LÔ 2453901</t>
  </si>
  <si>
    <t>DORITHRICIN_LÔ 2454001</t>
  </si>
  <si>
    <t>DORITHRICIN_LÔ 2454002</t>
  </si>
  <si>
    <t>DORITHRICIN_LÔ 2454101</t>
  </si>
  <si>
    <t>DORITHRICIN_LÔ 2454201</t>
  </si>
  <si>
    <t>DORITHRICIN_LÔ 2454301</t>
  </si>
  <si>
    <t>DORITHRICIN_LÔ 2454401</t>
  </si>
  <si>
    <t>DORITHRICIN_LÔ 2454501</t>
  </si>
  <si>
    <t>00346 - Ver14</t>
  </si>
  <si>
    <t>00346 - Ver15</t>
  </si>
  <si>
    <t>00346 - Ver16</t>
  </si>
  <si>
    <t>00346 - Ver17</t>
  </si>
  <si>
    <t>00346 - Ver18</t>
  </si>
  <si>
    <t>00346 - Ver19</t>
  </si>
  <si>
    <t>00346 - Ver20</t>
  </si>
  <si>
    <t>00346 - Ver21</t>
  </si>
  <si>
    <t xml:space="preserve">Thực phẩm bảo vệ sức khỏe  Ocean Health BICOLD™ Immune Support For Kids
</t>
  </si>
  <si>
    <t>00423 - Ver 01</t>
  </si>
  <si>
    <t>DORITHRICIN_LÔ 2446601</t>
  </si>
  <si>
    <t>DORITHRICIN_LÔ 2446701</t>
  </si>
  <si>
    <t>DORITHRICIN_LÔ 2446801</t>
  </si>
  <si>
    <t>DORITHRICIN_LÔ 2446901</t>
  </si>
  <si>
    <t>DORITHRICIN_LÔ 2447001</t>
  </si>
  <si>
    <t>DORITHRICIN_LÔ 2447101</t>
  </si>
  <si>
    <t>DORITHRICIN_LÔ 2447201</t>
  </si>
  <si>
    <t>DORITHRICIN_LÔ 2447301</t>
  </si>
  <si>
    <t>DORITHRICIN_LÔ 2451101</t>
  </si>
  <si>
    <t>DORITHRICIN_LÔ 2451201</t>
  </si>
  <si>
    <t>DORITHRICIN_LÔ 2451301</t>
  </si>
  <si>
    <t>DORITHRICIN_LÔ 2451401</t>
  </si>
  <si>
    <t>DORITHRICIN_LÔ 2451501</t>
  </si>
  <si>
    <t>DORITHRICIN_LÔ 2452301</t>
  </si>
  <si>
    <t>DORITHRICIN_LÔ 2452401</t>
  </si>
  <si>
    <t>DORITHRICIN_LÔ 2452501</t>
  </si>
  <si>
    <t>DORITHRICIN_LÔ 2452701</t>
  </si>
  <si>
    <t>DORITHRICIN_LÔ 2452801</t>
  </si>
  <si>
    <t>00346- Ver22</t>
  </si>
  <si>
    <t>00346- Ver23</t>
  </si>
  <si>
    <t>00346- Ver24</t>
  </si>
  <si>
    <t>00346- Ver25</t>
  </si>
  <si>
    <t>00346- Ver26</t>
  </si>
  <si>
    <t>00346- Ver27</t>
  </si>
  <si>
    <t>00346- Ver28</t>
  </si>
  <si>
    <t>00346- Ver29</t>
  </si>
  <si>
    <t>00346- Ver30</t>
  </si>
  <si>
    <t>00346- Ver31</t>
  </si>
  <si>
    <t>00346- Ver32</t>
  </si>
  <si>
    <t>00346- Ver33</t>
  </si>
  <si>
    <t>00346- Ver34</t>
  </si>
  <si>
    <t>00346- Ver35</t>
  </si>
  <si>
    <t>00346- Ver36</t>
  </si>
  <si>
    <t>00346- Ver37</t>
  </si>
  <si>
    <t>00346- Ver38</t>
  </si>
  <si>
    <t>00346- Ver39</t>
  </si>
  <si>
    <t>Bổ sung thông tin số lô SX, ngày sản xuất, hạn sử dụng_ Lô 2446601</t>
  </si>
  <si>
    <t>Bổ sung thông tin số lô SX, ngày sản xuất, hạn sử dụng_ Lô 2446701</t>
  </si>
  <si>
    <t>Bổ sung thông tin số lô SX, ngày sản xuất, hạn sử dụng_ Lô 2446801</t>
  </si>
  <si>
    <t>Bổ sung thông tin số lô SX, ngày sản xuất, hạn sử dụng_ Lô 2446901</t>
  </si>
  <si>
    <t>Bổ sung thông tin số lô SX, ngày sản xuất, hạn sử dụng_ Lô 2447001</t>
  </si>
  <si>
    <t>Bổ sung thông tin số lô SX, ngày sản xuất, hạn sử dụng_ Lô 2447101</t>
  </si>
  <si>
    <t>Bổ sung thông tin số lô SX, ngày sản xuất, hạn sử dụng_ Lô 2447201</t>
  </si>
  <si>
    <t>Bổ sung thông tin số lô SX, ngày sản xuất, hạn sử dụng_ Lô 2447301</t>
  </si>
  <si>
    <t>Bổ sung thông tin số lô SX, ngày sản xuất, hạn sử dụng_ Lô 2451101</t>
  </si>
  <si>
    <t>Bổ sung thông tin số lô SX, ngày sản xuất, hạn sử dụng_ Lô 2451201</t>
  </si>
  <si>
    <t>Bổ sung thông tin số lô SX, ngày sản xuất, hạn sử dụng_ Lô 2451301</t>
  </si>
  <si>
    <t>Bổ sung thông tin số lô SX, ngày sản xuất, hạn sử dụng_ Lô 2451401</t>
  </si>
  <si>
    <t>Bổ sung thông tin số lô SX, ngày sản xuất, hạn sử dụng_ Lô 2451501</t>
  </si>
  <si>
    <t>Bổ sung thông tin số lô SX, ngày sản xuất, hạn sử dụng_ Lô 2452301</t>
  </si>
  <si>
    <t>WINDUZA</t>
  </si>
  <si>
    <t>00251- Ver 03</t>
  </si>
  <si>
    <t>00112 - Ver08</t>
  </si>
  <si>
    <t>GLYCOLIC ACID PEEL 20%- LÔ WK0337</t>
  </si>
  <si>
    <t>BLU VOILE TINTED SUNCREEN</t>
  </si>
  <si>
    <t>00424- Ver 01</t>
  </si>
  <si>
    <t>CUROSURF-LÔ 1196750</t>
  </si>
  <si>
    <t>CUROSURF-LÔ 1193212</t>
  </si>
  <si>
    <t>00081 - Ver10</t>
  </si>
  <si>
    <t>00081 -  Ver11</t>
  </si>
  <si>
    <t>00381 - Ver02</t>
  </si>
  <si>
    <t>OCUVITE BLUE LIGHT</t>
  </si>
  <si>
    <t>00425- Ver 01</t>
  </si>
  <si>
    <t>00420 - Ver02</t>
  </si>
  <si>
    <t>Bỏ giá niêm yết, thay đổi kích thước</t>
  </si>
  <si>
    <t>00003 - Ver08</t>
  </si>
  <si>
    <t>Thay đổi giá (cho sản phẩm tháng 10)</t>
  </si>
  <si>
    <t>TDF GLYCOLIC ACID PEEL 20% -Lô WN0362</t>
  </si>
  <si>
    <t>00112 - Ver09</t>
  </si>
  <si>
    <t>00383 - Ver02</t>
  </si>
  <si>
    <t>00094 - Ver05</t>
  </si>
  <si>
    <t>00168 - Ver06</t>
  </si>
  <si>
    <t>Thay đổi số công bố
Bổ sung vị trí dán tem niêm phong</t>
  </si>
  <si>
    <t>00180 - Ver07</t>
  </si>
  <si>
    <t>TDF GLYCOLIC ACID PEEL 35% (Lô VC0078)</t>
  </si>
  <si>
    <t>00274 - Ver05</t>
  </si>
  <si>
    <t>Cập nhật số công bố mới
Thay đổi mục đích sử dụng</t>
  </si>
  <si>
    <t>00294 - Ver04</t>
  </si>
  <si>
    <t xml:space="preserve">Thay đổi thông tin số lô, NSX, HD
</t>
  </si>
  <si>
    <t xml:space="preserve">IMATINIB DRLA </t>
  </si>
  <si>
    <t>00426- Ver 01</t>
  </si>
  <si>
    <t>DORITHRICIN_LÔ 2457001</t>
  </si>
  <si>
    <t>00346- Ver40</t>
  </si>
  <si>
    <t>DORITHRICIN_LÔ 2457101</t>
  </si>
  <si>
    <t>DORITHRICIN_LÔ 2457201</t>
  </si>
  <si>
    <t>DORITHRICIN_LÔ 2457202</t>
  </si>
  <si>
    <t>DORITHRICIN_LÔ 2457301</t>
  </si>
  <si>
    <t>DORITHRICIN_LÔ 2457401</t>
  </si>
  <si>
    <t>DORITHRICIN_LÔ 2457501</t>
  </si>
  <si>
    <t>DORITHRICIN_LÔ 2457601</t>
  </si>
  <si>
    <t>DORITHRICIN_LÔ 2457701</t>
  </si>
  <si>
    <t>DORITHRICIN_LÔ 2457801</t>
  </si>
  <si>
    <t>00346- Ver41</t>
  </si>
  <si>
    <t>00346- Ver42</t>
  </si>
  <si>
    <t>00346- Ver43</t>
  </si>
  <si>
    <t>00346- Ver44</t>
  </si>
  <si>
    <t>00346- Ver45</t>
  </si>
  <si>
    <t>00346- Ver46</t>
  </si>
  <si>
    <t>00346- Ver47</t>
  </si>
  <si>
    <t>00346- Ver48</t>
  </si>
  <si>
    <t>00346- Ver49</t>
  </si>
  <si>
    <t>Thay đổi thông tin số lô SX, ngày sản xuất, hạn sử dụng_ Lô 2452801</t>
  </si>
  <si>
    <t>Thay đổi thông tin số lô SX, ngày sản xuất, hạn sử dụng_ Lô 2452701</t>
  </si>
  <si>
    <t>Thay đổi thông tin số lô SX, ngày sản xuất, hạn sử dụng_ Lô 2452501</t>
  </si>
  <si>
    <t>Thay đổi thông tin số lô SX, ngày sản xuất, hạn sử dụng_ Lô 2452401</t>
  </si>
  <si>
    <t>Thay đổi thông tin số lô SX, ngày sản xuất, hạn sử dụng_ Lô 2457001
Cập nhật số đăng kí mới</t>
  </si>
  <si>
    <t>Thay đổi thông tin số lô SX, ngày sản xuất, hạn sử dụng_ Lô 2457101</t>
  </si>
  <si>
    <t>Thay đổi thông tin số lô SX, ngày sản xuất, hạn sử dụng_ Lô 2457201</t>
  </si>
  <si>
    <t>Thay đổi thông tin số lô SX, ngày sản xuất, hạn sử dụng_ Lô 2457301</t>
  </si>
  <si>
    <t>Thay đổi thông tin số lô SX, ngày sản xuất, hạn sử dụng_ Lô 2457202</t>
  </si>
  <si>
    <t>Thay đổi thông tin số lô SX, ngày sản xuất, hạn sử dụng_ Lô 2457401</t>
  </si>
  <si>
    <t>Thay đổi thông tin số lô SX, ngày sản xuất, hạn sử dụng_ Lô 2457501</t>
  </si>
  <si>
    <t>Thay đổi thông tin số lô SX, ngày sản xuất, hạn sử dụng_ Lô 2457601</t>
  </si>
  <si>
    <t>Thay đổi thông tin số lô SX, ngày sản xuất, hạn sử dụng_ Lô 2457701</t>
  </si>
  <si>
    <t>Thay đổi thông tin số lô SX, ngày sản xuất, hạn sử dụng_ Lô 2457801</t>
  </si>
  <si>
    <t>00427- Ver 01</t>
  </si>
  <si>
    <t>Stamlo-T (40/5)</t>
  </si>
  <si>
    <t>STAMLO - T (80/5)</t>
  </si>
  <si>
    <t xml:space="preserve">PHYSIODOSE </t>
  </si>
  <si>
    <t>00428- Ver 01</t>
  </si>
  <si>
    <t>00299 - Ver06</t>
  </si>
  <si>
    <t>Cập nhật số công bố mới
Cập nhật mục đích sử dụng</t>
  </si>
  <si>
    <t>00005 - Ver 08</t>
  </si>
  <si>
    <t>CUROSURF-LÔ 1202375</t>
  </si>
  <si>
    <t>00391 - Ver03</t>
  </si>
  <si>
    <t xml:space="preserve"> Sửa tên sản phẩm ở mục công dụng để đúng thông tin</t>
  </si>
  <si>
    <t>CUROSURF-LÔ 1203055</t>
  </si>
  <si>
    <t>00429 - Ver 01</t>
  </si>
  <si>
    <t>APIXABAN TABLETS 2.5 MG (HỘP 1 CHAI 60 VIÊN)</t>
  </si>
  <si>
    <t>00430 - Ver 01-01/02
00430 - Ver 01-02/02</t>
  </si>
  <si>
    <t>FORTIMEL COMPACT PROTEIN 2,4 kcal/ml (HƯƠNG DÂU)</t>
  </si>
  <si>
    <t>HD NHẬP KHẨU</t>
  </si>
  <si>
    <t>00431 - Ver 01</t>
  </si>
  <si>
    <t>STERIMAR BLOCKED NOSE BABY- Laboratoires M. Richard</t>
  </si>
  <si>
    <t>STERIMAR BLOCKED NOSE BABY-Centre Pharma</t>
  </si>
  <si>
    <t>00432 - Ver 01</t>
  </si>
  <si>
    <t>00433 - Ver 01</t>
  </si>
  <si>
    <t>STERIMAR NOSE HYGIENE BABY-Centre Pharma</t>
  </si>
  <si>
    <t>STERIMAR NOSE HYGIENE BABY- Laboratoires M. Richard</t>
  </si>
  <si>
    <t>00434- Ver 01</t>
  </si>
  <si>
    <t>RIVAXORED 15</t>
  </si>
  <si>
    <t>RIVAXORED 20</t>
  </si>
  <si>
    <t>Thay đổi tên sản phẩm theo công văn số 997/QLD-ĐK ngày 01/02/2023
Sửa đổi nội dung cách xem số đăng kí</t>
  </si>
  <si>
    <t>00180 - Ver 08</t>
  </si>
  <si>
    <t>Cập nhật số công bố mới
Thay đổi mục đích sử dụng
Thêm vị trí dán tem niêm phong</t>
  </si>
  <si>
    <t>TDF POST PEEL NEUTRALIZER- lô WJ0280</t>
  </si>
  <si>
    <t>00255 - Ver 08</t>
  </si>
  <si>
    <t>Thay đổi thông tin số lô, NSX, HD
Cập nhật số công bố mới</t>
  </si>
  <si>
    <t>Thay đổi số công bố
Bổ sung vị trí dán tem niêm phong
Thay đổi vị trí dán nhãn phụ</t>
  </si>
  <si>
    <t>00095 - Ver 07</t>
  </si>
  <si>
    <t>Thay đổi số lô, NSX, HD
Thay đổi số công bố</t>
  </si>
  <si>
    <t>00430 - Ver 02-01/02
00430 - Ver 02-02/02</t>
  </si>
  <si>
    <t xml:space="preserve">Thay đổi nội dung và cập nhật số công bố mới </t>
  </si>
  <si>
    <t>FORTIMEL COMPACT PROTEIN 2,4 kcal/ml (HƯƠNG VANI)</t>
  </si>
  <si>
    <t>00435 - Ver 01-01/02
00435 - Ver 01-02/02</t>
  </si>
  <si>
    <t>00327 - Ver 02</t>
  </si>
  <si>
    <t>AMPLATZER TALISMAN PFO OCCLUDER (9-PFO-…)</t>
  </si>
  <si>
    <t>Thay đổi nội dung và cập nhật số giấy phép lưu hành sản phẩm</t>
  </si>
  <si>
    <t>00436- Ver 01</t>
  </si>
  <si>
    <t>AMPLATZER TALISMAN DELIVERY SHEATH (9-TDS-..)</t>
  </si>
  <si>
    <t>00368- Ver 02</t>
  </si>
  <si>
    <t>AMPLATZER PICCOLO OCCLUDER (9-PDAP-…)</t>
  </si>
  <si>
    <t>AMPLATZER MULTIFENESTRATED SEPTAL OCCLUDER “CRIBRIFORM” (9-ASD-MF…)</t>
  </si>
  <si>
    <t>00437- Ver 01</t>
  </si>
  <si>
    <t>00438- Ver 01</t>
  </si>
  <si>
    <t>AMPLATZER AMULET LEFT ATRIAL APPENDAGE OCCLUDER ( 9-ACP2-…) Nước sản xuất: COSTA RICA</t>
  </si>
  <si>
    <t>AMPLATZER AMULET LEFT ATRIAL APPENDAGE OCCLUDER ( 9-ACP2-…) Nước sản xuất: Mỹ</t>
  </si>
  <si>
    <t>00439- Ver 01</t>
  </si>
  <si>
    <t>00440- Ver 01</t>
  </si>
  <si>
    <t>AMPLATZER PFO OCCLUDER (9-PFO-…)</t>
  </si>
  <si>
    <t>AMPLATZER SIZING BALLOON II  (9-SB-…)</t>
  </si>
  <si>
    <t>00312- Ver 03</t>
  </si>
  <si>
    <t>00441- Ver 01</t>
  </si>
  <si>
    <t>AMPLATZER TORQVUE LP CATHETER (9-TVLPC…)</t>
  </si>
  <si>
    <t>00442- Ver 01</t>
  </si>
  <si>
    <t>chờ hình sản phẩm</t>
  </si>
  <si>
    <t>00443- Ver 01</t>
  </si>
  <si>
    <t> AMPLATZER TORQVUE LP DELIVERY SYSTEM ( 9-TVLP…)</t>
  </si>
  <si>
    <t>00313- Ver 03</t>
  </si>
  <si>
    <t>AMPLATZER P.I. MUSCULAR VSD OCCLUDER (9-VSDMUSCPI-…)</t>
  </si>
  <si>
    <t>AMPLATZER TORQVUE DELIVERY SYSTEM (9-ITV…)</t>
  </si>
  <si>
    <t>00309- Ver 03</t>
  </si>
  <si>
    <t>00310- Ver 03</t>
  </si>
  <si>
    <t>00311- Ver 03</t>
  </si>
  <si>
    <t>AMPLATZER DUCT OCCLUDER (9-PDA-…)</t>
  </si>
  <si>
    <t>AMPLATZER DUCT OCCLUDER II (9-PDA2-…)</t>
  </si>
  <si>
    <t>AMPLATZER MUSCULAR VSD OCCLUDER (9-VSD-MUSC-…)</t>
  </si>
  <si>
    <t>AMPLATZER AMULET DELIVERY SHEATH (DS-TV45X45-)</t>
  </si>
  <si>
    <t>00328- Ver 02</t>
  </si>
  <si>
    <t>AMPLATZER TREVISIO INTRAVASCULAR DELIVERY SYSTEM (9-ATV…)</t>
  </si>
  <si>
    <t>00367- Ver 02</t>
  </si>
  <si>
    <t>Cập nhật số công bố mới. Điều chỉnh mục đích sử dụng</t>
  </si>
  <si>
    <t>00304-Ver 05</t>
  </si>
  <si>
    <t>TDF B5 HYDRATING Essence 30ML</t>
  </si>
  <si>
    <t>TDF B5 HYDRATING ESSENCE 30ML</t>
  </si>
  <si>
    <t xml:space="preserve">- Cập nhật giấy phép lưu hành
- Thay đổi nội dung nhãn phụ, gom nội dung nhãn phụ  00093- Ver 05-01/02 và nhãn phụ 00093- Ver 05- 02/02 thành 00093- Ver 06
</t>
  </si>
  <si>
    <t>00093 - Ver06</t>
  </si>
  <si>
    <t>Giá đỡ động mạch chủ COVERED MOUNTED CP STENT</t>
  </si>
  <si>
    <t>00396 - Ver 02</t>
  </si>
  <si>
    <t>Bóng nong động mạch phổi TYSHAK MINI CATHETER</t>
  </si>
  <si>
    <t>00399- Ver 02</t>
  </si>
  <si>
    <t>Cập nhật số đăng kí lưu hành, đổi tên sản phẩm
Thay đổi nội dung nhãn phụ theo hồ sơ công bố</t>
  </si>
  <si>
    <t>Bóng nong mạch ngoại vi Z-5 Atrioseptostomy Catheter  (Mỹ )</t>
  </si>
  <si>
    <t>00444-Ver 01</t>
  </si>
  <si>
    <t>Bóng nong mạch ngoại vi Z-5 Atrioseptostomy Catheter  (Canada)</t>
  </si>
  <si>
    <t>00397 - Ver02</t>
  </si>
  <si>
    <t>00445-Ver 01</t>
  </si>
  <si>
    <t xml:space="preserve">Rxilient </t>
  </si>
  <si>
    <t>00446-ver 01</t>
  </si>
  <si>
    <r>
      <t>Dung dịch nhỏ mắt Rxolve</t>
    </r>
    <r>
      <rPr>
        <vertAlign val="superscript"/>
        <sz val="11"/>
        <color theme="1"/>
        <rFont val="Tahoma"/>
        <family val="2"/>
      </rPr>
      <t>®</t>
    </r>
    <r>
      <rPr>
        <sz val="11"/>
        <color theme="1"/>
        <rFont val="Tahoma"/>
        <family val="2"/>
      </rPr>
      <t>Soothe</t>
    </r>
  </si>
  <si>
    <r>
      <t>Dung dịch nhỏ mắt Rxolve</t>
    </r>
    <r>
      <rPr>
        <vertAlign val="superscript"/>
        <sz val="11"/>
        <color theme="1"/>
        <rFont val="Tahoma"/>
        <family val="2"/>
      </rPr>
      <t>®</t>
    </r>
    <r>
      <rPr>
        <sz val="11"/>
        <color theme="1"/>
        <rFont val="Tahoma"/>
        <family val="2"/>
      </rPr>
      <t xml:space="preserve"> Ultra </t>
    </r>
  </si>
  <si>
    <t>AMPLATZER SEPTAL OCCLUDER (- 9-ASD…)- Nước sản xuất: COSTA RICA</t>
  </si>
  <si>
    <t>00307 – Ver 03</t>
  </si>
  <si>
    <t>00447-Ver 01</t>
  </si>
  <si>
    <t>AMPLATZER SEPTAL OCCLUDER (- 9-ASD…)- Nước sản xuất: MỸ</t>
  </si>
  <si>
    <t>00448-Ver 01</t>
  </si>
  <si>
    <t>Amplatzer TorqVue Delivery System 45° (9-ITV…)</t>
  </si>
  <si>
    <t xml:space="preserve">Thay đổi nội dung và cập nhật số giấy phép lưu hành sản phẩm.
Bỏ nội dung “Được sản xuất bởi: Abbott Medical. 5050 Nathan Lane North, Plymouth, MN 55442, Mỹ.” </t>
  </si>
  <si>
    <t>00110 - Ver 09</t>
  </si>
  <si>
    <t>Cập nhật tên sản phẩm đúng với nhãn phụ đã công bố
Bổ sung số đăng kí lưu hành của sản phẩm
Thay đổi nội dung theo hồ sơ đã đăng kí</t>
  </si>
  <si>
    <t>00177 - Ver 05</t>
  </si>
  <si>
    <t>QUE THỬ ĐƯỜNG HUYẾT CONTOUR PLUS BLOOD GLUCOSE TEST STRIPS (Hộp 50 que)</t>
  </si>
  <si>
    <t>00140 – Ver 06</t>
  </si>
  <si>
    <t>Cập nhật số đăng kí lưu hành mới của sản phẩm
Cập nhật tên sản phẩm đúng với nhãn phụ đã công bố
Thay đổi nội dung theo hồ sơ đã đăng kí</t>
  </si>
  <si>
    <t>Cập nhật số đăng kí lưu hành mới của sản phẩm.
Cập nhật tên sản phẩm đúng với nhãn phụ đã công bố
Bỏ nội dung: Xem “REF” in trên nhãn gốc
Thay đổi nội dung theo hồ sơ đã đăng kí</t>
  </si>
  <si>
    <t>KIM LẤY MÁU MICROLET LANCETS 100s/ MICROLET LANCETS 200s</t>
  </si>
  <si>
    <t>00449-Ver 01</t>
  </si>
  <si>
    <t>PALBOCICLIB CAPSULES 75 MG</t>
  </si>
  <si>
    <t>00450-Ver 01</t>
  </si>
  <si>
    <t>PALBOCICLIB CAPSULES 100 MG</t>
  </si>
  <si>
    <t>00451-Ver 01</t>
  </si>
  <si>
    <t>00452-Ver 01</t>
  </si>
  <si>
    <t>PALBOCICLIB CAPSULES 125 MG</t>
  </si>
  <si>
    <t>TDF “C” Scape+ Serum</t>
  </si>
  <si>
    <t>00361- Ver 03</t>
  </si>
  <si>
    <t>Cập nhật số công bố mỹ phẩm mới.
Thay đổi tên và địa chỉ công ty đóng gói.
Thêm hướng dẫn vị trí dán tem niêm phong</t>
  </si>
  <si>
    <t>00112 - Ver 10</t>
  </si>
  <si>
    <t>- Cập nhật số công bố mới
- Thay đổi thông tin số lô, NSX, HD
- Thay đổi mục đích sử dụng</t>
  </si>
  <si>
    <t>00453 - Ver 01</t>
  </si>
  <si>
    <t>00454 - Ver 01</t>
  </si>
  <si>
    <t>00455 - Ver 01</t>
  </si>
  <si>
    <t>Bóng nong mạch ngoại vi BIB Balloon in Balloon Dilatation Catheter (BIB Catheter)</t>
  </si>
  <si>
    <t>00456 - Ver 01</t>
  </si>
  <si>
    <t>Bóng nong động mạch phổi NuCLEUS-X Percutaneous Transluminal Valvuloplasty Catheter (NuCLEUS-X Percutaneous Valvuloplasty Catheter/ NuCLEUS-X Catheter)</t>
  </si>
  <si>
    <t>Soạn mới - chờ sản phẩm thực tế về check tên sp thực tế</t>
  </si>
  <si>
    <t>00457 - Ver 01</t>
  </si>
  <si>
    <t xml:space="preserve">00398 – Ver 02         </t>
  </si>
  <si>
    <t>00458 - Ver 01</t>
  </si>
  <si>
    <t>Bóng nong động mạch phổi Tyshak-X Catheter</t>
  </si>
  <si>
    <t>Giá đỡ động mạch chủ (Covered CP Stent)</t>
  </si>
  <si>
    <t>00459 - Ver 01</t>
  </si>
  <si>
    <t>Cập nhật số đăng kí lưu hành mới của sản phẩm
Đổi tên sản phẩm và thay đổi nội dung nhãn phụ theo hồ sơ công bố được duyệt</t>
  </si>
  <si>
    <t>00213 - Ver 02</t>
  </si>
  <si>
    <t>Thay đổi nội dung nhãn phụ theo hồ sơ công bố được duyệt
Cập nhật số đăng kí lưu hành mới của sản phẩm</t>
  </si>
  <si>
    <r>
      <t xml:space="preserve">Bóng nong điều trị hẹp van tim 2 lá PTS CATHETER </t>
    </r>
    <r>
      <rPr>
        <b/>
        <sz val="11"/>
        <color theme="1"/>
        <rFont val="Tahoma"/>
        <family val="2"/>
      </rPr>
      <t xml:space="preserve">(CANADA) </t>
    </r>
  </si>
  <si>
    <r>
      <t xml:space="preserve">Bóng nong điều trị hẹp van tim 2 lá PTS CATHETER </t>
    </r>
    <r>
      <rPr>
        <b/>
        <sz val="11"/>
        <color theme="1"/>
        <rFont val="Tahoma"/>
        <family val="2"/>
      </rPr>
      <t>(MỸ)</t>
    </r>
  </si>
  <si>
    <t>00460 - Ver 01</t>
  </si>
  <si>
    <t>00461 - Ver 01</t>
  </si>
  <si>
    <t>00462 - Ver 01</t>
  </si>
  <si>
    <t>Ống thông mang bóng nong động mạch phổi NUCLEUS-X CATHETER (CANADA)</t>
  </si>
  <si>
    <t>Ống thông mang bóng nong động mạch phổi NUCLEUS-X CATHETER (MỸ)</t>
  </si>
  <si>
    <r>
      <t xml:space="preserve">Ống thông mang bóng nong van động mạch phổi  Z-MED II-X Catheter </t>
    </r>
    <r>
      <rPr>
        <b/>
        <sz val="11"/>
        <color theme="1"/>
        <rFont val="Tahoma"/>
        <family val="2"/>
      </rPr>
      <t>(MỸ)</t>
    </r>
  </si>
  <si>
    <r>
      <t xml:space="preserve">Ống thông mang bóng nong van động mạch phổi  Z-MED II-X Catheter </t>
    </r>
    <r>
      <rPr>
        <b/>
        <sz val="11"/>
        <color theme="1"/>
        <rFont val="Tahoma"/>
        <family val="2"/>
      </rPr>
      <t>(CANADA)</t>
    </r>
  </si>
  <si>
    <t>00463 - Ver 01</t>
  </si>
  <si>
    <t>00464 - Ver 01</t>
  </si>
  <si>
    <t>Bóng nong động mạch phổi Z-MED-X CATHETER</t>
  </si>
  <si>
    <r>
      <t>Ống thông mang bóng nong động mạch phổi TYSHAK II CATHETER (</t>
    </r>
    <r>
      <rPr>
        <b/>
        <sz val="11"/>
        <color theme="1"/>
        <rFont val="Tahoma"/>
        <family val="2"/>
      </rPr>
      <t>CANADA)</t>
    </r>
  </si>
  <si>
    <t>00360- Ver 03</t>
  </si>
  <si>
    <t>Cập nhật số công bố mỹ phẩm mới.
Thay đổi tên và địa chỉ công ty đóng gói.
Bổ sung hướng dẫn vị trí dán tem niêm phong</t>
  </si>
  <si>
    <t>Ống thông mang bóng nong động mạch phổi Z-MED II Catheter (MỸ)</t>
  </si>
  <si>
    <r>
      <t xml:space="preserve">Ống thông mang bóng nong động mạch phổi Z-MED II Catheter </t>
    </r>
    <r>
      <rPr>
        <b/>
        <sz val="11"/>
        <color theme="1"/>
        <rFont val="Tahoma"/>
        <family val="2"/>
      </rPr>
      <t>(CANADA)</t>
    </r>
  </si>
  <si>
    <t>đa view, chưa in kí, chờ hình sản phẩm</t>
  </si>
  <si>
    <t>đã view, chưa kí, chờ hình sản phẩm</t>
  </si>
  <si>
    <t>Đã view, chưa kí duyệt, chờ hình sản phẩm</t>
  </si>
  <si>
    <t>00081 -  Ver 14</t>
  </si>
  <si>
    <t>00081 -  Ver 12</t>
  </si>
  <si>
    <t>00081 -  Ver 13</t>
  </si>
  <si>
    <t>Thay đổi thông tin số lô, NSX, HD, Thay đổi số đăng kí và nội dung theo công văn gia hạn số 94/QĐ-QLD ngày 31/01/2024</t>
  </si>
  <si>
    <t>CERADAN ADVANCED MOISTURISING SKIN BARRIER CREAM</t>
  </si>
  <si>
    <t>00305 - Ver 03</t>
  </si>
  <si>
    <t>Cập nhật số công bố mỹ phẩm mới. Thay đổi công dụng</t>
  </si>
  <si>
    <t>T3 ACNE FACIAL FOAM</t>
  </si>
  <si>
    <t>00043-Ver 04</t>
  </si>
  <si>
    <t>Cập nhật số công bố mới
Thay đổi tên sản phẩm đúng với phiếu công bố
Cập nhật nội dung ”cách dùng” và thông tin địa chỉ nhà sản xuất.</t>
  </si>
  <si>
    <t>ELLGY H2O ARR CREAM (HOE)</t>
  </si>
  <si>
    <t>00063 - Ver 04</t>
  </si>
  <si>
    <t>Cập nhật số công bố mới
Thay đổi tên sản phẩm đúng với số công bố</t>
  </si>
  <si>
    <t>00255 - Ver 09</t>
  </si>
  <si>
    <t>TDF POST PEEL NEUTRALIZER- lô VC0079</t>
  </si>
  <si>
    <t>chai 1000ml</t>
  </si>
  <si>
    <t>BLU VOILE TINTED SUNCREEN (TOSHIKI)</t>
  </si>
  <si>
    <t>00465- Ver 01</t>
  </si>
  <si>
    <t>00466 - Ver 01</t>
  </si>
  <si>
    <t>00342 - Ver 04</t>
  </si>
  <si>
    <t>Lotemax</t>
  </si>
  <si>
    <t>Dung dịch chuẩn dùng cho máy đo đường huyết Contour TS Control Solution Normal</t>
  </si>
  <si>
    <t>00467 - Ver 01</t>
  </si>
  <si>
    <t>00468 - Ver 01</t>
  </si>
  <si>
    <t>Dung dịch đối chứng Contour Plus Control Solution Normal</t>
  </si>
  <si>
    <t>00469 - Ver 01</t>
  </si>
  <si>
    <t>Dung dịch đối chứng Contour Plus Control Solution High, Low</t>
  </si>
  <si>
    <t>đã check với SP thực tế</t>
  </si>
  <si>
    <t>00081- Ver 15</t>
  </si>
  <si>
    <t>Cập nhật thay đổi mẫu nhãn theo công văn số 7416/QLD-ĐK ngày 01/08/2022</t>
  </si>
  <si>
    <t>00346 - Ver 52</t>
  </si>
  <si>
    <t>DORITHRICIN_LÔ 2458201</t>
  </si>
  <si>
    <t>DORITHRICIN_LÔ 2458601</t>
  </si>
  <si>
    <t>00346 - Ver 50</t>
  </si>
  <si>
    <t>00346 - Ver 51</t>
  </si>
  <si>
    <t>DORITHRICIN_LÔ 2458701</t>
  </si>
  <si>
    <t>DORITHRICIN_LÔ 2460501</t>
  </si>
  <si>
    <t>00346 - Ver 53</t>
  </si>
  <si>
    <t>00346 - Ver 54</t>
  </si>
  <si>
    <t>00346 - Ver 55</t>
  </si>
  <si>
    <t>00346 - Ver 56</t>
  </si>
  <si>
    <t>DORITHRICIN_LÔ 2460601</t>
  </si>
  <si>
    <t>DORITHRICIN_LÔ 2460701</t>
  </si>
  <si>
    <t>DORITHRICIN_LÔ 2460801</t>
  </si>
  <si>
    <t>00180 - Ver 09</t>
  </si>
  <si>
    <t>TDF GLYCOLIC ACID PEEL 35% (Lô TC0060)</t>
  </si>
  <si>
    <t xml:space="preserve">Dây dẫn can thiệp mạch máu AMPLATZER GUIDEWIRE (9-GW…) </t>
  </si>
  <si>
    <t>00308 - Ver 03</t>
  </si>
  <si>
    <t>Thay đổi nội dung theo hồ sơ công bố và cập nhật số giấy phép lưu hành sản phẩm</t>
  </si>
  <si>
    <t>00135 - Ver07</t>
  </si>
  <si>
    <t>Cập nhật địa chỉ sản xuất theo Mã hồ sơ :58630/TT91, ngày tiếp nhận: 22/12/2023</t>
  </si>
  <si>
    <t>cập nhật số đăng kí mới</t>
  </si>
  <si>
    <t>00135 - Ver06</t>
  </si>
  <si>
    <t>OCEAN HEALTH EVENING PRIMROSE OIL 1000MG</t>
  </si>
  <si>
    <t>00252 - Ver 06</t>
  </si>
  <si>
    <t>SKIN FRESHENER (100ml, 237ml)</t>
  </si>
  <si>
    <t>Cập nhật số CBMP mới
Điều chỉnh nội dung: Mục đích sử dụng</t>
  </si>
  <si>
    <t>00470 - Ver 01</t>
  </si>
  <si>
    <t>00471 - Ver 01</t>
  </si>
  <si>
    <t>00472 - Ver 01</t>
  </si>
  <si>
    <t>00473 - Ver 01</t>
  </si>
  <si>
    <t>APIXABAN TABLETS 5 MG (HỘP 1 CHAI 60 VIÊN)</t>
  </si>
  <si>
    <t>LENANGIO 10 (HỘP 4 VỈ X 7 VIÊN)</t>
  </si>
  <si>
    <t>LENANGIO 5 (HỘP 4 VỈ X 7 VIÊN)</t>
  </si>
  <si>
    <t>LENANGIO 25 (HỘP 4 VỈ X 7 VIÊN)</t>
  </si>
  <si>
    <t>00325 – Ver 04</t>
  </si>
  <si>
    <t>Bổ sung thông tin " Hạn dùng là ngày cuối cùng của tháng hết hạn"</t>
  </si>
  <si>
    <t>00235 - Ver06</t>
  </si>
  <si>
    <t>00389 - Ver 02</t>
  </si>
  <si>
    <t>Bổ sung nội dung "Hạn dùng là ngày cuối cùng của tháng hết hạn"</t>
  </si>
  <si>
    <t>JOINTACE TABLETS (KHÔNG GIÁ)</t>
  </si>
  <si>
    <t>00474 - Ver 01</t>
  </si>
  <si>
    <t>00081 - ver 16</t>
  </si>
  <si>
    <t>CUROSURF LÔ 1213389</t>
  </si>
  <si>
    <t>CUROSURF LÔ 1208699</t>
  </si>
  <si>
    <t>PANLOZ 20</t>
  </si>
  <si>
    <t>TORRENT</t>
  </si>
  <si>
    <t>00475 - Ver 01</t>
  </si>
  <si>
    <t>00180- Ver 10</t>
  </si>
  <si>
    <t>TDF GLYCOLIC ACID PEEL 35% (Lô TD0064)</t>
  </si>
  <si>
    <t>00191- Ver 07</t>
  </si>
  <si>
    <t>TDF VCI GLYCOLIC ACID PEEL 70% -LÔ VM0271</t>
  </si>
  <si>
    <t>Cập nhật số công bố mới
Thay đổi thông tin số lô, NSX, HD
Thay đổi mục đích sử dụng
Thay đổi tên sản phẩm</t>
  </si>
  <si>
    <t>Thay đổi số lô, NSX, HD
Thay đổi tên sản phẩm</t>
  </si>
  <si>
    <t>TDF GLYCOLIC ACID PEEL 20% -Lô VM0273</t>
  </si>
  <si>
    <t>00112 - Ver 11</t>
  </si>
  <si>
    <t>Thay đổi tên sản phẩm</t>
  </si>
  <si>
    <t>00225 - Ver 04</t>
  </si>
  <si>
    <t>Bỏ số đăng kí: (VN3-121-19)</t>
  </si>
  <si>
    <t>Phải đổi kich thước khi nâng version mới: 8x7,4cm)</t>
  </si>
  <si>
    <t>00279- Ver 03</t>
  </si>
  <si>
    <t>REDIVEC (Hộp 6 vỉ Alu-Alu x 10 viên)</t>
  </si>
  <si>
    <t>Cập nhật số đăng kí mới
Cập nhật địa chỉ nhà sản xuất
Bỏ nội dung: Hộp 6 vỉ Alu-Alu x 10 viên nang cứng.</t>
  </si>
  <si>
    <t>00081 - Ver 17</t>
  </si>
  <si>
    <t>CUROSURF LÔ 1217304</t>
  </si>
  <si>
    <t>00180- Ver 11</t>
  </si>
  <si>
    <t>TDF GLYCOLIC ACID PEEL 35% (Lô TE0102)</t>
  </si>
  <si>
    <t>00354- Ver 03</t>
  </si>
  <si>
    <t>CETRAXAL</t>
  </si>
  <si>
    <t>00476 - Ver 01</t>
  </si>
  <si>
    <t>OEP</t>
  </si>
  <si>
    <t>FOSTER</t>
  </si>
  <si>
    <t>00387 - Ver 02</t>
  </si>
  <si>
    <t>Thay đổi địa chỉ nhà sản xuất
thay đổi cách xem số đăng ký</t>
  </si>
  <si>
    <t>00475 - Ver 02</t>
  </si>
  <si>
    <t>Bổ sung tên và địa chỉ DNNK</t>
  </si>
  <si>
    <t>Cập nhật số đăng kí theo công văn số 407/QĐ-QLD</t>
  </si>
  <si>
    <t>Bổ sung nội dung: Hạn dùng là ngày cuối cùng của tháng hết hạn</t>
  </si>
  <si>
    <t>00324- Ver 04</t>
  </si>
  <si>
    <t>00390- Ver 02</t>
  </si>
  <si>
    <t>00381 - Ver03</t>
  </si>
  <si>
    <t>Cập nhật nội dung nhãn phụ theo công văn số 24751e/QLD-ĐK</t>
  </si>
  <si>
    <t>Chờ hình sản phẩm
Check lại địa chỉ DNNK khi có hàng về thục tế</t>
  </si>
  <si>
    <t>NOTE</t>
  </si>
  <si>
    <t>Phúc đã check nội dung</t>
  </si>
  <si>
    <t>Gửi mail cho Kiều confirm trươc khi có hiệu lực</t>
  </si>
  <si>
    <t>Đã mail cho Kiều</t>
  </si>
  <si>
    <t>CERADAN ADVANCED EMOLLIENT WASH</t>
  </si>
  <si>
    <t>00477 - Ver 01</t>
  </si>
  <si>
    <t>00135- Ver 08</t>
  </si>
  <si>
    <t>00310 - Ver 04</t>
  </si>
  <si>
    <t>Cập nhật số giấy phép lưu hành sản phẩm</t>
  </si>
  <si>
    <t>00346 - Ver 57</t>
  </si>
  <si>
    <t>DORITHRICIN_LÔ 2564701</t>
  </si>
  <si>
    <t>DORITHRICIN_LÔ 2564802</t>
  </si>
  <si>
    <t>DORITHRICIN_LÔ 2565001</t>
  </si>
  <si>
    <t>DORITHRICIN_LÔ 2565901</t>
  </si>
  <si>
    <t>DORITHRICIN_LÔ 2566001</t>
  </si>
  <si>
    <t>00346 - Ver 58</t>
  </si>
  <si>
    <t>00346 - Ver 59</t>
  </si>
  <si>
    <t>00346 - Ver 60</t>
  </si>
  <si>
    <t>00346 - Ver 61</t>
  </si>
  <si>
    <t>00140 - Ver 07</t>
  </si>
  <si>
    <t>Chờ hieu luc</t>
  </si>
  <si>
    <t>00478 - Ver 01</t>
  </si>
  <si>
    <t>IMATINIB DRLA (HỘP 3 VỈ PVC-ACLAR X 10 VIÊN)</t>
  </si>
  <si>
    <t>00081 - Ver 18</t>
  </si>
  <si>
    <t>CUROSURF LÔ 1221868</t>
  </si>
  <si>
    <t>00255 - Ver 010</t>
  </si>
  <si>
    <t>TDF POST PEEL NEUTRALIZER- lô TF0139</t>
  </si>
  <si>
    <t>00479 - Ver 01</t>
  </si>
  <si>
    <t>XORAFRED 200 MG</t>
  </si>
  <si>
    <t>00480 - Ver 01</t>
  </si>
  <si>
    <t>VILDAREDDYS</t>
  </si>
  <si>
    <t>00365 - Ver02</t>
  </si>
  <si>
    <t>Thay đổi địa chỉ nhà nhập khẩu sau sáp nhập</t>
  </si>
  <si>
    <t>00365 - Ver03</t>
  </si>
  <si>
    <t>00224 - Ver04</t>
  </si>
  <si>
    <t>Thay đổi địa chỉ DNNK sau sáp nhập
Điều chỉnh nội dung đúng với nhãn phụ Cục Quản lý Dược duyệt theo công văn 6490/QLD-ĐK ngày 04/06/2021</t>
  </si>
  <si>
    <t>00094- Ver 06</t>
  </si>
  <si>
    <t>00274- Ver 06</t>
  </si>
  <si>
    <t>Thay đổi địa chỉ DNNK sau sáp nhập</t>
  </si>
  <si>
    <t>00294 - Ver 05</t>
  </si>
  <si>
    <t>00168 - Ver 07</t>
  </si>
  <si>
    <t>00361- Ver 04</t>
  </si>
  <si>
    <t>00360- Ver 04</t>
  </si>
  <si>
    <t>Thuốc tiêm BORTEZOMIB 3.5 MG</t>
  </si>
  <si>
    <t>00137- Ver 06</t>
  </si>
  <si>
    <t>00305 - Ver 04</t>
  </si>
  <si>
    <t>00481-Ver 01</t>
  </si>
  <si>
    <t>LENANGIO 15 (HỘP 4 VỈ X 7 VIÊN)</t>
  </si>
  <si>
    <t>00342- Ver 05</t>
  </si>
  <si>
    <t>00427- Ver 02</t>
  </si>
  <si>
    <t>00402- Ver 02</t>
  </si>
  <si>
    <t>TDF GLYCOLIC ACID PEEL 35% (Lô TG0182)</t>
  </si>
  <si>
    <t>Thay đổi số lô, NSX, HD
Thay đổi địa chỉ DNNK sau sáp nhập</t>
  </si>
  <si>
    <t>00180- Ver 12-01</t>
  </si>
  <si>
    <t>00255- Ver 011-01</t>
  </si>
  <si>
    <t>00137- Ver 07</t>
  </si>
  <si>
    <t>Cập nhật số công bố mới
Cập nhật nội dung "Công dụng"</t>
  </si>
  <si>
    <t>00389- Ver 03</t>
  </si>
  <si>
    <t>FENOSUP LIDOSE_LÔ 25G02</t>
  </si>
  <si>
    <t>Thay đổi địa chỉ DNNK sau sáp nhập
Bổ sung thông tin số lô SX, ngày sản xuất, hạn dùng _lô 25G02</t>
  </si>
  <si>
    <t>00351-Ver 04-1</t>
  </si>
  <si>
    <t>00351-Ver 04-2</t>
  </si>
  <si>
    <t>FENOSUP LIDOSE_LÔ 25G07</t>
  </si>
  <si>
    <t>Thay đổi thông tin số lô SX, ngày sản xuất, hạn dùng _lô 25G07</t>
  </si>
  <si>
    <t xml:space="preserve">Cập nhật nội dung nhãn phụ theo công văn số 26340e/QLD-ĐK ngày 31/07/2025:
-	Thay đổi thứ tự trình bày của một số mục trong nội dung nhãn phụ
-	Bổ sung Tiêu chuẩn chất lượng và Điều kiện bảo quản
Thay đổi địa chỉ DNNK sau sáp nhập
</t>
  </si>
  <si>
    <t>CUROSURF LÔ 1224270</t>
  </si>
  <si>
    <t>00081- Ver 19-1</t>
  </si>
  <si>
    <t>Thay đổi địa chỉ DNNK sau sáp nhập
Thay đổi số lô, NSX, HD</t>
  </si>
  <si>
    <t>00251- Ver 04</t>
  </si>
  <si>
    <t>00175-Ver 03</t>
  </si>
  <si>
    <t>PODOXRED 500 MG</t>
  </si>
  <si>
    <t>00323 – Ver 05</t>
  </si>
  <si>
    <t>00363 - Ver 02</t>
  </si>
  <si>
    <t>Thay đổi địa chỉ DNNK sau sáp nhập
Bỏ số đăng ký và bổ sung cách xem số đăng ký trên bao bì</t>
  </si>
  <si>
    <t>00176 – Ver 04</t>
  </si>
  <si>
    <t>00321- Ver 03</t>
  </si>
  <si>
    <t>Thuốc tiêm CASPOFUNGIN ACETATE 70mg</t>
  </si>
  <si>
    <t>00279 - Ver 04</t>
  </si>
  <si>
    <t>00299- Ver 07</t>
  </si>
  <si>
    <t>00039 - Ver 04</t>
  </si>
  <si>
    <t xml:space="preserve">OCUVITE LUTEIN </t>
  </si>
  <si>
    <t>Thay đổi địa chỉ DNNK sau sáp nhập:
+Thương nhân chịu trách nhiệm về sản phẩm
+Doanh nghiệp nhập khẩu, phân phối</t>
  </si>
  <si>
    <t>00225 - Ver 05</t>
  </si>
  <si>
    <t>00310- Ver 05</t>
  </si>
  <si>
    <t>00311- Ver 04</t>
  </si>
  <si>
    <t>00328- Ver 03</t>
  </si>
  <si>
    <t>00307 – Ver 04</t>
  </si>
  <si>
    <t>00312- Ver 04</t>
  </si>
  <si>
    <t>00309- Ver 04</t>
  </si>
  <si>
    <t>Thay đổi địa chỉ chủ sở hữu số ĐKLH và NNK &amp; PP</t>
  </si>
  <si>
    <t>00367- Ver 03</t>
  </si>
  <si>
    <t>00313- Ver 04</t>
  </si>
  <si>
    <t>Thay đổi địa chỉ chủ sở hữu số ĐKLH và NNK &amp; PP
Thay đổi nội dung: “REF: 9-PDA-…” thành “Mã sản phẩm: Xem “REF” trên nhãn gốc”</t>
  </si>
  <si>
    <t>Thay đổi địa chỉ chủ sở hữu số ĐKLH và NNK &amp; PP
Thay đổi nội dung: “REF: 9-PDA2-…” thành “Mã sản phẩm: Xem “REF” trên nhãn gốc”</t>
  </si>
  <si>
    <t>Thay đổi địa chỉ chủ sở hữu số ĐKLH và NNK &amp; PP
Thay đổi nội dung: “REF: 9-VSD-MUSC-…” thành “Mã sản phẩm: Xem “REF” trên nhãn gốc”</t>
  </si>
  <si>
    <t>Thay đổi địa chỉ chủ sở hữu số ĐKLH và NNK &amp; PP
Thay đổi nội dung: “REF: 9-SB-…” thành “Mã sản phẩm: Xem “REF” trên nhãn gốc”</t>
  </si>
  <si>
    <t>Thay đổi địa chỉ chủ sở hữu số ĐKLH và NNK &amp; PP
Thay đổi nội dung: “REF: 9-ITV-…” thành “Mã sản phẩm: Xem “REF” trên nhãn gốc”</t>
  </si>
  <si>
    <t>Thay đổi địa chỉ chủ sở hữu số ĐKLH và NNK &amp; PP
Thay đổi nội dung: “REF: 9-ATV-…” thành “Mã sản phẩm: Xem “REF” trên nhãn gốc”</t>
  </si>
  <si>
    <t>Thay đổi địa chỉ chủ sở hữu số ĐKLH và NNK &amp; PP
Thay đổi nội dung: “REF: 9-TVLP-…” thành “Mã sản phẩm: Xem “REF” trên nhãn gốc”</t>
  </si>
  <si>
    <t>00095- Ver 08</t>
  </si>
  <si>
    <t>00270- Ver 06</t>
  </si>
  <si>
    <t>00392- Ver 03</t>
  </si>
  <si>
    <t>TDF GLYCOLIC ACID PEEL 20% -Lô TG0181</t>
  </si>
  <si>
    <t>Thay đổi địa chỉ DNNK sau sáp nhập
Thay đổi thông tin số lô, NSX, HD</t>
  </si>
  <si>
    <t>00325 – Ver 05</t>
  </si>
  <si>
    <t>00235- Ver 07</t>
  </si>
  <si>
    <t>00445 – Ver 02</t>
  </si>
  <si>
    <t>00112 – Ver 12-1</t>
  </si>
  <si>
    <t>00446 – Ver 02</t>
  </si>
  <si>
    <t>Thay đổi địa chỉ chủ sở hữu số ĐKLH và nhà nhập khẩu</t>
  </si>
  <si>
    <t>00189 – Ver 05</t>
  </si>
  <si>
    <t>00354 - Ver04</t>
  </si>
  <si>
    <t>00478 - Ver 02</t>
  </si>
  <si>
    <t>00482-Ver 01</t>
  </si>
  <si>
    <t>OMEZ</t>
  </si>
  <si>
    <t>00364- Ver 03</t>
  </si>
  <si>
    <t>00364 - Ver 02</t>
  </si>
  <si>
    <t>00472 - Ver 02</t>
  </si>
  <si>
    <t>00473 - Ver 02</t>
  </si>
  <si>
    <t>00471 - Ver 02</t>
  </si>
  <si>
    <t>00370 – Ver 03</t>
  </si>
  <si>
    <t xml:space="preserve">00376- Ver 03 </t>
  </si>
  <si>
    <t>Thay đổi địa chỉ Thương nhân chịu trách nhiệm về sản phẩm và Thương nhân nhập khẩu, phân phối sau sáp nhập
Cập nhật cách xem SLSX, NSX, HD</t>
  </si>
  <si>
    <t>Thay đổi địa chỉ Thương nhân chịu trách nhiệm về sản phẩm và Thương nhân nhập khẩu, phân phối sau sáp nhập</t>
  </si>
  <si>
    <t xml:space="preserve">00083 - Ver 06  </t>
  </si>
  <si>
    <t>CERADAN HYDRA MOISTURISER (Hộp 1 tuýp 80g)</t>
  </si>
  <si>
    <t>00465 - Ver 02</t>
  </si>
  <si>
    <t>CERADAN SKIN BARRIER REPAIR CREAM (Hộp 1 tuýp 30g)</t>
  </si>
  <si>
    <t xml:space="preserve">00391 - Ver 04  </t>
  </si>
  <si>
    <t>Thay đổi địa chỉ DNNK sau sáp nhập
Bỏ số đăng ký và bổ sung cách xem số đăng ký trên bao bì
Thay đổi cách xem NSX từ MFG thành MGD</t>
  </si>
  <si>
    <t>Thay đổi địa chỉ DNNK sau sáp nhập
Bỏ số đăng ký và bổ sung cách xem số đăng ký trên bao bìThay đổi cách xem NSX từ MFG thành MGD</t>
  </si>
  <si>
    <t>Thay đổi địa chỉ DNNK, PP và chịu trách nhiệm đưa sản phẩm ra thị trường
Tách quy cách đóng gói: Hộp 1 tuýp 30g thành số mã hóa khác
Thay đổi tên nhãn phụ thành Ceradan hydra moisturiser (hộp 1 tuýp 80g)</t>
  </si>
  <si>
    <t>Thay đổi địa chỉ DNNK, PP và chịu trách nhiệm đưa sản phẩm ra thị trường
Thay đổi tên nhãn phụ thành CERADAN SKIN BARRIER REPAIR CREAM (Hộp 1 tuýp 30g)
Tách quy cách đóng gói: Hộp 1 tuýp 5g, Hộp 1 tuýp 10g, Hộp 1 tuýp 80g thành số mã hóa khác</t>
  </si>
  <si>
    <t>00361- Ver 05</t>
  </si>
  <si>
    <t>Thay đổi địa chỉ DNNK, PP và chịu trách nhiệm đưa sản phẩm ra thị trường
Tên sản phẩm bỏ chữ "TDF"</t>
  </si>
  <si>
    <t>Thay đổi tên nhãn phụ thành “C” Scape+ Serum (Hộp 1 lọ 30ml)
Tên sản phẩm bỏ chữ "TDF"
Tách quy cách đóng gói: Hộp 1 lọ 50ml thành số mã hóa khác</t>
  </si>
  <si>
    <t xml:space="preserve"> “C” Scape+ Serum (Hộp 1 lọ 30ml)</t>
  </si>
  <si>
    <t>00483 - Ver 01</t>
  </si>
  <si>
    <t>KIM LẤY MÁU MICROLET LANCET</t>
  </si>
  <si>
    <t xml:space="preserve">Soạn mới </t>
  </si>
  <si>
    <t xml:space="preserve">00178 – Ver 05         </t>
  </si>
  <si>
    <t>00308- Ver 04</t>
  </si>
  <si>
    <t>00368- Ver 03</t>
  </si>
  <si>
    <t>Thay đổi địa chỉ chủ sở hữu số ĐKLH và NNK &amp; PP
Thay đổi nội dung: “REF: 9-PDAP-…” thành “Mã sản phẩm: Xem “REF” trên nhãn gốc”</t>
  </si>
  <si>
    <t>DORITHRICIN_LÔ 2569301</t>
  </si>
  <si>
    <t>00346 – Ver 62-1</t>
  </si>
  <si>
    <t xml:space="preserve">QUE THỬ DÙNG CHO MÁY ĐO ĐƯỜNG HUYẾT CONTOUR TS </t>
  </si>
  <si>
    <t>Thay đổi số ĐKLH và cập nhật nội dung liên quan trên nhãn phụ theo hồ sơ đã đăng ký
Thay đổi tên nhãn phụ từ " QUE THỬ DÙNG CHO MÁY ĐO ĐƯỜNG HUYẾT CONTOUR TS - HỘP 50 QUE" THÀNH " QUE THỬ DÙNG CHO MÁY ĐO ĐƯỜNG HUYẾT CONTOUR TS"</t>
  </si>
  <si>
    <t>00346 – Ver 62-2</t>
  </si>
  <si>
    <t>DORITHRICIN_LÔ 2569401</t>
  </si>
  <si>
    <t>DORITHRICIN_LÔ 2569501</t>
  </si>
  <si>
    <t>00346 – Ver 62-3</t>
  </si>
  <si>
    <t>DORITHRICIN_LÔ 2569701</t>
  </si>
  <si>
    <t>00346 – Ver 62-4</t>
  </si>
  <si>
    <t>DORITHRICIN_LÔ 2569801</t>
  </si>
  <si>
    <t>00346 – Ver 62-5</t>
  </si>
  <si>
    <t>Bỏ số mã hóa này</t>
  </si>
  <si>
    <t>00360- Ver 05</t>
  </si>
  <si>
    <t>CERADAN HYDRA MOISTURISER (Hộp 1 tuýp 30g)</t>
  </si>
  <si>
    <t>00484 - Ver 01</t>
  </si>
  <si>
    <t>00299- Ver 08</t>
  </si>
  <si>
    <t>Fairence T-Complex</t>
  </si>
  <si>
    <t>Thay đổi tên tên sản phẩm và tên nhãn phụ  từ “ TDF BLU VOILE SUNSCREEN” thành “BLU VOILE SUNSCREEN”</t>
  </si>
  <si>
    <r>
      <t>Thay đổi tên tên sản phẩm và tên nhãn phụ  từ “</t>
    </r>
    <r>
      <rPr>
        <sz val="12"/>
        <color theme="1"/>
        <rFont val="Tahoma"/>
        <family val="2"/>
      </rPr>
      <t>TDF Fairence T-Complex</t>
    </r>
    <r>
      <rPr>
        <sz val="11"/>
        <color rgb="FF000000"/>
        <rFont val="Tahoma"/>
        <family val="2"/>
      </rPr>
      <t>” thành “</t>
    </r>
    <r>
      <rPr>
        <sz val="12"/>
        <color theme="1"/>
        <rFont val="Tahoma"/>
        <family val="2"/>
      </rPr>
      <t>Fairence T-Complex</t>
    </r>
    <r>
      <rPr>
        <sz val="11"/>
        <color rgb="FF000000"/>
        <rFont val="Tahoma"/>
        <family val="2"/>
      </rPr>
      <t>”</t>
    </r>
  </si>
  <si>
    <t>00477 - Ver 02</t>
  </si>
  <si>
    <t>CERADAN ADVANCED EMOLLIENT WASH (chai 280 ml)</t>
  </si>
  <si>
    <t>Thay đổi địa chỉ DNNK và chịu trách nhiệm đưa sản phẩm ra thị trường
Tách quy cách đóng gói: Tuýp 30 ml, chai 500 ml thành số mã hóa khác
Thay đổi tên nhãn phụ từ “CERADAN ADVANCED EMOLLIENT WASH thành “CERADAN ADVANCED EMOLLIENT WASH (chai 280 ml)”</t>
  </si>
  <si>
    <t>00305 - Ver 06</t>
  </si>
  <si>
    <t>CERADAN ADVANCED MOISTURISING SKIN BARRIER CREAM (Hộp 1 tuýp 30g)</t>
  </si>
  <si>
    <t>00095- Ver 09</t>
  </si>
  <si>
    <t xml:space="preserve">ULTRA LIGHT HYDRATOR </t>
  </si>
  <si>
    <t>Thay đổi tên tên sản phẩm và tên nhãn phụ  từ “TDF Ultra Light Hydrator” thành “Ultra Light Hydrator”</t>
  </si>
  <si>
    <t>00168 - Ver 08</t>
  </si>
  <si>
    <t>QUICK RECOVERY CREAM</t>
  </si>
  <si>
    <t>Thay đổi tên tên sản phẩm và tên nhãn phụ  từ “TDF Quick Recovery Cream” thành “Quick Recovery Cream”</t>
  </si>
  <si>
    <t>00294- Ver 06</t>
  </si>
  <si>
    <t>METABIOTIC FACIAL WASH</t>
  </si>
  <si>
    <t>Thay đổi tên tên sản phẩm và tên nhãn phụ  từ “TDF METABIOTIC FACIAL WASH” thành “METABIOTIC FACIAL WASH”</t>
  </si>
  <si>
    <t>00011- Ver 09</t>
  </si>
  <si>
    <t>Thay đổi địa chỉ Thương nhân chịu trách nhiệm về chất lượng sản phẩm, nhà nhập khẩu sau sáp nhập
Cập nhật địa chỉ địa chỉ cơ sở sản xuất từ “9-12 Hardwick Road, Astmoor Industrial Estate, Runcorn, Cheshire, Anh, WA7 1PH” thành “9-12 Hardwick Road, Astmoor Industrial Estate, Runcorn, Cheshire, WA7 1PH, Anh”</t>
  </si>
  <si>
    <t>00406- Ver 03</t>
  </si>
  <si>
    <t>Chờ hiệu lực</t>
  </si>
  <si>
    <t>00001- Ver 08</t>
  </si>
  <si>
    <t>Thay đổi địa chỉ Thương nhân chịu trách nhiệm về chất lượng sản phẩm, nhà nhập khẩu sau sáp nhập</t>
  </si>
  <si>
    <t>00414- Ver 03</t>
  </si>
  <si>
    <t>CARDIOACE TABLETS (KHÔNG GIÁ)</t>
  </si>
  <si>
    <t>00002- Ver 09</t>
  </si>
  <si>
    <t>00415- Ver 03</t>
  </si>
  <si>
    <t>FEROGLOBIN CAPSULES (KHÔNG GIÁ)</t>
  </si>
  <si>
    <t xml:space="preserve">00408- Ver 03       </t>
  </si>
  <si>
    <t xml:space="preserve">00004-Ver 07 </t>
  </si>
  <si>
    <t xml:space="preserve">00407-Ver 03 </t>
  </si>
  <si>
    <t>00418 - Ver 02</t>
  </si>
  <si>
    <t>Thay đổi địa chỉ Thương nhân chịu trách nhiệm về chất lượng hàng hóa, nhà nhập khẩu sau sáp nhập</t>
  </si>
  <si>
    <t>00346 – Ver 62-6</t>
  </si>
  <si>
    <t>DORITHRICIN_LÔ 2568801</t>
  </si>
  <si>
    <t>00346 – Ver 62-8</t>
  </si>
  <si>
    <t>00346 – Ver 62-7</t>
  </si>
  <si>
    <t>DORITHRICIN_LÔ 2569001</t>
  </si>
  <si>
    <t>DORITHRICIN_LÔ 2568901</t>
  </si>
  <si>
    <t>00346 – Ver 62-9</t>
  </si>
  <si>
    <t>DORITHRICIN_LÔ 2569201</t>
  </si>
  <si>
    <t xml:space="preserve">
Thay đổi số lô, NSX, HD</t>
  </si>
  <si>
    <t>00305 - Ver 07</t>
  </si>
  <si>
    <t>Tách quy cách đóng gói: Hộp 1 tuýp 10g, Hộp 1 tuýp 80g, Hộp 1 tuýp 150g thành số mã hóa khác
Thay đổi tên nhãn phụ từ “CERADAN ADVANCED MOISTURISING SKIN BARRIER CREAM thành “CERADAN ADVANCED MOISTURISING SKIN BARRIER CREAM (Hộp 1 tuýp 30g)”</t>
  </si>
  <si>
    <t>Mục “ Bảo quản” bỏ nội dung “ đóng chặt nắp giữa các lần sử dụng”
Bổ sung mục “Chú ý: Đóng chặt nắp sau mỗi lần sử dụng. Chỉ dùng ngoài da”</t>
  </si>
  <si>
    <t>00270- Ver 07</t>
  </si>
  <si>
    <t>CERADAN SOOTHING GEL (Hộp 1 tuýp 50g)</t>
  </si>
  <si>
    <t>00010 - Ver 09</t>
  </si>
  <si>
    <t>00405 - Ver 03</t>
  </si>
  <si>
    <t>00351–Ver 04-3</t>
  </si>
  <si>
    <t>FENOSUP LIDOSE_LÔ 25H26</t>
  </si>
  <si>
    <t>Thay đổi thông tin số lô SX, ngày sản xuất, hạn dùng _lô 25H26</t>
  </si>
  <si>
    <t>FENOSUP LIDOSE_LÔ 25H27</t>
  </si>
  <si>
    <t>00351–Ver 04-4</t>
  </si>
  <si>
    <t>Thay đổi thông tin số lô SX, ngày sản xuất, hạn dùng _lô 25H27</t>
  </si>
  <si>
    <t>00485 - Ver 01</t>
  </si>
  <si>
    <t>PREGNACARE CONCEPTION</t>
  </si>
  <si>
    <t>00094- Ver 07</t>
  </si>
  <si>
    <t xml:space="preserve"> Acne E-Rase</t>
  </si>
  <si>
    <t>00112 – Ver 13-1</t>
  </si>
  <si>
    <t>GLYCOLIC ACID PEEL 20% -Lô TG0181</t>
  </si>
  <si>
    <t>00180- Ver 13-1</t>
  </si>
  <si>
    <t>GLYCOLIC ACID PEEL 35% (Lô TG0182)</t>
  </si>
  <si>
    <t>00191- Ver 08-1</t>
  </si>
  <si>
    <t>VCI GLYCOLIC ACID PEEL 70% -LÔ VM0271</t>
  </si>
  <si>
    <t>00252- Ver 07</t>
  </si>
  <si>
    <t>Skin Freshener (Hộp 1 lọ 237ml)</t>
  </si>
  <si>
    <t>Thay đổi tên sản phẩm từ “TDF Skin Freshener” thành “Skin Freshener”
Thay đổi địa chỉ DNNK và chịu trách nhiệm đưa sản phẩm ra thị trường
Tách quy cách đóng gói: Hộp 1 lọ 100 ml thành số mã hóa khác</t>
  </si>
  <si>
    <t>Thay đổi tên tên sản phẩm từ “TDF VCI  Glycolic Acid Peel 70%” thành “VCI Glycolic Acid Peel 70%”</t>
  </si>
  <si>
    <t>Thay đổi tên tên sản phẩm từ “TDF Glycolic Acid Peel 35%” thành “Glycolic Acid Peel 35%”</t>
  </si>
  <si>
    <t>Thay đổi tên tên sản phẩm từ “TDF Glycolic Acid Peel 20%” thành “Glycolic Acid Peel 20%”</t>
  </si>
  <si>
    <t>Thay đổi tên tên sản phẩm từ “TDF Acne E-Rase” thành “Acne E-Rase”</t>
  </si>
  <si>
    <t>00486- Ver 01</t>
  </si>
  <si>
    <t>00392- Ver 04</t>
  </si>
  <si>
    <t>CERADAN MOISTURISING WASH (Hộp 1 tuýp 150mL)</t>
  </si>
  <si>
    <t>CERADAN MOISTURISING WASH (Chai 280mL )</t>
  </si>
  <si>
    <t>Tách quy cách đóng gói: Chai 280mL thành số mã hóa 00486, Hộp 1 tuýp 30mL thành số mã hóa khác.
Bổ sung mục “Chú ý: Đóng chặt nắp sau mỗi lần sử dụng. Chỉ dùng ngoài da.”</t>
  </si>
  <si>
    <t>00276- Ver 05</t>
  </si>
  <si>
    <t>00403- Ver 03</t>
  </si>
  <si>
    <t>Sẽ đổi sang Ver 03 khi hết tồn tem cũ ( Ver 02 sử dụng cho shipment t11/25)</t>
  </si>
  <si>
    <t>00484 - Ver 02</t>
  </si>
  <si>
    <t>Mục “ Bảo quản” bỏ nội dung “ Chỉ sử dụng ngoài da, vặn chặt nắp sau khi sử dụng”
Bổ sung mục “Chú ý: Đóng chặt nắp sau mỗi lần sử dụng. Chỉ dùng ngoài da”</t>
  </si>
  <si>
    <t>00083 - Ver 07</t>
  </si>
  <si>
    <t xml:space="preserve">00391 - Ver 05  </t>
  </si>
  <si>
    <t>00487 - Ver 01</t>
  </si>
  <si>
    <t>CERADAN SKIN BARRIER REPAIR CREAM (Hộp 1 tuýp 10g)</t>
  </si>
  <si>
    <t>00488 - Ver 01</t>
  </si>
  <si>
    <t>CERADAN SKIN BARRIER REPAIR CREAM (Hộp 1 tuýp 80g)</t>
  </si>
  <si>
    <t>00081- Ver 19-2</t>
  </si>
  <si>
    <t>CUROSURF LÔ 1227663</t>
  </si>
  <si>
    <t>00006 –Ver 07</t>
  </si>
  <si>
    <t>00412 –Ver 03</t>
  </si>
  <si>
    <t xml:space="preserve">00272- Ver 05   </t>
  </si>
  <si>
    <t xml:space="preserve">00404- Ver 03                        </t>
  </si>
  <si>
    <t>00410 - Ver 03</t>
  </si>
  <si>
    <t>00012- Ver 10</t>
  </si>
  <si>
    <t>00468 - Ver 02</t>
  </si>
  <si>
    <r>
      <t xml:space="preserve">Thay đổi địa chỉ DNNK &amp; PP và </t>
    </r>
    <r>
      <rPr>
        <sz val="11"/>
        <color theme="1"/>
        <rFont val="Tahoma"/>
        <family val="2"/>
      </rPr>
      <t>Chủ sở hữu số ĐKLH</t>
    </r>
    <r>
      <rPr>
        <sz val="11"/>
        <color rgb="FF000000"/>
        <rFont val="Tahoma"/>
        <family val="2"/>
      </rPr>
      <t xml:space="preserve"> sau sáp nhập
Thay đổi nội dung: chủ sở hữu sản phẩm từ” xem   trên nhãn gốc” thành “Ascensia Diabetes Care Holdings AG Peter Merian-Strasse 90, 4052 Basel, Thụy Sĩ”</t>
    </r>
  </si>
  <si>
    <t>00469 - Ver 02</t>
  </si>
  <si>
    <t xml:space="preserve">QUE THỬ ĐƯỜNG HUYẾT CONTOUR PLUS BLOOD GLUCOSE TEST STRIPS </t>
  </si>
  <si>
    <t>00110 – Ver 10</t>
  </si>
  <si>
    <t>00013- Ver 09</t>
  </si>
  <si>
    <t>00388- Ver 03</t>
  </si>
  <si>
    <t>00271- Ver 05</t>
  </si>
  <si>
    <t>00409- Ver 03</t>
  </si>
  <si>
    <t>Thay đổi nội dung nhãn phụ theo văn bản cập nhật ngày 19/01/2026
Thay đổi địa chỉ DNNK &amp; PP và Chủ sở hữu số ĐKLH sau sáp nhập</t>
  </si>
  <si>
    <t>Cập nhật nội dung liên quan trên nhãn phụ theo văn bản cập nhập ngày 19/01/2026
Thay đổi vị trí dán nhãn phụ quy cách 50 que</t>
  </si>
  <si>
    <t>00387- Ver 03</t>
  </si>
  <si>
    <t>00489- Ver 01</t>
  </si>
  <si>
    <t>Dung dịch vệ sinh miệng M-EEZE SOLUTION 275ML</t>
  </si>
  <si>
    <t>MERILIOS</t>
  </si>
  <si>
    <t>00181 – Ver 07</t>
  </si>
  <si>
    <t>ELLGY PLUS CRACKED HEEL CREAM (Hộp chứa tuýp 25g)</t>
  </si>
  <si>
    <t>Thay đổi địa chỉ doanh nghiệp nhập khẩu, phân phối và chịu trách nhiệm đưa sản phẩm ra thị trường sau sáp nhập
Tách quy cách tuýp 10g sang số mã hóa khác</t>
  </si>
  <si>
    <t>00420 - Ver 03</t>
  </si>
  <si>
    <t>00490 - Ver 01</t>
  </si>
  <si>
    <t>00419 - Ver 02</t>
  </si>
  <si>
    <t>00124 – Ver 06</t>
  </si>
  <si>
    <t>00346 – Ver 62-10</t>
  </si>
  <si>
    <t>00346 – Ver 62-11</t>
  </si>
  <si>
    <t>00346 – Ver 62-12</t>
  </si>
  <si>
    <t>00346 – Ver 62-13</t>
  </si>
  <si>
    <t>DORITHRICIN_LÔ 2572001</t>
  </si>
  <si>
    <t>DORITHRICIN_LÔ 2572201</t>
  </si>
  <si>
    <t>DORITHRICIN_LÔ 2572301</t>
  </si>
  <si>
    <t>DORITHRICIN_LÔ 2572101</t>
  </si>
  <si>
    <t>SterimarTM Nose Hygiene Baby - Anh (Hộp 1 bình 100ml)</t>
  </si>
  <si>
    <t>00477 - Ver 03</t>
  </si>
  <si>
    <t>OCUVITE LUTEIN - 50146</t>
  </si>
  <si>
    <t>Bỏ nội dung: “Thời hạn sử dụng: 02 năm kể từ ngày sản xuất”
Bỏ nội dung:” Ngày sản xuất, hạn dùng, số lô sản xuất: Ghi trên nhãn sản phẩm” 
Bổ sung Ngày sản xuất, hạn dùng, số lô sản xuất được thể hiện trực tiếp trên nhãn phụ theo từng lô sản phẩm."</t>
  </si>
  <si>
    <t>00039-ver 05-1</t>
  </si>
  <si>
    <t>00081- Ver 19-3</t>
  </si>
  <si>
    <t>CUROSURF LÔ 1232816</t>
  </si>
  <si>
    <t xml:space="preserve">00398 – Ver 03         </t>
  </si>
  <si>
    <t>00397 – Ver 03</t>
  </si>
  <si>
    <t>00491 - Ver 01</t>
  </si>
  <si>
    <t>Ống thông mang bóng nong van động mạch phổi TYSHAK MINI CATHETER ( Mỹ)</t>
  </si>
  <si>
    <t xml:space="preserve">00093 – Ver 07   </t>
  </si>
  <si>
    <t xml:space="preserve">00092- Ver 06 </t>
  </si>
  <si>
    <t>Cập nhật giấy phép lưu hành
Thay đổi nội dung nhãn phụ, gom nội dung nhãn phụ  00092- Ver 05-01/02 và nhãn phụ 00092- Ver 05- 02/02 thành 00092- Ver 06</t>
  </si>
  <si>
    <t>Tách quy cách đóng gói: Hộp 1 tuýp 10g thành số mã hóa khác</t>
  </si>
  <si>
    <t>00492 - Ver 01</t>
  </si>
  <si>
    <t>CERADAN SOOTHING GEL (Hộp 1 tuýp 10g)</t>
  </si>
  <si>
    <t>00362 - Ver 04</t>
  </si>
  <si>
    <t>CERADAN GENTLE CLEANSER (Chai 500ml)</t>
  </si>
  <si>
    <t>Bổ sung mục “Chú ý: Đóng chặt nắp sau mỗi lần sử dụng. Chỉ dùng ngoài da”
Tách quy cách Chai 50ml, chai 280ml, chai 1000ml sang số mã hóa khác
Thay đổi địa chỉ DNNK và chịu trách nhiệm đưa sản phẩm ra thị trường sau sáp nhập</t>
  </si>
  <si>
    <t>Thay đổi địa chỉ NNK &amp; PP và Chủ sở hữu số ĐKLH sau sáp nhập</t>
  </si>
  <si>
    <t>00448-Ver 02</t>
  </si>
  <si>
    <t>Thay đổi địa chỉ chủ sở hữu số ĐKLH và NNK &amp; PP
Thay đổi tên sản phẩm đúng với hồ sơ công bố</t>
  </si>
  <si>
    <t>00081- Ver 19-4</t>
  </si>
  <si>
    <t>CUROSURF LÔ 1234412</t>
  </si>
  <si>
    <t>00180- Ver 13-2</t>
  </si>
  <si>
    <t>GLYCOLIC ACID PEEL 35% (Lô SB0046 )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</si>
</sst>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_(* #,##0_);_(* \(#,##0\);_(* &quot;-&quot;??_);_(@_)"/>
  </numFmts>
  <fonts count="18" x14ac:knownFonts="1">
    <font>
      <sz val="11"/>
      <color theme="1"/>
      <name val="Calibri"/>
      <family val="2"/>
      <scheme val="minor"/>
    </font>
    <font>
      <sz val="12"/>
      <color theme="1"/>
      <name val="Tahoma"/>
      <family val="2"/>
    </font>
    <font>
      <sz val="12"/>
      <color theme="1"/>
      <name val="Tahoma"/>
      <family val="2"/>
    </font>
    <font>
      <sz val="12"/>
      <color theme="1"/>
      <name val="Tahoma"/>
      <family val="2"/>
    </font>
    <font>
      <b/>
      <sz val="11"/>
      <color theme="1"/>
      <name val="Tahoma"/>
      <family val="2"/>
    </font>
    <font>
      <sz val="11"/>
      <color theme="1"/>
      <name val="Tahoma"/>
      <family val="2"/>
    </font>
    <font>
      <sz val="12"/>
      <color theme="1"/>
      <name val="Tahoma"/>
      <family val="2"/>
    </font>
    <font>
      <sz val="10"/>
      <color theme="1"/>
      <name val="Tahoma"/>
      <family val="2"/>
    </font>
    <font>
      <vertAlign val="superscript"/>
      <sz val="11"/>
      <color theme="1"/>
      <name val="Tahoma"/>
      <family val="2"/>
    </font>
    <font>
      <sz val="11"/>
      <color rgb="FFFF0000"/>
      <name val="Tahoma"/>
      <family val="2"/>
    </font>
    <font>
      <b/>
      <sz val="11"/>
      <color theme="0"/>
      <name val="Calibri"/>
      <family val="2"/>
      <scheme val="minor"/>
    </font>
    <font>
      <sz val="11"/>
      <color theme="0"/>
      <name val="Calibri"/>
      <family val="2"/>
      <scheme val="minor"/>
    </font>
    <font>
      <b/>
      <sz val="14"/>
      <color theme="1"/>
      <name val="Tahoma"/>
      <family val="2"/>
    </font>
    <font>
      <sz val="11"/>
      <color theme="1"/>
      <name val="Calibri"/>
      <family val="2"/>
      <scheme val="minor"/>
    </font>
    <font>
      <sz val="11"/>
      <color rgb="FF000000"/>
      <name val="Tahoma"/>
      <family val="2"/>
    </font>
    <font>
      <sz val="8"/>
      <name val="Calibri"/>
      <family val="2"/>
      <scheme val="minor"/>
    </font>
    <font>
      <sz val="11"/>
      <name val="Tahoma"/>
      <family val="2"/>
    </font>
    <font>
      <sz val="12"/>
      <color rgb="FFFF0000"/>
      <name val="Tahoma"/>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1" fillId="4" borderId="0" applyNumberFormat="0" applyBorder="0" applyAlignment="0" applyProtection="0"/>
    <xf numFmtId="43" fontId="13" fillId="0" borderId="0" applyFont="0" applyFill="0" applyBorder="0" applyAlignment="0" applyProtection="0"/>
  </cellStyleXfs>
  <cellXfs count="99">
    <xf numFmtId="0" fontId="0" fillId="0" borderId="0" xfId="0"/>
    <xf numFmtId="14" fontId="6" fillId="0" borderId="1" xfId="0" applyNumberFormat="1" applyFont="1" applyBorder="1" applyAlignment="1">
      <alignment horizontal="center" vertical="center"/>
    </xf>
    <xf numFmtId="0" fontId="6" fillId="0" borderId="1" xfId="0" applyFont="1" applyBorder="1" applyAlignment="1">
      <alignment horizontal="justify" vertical="center" wrapText="1"/>
    </xf>
    <xf numFmtId="0" fontId="6" fillId="0" borderId="1" xfId="0" applyFont="1" applyBorder="1" applyAlignment="1">
      <alignment vertical="center"/>
    </xf>
    <xf numFmtId="0" fontId="6" fillId="0" borderId="1" xfId="0" applyFont="1" applyBorder="1" applyAlignment="1">
      <alignment vertical="center" wrapText="1"/>
    </xf>
    <xf numFmtId="14" fontId="5" fillId="0" borderId="1" xfId="0" quotePrefix="1" applyNumberFormat="1" applyFont="1" applyBorder="1" applyAlignment="1">
      <alignment horizontal="center" vertical="center"/>
    </xf>
    <xf numFmtId="0" fontId="5" fillId="0" borderId="1" xfId="0" applyFont="1" applyBorder="1" applyAlignment="1">
      <alignment vertical="center" wrapText="1"/>
    </xf>
    <xf numFmtId="14" fontId="5" fillId="0" borderId="1" xfId="0" applyNumberFormat="1"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quotePrefix="1" applyFont="1" applyBorder="1" applyAlignment="1">
      <alignment horizontal="left" vertical="center"/>
    </xf>
    <xf numFmtId="0" fontId="5" fillId="0" borderId="1" xfId="0" applyFont="1" applyBorder="1" applyAlignment="1">
      <alignment horizontal="justify"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xf>
    <xf numFmtId="0" fontId="4" fillId="0" borderId="1" xfId="0" applyFont="1" applyBorder="1" applyAlignment="1">
      <alignment horizontal="center" vertical="center" wrapText="1"/>
    </xf>
    <xf numFmtId="0" fontId="5" fillId="2" borderId="1" xfId="0" applyFont="1" applyFill="1" applyBorder="1" applyAlignment="1">
      <alignment vertical="center" wrapText="1"/>
    </xf>
    <xf numFmtId="14" fontId="5" fillId="0" borderId="1" xfId="0" quotePrefix="1"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2" borderId="1" xfId="0" applyFont="1" applyFill="1" applyBorder="1" applyAlignment="1">
      <alignment vertical="center"/>
    </xf>
    <xf numFmtId="14" fontId="5" fillId="2" borderId="1" xfId="0" quotePrefix="1" applyNumberFormat="1" applyFont="1" applyFill="1" applyBorder="1" applyAlignment="1">
      <alignment horizontal="center" vertical="center"/>
    </xf>
    <xf numFmtId="0" fontId="5" fillId="0" borderId="1" xfId="0" quotePrefix="1" applyFont="1" applyBorder="1" applyAlignment="1">
      <alignment vertical="center"/>
    </xf>
    <xf numFmtId="0" fontId="5" fillId="3" borderId="0" xfId="0" applyFont="1" applyFill="1" applyAlignment="1">
      <alignment vertical="center"/>
    </xf>
    <xf numFmtId="0" fontId="5" fillId="0" borderId="1" xfId="0" quotePrefix="1" applyFont="1" applyBorder="1" applyAlignment="1">
      <alignment vertical="center" wrapText="1"/>
    </xf>
    <xf numFmtId="0" fontId="5" fillId="2" borderId="1" xfId="0" applyFont="1" applyFill="1" applyBorder="1" applyAlignment="1">
      <alignment horizontal="left" vertical="center"/>
    </xf>
    <xf numFmtId="0" fontId="5" fillId="0" borderId="1" xfId="0" applyFont="1" applyBorder="1" applyAlignment="1">
      <alignment horizontal="left" vertical="center" wrapText="1"/>
    </xf>
    <xf numFmtId="0" fontId="5" fillId="2"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164" fontId="5" fillId="0" borderId="0" xfId="0" applyNumberFormat="1" applyFont="1" applyAlignment="1">
      <alignment vertical="center"/>
    </xf>
    <xf numFmtId="164" fontId="5" fillId="0" borderId="1" xfId="0" applyNumberFormat="1" applyFont="1" applyBorder="1" applyAlignment="1">
      <alignment vertical="center"/>
    </xf>
    <xf numFmtId="0" fontId="12" fillId="3" borderId="0" xfId="0" applyFont="1" applyFill="1" applyAlignment="1">
      <alignment horizontal="center" vertical="center"/>
    </xf>
    <xf numFmtId="0" fontId="10" fillId="4" borderId="1" xfId="1" applyFont="1" applyBorder="1" applyAlignment="1">
      <alignment horizontal="center" vertical="center"/>
    </xf>
    <xf numFmtId="164" fontId="10" fillId="4" borderId="1" xfId="1" applyNumberFormat="1" applyFont="1" applyBorder="1" applyAlignment="1">
      <alignment horizontal="center" vertical="center"/>
    </xf>
    <xf numFmtId="0" fontId="5" fillId="0" borderId="2" xfId="0" applyFont="1" applyBorder="1" applyAlignment="1">
      <alignment horizontal="center" vertical="center"/>
    </xf>
    <xf numFmtId="0" fontId="5" fillId="3" borderId="1" xfId="0" applyFont="1" applyFill="1" applyBorder="1" applyAlignment="1">
      <alignment vertical="center"/>
    </xf>
    <xf numFmtId="14" fontId="9" fillId="0" borderId="1" xfId="0" applyNumberFormat="1" applyFont="1" applyBorder="1" applyAlignment="1">
      <alignment horizontal="center" vertical="center"/>
    </xf>
    <xf numFmtId="0" fontId="5" fillId="3" borderId="1" xfId="0" applyFont="1" applyFill="1" applyBorder="1" applyAlignment="1">
      <alignment horizontal="center" vertical="center"/>
    </xf>
    <xf numFmtId="164" fontId="5" fillId="3" borderId="1" xfId="0" applyNumberFormat="1" applyFont="1" applyFill="1" applyBorder="1" applyAlignment="1">
      <alignment vertical="center"/>
    </xf>
    <xf numFmtId="165" fontId="5" fillId="0" borderId="0" xfId="2" applyNumberFormat="1" applyFont="1" applyAlignment="1">
      <alignment vertical="center"/>
    </xf>
    <xf numFmtId="165" fontId="4" fillId="0" borderId="1" xfId="2" applyNumberFormat="1" applyFont="1" applyBorder="1" applyAlignment="1">
      <alignment horizontal="center" vertical="center" wrapText="1"/>
    </xf>
    <xf numFmtId="165" fontId="5" fillId="0" borderId="1" xfId="2" applyNumberFormat="1" applyFont="1" applyBorder="1" applyAlignment="1">
      <alignment vertical="center"/>
    </xf>
    <xf numFmtId="165" fontId="5" fillId="0" borderId="1" xfId="2" applyNumberFormat="1" applyFont="1" applyFill="1" applyBorder="1" applyAlignment="1">
      <alignment vertical="center"/>
    </xf>
    <xf numFmtId="165" fontId="5" fillId="3" borderId="1" xfId="2" applyNumberFormat="1" applyFont="1" applyFill="1" applyBorder="1" applyAlignment="1">
      <alignment vertical="center"/>
    </xf>
    <xf numFmtId="14" fontId="5" fillId="0" borderId="0" xfId="0" applyNumberFormat="1" applyFont="1" applyAlignment="1">
      <alignment vertical="center"/>
    </xf>
    <xf numFmtId="0" fontId="5" fillId="3" borderId="1" xfId="0" applyFont="1" applyFill="1" applyBorder="1" applyAlignment="1">
      <alignment vertical="center" wrapText="1"/>
    </xf>
    <xf numFmtId="0" fontId="2" fillId="0" borderId="1" xfId="0" applyFont="1" applyBorder="1" applyAlignment="1">
      <alignment horizontal="center" vertical="center"/>
    </xf>
    <xf numFmtId="164" fontId="5" fillId="0" borderId="1" xfId="0" applyNumberFormat="1" applyFont="1" applyBorder="1" applyAlignment="1">
      <alignment horizontal="center" vertical="center"/>
    </xf>
    <xf numFmtId="14" fontId="5" fillId="0" borderId="0" xfId="0" applyNumberFormat="1" applyFont="1" applyAlignment="1">
      <alignment horizontal="center" vertical="center"/>
    </xf>
    <xf numFmtId="14" fontId="5" fillId="3" borderId="1" xfId="0" applyNumberFormat="1" applyFont="1" applyFill="1" applyBorder="1" applyAlignment="1">
      <alignment horizontal="center" vertical="center"/>
    </xf>
    <xf numFmtId="0" fontId="5" fillId="0" borderId="3" xfId="0" applyFont="1" applyBorder="1" applyAlignment="1">
      <alignment vertical="center" wrapText="1"/>
    </xf>
    <xf numFmtId="0" fontId="5" fillId="2" borderId="1" xfId="0" applyFont="1" applyFill="1" applyBorder="1" applyAlignment="1">
      <alignment horizontal="left" vertical="center" wrapText="1"/>
    </xf>
    <xf numFmtId="0" fontId="3" fillId="0" borderId="1" xfId="0" applyFont="1" applyBorder="1" applyAlignment="1">
      <alignment vertical="center" wrapText="1"/>
    </xf>
    <xf numFmtId="0" fontId="7" fillId="0" borderId="1" xfId="0" applyFont="1" applyBorder="1" applyAlignment="1">
      <alignment horizontal="center" vertical="center"/>
    </xf>
    <xf numFmtId="0" fontId="1" fillId="0" borderId="1" xfId="0" applyFont="1" applyBorder="1" applyAlignment="1">
      <alignment wrapText="1"/>
    </xf>
    <xf numFmtId="0" fontId="1" fillId="0" borderId="1" xfId="0" applyFont="1" applyBorder="1"/>
    <xf numFmtId="0" fontId="5" fillId="0" borderId="3" xfId="0" applyFont="1" applyBorder="1" applyAlignment="1">
      <alignment vertical="center"/>
    </xf>
    <xf numFmtId="0" fontId="5" fillId="0" borderId="5" xfId="0" applyFont="1" applyBorder="1" applyAlignment="1">
      <alignment vertical="center" wrapText="1"/>
    </xf>
    <xf numFmtId="0" fontId="5" fillId="0" borderId="6" xfId="0" applyFont="1" applyBorder="1" applyAlignment="1">
      <alignment vertical="center" wrapText="1"/>
    </xf>
    <xf numFmtId="0" fontId="14" fillId="0" borderId="1" xfId="0" applyFont="1" applyBorder="1" applyAlignment="1">
      <alignment vertical="center" wrapText="1"/>
    </xf>
    <xf numFmtId="0" fontId="1" fillId="0" borderId="0" xfId="0" applyFont="1" applyAlignment="1">
      <alignment vertical="top" wrapText="1"/>
    </xf>
    <xf numFmtId="0" fontId="5" fillId="0" borderId="1" xfId="0" quotePrefix="1" applyFont="1" applyBorder="1" applyAlignment="1">
      <alignment horizontal="left" vertical="top" wrapText="1"/>
    </xf>
    <xf numFmtId="0" fontId="1" fillId="0" borderId="1" xfId="0" applyFont="1" applyBorder="1" applyAlignment="1">
      <alignment vertical="center"/>
    </xf>
    <xf numFmtId="0" fontId="9" fillId="3" borderId="0" xfId="0" applyFont="1" applyFill="1" applyAlignment="1">
      <alignment vertical="center"/>
    </xf>
    <xf numFmtId="0" fontId="9" fillId="3" borderId="1" xfId="0" applyFont="1" applyFill="1" applyBorder="1" applyAlignment="1">
      <alignment horizontal="center" vertical="center" wrapText="1"/>
    </xf>
    <xf numFmtId="0" fontId="5" fillId="0" borderId="0" xfId="0" applyFont="1"/>
    <xf numFmtId="0" fontId="4" fillId="0" borderId="1" xfId="0" applyFont="1" applyBorder="1" applyAlignment="1">
      <alignment horizontal="center" vertical="center"/>
    </xf>
    <xf numFmtId="165" fontId="5" fillId="0" borderId="2" xfId="2" applyNumberFormat="1" applyFont="1" applyBorder="1" applyAlignment="1">
      <alignment vertical="center"/>
    </xf>
    <xf numFmtId="165" fontId="5" fillId="0" borderId="2" xfId="2" applyNumberFormat="1" applyFont="1" applyFill="1" applyBorder="1" applyAlignment="1">
      <alignment vertical="center"/>
    </xf>
    <xf numFmtId="165" fontId="5" fillId="3" borderId="2" xfId="2" applyNumberFormat="1" applyFont="1" applyFill="1" applyBorder="1" applyAlignment="1">
      <alignment vertical="center" wrapText="1"/>
    </xf>
    <xf numFmtId="0" fontId="5" fillId="3" borderId="1" xfId="0" applyFont="1" applyFill="1" applyBorder="1" applyAlignment="1">
      <alignment horizontal="center" vertical="center" wrapText="1"/>
    </xf>
    <xf numFmtId="165" fontId="5" fillId="0" borderId="2" xfId="2" applyNumberFormat="1" applyFont="1" applyBorder="1" applyAlignment="1">
      <alignment vertical="center" wrapText="1"/>
    </xf>
    <xf numFmtId="165" fontId="5" fillId="0" borderId="2" xfId="2" applyNumberFormat="1" applyFont="1" applyFill="1" applyBorder="1" applyAlignment="1">
      <alignment vertical="center" wrapText="1"/>
    </xf>
    <xf numFmtId="0" fontId="5" fillId="0" borderId="1" xfId="0" applyFont="1" applyBorder="1"/>
    <xf numFmtId="0" fontId="5" fillId="0" borderId="1" xfId="0" applyFont="1" applyBorder="1" applyAlignment="1">
      <alignment wrapText="1"/>
    </xf>
    <xf numFmtId="0" fontId="1" fillId="0" borderId="0" xfId="0" applyFont="1"/>
    <xf numFmtId="0" fontId="1" fillId="0" borderId="1" xfId="0" applyFont="1" applyBorder="1" applyAlignment="1">
      <alignment horizontal="center" vertical="center"/>
    </xf>
    <xf numFmtId="0" fontId="9" fillId="0" borderId="1" xfId="0" applyFont="1" applyBorder="1" applyAlignment="1">
      <alignment horizontal="center" vertical="center" wrapText="1"/>
    </xf>
    <xf numFmtId="0" fontId="16" fillId="0" borderId="0" xfId="0" applyFont="1"/>
    <xf numFmtId="164" fontId="5" fillId="2" borderId="1" xfId="0" applyNumberFormat="1" applyFont="1" applyFill="1" applyBorder="1" applyAlignment="1">
      <alignment vertical="center"/>
    </xf>
    <xf numFmtId="165" fontId="5" fillId="2" borderId="2" xfId="2" applyNumberFormat="1" applyFont="1" applyFill="1" applyBorder="1" applyAlignment="1">
      <alignment vertical="center"/>
    </xf>
    <xf numFmtId="0" fontId="5" fillId="2" borderId="0" xfId="0" applyFont="1" applyFill="1" applyAlignment="1">
      <alignment vertical="center"/>
    </xf>
    <xf numFmtId="14" fontId="5" fillId="2" borderId="1" xfId="0" applyNumberFormat="1" applyFont="1" applyFill="1" applyBorder="1" applyAlignment="1">
      <alignment horizontal="center" vertical="center" wrapText="1"/>
    </xf>
    <xf numFmtId="0" fontId="17" fillId="0" borderId="0" xfId="0" applyFont="1"/>
    <xf numFmtId="0" fontId="9" fillId="0" borderId="0" xfId="0" applyFont="1"/>
    <xf numFmtId="0" fontId="5" fillId="0" borderId="0" xfId="0" applyFont="1" applyAlignment="1">
      <alignment wrapText="1"/>
    </xf>
    <xf numFmtId="14" fontId="5" fillId="0" borderId="1" xfId="0" applyNumberFormat="1" applyFont="1" applyBorder="1" applyAlignment="1">
      <alignment vertical="center"/>
    </xf>
    <xf numFmtId="0" fontId="1" fillId="0" borderId="1" xfId="0" applyFont="1" applyBorder="1" applyAlignment="1">
      <alignment horizontal="justify" vertical="center" wrapText="1"/>
    </xf>
    <xf numFmtId="0" fontId="6" fillId="3" borderId="1" xfId="0" applyFont="1" applyFill="1" applyBorder="1" applyAlignment="1">
      <alignment vertical="center" wrapText="1"/>
    </xf>
    <xf numFmtId="0" fontId="6" fillId="3" borderId="1" xfId="0" applyFont="1" applyFill="1" applyBorder="1" applyAlignment="1">
      <alignment vertical="center"/>
    </xf>
    <xf numFmtId="0" fontId="14" fillId="0" borderId="0" xfId="0" applyFont="1" applyAlignment="1">
      <alignment wrapText="1"/>
    </xf>
    <xf numFmtId="0" fontId="9" fillId="0" borderId="1" xfId="0" applyFont="1" applyBorder="1" applyAlignment="1">
      <alignment horizontal="center" vertical="center"/>
    </xf>
    <xf numFmtId="14" fontId="5" fillId="2" borderId="1" xfId="0" applyNumberFormat="1" applyFont="1" applyFill="1" applyBorder="1" applyAlignment="1">
      <alignment horizontal="center" vertical="center"/>
    </xf>
    <xf numFmtId="165" fontId="5" fillId="2" borderId="1" xfId="2" applyNumberFormat="1" applyFont="1" applyFill="1" applyBorder="1" applyAlignment="1">
      <alignment vertical="center"/>
    </xf>
    <xf numFmtId="165" fontId="5" fillId="3" borderId="2" xfId="2" applyNumberFormat="1" applyFont="1" applyFill="1" applyBorder="1" applyAlignment="1">
      <alignment vertical="center"/>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cellXfs>
  <cellStyles count="3">
    <cellStyle name="Accent5" xfId="1" builtinId="45"/>
    <cellStyle name="Comma" xfId="2" builtinId="3"/>
    <cellStyle name="Normal" xfId="0" builtinId="0"/>
  </cellStyles>
  <dxfs count="143">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45721</xdr:rowOff>
    </xdr:from>
    <xdr:to>
      <xdr:col>1</xdr:col>
      <xdr:colOff>1443990</xdr:colOff>
      <xdr:row>1</xdr:row>
      <xdr:rowOff>632460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0981"/>
          <a:ext cx="1836420" cy="586739"/>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P708"/>
  <sheetViews>
    <sheetView tabSelected="1" zoomScale="80" zoomScaleNormal="80" workbookViewId="0">
      <pane ySplit="6" topLeftCell="A7" activePane="bottomLeft" state="frozen"/>
      <selection pane="bottomLeft" activeCell="B15" sqref="B15"/>
    </sheetView>
  </sheetViews>
  <sheetFormatPr defaultColWidth="8.85546875" defaultRowHeight="14.25" x14ac:dyDescent="0.25"/>
  <cols>
    <col min="1" max="1" width="8" style="15" customWidth="1"/>
    <col min="2" max="2" width="70.28515625" style="14" customWidth="1"/>
    <col min="3" max="3" width="21.5703125" style="13" customWidth="1"/>
    <col min="4" max="4" width="19.28515625" style="15" customWidth="1"/>
    <col min="5" max="5" width="54.85546875" style="14" customWidth="1"/>
    <col min="6" max="6" width="12.85546875" style="15" customWidth="1"/>
    <col min="7" max="10" width="8.85546875" style="15" customWidth="1"/>
    <col min="11" max="11" width="11.28515625" style="30" customWidth="1"/>
    <col min="12" max="12" width="32.5703125" style="40" customWidth="1"/>
    <col min="13" max="13" width="18.5703125" style="8" customWidth="1"/>
    <col min="14" max="14" width="8.85546875" style="13"/>
    <col min="15" max="15" width="13" style="13" customWidth="1"/>
    <col min="16" max="16" width="28.7109375" style="13" customWidth="1"/>
    <col min="17" max="16384" width="8.85546875" style="13"/>
  </cols>
  <sheetData>
    <row r="1" spans="1:16" x14ac:dyDescent="0.25">
      <c r="M1" s="13"/>
    </row>
    <row r="2" spans="1:16" ht="57" customHeight="1" x14ac:dyDescent="0.25">
      <c r="A2" s="35"/>
      <c r="B2" s="51"/>
      <c r="C2" s="96" t="s">
        <v>5</v>
      </c>
      <c r="D2" s="97"/>
      <c r="E2" s="97"/>
      <c r="F2" s="97"/>
      <c r="G2" s="97"/>
      <c r="H2" s="97"/>
      <c r="I2" s="97"/>
      <c r="J2" s="97"/>
      <c r="K2" s="98"/>
      <c r="M2" s="14" t="s">
        <v>195</v>
      </c>
      <c r="N2" s="32">
        <f>MAX(K:K)</f>
        <v>492</v>
      </c>
      <c r="P2" s="14"/>
    </row>
    <row r="3" spans="1:16" x14ac:dyDescent="0.25">
      <c r="M3" s="13"/>
    </row>
    <row r="4" spans="1:16" x14ac:dyDescent="0.25">
      <c r="M4" s="13"/>
    </row>
    <row r="5" spans="1:16" x14ac:dyDescent="0.25">
      <c r="M5" s="13"/>
      <c r="O5" s="45"/>
    </row>
    <row r="6" spans="1:16" s="15" customFormat="1" ht="29.25" customHeight="1" x14ac:dyDescent="0.25">
      <c r="A6" s="16" t="s">
        <v>0</v>
      </c>
      <c r="B6" s="16" t="s">
        <v>1</v>
      </c>
      <c r="C6" s="16" t="s">
        <v>2</v>
      </c>
      <c r="D6" s="16" t="s">
        <v>3</v>
      </c>
      <c r="E6" s="16" t="s">
        <v>4</v>
      </c>
      <c r="F6" s="33" t="s">
        <v>22</v>
      </c>
      <c r="G6" s="33" t="s">
        <v>25</v>
      </c>
      <c r="H6" s="33" t="s">
        <v>26</v>
      </c>
      <c r="I6" s="33" t="s">
        <v>27</v>
      </c>
      <c r="J6" s="33" t="s">
        <v>28</v>
      </c>
      <c r="K6" s="34" t="s">
        <v>196</v>
      </c>
      <c r="L6" s="41" t="s">
        <v>372</v>
      </c>
      <c r="M6" s="67" t="s">
        <v>835</v>
      </c>
    </row>
    <row r="7" spans="1:16" x14ac:dyDescent="0.25">
      <c r="A7" s="10">
        <f>IF(B7="","",_xlfn.AGGREGATE(3,5,$B$7:B7))</f>
        <v>1</v>
      </c>
      <c r="B7" s="6" t="s">
        <v>6</v>
      </c>
      <c r="C7" s="8" t="s">
        <v>197</v>
      </c>
      <c r="D7" s="7">
        <v>44627</v>
      </c>
      <c r="E7" s="6" t="s">
        <v>30</v>
      </c>
      <c r="F7" s="10" t="s">
        <v>20</v>
      </c>
      <c r="G7" s="10"/>
      <c r="H7" s="10" t="s">
        <v>23</v>
      </c>
      <c r="I7" s="10"/>
      <c r="J7" s="10"/>
      <c r="K7" s="31">
        <v>370</v>
      </c>
      <c r="L7" s="42"/>
    </row>
    <row r="8" spans="1:16" x14ac:dyDescent="0.25">
      <c r="A8" s="10">
        <f>IF(B8="","",_xlfn.AGGREGATE(3,5,$B$7:B8))</f>
        <v>2</v>
      </c>
      <c r="B8" s="6" t="s">
        <v>44</v>
      </c>
      <c r="C8" s="8" t="s">
        <v>198</v>
      </c>
      <c r="D8" s="7">
        <v>44656</v>
      </c>
      <c r="E8" s="6" t="s">
        <v>14</v>
      </c>
      <c r="F8" s="10" t="s">
        <v>19</v>
      </c>
      <c r="G8" s="10"/>
      <c r="H8" s="10"/>
      <c r="I8" s="10"/>
      <c r="J8" s="10" t="s">
        <v>23</v>
      </c>
      <c r="K8" s="31">
        <v>181</v>
      </c>
      <c r="L8" s="42"/>
    </row>
    <row r="9" spans="1:16" x14ac:dyDescent="0.25">
      <c r="A9" s="10">
        <f>IF(B9="","",_xlfn.AGGREGATE(3,5,$B$7:B9))</f>
        <v>3</v>
      </c>
      <c r="B9" s="17" t="s">
        <v>45</v>
      </c>
      <c r="C9" s="22" t="s">
        <v>199</v>
      </c>
      <c r="D9" s="18">
        <v>44656</v>
      </c>
      <c r="E9" s="6" t="s">
        <v>14</v>
      </c>
      <c r="F9" s="10" t="s">
        <v>19</v>
      </c>
      <c r="G9" s="10"/>
      <c r="H9" s="10"/>
      <c r="I9" s="10"/>
      <c r="J9" s="10" t="s">
        <v>23</v>
      </c>
      <c r="K9" s="31">
        <v>31</v>
      </c>
      <c r="L9" s="42"/>
    </row>
    <row r="10" spans="1:16" x14ac:dyDescent="0.25">
      <c r="A10" s="10">
        <f>IF(B10="","",_xlfn.AGGREGATE(3,5,$B$7:B10))</f>
        <v>4</v>
      </c>
      <c r="B10" s="6" t="s">
        <v>47</v>
      </c>
      <c r="C10" s="8" t="s">
        <v>200</v>
      </c>
      <c r="D10" s="7">
        <v>44750</v>
      </c>
      <c r="E10" s="6" t="s">
        <v>15</v>
      </c>
      <c r="F10" s="10" t="s">
        <v>20</v>
      </c>
      <c r="G10" s="10"/>
      <c r="H10" s="10"/>
      <c r="I10" s="10"/>
      <c r="J10" s="10" t="s">
        <v>24</v>
      </c>
      <c r="K10" s="31">
        <v>88</v>
      </c>
      <c r="L10" s="42"/>
    </row>
    <row r="11" spans="1:16" x14ac:dyDescent="0.25">
      <c r="A11" s="10">
        <f>IF(B11="","",_xlfn.AGGREGATE(3,5,$B$7:B11))</f>
        <v>5</v>
      </c>
      <c r="B11" s="6" t="s">
        <v>46</v>
      </c>
      <c r="C11" s="8" t="s">
        <v>201</v>
      </c>
      <c r="D11" s="7">
        <v>44754</v>
      </c>
      <c r="E11" s="6" t="s">
        <v>16</v>
      </c>
      <c r="F11" s="10" t="s">
        <v>20</v>
      </c>
      <c r="G11" s="10"/>
      <c r="H11" s="10"/>
      <c r="I11" s="10"/>
      <c r="J11" s="10" t="s">
        <v>23</v>
      </c>
      <c r="K11" s="31">
        <v>83</v>
      </c>
      <c r="L11" s="42"/>
    </row>
    <row r="12" spans="1:16" ht="57" x14ac:dyDescent="0.25">
      <c r="A12" s="10">
        <f>IF(B12="","",_xlfn.AGGREGATE(3,5,$B$7:B12))</f>
        <v>6</v>
      </c>
      <c r="B12" s="6" t="s">
        <v>7</v>
      </c>
      <c r="C12" s="6" t="s">
        <v>202</v>
      </c>
      <c r="D12" s="7">
        <v>44765</v>
      </c>
      <c r="E12" s="6" t="s">
        <v>31</v>
      </c>
      <c r="F12" s="10" t="s">
        <v>21</v>
      </c>
      <c r="G12" s="10"/>
      <c r="H12" s="10"/>
      <c r="I12" s="10" t="s">
        <v>24</v>
      </c>
      <c r="J12" s="10"/>
      <c r="K12" s="31">
        <v>371</v>
      </c>
      <c r="L12" s="42"/>
    </row>
    <row r="13" spans="1:16" ht="42.75" x14ac:dyDescent="0.25">
      <c r="A13" s="10">
        <f>IF(B13="","",_xlfn.AGGREGATE(3,5,$B$7:B13))</f>
        <v>7</v>
      </c>
      <c r="B13" s="6" t="s">
        <v>8</v>
      </c>
      <c r="C13" s="6" t="s">
        <v>203</v>
      </c>
      <c r="D13" s="7">
        <v>44765</v>
      </c>
      <c r="E13" s="6" t="s">
        <v>31</v>
      </c>
      <c r="F13" s="10" t="s">
        <v>21</v>
      </c>
      <c r="G13" s="10"/>
      <c r="H13" s="10"/>
      <c r="I13" s="10" t="s">
        <v>24</v>
      </c>
      <c r="J13" s="10"/>
      <c r="K13" s="31">
        <v>372</v>
      </c>
      <c r="L13" s="42"/>
    </row>
    <row r="14" spans="1:16" ht="57" x14ac:dyDescent="0.25">
      <c r="A14" s="10">
        <f>IF(B14="","",_xlfn.AGGREGATE(3,5,$B$7:B14))</f>
        <v>8</v>
      </c>
      <c r="B14" s="6" t="s">
        <v>9</v>
      </c>
      <c r="C14" s="6" t="s">
        <v>204</v>
      </c>
      <c r="D14" s="7">
        <v>44765</v>
      </c>
      <c r="E14" s="6" t="s">
        <v>31</v>
      </c>
      <c r="F14" s="10" t="s">
        <v>21</v>
      </c>
      <c r="G14" s="10"/>
      <c r="H14" s="10"/>
      <c r="I14" s="10" t="s">
        <v>24</v>
      </c>
      <c r="J14" s="10"/>
      <c r="K14" s="31">
        <v>373</v>
      </c>
      <c r="L14" s="42"/>
    </row>
    <row r="15" spans="1:16" ht="57" x14ac:dyDescent="0.25">
      <c r="A15" s="10">
        <f>IF(B15="","",_xlfn.AGGREGATE(3,5,$B$7:B15))</f>
        <v>9</v>
      </c>
      <c r="B15" s="6" t="s">
        <v>10</v>
      </c>
      <c r="C15" s="6" t="s">
        <v>205</v>
      </c>
      <c r="D15" s="19" t="s">
        <v>32</v>
      </c>
      <c r="E15" s="6" t="s">
        <v>31</v>
      </c>
      <c r="F15" s="10" t="s">
        <v>21</v>
      </c>
      <c r="G15" s="10"/>
      <c r="H15" s="10"/>
      <c r="I15" s="10" t="s">
        <v>24</v>
      </c>
      <c r="J15" s="10"/>
      <c r="K15" s="31">
        <v>374</v>
      </c>
      <c r="L15" s="42"/>
    </row>
    <row r="16" spans="1:16" ht="42.75" x14ac:dyDescent="0.25">
      <c r="A16" s="10">
        <f>IF(B16="","",_xlfn.AGGREGATE(3,5,$B$7:B16))</f>
        <v>10</v>
      </c>
      <c r="B16" s="6" t="s">
        <v>11</v>
      </c>
      <c r="C16" s="6" t="s">
        <v>206</v>
      </c>
      <c r="D16" s="7">
        <v>44765</v>
      </c>
      <c r="E16" s="6" t="s">
        <v>31</v>
      </c>
      <c r="F16" s="10" t="s">
        <v>21</v>
      </c>
      <c r="G16" s="10"/>
      <c r="H16" s="10"/>
      <c r="I16" s="10" t="s">
        <v>24</v>
      </c>
      <c r="J16" s="10"/>
      <c r="K16" s="31">
        <v>375</v>
      </c>
      <c r="L16" s="42"/>
    </row>
    <row r="17" spans="1:13" ht="28.15" customHeight="1" x14ac:dyDescent="0.25">
      <c r="A17" s="10">
        <f>IF(B17="","",_xlfn.AGGREGATE(3,5,$B$7:B17))</f>
        <v>11</v>
      </c>
      <c r="B17" s="6" t="s">
        <v>29</v>
      </c>
      <c r="C17" s="8" t="s">
        <v>207</v>
      </c>
      <c r="D17" s="7">
        <v>44769</v>
      </c>
      <c r="E17" s="6" t="s">
        <v>30</v>
      </c>
      <c r="F17" s="10" t="s">
        <v>20</v>
      </c>
      <c r="G17" s="10"/>
      <c r="H17" s="10" t="s">
        <v>24</v>
      </c>
      <c r="I17" s="10"/>
      <c r="J17" s="10"/>
      <c r="K17" s="31">
        <v>376</v>
      </c>
      <c r="L17" s="42"/>
    </row>
    <row r="18" spans="1:13" ht="28.5" x14ac:dyDescent="0.25">
      <c r="A18" s="10">
        <f>IF(B18="","",_xlfn.AGGREGATE(3,5,$B$7:B18))</f>
        <v>12</v>
      </c>
      <c r="B18" s="17" t="s">
        <v>35</v>
      </c>
      <c r="C18" s="20" t="s">
        <v>208</v>
      </c>
      <c r="D18" s="21">
        <v>44785</v>
      </c>
      <c r="E18" s="17" t="s">
        <v>86</v>
      </c>
      <c r="F18" s="27" t="s">
        <v>19</v>
      </c>
      <c r="G18" s="27"/>
      <c r="H18" s="27"/>
      <c r="I18" s="27"/>
      <c r="J18" s="29" t="s">
        <v>23</v>
      </c>
      <c r="K18" s="31">
        <v>63</v>
      </c>
      <c r="L18" s="42"/>
    </row>
    <row r="19" spans="1:13" ht="42.75" x14ac:dyDescent="0.25">
      <c r="A19" s="10">
        <f>IF(B19="","",_xlfn.AGGREGATE(3,5,$B$7:B19))</f>
        <v>13</v>
      </c>
      <c r="B19" s="6" t="s">
        <v>12</v>
      </c>
      <c r="C19" s="8" t="s">
        <v>209</v>
      </c>
      <c r="D19" s="7">
        <v>44795</v>
      </c>
      <c r="E19" s="6" t="s">
        <v>17</v>
      </c>
      <c r="F19" s="10" t="s">
        <v>20</v>
      </c>
      <c r="G19" s="10"/>
      <c r="H19" s="10"/>
      <c r="I19" s="10" t="s">
        <v>23</v>
      </c>
      <c r="J19" s="10"/>
      <c r="K19" s="31">
        <v>377</v>
      </c>
      <c r="L19" s="42"/>
    </row>
    <row r="20" spans="1:13" ht="42.75" x14ac:dyDescent="0.25">
      <c r="A20" s="10">
        <f>IF(B20="","",_xlfn.AGGREGATE(3,5,$B$7:B20))</f>
        <v>14</v>
      </c>
      <c r="B20" s="6" t="s">
        <v>13</v>
      </c>
      <c r="C20" s="8" t="s">
        <v>210</v>
      </c>
      <c r="D20" s="7">
        <v>44796</v>
      </c>
      <c r="E20" s="6" t="s">
        <v>18</v>
      </c>
      <c r="F20" s="10" t="s">
        <v>20</v>
      </c>
      <c r="G20" s="10"/>
      <c r="H20" s="10"/>
      <c r="I20" s="10" t="s">
        <v>23</v>
      </c>
      <c r="J20" s="10"/>
      <c r="K20" s="31">
        <v>378</v>
      </c>
      <c r="L20" s="42"/>
    </row>
    <row r="21" spans="1:13" ht="28.5" x14ac:dyDescent="0.25">
      <c r="A21" s="10">
        <f>IF(B21="","",_xlfn.AGGREGATE(3,5,$B$7:B21))</f>
        <v>15</v>
      </c>
      <c r="B21" s="6" t="s">
        <v>49</v>
      </c>
      <c r="C21" s="8" t="s">
        <v>211</v>
      </c>
      <c r="D21" s="7">
        <v>44875</v>
      </c>
      <c r="E21" s="6" t="s">
        <v>48</v>
      </c>
      <c r="F21" s="10" t="s">
        <v>34</v>
      </c>
      <c r="G21" s="10"/>
      <c r="H21" s="10"/>
      <c r="I21" s="10" t="s">
        <v>23</v>
      </c>
      <c r="J21" s="10"/>
      <c r="K21" s="31">
        <v>44</v>
      </c>
      <c r="L21" s="43"/>
    </row>
    <row r="22" spans="1:13" ht="28.5" x14ac:dyDescent="0.25">
      <c r="A22" s="10">
        <f>IF(B22="","",_xlfn.AGGREGATE(3,5,$B$7:B22))</f>
        <v>16</v>
      </c>
      <c r="B22" s="6" t="s">
        <v>50</v>
      </c>
      <c r="C22" s="8" t="s">
        <v>212</v>
      </c>
      <c r="D22" s="7">
        <v>44875</v>
      </c>
      <c r="E22" s="6" t="s">
        <v>48</v>
      </c>
      <c r="F22" s="10" t="s">
        <v>34</v>
      </c>
      <c r="G22" s="10"/>
      <c r="H22" s="10"/>
      <c r="I22" s="10" t="s">
        <v>23</v>
      </c>
      <c r="J22" s="10"/>
      <c r="K22" s="31">
        <v>110</v>
      </c>
      <c r="L22" s="43"/>
    </row>
    <row r="23" spans="1:13" ht="31.9" customHeight="1" x14ac:dyDescent="0.25">
      <c r="A23" s="10">
        <f>IF(B23="","",_xlfn.AGGREGATE(3,5,$B$7:B23))</f>
        <v>17</v>
      </c>
      <c r="B23" s="6" t="s">
        <v>6</v>
      </c>
      <c r="C23" s="8" t="s">
        <v>213</v>
      </c>
      <c r="D23" s="37">
        <v>45084</v>
      </c>
      <c r="E23" s="6" t="s">
        <v>51</v>
      </c>
      <c r="F23" s="10" t="s">
        <v>20</v>
      </c>
      <c r="G23" s="10"/>
      <c r="H23" s="10" t="s">
        <v>23</v>
      </c>
      <c r="I23" s="10"/>
      <c r="J23" s="10"/>
      <c r="K23" s="31">
        <v>370</v>
      </c>
      <c r="L23" s="43"/>
    </row>
    <row r="24" spans="1:13" ht="15.75" x14ac:dyDescent="0.25">
      <c r="A24" s="10">
        <f>IF(B24="","",_xlfn.AGGREGATE(3,5,$B$7:B24))</f>
        <v>18</v>
      </c>
      <c r="B24" s="6" t="s">
        <v>81</v>
      </c>
      <c r="C24" s="22" t="s">
        <v>214</v>
      </c>
      <c r="D24" s="5" t="s">
        <v>52</v>
      </c>
      <c r="E24" s="6" t="s">
        <v>53</v>
      </c>
      <c r="F24" s="10" t="s">
        <v>20</v>
      </c>
      <c r="G24" s="10"/>
      <c r="H24" s="10"/>
      <c r="I24" s="10" t="s">
        <v>24</v>
      </c>
      <c r="J24" s="28"/>
      <c r="K24" s="31">
        <v>379</v>
      </c>
      <c r="L24" s="42"/>
    </row>
    <row r="25" spans="1:13" x14ac:dyDescent="0.25">
      <c r="A25" s="10">
        <f>IF(B25="","",_xlfn.AGGREGATE(3,5,$B$7:B25))</f>
        <v>19</v>
      </c>
      <c r="B25" s="6" t="s">
        <v>54</v>
      </c>
      <c r="C25" s="8" t="s">
        <v>215</v>
      </c>
      <c r="D25" s="18">
        <v>44846</v>
      </c>
      <c r="E25" s="6" t="s">
        <v>30</v>
      </c>
      <c r="F25" s="28" t="s">
        <v>39</v>
      </c>
      <c r="G25" s="10" t="s">
        <v>24</v>
      </c>
      <c r="H25" s="10"/>
      <c r="I25" s="10"/>
      <c r="J25" s="10"/>
      <c r="K25" s="31">
        <v>380</v>
      </c>
      <c r="L25" s="43"/>
    </row>
    <row r="26" spans="1:13" x14ac:dyDescent="0.25">
      <c r="A26" s="10">
        <f>IF(B26="","",_xlfn.AGGREGATE(3,5,$B$7:B26))</f>
        <v>20</v>
      </c>
      <c r="B26" s="6" t="s">
        <v>55</v>
      </c>
      <c r="C26" s="8" t="s">
        <v>216</v>
      </c>
      <c r="D26" s="7">
        <v>44944</v>
      </c>
      <c r="E26" s="6" t="s">
        <v>30</v>
      </c>
      <c r="F26" s="10" t="s">
        <v>20</v>
      </c>
      <c r="G26" s="10" t="s">
        <v>24</v>
      </c>
      <c r="H26" s="10"/>
      <c r="I26" s="10"/>
      <c r="J26" s="10"/>
      <c r="K26" s="31">
        <v>381</v>
      </c>
      <c r="L26" s="42"/>
    </row>
    <row r="27" spans="1:13" s="23" customFormat="1" x14ac:dyDescent="0.25">
      <c r="A27" s="10">
        <f>IF(B27="","",_xlfn.AGGREGATE(3,5,$B$7:B27))</f>
        <v>21</v>
      </c>
      <c r="B27" s="46" t="s">
        <v>56</v>
      </c>
      <c r="C27" s="36" t="s">
        <v>217</v>
      </c>
      <c r="D27" s="37"/>
      <c r="E27" s="46" t="s">
        <v>30</v>
      </c>
      <c r="F27" s="38" t="s">
        <v>20</v>
      </c>
      <c r="G27" s="38" t="s">
        <v>24</v>
      </c>
      <c r="H27" s="38"/>
      <c r="I27" s="38"/>
      <c r="J27" s="38"/>
      <c r="K27" s="39">
        <v>382</v>
      </c>
      <c r="L27" s="44"/>
      <c r="M27" s="36"/>
    </row>
    <row r="28" spans="1:13" ht="99.75" x14ac:dyDescent="0.25">
      <c r="A28" s="10">
        <f>IF(B28="","",_xlfn.AGGREGATE(3,5,$B$7:B28))</f>
        <v>22</v>
      </c>
      <c r="B28" s="6" t="s">
        <v>57</v>
      </c>
      <c r="C28" s="8" t="s">
        <v>218</v>
      </c>
      <c r="D28" s="7">
        <v>44873</v>
      </c>
      <c r="E28" s="6" t="s">
        <v>59</v>
      </c>
      <c r="F28" s="10" t="s">
        <v>20</v>
      </c>
      <c r="G28" s="10"/>
      <c r="H28" s="10"/>
      <c r="I28" s="10"/>
      <c r="J28" s="10" t="s">
        <v>24</v>
      </c>
      <c r="K28" s="31">
        <v>94</v>
      </c>
      <c r="L28" s="42"/>
    </row>
    <row r="29" spans="1:13" ht="99.75" x14ac:dyDescent="0.25">
      <c r="A29" s="10">
        <f>IF(B29="","",_xlfn.AGGREGATE(3,5,$B$7:B29))</f>
        <v>23</v>
      </c>
      <c r="B29" s="6" t="s">
        <v>58</v>
      </c>
      <c r="C29" s="8" t="s">
        <v>219</v>
      </c>
      <c r="D29" s="7">
        <v>44873</v>
      </c>
      <c r="E29" s="6" t="s">
        <v>59</v>
      </c>
      <c r="F29" s="10" t="s">
        <v>20</v>
      </c>
      <c r="G29" s="10"/>
      <c r="H29" s="10"/>
      <c r="I29" s="10"/>
      <c r="J29" s="10" t="s">
        <v>24</v>
      </c>
      <c r="K29" s="31">
        <v>359</v>
      </c>
      <c r="L29" s="42"/>
    </row>
    <row r="30" spans="1:13" ht="114" x14ac:dyDescent="0.25">
      <c r="A30" s="10">
        <f>IF(B30="","",_xlfn.AGGREGATE(3,5,$B$7:B30))</f>
        <v>24</v>
      </c>
      <c r="B30" s="6" t="s">
        <v>60</v>
      </c>
      <c r="C30" s="8" t="s">
        <v>220</v>
      </c>
      <c r="D30" s="7">
        <v>44873</v>
      </c>
      <c r="E30" s="24" t="s">
        <v>80</v>
      </c>
      <c r="F30" s="10" t="s">
        <v>20</v>
      </c>
      <c r="G30" s="10"/>
      <c r="H30" s="10"/>
      <c r="I30" s="10"/>
      <c r="J30" s="10" t="s">
        <v>24</v>
      </c>
      <c r="K30" s="31">
        <v>383</v>
      </c>
      <c r="L30" s="42"/>
    </row>
    <row r="31" spans="1:13" ht="71.25" x14ac:dyDescent="0.25">
      <c r="A31" s="10">
        <f>IF(B31="","",_xlfn.AGGREGATE(3,5,$B$7:B31))</f>
        <v>25</v>
      </c>
      <c r="B31" s="6" t="s">
        <v>641</v>
      </c>
      <c r="C31" s="8" t="s">
        <v>221</v>
      </c>
      <c r="D31" s="7">
        <v>44873</v>
      </c>
      <c r="E31" s="6" t="s">
        <v>61</v>
      </c>
      <c r="F31" s="10" t="s">
        <v>20</v>
      </c>
      <c r="G31" s="10"/>
      <c r="H31" s="10"/>
      <c r="I31" s="10"/>
      <c r="J31" s="10" t="s">
        <v>24</v>
      </c>
      <c r="K31" s="31">
        <v>304</v>
      </c>
      <c r="L31" s="42"/>
    </row>
    <row r="32" spans="1:13" ht="71.25" x14ac:dyDescent="0.25">
      <c r="A32" s="10">
        <f>IF(B32="","",_xlfn.AGGREGATE(3,5,$B$7:B32))</f>
        <v>26</v>
      </c>
      <c r="B32" s="6" t="s">
        <v>62</v>
      </c>
      <c r="C32" s="8" t="s">
        <v>222</v>
      </c>
      <c r="D32" s="7">
        <v>44873</v>
      </c>
      <c r="E32" s="6" t="s">
        <v>61</v>
      </c>
      <c r="F32" s="10" t="s">
        <v>20</v>
      </c>
      <c r="G32" s="10"/>
      <c r="H32" s="10"/>
      <c r="I32" s="10"/>
      <c r="J32" s="10" t="s">
        <v>24</v>
      </c>
      <c r="K32" s="31">
        <v>360</v>
      </c>
      <c r="L32" s="42"/>
    </row>
    <row r="33" spans="1:12" ht="71.25" x14ac:dyDescent="0.25">
      <c r="A33" s="10">
        <f>IF(B33="","",_xlfn.AGGREGATE(3,5,$B$7:B33))</f>
        <v>27</v>
      </c>
      <c r="B33" s="6" t="s">
        <v>63</v>
      </c>
      <c r="C33" s="8" t="s">
        <v>223</v>
      </c>
      <c r="D33" s="7">
        <v>44873</v>
      </c>
      <c r="E33" s="6" t="s">
        <v>61</v>
      </c>
      <c r="F33" s="10" t="s">
        <v>20</v>
      </c>
      <c r="G33" s="10"/>
      <c r="H33" s="10"/>
      <c r="I33" s="10"/>
      <c r="J33" s="10" t="s">
        <v>24</v>
      </c>
      <c r="K33" s="31">
        <v>361</v>
      </c>
      <c r="L33" s="42"/>
    </row>
    <row r="34" spans="1:12" ht="85.5" x14ac:dyDescent="0.25">
      <c r="A34" s="10">
        <f>IF(B34="","",_xlfn.AGGREGATE(3,5,$B$7:B34))</f>
        <v>28</v>
      </c>
      <c r="B34" s="6" t="s">
        <v>64</v>
      </c>
      <c r="C34" s="24" t="s">
        <v>224</v>
      </c>
      <c r="D34" s="7">
        <v>44873</v>
      </c>
      <c r="E34" s="24" t="s">
        <v>65</v>
      </c>
      <c r="F34" s="10" t="s">
        <v>20</v>
      </c>
      <c r="G34" s="10"/>
      <c r="H34" s="10"/>
      <c r="I34" s="10"/>
      <c r="J34" s="10" t="s">
        <v>24</v>
      </c>
      <c r="K34" s="31">
        <v>299</v>
      </c>
      <c r="L34" s="42"/>
    </row>
    <row r="35" spans="1:12" ht="71.25" x14ac:dyDescent="0.25">
      <c r="A35" s="10">
        <f>IF(B35="","",_xlfn.AGGREGATE(3,5,$B$7:B35))</f>
        <v>29</v>
      </c>
      <c r="B35" s="17" t="s">
        <v>66</v>
      </c>
      <c r="C35" s="20" t="s">
        <v>225</v>
      </c>
      <c r="D35" s="7">
        <v>44873</v>
      </c>
      <c r="E35" s="6" t="s">
        <v>61</v>
      </c>
      <c r="F35" s="10" t="s">
        <v>20</v>
      </c>
      <c r="G35" s="10"/>
      <c r="H35" s="10"/>
      <c r="I35" s="10"/>
      <c r="J35" s="10" t="s">
        <v>24</v>
      </c>
      <c r="K35" s="31">
        <v>274</v>
      </c>
      <c r="L35" s="42"/>
    </row>
    <row r="36" spans="1:12" ht="71.25" x14ac:dyDescent="0.25">
      <c r="A36" s="10">
        <f>IF(B36="","",_xlfn.AGGREGATE(3,5,$B$7:B36))</f>
        <v>30</v>
      </c>
      <c r="B36" s="6" t="s">
        <v>67</v>
      </c>
      <c r="C36" s="8" t="s">
        <v>226</v>
      </c>
      <c r="D36" s="7">
        <v>44873</v>
      </c>
      <c r="E36" s="6" t="s">
        <v>61</v>
      </c>
      <c r="F36" s="10" t="s">
        <v>20</v>
      </c>
      <c r="G36" s="10"/>
      <c r="H36" s="10"/>
      <c r="I36" s="10"/>
      <c r="J36" s="10" t="s">
        <v>24</v>
      </c>
      <c r="K36" s="31">
        <v>168</v>
      </c>
      <c r="L36" s="42"/>
    </row>
    <row r="37" spans="1:12" ht="71.25" x14ac:dyDescent="0.25">
      <c r="A37" s="10">
        <f>IF(B37="","",_xlfn.AGGREGATE(3,5,$B$7:B37))</f>
        <v>31</v>
      </c>
      <c r="B37" s="6" t="s">
        <v>68</v>
      </c>
      <c r="C37" s="22" t="s">
        <v>227</v>
      </c>
      <c r="D37" s="7">
        <v>44873</v>
      </c>
      <c r="E37" s="6" t="s">
        <v>61</v>
      </c>
      <c r="F37" s="10" t="s">
        <v>20</v>
      </c>
      <c r="G37" s="10"/>
      <c r="H37" s="10"/>
      <c r="I37" s="10"/>
      <c r="J37" s="10" t="s">
        <v>24</v>
      </c>
      <c r="K37" s="31">
        <v>221</v>
      </c>
      <c r="L37" s="42"/>
    </row>
    <row r="38" spans="1:12" ht="99.75" x14ac:dyDescent="0.25">
      <c r="A38" s="10">
        <f>IF(B38="","",_xlfn.AGGREGATE(3,5,$B$7:B38))</f>
        <v>32</v>
      </c>
      <c r="B38" s="6" t="s">
        <v>69</v>
      </c>
      <c r="C38" s="6" t="s">
        <v>228</v>
      </c>
      <c r="D38" s="7">
        <v>44873</v>
      </c>
      <c r="E38" s="6" t="s">
        <v>59</v>
      </c>
      <c r="F38" s="10" t="s">
        <v>20</v>
      </c>
      <c r="G38" s="10"/>
      <c r="H38" s="10"/>
      <c r="I38" s="10"/>
      <c r="J38" s="10" t="s">
        <v>24</v>
      </c>
      <c r="K38" s="31">
        <v>294</v>
      </c>
      <c r="L38" s="42"/>
    </row>
    <row r="39" spans="1:12" ht="71.25" x14ac:dyDescent="0.25">
      <c r="A39" s="10">
        <f>IF(B39="","",_xlfn.AGGREGATE(3,5,$B$7:B39))</f>
        <v>33</v>
      </c>
      <c r="B39" s="6" t="s">
        <v>70</v>
      </c>
      <c r="C39" s="8" t="s">
        <v>229</v>
      </c>
      <c r="D39" s="7">
        <v>44873</v>
      </c>
      <c r="E39" s="6" t="s">
        <v>61</v>
      </c>
      <c r="F39" s="10" t="s">
        <v>20</v>
      </c>
      <c r="G39" s="10"/>
      <c r="H39" s="10"/>
      <c r="I39" s="10"/>
      <c r="J39" s="10" t="s">
        <v>24</v>
      </c>
      <c r="K39" s="31">
        <v>255</v>
      </c>
      <c r="L39" s="42"/>
    </row>
    <row r="40" spans="1:12" ht="99.75" x14ac:dyDescent="0.25">
      <c r="A40" s="10">
        <f>IF(B40="","",_xlfn.AGGREGATE(3,5,$B$7:B40))</f>
        <v>34</v>
      </c>
      <c r="B40" s="6" t="s">
        <v>71</v>
      </c>
      <c r="C40" s="8" t="s">
        <v>230</v>
      </c>
      <c r="D40" s="7">
        <v>44873</v>
      </c>
      <c r="E40" s="24" t="s">
        <v>72</v>
      </c>
      <c r="F40" s="10" t="s">
        <v>20</v>
      </c>
      <c r="G40" s="10"/>
      <c r="H40" s="10"/>
      <c r="I40" s="10"/>
      <c r="J40" s="10" t="s">
        <v>24</v>
      </c>
      <c r="K40" s="31">
        <v>112</v>
      </c>
      <c r="L40" s="42"/>
    </row>
    <row r="41" spans="1:12" ht="99.75" x14ac:dyDescent="0.25">
      <c r="A41" s="10">
        <f>IF(B41="","",_xlfn.AGGREGATE(3,5,$B$7:B41))</f>
        <v>35</v>
      </c>
      <c r="B41" s="6" t="s">
        <v>73</v>
      </c>
      <c r="C41" s="8" t="s">
        <v>231</v>
      </c>
      <c r="D41" s="7">
        <v>44873</v>
      </c>
      <c r="E41" s="24" t="s">
        <v>72</v>
      </c>
      <c r="F41" s="10" t="s">
        <v>20</v>
      </c>
      <c r="G41" s="10"/>
      <c r="H41" s="10"/>
      <c r="I41" s="10"/>
      <c r="J41" s="10" t="s">
        <v>24</v>
      </c>
      <c r="K41" s="31">
        <v>180</v>
      </c>
      <c r="L41" s="42"/>
    </row>
    <row r="42" spans="1:12" ht="99.75" x14ac:dyDescent="0.25">
      <c r="A42" s="10">
        <f>IF(B42="","",_xlfn.AGGREGATE(3,5,$B$7:B42))</f>
        <v>36</v>
      </c>
      <c r="B42" s="6" t="s">
        <v>74</v>
      </c>
      <c r="C42" s="8" t="s">
        <v>232</v>
      </c>
      <c r="D42" s="7">
        <v>44873</v>
      </c>
      <c r="E42" s="24" t="s">
        <v>72</v>
      </c>
      <c r="F42" s="10" t="s">
        <v>20</v>
      </c>
      <c r="G42" s="10"/>
      <c r="H42" s="10"/>
      <c r="I42" s="10"/>
      <c r="J42" s="10" t="s">
        <v>24</v>
      </c>
      <c r="K42" s="31">
        <v>191</v>
      </c>
      <c r="L42" s="42"/>
    </row>
    <row r="43" spans="1:12" ht="85.5" x14ac:dyDescent="0.25">
      <c r="A43" s="10">
        <f>IF(B43="","",_xlfn.AGGREGATE(3,5,$B$7:B43))</f>
        <v>37</v>
      </c>
      <c r="B43" s="6" t="s">
        <v>75</v>
      </c>
      <c r="C43" s="8" t="s">
        <v>233</v>
      </c>
      <c r="D43" s="7">
        <v>44873</v>
      </c>
      <c r="E43" s="24" t="s">
        <v>77</v>
      </c>
      <c r="F43" s="10" t="s">
        <v>20</v>
      </c>
      <c r="G43" s="10"/>
      <c r="H43" s="10"/>
      <c r="I43" s="10"/>
      <c r="J43" s="10" t="s">
        <v>24</v>
      </c>
      <c r="K43" s="31">
        <v>95</v>
      </c>
      <c r="L43" s="42"/>
    </row>
    <row r="44" spans="1:12" ht="85.5" x14ac:dyDescent="0.25">
      <c r="A44" s="10">
        <f>IF(B44="","",_xlfn.AGGREGATE(3,5,$B$7:B44))</f>
        <v>38</v>
      </c>
      <c r="B44" s="6" t="s">
        <v>76</v>
      </c>
      <c r="C44" s="22" t="s">
        <v>234</v>
      </c>
      <c r="D44" s="7">
        <v>44873</v>
      </c>
      <c r="E44" s="24" t="s">
        <v>77</v>
      </c>
      <c r="F44" s="10" t="s">
        <v>20</v>
      </c>
      <c r="G44" s="10"/>
      <c r="H44" s="10"/>
      <c r="I44" s="10"/>
      <c r="J44" s="10" t="s">
        <v>24</v>
      </c>
      <c r="K44" s="31">
        <v>229</v>
      </c>
      <c r="L44" s="42"/>
    </row>
    <row r="45" spans="1:12" ht="35.450000000000003" customHeight="1" x14ac:dyDescent="0.25">
      <c r="A45" s="10">
        <f>IF(B45="","",_xlfn.AGGREGATE(3,5,$B$7:B45))</f>
        <v>39</v>
      </c>
      <c r="B45" s="6" t="s">
        <v>78</v>
      </c>
      <c r="C45" s="8" t="s">
        <v>235</v>
      </c>
      <c r="D45" s="7">
        <v>44873</v>
      </c>
      <c r="E45" s="6" t="s">
        <v>79</v>
      </c>
      <c r="F45" s="10" t="s">
        <v>20</v>
      </c>
      <c r="G45" s="10"/>
      <c r="H45" s="10"/>
      <c r="I45" s="10"/>
      <c r="J45" s="10"/>
      <c r="K45" s="31">
        <v>384</v>
      </c>
      <c r="L45" s="42"/>
    </row>
    <row r="46" spans="1:12" ht="22.15" customHeight="1" x14ac:dyDescent="0.25">
      <c r="A46" s="10">
        <f>IF(B46="","",_xlfn.AGGREGATE(3,5,$B$7:B46))</f>
        <v>40</v>
      </c>
      <c r="B46" s="17" t="s">
        <v>82</v>
      </c>
      <c r="C46" s="8" t="s">
        <v>236</v>
      </c>
      <c r="D46" s="7">
        <v>44897</v>
      </c>
      <c r="E46" s="6" t="s">
        <v>14</v>
      </c>
      <c r="F46" s="10" t="s">
        <v>20</v>
      </c>
      <c r="G46" s="10"/>
      <c r="H46" s="10"/>
      <c r="I46" s="10"/>
      <c r="J46" s="10" t="s">
        <v>24</v>
      </c>
      <c r="K46" s="31">
        <v>270</v>
      </c>
      <c r="L46" s="42"/>
    </row>
    <row r="47" spans="1:12" ht="56.45" customHeight="1" x14ac:dyDescent="0.25">
      <c r="A47" s="10">
        <f>IF(B47="","",_xlfn.AGGREGATE(3,5,$B$7:B47))</f>
        <v>41</v>
      </c>
      <c r="B47" s="6" t="s">
        <v>83</v>
      </c>
      <c r="C47" s="6" t="s">
        <v>237</v>
      </c>
      <c r="D47" s="7">
        <v>44901</v>
      </c>
      <c r="E47" s="6" t="s">
        <v>31</v>
      </c>
      <c r="F47" s="10" t="s">
        <v>21</v>
      </c>
      <c r="G47" s="10"/>
      <c r="H47" s="10"/>
      <c r="I47" s="10" t="s">
        <v>23</v>
      </c>
      <c r="J47" s="10"/>
      <c r="K47" s="31">
        <v>385</v>
      </c>
      <c r="L47" s="42"/>
    </row>
    <row r="48" spans="1:12" ht="25.15" customHeight="1" x14ac:dyDescent="0.25">
      <c r="A48" s="10">
        <f>IF(B48="","",_xlfn.AGGREGATE(3,5,$B$7:B48))</f>
        <v>42</v>
      </c>
      <c r="B48" s="6" t="s">
        <v>84</v>
      </c>
      <c r="C48" s="8" t="s">
        <v>238</v>
      </c>
      <c r="D48" s="7">
        <v>44914</v>
      </c>
      <c r="E48" s="6" t="s">
        <v>30</v>
      </c>
      <c r="F48" s="10" t="s">
        <v>20</v>
      </c>
      <c r="G48" s="10"/>
      <c r="H48" s="10"/>
      <c r="I48" s="10"/>
      <c r="J48" s="10" t="s">
        <v>24</v>
      </c>
      <c r="K48" s="31">
        <v>386</v>
      </c>
      <c r="L48" s="42"/>
    </row>
    <row r="49" spans="1:12" x14ac:dyDescent="0.25">
      <c r="A49" s="10">
        <f>IF(B49="","",_xlfn.AGGREGATE(3,5,$B$7:B49))</f>
        <v>43</v>
      </c>
      <c r="B49" s="6" t="s">
        <v>49</v>
      </c>
      <c r="C49" s="8" t="s">
        <v>239</v>
      </c>
      <c r="D49" s="7">
        <v>44939</v>
      </c>
      <c r="E49" s="6" t="s">
        <v>85</v>
      </c>
      <c r="F49" s="10" t="s">
        <v>34</v>
      </c>
      <c r="G49" s="10"/>
      <c r="H49" s="10"/>
      <c r="I49" s="10" t="s">
        <v>23</v>
      </c>
      <c r="J49" s="10"/>
      <c r="K49" s="31">
        <v>44</v>
      </c>
      <c r="L49" s="42"/>
    </row>
    <row r="50" spans="1:12" x14ac:dyDescent="0.25">
      <c r="A50" s="10">
        <f>IF(B50="","",_xlfn.AGGREGATE(3,5,$B$7:B50))</f>
        <v>44</v>
      </c>
      <c r="B50" s="6" t="s">
        <v>50</v>
      </c>
      <c r="C50" s="8" t="s">
        <v>240</v>
      </c>
      <c r="D50" s="7">
        <v>44939</v>
      </c>
      <c r="E50" s="6" t="s">
        <v>85</v>
      </c>
      <c r="F50" s="10" t="s">
        <v>34</v>
      </c>
      <c r="G50" s="10"/>
      <c r="H50" s="10"/>
      <c r="I50" s="10" t="s">
        <v>23</v>
      </c>
      <c r="J50" s="10"/>
      <c r="K50" s="31">
        <v>110</v>
      </c>
      <c r="L50" s="42"/>
    </row>
    <row r="51" spans="1:12" ht="57.6" customHeight="1" x14ac:dyDescent="0.25">
      <c r="A51" s="10">
        <f>IF(B51="","",_xlfn.AGGREGATE(3,5,$B$7:B51))</f>
        <v>45</v>
      </c>
      <c r="B51" s="6" t="s">
        <v>88</v>
      </c>
      <c r="C51" s="22" t="s">
        <v>241</v>
      </c>
      <c r="D51" s="5">
        <v>44977</v>
      </c>
      <c r="E51" s="6" t="s">
        <v>89</v>
      </c>
      <c r="F51" s="10" t="s">
        <v>87</v>
      </c>
      <c r="G51" s="10"/>
      <c r="H51" s="10" t="s">
        <v>23</v>
      </c>
      <c r="I51" s="10"/>
      <c r="J51" s="28"/>
      <c r="K51" s="31">
        <v>1</v>
      </c>
      <c r="L51" s="42"/>
    </row>
    <row r="52" spans="1:12" ht="99.75" x14ac:dyDescent="0.25">
      <c r="A52" s="10">
        <f>IF(B52="","",_xlfn.AGGREGATE(3,5,$B$7:B52))</f>
        <v>46</v>
      </c>
      <c r="B52" s="6" t="s">
        <v>90</v>
      </c>
      <c r="C52" s="22" t="s">
        <v>242</v>
      </c>
      <c r="D52" s="7">
        <v>44987</v>
      </c>
      <c r="E52" s="6" t="s">
        <v>91</v>
      </c>
      <c r="F52" s="10" t="s">
        <v>87</v>
      </c>
      <c r="G52" s="10"/>
      <c r="H52" s="10" t="s">
        <v>24</v>
      </c>
      <c r="I52" s="10"/>
      <c r="J52" s="10"/>
      <c r="K52" s="31">
        <v>10</v>
      </c>
      <c r="L52" s="42"/>
    </row>
    <row r="53" spans="1:12" ht="71.25" x14ac:dyDescent="0.25">
      <c r="A53" s="10">
        <f>IF(B53="","",_xlfn.AGGREGATE(3,5,$B$7:B53))</f>
        <v>47</v>
      </c>
      <c r="B53" s="6" t="s">
        <v>92</v>
      </c>
      <c r="C53" s="22" t="s">
        <v>243</v>
      </c>
      <c r="D53" s="7">
        <v>44987</v>
      </c>
      <c r="E53" s="6" t="s">
        <v>93</v>
      </c>
      <c r="F53" s="10" t="s">
        <v>87</v>
      </c>
      <c r="G53" s="10"/>
      <c r="H53" s="10" t="s">
        <v>24</v>
      </c>
      <c r="I53" s="10"/>
      <c r="J53" s="10"/>
      <c r="K53" s="31">
        <v>11</v>
      </c>
      <c r="L53" s="42"/>
    </row>
    <row r="54" spans="1:12" ht="99.75" x14ac:dyDescent="0.25">
      <c r="A54" s="10">
        <f>IF(B54="","",_xlfn.AGGREGATE(3,5,$B$7:B54))</f>
        <v>48</v>
      </c>
      <c r="B54" s="6" t="s">
        <v>94</v>
      </c>
      <c r="C54" s="22" t="s">
        <v>244</v>
      </c>
      <c r="D54" s="7">
        <v>44987</v>
      </c>
      <c r="E54" s="6" t="s">
        <v>91</v>
      </c>
      <c r="F54" s="10" t="s">
        <v>87</v>
      </c>
      <c r="G54" s="10"/>
      <c r="H54" s="10" t="s">
        <v>24</v>
      </c>
      <c r="I54" s="10"/>
      <c r="J54" s="10"/>
      <c r="K54" s="31">
        <v>4</v>
      </c>
      <c r="L54" s="42"/>
    </row>
    <row r="55" spans="1:12" ht="71.25" x14ac:dyDescent="0.25">
      <c r="A55" s="10">
        <f>IF(B55="","",_xlfn.AGGREGATE(3,5,$B$7:B55))</f>
        <v>49</v>
      </c>
      <c r="B55" s="6" t="s">
        <v>95</v>
      </c>
      <c r="C55" s="22" t="s">
        <v>245</v>
      </c>
      <c r="D55" s="7">
        <v>44987</v>
      </c>
      <c r="E55" s="6" t="s">
        <v>93</v>
      </c>
      <c r="F55" s="10" t="s">
        <v>87</v>
      </c>
      <c r="G55" s="10"/>
      <c r="H55" s="10" t="s">
        <v>24</v>
      </c>
      <c r="I55" s="10"/>
      <c r="J55" s="10"/>
      <c r="K55" s="31">
        <v>3</v>
      </c>
      <c r="L55" s="42"/>
    </row>
    <row r="56" spans="1:12" ht="71.25" x14ac:dyDescent="0.25">
      <c r="A56" s="10">
        <f>IF(B56="","",_xlfn.AGGREGATE(3,5,$B$7:B56))</f>
        <v>50</v>
      </c>
      <c r="B56" s="6" t="s">
        <v>96</v>
      </c>
      <c r="C56" s="22" t="s">
        <v>246</v>
      </c>
      <c r="D56" s="7">
        <v>44988</v>
      </c>
      <c r="E56" s="6" t="s">
        <v>93</v>
      </c>
      <c r="F56" s="10" t="s">
        <v>87</v>
      </c>
      <c r="G56" s="10"/>
      <c r="H56" s="10" t="s">
        <v>24</v>
      </c>
      <c r="I56" s="10"/>
      <c r="J56" s="10"/>
      <c r="K56" s="31">
        <v>13</v>
      </c>
      <c r="L56" s="42"/>
    </row>
    <row r="57" spans="1:12" ht="71.25" x14ac:dyDescent="0.25">
      <c r="A57" s="10">
        <f>IF(B57="","",_xlfn.AGGREGATE(3,5,$B$7:B57))</f>
        <v>51</v>
      </c>
      <c r="B57" s="17" t="s">
        <v>375</v>
      </c>
      <c r="C57" s="20" t="s">
        <v>247</v>
      </c>
      <c r="D57" s="7">
        <v>44988</v>
      </c>
      <c r="E57" s="6" t="s">
        <v>93</v>
      </c>
      <c r="F57" s="10" t="s">
        <v>87</v>
      </c>
      <c r="G57" s="10"/>
      <c r="H57" s="10" t="s">
        <v>23</v>
      </c>
      <c r="I57" s="10"/>
      <c r="J57" s="10"/>
      <c r="K57" s="31">
        <v>271</v>
      </c>
      <c r="L57" s="42"/>
    </row>
    <row r="58" spans="1:12" ht="85.5" x14ac:dyDescent="0.25">
      <c r="A58" s="10">
        <f>IF(B58="","",_xlfn.AGGREGATE(3,5,$B$7:B58))</f>
        <v>52</v>
      </c>
      <c r="B58" s="6" t="s">
        <v>108</v>
      </c>
      <c r="C58" s="22" t="s">
        <v>248</v>
      </c>
      <c r="D58" s="5">
        <v>44988</v>
      </c>
      <c r="E58" s="6" t="s">
        <v>97</v>
      </c>
      <c r="F58" s="10" t="s">
        <v>87</v>
      </c>
      <c r="G58" s="10"/>
      <c r="H58" s="10" t="s">
        <v>23</v>
      </c>
      <c r="I58" s="10"/>
      <c r="J58" s="10"/>
      <c r="K58" s="31">
        <v>14</v>
      </c>
      <c r="L58" s="42"/>
    </row>
    <row r="59" spans="1:12" x14ac:dyDescent="0.25">
      <c r="A59" s="10">
        <f>IF(B59="","",_xlfn.AGGREGATE(3,5,$B$7:B59))</f>
        <v>53</v>
      </c>
      <c r="B59" s="6" t="s">
        <v>98</v>
      </c>
      <c r="C59" s="8" t="s">
        <v>249</v>
      </c>
      <c r="D59" s="5">
        <v>45003</v>
      </c>
      <c r="E59" s="6" t="s">
        <v>99</v>
      </c>
      <c r="F59" s="10" t="s">
        <v>20</v>
      </c>
      <c r="G59" s="10" t="s">
        <v>24</v>
      </c>
      <c r="H59" s="10"/>
      <c r="I59" s="10"/>
      <c r="J59" s="10"/>
      <c r="K59" s="31">
        <v>235</v>
      </c>
      <c r="L59" s="42"/>
    </row>
    <row r="60" spans="1:12" x14ac:dyDescent="0.25">
      <c r="A60" s="10">
        <f>IF(B60="","",_xlfn.AGGREGATE(3,5,$B$7:B60))</f>
        <v>54</v>
      </c>
      <c r="B60" s="6" t="s">
        <v>100</v>
      </c>
      <c r="C60" s="6" t="s">
        <v>250</v>
      </c>
      <c r="D60" s="7">
        <v>45003</v>
      </c>
      <c r="E60" s="6" t="s">
        <v>101</v>
      </c>
      <c r="F60" s="10" t="s">
        <v>20</v>
      </c>
      <c r="G60" s="10" t="s">
        <v>24</v>
      </c>
      <c r="H60" s="10"/>
      <c r="I60" s="10"/>
      <c r="J60" s="10"/>
      <c r="K60" s="31">
        <v>324</v>
      </c>
      <c r="L60" s="42"/>
    </row>
    <row r="61" spans="1:12" ht="71.25" x14ac:dyDescent="0.25">
      <c r="A61" s="10">
        <f>IF(B61="","",_xlfn.AGGREGATE(3,5,$B$7:B61))</f>
        <v>55</v>
      </c>
      <c r="B61" s="6" t="s">
        <v>102</v>
      </c>
      <c r="C61" s="22" t="s">
        <v>251</v>
      </c>
      <c r="D61" s="5">
        <v>44992</v>
      </c>
      <c r="E61" s="6" t="s">
        <v>93</v>
      </c>
      <c r="F61" s="10" t="s">
        <v>87</v>
      </c>
      <c r="G61" s="10"/>
      <c r="H61" s="10" t="s">
        <v>23</v>
      </c>
      <c r="I61" s="10"/>
      <c r="J61" s="10"/>
      <c r="K61" s="31">
        <v>15</v>
      </c>
      <c r="L61" s="42"/>
    </row>
    <row r="62" spans="1:12" ht="57" x14ac:dyDescent="0.25">
      <c r="A62" s="10">
        <f>IF(B62="","",_xlfn.AGGREGATE(3,5,$B$7:B62))</f>
        <v>56</v>
      </c>
      <c r="B62" s="4" t="s">
        <v>185</v>
      </c>
      <c r="C62" s="22" t="s">
        <v>252</v>
      </c>
      <c r="D62" s="7">
        <v>44992</v>
      </c>
      <c r="E62" s="6" t="s">
        <v>103</v>
      </c>
      <c r="F62" s="10" t="s">
        <v>87</v>
      </c>
      <c r="G62" s="10"/>
      <c r="H62" s="10" t="s">
        <v>23</v>
      </c>
      <c r="I62" s="10"/>
      <c r="J62" s="10"/>
      <c r="K62" s="31">
        <v>7</v>
      </c>
      <c r="L62" s="42"/>
    </row>
    <row r="63" spans="1:12" ht="57" x14ac:dyDescent="0.25">
      <c r="A63" s="10">
        <f>IF(B63="","",_xlfn.AGGREGATE(3,5,$B$7:B63))</f>
        <v>57</v>
      </c>
      <c r="B63" s="6" t="s">
        <v>106</v>
      </c>
      <c r="C63" s="22" t="s">
        <v>253</v>
      </c>
      <c r="D63" s="5">
        <v>44992</v>
      </c>
      <c r="E63" s="6" t="s">
        <v>103</v>
      </c>
      <c r="F63" s="10" t="s">
        <v>87</v>
      </c>
      <c r="G63" s="10"/>
      <c r="H63" s="10" t="s">
        <v>23</v>
      </c>
      <c r="I63" s="10"/>
      <c r="J63" s="10"/>
      <c r="K63" s="31">
        <v>12</v>
      </c>
      <c r="L63" s="42"/>
    </row>
    <row r="64" spans="1:12" ht="57" x14ac:dyDescent="0.25">
      <c r="A64" s="10">
        <f>IF(B64="","",_xlfn.AGGREGATE(3,5,$B$7:B64))</f>
        <v>58</v>
      </c>
      <c r="B64" s="6" t="s">
        <v>105</v>
      </c>
      <c r="C64" s="22" t="s">
        <v>254</v>
      </c>
      <c r="D64" s="5">
        <v>44992</v>
      </c>
      <c r="E64" s="6" t="s">
        <v>103</v>
      </c>
      <c r="F64" s="10" t="s">
        <v>87</v>
      </c>
      <c r="G64" s="10"/>
      <c r="H64" s="10" t="s">
        <v>23</v>
      </c>
      <c r="I64" s="10"/>
      <c r="J64" s="10"/>
      <c r="K64" s="31">
        <v>6</v>
      </c>
      <c r="L64" s="42"/>
    </row>
    <row r="65" spans="1:12" ht="71.25" x14ac:dyDescent="0.25">
      <c r="A65" s="10">
        <f>IF(B65="","",_xlfn.AGGREGATE(3,5,$B$7:B65))</f>
        <v>59</v>
      </c>
      <c r="B65" s="52" t="s">
        <v>107</v>
      </c>
      <c r="C65" s="25" t="s">
        <v>255</v>
      </c>
      <c r="D65" s="7">
        <v>44993</v>
      </c>
      <c r="E65" s="6" t="s">
        <v>93</v>
      </c>
      <c r="F65" s="10" t="s">
        <v>87</v>
      </c>
      <c r="G65" s="10"/>
      <c r="H65" s="10" t="s">
        <v>23</v>
      </c>
      <c r="I65" s="10"/>
      <c r="J65" s="10"/>
      <c r="K65" s="31">
        <v>276</v>
      </c>
      <c r="L65" s="42"/>
    </row>
    <row r="66" spans="1:12" ht="71.25" x14ac:dyDescent="0.25">
      <c r="A66" s="10">
        <f>IF(B66="","",_xlfn.AGGREGATE(3,5,$B$7:B66))</f>
        <v>60</v>
      </c>
      <c r="B66" s="52" t="s">
        <v>37</v>
      </c>
      <c r="C66" s="25" t="s">
        <v>256</v>
      </c>
      <c r="D66" s="7">
        <v>44993</v>
      </c>
      <c r="E66" s="6" t="s">
        <v>93</v>
      </c>
      <c r="F66" s="10" t="s">
        <v>87</v>
      </c>
      <c r="G66" s="10"/>
      <c r="H66" s="10" t="s">
        <v>23</v>
      </c>
      <c r="I66" s="10"/>
      <c r="J66" s="10"/>
      <c r="K66" s="31">
        <v>272</v>
      </c>
      <c r="L66" s="42"/>
    </row>
    <row r="67" spans="1:12" x14ac:dyDescent="0.25">
      <c r="A67" s="10">
        <f>IF(B67="","",_xlfn.AGGREGATE(3,5,$B$7:B67))</f>
        <v>61</v>
      </c>
      <c r="B67" s="6" t="s">
        <v>109</v>
      </c>
      <c r="C67" s="8" t="s">
        <v>257</v>
      </c>
      <c r="D67" s="7">
        <v>45007</v>
      </c>
      <c r="E67" s="6" t="s">
        <v>30</v>
      </c>
      <c r="F67" s="10" t="s">
        <v>39</v>
      </c>
      <c r="G67" s="10" t="s">
        <v>24</v>
      </c>
      <c r="H67" s="10"/>
      <c r="I67" s="10"/>
      <c r="J67" s="10"/>
      <c r="K67" s="31">
        <v>387</v>
      </c>
      <c r="L67" s="42"/>
    </row>
    <row r="68" spans="1:12" ht="99.75" x14ac:dyDescent="0.25">
      <c r="A68" s="10">
        <f>IF(B68="","",_xlfn.AGGREGATE(3,5,$B$7:B68))</f>
        <v>62</v>
      </c>
      <c r="B68" s="6" t="s">
        <v>111</v>
      </c>
      <c r="C68" s="8" t="s">
        <v>258</v>
      </c>
      <c r="D68" s="7">
        <v>45015</v>
      </c>
      <c r="E68" s="6" t="s">
        <v>110</v>
      </c>
      <c r="F68" s="10" t="s">
        <v>20</v>
      </c>
      <c r="G68" s="10"/>
      <c r="H68" s="10"/>
      <c r="I68" s="10"/>
      <c r="J68" s="10" t="s">
        <v>23</v>
      </c>
      <c r="K68" s="31">
        <v>86</v>
      </c>
      <c r="L68" s="42"/>
    </row>
    <row r="69" spans="1:12" ht="57" x14ac:dyDescent="0.25">
      <c r="A69" s="10">
        <f>IF(B69="","",_xlfn.AGGREGATE(3,5,$B$7:B69))</f>
        <v>63</v>
      </c>
      <c r="B69" s="6" t="s">
        <v>114</v>
      </c>
      <c r="C69" s="22" t="s">
        <v>259</v>
      </c>
      <c r="D69" s="7">
        <v>45019</v>
      </c>
      <c r="E69" s="6" t="s">
        <v>113</v>
      </c>
      <c r="F69" s="10" t="s">
        <v>87</v>
      </c>
      <c r="G69" s="10"/>
      <c r="H69" s="10" t="s">
        <v>23</v>
      </c>
      <c r="I69" s="10"/>
      <c r="J69" s="10"/>
      <c r="K69" s="31">
        <v>5</v>
      </c>
      <c r="L69" s="42"/>
    </row>
    <row r="70" spans="1:12" ht="71.25" x14ac:dyDescent="0.25">
      <c r="A70" s="10">
        <f>IF(B70="","",_xlfn.AGGREGATE(3,5,$B$7:B70))</f>
        <v>64</v>
      </c>
      <c r="B70" s="6" t="s">
        <v>112</v>
      </c>
      <c r="C70" s="22" t="s">
        <v>260</v>
      </c>
      <c r="D70" s="5">
        <v>45019</v>
      </c>
      <c r="E70" s="6" t="s">
        <v>93</v>
      </c>
      <c r="F70" s="10" t="s">
        <v>87</v>
      </c>
      <c r="G70" s="10"/>
      <c r="H70" s="10" t="s">
        <v>24</v>
      </c>
      <c r="I70" s="10"/>
      <c r="J70" s="10"/>
      <c r="K70" s="31">
        <v>2</v>
      </c>
      <c r="L70" s="42"/>
    </row>
    <row r="71" spans="1:12" x14ac:dyDescent="0.25">
      <c r="A71" s="10">
        <f>IF(B71="","",_xlfn.AGGREGATE(3,5,$B$7:B71))</f>
        <v>65</v>
      </c>
      <c r="B71" s="6" t="s">
        <v>158</v>
      </c>
      <c r="C71" s="8" t="s">
        <v>261</v>
      </c>
      <c r="D71" s="7">
        <v>45022</v>
      </c>
      <c r="E71" s="6" t="s">
        <v>115</v>
      </c>
      <c r="F71" s="10" t="s">
        <v>87</v>
      </c>
      <c r="G71" s="10"/>
      <c r="H71" s="10" t="s">
        <v>24</v>
      </c>
      <c r="I71" s="10"/>
      <c r="J71" s="10"/>
      <c r="K71" s="31">
        <v>388</v>
      </c>
      <c r="L71" s="42"/>
    </row>
    <row r="72" spans="1:12" ht="42.75" x14ac:dyDescent="0.25">
      <c r="A72" s="10">
        <f>IF(B72="","",_xlfn.AGGREGATE(3,5,$B$7:B72))</f>
        <v>66</v>
      </c>
      <c r="B72" s="6" t="s">
        <v>645</v>
      </c>
      <c r="C72" s="6" t="s">
        <v>262</v>
      </c>
      <c r="D72" s="7">
        <v>45026</v>
      </c>
      <c r="E72" s="6" t="s">
        <v>118</v>
      </c>
      <c r="F72" s="10" t="s">
        <v>116</v>
      </c>
      <c r="G72" s="10"/>
      <c r="H72" s="10"/>
      <c r="I72" s="10" t="s">
        <v>24</v>
      </c>
      <c r="J72" s="10"/>
      <c r="K72" s="31">
        <v>93</v>
      </c>
      <c r="L72" s="42"/>
    </row>
    <row r="73" spans="1:12" ht="42.75" x14ac:dyDescent="0.25">
      <c r="A73" s="10">
        <f>IF(B73="","",_xlfn.AGGREGATE(3,5,$B$7:B73))</f>
        <v>67</v>
      </c>
      <c r="B73" s="6" t="s">
        <v>117</v>
      </c>
      <c r="C73" s="6" t="s">
        <v>263</v>
      </c>
      <c r="D73" s="5">
        <v>45026</v>
      </c>
      <c r="E73" s="6" t="s">
        <v>118</v>
      </c>
      <c r="F73" s="10" t="s">
        <v>116</v>
      </c>
      <c r="G73" s="10"/>
      <c r="H73" s="10"/>
      <c r="I73" s="10" t="s">
        <v>24</v>
      </c>
      <c r="J73" s="10"/>
      <c r="K73" s="31">
        <v>92</v>
      </c>
      <c r="L73" s="42"/>
    </row>
    <row r="74" spans="1:12" ht="28.5" x14ac:dyDescent="0.25">
      <c r="A74" s="10">
        <f>IF(B74="","",_xlfn.AGGREGATE(3,5,$B$7:B74))</f>
        <v>68</v>
      </c>
      <c r="B74" s="6" t="s">
        <v>119</v>
      </c>
      <c r="C74" s="6" t="s">
        <v>264</v>
      </c>
      <c r="D74" s="7">
        <v>45035</v>
      </c>
      <c r="E74" s="6" t="s">
        <v>120</v>
      </c>
      <c r="F74" s="10" t="s">
        <v>20</v>
      </c>
      <c r="G74" s="10" t="s">
        <v>24</v>
      </c>
      <c r="H74" s="10"/>
      <c r="I74" s="10"/>
      <c r="J74" s="10"/>
      <c r="K74" s="31">
        <v>389</v>
      </c>
      <c r="L74" s="42"/>
    </row>
    <row r="75" spans="1:12" ht="28.5" x14ac:dyDescent="0.25">
      <c r="A75" s="10">
        <f>IF(B75="","",_xlfn.AGGREGATE(3,5,$B$7:B75))</f>
        <v>69</v>
      </c>
      <c r="B75" s="6" t="s">
        <v>121</v>
      </c>
      <c r="C75" s="6" t="s">
        <v>265</v>
      </c>
      <c r="D75" s="7">
        <v>45035</v>
      </c>
      <c r="E75" s="6" t="s">
        <v>120</v>
      </c>
      <c r="F75" s="10" t="s">
        <v>20</v>
      </c>
      <c r="G75" s="10" t="s">
        <v>24</v>
      </c>
      <c r="H75" s="10"/>
      <c r="I75" s="10"/>
      <c r="J75" s="10"/>
      <c r="K75" s="31">
        <v>390</v>
      </c>
      <c r="L75" s="42"/>
    </row>
    <row r="76" spans="1:12" ht="28.5" x14ac:dyDescent="0.25">
      <c r="A76" s="10">
        <f>IF(B76="","",_xlfn.AGGREGATE(3,5,$B$7:B76))</f>
        <v>70</v>
      </c>
      <c r="B76" s="6" t="s">
        <v>64</v>
      </c>
      <c r="C76" s="24" t="s">
        <v>266</v>
      </c>
      <c r="D76" s="7">
        <v>45055</v>
      </c>
      <c r="E76" s="24" t="s">
        <v>125</v>
      </c>
      <c r="F76" s="10" t="s">
        <v>20</v>
      </c>
      <c r="G76" s="10"/>
      <c r="H76" s="10"/>
      <c r="I76" s="10"/>
      <c r="J76" s="10" t="s">
        <v>24</v>
      </c>
      <c r="K76" s="31">
        <v>299</v>
      </c>
      <c r="L76" s="42"/>
    </row>
    <row r="77" spans="1:12" x14ac:dyDescent="0.25">
      <c r="A77" s="10">
        <f>IF(B77="","",_xlfn.AGGREGATE(3,5,$B$7:B77))</f>
        <v>71</v>
      </c>
      <c r="B77" s="6" t="s">
        <v>98</v>
      </c>
      <c r="C77" s="8" t="s">
        <v>267</v>
      </c>
      <c r="D77" s="7">
        <v>45056</v>
      </c>
      <c r="E77" s="6" t="s">
        <v>122</v>
      </c>
      <c r="F77" s="10" t="s">
        <v>20</v>
      </c>
      <c r="G77" s="10" t="s">
        <v>24</v>
      </c>
      <c r="H77" s="10"/>
      <c r="I77" s="10"/>
      <c r="J77" s="10"/>
      <c r="K77" s="31">
        <v>235</v>
      </c>
      <c r="L77" s="42"/>
    </row>
    <row r="78" spans="1:12" ht="28.5" x14ac:dyDescent="0.25">
      <c r="A78" s="10">
        <f>IF(B78="","",_xlfn.AGGREGATE(3,5,$B$7:B78))</f>
        <v>72</v>
      </c>
      <c r="B78" s="6" t="s">
        <v>124</v>
      </c>
      <c r="C78" s="20" t="s">
        <v>268</v>
      </c>
      <c r="D78" s="7">
        <v>45096</v>
      </c>
      <c r="E78" s="6" t="s">
        <v>123</v>
      </c>
      <c r="F78" s="10" t="s">
        <v>20</v>
      </c>
      <c r="G78" s="10" t="s">
        <v>24</v>
      </c>
      <c r="H78" s="10"/>
      <c r="I78" s="10"/>
      <c r="J78" s="10"/>
      <c r="K78" s="31">
        <v>124</v>
      </c>
      <c r="L78" s="42"/>
    </row>
    <row r="79" spans="1:12" ht="15" x14ac:dyDescent="0.25">
      <c r="A79" s="10">
        <f>IF(B79="","",_xlfn.AGGREGATE(3,5,$B$7:B79))</f>
        <v>73</v>
      </c>
      <c r="B79" s="4" t="s">
        <v>36</v>
      </c>
      <c r="C79" s="3" t="s">
        <v>269</v>
      </c>
      <c r="D79" s="7">
        <v>45127</v>
      </c>
      <c r="E79" s="6" t="s">
        <v>85</v>
      </c>
      <c r="F79" s="10" t="s">
        <v>34</v>
      </c>
      <c r="G79" s="10"/>
      <c r="H79" s="10"/>
      <c r="I79" s="10" t="s">
        <v>23</v>
      </c>
      <c r="J79" s="10"/>
      <c r="K79" s="31">
        <v>111</v>
      </c>
      <c r="L79" s="42"/>
    </row>
    <row r="80" spans="1:12" ht="30" x14ac:dyDescent="0.25">
      <c r="A80" s="10">
        <f>IF(B80="","",_xlfn.AGGREGATE(3,5,$B$7:B80))</f>
        <v>74</v>
      </c>
      <c r="B80" s="2" t="s">
        <v>126</v>
      </c>
      <c r="C80" s="3" t="s">
        <v>270</v>
      </c>
      <c r="D80" s="7">
        <v>45127</v>
      </c>
      <c r="E80" s="6" t="s">
        <v>85</v>
      </c>
      <c r="F80" s="10" t="s">
        <v>34</v>
      </c>
      <c r="G80" s="10"/>
      <c r="H80" s="10"/>
      <c r="I80" s="10" t="s">
        <v>23</v>
      </c>
      <c r="J80" s="10"/>
      <c r="K80" s="31">
        <v>177</v>
      </c>
      <c r="L80" s="42"/>
    </row>
    <row r="81" spans="1:13" ht="30" x14ac:dyDescent="0.25">
      <c r="A81" s="10">
        <f>IF(B81="","",_xlfn.AGGREGATE(3,5,$B$7:B81))</f>
        <v>75</v>
      </c>
      <c r="B81" s="4" t="s">
        <v>127</v>
      </c>
      <c r="C81" s="3" t="s">
        <v>271</v>
      </c>
      <c r="D81" s="7">
        <v>45127</v>
      </c>
      <c r="E81" s="6" t="s">
        <v>85</v>
      </c>
      <c r="F81" s="10" t="s">
        <v>34</v>
      </c>
      <c r="G81" s="10"/>
      <c r="H81" s="10"/>
      <c r="I81" s="10" t="s">
        <v>23</v>
      </c>
      <c r="J81" s="10"/>
      <c r="K81" s="31">
        <v>140</v>
      </c>
      <c r="L81" s="42"/>
    </row>
    <row r="82" spans="1:13" s="23" customFormat="1" ht="30" x14ac:dyDescent="0.25">
      <c r="A82" s="38">
        <f>IF(B82="","",_xlfn.AGGREGATE(3,5,$B$7:B82))</f>
        <v>76</v>
      </c>
      <c r="B82" s="89" t="s">
        <v>128</v>
      </c>
      <c r="C82" s="90" t="s">
        <v>272</v>
      </c>
      <c r="D82" s="50">
        <v>45127</v>
      </c>
      <c r="E82" s="46" t="s">
        <v>85</v>
      </c>
      <c r="F82" s="38" t="s">
        <v>34</v>
      </c>
      <c r="G82" s="38"/>
      <c r="H82" s="38"/>
      <c r="I82" s="38" t="s">
        <v>23</v>
      </c>
      <c r="J82" s="38"/>
      <c r="K82" s="39">
        <v>141</v>
      </c>
      <c r="L82" s="44"/>
      <c r="M82" s="36" t="s">
        <v>991</v>
      </c>
    </row>
    <row r="83" spans="1:13" ht="30" x14ac:dyDescent="0.25">
      <c r="A83" s="10">
        <f>IF(B83="","",_xlfn.AGGREGATE(3,5,$B$7:B83))</f>
        <v>77</v>
      </c>
      <c r="B83" s="2" t="s">
        <v>129</v>
      </c>
      <c r="C83" s="3" t="s">
        <v>273</v>
      </c>
      <c r="D83" s="7">
        <v>45127</v>
      </c>
      <c r="E83" s="6" t="s">
        <v>85</v>
      </c>
      <c r="F83" s="10" t="s">
        <v>34</v>
      </c>
      <c r="G83" s="10"/>
      <c r="H83" s="10"/>
      <c r="I83" s="10" t="s">
        <v>23</v>
      </c>
      <c r="J83" s="10"/>
      <c r="K83" s="31">
        <v>178</v>
      </c>
      <c r="L83" s="42"/>
    </row>
    <row r="84" spans="1:13" ht="28.5" x14ac:dyDescent="0.25">
      <c r="A84" s="10">
        <f>IF(B84="","",_xlfn.AGGREGATE(3,5,$B$7:B84))</f>
        <v>78</v>
      </c>
      <c r="B84" s="6" t="s">
        <v>45</v>
      </c>
      <c r="C84" s="22" t="s">
        <v>274</v>
      </c>
      <c r="D84" s="18">
        <v>45145</v>
      </c>
      <c r="E84" s="6" t="s">
        <v>134</v>
      </c>
      <c r="F84" s="10" t="s">
        <v>19</v>
      </c>
      <c r="G84" s="10"/>
      <c r="H84" s="10"/>
      <c r="I84" s="10"/>
      <c r="J84" s="10" t="s">
        <v>23</v>
      </c>
      <c r="K84" s="31">
        <v>31</v>
      </c>
      <c r="L84" s="42"/>
    </row>
    <row r="85" spans="1:13" x14ac:dyDescent="0.25">
      <c r="A85" s="10">
        <f>IF(B85="","",_xlfn.AGGREGATE(3,5,$B$7:B85))</f>
        <v>79</v>
      </c>
      <c r="B85" s="6" t="s">
        <v>42</v>
      </c>
      <c r="C85" s="8" t="s">
        <v>275</v>
      </c>
      <c r="D85" s="7">
        <v>45138</v>
      </c>
      <c r="E85" s="6" t="s">
        <v>14</v>
      </c>
      <c r="F85" s="10" t="s">
        <v>20</v>
      </c>
      <c r="G85" s="10"/>
      <c r="H85" s="10"/>
      <c r="I85" s="10"/>
      <c r="J85" s="10" t="s">
        <v>24</v>
      </c>
      <c r="K85" s="31">
        <v>362</v>
      </c>
      <c r="L85" s="42"/>
    </row>
    <row r="86" spans="1:13" ht="66.599999999999994" customHeight="1" x14ac:dyDescent="0.25">
      <c r="A86" s="10">
        <f>IF(B86="","",_xlfn.AGGREGATE(3,5,$B$7:B86))</f>
        <v>80</v>
      </c>
      <c r="B86" s="6" t="s">
        <v>130</v>
      </c>
      <c r="C86" s="8" t="s">
        <v>276</v>
      </c>
      <c r="D86" s="7">
        <v>45145</v>
      </c>
      <c r="E86" s="6" t="s">
        <v>131</v>
      </c>
      <c r="F86" s="10" t="s">
        <v>20</v>
      </c>
      <c r="G86" s="10"/>
      <c r="H86" s="10"/>
      <c r="I86" s="10"/>
      <c r="J86" s="10" t="s">
        <v>24</v>
      </c>
      <c r="K86" s="31">
        <v>391</v>
      </c>
      <c r="L86" s="42"/>
    </row>
    <row r="87" spans="1:13" ht="67.900000000000006" customHeight="1" x14ac:dyDescent="0.25">
      <c r="A87" s="10">
        <f>IF(B87="","",_xlfn.AGGREGATE(3,5,$B$7:B87))</f>
        <v>81</v>
      </c>
      <c r="B87" s="6" t="s">
        <v>133</v>
      </c>
      <c r="C87" s="8" t="s">
        <v>277</v>
      </c>
      <c r="D87" s="7">
        <v>45145</v>
      </c>
      <c r="E87" s="6" t="s">
        <v>132</v>
      </c>
      <c r="F87" s="10" t="s">
        <v>20</v>
      </c>
      <c r="G87" s="10"/>
      <c r="H87" s="10"/>
      <c r="I87" s="10"/>
      <c r="J87" s="10" t="s">
        <v>24</v>
      </c>
      <c r="K87" s="31">
        <v>392</v>
      </c>
      <c r="L87" s="42"/>
    </row>
    <row r="88" spans="1:13" ht="28.5" x14ac:dyDescent="0.25">
      <c r="A88" s="10">
        <f>IF(B88="","",_xlfn.AGGREGATE(3,5,$B$7:B88))</f>
        <v>82</v>
      </c>
      <c r="B88" s="6" t="s">
        <v>645</v>
      </c>
      <c r="C88" s="6" t="s">
        <v>278</v>
      </c>
      <c r="D88" s="7">
        <v>45146</v>
      </c>
      <c r="E88" s="24" t="s">
        <v>135</v>
      </c>
      <c r="F88" s="10" t="s">
        <v>116</v>
      </c>
      <c r="G88" s="10"/>
      <c r="H88" s="10"/>
      <c r="I88" s="10" t="s">
        <v>24</v>
      </c>
      <c r="J88" s="10"/>
      <c r="K88" s="31">
        <v>93</v>
      </c>
      <c r="L88" s="42"/>
    </row>
    <row r="89" spans="1:13" ht="28.5" x14ac:dyDescent="0.25">
      <c r="A89" s="10">
        <f>IF(B89="","",_xlfn.AGGREGATE(3,5,$B$7:B89))</f>
        <v>83</v>
      </c>
      <c r="B89" s="6" t="s">
        <v>117</v>
      </c>
      <c r="C89" s="6" t="s">
        <v>279</v>
      </c>
      <c r="D89" s="5">
        <v>45146</v>
      </c>
      <c r="E89" s="24" t="s">
        <v>135</v>
      </c>
      <c r="F89" s="10" t="s">
        <v>116</v>
      </c>
      <c r="G89" s="10"/>
      <c r="H89" s="10"/>
      <c r="I89" s="10" t="s">
        <v>24</v>
      </c>
      <c r="J89" s="10"/>
      <c r="K89" s="31">
        <v>92</v>
      </c>
      <c r="L89" s="42"/>
    </row>
    <row r="90" spans="1:13" ht="29.45" customHeight="1" x14ac:dyDescent="0.25">
      <c r="A90" s="10">
        <f>IF(B90="","",_xlfn.AGGREGATE(3,5,$B$7:B90))</f>
        <v>84</v>
      </c>
      <c r="B90" s="6" t="s">
        <v>137</v>
      </c>
      <c r="C90" s="8" t="s">
        <v>280</v>
      </c>
      <c r="D90" s="5">
        <v>45146</v>
      </c>
      <c r="E90" s="26" t="s">
        <v>136</v>
      </c>
      <c r="F90" s="10" t="s">
        <v>20</v>
      </c>
      <c r="G90" s="10" t="s">
        <v>23</v>
      </c>
      <c r="H90" s="10"/>
      <c r="I90" s="10"/>
      <c r="J90" s="28"/>
      <c r="K90" s="31">
        <v>81</v>
      </c>
      <c r="L90" s="42"/>
    </row>
    <row r="91" spans="1:13" ht="33.6" customHeight="1" x14ac:dyDescent="0.25">
      <c r="A91" s="10">
        <f>IF(B91="","",_xlfn.AGGREGATE(3,5,$B$7:B91))</f>
        <v>85</v>
      </c>
      <c r="B91" s="6" t="s">
        <v>44</v>
      </c>
      <c r="C91" s="8" t="s">
        <v>281</v>
      </c>
      <c r="D91" s="7">
        <v>45153</v>
      </c>
      <c r="E91" s="6" t="s">
        <v>138</v>
      </c>
      <c r="F91" s="10" t="s">
        <v>19</v>
      </c>
      <c r="G91" s="10"/>
      <c r="H91" s="10"/>
      <c r="I91" s="10"/>
      <c r="J91" s="10" t="s">
        <v>23</v>
      </c>
      <c r="K91" s="31">
        <v>181</v>
      </c>
      <c r="L91" s="42"/>
    </row>
    <row r="92" spans="1:13" ht="22.9" customHeight="1" x14ac:dyDescent="0.25">
      <c r="A92" s="10">
        <f>IF(B92="","",_xlfn.AGGREGATE(3,5,$B$7:B92))</f>
        <v>86</v>
      </c>
      <c r="B92" s="6" t="s">
        <v>64</v>
      </c>
      <c r="C92" s="24" t="s">
        <v>282</v>
      </c>
      <c r="D92" s="7">
        <v>45187</v>
      </c>
      <c r="E92" s="24" t="s">
        <v>139</v>
      </c>
      <c r="F92" s="10" t="s">
        <v>20</v>
      </c>
      <c r="G92" s="10"/>
      <c r="H92" s="10"/>
      <c r="I92" s="10"/>
      <c r="J92" s="10" t="s">
        <v>24</v>
      </c>
      <c r="K92" s="31">
        <v>299</v>
      </c>
      <c r="L92" s="43"/>
    </row>
    <row r="93" spans="1:13" x14ac:dyDescent="0.25">
      <c r="A93" s="10">
        <f>IF(B93="","",_xlfn.AGGREGATE(3,5,$B$7:B93))</f>
        <v>87</v>
      </c>
      <c r="B93" s="6" t="s">
        <v>140</v>
      </c>
      <c r="C93" s="8" t="s">
        <v>283</v>
      </c>
      <c r="D93" s="7">
        <v>45166</v>
      </c>
      <c r="E93" s="6" t="s">
        <v>30</v>
      </c>
      <c r="F93" s="10" t="s">
        <v>141</v>
      </c>
      <c r="G93" s="10"/>
      <c r="H93" s="10" t="s">
        <v>23</v>
      </c>
      <c r="I93" s="10"/>
      <c r="J93" s="10"/>
      <c r="K93" s="31">
        <v>393</v>
      </c>
      <c r="L93" s="43"/>
    </row>
    <row r="94" spans="1:13" ht="28.5" x14ac:dyDescent="0.25">
      <c r="A94" s="10">
        <f>IF(B94="","",_xlfn.AGGREGATE(3,5,$B$7:B94))</f>
        <v>88</v>
      </c>
      <c r="B94" s="6" t="s">
        <v>149</v>
      </c>
      <c r="C94" s="6" t="s">
        <v>284</v>
      </c>
      <c r="D94" s="7">
        <v>45166</v>
      </c>
      <c r="E94" s="6" t="s">
        <v>30</v>
      </c>
      <c r="F94" s="10" t="s">
        <v>141</v>
      </c>
      <c r="G94" s="10"/>
      <c r="H94" s="10" t="s">
        <v>23</v>
      </c>
      <c r="I94" s="10"/>
      <c r="J94" s="10"/>
      <c r="K94" s="31">
        <v>394</v>
      </c>
      <c r="L94" s="43"/>
    </row>
    <row r="95" spans="1:13" ht="28.5" x14ac:dyDescent="0.25">
      <c r="A95" s="10">
        <f>IF(B95="","",_xlfn.AGGREGATE(3,5,$B$7:B95))</f>
        <v>89</v>
      </c>
      <c r="B95" s="6" t="s">
        <v>142</v>
      </c>
      <c r="C95" s="6" t="s">
        <v>285</v>
      </c>
      <c r="D95" s="7">
        <v>45166</v>
      </c>
      <c r="E95" s="6" t="s">
        <v>30</v>
      </c>
      <c r="F95" s="10" t="s">
        <v>141</v>
      </c>
      <c r="G95" s="10"/>
      <c r="H95" s="10" t="s">
        <v>23</v>
      </c>
      <c r="I95" s="10"/>
      <c r="J95" s="10"/>
      <c r="K95" s="31">
        <v>395</v>
      </c>
      <c r="L95" s="43"/>
    </row>
    <row r="96" spans="1:13" ht="28.5" x14ac:dyDescent="0.25">
      <c r="A96" s="10">
        <f>IF(B96="","",_xlfn.AGGREGATE(3,5,$B$7:B96))</f>
        <v>90</v>
      </c>
      <c r="B96" s="6" t="s">
        <v>143</v>
      </c>
      <c r="C96" s="8" t="s">
        <v>286</v>
      </c>
      <c r="D96" s="7">
        <v>45159</v>
      </c>
      <c r="E96" s="6" t="s">
        <v>30</v>
      </c>
      <c r="F96" s="10" t="s">
        <v>33</v>
      </c>
      <c r="G96" s="10"/>
      <c r="H96" s="10"/>
      <c r="I96" s="10" t="s">
        <v>23</v>
      </c>
      <c r="J96" s="10"/>
      <c r="K96" s="31">
        <v>396</v>
      </c>
      <c r="L96" s="42"/>
    </row>
    <row r="97" spans="1:12" ht="28.5" x14ac:dyDescent="0.25">
      <c r="A97" s="10">
        <f>IF(B97="","",_xlfn.AGGREGATE(3,5,$B$7:B97))</f>
        <v>91</v>
      </c>
      <c r="B97" s="6" t="s">
        <v>144</v>
      </c>
      <c r="C97" s="8" t="s">
        <v>287</v>
      </c>
      <c r="D97" s="7">
        <v>45159</v>
      </c>
      <c r="E97" s="6" t="s">
        <v>30</v>
      </c>
      <c r="F97" s="10" t="s">
        <v>33</v>
      </c>
      <c r="G97" s="10"/>
      <c r="H97" s="10"/>
      <c r="I97" s="10" t="s">
        <v>23</v>
      </c>
      <c r="J97" s="10"/>
      <c r="K97" s="31">
        <v>397</v>
      </c>
      <c r="L97" s="42"/>
    </row>
    <row r="98" spans="1:12" ht="28.5" x14ac:dyDescent="0.25">
      <c r="A98" s="10">
        <f>IF(B98="","",_xlfn.AGGREGATE(3,5,$B$7:B98))</f>
        <v>92</v>
      </c>
      <c r="B98" s="6" t="s">
        <v>145</v>
      </c>
      <c r="C98" s="8" t="s">
        <v>288</v>
      </c>
      <c r="D98" s="7">
        <v>45159</v>
      </c>
      <c r="E98" s="6" t="s">
        <v>30</v>
      </c>
      <c r="F98" s="10" t="s">
        <v>33</v>
      </c>
      <c r="G98" s="10"/>
      <c r="H98" s="10"/>
      <c r="I98" s="10" t="s">
        <v>23</v>
      </c>
      <c r="J98" s="10"/>
      <c r="K98" s="31">
        <v>398</v>
      </c>
      <c r="L98" s="42"/>
    </row>
    <row r="99" spans="1:12" ht="28.5" x14ac:dyDescent="0.25">
      <c r="A99" s="10">
        <f>IF(B99="","",_xlfn.AGGREGATE(3,5,$B$7:B99))</f>
        <v>93</v>
      </c>
      <c r="B99" s="6" t="s">
        <v>146</v>
      </c>
      <c r="C99" s="8" t="s">
        <v>289</v>
      </c>
      <c r="D99" s="7">
        <v>45159</v>
      </c>
      <c r="E99" s="6" t="s">
        <v>30</v>
      </c>
      <c r="F99" s="10" t="s">
        <v>33</v>
      </c>
      <c r="G99" s="10"/>
      <c r="H99" s="10"/>
      <c r="I99" s="10" t="s">
        <v>23</v>
      </c>
      <c r="J99" s="10"/>
      <c r="K99" s="31">
        <v>399</v>
      </c>
      <c r="L99" s="42"/>
    </row>
    <row r="100" spans="1:12" x14ac:dyDescent="0.25">
      <c r="A100" s="10">
        <f>IF(B100="","",_xlfn.AGGREGATE(3,5,$B$7:B100))</f>
        <v>94</v>
      </c>
      <c r="B100" s="6" t="s">
        <v>147</v>
      </c>
      <c r="C100" s="8" t="s">
        <v>290</v>
      </c>
      <c r="D100" s="7">
        <v>45166</v>
      </c>
      <c r="E100" s="26" t="s">
        <v>136</v>
      </c>
      <c r="F100" s="10" t="s">
        <v>20</v>
      </c>
      <c r="G100" s="10"/>
      <c r="H100" s="10"/>
      <c r="I100" s="10"/>
      <c r="J100" s="10" t="s">
        <v>24</v>
      </c>
      <c r="K100" s="31">
        <v>180</v>
      </c>
      <c r="L100" s="42"/>
    </row>
    <row r="101" spans="1:12" x14ac:dyDescent="0.25">
      <c r="A101" s="10">
        <f>IF(B101="","",_xlfn.AGGREGATE(3,5,$B$7:B101))</f>
        <v>95</v>
      </c>
      <c r="B101" s="6" t="s">
        <v>148</v>
      </c>
      <c r="C101" s="8" t="s">
        <v>291</v>
      </c>
      <c r="D101" s="7">
        <v>45166</v>
      </c>
      <c r="E101" s="26" t="s">
        <v>136</v>
      </c>
      <c r="F101" s="10" t="s">
        <v>20</v>
      </c>
      <c r="G101" s="10"/>
      <c r="H101" s="10"/>
      <c r="I101" s="10"/>
      <c r="J101" s="10" t="s">
        <v>24</v>
      </c>
      <c r="K101" s="31">
        <v>255</v>
      </c>
      <c r="L101" s="42"/>
    </row>
    <row r="102" spans="1:12" x14ac:dyDescent="0.25">
      <c r="A102" s="10">
        <f>IF(B102="","",_xlfn.AGGREGATE(3,5,$B$7:B102))</f>
        <v>96</v>
      </c>
      <c r="B102" s="6" t="s">
        <v>150</v>
      </c>
      <c r="C102" s="8" t="s">
        <v>292</v>
      </c>
      <c r="D102" s="7">
        <v>45202</v>
      </c>
      <c r="E102" s="26" t="s">
        <v>151</v>
      </c>
      <c r="F102" s="10" t="s">
        <v>20</v>
      </c>
      <c r="G102" s="10" t="s">
        <v>24</v>
      </c>
      <c r="H102" s="10"/>
      <c r="I102" s="10"/>
      <c r="J102" s="28"/>
      <c r="K102" s="31">
        <v>347</v>
      </c>
      <c r="L102" s="43"/>
    </row>
    <row r="103" spans="1:12" x14ac:dyDescent="0.25">
      <c r="A103" s="10">
        <f>IF(B103="","",_xlfn.AGGREGATE(3,5,$B$7:B103))</f>
        <v>97</v>
      </c>
      <c r="B103" s="6" t="s">
        <v>152</v>
      </c>
      <c r="C103" s="8" t="s">
        <v>293</v>
      </c>
      <c r="D103" s="7">
        <v>45180</v>
      </c>
      <c r="E103" s="6" t="s">
        <v>30</v>
      </c>
      <c r="F103" s="10" t="s">
        <v>39</v>
      </c>
      <c r="G103" s="10" t="s">
        <v>23</v>
      </c>
      <c r="H103" s="10"/>
      <c r="I103" s="10"/>
      <c r="J103" s="10"/>
      <c r="K103" s="31">
        <v>400</v>
      </c>
      <c r="L103" s="42"/>
    </row>
    <row r="104" spans="1:12" x14ac:dyDescent="0.25">
      <c r="A104" s="10">
        <f>IF(B104="","",_xlfn.AGGREGATE(3,5,$B$7:B104))</f>
        <v>98</v>
      </c>
      <c r="B104" s="6" t="s">
        <v>153</v>
      </c>
      <c r="C104" s="8" t="s">
        <v>294</v>
      </c>
      <c r="D104" s="7">
        <v>45187</v>
      </c>
      <c r="E104" s="6" t="s">
        <v>30</v>
      </c>
      <c r="F104" s="10" t="s">
        <v>34</v>
      </c>
      <c r="G104" s="10"/>
      <c r="H104" s="10"/>
      <c r="I104" s="10" t="s">
        <v>24</v>
      </c>
      <c r="J104" s="10"/>
      <c r="K104" s="31">
        <v>401</v>
      </c>
      <c r="L104" s="42"/>
    </row>
    <row r="105" spans="1:12" x14ac:dyDescent="0.25">
      <c r="A105" s="10">
        <f>IF(B105="","",_xlfn.AGGREGATE(3,5,$B$7:B105))</f>
        <v>99</v>
      </c>
      <c r="B105" s="6" t="s">
        <v>564</v>
      </c>
      <c r="C105" s="8" t="s">
        <v>295</v>
      </c>
      <c r="D105" s="7">
        <v>45187</v>
      </c>
      <c r="E105" s="6" t="s">
        <v>30</v>
      </c>
      <c r="F105" s="10" t="s">
        <v>39</v>
      </c>
      <c r="G105" s="10" t="s">
        <v>24</v>
      </c>
      <c r="H105" s="10"/>
      <c r="I105" s="10"/>
      <c r="J105" s="10"/>
      <c r="K105" s="31">
        <v>402</v>
      </c>
      <c r="L105" s="42"/>
    </row>
    <row r="106" spans="1:12" x14ac:dyDescent="0.25">
      <c r="A106" s="10">
        <f>IF(B106="","",_xlfn.AGGREGATE(3,5,$B$7:B106))</f>
        <v>100</v>
      </c>
      <c r="B106" s="6" t="s">
        <v>154</v>
      </c>
      <c r="C106" s="8" t="s">
        <v>296</v>
      </c>
      <c r="D106" s="7">
        <v>45202</v>
      </c>
      <c r="E106" s="6" t="s">
        <v>136</v>
      </c>
      <c r="F106" s="10" t="s">
        <v>20</v>
      </c>
      <c r="G106" s="10" t="s">
        <v>23</v>
      </c>
      <c r="H106" s="10"/>
      <c r="I106" s="10"/>
      <c r="J106" s="10"/>
      <c r="K106" s="31">
        <v>81</v>
      </c>
      <c r="L106" s="42"/>
    </row>
    <row r="107" spans="1:12" x14ac:dyDescent="0.25">
      <c r="A107" s="10">
        <f>IF(B107="","",_xlfn.AGGREGATE(3,5,$B$7:B107))</f>
        <v>101</v>
      </c>
      <c r="B107" s="6" t="s">
        <v>108</v>
      </c>
      <c r="C107" s="22" t="s">
        <v>297</v>
      </c>
      <c r="D107" s="5">
        <v>45205</v>
      </c>
      <c r="E107" s="6" t="s">
        <v>155</v>
      </c>
      <c r="F107" s="10" t="s">
        <v>87</v>
      </c>
      <c r="G107" s="10"/>
      <c r="H107" s="10" t="s">
        <v>23</v>
      </c>
      <c r="I107" s="10"/>
      <c r="J107" s="10"/>
      <c r="K107" s="31">
        <v>14</v>
      </c>
      <c r="L107" s="42"/>
    </row>
    <row r="108" spans="1:12" x14ac:dyDescent="0.25">
      <c r="A108" s="10">
        <f>IF(B108="","",_xlfn.AGGREGATE(3,5,$B$7:B108))</f>
        <v>102</v>
      </c>
      <c r="B108" s="6" t="s">
        <v>156</v>
      </c>
      <c r="C108" s="8" t="s">
        <v>298</v>
      </c>
      <c r="D108" s="7">
        <v>45208</v>
      </c>
      <c r="E108" s="6" t="s">
        <v>136</v>
      </c>
      <c r="F108" s="10" t="s">
        <v>20</v>
      </c>
      <c r="G108" s="10"/>
      <c r="H108" s="10"/>
      <c r="I108" s="10"/>
      <c r="J108" s="10" t="s">
        <v>24</v>
      </c>
      <c r="K108" s="31">
        <v>112</v>
      </c>
      <c r="L108" s="42"/>
    </row>
    <row r="109" spans="1:12" x14ac:dyDescent="0.25">
      <c r="A109" s="10">
        <f>IF(B109="","",_xlfn.AGGREGATE(3,5,$B$7:B109))</f>
        <v>103</v>
      </c>
      <c r="B109" s="6" t="s">
        <v>157</v>
      </c>
      <c r="C109" s="8" t="s">
        <v>299</v>
      </c>
      <c r="D109" s="7">
        <v>45208</v>
      </c>
      <c r="E109" s="6" t="s">
        <v>136</v>
      </c>
      <c r="F109" s="10" t="s">
        <v>20</v>
      </c>
      <c r="G109" s="10"/>
      <c r="H109" s="10"/>
      <c r="I109" s="10"/>
      <c r="J109" s="10" t="s">
        <v>24</v>
      </c>
      <c r="K109" s="31">
        <v>191</v>
      </c>
      <c r="L109" s="42"/>
    </row>
    <row r="110" spans="1:12" x14ac:dyDescent="0.25">
      <c r="A110" s="10">
        <f>IF(B110="","",_xlfn.AGGREGATE(3,5,$B$7:B110))</f>
        <v>104</v>
      </c>
      <c r="B110" s="52" t="s">
        <v>159</v>
      </c>
      <c r="C110" s="25" t="s">
        <v>300</v>
      </c>
      <c r="D110" s="7">
        <v>45215</v>
      </c>
      <c r="E110" s="6" t="s">
        <v>30</v>
      </c>
      <c r="F110" s="10" t="s">
        <v>87</v>
      </c>
      <c r="G110" s="10"/>
      <c r="H110" s="10" t="s">
        <v>24</v>
      </c>
      <c r="I110" s="10"/>
      <c r="J110" s="10"/>
      <c r="K110" s="31">
        <v>403</v>
      </c>
      <c r="L110" s="42"/>
    </row>
    <row r="111" spans="1:12" x14ac:dyDescent="0.25">
      <c r="A111" s="10">
        <f>IF(B111="","",_xlfn.AGGREGATE(3,5,$B$7:B111))</f>
        <v>105</v>
      </c>
      <c r="B111" s="52" t="s">
        <v>160</v>
      </c>
      <c r="C111" s="25" t="s">
        <v>301</v>
      </c>
      <c r="D111" s="7">
        <v>45215</v>
      </c>
      <c r="E111" s="6" t="s">
        <v>30</v>
      </c>
      <c r="F111" s="10" t="s">
        <v>87</v>
      </c>
      <c r="G111" s="10"/>
      <c r="H111" s="10" t="s">
        <v>24</v>
      </c>
      <c r="I111" s="10"/>
      <c r="J111" s="10"/>
      <c r="K111" s="31">
        <v>404</v>
      </c>
      <c r="L111" s="42"/>
    </row>
    <row r="112" spans="1:12" x14ac:dyDescent="0.25">
      <c r="A112" s="10">
        <f>IF(B112="","",_xlfn.AGGREGATE(3,5,$B$7:B112))</f>
        <v>106</v>
      </c>
      <c r="B112" s="6" t="s">
        <v>161</v>
      </c>
      <c r="C112" s="22" t="s">
        <v>302</v>
      </c>
      <c r="D112" s="7">
        <v>45215</v>
      </c>
      <c r="E112" s="6" t="s">
        <v>30</v>
      </c>
      <c r="F112" s="10" t="s">
        <v>87</v>
      </c>
      <c r="G112" s="10"/>
      <c r="H112" s="10" t="s">
        <v>24</v>
      </c>
      <c r="I112" s="10"/>
      <c r="J112" s="10"/>
      <c r="K112" s="31">
        <v>405</v>
      </c>
      <c r="L112" s="42"/>
    </row>
    <row r="113" spans="1:12" x14ac:dyDescent="0.25">
      <c r="A113" s="10">
        <f>IF(B113="","",_xlfn.AGGREGATE(3,5,$B$7:B113))</f>
        <v>107</v>
      </c>
      <c r="B113" s="6" t="s">
        <v>162</v>
      </c>
      <c r="C113" s="22" t="s">
        <v>303</v>
      </c>
      <c r="D113" s="7">
        <v>45215</v>
      </c>
      <c r="E113" s="6" t="s">
        <v>30</v>
      </c>
      <c r="F113" s="10" t="s">
        <v>87</v>
      </c>
      <c r="G113" s="10"/>
      <c r="H113" s="10" t="s">
        <v>24</v>
      </c>
      <c r="I113" s="10"/>
      <c r="J113" s="10"/>
      <c r="K113" s="31">
        <v>406</v>
      </c>
      <c r="L113" s="42"/>
    </row>
    <row r="114" spans="1:12" x14ac:dyDescent="0.25">
      <c r="A114" s="10">
        <f>IF(B114="","",_xlfn.AGGREGATE(3,5,$B$7:B114))</f>
        <v>108</v>
      </c>
      <c r="B114" s="6" t="s">
        <v>163</v>
      </c>
      <c r="C114" s="22" t="s">
        <v>304</v>
      </c>
      <c r="D114" s="7">
        <v>45215</v>
      </c>
      <c r="E114" s="6" t="s">
        <v>30</v>
      </c>
      <c r="F114" s="10" t="s">
        <v>87</v>
      </c>
      <c r="G114" s="10"/>
      <c r="H114" s="10" t="s">
        <v>24</v>
      </c>
      <c r="I114" s="10"/>
      <c r="J114" s="10"/>
      <c r="K114" s="31">
        <v>407</v>
      </c>
      <c r="L114" s="42"/>
    </row>
    <row r="115" spans="1:12" x14ac:dyDescent="0.25">
      <c r="A115" s="10">
        <f>IF(B115="","",_xlfn.AGGREGATE(3,5,$B$7:B115))</f>
        <v>109</v>
      </c>
      <c r="B115" s="6" t="s">
        <v>164</v>
      </c>
      <c r="C115" s="22" t="s">
        <v>305</v>
      </c>
      <c r="D115" s="7">
        <v>45215</v>
      </c>
      <c r="E115" s="6" t="s">
        <v>30</v>
      </c>
      <c r="F115" s="10" t="s">
        <v>87</v>
      </c>
      <c r="G115" s="10"/>
      <c r="H115" s="10" t="s">
        <v>24</v>
      </c>
      <c r="I115" s="10"/>
      <c r="J115" s="10"/>
      <c r="K115" s="31">
        <v>408</v>
      </c>
      <c r="L115" s="42"/>
    </row>
    <row r="116" spans="1:12" x14ac:dyDescent="0.25">
      <c r="A116" s="10">
        <f>IF(B116="","",_xlfn.AGGREGATE(3,5,$B$7:B116))</f>
        <v>110</v>
      </c>
      <c r="B116" s="17" t="s">
        <v>165</v>
      </c>
      <c r="C116" s="8" t="s">
        <v>306</v>
      </c>
      <c r="D116" s="7">
        <v>45215</v>
      </c>
      <c r="E116" s="6" t="s">
        <v>30</v>
      </c>
      <c r="F116" s="10" t="s">
        <v>87</v>
      </c>
      <c r="G116" s="10"/>
      <c r="H116" s="10" t="s">
        <v>23</v>
      </c>
      <c r="I116" s="10"/>
      <c r="J116" s="10"/>
      <c r="K116" s="31">
        <v>409</v>
      </c>
      <c r="L116" s="42"/>
    </row>
    <row r="117" spans="1:12" x14ac:dyDescent="0.25">
      <c r="A117" s="10">
        <f>IF(B117="","",_xlfn.AGGREGATE(3,5,$B$7:B117))</f>
        <v>111</v>
      </c>
      <c r="B117" s="6" t="s">
        <v>166</v>
      </c>
      <c r="C117" s="22" t="s">
        <v>307</v>
      </c>
      <c r="D117" s="7">
        <v>45222</v>
      </c>
      <c r="E117" s="6" t="s">
        <v>30</v>
      </c>
      <c r="F117" s="10" t="s">
        <v>39</v>
      </c>
      <c r="G117" s="10" t="s">
        <v>24</v>
      </c>
      <c r="H117" s="10"/>
      <c r="I117" s="10"/>
      <c r="J117" s="10"/>
      <c r="K117" s="31">
        <v>225</v>
      </c>
      <c r="L117" s="42"/>
    </row>
    <row r="118" spans="1:12" x14ac:dyDescent="0.25">
      <c r="A118" s="10">
        <f>IF(B118="","",_xlfn.AGGREGATE(3,5,$B$7:B118))</f>
        <v>112</v>
      </c>
      <c r="B118" s="6" t="s">
        <v>171</v>
      </c>
      <c r="C118" s="11" t="s">
        <v>308</v>
      </c>
      <c r="D118" s="7">
        <v>45240</v>
      </c>
      <c r="E118" s="26" t="s">
        <v>30</v>
      </c>
      <c r="F118" s="10" t="s">
        <v>87</v>
      </c>
      <c r="G118" s="10"/>
      <c r="H118" s="10" t="s">
        <v>24</v>
      </c>
      <c r="I118" s="10"/>
      <c r="J118" s="10"/>
      <c r="K118" s="31">
        <v>413</v>
      </c>
      <c r="L118" s="43"/>
    </row>
    <row r="119" spans="1:12" x14ac:dyDescent="0.25">
      <c r="A119" s="10">
        <f>IF(B119="","",_xlfn.AGGREGATE(3,5,$B$7:B119))</f>
        <v>113</v>
      </c>
      <c r="B119" s="6" t="s">
        <v>167</v>
      </c>
      <c r="C119" s="8" t="s">
        <v>309</v>
      </c>
      <c r="D119" s="7">
        <v>45240</v>
      </c>
      <c r="E119" s="6" t="s">
        <v>30</v>
      </c>
      <c r="F119" s="10" t="s">
        <v>87</v>
      </c>
      <c r="G119" s="10"/>
      <c r="H119" s="10" t="s">
        <v>24</v>
      </c>
      <c r="I119" s="10"/>
      <c r="J119" s="10"/>
      <c r="K119" s="31">
        <v>410</v>
      </c>
      <c r="L119" s="43"/>
    </row>
    <row r="120" spans="1:12" x14ac:dyDescent="0.25">
      <c r="A120" s="10">
        <f>IF(B120="","",_xlfn.AGGREGATE(3,5,$B$7:B120))</f>
        <v>114</v>
      </c>
      <c r="B120" s="6" t="s">
        <v>168</v>
      </c>
      <c r="C120" s="8" t="s">
        <v>310</v>
      </c>
      <c r="D120" s="7">
        <v>45233</v>
      </c>
      <c r="E120" s="6" t="s">
        <v>136</v>
      </c>
      <c r="F120" s="10" t="s">
        <v>20</v>
      </c>
      <c r="G120" s="10"/>
      <c r="H120" s="10"/>
      <c r="I120" s="10"/>
      <c r="J120" s="10" t="s">
        <v>24</v>
      </c>
      <c r="K120" s="31">
        <v>191</v>
      </c>
      <c r="L120" s="43"/>
    </row>
    <row r="121" spans="1:12" x14ac:dyDescent="0.25">
      <c r="A121" s="10">
        <f>IF(B121="","",_xlfn.AGGREGATE(3,5,$B$7:B121))</f>
        <v>115</v>
      </c>
      <c r="B121" s="6" t="s">
        <v>169</v>
      </c>
      <c r="C121" s="8" t="s">
        <v>311</v>
      </c>
      <c r="D121" s="7">
        <v>45236</v>
      </c>
      <c r="E121" s="6" t="s">
        <v>30</v>
      </c>
      <c r="F121" s="10" t="s">
        <v>19</v>
      </c>
      <c r="G121" s="10" t="s">
        <v>24</v>
      </c>
      <c r="H121" s="10"/>
      <c r="I121" s="10"/>
      <c r="J121" s="10"/>
      <c r="K121" s="31">
        <v>411</v>
      </c>
      <c r="L121" s="42"/>
    </row>
    <row r="122" spans="1:12" x14ac:dyDescent="0.25">
      <c r="A122" s="10">
        <f>IF(B122="","",_xlfn.AGGREGATE(3,5,$B$7:B122))</f>
        <v>116</v>
      </c>
      <c r="B122" s="6" t="s">
        <v>170</v>
      </c>
      <c r="C122" s="8" t="s">
        <v>312</v>
      </c>
      <c r="D122" s="7">
        <v>45238</v>
      </c>
      <c r="E122" s="6" t="s">
        <v>30</v>
      </c>
      <c r="F122" s="10" t="s">
        <v>87</v>
      </c>
      <c r="G122" s="10"/>
      <c r="H122" s="10" t="s">
        <v>24</v>
      </c>
      <c r="I122" s="10"/>
      <c r="J122" s="10"/>
      <c r="K122" s="31">
        <v>412</v>
      </c>
      <c r="L122" s="42"/>
    </row>
    <row r="123" spans="1:12" ht="42.75" x14ac:dyDescent="0.25">
      <c r="A123" s="10">
        <f>IF(B123="","",_xlfn.AGGREGATE(3,5,$B$7:B123))</f>
        <v>117</v>
      </c>
      <c r="B123" s="12" t="s">
        <v>172</v>
      </c>
      <c r="C123" s="8" t="s">
        <v>313</v>
      </c>
      <c r="D123" s="7">
        <v>45247</v>
      </c>
      <c r="E123" s="6" t="s">
        <v>173</v>
      </c>
      <c r="F123" s="10" t="s">
        <v>39</v>
      </c>
      <c r="G123" s="10" t="s">
        <v>24</v>
      </c>
      <c r="H123" s="10"/>
      <c r="I123" s="10"/>
      <c r="J123" s="10"/>
      <c r="K123" s="31">
        <v>189</v>
      </c>
      <c r="L123" s="42"/>
    </row>
    <row r="124" spans="1:12" ht="61.9" customHeight="1" x14ac:dyDescent="0.25">
      <c r="A124" s="10">
        <f>IF(B124="","",_xlfn.AGGREGATE(3,5,$B$7:B124))</f>
        <v>118</v>
      </c>
      <c r="B124" s="6" t="s">
        <v>40</v>
      </c>
      <c r="C124" s="6" t="s">
        <v>314</v>
      </c>
      <c r="D124" s="7">
        <v>45247</v>
      </c>
      <c r="E124" s="6" t="s">
        <v>173</v>
      </c>
      <c r="F124" s="10" t="s">
        <v>39</v>
      </c>
      <c r="G124" s="10" t="s">
        <v>24</v>
      </c>
      <c r="H124" s="10"/>
      <c r="I124" s="10"/>
      <c r="J124" s="10"/>
      <c r="K124" s="31">
        <v>323</v>
      </c>
      <c r="L124" s="42"/>
    </row>
    <row r="125" spans="1:12" ht="42.6" customHeight="1" x14ac:dyDescent="0.25">
      <c r="A125" s="10">
        <f>IF(B125="","",_xlfn.AGGREGATE(3,5,$B$7:B125))</f>
        <v>119</v>
      </c>
      <c r="B125" s="6" t="s">
        <v>188</v>
      </c>
      <c r="C125" s="8" t="s">
        <v>315</v>
      </c>
      <c r="D125" s="7">
        <v>45247</v>
      </c>
      <c r="E125" s="6" t="s">
        <v>174</v>
      </c>
      <c r="F125" s="10" t="s">
        <v>39</v>
      </c>
      <c r="G125" s="10" t="s">
        <v>24</v>
      </c>
      <c r="H125" s="10"/>
      <c r="I125" s="10"/>
      <c r="J125" s="10"/>
      <c r="K125" s="31">
        <v>224</v>
      </c>
      <c r="L125" s="42"/>
    </row>
    <row r="126" spans="1:12" x14ac:dyDescent="0.25">
      <c r="A126" s="10">
        <f>IF(B126="","",_xlfn.AGGREGATE(3,5,$B$7:B126))</f>
        <v>120</v>
      </c>
      <c r="B126" s="6" t="s">
        <v>175</v>
      </c>
      <c r="C126" s="8" t="s">
        <v>316</v>
      </c>
      <c r="D126" s="7">
        <v>45250</v>
      </c>
      <c r="E126" s="6" t="s">
        <v>136</v>
      </c>
      <c r="F126" s="10" t="s">
        <v>20</v>
      </c>
      <c r="G126" s="10" t="s">
        <v>24</v>
      </c>
      <c r="H126" s="10"/>
      <c r="I126" s="10"/>
      <c r="J126" s="10"/>
      <c r="K126" s="31">
        <v>81</v>
      </c>
      <c r="L126" s="42"/>
    </row>
    <row r="127" spans="1:12" x14ac:dyDescent="0.25">
      <c r="A127" s="10">
        <f>IF(B127="","",_xlfn.AGGREGATE(3,5,$B$7:B127))</f>
        <v>121</v>
      </c>
      <c r="B127" s="6" t="s">
        <v>176</v>
      </c>
      <c r="C127" s="22" t="s">
        <v>317</v>
      </c>
      <c r="D127" s="7">
        <v>45281</v>
      </c>
      <c r="E127" s="6" t="s">
        <v>177</v>
      </c>
      <c r="F127" s="10" t="s">
        <v>20</v>
      </c>
      <c r="G127" s="10" t="s">
        <v>24</v>
      </c>
      <c r="H127" s="10"/>
      <c r="I127" s="10"/>
      <c r="J127" s="10"/>
      <c r="K127" s="31">
        <v>325</v>
      </c>
      <c r="L127" s="43"/>
    </row>
    <row r="128" spans="1:12" x14ac:dyDescent="0.25">
      <c r="A128" s="10">
        <f>IF(B128="","",_xlfn.AGGREGATE(3,5,$B$7:B128))</f>
        <v>122</v>
      </c>
      <c r="B128" s="6" t="s">
        <v>178</v>
      </c>
      <c r="C128" s="8" t="s">
        <v>318</v>
      </c>
      <c r="D128" s="7">
        <v>45266</v>
      </c>
      <c r="E128" s="6" t="s">
        <v>30</v>
      </c>
      <c r="F128" s="10" t="s">
        <v>87</v>
      </c>
      <c r="G128" s="10"/>
      <c r="H128" s="10" t="s">
        <v>24</v>
      </c>
      <c r="I128" s="10"/>
      <c r="J128" s="10"/>
      <c r="K128" s="31">
        <v>414</v>
      </c>
      <c r="L128" s="42"/>
    </row>
    <row r="129" spans="1:12" ht="15" x14ac:dyDescent="0.25">
      <c r="A129" s="10">
        <f>IF(B129="","",_xlfn.AGGREGATE(3,5,$B$7:B129))</f>
        <v>123</v>
      </c>
      <c r="B129" s="4" t="s">
        <v>179</v>
      </c>
      <c r="C129" s="8" t="s">
        <v>319</v>
      </c>
      <c r="D129" s="7">
        <v>45266</v>
      </c>
      <c r="E129" s="6" t="s">
        <v>30</v>
      </c>
      <c r="F129" s="10" t="s">
        <v>87</v>
      </c>
      <c r="G129" s="10"/>
      <c r="H129" s="10" t="s">
        <v>24</v>
      </c>
      <c r="I129" s="10"/>
      <c r="J129" s="10"/>
      <c r="K129" s="31">
        <v>415</v>
      </c>
      <c r="L129" s="42"/>
    </row>
    <row r="130" spans="1:12" ht="15" x14ac:dyDescent="0.25">
      <c r="A130" s="10">
        <f>IF(B130="","",_xlfn.AGGREGATE(3,5,$B$7:B130))</f>
        <v>124</v>
      </c>
      <c r="B130" s="4" t="s">
        <v>180</v>
      </c>
      <c r="C130" s="8" t="s">
        <v>320</v>
      </c>
      <c r="D130" s="7">
        <v>45266</v>
      </c>
      <c r="E130" s="6" t="s">
        <v>30</v>
      </c>
      <c r="F130" s="10" t="s">
        <v>87</v>
      </c>
      <c r="G130" s="10"/>
      <c r="H130" s="10" t="s">
        <v>24</v>
      </c>
      <c r="I130" s="10"/>
      <c r="J130" s="10"/>
      <c r="K130" s="31">
        <v>416</v>
      </c>
      <c r="L130" s="42"/>
    </row>
    <row r="131" spans="1:12" x14ac:dyDescent="0.25">
      <c r="A131" s="10">
        <f>IF(B131="","",_xlfn.AGGREGATE(3,5,$B$7:B131))</f>
        <v>125</v>
      </c>
      <c r="B131" s="6" t="s">
        <v>181</v>
      </c>
      <c r="C131" s="8" t="s">
        <v>332</v>
      </c>
      <c r="D131" s="7">
        <v>45266</v>
      </c>
      <c r="E131" s="6" t="s">
        <v>30</v>
      </c>
      <c r="F131" s="10" t="s">
        <v>87</v>
      </c>
      <c r="G131" s="10"/>
      <c r="H131" s="10" t="s">
        <v>24</v>
      </c>
      <c r="I131" s="10"/>
      <c r="J131" s="10"/>
      <c r="K131" s="31">
        <v>417</v>
      </c>
      <c r="L131" s="42"/>
    </row>
    <row r="132" spans="1:12" x14ac:dyDescent="0.25">
      <c r="A132" s="10">
        <f>IF(B132="","",_xlfn.AGGREGATE(3,5,$B$7:B132))</f>
        <v>126</v>
      </c>
      <c r="B132" s="6" t="s">
        <v>182</v>
      </c>
      <c r="C132" s="8" t="s">
        <v>321</v>
      </c>
      <c r="D132" s="7">
        <v>45299</v>
      </c>
      <c r="E132" s="6" t="s">
        <v>183</v>
      </c>
      <c r="F132" s="10" t="s">
        <v>87</v>
      </c>
      <c r="G132" s="10"/>
      <c r="H132" s="10" t="s">
        <v>24</v>
      </c>
      <c r="I132" s="10"/>
      <c r="J132" s="10"/>
      <c r="K132" s="31">
        <v>15</v>
      </c>
      <c r="L132" s="42"/>
    </row>
    <row r="133" spans="1:12" x14ac:dyDescent="0.25">
      <c r="A133" s="10">
        <f>IF(B133="","",_xlfn.AGGREGATE(3,5,$B$7:B133))</f>
        <v>127</v>
      </c>
      <c r="B133" s="6" t="s">
        <v>114</v>
      </c>
      <c r="C133" s="8" t="s">
        <v>322</v>
      </c>
      <c r="D133" s="7">
        <v>45299</v>
      </c>
      <c r="E133" s="6" t="s">
        <v>183</v>
      </c>
      <c r="F133" s="10" t="s">
        <v>87</v>
      </c>
      <c r="G133" s="10"/>
      <c r="H133" s="10" t="s">
        <v>24</v>
      </c>
      <c r="I133" s="10"/>
      <c r="J133" s="10"/>
      <c r="K133" s="31">
        <v>5</v>
      </c>
      <c r="L133" s="42"/>
    </row>
    <row r="134" spans="1:12" x14ac:dyDescent="0.25">
      <c r="A134" s="10">
        <f>IF(B134="","",_xlfn.AGGREGATE(3,5,$B$7:B134))</f>
        <v>128</v>
      </c>
      <c r="B134" s="6" t="s">
        <v>184</v>
      </c>
      <c r="C134" s="8" t="s">
        <v>323</v>
      </c>
      <c r="D134" s="7">
        <v>45299</v>
      </c>
      <c r="E134" s="6" t="s">
        <v>183</v>
      </c>
      <c r="F134" s="10" t="s">
        <v>87</v>
      </c>
      <c r="G134" s="10"/>
      <c r="H134" s="10" t="s">
        <v>24</v>
      </c>
      <c r="I134" s="10"/>
      <c r="J134" s="10"/>
      <c r="K134" s="31">
        <v>1</v>
      </c>
      <c r="L134" s="42"/>
    </row>
    <row r="135" spans="1:12" x14ac:dyDescent="0.25">
      <c r="A135" s="10">
        <f>IF(B135="","",_xlfn.AGGREGATE(3,5,$B$7:B135))</f>
        <v>129</v>
      </c>
      <c r="B135" s="6" t="s">
        <v>185</v>
      </c>
      <c r="C135" s="8" t="s">
        <v>324</v>
      </c>
      <c r="D135" s="7">
        <v>45299</v>
      </c>
      <c r="E135" s="6" t="s">
        <v>183</v>
      </c>
      <c r="F135" s="10" t="s">
        <v>87</v>
      </c>
      <c r="G135" s="10"/>
      <c r="H135" s="10" t="s">
        <v>24</v>
      </c>
      <c r="I135" s="10"/>
      <c r="J135" s="10"/>
      <c r="K135" s="31">
        <v>7</v>
      </c>
      <c r="L135" s="42"/>
    </row>
    <row r="136" spans="1:12" x14ac:dyDescent="0.25">
      <c r="A136" s="10">
        <f>IF(B136="","",_xlfn.AGGREGATE(3,5,$B$7:B136))</f>
        <v>130</v>
      </c>
      <c r="B136" s="6" t="s">
        <v>186</v>
      </c>
      <c r="C136" s="8" t="s">
        <v>325</v>
      </c>
      <c r="D136" s="7">
        <v>45299</v>
      </c>
      <c r="E136" s="6" t="s">
        <v>183</v>
      </c>
      <c r="F136" s="10" t="s">
        <v>87</v>
      </c>
      <c r="G136" s="10"/>
      <c r="H136" s="10" t="s">
        <v>24</v>
      </c>
      <c r="I136" s="10"/>
      <c r="J136" s="10"/>
      <c r="K136" s="31">
        <v>2</v>
      </c>
      <c r="L136" s="42"/>
    </row>
    <row r="137" spans="1:12" x14ac:dyDescent="0.25">
      <c r="A137" s="10">
        <f>IF(B137="","",_xlfn.AGGREGATE(3,5,$B$7:B137))</f>
        <v>131</v>
      </c>
      <c r="B137" s="6" t="s">
        <v>187</v>
      </c>
      <c r="C137" s="8" t="s">
        <v>326</v>
      </c>
      <c r="D137" s="7">
        <v>45289</v>
      </c>
      <c r="E137" s="6" t="s">
        <v>136</v>
      </c>
      <c r="F137" s="10" t="s">
        <v>20</v>
      </c>
      <c r="G137" s="10"/>
      <c r="H137" s="10"/>
      <c r="I137" s="10"/>
      <c r="J137" s="10" t="s">
        <v>24</v>
      </c>
      <c r="K137" s="31">
        <v>112</v>
      </c>
      <c r="L137" s="42"/>
    </row>
    <row r="138" spans="1:12" x14ac:dyDescent="0.25">
      <c r="A138" s="10">
        <f>IF(B138="","",_xlfn.AGGREGATE(3,5,$B$7:B138))</f>
        <v>132</v>
      </c>
      <c r="B138" s="6" t="s">
        <v>189</v>
      </c>
      <c r="C138" s="8" t="s">
        <v>327</v>
      </c>
      <c r="D138" s="7">
        <v>45307</v>
      </c>
      <c r="E138" s="26" t="s">
        <v>136</v>
      </c>
      <c r="F138" s="10" t="s">
        <v>20</v>
      </c>
      <c r="G138" s="10"/>
      <c r="H138" s="10"/>
      <c r="I138" s="10"/>
      <c r="J138" s="10" t="s">
        <v>24</v>
      </c>
      <c r="K138" s="31">
        <v>180</v>
      </c>
      <c r="L138" s="42"/>
    </row>
    <row r="139" spans="1:12" x14ac:dyDescent="0.25">
      <c r="A139" s="10">
        <f>IF(B139="","",_xlfn.AGGREGATE(3,5,$B$7:B139))</f>
        <v>133</v>
      </c>
      <c r="B139" s="6" t="s">
        <v>341</v>
      </c>
      <c r="C139" s="8" t="s">
        <v>342</v>
      </c>
      <c r="D139" s="7">
        <v>45307</v>
      </c>
      <c r="E139" s="6" t="s">
        <v>136</v>
      </c>
      <c r="F139" s="10" t="s">
        <v>20</v>
      </c>
      <c r="G139" s="10"/>
      <c r="H139" s="10"/>
      <c r="I139" s="10"/>
      <c r="J139" s="10" t="s">
        <v>24</v>
      </c>
      <c r="K139" s="31">
        <v>191</v>
      </c>
      <c r="L139" s="42"/>
    </row>
    <row r="140" spans="1:12" ht="28.5" x14ac:dyDescent="0.25">
      <c r="A140" s="10">
        <f>IF(B140="","",_xlfn.AGGREGATE(3,5,$B$7:B140))</f>
        <v>134</v>
      </c>
      <c r="B140" s="6" t="s">
        <v>133</v>
      </c>
      <c r="C140" s="8" t="s">
        <v>328</v>
      </c>
      <c r="D140" s="7">
        <v>45317</v>
      </c>
      <c r="E140" s="24" t="s">
        <v>190</v>
      </c>
      <c r="F140" s="10" t="s">
        <v>20</v>
      </c>
      <c r="G140" s="10"/>
      <c r="H140" s="10"/>
      <c r="I140" s="10"/>
      <c r="J140" s="10" t="s">
        <v>24</v>
      </c>
      <c r="K140" s="31">
        <v>392</v>
      </c>
      <c r="L140" s="42"/>
    </row>
    <row r="141" spans="1:12" x14ac:dyDescent="0.25">
      <c r="A141" s="10">
        <f>IF(B141="","",_xlfn.AGGREGATE(3,5,$B$7:B141))</f>
        <v>135</v>
      </c>
      <c r="B141" s="6" t="s">
        <v>191</v>
      </c>
      <c r="C141" s="8" t="s">
        <v>329</v>
      </c>
      <c r="D141" s="7">
        <v>45320</v>
      </c>
      <c r="E141" s="6" t="s">
        <v>136</v>
      </c>
      <c r="F141" s="10" t="s">
        <v>20</v>
      </c>
      <c r="G141" s="10" t="s">
        <v>24</v>
      </c>
      <c r="H141" s="10"/>
      <c r="I141" s="10"/>
      <c r="J141" s="10"/>
      <c r="K141" s="31">
        <v>81</v>
      </c>
      <c r="L141" s="42"/>
    </row>
    <row r="142" spans="1:12" ht="28.5" x14ac:dyDescent="0.25">
      <c r="A142" s="10">
        <f>IF(B142="","",_xlfn.AGGREGATE(3,5,$B$7:B142))</f>
        <v>136</v>
      </c>
      <c r="B142" s="46" t="s">
        <v>192</v>
      </c>
      <c r="C142" s="36" t="s">
        <v>330</v>
      </c>
      <c r="D142" s="10"/>
      <c r="E142" s="6" t="s">
        <v>193</v>
      </c>
      <c r="F142" s="10" t="s">
        <v>39</v>
      </c>
      <c r="G142" s="10"/>
      <c r="H142" s="10"/>
      <c r="I142" s="10" t="s">
        <v>24</v>
      </c>
      <c r="J142" s="10"/>
      <c r="K142" s="31">
        <v>369</v>
      </c>
      <c r="L142" s="42"/>
    </row>
    <row r="143" spans="1:12" x14ac:dyDescent="0.25">
      <c r="A143" s="10">
        <f>IF(B143="","",_xlfn.AGGREGATE(3,5,$B$7:B143))</f>
        <v>137</v>
      </c>
      <c r="B143" s="6" t="s">
        <v>194</v>
      </c>
      <c r="C143" s="8" t="s">
        <v>331</v>
      </c>
      <c r="D143" s="7">
        <v>45366</v>
      </c>
      <c r="E143" s="6" t="s">
        <v>30</v>
      </c>
      <c r="F143" s="10" t="s">
        <v>87</v>
      </c>
      <c r="G143" s="10"/>
      <c r="H143" s="10" t="s">
        <v>24</v>
      </c>
      <c r="I143" s="10"/>
      <c r="J143" s="10"/>
      <c r="K143" s="31">
        <v>418</v>
      </c>
      <c r="L143" s="42"/>
    </row>
    <row r="144" spans="1:12" x14ac:dyDescent="0.25">
      <c r="A144" s="10">
        <f>IF(B144="","",_xlfn.AGGREGATE(3,5,$B$7:B144))</f>
        <v>138</v>
      </c>
      <c r="B144" s="6" t="s">
        <v>150</v>
      </c>
      <c r="C144" s="8" t="s">
        <v>334</v>
      </c>
      <c r="D144" s="7">
        <v>45363</v>
      </c>
      <c r="E144" s="26" t="s">
        <v>333</v>
      </c>
      <c r="F144" s="10" t="s">
        <v>20</v>
      </c>
      <c r="G144" s="10" t="s">
        <v>24</v>
      </c>
      <c r="H144" s="10"/>
      <c r="I144" s="10"/>
      <c r="J144" s="28"/>
      <c r="K144" s="31">
        <v>347</v>
      </c>
      <c r="L144" s="43"/>
    </row>
    <row r="145" spans="1:13" x14ac:dyDescent="0.25">
      <c r="A145" s="10">
        <f>IF(B145="","",_xlfn.AGGREGATE(3,5,$B$7:B145))</f>
        <v>139</v>
      </c>
      <c r="B145" s="6" t="s">
        <v>167</v>
      </c>
      <c r="C145" s="8" t="s">
        <v>335</v>
      </c>
      <c r="D145" s="7">
        <v>44998</v>
      </c>
      <c r="E145" s="6" t="s">
        <v>336</v>
      </c>
      <c r="F145" s="10" t="s">
        <v>87</v>
      </c>
      <c r="G145" s="10"/>
      <c r="H145" s="10" t="s">
        <v>24</v>
      </c>
      <c r="I145" s="10"/>
      <c r="J145" s="10"/>
      <c r="K145" s="31">
        <v>410</v>
      </c>
      <c r="L145" s="42"/>
    </row>
    <row r="146" spans="1:13" x14ac:dyDescent="0.25">
      <c r="A146" s="10">
        <f>IF(B146="","",_xlfn.AGGREGATE(3,5,$B$7:B146))</f>
        <v>140</v>
      </c>
      <c r="B146" s="6" t="s">
        <v>337</v>
      </c>
      <c r="C146" s="8" t="s">
        <v>338</v>
      </c>
      <c r="D146" s="7">
        <v>45366</v>
      </c>
      <c r="E146" s="6" t="s">
        <v>30</v>
      </c>
      <c r="F146" s="10" t="s">
        <v>87</v>
      </c>
      <c r="G146" s="10"/>
      <c r="H146" s="10" t="s">
        <v>24</v>
      </c>
      <c r="I146" s="10"/>
      <c r="J146" s="10"/>
      <c r="K146" s="31">
        <v>419</v>
      </c>
      <c r="L146" s="42"/>
    </row>
    <row r="147" spans="1:13" s="82" customFormat="1" ht="42.75" x14ac:dyDescent="0.25">
      <c r="A147" s="27">
        <f>IF(B147="","",_xlfn.AGGREGATE(3,5,$B$7:B147))</f>
        <v>141</v>
      </c>
      <c r="B147" s="17" t="s">
        <v>375</v>
      </c>
      <c r="C147" s="20" t="s">
        <v>339</v>
      </c>
      <c r="D147" s="93">
        <v>45377</v>
      </c>
      <c r="E147" s="17" t="s">
        <v>340</v>
      </c>
      <c r="F147" s="27" t="s">
        <v>87</v>
      </c>
      <c r="G147" s="27"/>
      <c r="H147" s="27" t="s">
        <v>23</v>
      </c>
      <c r="I147" s="27"/>
      <c r="J147" s="27"/>
      <c r="K147" s="80">
        <v>271</v>
      </c>
      <c r="L147" s="94">
        <v>725000</v>
      </c>
      <c r="M147" s="17" t="s">
        <v>811</v>
      </c>
    </row>
    <row r="148" spans="1:13" x14ac:dyDescent="0.25">
      <c r="A148" s="10">
        <f>IF(B148="","",_xlfn.AGGREGATE(3,5,$B$7:B148))</f>
        <v>142</v>
      </c>
      <c r="B148" s="6" t="s">
        <v>88</v>
      </c>
      <c r="C148" s="22" t="s">
        <v>344</v>
      </c>
      <c r="D148" s="7">
        <v>45386</v>
      </c>
      <c r="E148" s="6" t="s">
        <v>336</v>
      </c>
      <c r="F148" s="10" t="s">
        <v>87</v>
      </c>
      <c r="G148" s="10"/>
      <c r="H148" s="10" t="s">
        <v>23</v>
      </c>
      <c r="I148" s="10"/>
      <c r="J148" s="28"/>
      <c r="K148" s="31">
        <v>1</v>
      </c>
      <c r="L148" s="42">
        <v>433000</v>
      </c>
    </row>
    <row r="149" spans="1:13" ht="28.5" x14ac:dyDescent="0.25">
      <c r="A149" s="10">
        <f>IF(B149="","",_xlfn.AGGREGATE(3,5,$B$7:B149))</f>
        <v>143</v>
      </c>
      <c r="B149" s="6" t="s">
        <v>178</v>
      </c>
      <c r="C149" s="8" t="s">
        <v>343</v>
      </c>
      <c r="D149" s="7">
        <v>45386</v>
      </c>
      <c r="E149" s="6" t="s">
        <v>340</v>
      </c>
      <c r="F149" s="10" t="s">
        <v>87</v>
      </c>
      <c r="G149" s="10"/>
      <c r="H149" s="10" t="s">
        <v>24</v>
      </c>
      <c r="I149" s="10"/>
      <c r="J149" s="10"/>
      <c r="K149" s="31">
        <v>414</v>
      </c>
      <c r="L149" s="42">
        <v>0</v>
      </c>
    </row>
    <row r="150" spans="1:13" ht="28.5" x14ac:dyDescent="0.25">
      <c r="A150" s="10">
        <f>IF(B150="","",_xlfn.AGGREGATE(3,5,$B$7:B150))</f>
        <v>144</v>
      </c>
      <c r="B150" s="53" t="s">
        <v>186</v>
      </c>
      <c r="C150" s="8" t="s">
        <v>345</v>
      </c>
      <c r="D150" s="7">
        <v>45386</v>
      </c>
      <c r="E150" s="6" t="s">
        <v>340</v>
      </c>
      <c r="F150" s="10" t="s">
        <v>87</v>
      </c>
      <c r="G150" s="10"/>
      <c r="H150" s="10" t="s">
        <v>24</v>
      </c>
      <c r="I150" s="10"/>
      <c r="J150" s="10"/>
      <c r="K150" s="31">
        <v>2</v>
      </c>
      <c r="L150" s="42">
        <v>405000</v>
      </c>
    </row>
    <row r="151" spans="1:13" ht="28.5" x14ac:dyDescent="0.25">
      <c r="A151" s="10">
        <f>IF(B151="","",_xlfn.AGGREGATE(3,5,$B$7:B151))</f>
        <v>145</v>
      </c>
      <c r="B151" s="4" t="s">
        <v>179</v>
      </c>
      <c r="C151" s="8" t="s">
        <v>346</v>
      </c>
      <c r="D151" s="7">
        <v>45386</v>
      </c>
      <c r="E151" s="6" t="s">
        <v>340</v>
      </c>
      <c r="F151" s="10" t="s">
        <v>87</v>
      </c>
      <c r="G151" s="10"/>
      <c r="H151" s="10" t="s">
        <v>24</v>
      </c>
      <c r="I151" s="10"/>
      <c r="J151" s="10"/>
      <c r="K151" s="31">
        <v>415</v>
      </c>
      <c r="L151" s="42">
        <v>0</v>
      </c>
    </row>
    <row r="152" spans="1:13" ht="64.150000000000006" customHeight="1" x14ac:dyDescent="0.25">
      <c r="A152" s="10">
        <f>IF(B152="","",_xlfn.AGGREGATE(3,5,$B$7:B152))</f>
        <v>146</v>
      </c>
      <c r="B152" s="6" t="s">
        <v>95</v>
      </c>
      <c r="C152" s="22" t="s">
        <v>347</v>
      </c>
      <c r="D152" s="7">
        <v>45386</v>
      </c>
      <c r="E152" s="6" t="s">
        <v>340</v>
      </c>
      <c r="F152" s="10" t="s">
        <v>87</v>
      </c>
      <c r="G152" s="10"/>
      <c r="H152" s="10" t="s">
        <v>24</v>
      </c>
      <c r="I152" s="10"/>
      <c r="J152" s="10"/>
      <c r="K152" s="31">
        <v>3</v>
      </c>
      <c r="L152" s="42">
        <v>333000</v>
      </c>
    </row>
    <row r="153" spans="1:13" ht="28.5" x14ac:dyDescent="0.25">
      <c r="A153" s="10">
        <f>IF(B153="","",_xlfn.AGGREGATE(3,5,$B$7:B153))</f>
        <v>147</v>
      </c>
      <c r="B153" s="6" t="s">
        <v>164</v>
      </c>
      <c r="C153" s="22" t="s">
        <v>348</v>
      </c>
      <c r="D153" s="7">
        <v>45386</v>
      </c>
      <c r="E153" s="6" t="s">
        <v>340</v>
      </c>
      <c r="F153" s="10" t="s">
        <v>87</v>
      </c>
      <c r="G153" s="10"/>
      <c r="H153" s="10" t="s">
        <v>24</v>
      </c>
      <c r="I153" s="10"/>
      <c r="J153" s="10"/>
      <c r="K153" s="31">
        <v>408</v>
      </c>
      <c r="L153" s="42">
        <v>0</v>
      </c>
    </row>
    <row r="154" spans="1:13" ht="28.5" x14ac:dyDescent="0.25">
      <c r="A154" s="10">
        <f>IF(B154="","",_xlfn.AGGREGATE(3,5,$B$7:B154))</f>
        <v>148</v>
      </c>
      <c r="B154" s="6" t="s">
        <v>94</v>
      </c>
      <c r="C154" s="22" t="s">
        <v>349</v>
      </c>
      <c r="D154" s="7">
        <v>45386</v>
      </c>
      <c r="E154" s="6" t="s">
        <v>340</v>
      </c>
      <c r="F154" s="10" t="s">
        <v>87</v>
      </c>
      <c r="G154" s="10"/>
      <c r="H154" s="10" t="s">
        <v>24</v>
      </c>
      <c r="I154" s="10"/>
      <c r="J154" s="10"/>
      <c r="K154" s="31">
        <v>4</v>
      </c>
      <c r="L154" s="42">
        <v>365000</v>
      </c>
    </row>
    <row r="155" spans="1:13" ht="28.5" x14ac:dyDescent="0.25">
      <c r="A155" s="10">
        <f>IF(B155="","",_xlfn.AGGREGATE(3,5,$B$7:B155))</f>
        <v>149</v>
      </c>
      <c r="B155" s="6" t="s">
        <v>163</v>
      </c>
      <c r="C155" s="22" t="s">
        <v>350</v>
      </c>
      <c r="D155" s="7">
        <v>45386</v>
      </c>
      <c r="E155" s="6" t="s">
        <v>340</v>
      </c>
      <c r="F155" s="10" t="s">
        <v>87</v>
      </c>
      <c r="G155" s="10"/>
      <c r="H155" s="10" t="s">
        <v>24</v>
      </c>
      <c r="I155" s="10"/>
      <c r="J155" s="10"/>
      <c r="K155" s="31">
        <v>407</v>
      </c>
      <c r="L155" s="42">
        <v>0</v>
      </c>
    </row>
    <row r="156" spans="1:13" ht="28.5" x14ac:dyDescent="0.25">
      <c r="A156" s="10">
        <f>IF(B156="","",_xlfn.AGGREGATE(3,5,$B$7:B156))</f>
        <v>150</v>
      </c>
      <c r="B156" s="6" t="s">
        <v>114</v>
      </c>
      <c r="C156" s="8" t="s">
        <v>351</v>
      </c>
      <c r="D156" s="7">
        <v>45386</v>
      </c>
      <c r="E156" s="6" t="s">
        <v>340</v>
      </c>
      <c r="F156" s="10" t="s">
        <v>87</v>
      </c>
      <c r="G156" s="10"/>
      <c r="H156" s="10" t="s">
        <v>24</v>
      </c>
      <c r="I156" s="10"/>
      <c r="J156" s="10"/>
      <c r="K156" s="31">
        <v>5</v>
      </c>
      <c r="L156" s="42">
        <v>451000</v>
      </c>
    </row>
    <row r="157" spans="1:13" ht="28.5" x14ac:dyDescent="0.25">
      <c r="A157" s="10">
        <f>IF(B157="","",_xlfn.AGGREGATE(3,5,$B$7:B157))</f>
        <v>151</v>
      </c>
      <c r="B157" s="6" t="s">
        <v>105</v>
      </c>
      <c r="C157" s="22" t="s">
        <v>352</v>
      </c>
      <c r="D157" s="7">
        <v>45386</v>
      </c>
      <c r="E157" s="6" t="s">
        <v>340</v>
      </c>
      <c r="F157" s="10" t="s">
        <v>87</v>
      </c>
      <c r="G157" s="10"/>
      <c r="H157" s="10" t="s">
        <v>23</v>
      </c>
      <c r="I157" s="10"/>
      <c r="J157" s="10"/>
      <c r="K157" s="31">
        <v>6</v>
      </c>
      <c r="L157" s="42">
        <v>450000</v>
      </c>
    </row>
    <row r="158" spans="1:13" ht="28.5" x14ac:dyDescent="0.25">
      <c r="A158" s="10">
        <f>IF(B158="","",_xlfn.AGGREGATE(3,5,$B$7:B158))</f>
        <v>152</v>
      </c>
      <c r="B158" s="6" t="s">
        <v>170</v>
      </c>
      <c r="C158" s="8" t="s">
        <v>353</v>
      </c>
      <c r="D158" s="7">
        <v>45386</v>
      </c>
      <c r="E158" s="6" t="s">
        <v>340</v>
      </c>
      <c r="F158" s="10" t="s">
        <v>87</v>
      </c>
      <c r="G158" s="10"/>
      <c r="H158" s="10" t="s">
        <v>24</v>
      </c>
      <c r="I158" s="10"/>
      <c r="J158" s="10"/>
      <c r="K158" s="31">
        <v>412</v>
      </c>
      <c r="L158" s="42">
        <v>0</v>
      </c>
    </row>
    <row r="159" spans="1:13" ht="28.5" x14ac:dyDescent="0.25">
      <c r="A159" s="10">
        <f>IF(B159="","",_xlfn.AGGREGATE(3,5,$B$7:B159))</f>
        <v>153</v>
      </c>
      <c r="B159" s="6" t="s">
        <v>185</v>
      </c>
      <c r="C159" s="8" t="s">
        <v>354</v>
      </c>
      <c r="D159" s="7">
        <v>45386</v>
      </c>
      <c r="E159" s="6" t="s">
        <v>340</v>
      </c>
      <c r="F159" s="10" t="s">
        <v>87</v>
      </c>
      <c r="G159" s="10"/>
      <c r="H159" s="10" t="s">
        <v>24</v>
      </c>
      <c r="I159" s="10"/>
      <c r="J159" s="10"/>
      <c r="K159" s="31">
        <v>7</v>
      </c>
      <c r="L159" s="42">
        <v>347000</v>
      </c>
    </row>
    <row r="160" spans="1:13" ht="28.5" x14ac:dyDescent="0.25">
      <c r="A160" s="10">
        <f>IF(B160="","",_xlfn.AGGREGATE(3,5,$B$7:B160))</f>
        <v>154</v>
      </c>
      <c r="B160" s="6" t="s">
        <v>171</v>
      </c>
      <c r="C160" s="11" t="s">
        <v>355</v>
      </c>
      <c r="D160" s="7">
        <v>45386</v>
      </c>
      <c r="E160" s="6" t="s">
        <v>340</v>
      </c>
      <c r="F160" s="10" t="s">
        <v>87</v>
      </c>
      <c r="G160" s="10"/>
      <c r="H160" s="10" t="s">
        <v>24</v>
      </c>
      <c r="I160" s="10"/>
      <c r="J160" s="10"/>
      <c r="K160" s="31">
        <v>413</v>
      </c>
      <c r="L160" s="42">
        <v>320000</v>
      </c>
    </row>
    <row r="161" spans="1:12" ht="28.5" x14ac:dyDescent="0.25">
      <c r="A161" s="10">
        <f>IF(B161="","",_xlfn.AGGREGATE(3,5,$B$7:B161))</f>
        <v>155</v>
      </c>
      <c r="B161" s="6" t="s">
        <v>90</v>
      </c>
      <c r="C161" s="22" t="s">
        <v>356</v>
      </c>
      <c r="D161" s="7">
        <v>45386</v>
      </c>
      <c r="E161" s="6" t="s">
        <v>340</v>
      </c>
      <c r="F161" s="10" t="s">
        <v>87</v>
      </c>
      <c r="G161" s="10"/>
      <c r="H161" s="10" t="s">
        <v>24</v>
      </c>
      <c r="I161" s="10"/>
      <c r="J161" s="10"/>
      <c r="K161" s="31">
        <v>10</v>
      </c>
      <c r="L161" s="42">
        <v>317000</v>
      </c>
    </row>
    <row r="162" spans="1:12" ht="28.5" x14ac:dyDescent="0.25">
      <c r="A162" s="10">
        <f>IF(B162="","",_xlfn.AGGREGATE(3,5,$B$7:B162))</f>
        <v>156</v>
      </c>
      <c r="B162" s="6" t="s">
        <v>161</v>
      </c>
      <c r="C162" s="22" t="s">
        <v>357</v>
      </c>
      <c r="D162" s="7">
        <v>45386</v>
      </c>
      <c r="E162" s="6" t="s">
        <v>340</v>
      </c>
      <c r="F162" s="10" t="s">
        <v>87</v>
      </c>
      <c r="G162" s="10"/>
      <c r="H162" s="10" t="s">
        <v>24</v>
      </c>
      <c r="I162" s="10"/>
      <c r="J162" s="10"/>
      <c r="K162" s="31">
        <v>10</v>
      </c>
      <c r="L162" s="42">
        <v>0</v>
      </c>
    </row>
    <row r="163" spans="1:12" ht="28.5" x14ac:dyDescent="0.25">
      <c r="A163" s="10">
        <f>IF(B163="","",_xlfn.AGGREGATE(3,5,$B$7:B163))</f>
        <v>157</v>
      </c>
      <c r="B163" s="6" t="s">
        <v>92</v>
      </c>
      <c r="C163" s="22" t="s">
        <v>358</v>
      </c>
      <c r="D163" s="7">
        <v>45386</v>
      </c>
      <c r="E163" s="6" t="s">
        <v>340</v>
      </c>
      <c r="F163" s="10" t="s">
        <v>87</v>
      </c>
      <c r="G163" s="10"/>
      <c r="H163" s="10" t="s">
        <v>24</v>
      </c>
      <c r="I163" s="10"/>
      <c r="J163" s="10"/>
      <c r="K163" s="31">
        <v>11</v>
      </c>
      <c r="L163" s="42">
        <v>262000</v>
      </c>
    </row>
    <row r="164" spans="1:12" ht="28.5" x14ac:dyDescent="0.25">
      <c r="A164" s="10">
        <f>IF(B164="","",_xlfn.AGGREGATE(3,5,$B$7:B164))</f>
        <v>158</v>
      </c>
      <c r="B164" s="6" t="s">
        <v>162</v>
      </c>
      <c r="C164" s="22" t="s">
        <v>359</v>
      </c>
      <c r="D164" s="7">
        <v>45386</v>
      </c>
      <c r="E164" s="6" t="s">
        <v>340</v>
      </c>
      <c r="F164" s="10" t="s">
        <v>87</v>
      </c>
      <c r="G164" s="10"/>
      <c r="H164" s="10" t="s">
        <v>24</v>
      </c>
      <c r="I164" s="10"/>
      <c r="J164" s="10"/>
      <c r="K164" s="31">
        <v>406</v>
      </c>
      <c r="L164" s="42">
        <v>0</v>
      </c>
    </row>
    <row r="165" spans="1:12" ht="28.5" x14ac:dyDescent="0.25">
      <c r="A165" s="10">
        <f>IF(B165="","",_xlfn.AGGREGATE(3,5,$B$7:B165))</f>
        <v>159</v>
      </c>
      <c r="B165" s="6" t="s">
        <v>373</v>
      </c>
      <c r="C165" s="22" t="s">
        <v>360</v>
      </c>
      <c r="D165" s="7">
        <v>45386</v>
      </c>
      <c r="E165" s="6" t="s">
        <v>340</v>
      </c>
      <c r="F165" s="10" t="s">
        <v>87</v>
      </c>
      <c r="G165" s="10"/>
      <c r="H165" s="10" t="s">
        <v>23</v>
      </c>
      <c r="I165" s="10"/>
      <c r="J165" s="10"/>
      <c r="K165" s="31">
        <v>12</v>
      </c>
      <c r="L165" s="42">
        <v>555000</v>
      </c>
    </row>
    <row r="166" spans="1:12" ht="28.5" x14ac:dyDescent="0.25">
      <c r="A166" s="10">
        <f>IF(B166="","",_xlfn.AGGREGATE(3,5,$B$7:B166))</f>
        <v>160</v>
      </c>
      <c r="B166" s="4" t="s">
        <v>180</v>
      </c>
      <c r="C166" s="8" t="s">
        <v>361</v>
      </c>
      <c r="D166" s="7">
        <v>45386</v>
      </c>
      <c r="E166" s="6" t="s">
        <v>340</v>
      </c>
      <c r="F166" s="10" t="s">
        <v>87</v>
      </c>
      <c r="G166" s="10"/>
      <c r="H166" s="10" t="s">
        <v>24</v>
      </c>
      <c r="I166" s="10"/>
      <c r="J166" s="10"/>
      <c r="K166" s="31">
        <v>416</v>
      </c>
      <c r="L166" s="42">
        <v>0</v>
      </c>
    </row>
    <row r="167" spans="1:12" ht="28.5" x14ac:dyDescent="0.25">
      <c r="A167" s="10">
        <f>IF(B167="","",_xlfn.AGGREGATE(3,5,$B$7:B167))</f>
        <v>161</v>
      </c>
      <c r="B167" s="6" t="s">
        <v>165</v>
      </c>
      <c r="C167" s="8" t="s">
        <v>362</v>
      </c>
      <c r="D167" s="7">
        <v>45386</v>
      </c>
      <c r="E167" s="6" t="s">
        <v>340</v>
      </c>
      <c r="F167" s="10" t="s">
        <v>87</v>
      </c>
      <c r="G167" s="10"/>
      <c r="H167" s="10" t="s">
        <v>23</v>
      </c>
      <c r="I167" s="10"/>
      <c r="J167" s="10"/>
      <c r="K167" s="31">
        <v>409</v>
      </c>
      <c r="L167" s="42">
        <v>0</v>
      </c>
    </row>
    <row r="168" spans="1:12" ht="28.5" x14ac:dyDescent="0.25">
      <c r="A168" s="10">
        <f>IF(B168="","",_xlfn.AGGREGATE(3,5,$B$7:B168))</f>
        <v>162</v>
      </c>
      <c r="B168" s="6" t="s">
        <v>108</v>
      </c>
      <c r="C168" s="22" t="s">
        <v>363</v>
      </c>
      <c r="D168" s="7">
        <v>45386</v>
      </c>
      <c r="E168" s="6" t="s">
        <v>340</v>
      </c>
      <c r="F168" s="10" t="s">
        <v>87</v>
      </c>
      <c r="G168" s="10"/>
      <c r="H168" s="10" t="s">
        <v>23</v>
      </c>
      <c r="I168" s="10"/>
      <c r="J168" s="10"/>
      <c r="K168" s="31">
        <v>14</v>
      </c>
      <c r="L168" s="42">
        <v>374000</v>
      </c>
    </row>
    <row r="169" spans="1:12" ht="28.5" x14ac:dyDescent="0.25">
      <c r="A169" s="10">
        <f>IF(B169="","",_xlfn.AGGREGATE(3,5,$B$7:B169))</f>
        <v>163</v>
      </c>
      <c r="B169" s="6" t="s">
        <v>96</v>
      </c>
      <c r="C169" s="22" t="s">
        <v>365</v>
      </c>
      <c r="D169" s="7">
        <v>45386</v>
      </c>
      <c r="E169" s="6" t="s">
        <v>340</v>
      </c>
      <c r="F169" s="10" t="s">
        <v>87</v>
      </c>
      <c r="G169" s="10"/>
      <c r="H169" s="10" t="s">
        <v>24</v>
      </c>
      <c r="I169" s="10"/>
      <c r="J169" s="10"/>
      <c r="K169" s="31">
        <v>13</v>
      </c>
      <c r="L169" s="42">
        <v>595000</v>
      </c>
    </row>
    <row r="170" spans="1:12" ht="28.5" x14ac:dyDescent="0.25">
      <c r="A170" s="10">
        <f>IF(B170="","",_xlfn.AGGREGATE(3,5,$B$7:B170))</f>
        <v>164</v>
      </c>
      <c r="B170" s="6" t="s">
        <v>158</v>
      </c>
      <c r="C170" s="8" t="s">
        <v>364</v>
      </c>
      <c r="D170" s="7">
        <v>45386</v>
      </c>
      <c r="E170" s="6" t="s">
        <v>340</v>
      </c>
      <c r="F170" s="10" t="s">
        <v>87</v>
      </c>
      <c r="G170" s="10"/>
      <c r="H170" s="10" t="s">
        <v>24</v>
      </c>
      <c r="I170" s="10"/>
      <c r="J170" s="10"/>
      <c r="K170" s="31">
        <v>388</v>
      </c>
      <c r="L170" s="42">
        <v>0</v>
      </c>
    </row>
    <row r="171" spans="1:12" ht="28.5" x14ac:dyDescent="0.25">
      <c r="A171" s="10">
        <f>IF(B171="","",_xlfn.AGGREGATE(3,5,$B$7:B171))</f>
        <v>165</v>
      </c>
      <c r="B171" s="52" t="s">
        <v>107</v>
      </c>
      <c r="C171" s="9" t="s">
        <v>366</v>
      </c>
      <c r="D171" s="7">
        <v>45386</v>
      </c>
      <c r="E171" s="6" t="s">
        <v>340</v>
      </c>
      <c r="F171" s="10" t="s">
        <v>87</v>
      </c>
      <c r="G171" s="10"/>
      <c r="H171" s="10" t="s">
        <v>23</v>
      </c>
      <c r="I171" s="10"/>
      <c r="J171" s="10"/>
      <c r="K171" s="31">
        <v>276</v>
      </c>
      <c r="L171" s="42">
        <v>420000</v>
      </c>
    </row>
    <row r="172" spans="1:12" ht="28.5" x14ac:dyDescent="0.25">
      <c r="A172" s="10">
        <f>IF(B172="","",_xlfn.AGGREGATE(3,5,$B$7:B172))</f>
        <v>166</v>
      </c>
      <c r="B172" s="6" t="s">
        <v>159</v>
      </c>
      <c r="C172" s="8" t="s">
        <v>367</v>
      </c>
      <c r="D172" s="7">
        <v>45386</v>
      </c>
      <c r="E172" s="6" t="s">
        <v>340</v>
      </c>
      <c r="F172" s="10" t="s">
        <v>87</v>
      </c>
      <c r="G172" s="10"/>
      <c r="H172" s="10" t="s">
        <v>24</v>
      </c>
      <c r="I172" s="10"/>
      <c r="J172" s="10"/>
      <c r="K172" s="31">
        <v>403</v>
      </c>
      <c r="L172" s="42">
        <v>0</v>
      </c>
    </row>
    <row r="173" spans="1:12" ht="28.5" x14ac:dyDescent="0.25">
      <c r="A173" s="10">
        <f>IF(B173="","",_xlfn.AGGREGATE(3,5,$B$7:B173))</f>
        <v>167</v>
      </c>
      <c r="B173" s="6" t="s">
        <v>374</v>
      </c>
      <c r="C173" s="8" t="s">
        <v>368</v>
      </c>
      <c r="D173" s="7">
        <v>45386</v>
      </c>
      <c r="E173" s="6" t="s">
        <v>340</v>
      </c>
      <c r="F173" s="10" t="s">
        <v>87</v>
      </c>
      <c r="G173" s="10"/>
      <c r="H173" s="10" t="s">
        <v>23</v>
      </c>
      <c r="I173" s="10"/>
      <c r="J173" s="10"/>
      <c r="K173" s="31">
        <v>272</v>
      </c>
      <c r="L173" s="42">
        <v>410000</v>
      </c>
    </row>
    <row r="174" spans="1:12" ht="28.5" x14ac:dyDescent="0.25">
      <c r="A174" s="10">
        <f>IF(B174="","",_xlfn.AGGREGATE(3,5,$B$7:B174))</f>
        <v>168</v>
      </c>
      <c r="B174" s="6" t="s">
        <v>160</v>
      </c>
      <c r="C174" s="8" t="s">
        <v>369</v>
      </c>
      <c r="D174" s="7">
        <v>45386</v>
      </c>
      <c r="E174" s="6" t="s">
        <v>340</v>
      </c>
      <c r="F174" s="10" t="s">
        <v>87</v>
      </c>
      <c r="G174" s="10"/>
      <c r="H174" s="10" t="s">
        <v>24</v>
      </c>
      <c r="I174" s="10"/>
      <c r="J174" s="10"/>
      <c r="K174" s="31">
        <v>404</v>
      </c>
      <c r="L174" s="42">
        <v>0</v>
      </c>
    </row>
    <row r="175" spans="1:12" ht="28.5" x14ac:dyDescent="0.25">
      <c r="A175" s="10">
        <f>IF(B175="","",_xlfn.AGGREGATE(3,5,$B$7:B175))</f>
        <v>169</v>
      </c>
      <c r="B175" s="6" t="s">
        <v>182</v>
      </c>
      <c r="C175" s="8" t="s">
        <v>370</v>
      </c>
      <c r="D175" s="7">
        <v>45386</v>
      </c>
      <c r="E175" s="6" t="s">
        <v>340</v>
      </c>
      <c r="F175" s="10" t="s">
        <v>87</v>
      </c>
      <c r="G175" s="10"/>
      <c r="H175" s="10" t="s">
        <v>24</v>
      </c>
      <c r="I175" s="10"/>
      <c r="J175" s="10"/>
      <c r="K175" s="31">
        <v>15</v>
      </c>
      <c r="L175" s="42">
        <v>480000</v>
      </c>
    </row>
    <row r="176" spans="1:12" ht="28.5" x14ac:dyDescent="0.25">
      <c r="A176" s="10">
        <f>IF(B176="","",_xlfn.AGGREGATE(3,5,$B$7:B176))</f>
        <v>170</v>
      </c>
      <c r="B176" s="6" t="s">
        <v>181</v>
      </c>
      <c r="C176" s="8" t="s">
        <v>371</v>
      </c>
      <c r="D176" s="7">
        <v>45386</v>
      </c>
      <c r="E176" s="6" t="s">
        <v>340</v>
      </c>
      <c r="F176" s="10" t="s">
        <v>87</v>
      </c>
      <c r="G176" s="10"/>
      <c r="H176" s="10" t="s">
        <v>24</v>
      </c>
      <c r="I176" s="10"/>
      <c r="J176" s="10"/>
      <c r="K176" s="31">
        <v>417</v>
      </c>
      <c r="L176" s="42">
        <v>0</v>
      </c>
    </row>
    <row r="177" spans="1:12" x14ac:dyDescent="0.25">
      <c r="A177" s="10">
        <f>IF(B177="","",_xlfn.AGGREGATE(3,5,$B$7:B177))</f>
        <v>171</v>
      </c>
      <c r="B177" s="6" t="s">
        <v>377</v>
      </c>
      <c r="C177" s="8" t="s">
        <v>376</v>
      </c>
      <c r="D177" s="7">
        <v>45386</v>
      </c>
      <c r="E177" s="26" t="s">
        <v>136</v>
      </c>
      <c r="F177" s="10" t="s">
        <v>20</v>
      </c>
      <c r="G177" s="10"/>
      <c r="H177" s="10"/>
      <c r="I177" s="10"/>
      <c r="J177" s="10" t="s">
        <v>24</v>
      </c>
      <c r="K177" s="31">
        <v>255</v>
      </c>
      <c r="L177" s="42">
        <v>0</v>
      </c>
    </row>
    <row r="178" spans="1:12" x14ac:dyDescent="0.25">
      <c r="A178" s="10">
        <f>IF(B178="","",_xlfn.AGGREGATE(3,5,$B$7:B178))</f>
        <v>172</v>
      </c>
      <c r="B178" s="6" t="s">
        <v>378</v>
      </c>
      <c r="C178" s="8" t="s">
        <v>379</v>
      </c>
      <c r="D178" s="7">
        <v>45391</v>
      </c>
      <c r="E178" s="6" t="s">
        <v>30</v>
      </c>
      <c r="F178" s="10" t="s">
        <v>87</v>
      </c>
      <c r="G178" s="10"/>
      <c r="H178" s="10" t="s">
        <v>24</v>
      </c>
      <c r="I178" s="10"/>
      <c r="J178" s="10"/>
      <c r="K178" s="31">
        <v>420</v>
      </c>
      <c r="L178" s="42">
        <v>0</v>
      </c>
    </row>
    <row r="179" spans="1:12" ht="28.5" x14ac:dyDescent="0.25">
      <c r="A179" s="10">
        <f>IF(B179="","",_xlfn.AGGREGATE(3,5,$B$7:B179))</f>
        <v>173</v>
      </c>
      <c r="B179" s="6" t="s">
        <v>391</v>
      </c>
      <c r="C179" s="8" t="s">
        <v>380</v>
      </c>
      <c r="D179" s="7">
        <v>45414</v>
      </c>
      <c r="E179" s="6" t="s">
        <v>385</v>
      </c>
      <c r="F179" s="10" t="s">
        <v>20</v>
      </c>
      <c r="G179" s="10" t="s">
        <v>24</v>
      </c>
      <c r="H179" s="10"/>
      <c r="I179" s="10"/>
      <c r="J179" s="10"/>
      <c r="K179" s="31">
        <v>346</v>
      </c>
      <c r="L179" s="42">
        <v>0</v>
      </c>
    </row>
    <row r="180" spans="1:12" ht="28.5" x14ac:dyDescent="0.25">
      <c r="A180" s="10">
        <f>IF(B180="","",_xlfn.AGGREGATE(3,5,$B$7:B180))</f>
        <v>174</v>
      </c>
      <c r="B180" s="6" t="s">
        <v>392</v>
      </c>
      <c r="C180" s="8" t="s">
        <v>381</v>
      </c>
      <c r="D180" s="7">
        <v>45414</v>
      </c>
      <c r="E180" s="6" t="s">
        <v>385</v>
      </c>
      <c r="F180" s="10" t="s">
        <v>20</v>
      </c>
      <c r="G180" s="10" t="s">
        <v>24</v>
      </c>
      <c r="H180" s="10"/>
      <c r="I180" s="10"/>
      <c r="J180" s="10"/>
      <c r="K180" s="31">
        <v>346</v>
      </c>
      <c r="L180" s="42">
        <v>0</v>
      </c>
    </row>
    <row r="181" spans="1:12" ht="28.5" x14ac:dyDescent="0.25">
      <c r="A181" s="10">
        <f>IF(B181="","",_xlfn.AGGREGATE(3,5,$B$7:B181))</f>
        <v>175</v>
      </c>
      <c r="B181" s="6" t="s">
        <v>393</v>
      </c>
      <c r="C181" s="8" t="s">
        <v>382</v>
      </c>
      <c r="D181" s="7">
        <v>45414</v>
      </c>
      <c r="E181" s="6" t="s">
        <v>385</v>
      </c>
      <c r="F181" s="10" t="s">
        <v>20</v>
      </c>
      <c r="G181" s="10" t="s">
        <v>24</v>
      </c>
      <c r="H181" s="10"/>
      <c r="I181" s="10"/>
      <c r="J181" s="10"/>
      <c r="K181" s="31">
        <v>346</v>
      </c>
      <c r="L181" s="42">
        <v>0</v>
      </c>
    </row>
    <row r="182" spans="1:12" ht="28.5" x14ac:dyDescent="0.25">
      <c r="A182" s="10">
        <f>IF(B182="","",_xlfn.AGGREGATE(3,5,$B$7:B182))</f>
        <v>176</v>
      </c>
      <c r="B182" s="6" t="s">
        <v>394</v>
      </c>
      <c r="C182" s="8" t="s">
        <v>383</v>
      </c>
      <c r="D182" s="7">
        <v>45414</v>
      </c>
      <c r="E182" s="6" t="s">
        <v>385</v>
      </c>
      <c r="F182" s="10" t="s">
        <v>20</v>
      </c>
      <c r="G182" s="10" t="s">
        <v>24</v>
      </c>
      <c r="H182" s="10"/>
      <c r="I182" s="10"/>
      <c r="J182" s="10"/>
      <c r="K182" s="31">
        <v>346</v>
      </c>
      <c r="L182" s="42">
        <v>0</v>
      </c>
    </row>
    <row r="183" spans="1:12" ht="28.5" x14ac:dyDescent="0.25">
      <c r="A183" s="10">
        <f>IF(B183="","",_xlfn.AGGREGATE(3,5,$B$7:B183))</f>
        <v>177</v>
      </c>
      <c r="B183" s="6" t="s">
        <v>395</v>
      </c>
      <c r="C183" s="8" t="s">
        <v>384</v>
      </c>
      <c r="D183" s="7">
        <v>45414</v>
      </c>
      <c r="E183" s="6" t="s">
        <v>385</v>
      </c>
      <c r="F183" s="10" t="s">
        <v>20</v>
      </c>
      <c r="G183" s="10" t="s">
        <v>24</v>
      </c>
      <c r="H183" s="10"/>
      <c r="I183" s="10"/>
      <c r="J183" s="10"/>
      <c r="K183" s="31">
        <v>346</v>
      </c>
      <c r="L183" s="42">
        <v>0</v>
      </c>
    </row>
    <row r="184" spans="1:12" ht="28.5" x14ac:dyDescent="0.25">
      <c r="A184" s="10">
        <f>IF(B184="","",_xlfn.AGGREGATE(3,5,$B$7:B184))</f>
        <v>178</v>
      </c>
      <c r="B184" s="6" t="s">
        <v>396</v>
      </c>
      <c r="C184" s="8" t="s">
        <v>386</v>
      </c>
      <c r="D184" s="7">
        <v>45414</v>
      </c>
      <c r="E184" s="6" t="s">
        <v>385</v>
      </c>
      <c r="F184" s="10" t="s">
        <v>20</v>
      </c>
      <c r="G184" s="10" t="s">
        <v>24</v>
      </c>
      <c r="H184" s="10"/>
      <c r="I184" s="10"/>
      <c r="J184" s="10"/>
      <c r="K184" s="31">
        <v>346</v>
      </c>
      <c r="L184" s="42">
        <v>0</v>
      </c>
    </row>
    <row r="185" spans="1:12" ht="32.25" customHeight="1" x14ac:dyDescent="0.25">
      <c r="A185" s="10">
        <f>IF(B185="","",_xlfn.AGGREGATE(3,5,$B$7:B185))</f>
        <v>179</v>
      </c>
      <c r="B185" s="6" t="s">
        <v>397</v>
      </c>
      <c r="C185" s="8" t="s">
        <v>387</v>
      </c>
      <c r="D185" s="7">
        <v>45414</v>
      </c>
      <c r="E185" s="6" t="s">
        <v>385</v>
      </c>
      <c r="F185" s="10" t="s">
        <v>20</v>
      </c>
      <c r="G185" s="10" t="s">
        <v>24</v>
      </c>
      <c r="H185" s="10"/>
      <c r="I185" s="10"/>
      <c r="J185" s="10"/>
      <c r="K185" s="31">
        <v>346</v>
      </c>
      <c r="L185" s="42">
        <v>0</v>
      </c>
    </row>
    <row r="186" spans="1:12" ht="28.5" x14ac:dyDescent="0.25">
      <c r="A186" s="10">
        <f>IF(B186="","",_xlfn.AGGREGATE(3,5,$B$7:B186))</f>
        <v>180</v>
      </c>
      <c r="B186" s="6" t="s">
        <v>398</v>
      </c>
      <c r="C186" s="8" t="s">
        <v>388</v>
      </c>
      <c r="D186" s="7">
        <v>45414</v>
      </c>
      <c r="E186" s="6" t="s">
        <v>385</v>
      </c>
      <c r="F186" s="10" t="s">
        <v>20</v>
      </c>
      <c r="G186" s="10" t="s">
        <v>24</v>
      </c>
      <c r="H186" s="10"/>
      <c r="I186" s="10"/>
      <c r="J186" s="10"/>
      <c r="K186" s="31">
        <v>346</v>
      </c>
      <c r="L186" s="42">
        <v>0</v>
      </c>
    </row>
    <row r="187" spans="1:12" ht="28.5" x14ac:dyDescent="0.25">
      <c r="A187" s="10">
        <f>IF(B187="","",_xlfn.AGGREGATE(3,5,$B$7:B187))</f>
        <v>181</v>
      </c>
      <c r="B187" s="6" t="s">
        <v>399</v>
      </c>
      <c r="C187" s="8" t="s">
        <v>389</v>
      </c>
      <c r="D187" s="7">
        <v>45414</v>
      </c>
      <c r="E187" s="6" t="s">
        <v>385</v>
      </c>
      <c r="F187" s="10" t="s">
        <v>20</v>
      </c>
      <c r="G187" s="10" t="s">
        <v>24</v>
      </c>
      <c r="H187" s="10"/>
      <c r="I187" s="10"/>
      <c r="J187" s="10"/>
      <c r="K187" s="31">
        <v>346</v>
      </c>
      <c r="L187" s="42">
        <v>0</v>
      </c>
    </row>
    <row r="188" spans="1:12" ht="28.5" x14ac:dyDescent="0.25">
      <c r="A188" s="10">
        <f>IF(B188="","",_xlfn.AGGREGATE(3,5,$B$7:B188))</f>
        <v>182</v>
      </c>
      <c r="B188" s="6" t="s">
        <v>153</v>
      </c>
      <c r="C188" s="8" t="s">
        <v>390</v>
      </c>
      <c r="D188" s="7">
        <v>45414</v>
      </c>
      <c r="E188" s="6" t="s">
        <v>400</v>
      </c>
      <c r="F188" s="10" t="s">
        <v>34</v>
      </c>
      <c r="G188" s="10"/>
      <c r="H188" s="10"/>
      <c r="I188" s="10" t="s">
        <v>24</v>
      </c>
      <c r="J188" s="10"/>
      <c r="K188" s="31">
        <v>401</v>
      </c>
      <c r="L188" s="42">
        <v>0</v>
      </c>
    </row>
    <row r="189" spans="1:12" x14ac:dyDescent="0.25">
      <c r="A189" s="10">
        <v>183</v>
      </c>
      <c r="B189" s="6" t="s">
        <v>401</v>
      </c>
      <c r="C189" s="8" t="s">
        <v>402</v>
      </c>
      <c r="D189" s="7">
        <v>45422</v>
      </c>
      <c r="E189" s="6" t="s">
        <v>30</v>
      </c>
      <c r="F189" s="10" t="s">
        <v>87</v>
      </c>
      <c r="G189" s="10"/>
      <c r="H189" s="10" t="s">
        <v>24</v>
      </c>
      <c r="I189" s="10"/>
      <c r="J189" s="10"/>
      <c r="K189" s="31">
        <v>421</v>
      </c>
      <c r="L189" s="42">
        <v>320000</v>
      </c>
    </row>
    <row r="190" spans="1:12" x14ac:dyDescent="0.25">
      <c r="A190" s="10">
        <v>184</v>
      </c>
      <c r="B190" s="6" t="s">
        <v>403</v>
      </c>
      <c r="C190" s="8" t="s">
        <v>404</v>
      </c>
      <c r="D190" s="7">
        <v>45432</v>
      </c>
      <c r="E190" s="9" t="s">
        <v>405</v>
      </c>
      <c r="F190" s="10" t="s">
        <v>20</v>
      </c>
      <c r="G190" s="10"/>
      <c r="H190" s="10"/>
      <c r="I190" s="10"/>
      <c r="J190" s="48" t="s">
        <v>24</v>
      </c>
      <c r="K190" s="31">
        <v>255</v>
      </c>
      <c r="L190" s="42"/>
    </row>
    <row r="191" spans="1:12" x14ac:dyDescent="0.25">
      <c r="A191" s="10">
        <f>IF(B191="","",_xlfn.AGGREGATE(3,5,$B$7:B191))</f>
        <v>185</v>
      </c>
      <c r="B191" s="6" t="s">
        <v>82</v>
      </c>
      <c r="C191" s="8" t="s">
        <v>406</v>
      </c>
      <c r="D191" s="7">
        <v>45420</v>
      </c>
      <c r="E191" s="6" t="s">
        <v>407</v>
      </c>
      <c r="F191" s="10" t="s">
        <v>20</v>
      </c>
      <c r="G191" s="10"/>
      <c r="H191" s="10"/>
      <c r="I191" s="10"/>
      <c r="J191" s="10" t="s">
        <v>24</v>
      </c>
      <c r="K191" s="31">
        <v>270</v>
      </c>
      <c r="L191" s="42"/>
    </row>
    <row r="192" spans="1:12" x14ac:dyDescent="0.25">
      <c r="A192" s="10">
        <v>186</v>
      </c>
      <c r="B192" s="6" t="s">
        <v>408</v>
      </c>
      <c r="C192" s="8" t="s">
        <v>409</v>
      </c>
      <c r="D192" s="7">
        <v>45440</v>
      </c>
      <c r="E192" s="6" t="s">
        <v>427</v>
      </c>
      <c r="F192" s="10" t="s">
        <v>20</v>
      </c>
      <c r="G192" s="10" t="s">
        <v>24</v>
      </c>
      <c r="H192" s="10"/>
      <c r="I192" s="10"/>
      <c r="J192" s="10"/>
      <c r="K192" s="31">
        <v>135</v>
      </c>
      <c r="L192" s="42"/>
    </row>
    <row r="193" spans="1:12" ht="57" x14ac:dyDescent="0.25">
      <c r="A193" s="10">
        <v>187</v>
      </c>
      <c r="B193" s="6" t="s">
        <v>410</v>
      </c>
      <c r="C193" s="8" t="s">
        <v>411</v>
      </c>
      <c r="D193" s="7">
        <v>45448</v>
      </c>
      <c r="E193" s="6" t="s">
        <v>412</v>
      </c>
      <c r="F193" s="10" t="s">
        <v>20</v>
      </c>
      <c r="G193" s="10"/>
      <c r="H193" s="10" t="s">
        <v>24</v>
      </c>
      <c r="I193" s="10"/>
      <c r="J193" s="10"/>
      <c r="K193" s="31">
        <v>376</v>
      </c>
      <c r="L193" s="42"/>
    </row>
    <row r="194" spans="1:12" x14ac:dyDescent="0.25">
      <c r="A194" s="10">
        <v>188</v>
      </c>
      <c r="B194" s="6" t="s">
        <v>413</v>
      </c>
      <c r="C194" s="8" t="s">
        <v>415</v>
      </c>
      <c r="D194" s="7">
        <v>45454</v>
      </c>
      <c r="E194" s="14" t="s">
        <v>414</v>
      </c>
      <c r="F194" s="10" t="s">
        <v>20</v>
      </c>
      <c r="G194" s="10" t="s">
        <v>24</v>
      </c>
      <c r="H194" s="10"/>
      <c r="I194" s="10"/>
      <c r="J194" s="10"/>
      <c r="K194" s="31">
        <v>351</v>
      </c>
      <c r="L194" s="42"/>
    </row>
    <row r="195" spans="1:12" x14ac:dyDescent="0.25">
      <c r="A195" s="10">
        <f>IF(B195="","",_xlfn.AGGREGATE(3,5,$B$7:B195))</f>
        <v>189</v>
      </c>
      <c r="B195" s="6" t="s">
        <v>124</v>
      </c>
      <c r="C195" s="8" t="s">
        <v>416</v>
      </c>
      <c r="D195" s="7">
        <v>45462</v>
      </c>
      <c r="E195" s="6" t="s">
        <v>417</v>
      </c>
      <c r="F195" s="10" t="s">
        <v>20</v>
      </c>
      <c r="G195" s="10" t="s">
        <v>24</v>
      </c>
      <c r="H195" s="10"/>
      <c r="I195" s="10"/>
      <c r="J195" s="10"/>
      <c r="K195" s="31">
        <v>124</v>
      </c>
      <c r="L195" s="42"/>
    </row>
    <row r="196" spans="1:12" x14ac:dyDescent="0.25">
      <c r="A196" s="10">
        <v>190</v>
      </c>
      <c r="B196" s="6" t="s">
        <v>418</v>
      </c>
      <c r="C196" s="8" t="s">
        <v>419</v>
      </c>
      <c r="D196" s="7">
        <v>45467</v>
      </c>
      <c r="E196" s="6" t="s">
        <v>420</v>
      </c>
      <c r="F196" s="10" t="s">
        <v>20</v>
      </c>
      <c r="G196" s="10"/>
      <c r="H196" s="10"/>
      <c r="I196" s="10"/>
      <c r="J196" s="10" t="s">
        <v>24</v>
      </c>
      <c r="K196" s="31">
        <v>137</v>
      </c>
      <c r="L196" s="42"/>
    </row>
    <row r="197" spans="1:12" x14ac:dyDescent="0.25">
      <c r="A197" s="10">
        <v>191</v>
      </c>
      <c r="B197" s="6" t="s">
        <v>46</v>
      </c>
      <c r="C197" s="8" t="s">
        <v>421</v>
      </c>
      <c r="D197" s="7">
        <v>45467</v>
      </c>
      <c r="E197" s="6" t="s">
        <v>420</v>
      </c>
      <c r="F197" s="10" t="s">
        <v>20</v>
      </c>
      <c r="G197" s="10"/>
      <c r="H197" s="10"/>
      <c r="I197" s="10"/>
      <c r="J197" s="10" t="s">
        <v>24</v>
      </c>
      <c r="K197" s="31">
        <v>83</v>
      </c>
      <c r="L197" s="42"/>
    </row>
    <row r="198" spans="1:12" ht="28.5" x14ac:dyDescent="0.25">
      <c r="A198" s="10">
        <v>192</v>
      </c>
      <c r="B198" s="6" t="s">
        <v>422</v>
      </c>
      <c r="C198" s="8" t="s">
        <v>424</v>
      </c>
      <c r="D198" s="7">
        <v>45468</v>
      </c>
      <c r="E198" s="6" t="s">
        <v>423</v>
      </c>
      <c r="F198" s="10" t="s">
        <v>20</v>
      </c>
      <c r="G198" s="10"/>
      <c r="H198" s="10"/>
      <c r="I198" s="10"/>
      <c r="J198" s="10" t="s">
        <v>24</v>
      </c>
      <c r="K198" s="31">
        <v>391</v>
      </c>
      <c r="L198" s="42"/>
    </row>
    <row r="199" spans="1:12" x14ac:dyDescent="0.25">
      <c r="A199" s="10">
        <v>193</v>
      </c>
      <c r="B199" s="6" t="s">
        <v>425</v>
      </c>
      <c r="C199" s="8" t="s">
        <v>426</v>
      </c>
      <c r="D199" s="7">
        <v>45469</v>
      </c>
      <c r="E199" s="6" t="s">
        <v>417</v>
      </c>
      <c r="F199" s="10" t="s">
        <v>39</v>
      </c>
      <c r="G199" s="10" t="s">
        <v>24</v>
      </c>
      <c r="H199" s="10"/>
      <c r="I199" s="10"/>
      <c r="J199" s="10"/>
      <c r="K199" s="31">
        <v>176</v>
      </c>
      <c r="L199" s="42"/>
    </row>
    <row r="200" spans="1:12" x14ac:dyDescent="0.25">
      <c r="A200" s="10">
        <v>194</v>
      </c>
      <c r="B200" s="6" t="s">
        <v>429</v>
      </c>
      <c r="C200" s="22" t="s">
        <v>428</v>
      </c>
      <c r="D200" s="7">
        <v>45482</v>
      </c>
      <c r="E200" s="6" t="s">
        <v>30</v>
      </c>
      <c r="F200" s="10" t="s">
        <v>20</v>
      </c>
      <c r="G200" s="10"/>
      <c r="H200" s="10"/>
      <c r="I200" s="10"/>
      <c r="J200" s="10" t="s">
        <v>24</v>
      </c>
      <c r="K200" s="31">
        <v>422</v>
      </c>
      <c r="L200" s="42"/>
    </row>
    <row r="201" spans="1:12" ht="28.5" x14ac:dyDescent="0.25">
      <c r="A201" s="10">
        <f>IF(B201="","",_xlfn.AGGREGATE(3,5,$B$7:B201))</f>
        <v>195</v>
      </c>
      <c r="B201" s="6" t="s">
        <v>430</v>
      </c>
      <c r="C201" s="8" t="s">
        <v>438</v>
      </c>
      <c r="D201" s="7">
        <v>45483</v>
      </c>
      <c r="E201" s="6" t="s">
        <v>385</v>
      </c>
      <c r="F201" s="10" t="s">
        <v>20</v>
      </c>
      <c r="G201" s="10" t="s">
        <v>24</v>
      </c>
      <c r="H201" s="10"/>
      <c r="I201" s="10"/>
      <c r="J201" s="10"/>
      <c r="K201" s="31">
        <v>346</v>
      </c>
      <c r="L201" s="42"/>
    </row>
    <row r="202" spans="1:12" ht="28.5" x14ac:dyDescent="0.25">
      <c r="A202" s="10">
        <f>IF(B202="","",_xlfn.AGGREGATE(3,5,$B$7:B202))</f>
        <v>196</v>
      </c>
      <c r="B202" s="6" t="s">
        <v>431</v>
      </c>
      <c r="C202" s="8" t="s">
        <v>439</v>
      </c>
      <c r="D202" s="7">
        <v>45483</v>
      </c>
      <c r="E202" s="6" t="s">
        <v>385</v>
      </c>
      <c r="F202" s="10" t="s">
        <v>20</v>
      </c>
      <c r="G202" s="10" t="s">
        <v>24</v>
      </c>
      <c r="H202" s="10"/>
      <c r="I202" s="10"/>
      <c r="J202" s="10"/>
      <c r="K202" s="31">
        <v>346</v>
      </c>
      <c r="L202" s="42"/>
    </row>
    <row r="203" spans="1:12" ht="28.5" x14ac:dyDescent="0.25">
      <c r="A203" s="10">
        <f>IF(B203="","",_xlfn.AGGREGATE(3,5,$B$7:B203))</f>
        <v>197</v>
      </c>
      <c r="B203" s="6" t="s">
        <v>432</v>
      </c>
      <c r="C203" s="8" t="s">
        <v>440</v>
      </c>
      <c r="D203" s="7">
        <v>45483</v>
      </c>
      <c r="E203" s="6" t="s">
        <v>385</v>
      </c>
      <c r="F203" s="10" t="s">
        <v>20</v>
      </c>
      <c r="G203" s="10" t="s">
        <v>24</v>
      </c>
      <c r="H203" s="10"/>
      <c r="I203" s="10"/>
      <c r="J203" s="10"/>
      <c r="K203" s="31">
        <v>346</v>
      </c>
      <c r="L203" s="42"/>
    </row>
    <row r="204" spans="1:12" ht="14.25" customHeight="1" x14ac:dyDescent="0.25">
      <c r="A204" s="10">
        <f>IF(B204="","",_xlfn.AGGREGATE(3,5,$B$7:B204))</f>
        <v>198</v>
      </c>
      <c r="B204" s="6" t="s">
        <v>433</v>
      </c>
      <c r="C204" s="8" t="s">
        <v>441</v>
      </c>
      <c r="D204" s="7">
        <v>45483</v>
      </c>
      <c r="E204" s="6" t="s">
        <v>385</v>
      </c>
      <c r="F204" s="10" t="s">
        <v>20</v>
      </c>
      <c r="G204" s="10" t="s">
        <v>24</v>
      </c>
      <c r="H204" s="10"/>
      <c r="I204" s="10"/>
      <c r="J204" s="10"/>
      <c r="K204" s="31">
        <v>346</v>
      </c>
      <c r="L204" s="42"/>
    </row>
    <row r="205" spans="1:12" ht="28.5" x14ac:dyDescent="0.25">
      <c r="A205" s="10">
        <f>IF(B205="","",_xlfn.AGGREGATE(3,5,$B$7:B205))</f>
        <v>199</v>
      </c>
      <c r="B205" s="6" t="s">
        <v>434</v>
      </c>
      <c r="C205" s="8" t="s">
        <v>442</v>
      </c>
      <c r="D205" s="7">
        <v>45483</v>
      </c>
      <c r="E205" s="6" t="s">
        <v>385</v>
      </c>
      <c r="F205" s="10" t="s">
        <v>20</v>
      </c>
      <c r="G205" s="10" t="s">
        <v>24</v>
      </c>
      <c r="H205" s="10"/>
      <c r="I205" s="10"/>
      <c r="J205" s="10"/>
      <c r="K205" s="31">
        <v>346</v>
      </c>
      <c r="L205" s="42"/>
    </row>
    <row r="206" spans="1:12" ht="28.5" x14ac:dyDescent="0.25">
      <c r="A206" s="10">
        <f>IF(B206="","",_xlfn.AGGREGATE(3,5,$B$7:B206))</f>
        <v>200</v>
      </c>
      <c r="B206" s="6" t="s">
        <v>435</v>
      </c>
      <c r="C206" s="8" t="s">
        <v>443</v>
      </c>
      <c r="D206" s="7">
        <v>45483</v>
      </c>
      <c r="E206" s="6" t="s">
        <v>385</v>
      </c>
      <c r="F206" s="10" t="s">
        <v>20</v>
      </c>
      <c r="G206" s="10" t="s">
        <v>24</v>
      </c>
      <c r="H206" s="10"/>
      <c r="I206" s="10"/>
      <c r="J206" s="10"/>
      <c r="K206" s="31">
        <v>346</v>
      </c>
      <c r="L206" s="42"/>
    </row>
    <row r="207" spans="1:12" ht="28.5" x14ac:dyDescent="0.25">
      <c r="A207" s="10">
        <f>IF(B207="","",_xlfn.AGGREGATE(3,5,$B$7:B207))</f>
        <v>201</v>
      </c>
      <c r="B207" s="6" t="s">
        <v>436</v>
      </c>
      <c r="C207" s="8" t="s">
        <v>444</v>
      </c>
      <c r="D207" s="7">
        <v>45483</v>
      </c>
      <c r="E207" s="6" t="s">
        <v>385</v>
      </c>
      <c r="F207" s="10" t="s">
        <v>20</v>
      </c>
      <c r="G207" s="10" t="s">
        <v>24</v>
      </c>
      <c r="H207" s="10"/>
      <c r="I207" s="10"/>
      <c r="J207" s="10"/>
      <c r="K207" s="31">
        <v>346</v>
      </c>
      <c r="L207" s="42"/>
    </row>
    <row r="208" spans="1:12" ht="28.5" x14ac:dyDescent="0.25">
      <c r="A208" s="10">
        <f>IF(B208="","",_xlfn.AGGREGATE(3,5,$B$7:B208))</f>
        <v>202</v>
      </c>
      <c r="B208" s="6" t="s">
        <v>437</v>
      </c>
      <c r="C208" s="8" t="s">
        <v>445</v>
      </c>
      <c r="D208" s="7">
        <v>45483</v>
      </c>
      <c r="E208" s="6" t="s">
        <v>385</v>
      </c>
      <c r="F208" s="10" t="s">
        <v>20</v>
      </c>
      <c r="G208" s="10" t="s">
        <v>24</v>
      </c>
      <c r="H208" s="10"/>
      <c r="I208" s="10"/>
      <c r="J208" s="10"/>
      <c r="K208" s="31">
        <v>346</v>
      </c>
      <c r="L208" s="42"/>
    </row>
    <row r="209" spans="1:12" ht="42.75" x14ac:dyDescent="0.25">
      <c r="A209" s="10">
        <f>IF(B209="","",_xlfn.AGGREGATE(3,5,$B$7:B209))</f>
        <v>203</v>
      </c>
      <c r="B209" s="6" t="s">
        <v>446</v>
      </c>
      <c r="C209" s="8" t="s">
        <v>447</v>
      </c>
      <c r="D209" s="7">
        <v>45496</v>
      </c>
      <c r="E209" s="6" t="s">
        <v>30</v>
      </c>
      <c r="F209" s="10" t="s">
        <v>20</v>
      </c>
      <c r="G209" s="10"/>
      <c r="H209" s="10" t="s">
        <v>24</v>
      </c>
      <c r="I209" s="10"/>
      <c r="J209" s="10"/>
      <c r="K209" s="31">
        <v>423</v>
      </c>
      <c r="L209" s="42"/>
    </row>
    <row r="210" spans="1:12" ht="28.5" x14ac:dyDescent="0.25">
      <c r="A210" s="10">
        <f>IF(B210="","",_xlfn.AGGREGATE(3,5,$B$7:B210))</f>
        <v>204</v>
      </c>
      <c r="B210" s="6" t="s">
        <v>448</v>
      </c>
      <c r="C210" s="8" t="s">
        <v>466</v>
      </c>
      <c r="D210" s="7">
        <v>45497</v>
      </c>
      <c r="E210" s="6" t="s">
        <v>484</v>
      </c>
      <c r="F210" s="10" t="s">
        <v>20</v>
      </c>
      <c r="G210" s="10" t="s">
        <v>24</v>
      </c>
      <c r="H210" s="10"/>
      <c r="I210" s="10"/>
      <c r="J210" s="10"/>
      <c r="K210" s="31">
        <v>346</v>
      </c>
      <c r="L210" s="42"/>
    </row>
    <row r="211" spans="1:12" ht="28.5" x14ac:dyDescent="0.25">
      <c r="A211" s="10">
        <f>IF(B211="","",_xlfn.AGGREGATE(3,5,$B$7:B211))</f>
        <v>205</v>
      </c>
      <c r="B211" s="6" t="s">
        <v>449</v>
      </c>
      <c r="C211" s="8" t="s">
        <v>467</v>
      </c>
      <c r="D211" s="7">
        <v>45497</v>
      </c>
      <c r="E211" s="6" t="s">
        <v>485</v>
      </c>
      <c r="F211" s="10" t="s">
        <v>20</v>
      </c>
      <c r="G211" s="10" t="s">
        <v>24</v>
      </c>
      <c r="H211" s="10"/>
      <c r="I211" s="10"/>
      <c r="J211" s="10"/>
      <c r="K211" s="31">
        <v>346</v>
      </c>
      <c r="L211" s="42"/>
    </row>
    <row r="212" spans="1:12" ht="28.5" x14ac:dyDescent="0.25">
      <c r="A212" s="10">
        <f>IF(B212="","",_xlfn.AGGREGATE(3,5,$B$7:B212))</f>
        <v>206</v>
      </c>
      <c r="B212" s="6" t="s">
        <v>450</v>
      </c>
      <c r="C212" s="8" t="s">
        <v>468</v>
      </c>
      <c r="D212" s="7">
        <v>45497</v>
      </c>
      <c r="E212" s="6" t="s">
        <v>486</v>
      </c>
      <c r="F212" s="10" t="s">
        <v>20</v>
      </c>
      <c r="G212" s="10" t="s">
        <v>24</v>
      </c>
      <c r="H212" s="10"/>
      <c r="I212" s="10"/>
      <c r="J212" s="10"/>
      <c r="K212" s="31">
        <v>346</v>
      </c>
      <c r="L212" s="42"/>
    </row>
    <row r="213" spans="1:12" ht="28.5" x14ac:dyDescent="0.25">
      <c r="A213" s="10">
        <f>IF(B213="","",_xlfn.AGGREGATE(3,5,$B$7:B213))</f>
        <v>207</v>
      </c>
      <c r="B213" s="6" t="s">
        <v>451</v>
      </c>
      <c r="C213" s="8" t="s">
        <v>469</v>
      </c>
      <c r="D213" s="7">
        <v>45497</v>
      </c>
      <c r="E213" s="6" t="s">
        <v>487</v>
      </c>
      <c r="F213" s="10" t="s">
        <v>20</v>
      </c>
      <c r="G213" s="10" t="s">
        <v>24</v>
      </c>
      <c r="H213" s="10"/>
      <c r="I213" s="10"/>
      <c r="J213" s="10"/>
      <c r="K213" s="31">
        <v>346</v>
      </c>
      <c r="L213" s="42"/>
    </row>
    <row r="214" spans="1:12" ht="28.5" x14ac:dyDescent="0.25">
      <c r="A214" s="10">
        <f>IF(B214="","",_xlfn.AGGREGATE(3,5,$B$7:B214))</f>
        <v>208</v>
      </c>
      <c r="B214" s="6" t="s">
        <v>452</v>
      </c>
      <c r="C214" s="8" t="s">
        <v>470</v>
      </c>
      <c r="D214" s="7">
        <v>45497</v>
      </c>
      <c r="E214" s="6" t="s">
        <v>488</v>
      </c>
      <c r="F214" s="10" t="s">
        <v>20</v>
      </c>
      <c r="G214" s="10" t="s">
        <v>24</v>
      </c>
      <c r="H214" s="10"/>
      <c r="I214" s="10"/>
      <c r="J214" s="10"/>
      <c r="K214" s="31">
        <v>346</v>
      </c>
      <c r="L214" s="42"/>
    </row>
    <row r="215" spans="1:12" ht="28.5" x14ac:dyDescent="0.25">
      <c r="A215" s="10">
        <f>IF(B215="","",_xlfn.AGGREGATE(3,5,$B$7:B215))</f>
        <v>209</v>
      </c>
      <c r="B215" s="6" t="s">
        <v>453</v>
      </c>
      <c r="C215" s="8" t="s">
        <v>471</v>
      </c>
      <c r="D215" s="7">
        <v>45497</v>
      </c>
      <c r="E215" s="6" t="s">
        <v>489</v>
      </c>
      <c r="F215" s="10" t="s">
        <v>20</v>
      </c>
      <c r="G215" s="10" t="s">
        <v>24</v>
      </c>
      <c r="H215" s="10"/>
      <c r="I215" s="10"/>
      <c r="J215" s="10"/>
      <c r="K215" s="31">
        <v>346</v>
      </c>
      <c r="L215" s="42"/>
    </row>
    <row r="216" spans="1:12" ht="28.5" x14ac:dyDescent="0.25">
      <c r="A216" s="10">
        <f>IF(B216="","",_xlfn.AGGREGATE(3,5,$B$7:B216))</f>
        <v>210</v>
      </c>
      <c r="B216" s="6" t="s">
        <v>454</v>
      </c>
      <c r="C216" s="8" t="s">
        <v>472</v>
      </c>
      <c r="D216" s="7">
        <v>45497</v>
      </c>
      <c r="E216" s="6" t="s">
        <v>490</v>
      </c>
      <c r="F216" s="10" t="s">
        <v>20</v>
      </c>
      <c r="G216" s="10" t="s">
        <v>24</v>
      </c>
      <c r="H216" s="10"/>
      <c r="I216" s="10"/>
      <c r="J216" s="10"/>
      <c r="K216" s="31">
        <v>346</v>
      </c>
      <c r="L216" s="42"/>
    </row>
    <row r="217" spans="1:12" ht="28.5" x14ac:dyDescent="0.25">
      <c r="A217" s="10">
        <f>IF(B217="","",_xlfn.AGGREGATE(3,5,$B$7:B217))</f>
        <v>211</v>
      </c>
      <c r="B217" s="6" t="s">
        <v>455</v>
      </c>
      <c r="C217" s="8" t="s">
        <v>473</v>
      </c>
      <c r="D217" s="7">
        <v>45497</v>
      </c>
      <c r="E217" s="6" t="s">
        <v>491</v>
      </c>
      <c r="F217" s="10" t="s">
        <v>20</v>
      </c>
      <c r="G217" s="10" t="s">
        <v>24</v>
      </c>
      <c r="H217" s="10"/>
      <c r="I217" s="10"/>
      <c r="J217" s="10"/>
      <c r="K217" s="31">
        <v>346</v>
      </c>
      <c r="L217" s="42"/>
    </row>
    <row r="218" spans="1:12" ht="28.5" x14ac:dyDescent="0.25">
      <c r="A218" s="10">
        <f>IF(B218="","",_xlfn.AGGREGATE(3,5,$B$7:B218))</f>
        <v>212</v>
      </c>
      <c r="B218" s="6" t="s">
        <v>456</v>
      </c>
      <c r="C218" s="8" t="s">
        <v>474</v>
      </c>
      <c r="D218" s="7">
        <v>45497</v>
      </c>
      <c r="E218" s="6" t="s">
        <v>492</v>
      </c>
      <c r="F218" s="10" t="s">
        <v>20</v>
      </c>
      <c r="G218" s="10" t="s">
        <v>24</v>
      </c>
      <c r="H218" s="10"/>
      <c r="I218" s="10"/>
      <c r="J218" s="10"/>
      <c r="K218" s="31">
        <v>346</v>
      </c>
      <c r="L218" s="42"/>
    </row>
    <row r="219" spans="1:12" ht="28.5" x14ac:dyDescent="0.25">
      <c r="A219" s="10">
        <f>IF(B219="","",_xlfn.AGGREGATE(3,5,$B$7:B219))</f>
        <v>213</v>
      </c>
      <c r="B219" s="6" t="s">
        <v>457</v>
      </c>
      <c r="C219" s="8" t="s">
        <v>475</v>
      </c>
      <c r="D219" s="7">
        <v>45497</v>
      </c>
      <c r="E219" s="6" t="s">
        <v>493</v>
      </c>
      <c r="F219" s="10" t="s">
        <v>20</v>
      </c>
      <c r="G219" s="10" t="s">
        <v>24</v>
      </c>
      <c r="H219" s="10"/>
      <c r="I219" s="10"/>
      <c r="J219" s="10"/>
      <c r="K219" s="31">
        <v>346</v>
      </c>
      <c r="L219" s="42"/>
    </row>
    <row r="220" spans="1:12" ht="28.5" x14ac:dyDescent="0.25">
      <c r="A220" s="10">
        <f>IF(B220="","",_xlfn.AGGREGATE(3,5,$B$7:B220))</f>
        <v>214</v>
      </c>
      <c r="B220" s="6" t="s">
        <v>458</v>
      </c>
      <c r="C220" s="8" t="s">
        <v>476</v>
      </c>
      <c r="D220" s="7">
        <v>45497</v>
      </c>
      <c r="E220" s="6" t="s">
        <v>494</v>
      </c>
      <c r="F220" s="10" t="s">
        <v>20</v>
      </c>
      <c r="G220" s="10" t="s">
        <v>24</v>
      </c>
      <c r="H220" s="10"/>
      <c r="I220" s="10"/>
      <c r="J220" s="10"/>
      <c r="K220" s="31">
        <v>346</v>
      </c>
      <c r="L220" s="42"/>
    </row>
    <row r="221" spans="1:12" ht="28.5" x14ac:dyDescent="0.25">
      <c r="A221" s="10">
        <f>IF(B221="","",_xlfn.AGGREGATE(3,5,$B$7:B221))</f>
        <v>215</v>
      </c>
      <c r="B221" s="6" t="s">
        <v>459</v>
      </c>
      <c r="C221" s="8" t="s">
        <v>477</v>
      </c>
      <c r="D221" s="7">
        <v>45497</v>
      </c>
      <c r="E221" s="6" t="s">
        <v>495</v>
      </c>
      <c r="F221" s="10" t="s">
        <v>20</v>
      </c>
      <c r="G221" s="10" t="s">
        <v>24</v>
      </c>
      <c r="H221" s="10"/>
      <c r="I221" s="10"/>
      <c r="J221" s="10"/>
      <c r="K221" s="31">
        <v>346</v>
      </c>
      <c r="L221" s="42"/>
    </row>
    <row r="222" spans="1:12" ht="28.5" x14ac:dyDescent="0.25">
      <c r="A222" s="10">
        <f>IF(B222="","",_xlfn.AGGREGATE(3,5,$B$7:B222))</f>
        <v>216</v>
      </c>
      <c r="B222" s="6" t="s">
        <v>460</v>
      </c>
      <c r="C222" s="8" t="s">
        <v>478</v>
      </c>
      <c r="D222" s="7">
        <v>45497</v>
      </c>
      <c r="E222" s="6" t="s">
        <v>496</v>
      </c>
      <c r="F222" s="10" t="s">
        <v>20</v>
      </c>
      <c r="G222" s="10" t="s">
        <v>24</v>
      </c>
      <c r="H222" s="10"/>
      <c r="I222" s="10"/>
      <c r="J222" s="10"/>
      <c r="K222" s="31">
        <v>346</v>
      </c>
      <c r="L222" s="42"/>
    </row>
    <row r="223" spans="1:12" ht="28.5" x14ac:dyDescent="0.25">
      <c r="A223" s="10">
        <f>IF(B223="","",_xlfn.AGGREGATE(3,5,$B$7:B223))</f>
        <v>217</v>
      </c>
      <c r="B223" s="6" t="s">
        <v>461</v>
      </c>
      <c r="C223" s="8" t="s">
        <v>479</v>
      </c>
      <c r="D223" s="7">
        <v>45497</v>
      </c>
      <c r="E223" s="6" t="s">
        <v>497</v>
      </c>
      <c r="F223" s="10" t="s">
        <v>20</v>
      </c>
      <c r="G223" s="10" t="s">
        <v>24</v>
      </c>
      <c r="H223" s="10"/>
      <c r="I223" s="10"/>
      <c r="J223" s="10"/>
      <c r="K223" s="31">
        <v>346</v>
      </c>
      <c r="L223" s="42"/>
    </row>
    <row r="224" spans="1:12" ht="28.5" x14ac:dyDescent="0.25">
      <c r="A224" s="10">
        <f>IF(B224="","",_xlfn.AGGREGATE(3,5,$B$7:B224))</f>
        <v>218</v>
      </c>
      <c r="B224" s="6" t="s">
        <v>462</v>
      </c>
      <c r="C224" s="8" t="s">
        <v>480</v>
      </c>
      <c r="D224" s="7">
        <v>45497</v>
      </c>
      <c r="E224" s="6" t="s">
        <v>552</v>
      </c>
      <c r="F224" s="10" t="s">
        <v>20</v>
      </c>
      <c r="G224" s="10" t="s">
        <v>24</v>
      </c>
      <c r="H224" s="10"/>
      <c r="I224" s="10"/>
      <c r="J224" s="10"/>
      <c r="K224" s="31">
        <v>346</v>
      </c>
      <c r="L224" s="42"/>
    </row>
    <row r="225" spans="1:12" ht="28.5" x14ac:dyDescent="0.25">
      <c r="A225" s="10">
        <f>IF(B225="","",_xlfn.AGGREGATE(3,5,$B$7:B225))</f>
        <v>219</v>
      </c>
      <c r="B225" s="6" t="s">
        <v>463</v>
      </c>
      <c r="C225" s="8" t="s">
        <v>481</v>
      </c>
      <c r="D225" s="7">
        <v>45497</v>
      </c>
      <c r="E225" s="6" t="s">
        <v>551</v>
      </c>
      <c r="F225" s="10" t="s">
        <v>20</v>
      </c>
      <c r="G225" s="10" t="s">
        <v>24</v>
      </c>
      <c r="H225" s="10"/>
      <c r="I225" s="10"/>
      <c r="J225" s="10"/>
      <c r="K225" s="31">
        <v>346</v>
      </c>
      <c r="L225" s="42"/>
    </row>
    <row r="226" spans="1:12" ht="28.5" x14ac:dyDescent="0.25">
      <c r="A226" s="10">
        <f>IF(B226="","",_xlfn.AGGREGATE(3,5,$B$7:B226))</f>
        <v>220</v>
      </c>
      <c r="B226" s="6" t="s">
        <v>464</v>
      </c>
      <c r="C226" s="8" t="s">
        <v>482</v>
      </c>
      <c r="D226" s="7">
        <v>45497</v>
      </c>
      <c r="E226" s="6" t="s">
        <v>550</v>
      </c>
      <c r="F226" s="10" t="s">
        <v>20</v>
      </c>
      <c r="G226" s="10" t="s">
        <v>24</v>
      </c>
      <c r="H226" s="10"/>
      <c r="I226" s="10"/>
      <c r="J226" s="10"/>
      <c r="K226" s="31">
        <v>346</v>
      </c>
      <c r="L226" s="42"/>
    </row>
    <row r="227" spans="1:12" ht="28.5" x14ac:dyDescent="0.25">
      <c r="A227" s="10">
        <f>IF(B227="","",_xlfn.AGGREGATE(3,5,$B$7:B227))</f>
        <v>221</v>
      </c>
      <c r="B227" s="6" t="s">
        <v>465</v>
      </c>
      <c r="C227" s="8" t="s">
        <v>483</v>
      </c>
      <c r="D227" s="7">
        <v>45497</v>
      </c>
      <c r="E227" s="6" t="s">
        <v>549</v>
      </c>
      <c r="F227" s="10" t="s">
        <v>20</v>
      </c>
      <c r="G227" s="10" t="s">
        <v>24</v>
      </c>
      <c r="H227" s="10"/>
      <c r="I227" s="10"/>
      <c r="J227" s="10"/>
      <c r="K227" s="31">
        <v>346</v>
      </c>
      <c r="L227" s="42"/>
    </row>
    <row r="228" spans="1:12" x14ac:dyDescent="0.25">
      <c r="A228" s="10">
        <f>IF(B228="","",_xlfn.AGGREGATE(3,5,$B$7:B228))</f>
        <v>222</v>
      </c>
      <c r="B228" s="6" t="s">
        <v>498</v>
      </c>
      <c r="C228" s="8" t="s">
        <v>499</v>
      </c>
      <c r="D228" s="7">
        <v>45503</v>
      </c>
      <c r="E228" s="6" t="s">
        <v>99</v>
      </c>
      <c r="F228" s="10" t="s">
        <v>39</v>
      </c>
      <c r="G228" s="10" t="s">
        <v>24</v>
      </c>
      <c r="H228" s="10"/>
      <c r="I228" s="10"/>
      <c r="J228" s="10"/>
      <c r="K228" s="31">
        <v>251</v>
      </c>
      <c r="L228" s="42"/>
    </row>
    <row r="229" spans="1:12" x14ac:dyDescent="0.25">
      <c r="A229" s="10">
        <f>IF(B229="","",_xlfn.AGGREGATE(3,5,$B$7:B229))</f>
        <v>223</v>
      </c>
      <c r="B229" s="6" t="s">
        <v>501</v>
      </c>
      <c r="C229" s="8" t="s">
        <v>500</v>
      </c>
      <c r="D229" s="7">
        <v>45503</v>
      </c>
      <c r="E229" s="6" t="s">
        <v>136</v>
      </c>
      <c r="F229" s="10" t="s">
        <v>20</v>
      </c>
      <c r="G229" s="10"/>
      <c r="H229" s="10"/>
      <c r="I229" s="10"/>
      <c r="J229" s="10" t="s">
        <v>24</v>
      </c>
      <c r="K229" s="31">
        <v>112</v>
      </c>
      <c r="L229" s="42"/>
    </row>
    <row r="230" spans="1:12" x14ac:dyDescent="0.25">
      <c r="A230" s="10">
        <f>IF(B230="","",_xlfn.AGGREGATE(3,5,$B$7:B230))</f>
        <v>224</v>
      </c>
      <c r="B230" s="6" t="s">
        <v>502</v>
      </c>
      <c r="C230" s="8" t="s">
        <v>503</v>
      </c>
      <c r="D230" s="7">
        <v>45503</v>
      </c>
      <c r="E230" s="6" t="s">
        <v>30</v>
      </c>
      <c r="F230" s="10" t="s">
        <v>20</v>
      </c>
      <c r="G230" s="10"/>
      <c r="H230" s="10"/>
      <c r="I230" s="10"/>
      <c r="J230" s="10" t="s">
        <v>24</v>
      </c>
      <c r="K230" s="31">
        <v>424</v>
      </c>
      <c r="L230" s="42"/>
    </row>
    <row r="231" spans="1:12" x14ac:dyDescent="0.25">
      <c r="A231" s="10">
        <f>IF(B231="","",_xlfn.AGGREGATE(3,5,$B$7:B231))</f>
        <v>225</v>
      </c>
      <c r="B231" s="6" t="s">
        <v>505</v>
      </c>
      <c r="C231" s="8" t="s">
        <v>506</v>
      </c>
      <c r="D231" s="7">
        <v>45447</v>
      </c>
      <c r="E231" s="6" t="s">
        <v>136</v>
      </c>
      <c r="F231" s="10" t="s">
        <v>20</v>
      </c>
      <c r="G231" s="10" t="s">
        <v>24</v>
      </c>
      <c r="H231" s="10"/>
      <c r="I231" s="10"/>
      <c r="J231" s="10"/>
      <c r="K231" s="31">
        <v>81</v>
      </c>
      <c r="L231" s="42"/>
    </row>
    <row r="232" spans="1:12" x14ac:dyDescent="0.25">
      <c r="A232" s="10">
        <f>IF(B232="","",_xlfn.AGGREGATE(3,5,$B$7:B232))</f>
        <v>226</v>
      </c>
      <c r="B232" s="6" t="s">
        <v>504</v>
      </c>
      <c r="C232" s="8" t="s">
        <v>507</v>
      </c>
      <c r="D232" s="7">
        <v>45506</v>
      </c>
      <c r="E232" s="6" t="s">
        <v>136</v>
      </c>
      <c r="F232" s="10" t="s">
        <v>20</v>
      </c>
      <c r="G232" s="10" t="s">
        <v>24</v>
      </c>
      <c r="H232" s="10"/>
      <c r="I232" s="10"/>
      <c r="J232" s="10"/>
      <c r="K232" s="31">
        <v>81</v>
      </c>
      <c r="L232" s="42"/>
    </row>
    <row r="233" spans="1:12" x14ac:dyDescent="0.25">
      <c r="A233" s="10">
        <f>IF(B233="","",_xlfn.AGGREGATE(3,5,$B$7:B233))</f>
        <v>227</v>
      </c>
      <c r="B233" s="6" t="s">
        <v>55</v>
      </c>
      <c r="C233" s="8" t="s">
        <v>508</v>
      </c>
      <c r="D233" s="7">
        <v>45510</v>
      </c>
      <c r="E233" s="26" t="s">
        <v>333</v>
      </c>
      <c r="F233" s="10" t="s">
        <v>20</v>
      </c>
      <c r="G233" s="10" t="s">
        <v>23</v>
      </c>
      <c r="H233" s="10"/>
      <c r="I233" s="10"/>
      <c r="J233" s="10"/>
      <c r="K233" s="31">
        <v>381</v>
      </c>
      <c r="L233" s="42"/>
    </row>
    <row r="234" spans="1:12" x14ac:dyDescent="0.25">
      <c r="A234" s="10">
        <f>IF(B234="","",_xlfn.AGGREGATE(3,5,$B$7:B234))</f>
        <v>228</v>
      </c>
      <c r="B234" s="6" t="s">
        <v>509</v>
      </c>
      <c r="C234" s="8" t="s">
        <v>510</v>
      </c>
      <c r="D234" s="7">
        <v>45520</v>
      </c>
      <c r="E234" s="6" t="s">
        <v>30</v>
      </c>
      <c r="F234" s="10" t="s">
        <v>20</v>
      </c>
      <c r="G234" s="10"/>
      <c r="H234" s="10" t="s">
        <v>24</v>
      </c>
      <c r="I234" s="10"/>
      <c r="J234" s="10"/>
      <c r="K234" s="31">
        <v>425</v>
      </c>
      <c r="L234" s="42"/>
    </row>
    <row r="235" spans="1:12" x14ac:dyDescent="0.25">
      <c r="A235" s="10">
        <f>IF(B235="","",_xlfn.AGGREGATE(3,5,$B$7:B235))</f>
        <v>229</v>
      </c>
      <c r="B235" s="6" t="s">
        <v>378</v>
      </c>
      <c r="C235" s="8" t="s">
        <v>511</v>
      </c>
      <c r="D235" s="7">
        <v>45533</v>
      </c>
      <c r="E235" s="6" t="s">
        <v>512</v>
      </c>
      <c r="F235" s="10" t="s">
        <v>87</v>
      </c>
      <c r="G235" s="10"/>
      <c r="H235" s="10" t="s">
        <v>24</v>
      </c>
      <c r="I235" s="10"/>
      <c r="J235" s="10"/>
      <c r="K235" s="31">
        <v>420</v>
      </c>
      <c r="L235" s="42"/>
    </row>
    <row r="236" spans="1:12" x14ac:dyDescent="0.25">
      <c r="A236" s="10">
        <f>IF(B236="","",_xlfn.AGGREGATE(3,5,$B$7:B236))</f>
        <v>230</v>
      </c>
      <c r="B236" s="6" t="s">
        <v>95</v>
      </c>
      <c r="C236" s="22" t="s">
        <v>513</v>
      </c>
      <c r="D236" s="7">
        <v>45533</v>
      </c>
      <c r="E236" s="6" t="s">
        <v>514</v>
      </c>
      <c r="F236" s="10" t="s">
        <v>87</v>
      </c>
      <c r="G236" s="10"/>
      <c r="H236" s="10" t="s">
        <v>24</v>
      </c>
      <c r="I236" s="10"/>
      <c r="J236" s="10"/>
      <c r="K236" s="31">
        <v>3</v>
      </c>
      <c r="L236" s="42">
        <v>370000</v>
      </c>
    </row>
    <row r="237" spans="1:12" x14ac:dyDescent="0.25">
      <c r="A237" s="10">
        <f>IF(B237="","",_xlfn.AGGREGATE(3,5,$B$7:B237))</f>
        <v>231</v>
      </c>
      <c r="B237" s="6" t="s">
        <v>515</v>
      </c>
      <c r="C237" s="8" t="s">
        <v>516</v>
      </c>
      <c r="D237" s="49">
        <v>45544</v>
      </c>
      <c r="E237" s="6" t="s">
        <v>136</v>
      </c>
      <c r="F237" s="10" t="s">
        <v>20</v>
      </c>
      <c r="G237" s="10"/>
      <c r="H237" s="10"/>
      <c r="I237" s="10"/>
      <c r="J237" s="10" t="s">
        <v>24</v>
      </c>
      <c r="K237" s="31">
        <v>112</v>
      </c>
      <c r="L237" s="42"/>
    </row>
    <row r="238" spans="1:12" ht="28.5" x14ac:dyDescent="0.25">
      <c r="A238" s="10">
        <f>IF(B238="","",_xlfn.AGGREGATE(3,5,$B$7:B238))</f>
        <v>232</v>
      </c>
      <c r="B238" s="6" t="s">
        <v>60</v>
      </c>
      <c r="C238" s="8" t="s">
        <v>517</v>
      </c>
      <c r="D238" s="7">
        <v>45554</v>
      </c>
      <c r="E238" s="24" t="s">
        <v>520</v>
      </c>
      <c r="F238" s="10" t="s">
        <v>20</v>
      </c>
      <c r="G238" s="10"/>
      <c r="H238" s="10"/>
      <c r="I238" s="10"/>
      <c r="J238" s="10" t="s">
        <v>24</v>
      </c>
      <c r="K238" s="31">
        <v>383</v>
      </c>
      <c r="L238" s="43"/>
    </row>
    <row r="239" spans="1:12" ht="28.5" x14ac:dyDescent="0.25">
      <c r="A239" s="10">
        <f>IF(B239="","",_xlfn.AGGREGATE(3,5,$B$7:B239))</f>
        <v>233</v>
      </c>
      <c r="B239" s="6" t="s">
        <v>57</v>
      </c>
      <c r="C239" s="8" t="s">
        <v>518</v>
      </c>
      <c r="D239" s="7">
        <v>45304</v>
      </c>
      <c r="E239" s="24" t="s">
        <v>520</v>
      </c>
      <c r="F239" s="10" t="s">
        <v>20</v>
      </c>
      <c r="G239" s="10"/>
      <c r="H239" s="10"/>
      <c r="I239" s="10"/>
      <c r="J239" s="10" t="s">
        <v>24</v>
      </c>
      <c r="K239" s="31">
        <v>94</v>
      </c>
      <c r="L239" s="42"/>
    </row>
    <row r="240" spans="1:12" ht="28.5" x14ac:dyDescent="0.25">
      <c r="A240" s="10">
        <f>IF(B240="","",_xlfn.AGGREGATE(3,5,$B$7:B240))</f>
        <v>234</v>
      </c>
      <c r="B240" s="6" t="s">
        <v>522</v>
      </c>
      <c r="C240" s="8" t="s">
        <v>521</v>
      </c>
      <c r="D240" s="7">
        <v>45554</v>
      </c>
      <c r="E240" s="26" t="s">
        <v>526</v>
      </c>
      <c r="F240" s="10" t="s">
        <v>20</v>
      </c>
      <c r="G240" s="10"/>
      <c r="H240" s="10"/>
      <c r="I240" s="10"/>
      <c r="J240" s="10" t="s">
        <v>24</v>
      </c>
      <c r="K240" s="31">
        <v>180</v>
      </c>
      <c r="L240" s="42"/>
    </row>
    <row r="241" spans="1:12" x14ac:dyDescent="0.25">
      <c r="A241" s="10">
        <f>IF(B241="","",_xlfn.AGGREGATE(3,5,$B$7:B241))</f>
        <v>235</v>
      </c>
      <c r="B241" s="6" t="s">
        <v>527</v>
      </c>
      <c r="C241" s="8" t="s">
        <v>528</v>
      </c>
      <c r="D241" s="7">
        <v>45574</v>
      </c>
      <c r="E241" s="6" t="s">
        <v>30</v>
      </c>
      <c r="F241" s="10" t="s">
        <v>39</v>
      </c>
      <c r="G241" s="10" t="s">
        <v>24</v>
      </c>
      <c r="H241" s="10"/>
      <c r="I241" s="10"/>
      <c r="J241" s="10"/>
      <c r="K241" s="31">
        <v>426</v>
      </c>
      <c r="L241" s="42"/>
    </row>
    <row r="242" spans="1:12" ht="42.75" x14ac:dyDescent="0.25">
      <c r="A242" s="10">
        <f>IF(B242="","",_xlfn.AGGREGATE(3,5,$B$7:B242))</f>
        <v>236</v>
      </c>
      <c r="B242" s="6" t="s">
        <v>529</v>
      </c>
      <c r="C242" s="8" t="s">
        <v>530</v>
      </c>
      <c r="D242" s="7">
        <v>45582</v>
      </c>
      <c r="E242" s="6" t="s">
        <v>553</v>
      </c>
      <c r="F242" s="10" t="s">
        <v>20</v>
      </c>
      <c r="G242" s="10" t="s">
        <v>24</v>
      </c>
      <c r="H242" s="10"/>
      <c r="I242" s="10"/>
      <c r="J242" s="10"/>
      <c r="K242" s="31">
        <v>346</v>
      </c>
      <c r="L242" s="42"/>
    </row>
    <row r="243" spans="1:12" ht="28.5" x14ac:dyDescent="0.25">
      <c r="A243" s="10">
        <f>IF(B243="","",_xlfn.AGGREGATE(3,5,$B$7:B243))</f>
        <v>237</v>
      </c>
      <c r="B243" s="6" t="s">
        <v>531</v>
      </c>
      <c r="C243" s="8" t="s">
        <v>540</v>
      </c>
      <c r="D243" s="7">
        <v>45582</v>
      </c>
      <c r="E243" s="6" t="s">
        <v>554</v>
      </c>
      <c r="F243" s="10" t="s">
        <v>20</v>
      </c>
      <c r="G243" s="10" t="s">
        <v>24</v>
      </c>
      <c r="H243" s="10"/>
      <c r="I243" s="10"/>
      <c r="J243" s="10"/>
      <c r="K243" s="31">
        <v>346</v>
      </c>
      <c r="L243" s="42"/>
    </row>
    <row r="244" spans="1:12" ht="28.5" x14ac:dyDescent="0.25">
      <c r="A244" s="10">
        <f>IF(B244="","",_xlfn.AGGREGATE(3,5,$B$7:B244))</f>
        <v>238</v>
      </c>
      <c r="B244" s="6" t="s">
        <v>532</v>
      </c>
      <c r="C244" s="8" t="s">
        <v>541</v>
      </c>
      <c r="D244" s="7">
        <v>45582</v>
      </c>
      <c r="E244" s="6" t="s">
        <v>555</v>
      </c>
      <c r="F244" s="10" t="s">
        <v>20</v>
      </c>
      <c r="G244" s="10" t="s">
        <v>24</v>
      </c>
      <c r="H244" s="10"/>
      <c r="I244" s="10"/>
      <c r="J244" s="10"/>
      <c r="K244" s="31">
        <v>346</v>
      </c>
      <c r="L244" s="42"/>
    </row>
    <row r="245" spans="1:12" ht="28.5" x14ac:dyDescent="0.25">
      <c r="A245" s="10">
        <f>IF(B245="","",_xlfn.AGGREGATE(3,5,$B$7:B245))</f>
        <v>239</v>
      </c>
      <c r="B245" s="6" t="s">
        <v>533</v>
      </c>
      <c r="C245" s="8" t="s">
        <v>542</v>
      </c>
      <c r="D245" s="7">
        <v>45582</v>
      </c>
      <c r="E245" s="6" t="s">
        <v>557</v>
      </c>
      <c r="F245" s="10" t="s">
        <v>20</v>
      </c>
      <c r="G245" s="10" t="s">
        <v>24</v>
      </c>
      <c r="H245" s="10"/>
      <c r="I245" s="10"/>
      <c r="J245" s="10"/>
      <c r="K245" s="31">
        <v>346</v>
      </c>
      <c r="L245" s="42"/>
    </row>
    <row r="246" spans="1:12" ht="28.5" x14ac:dyDescent="0.25">
      <c r="A246" s="10">
        <f>IF(B246="","",_xlfn.AGGREGATE(3,5,$B$7:B246))</f>
        <v>240</v>
      </c>
      <c r="B246" s="6" t="s">
        <v>534</v>
      </c>
      <c r="C246" s="8" t="s">
        <v>543</v>
      </c>
      <c r="D246" s="7">
        <v>45582</v>
      </c>
      <c r="E246" s="6" t="s">
        <v>556</v>
      </c>
      <c r="F246" s="10" t="s">
        <v>20</v>
      </c>
      <c r="G246" s="10" t="s">
        <v>24</v>
      </c>
      <c r="H246" s="10"/>
      <c r="I246" s="10"/>
      <c r="J246" s="10"/>
      <c r="K246" s="31">
        <v>346</v>
      </c>
      <c r="L246" s="42"/>
    </row>
    <row r="247" spans="1:12" ht="28.5" x14ac:dyDescent="0.25">
      <c r="A247" s="10">
        <f>IF(B247="","",_xlfn.AGGREGATE(3,5,$B$7:B247))</f>
        <v>241</v>
      </c>
      <c r="B247" s="6" t="s">
        <v>535</v>
      </c>
      <c r="C247" s="8" t="s">
        <v>544</v>
      </c>
      <c r="D247" s="7">
        <v>45582</v>
      </c>
      <c r="E247" s="6" t="s">
        <v>558</v>
      </c>
      <c r="F247" s="10" t="s">
        <v>20</v>
      </c>
      <c r="G247" s="10" t="s">
        <v>24</v>
      </c>
      <c r="H247" s="10"/>
      <c r="I247" s="10"/>
      <c r="J247" s="10"/>
      <c r="K247" s="31">
        <v>346</v>
      </c>
      <c r="L247" s="42"/>
    </row>
    <row r="248" spans="1:12" ht="28.5" x14ac:dyDescent="0.25">
      <c r="A248" s="10">
        <f>IF(B248="","",_xlfn.AGGREGATE(3,5,$B$7:B248))</f>
        <v>242</v>
      </c>
      <c r="B248" s="6" t="s">
        <v>536</v>
      </c>
      <c r="C248" s="8" t="s">
        <v>545</v>
      </c>
      <c r="D248" s="7">
        <v>45582</v>
      </c>
      <c r="E248" s="6" t="s">
        <v>559</v>
      </c>
      <c r="F248" s="10" t="s">
        <v>20</v>
      </c>
      <c r="G248" s="10" t="s">
        <v>24</v>
      </c>
      <c r="H248" s="10"/>
      <c r="I248" s="10"/>
      <c r="J248" s="10"/>
      <c r="K248" s="31">
        <v>346</v>
      </c>
      <c r="L248" s="42"/>
    </row>
    <row r="249" spans="1:12" ht="28.5" x14ac:dyDescent="0.25">
      <c r="A249" s="10">
        <f>IF(B249="","",_xlfn.AGGREGATE(3,5,$B$7:B249))</f>
        <v>243</v>
      </c>
      <c r="B249" s="6" t="s">
        <v>537</v>
      </c>
      <c r="C249" s="8" t="s">
        <v>546</v>
      </c>
      <c r="D249" s="7">
        <v>45582</v>
      </c>
      <c r="E249" s="6" t="s">
        <v>560</v>
      </c>
      <c r="F249" s="10" t="s">
        <v>20</v>
      </c>
      <c r="G249" s="10" t="s">
        <v>24</v>
      </c>
      <c r="H249" s="10"/>
      <c r="I249" s="10"/>
      <c r="J249" s="10"/>
      <c r="K249" s="31">
        <v>346</v>
      </c>
      <c r="L249" s="42"/>
    </row>
    <row r="250" spans="1:12" ht="28.5" x14ac:dyDescent="0.25">
      <c r="A250" s="10">
        <f>IF(B250="","",_xlfn.AGGREGATE(3,5,$B$7:B250))</f>
        <v>244</v>
      </c>
      <c r="B250" s="6" t="s">
        <v>538</v>
      </c>
      <c r="C250" s="8" t="s">
        <v>547</v>
      </c>
      <c r="D250" s="7">
        <v>45582</v>
      </c>
      <c r="E250" s="6" t="s">
        <v>561</v>
      </c>
      <c r="F250" s="10" t="s">
        <v>20</v>
      </c>
      <c r="G250" s="10" t="s">
        <v>24</v>
      </c>
      <c r="H250" s="10"/>
      <c r="I250" s="10"/>
      <c r="J250" s="10"/>
      <c r="K250" s="31">
        <v>346</v>
      </c>
      <c r="L250" s="42"/>
    </row>
    <row r="251" spans="1:12" ht="28.5" x14ac:dyDescent="0.25">
      <c r="A251" s="10">
        <f>IF(B251="","",_xlfn.AGGREGATE(3,5,$B$7:B251))</f>
        <v>245</v>
      </c>
      <c r="B251" s="6" t="s">
        <v>539</v>
      </c>
      <c r="C251" s="8" t="s">
        <v>548</v>
      </c>
      <c r="D251" s="7">
        <v>45582</v>
      </c>
      <c r="E251" s="6" t="s">
        <v>562</v>
      </c>
      <c r="F251" s="10" t="s">
        <v>20</v>
      </c>
      <c r="G251" s="10" t="s">
        <v>24</v>
      </c>
      <c r="H251" s="10"/>
      <c r="I251" s="10"/>
      <c r="J251" s="10"/>
      <c r="K251" s="31">
        <v>346</v>
      </c>
      <c r="L251" s="42"/>
    </row>
    <row r="252" spans="1:12" x14ac:dyDescent="0.25">
      <c r="A252" s="10">
        <f>IF(B252="","",_xlfn.AGGREGATE(3,5,$B$7:B252))</f>
        <v>246</v>
      </c>
      <c r="B252" s="6" t="s">
        <v>565</v>
      </c>
      <c r="C252" s="8" t="s">
        <v>563</v>
      </c>
      <c r="D252" s="7">
        <v>45582</v>
      </c>
      <c r="E252" s="6" t="s">
        <v>30</v>
      </c>
      <c r="F252" s="10" t="s">
        <v>39</v>
      </c>
      <c r="G252" s="10" t="s">
        <v>24</v>
      </c>
      <c r="H252" s="10"/>
      <c r="I252" s="10"/>
      <c r="J252" s="10"/>
      <c r="K252" s="31">
        <v>427</v>
      </c>
      <c r="L252" s="42"/>
    </row>
    <row r="253" spans="1:12" x14ac:dyDescent="0.25">
      <c r="A253" s="10">
        <f>IF(B253="","",_xlfn.AGGREGATE(3,5,$B$7:B253))</f>
        <v>247</v>
      </c>
      <c r="B253" s="6" t="s">
        <v>566</v>
      </c>
      <c r="C253" s="8" t="s">
        <v>567</v>
      </c>
      <c r="D253" s="7">
        <v>45587</v>
      </c>
      <c r="E253" s="6" t="s">
        <v>30</v>
      </c>
      <c r="F253" s="10" t="s">
        <v>20</v>
      </c>
      <c r="G253" s="10"/>
      <c r="H253" s="10"/>
      <c r="I253" s="10" t="s">
        <v>24</v>
      </c>
      <c r="J253" s="10"/>
      <c r="K253" s="31">
        <v>428</v>
      </c>
      <c r="L253" s="42"/>
    </row>
    <row r="254" spans="1:12" ht="28.5" x14ac:dyDescent="0.25">
      <c r="A254" s="10">
        <f>IF(B254="","",_xlfn.AGGREGATE(3,5,$B$7:B254))</f>
        <v>248</v>
      </c>
      <c r="B254" s="6" t="s">
        <v>64</v>
      </c>
      <c r="C254" s="24" t="s">
        <v>568</v>
      </c>
      <c r="D254" s="7">
        <v>45601</v>
      </c>
      <c r="E254" s="6" t="s">
        <v>569</v>
      </c>
      <c r="F254" s="10" t="s">
        <v>20</v>
      </c>
      <c r="G254" s="10"/>
      <c r="H254" s="10"/>
      <c r="I254" s="10"/>
      <c r="J254" s="10" t="s">
        <v>24</v>
      </c>
      <c r="K254" s="31">
        <v>299</v>
      </c>
      <c r="L254" s="42"/>
    </row>
    <row r="255" spans="1:12" x14ac:dyDescent="0.25">
      <c r="A255" s="10">
        <f>IF(B255="","",_xlfn.AGGREGATE(3,5,$B$7:B255))</f>
        <v>249</v>
      </c>
      <c r="B255" s="6" t="s">
        <v>114</v>
      </c>
      <c r="C255" s="8" t="s">
        <v>570</v>
      </c>
      <c r="D255" s="7">
        <v>45602</v>
      </c>
      <c r="E255" s="6" t="s">
        <v>104</v>
      </c>
      <c r="F255" s="10"/>
      <c r="G255" s="10"/>
      <c r="H255" s="10"/>
      <c r="I255" s="10"/>
      <c r="J255" s="10"/>
      <c r="K255" s="31">
        <v>5</v>
      </c>
      <c r="L255" s="42">
        <v>496000</v>
      </c>
    </row>
    <row r="256" spans="1:12" x14ac:dyDescent="0.25">
      <c r="A256" s="10">
        <f>IF(B256="","",_xlfn.AGGREGATE(3,5,$B$7:B256))</f>
        <v>250</v>
      </c>
      <c r="B256" s="6" t="s">
        <v>571</v>
      </c>
      <c r="C256" s="8" t="s">
        <v>723</v>
      </c>
      <c r="D256" s="7">
        <v>45602</v>
      </c>
      <c r="E256" s="6" t="s">
        <v>136</v>
      </c>
      <c r="F256" s="10" t="s">
        <v>20</v>
      </c>
      <c r="G256" s="10" t="s">
        <v>24</v>
      </c>
      <c r="H256" s="10"/>
      <c r="I256" s="10"/>
      <c r="J256" s="10"/>
      <c r="K256" s="31">
        <v>81</v>
      </c>
      <c r="L256" s="42"/>
    </row>
    <row r="257" spans="1:12" ht="28.5" x14ac:dyDescent="0.25">
      <c r="A257" s="10">
        <f>IF(B257="","",_xlfn.AGGREGATE(3,5,$B$7:B257))</f>
        <v>251</v>
      </c>
      <c r="B257" s="6" t="s">
        <v>422</v>
      </c>
      <c r="C257" s="8" t="s">
        <v>572</v>
      </c>
      <c r="D257" s="7">
        <v>45615</v>
      </c>
      <c r="E257" s="24" t="s">
        <v>573</v>
      </c>
      <c r="F257" s="10" t="s">
        <v>20</v>
      </c>
      <c r="G257" s="10"/>
      <c r="H257" s="10"/>
      <c r="I257" s="10"/>
      <c r="J257" s="10" t="s">
        <v>23</v>
      </c>
      <c r="K257" s="31">
        <v>391</v>
      </c>
      <c r="L257" s="42"/>
    </row>
    <row r="258" spans="1:12" x14ac:dyDescent="0.25">
      <c r="A258" s="10">
        <f>IF(B258="","",_xlfn.AGGREGATE(3,5,$B$7:B258))</f>
        <v>252</v>
      </c>
      <c r="B258" s="6" t="s">
        <v>574</v>
      </c>
      <c r="C258" s="8" t="s">
        <v>724</v>
      </c>
      <c r="D258" s="7">
        <v>45621</v>
      </c>
      <c r="E258" s="6" t="s">
        <v>136</v>
      </c>
      <c r="F258" s="10" t="s">
        <v>20</v>
      </c>
      <c r="G258" s="10" t="s">
        <v>24</v>
      </c>
      <c r="H258" s="10"/>
      <c r="I258" s="10"/>
      <c r="J258" s="10"/>
      <c r="K258" s="31">
        <v>81</v>
      </c>
      <c r="L258" s="42"/>
    </row>
    <row r="259" spans="1:12" x14ac:dyDescent="0.25">
      <c r="A259" s="10">
        <f>IF(B259="","",_xlfn.AGGREGATE(3,5,$B$7:B259))</f>
        <v>253</v>
      </c>
      <c r="B259" s="6" t="s">
        <v>576</v>
      </c>
      <c r="C259" s="8" t="s">
        <v>575</v>
      </c>
      <c r="D259" s="7">
        <v>45622</v>
      </c>
      <c r="E259" s="6" t="s">
        <v>30</v>
      </c>
      <c r="F259" s="10" t="s">
        <v>39</v>
      </c>
      <c r="G259" s="10" t="s">
        <v>23</v>
      </c>
      <c r="H259" s="10"/>
      <c r="I259" s="10"/>
      <c r="J259" s="10"/>
      <c r="K259" s="31">
        <v>429</v>
      </c>
      <c r="L259" s="42"/>
    </row>
    <row r="260" spans="1:12" ht="47.45" customHeight="1" x14ac:dyDescent="0.25">
      <c r="A260" s="10">
        <f>IF(B260="","",_xlfn.AGGREGATE(3,5,$B$7:B260))</f>
        <v>254</v>
      </c>
      <c r="B260" s="6" t="s">
        <v>578</v>
      </c>
      <c r="C260" s="6" t="s">
        <v>577</v>
      </c>
      <c r="D260" s="7">
        <v>45622</v>
      </c>
      <c r="E260" s="6" t="s">
        <v>30</v>
      </c>
      <c r="F260" s="10" t="s">
        <v>141</v>
      </c>
      <c r="G260" s="10"/>
      <c r="H260" s="10" t="s">
        <v>24</v>
      </c>
      <c r="I260" s="10"/>
      <c r="J260" s="10"/>
      <c r="K260" s="31">
        <v>430</v>
      </c>
      <c r="L260" s="42"/>
    </row>
    <row r="261" spans="1:12" x14ac:dyDescent="0.25">
      <c r="A261" s="10">
        <f>IF(B261="","",_xlfn.AGGREGATE(3,5,$B$7:B261))</f>
        <v>255</v>
      </c>
      <c r="B261" s="6" t="s">
        <v>582</v>
      </c>
      <c r="C261" s="8" t="s">
        <v>580</v>
      </c>
      <c r="D261" s="7">
        <v>45625</v>
      </c>
      <c r="E261" s="6" t="s">
        <v>30</v>
      </c>
      <c r="F261" s="10" t="s">
        <v>20</v>
      </c>
      <c r="G261" s="10"/>
      <c r="H261" s="10"/>
      <c r="I261" s="54" t="s">
        <v>23</v>
      </c>
      <c r="J261" s="10"/>
      <c r="K261" s="31">
        <v>431</v>
      </c>
      <c r="L261" s="42" t="s">
        <v>579</v>
      </c>
    </row>
    <row r="262" spans="1:12" x14ac:dyDescent="0.25">
      <c r="A262" s="10">
        <f>IF(B262="","",_xlfn.AGGREGATE(3,5,$B$7:B262))</f>
        <v>256</v>
      </c>
      <c r="B262" s="6" t="s">
        <v>581</v>
      </c>
      <c r="C262" s="8" t="s">
        <v>583</v>
      </c>
      <c r="D262" s="7">
        <v>45625</v>
      </c>
      <c r="E262" s="6" t="s">
        <v>30</v>
      </c>
      <c r="F262" s="10" t="s">
        <v>20</v>
      </c>
      <c r="G262" s="10"/>
      <c r="H262" s="10"/>
      <c r="I262" s="54" t="s">
        <v>23</v>
      </c>
      <c r="J262" s="10"/>
      <c r="K262" s="31">
        <v>432</v>
      </c>
      <c r="L262" s="42" t="s">
        <v>579</v>
      </c>
    </row>
    <row r="263" spans="1:12" x14ac:dyDescent="0.25">
      <c r="A263" s="10">
        <f>IF(B263="","",_xlfn.AGGREGATE(3,5,$B$7:B263))</f>
        <v>257</v>
      </c>
      <c r="B263" s="6" t="s">
        <v>585</v>
      </c>
      <c r="C263" s="8" t="s">
        <v>584</v>
      </c>
      <c r="D263" s="7">
        <v>45625</v>
      </c>
      <c r="E263" s="6" t="s">
        <v>30</v>
      </c>
      <c r="F263" s="10" t="s">
        <v>20</v>
      </c>
      <c r="G263" s="10"/>
      <c r="H263" s="10"/>
      <c r="I263" s="54" t="s">
        <v>23</v>
      </c>
      <c r="J263" s="10"/>
      <c r="K263" s="31">
        <v>433</v>
      </c>
      <c r="L263" s="42" t="s">
        <v>579</v>
      </c>
    </row>
    <row r="264" spans="1:12" ht="33" customHeight="1" x14ac:dyDescent="0.25">
      <c r="A264" s="10">
        <f>IF(B264="","",_xlfn.AGGREGATE(3,5,$B$7:B264))</f>
        <v>258</v>
      </c>
      <c r="B264" s="6" t="s">
        <v>586</v>
      </c>
      <c r="C264" s="8" t="s">
        <v>587</v>
      </c>
      <c r="D264" s="7">
        <v>45625</v>
      </c>
      <c r="E264" s="6" t="s">
        <v>30</v>
      </c>
      <c r="F264" s="10" t="s">
        <v>20</v>
      </c>
      <c r="G264" s="10"/>
      <c r="H264" s="10"/>
      <c r="I264" s="54" t="s">
        <v>23</v>
      </c>
      <c r="J264" s="10"/>
      <c r="K264" s="31">
        <v>434</v>
      </c>
      <c r="L264" s="42" t="s">
        <v>579</v>
      </c>
    </row>
    <row r="265" spans="1:12" ht="42.75" x14ac:dyDescent="0.25">
      <c r="A265" s="10">
        <f>IF(B265="","",_xlfn.AGGREGATE(3,5,$B$7:B265))</f>
        <v>259</v>
      </c>
      <c r="B265" s="6" t="s">
        <v>588</v>
      </c>
      <c r="C265" s="63" t="s">
        <v>951</v>
      </c>
      <c r="D265" s="7">
        <v>45628</v>
      </c>
      <c r="E265" s="6" t="s">
        <v>590</v>
      </c>
      <c r="F265" s="10" t="s">
        <v>39</v>
      </c>
      <c r="G265" s="10" t="s">
        <v>24</v>
      </c>
      <c r="H265" s="10"/>
      <c r="I265" s="10"/>
      <c r="J265" s="10"/>
      <c r="K265" s="31">
        <v>364</v>
      </c>
      <c r="L265" s="42"/>
    </row>
    <row r="266" spans="1:12" ht="42.75" x14ac:dyDescent="0.25">
      <c r="A266" s="10">
        <f>IF(B266="","",_xlfn.AGGREGATE(3,5,$B$7:B266))</f>
        <v>260</v>
      </c>
      <c r="B266" s="6" t="s">
        <v>589</v>
      </c>
      <c r="C266" s="63" t="s">
        <v>866</v>
      </c>
      <c r="D266" s="7">
        <v>45628</v>
      </c>
      <c r="E266" s="6" t="s">
        <v>590</v>
      </c>
      <c r="F266" s="10" t="s">
        <v>39</v>
      </c>
      <c r="G266" s="10" t="s">
        <v>24</v>
      </c>
      <c r="H266" s="10"/>
      <c r="I266" s="10"/>
      <c r="J266" s="10"/>
      <c r="K266" s="31">
        <v>365</v>
      </c>
      <c r="L266" s="42"/>
    </row>
    <row r="267" spans="1:12" ht="28.5" x14ac:dyDescent="0.25">
      <c r="A267" s="10">
        <f>IF(B267="","",_xlfn.AGGREGATE(3,5,$B$7:B267))</f>
        <v>261</v>
      </c>
      <c r="B267" s="6" t="s">
        <v>522</v>
      </c>
      <c r="C267" s="8" t="s">
        <v>591</v>
      </c>
      <c r="D267" s="7">
        <v>45628</v>
      </c>
      <c r="E267" s="26" t="s">
        <v>595</v>
      </c>
      <c r="F267" s="10" t="s">
        <v>20</v>
      </c>
      <c r="G267" s="10"/>
      <c r="H267" s="10"/>
      <c r="I267" s="10"/>
      <c r="J267" s="10" t="s">
        <v>24</v>
      </c>
      <c r="K267" s="31">
        <v>180</v>
      </c>
      <c r="L267" s="42"/>
    </row>
    <row r="268" spans="1:12" ht="43.9" customHeight="1" x14ac:dyDescent="0.25">
      <c r="A268" s="10">
        <f>IF(B268="","",_xlfn.AGGREGATE(3,5,$B$7:B268))</f>
        <v>262</v>
      </c>
      <c r="B268" s="6" t="s">
        <v>66</v>
      </c>
      <c r="C268" s="8" t="s">
        <v>523</v>
      </c>
      <c r="D268" s="7">
        <v>45628</v>
      </c>
      <c r="E268" s="6" t="s">
        <v>592</v>
      </c>
      <c r="F268" s="10" t="s">
        <v>20</v>
      </c>
      <c r="G268" s="10"/>
      <c r="H268" s="10"/>
      <c r="I268" s="10"/>
      <c r="J268" s="10" t="s">
        <v>24</v>
      </c>
      <c r="K268" s="31">
        <v>274</v>
      </c>
      <c r="L268" s="42"/>
    </row>
    <row r="269" spans="1:12" ht="28.5" x14ac:dyDescent="0.25">
      <c r="A269" s="10">
        <f>IF(B269="","",_xlfn.AGGREGATE(3,5,$B$7:B269))</f>
        <v>263</v>
      </c>
      <c r="B269" s="6" t="s">
        <v>69</v>
      </c>
      <c r="C269" s="6" t="s">
        <v>525</v>
      </c>
      <c r="D269" s="7">
        <v>45628</v>
      </c>
      <c r="E269" s="6" t="s">
        <v>524</v>
      </c>
      <c r="F269" s="10" t="s">
        <v>20</v>
      </c>
      <c r="G269" s="10"/>
      <c r="H269" s="10"/>
      <c r="I269" s="10"/>
      <c r="J269" s="10" t="s">
        <v>24</v>
      </c>
      <c r="K269" s="31">
        <v>294</v>
      </c>
      <c r="L269" s="42"/>
    </row>
    <row r="270" spans="1:12" ht="43.9" customHeight="1" x14ac:dyDescent="0.25">
      <c r="A270" s="10">
        <f>IF(B270="","",_xlfn.AGGREGATE(3,5,$B$7:B270))</f>
        <v>264</v>
      </c>
      <c r="B270" s="6" t="s">
        <v>67</v>
      </c>
      <c r="C270" s="8" t="s">
        <v>519</v>
      </c>
      <c r="D270" s="7">
        <v>45628</v>
      </c>
      <c r="E270" s="24" t="s">
        <v>596</v>
      </c>
      <c r="F270" s="10" t="s">
        <v>20</v>
      </c>
      <c r="G270" s="10"/>
      <c r="H270" s="10"/>
      <c r="I270" s="10"/>
      <c r="J270" s="10" t="s">
        <v>24</v>
      </c>
      <c r="K270" s="31">
        <v>168</v>
      </c>
      <c r="L270" s="43"/>
    </row>
    <row r="271" spans="1:12" ht="42" customHeight="1" x14ac:dyDescent="0.25">
      <c r="A271" s="10">
        <f>IF(B271="","",_xlfn.AGGREGATE(3,5,$B$7:B271))</f>
        <v>265</v>
      </c>
      <c r="B271" s="6" t="s">
        <v>75</v>
      </c>
      <c r="C271" s="8" t="s">
        <v>597</v>
      </c>
      <c r="D271" s="7">
        <v>45628</v>
      </c>
      <c r="E271" s="24" t="s">
        <v>596</v>
      </c>
      <c r="F271" s="10" t="s">
        <v>20</v>
      </c>
      <c r="G271" s="10"/>
      <c r="H271" s="10"/>
      <c r="I271" s="10"/>
      <c r="J271" s="10" t="s">
        <v>24</v>
      </c>
      <c r="K271" s="31">
        <v>95</v>
      </c>
      <c r="L271" s="42"/>
    </row>
    <row r="272" spans="1:12" ht="28.5" x14ac:dyDescent="0.25">
      <c r="A272" s="10">
        <f>IF(B272="","",_xlfn.AGGREGATE(3,5,$B$7:B272))</f>
        <v>266</v>
      </c>
      <c r="B272" s="6" t="s">
        <v>593</v>
      </c>
      <c r="C272" s="8" t="s">
        <v>594</v>
      </c>
      <c r="D272" s="7">
        <v>45628</v>
      </c>
      <c r="E272" s="26" t="s">
        <v>598</v>
      </c>
      <c r="F272" s="10" t="s">
        <v>20</v>
      </c>
      <c r="G272" s="10"/>
      <c r="H272" s="10"/>
      <c r="I272" s="10"/>
      <c r="J272" s="48" t="s">
        <v>24</v>
      </c>
      <c r="K272" s="31">
        <v>255</v>
      </c>
      <c r="L272" s="42"/>
    </row>
    <row r="273" spans="1:13" ht="28.5" x14ac:dyDescent="0.25">
      <c r="A273" s="10">
        <f>IF(B273="","",_xlfn.AGGREGATE(3,5,$B$7:B273))</f>
        <v>267</v>
      </c>
      <c r="B273" s="6" t="s">
        <v>578</v>
      </c>
      <c r="C273" s="6" t="s">
        <v>599</v>
      </c>
      <c r="D273" s="7">
        <v>45639</v>
      </c>
      <c r="E273" s="6" t="s">
        <v>600</v>
      </c>
      <c r="F273" s="10" t="s">
        <v>141</v>
      </c>
      <c r="G273" s="10"/>
      <c r="H273" s="10" t="s">
        <v>24</v>
      </c>
      <c r="I273" s="10"/>
      <c r="J273" s="10"/>
      <c r="K273" s="31">
        <v>430</v>
      </c>
      <c r="L273" s="42"/>
    </row>
    <row r="274" spans="1:13" ht="34.15" customHeight="1" x14ac:dyDescent="0.25">
      <c r="A274" s="10">
        <f>IF(B274="","",_xlfn.AGGREGATE(3,5,$B$7:B274))</f>
        <v>268</v>
      </c>
      <c r="B274" s="6" t="s">
        <v>601</v>
      </c>
      <c r="C274" s="6" t="s">
        <v>602</v>
      </c>
      <c r="D274" s="7">
        <v>45636</v>
      </c>
      <c r="E274" s="6" t="s">
        <v>30</v>
      </c>
      <c r="F274" s="10" t="s">
        <v>141</v>
      </c>
      <c r="G274" s="10"/>
      <c r="H274" s="10" t="s">
        <v>24</v>
      </c>
      <c r="I274" s="10"/>
      <c r="J274" s="10"/>
      <c r="K274" s="31">
        <v>435</v>
      </c>
      <c r="L274" s="42"/>
    </row>
    <row r="275" spans="1:13" ht="28.5" x14ac:dyDescent="0.25">
      <c r="A275" s="10">
        <f>IF(B275="","",_xlfn.AGGREGATE(3,5,$B$7:B275))</f>
        <v>269</v>
      </c>
      <c r="B275" s="61" t="s">
        <v>617</v>
      </c>
      <c r="C275" s="8" t="s">
        <v>603</v>
      </c>
      <c r="D275" s="7">
        <v>45639</v>
      </c>
      <c r="E275" s="6" t="s">
        <v>605</v>
      </c>
      <c r="F275" s="10" t="s">
        <v>38</v>
      </c>
      <c r="G275" s="10"/>
      <c r="H275" s="10"/>
      <c r="I275" s="10" t="s">
        <v>24</v>
      </c>
      <c r="J275" s="10"/>
      <c r="K275" s="31">
        <v>327</v>
      </c>
      <c r="L275" s="42"/>
    </row>
    <row r="276" spans="1:13" ht="36.75" customHeight="1" x14ac:dyDescent="0.25">
      <c r="A276" s="10">
        <f>IF(B276="","",_xlfn.AGGREGATE(3,5,$B$7:B276))</f>
        <v>270</v>
      </c>
      <c r="B276" s="6" t="s">
        <v>607</v>
      </c>
      <c r="C276" s="8" t="s">
        <v>606</v>
      </c>
      <c r="D276" s="50"/>
      <c r="E276" s="6" t="s">
        <v>30</v>
      </c>
      <c r="F276" s="10" t="s">
        <v>38</v>
      </c>
      <c r="G276" s="10"/>
      <c r="H276" s="10"/>
      <c r="I276" s="10" t="s">
        <v>24</v>
      </c>
      <c r="J276" s="10"/>
      <c r="K276" s="31">
        <v>436</v>
      </c>
      <c r="L276" s="42"/>
      <c r="M276" s="6" t="s">
        <v>720</v>
      </c>
    </row>
    <row r="277" spans="1:13" ht="28.5" x14ac:dyDescent="0.25">
      <c r="A277" s="10">
        <f>IF(B277="","",_xlfn.AGGREGATE(3,5,$B$7:B277))</f>
        <v>271</v>
      </c>
      <c r="B277" s="6" t="s">
        <v>609</v>
      </c>
      <c r="C277" s="8" t="s">
        <v>608</v>
      </c>
      <c r="D277" s="7">
        <v>45639</v>
      </c>
      <c r="E277" s="6" t="s">
        <v>605</v>
      </c>
      <c r="F277" s="10" t="s">
        <v>38</v>
      </c>
      <c r="G277" s="10"/>
      <c r="H277" s="10"/>
      <c r="I277" s="10" t="s">
        <v>24</v>
      </c>
      <c r="J277" s="10"/>
      <c r="K277" s="31">
        <v>368</v>
      </c>
      <c r="L277" s="42"/>
    </row>
    <row r="278" spans="1:13" ht="28.5" x14ac:dyDescent="0.25">
      <c r="A278" s="10">
        <f>IF(B278="","",_xlfn.AGGREGATE(3,5,$B$7:B278))</f>
        <v>272</v>
      </c>
      <c r="B278" s="6" t="s">
        <v>610</v>
      </c>
      <c r="C278" s="8" t="s">
        <v>611</v>
      </c>
      <c r="D278" s="7">
        <v>45756</v>
      </c>
      <c r="E278" s="6" t="s">
        <v>30</v>
      </c>
      <c r="F278" s="10" t="s">
        <v>38</v>
      </c>
      <c r="G278" s="10"/>
      <c r="H278" s="10"/>
      <c r="I278" s="10" t="s">
        <v>24</v>
      </c>
      <c r="J278" s="10"/>
      <c r="K278" s="31">
        <v>437</v>
      </c>
      <c r="L278" s="42"/>
      <c r="M278" s="6"/>
    </row>
    <row r="279" spans="1:13" ht="47.45" customHeight="1" x14ac:dyDescent="0.25">
      <c r="A279" s="10">
        <f>IF(B279="","",_xlfn.AGGREGATE(3,5,$B$7:B279))</f>
        <v>273</v>
      </c>
      <c r="B279" s="6" t="s">
        <v>613</v>
      </c>
      <c r="C279" s="8" t="s">
        <v>612</v>
      </c>
      <c r="D279" s="50"/>
      <c r="E279" s="6" t="s">
        <v>30</v>
      </c>
      <c r="F279" s="10" t="s">
        <v>38</v>
      </c>
      <c r="G279" s="10"/>
      <c r="H279" s="10"/>
      <c r="I279" s="10" t="s">
        <v>24</v>
      </c>
      <c r="J279" s="10"/>
      <c r="K279" s="31">
        <v>438</v>
      </c>
      <c r="L279" s="42"/>
      <c r="M279" s="6" t="s">
        <v>720</v>
      </c>
    </row>
    <row r="280" spans="1:13" ht="28.5" x14ac:dyDescent="0.25">
      <c r="A280" s="10">
        <f>IF(B280="","",_xlfn.AGGREGATE(3,5,$B$7:B280))</f>
        <v>274</v>
      </c>
      <c r="B280" s="6" t="s">
        <v>614</v>
      </c>
      <c r="C280" s="8" t="s">
        <v>615</v>
      </c>
      <c r="D280" s="50">
        <v>45639</v>
      </c>
      <c r="E280" s="6" t="s">
        <v>30</v>
      </c>
      <c r="F280" s="10" t="s">
        <v>38</v>
      </c>
      <c r="G280" s="10"/>
      <c r="H280" s="10"/>
      <c r="I280" s="10" t="s">
        <v>24</v>
      </c>
      <c r="J280" s="10"/>
      <c r="K280" s="31">
        <v>439</v>
      </c>
      <c r="L280" s="42"/>
    </row>
    <row r="281" spans="1:13" ht="42.75" x14ac:dyDescent="0.2">
      <c r="A281" s="10">
        <f>IF(B281="","",_xlfn.AGGREGATE(3,5,$B$7:B281))</f>
        <v>275</v>
      </c>
      <c r="B281" s="55" t="s">
        <v>604</v>
      </c>
      <c r="C281" s="8" t="s">
        <v>616</v>
      </c>
      <c r="D281" s="50"/>
      <c r="E281" s="6" t="s">
        <v>30</v>
      </c>
      <c r="F281" s="10" t="s">
        <v>38</v>
      </c>
      <c r="G281" s="10"/>
      <c r="H281" s="10"/>
      <c r="I281" s="10" t="s">
        <v>24</v>
      </c>
      <c r="J281" s="10"/>
      <c r="K281" s="31">
        <v>440</v>
      </c>
      <c r="L281" s="42"/>
      <c r="M281" s="6" t="s">
        <v>720</v>
      </c>
    </row>
    <row r="282" spans="1:13" ht="28.5" x14ac:dyDescent="0.2">
      <c r="A282" s="10">
        <f>IF(B282="","",_xlfn.AGGREGATE(3,5,$B$7:B282))</f>
        <v>276</v>
      </c>
      <c r="B282" s="56" t="s">
        <v>618</v>
      </c>
      <c r="C282" s="8" t="s">
        <v>619</v>
      </c>
      <c r="D282" s="7">
        <v>45639</v>
      </c>
      <c r="E282" s="6" t="s">
        <v>605</v>
      </c>
      <c r="F282" s="10" t="s">
        <v>38</v>
      </c>
      <c r="G282" s="10"/>
      <c r="H282" s="10"/>
      <c r="I282" s="10" t="s">
        <v>24</v>
      </c>
      <c r="J282" s="10"/>
      <c r="K282" s="31">
        <v>312</v>
      </c>
      <c r="L282" s="42"/>
    </row>
    <row r="283" spans="1:13" ht="36.6" customHeight="1" x14ac:dyDescent="0.25">
      <c r="A283" s="10">
        <f>IF(B283="","",_xlfn.AGGREGATE(3,5,$B$7:B283))</f>
        <v>277</v>
      </c>
      <c r="B283" s="58" t="s">
        <v>621</v>
      </c>
      <c r="C283" s="8" t="s">
        <v>620</v>
      </c>
      <c r="D283" s="7">
        <v>45639</v>
      </c>
      <c r="E283" s="6" t="s">
        <v>30</v>
      </c>
      <c r="F283" s="10" t="s">
        <v>38</v>
      </c>
      <c r="G283" s="10"/>
      <c r="H283" s="10"/>
      <c r="I283" s="10" t="s">
        <v>24</v>
      </c>
      <c r="J283" s="10"/>
      <c r="K283" s="31">
        <v>441</v>
      </c>
      <c r="L283" s="42"/>
    </row>
    <row r="284" spans="1:13" ht="28.5" x14ac:dyDescent="0.25">
      <c r="A284" s="35">
        <f>IF(B284="","",_xlfn.AGGREGATE(3,5,$B$7:B284))</f>
        <v>278</v>
      </c>
      <c r="B284" s="60" t="s">
        <v>625</v>
      </c>
      <c r="C284" s="57" t="s">
        <v>626</v>
      </c>
      <c r="D284" s="7">
        <v>45639</v>
      </c>
      <c r="E284" s="6" t="s">
        <v>605</v>
      </c>
      <c r="F284" s="10" t="s">
        <v>38</v>
      </c>
      <c r="G284" s="10"/>
      <c r="H284" s="10"/>
      <c r="I284" s="10" t="s">
        <v>24</v>
      </c>
      <c r="J284" s="10"/>
      <c r="K284" s="31">
        <v>313</v>
      </c>
      <c r="L284" s="42"/>
    </row>
    <row r="285" spans="1:13" ht="42.75" x14ac:dyDescent="0.25">
      <c r="A285" s="35">
        <f>IF(B285="","",_xlfn.AGGREGATE(3,5,$B$7:B285))</f>
        <v>279</v>
      </c>
      <c r="B285" s="60" t="s">
        <v>627</v>
      </c>
      <c r="C285" s="57" t="s">
        <v>624</v>
      </c>
      <c r="D285" s="50"/>
      <c r="E285" s="6" t="s">
        <v>30</v>
      </c>
      <c r="F285" s="10" t="s">
        <v>38</v>
      </c>
      <c r="G285" s="10"/>
      <c r="H285" s="10"/>
      <c r="I285" s="10" t="s">
        <v>24</v>
      </c>
      <c r="J285" s="10"/>
      <c r="K285" s="31">
        <v>443</v>
      </c>
      <c r="L285" s="42"/>
      <c r="M285" s="6" t="s">
        <v>719</v>
      </c>
    </row>
    <row r="286" spans="1:13" ht="28.5" x14ac:dyDescent="0.25">
      <c r="A286" s="35">
        <f>IF(B286="","",_xlfn.AGGREGATE(3,5,$B$7:B286))</f>
        <v>280</v>
      </c>
      <c r="B286" s="60" t="s">
        <v>628</v>
      </c>
      <c r="C286" s="57" t="s">
        <v>629</v>
      </c>
      <c r="D286" s="7">
        <v>45639</v>
      </c>
      <c r="E286" s="6" t="s">
        <v>605</v>
      </c>
      <c r="F286" s="10" t="s">
        <v>38</v>
      </c>
      <c r="G286" s="10"/>
      <c r="H286" s="10"/>
      <c r="I286" s="10" t="s">
        <v>24</v>
      </c>
      <c r="J286" s="10"/>
      <c r="K286" s="31">
        <v>309</v>
      </c>
      <c r="L286" s="42"/>
    </row>
    <row r="287" spans="1:13" ht="28.5" x14ac:dyDescent="0.25">
      <c r="A287" s="35">
        <f>IF(B287="","",_xlfn.AGGREGATE(3,5,$B$7:B287))</f>
        <v>281</v>
      </c>
      <c r="B287" s="60" t="s">
        <v>632</v>
      </c>
      <c r="C287" s="57" t="s">
        <v>630</v>
      </c>
      <c r="D287" s="7">
        <v>45639</v>
      </c>
      <c r="E287" s="6" t="s">
        <v>605</v>
      </c>
      <c r="F287" s="10" t="s">
        <v>38</v>
      </c>
      <c r="G287" s="10"/>
      <c r="H287" s="10"/>
      <c r="I287" s="10" t="s">
        <v>24</v>
      </c>
      <c r="J287" s="10"/>
      <c r="K287" s="31">
        <v>310</v>
      </c>
      <c r="L287" s="42"/>
    </row>
    <row r="288" spans="1:13" ht="28.5" x14ac:dyDescent="0.25">
      <c r="A288" s="35">
        <f>IF(B288="","",_xlfn.AGGREGATE(3,5,$B$7:B288))</f>
        <v>282</v>
      </c>
      <c r="B288" s="60" t="s">
        <v>633</v>
      </c>
      <c r="C288" s="57" t="s">
        <v>631</v>
      </c>
      <c r="D288" s="7">
        <v>45639</v>
      </c>
      <c r="E288" s="6" t="s">
        <v>605</v>
      </c>
      <c r="F288" s="10" t="s">
        <v>38</v>
      </c>
      <c r="G288" s="10"/>
      <c r="H288" s="10"/>
      <c r="I288" s="10" t="s">
        <v>24</v>
      </c>
      <c r="J288" s="10"/>
      <c r="K288" s="31">
        <v>311</v>
      </c>
      <c r="L288" s="42"/>
    </row>
    <row r="289" spans="1:13" x14ac:dyDescent="0.25">
      <c r="A289" s="35">
        <f>IF(B289="","",_xlfn.AGGREGATE(3,5,$B$7:B289))</f>
        <v>283</v>
      </c>
      <c r="B289" s="60" t="s">
        <v>635</v>
      </c>
      <c r="C289" s="57" t="s">
        <v>622</v>
      </c>
      <c r="D289" s="7">
        <v>45639</v>
      </c>
      <c r="E289" s="6" t="s">
        <v>30</v>
      </c>
      <c r="F289" s="10" t="s">
        <v>38</v>
      </c>
      <c r="G289" s="10"/>
      <c r="H289" s="10"/>
      <c r="I289" s="10" t="s">
        <v>24</v>
      </c>
      <c r="J289" s="10"/>
      <c r="K289" s="31">
        <v>442</v>
      </c>
      <c r="L289" s="42"/>
    </row>
    <row r="290" spans="1:13" ht="28.5" x14ac:dyDescent="0.25">
      <c r="A290" s="35">
        <f>IF(B290="","",_xlfn.AGGREGATE(3,5,$B$7:B290))</f>
        <v>284</v>
      </c>
      <c r="B290" s="60" t="s">
        <v>634</v>
      </c>
      <c r="C290" s="57" t="s">
        <v>636</v>
      </c>
      <c r="D290" s="7">
        <v>45639</v>
      </c>
      <c r="E290" s="6" t="s">
        <v>605</v>
      </c>
      <c r="F290" s="10" t="s">
        <v>38</v>
      </c>
      <c r="G290" s="10"/>
      <c r="H290" s="10"/>
      <c r="I290" s="10" t="s">
        <v>24</v>
      </c>
      <c r="J290" s="10"/>
      <c r="K290" s="31">
        <v>328</v>
      </c>
      <c r="L290" s="42"/>
    </row>
    <row r="291" spans="1:13" ht="28.5" x14ac:dyDescent="0.25">
      <c r="A291" s="35">
        <f>IF(B291="","",_xlfn.AGGREGATE(3,5,$B$7:B291))</f>
        <v>285</v>
      </c>
      <c r="B291" s="60" t="s">
        <v>637</v>
      </c>
      <c r="C291" s="57" t="s">
        <v>638</v>
      </c>
      <c r="D291" s="7">
        <v>45639</v>
      </c>
      <c r="E291" s="6" t="s">
        <v>605</v>
      </c>
      <c r="F291" s="10" t="s">
        <v>38</v>
      </c>
      <c r="G291" s="10"/>
      <c r="H291" s="10"/>
      <c r="I291" s="10" t="s">
        <v>24</v>
      </c>
      <c r="J291" s="10"/>
      <c r="K291" s="31">
        <v>367</v>
      </c>
      <c r="L291" s="42"/>
    </row>
    <row r="292" spans="1:13" ht="30" customHeight="1" x14ac:dyDescent="0.25">
      <c r="A292" s="10">
        <f>IF(B292="","",_xlfn.AGGREGATE(3,5,$B$7:B292))</f>
        <v>286</v>
      </c>
      <c r="B292" s="59" t="s">
        <v>642</v>
      </c>
      <c r="C292" s="8" t="s">
        <v>640</v>
      </c>
      <c r="D292" s="7">
        <v>45645</v>
      </c>
      <c r="E292" s="6" t="s">
        <v>639</v>
      </c>
      <c r="F292" s="10" t="s">
        <v>20</v>
      </c>
      <c r="G292" s="10"/>
      <c r="H292" s="10"/>
      <c r="I292" s="10"/>
      <c r="J292" s="10" t="s">
        <v>23</v>
      </c>
      <c r="K292" s="31">
        <v>304</v>
      </c>
      <c r="L292" s="42"/>
    </row>
    <row r="293" spans="1:13" ht="30" customHeight="1" x14ac:dyDescent="0.25">
      <c r="A293" s="10">
        <f>IF(B293="","",_xlfn.AGGREGATE(3,5,$B$7:B293))</f>
        <v>287</v>
      </c>
      <c r="B293" s="6" t="s">
        <v>408</v>
      </c>
      <c r="C293" s="8" t="s">
        <v>774</v>
      </c>
      <c r="D293" s="7">
        <v>45646</v>
      </c>
      <c r="E293" s="6" t="s">
        <v>773</v>
      </c>
      <c r="F293" s="10" t="s">
        <v>20</v>
      </c>
      <c r="G293" s="10" t="s">
        <v>24</v>
      </c>
      <c r="H293" s="10"/>
      <c r="I293" s="10"/>
      <c r="J293" s="10"/>
      <c r="K293" s="31">
        <v>135</v>
      </c>
      <c r="L293" s="42"/>
    </row>
    <row r="294" spans="1:13" ht="57.6" customHeight="1" x14ac:dyDescent="0.25">
      <c r="A294" s="10">
        <f>IF(B294="","",_xlfn.AGGREGATE(3,5,$B$7:B294))</f>
        <v>288</v>
      </c>
      <c r="B294" s="6" t="s">
        <v>645</v>
      </c>
      <c r="C294" s="6" t="s">
        <v>644</v>
      </c>
      <c r="D294" s="7">
        <v>45649</v>
      </c>
      <c r="E294" s="62" t="s">
        <v>643</v>
      </c>
      <c r="F294" s="10" t="s">
        <v>116</v>
      </c>
      <c r="G294" s="10"/>
      <c r="H294" s="10"/>
      <c r="I294" s="10" t="s">
        <v>24</v>
      </c>
      <c r="J294" s="10"/>
      <c r="K294" s="31">
        <v>93</v>
      </c>
      <c r="L294" s="42"/>
    </row>
    <row r="295" spans="1:13" ht="53.45" customHeight="1" x14ac:dyDescent="0.25">
      <c r="A295" s="10">
        <f>IF(B295="","",_xlfn.AGGREGATE(3,5,$B$7:B295))</f>
        <v>289</v>
      </c>
      <c r="B295" s="6" t="s">
        <v>647</v>
      </c>
      <c r="C295" s="8" t="s">
        <v>646</v>
      </c>
      <c r="D295" s="7">
        <v>45649</v>
      </c>
      <c r="E295" s="62" t="s">
        <v>649</v>
      </c>
      <c r="F295" s="10" t="s">
        <v>33</v>
      </c>
      <c r="G295" s="10"/>
      <c r="H295" s="10"/>
      <c r="I295" s="10" t="s">
        <v>23</v>
      </c>
      <c r="J295" s="10"/>
      <c r="K295" s="31">
        <v>396</v>
      </c>
      <c r="L295" s="42"/>
    </row>
    <row r="296" spans="1:13" ht="40.9" customHeight="1" x14ac:dyDescent="0.25">
      <c r="A296" s="10">
        <f>IF(B296="","",_xlfn.AGGREGATE(3,5,$B$7:B296))</f>
        <v>290</v>
      </c>
      <c r="B296" s="6" t="s">
        <v>650</v>
      </c>
      <c r="C296" s="8" t="s">
        <v>648</v>
      </c>
      <c r="D296" s="7">
        <v>45649</v>
      </c>
      <c r="E296" s="6" t="s">
        <v>649</v>
      </c>
      <c r="F296" s="10" t="s">
        <v>33</v>
      </c>
      <c r="G296" s="10"/>
      <c r="H296" s="10"/>
      <c r="I296" s="10" t="s">
        <v>23</v>
      </c>
      <c r="J296" s="10"/>
      <c r="K296" s="31">
        <v>399</v>
      </c>
      <c r="L296" s="42"/>
    </row>
    <row r="297" spans="1:13" ht="42.75" x14ac:dyDescent="0.25">
      <c r="A297" s="10">
        <f>IF(B297="","",_xlfn.AGGREGATE(3,5,$B$7:B297))</f>
        <v>291</v>
      </c>
      <c r="B297" s="6" t="s">
        <v>652</v>
      </c>
      <c r="C297" s="8" t="s">
        <v>651</v>
      </c>
      <c r="D297" s="50"/>
      <c r="E297" s="6" t="s">
        <v>30</v>
      </c>
      <c r="F297" s="10" t="s">
        <v>33</v>
      </c>
      <c r="G297" s="10"/>
      <c r="H297" s="10"/>
      <c r="I297" s="10" t="s">
        <v>23</v>
      </c>
      <c r="J297" s="10"/>
      <c r="K297" s="31">
        <v>444</v>
      </c>
      <c r="L297" s="42"/>
      <c r="M297" s="6" t="s">
        <v>719</v>
      </c>
    </row>
    <row r="298" spans="1:13" ht="28.5" x14ac:dyDescent="0.25">
      <c r="A298" s="10">
        <f>IF(B298="","",_xlfn.AGGREGATE(3,5,$B$7:B298))</f>
        <v>292</v>
      </c>
      <c r="B298" s="6" t="s">
        <v>144</v>
      </c>
      <c r="C298" s="8" t="s">
        <v>653</v>
      </c>
      <c r="D298" s="7">
        <v>45649</v>
      </c>
      <c r="E298" s="6" t="s">
        <v>649</v>
      </c>
      <c r="F298" s="10" t="s">
        <v>33</v>
      </c>
      <c r="G298" s="10"/>
      <c r="H298" s="10"/>
      <c r="I298" s="10" t="s">
        <v>23</v>
      </c>
      <c r="J298" s="10"/>
      <c r="K298" s="31">
        <v>397</v>
      </c>
      <c r="L298" s="42"/>
    </row>
    <row r="299" spans="1:13" ht="15.75" x14ac:dyDescent="0.25">
      <c r="A299" s="10">
        <f>IF(B299="","",_xlfn.AGGREGATE(3,5,$B$7:B299))</f>
        <v>293</v>
      </c>
      <c r="B299" s="6" t="s">
        <v>657</v>
      </c>
      <c r="C299" s="8" t="s">
        <v>654</v>
      </c>
      <c r="D299" s="7">
        <v>45651</v>
      </c>
      <c r="E299" s="6" t="s">
        <v>30</v>
      </c>
      <c r="F299" s="10" t="s">
        <v>655</v>
      </c>
      <c r="G299" s="10"/>
      <c r="H299" s="10"/>
      <c r="I299" s="10" t="s">
        <v>23</v>
      </c>
      <c r="J299" s="10"/>
      <c r="K299" s="31">
        <v>445</v>
      </c>
      <c r="L299" s="42"/>
    </row>
    <row r="300" spans="1:13" ht="15.75" x14ac:dyDescent="0.25">
      <c r="A300" s="10">
        <f>IF(B300="","",_xlfn.AGGREGATE(3,5,$B$7:B300))</f>
        <v>294</v>
      </c>
      <c r="B300" s="6" t="s">
        <v>658</v>
      </c>
      <c r="C300" s="8" t="s">
        <v>656</v>
      </c>
      <c r="D300" s="7">
        <v>45651</v>
      </c>
      <c r="E300" s="6" t="s">
        <v>30</v>
      </c>
      <c r="F300" s="10" t="s">
        <v>655</v>
      </c>
      <c r="G300" s="10"/>
      <c r="H300" s="10"/>
      <c r="I300" s="10" t="s">
        <v>23</v>
      </c>
      <c r="J300" s="10"/>
      <c r="K300" s="31">
        <v>446</v>
      </c>
      <c r="L300" s="42"/>
    </row>
    <row r="301" spans="1:13" ht="57" x14ac:dyDescent="0.25">
      <c r="A301" s="10">
        <f>IF(B301="","",_xlfn.AGGREGATE(3,5,$B$7:B301))</f>
        <v>295</v>
      </c>
      <c r="B301" s="6" t="s">
        <v>659</v>
      </c>
      <c r="C301" s="8" t="s">
        <v>660</v>
      </c>
      <c r="D301" s="7">
        <v>45657</v>
      </c>
      <c r="E301" s="6" t="s">
        <v>665</v>
      </c>
      <c r="F301" s="10" t="s">
        <v>38</v>
      </c>
      <c r="G301" s="10"/>
      <c r="H301" s="10"/>
      <c r="I301" s="10" t="s">
        <v>23</v>
      </c>
      <c r="J301" s="10"/>
      <c r="K301" s="31">
        <v>307</v>
      </c>
      <c r="L301" s="42"/>
    </row>
    <row r="302" spans="1:13" x14ac:dyDescent="0.25">
      <c r="A302" s="10">
        <f>IF(B302="","",_xlfn.AGGREGATE(3,5,$B$7:B302))</f>
        <v>296</v>
      </c>
      <c r="B302" s="6" t="s">
        <v>662</v>
      </c>
      <c r="C302" s="8" t="s">
        <v>661</v>
      </c>
      <c r="D302" s="7">
        <v>45657</v>
      </c>
      <c r="E302" s="6" t="s">
        <v>30</v>
      </c>
      <c r="F302" s="10" t="s">
        <v>38</v>
      </c>
      <c r="G302" s="10"/>
      <c r="H302" s="10"/>
      <c r="I302" s="10" t="s">
        <v>23</v>
      </c>
      <c r="J302" s="10"/>
      <c r="K302" s="31">
        <v>447</v>
      </c>
      <c r="L302" s="42"/>
    </row>
    <row r="303" spans="1:13" ht="32.25" customHeight="1" x14ac:dyDescent="0.25">
      <c r="A303" s="10">
        <f>IF(B303="","",_xlfn.AGGREGATE(3,5,$B$7:B303))</f>
        <v>297</v>
      </c>
      <c r="B303" s="6" t="s">
        <v>664</v>
      </c>
      <c r="C303" s="8" t="s">
        <v>663</v>
      </c>
      <c r="D303" s="7">
        <v>45663</v>
      </c>
      <c r="E303" s="6" t="s">
        <v>30</v>
      </c>
      <c r="F303" s="10" t="s">
        <v>38</v>
      </c>
      <c r="G303" s="10"/>
      <c r="H303" s="10"/>
      <c r="I303" s="10" t="s">
        <v>23</v>
      </c>
      <c r="J303" s="10"/>
      <c r="K303" s="31">
        <v>448</v>
      </c>
      <c r="L303" s="43"/>
    </row>
    <row r="304" spans="1:13" ht="63.6" customHeight="1" x14ac:dyDescent="0.25">
      <c r="A304" s="10">
        <f>IF(B304="","",_xlfn.AGGREGATE(3,5,$B$7:B304))</f>
        <v>298</v>
      </c>
      <c r="B304" s="6" t="s">
        <v>50</v>
      </c>
      <c r="C304" s="8" t="s">
        <v>666</v>
      </c>
      <c r="D304" s="7">
        <v>45659</v>
      </c>
      <c r="E304" s="6" t="s">
        <v>667</v>
      </c>
      <c r="F304" s="10" t="s">
        <v>34</v>
      </c>
      <c r="G304" s="10"/>
      <c r="H304" s="10"/>
      <c r="I304" s="10" t="s">
        <v>23</v>
      </c>
      <c r="J304" s="10"/>
      <c r="K304" s="31">
        <v>110</v>
      </c>
      <c r="L304" s="42"/>
    </row>
    <row r="305" spans="1:13" ht="57" x14ac:dyDescent="0.25">
      <c r="A305" s="10">
        <f>IF(B305="","",_xlfn.AGGREGATE(3,5,$B$7:B305))</f>
        <v>299</v>
      </c>
      <c r="B305" s="2" t="s">
        <v>126</v>
      </c>
      <c r="C305" s="63" t="s">
        <v>668</v>
      </c>
      <c r="D305" s="7">
        <v>45659</v>
      </c>
      <c r="E305" s="6" t="s">
        <v>672</v>
      </c>
      <c r="F305" s="10" t="s">
        <v>34</v>
      </c>
      <c r="G305" s="10"/>
      <c r="H305" s="10"/>
      <c r="I305" s="10" t="s">
        <v>23</v>
      </c>
      <c r="J305" s="10"/>
      <c r="K305" s="31">
        <v>177</v>
      </c>
      <c r="L305" s="42"/>
    </row>
    <row r="306" spans="1:13" ht="42.75" x14ac:dyDescent="0.25">
      <c r="A306" s="10">
        <f>IF(B306="","",_xlfn.AGGREGATE(3,5,$B$7:B306))</f>
        <v>300</v>
      </c>
      <c r="B306" s="6" t="s">
        <v>669</v>
      </c>
      <c r="C306" s="8" t="s">
        <v>670</v>
      </c>
      <c r="D306" s="7">
        <v>45659</v>
      </c>
      <c r="E306" s="6" t="s">
        <v>671</v>
      </c>
      <c r="F306" s="10" t="s">
        <v>34</v>
      </c>
      <c r="G306" s="10"/>
      <c r="H306" s="10"/>
      <c r="I306" s="10" t="s">
        <v>23</v>
      </c>
      <c r="J306" s="10"/>
      <c r="K306" s="31">
        <v>140</v>
      </c>
      <c r="L306" s="42"/>
    </row>
    <row r="307" spans="1:13" x14ac:dyDescent="0.25">
      <c r="A307" s="10">
        <f>IF(B307="","",_xlfn.AGGREGATE(3,5,$B$7:B307))</f>
        <v>301</v>
      </c>
      <c r="B307" s="6" t="s">
        <v>673</v>
      </c>
      <c r="C307" s="8" t="s">
        <v>674</v>
      </c>
      <c r="D307" s="7">
        <v>45664</v>
      </c>
      <c r="E307" s="6" t="s">
        <v>30</v>
      </c>
      <c r="F307" s="10" t="s">
        <v>34</v>
      </c>
      <c r="G307" s="10"/>
      <c r="H307" s="10"/>
      <c r="I307" s="10" t="s">
        <v>24</v>
      </c>
      <c r="J307" s="10"/>
      <c r="K307" s="31">
        <v>449</v>
      </c>
      <c r="L307" s="42"/>
    </row>
    <row r="308" spans="1:13" x14ac:dyDescent="0.25">
      <c r="A308" s="10">
        <f>IF(B308="","",_xlfn.AGGREGATE(3,5,$B$7:B308))</f>
        <v>302</v>
      </c>
      <c r="B308" s="6" t="s">
        <v>675</v>
      </c>
      <c r="C308" s="8" t="s">
        <v>676</v>
      </c>
      <c r="D308" s="7">
        <v>45664</v>
      </c>
      <c r="E308" s="6" t="s">
        <v>30</v>
      </c>
      <c r="F308" s="10" t="s">
        <v>39</v>
      </c>
      <c r="G308" s="10" t="s">
        <v>24</v>
      </c>
      <c r="H308" s="10"/>
      <c r="I308" s="10"/>
      <c r="J308" s="10"/>
      <c r="K308" s="31">
        <v>450</v>
      </c>
      <c r="L308" s="42"/>
    </row>
    <row r="309" spans="1:13" x14ac:dyDescent="0.25">
      <c r="A309" s="10">
        <f>IF(B309="","",_xlfn.AGGREGATE(3,5,$B$7:B309))</f>
        <v>303</v>
      </c>
      <c r="B309" s="6" t="s">
        <v>677</v>
      </c>
      <c r="C309" s="8" t="s">
        <v>678</v>
      </c>
      <c r="D309" s="7">
        <v>45664</v>
      </c>
      <c r="E309" s="6" t="s">
        <v>30</v>
      </c>
      <c r="F309" s="10" t="s">
        <v>39</v>
      </c>
      <c r="G309" s="10" t="s">
        <v>24</v>
      </c>
      <c r="H309" s="10"/>
      <c r="I309" s="10"/>
      <c r="J309" s="10"/>
      <c r="K309" s="31">
        <v>451</v>
      </c>
      <c r="L309" s="42"/>
    </row>
    <row r="310" spans="1:13" x14ac:dyDescent="0.25">
      <c r="A310" s="10">
        <f>IF(B310="","",_xlfn.AGGREGATE(3,5,$B$7:B310))</f>
        <v>304</v>
      </c>
      <c r="B310" s="6" t="s">
        <v>680</v>
      </c>
      <c r="C310" s="8" t="s">
        <v>679</v>
      </c>
      <c r="D310" s="7">
        <v>45664</v>
      </c>
      <c r="E310" s="6" t="s">
        <v>30</v>
      </c>
      <c r="F310" s="10" t="s">
        <v>39</v>
      </c>
      <c r="G310" s="10" t="s">
        <v>23</v>
      </c>
      <c r="H310" s="10"/>
      <c r="I310" s="10"/>
      <c r="J310" s="10"/>
      <c r="K310" s="31">
        <v>452</v>
      </c>
      <c r="L310" s="42"/>
    </row>
    <row r="311" spans="1:13" ht="42.75" x14ac:dyDescent="0.25">
      <c r="A311" s="10">
        <f>IF(B311="","",_xlfn.AGGREGATE(3,5,$B$7:B311))</f>
        <v>305</v>
      </c>
      <c r="B311" s="6" t="s">
        <v>681</v>
      </c>
      <c r="C311" s="8" t="s">
        <v>682</v>
      </c>
      <c r="D311" s="7">
        <v>45666</v>
      </c>
      <c r="E311" s="6" t="s">
        <v>683</v>
      </c>
      <c r="F311" s="10" t="s">
        <v>20</v>
      </c>
      <c r="G311" s="10"/>
      <c r="H311" s="10"/>
      <c r="I311" s="10"/>
      <c r="J311" s="10" t="s">
        <v>24</v>
      </c>
      <c r="K311" s="31">
        <v>361</v>
      </c>
      <c r="L311" s="42"/>
    </row>
    <row r="312" spans="1:13" ht="42.75" x14ac:dyDescent="0.25">
      <c r="A312" s="10">
        <f>IF(B312="","",_xlfn.AGGREGATE(3,5,$B$7:B312))</f>
        <v>306</v>
      </c>
      <c r="B312" s="6" t="s">
        <v>806</v>
      </c>
      <c r="C312" s="8" t="s">
        <v>684</v>
      </c>
      <c r="D312" s="49">
        <v>45670</v>
      </c>
      <c r="E312" s="24" t="s">
        <v>685</v>
      </c>
      <c r="F312" s="10" t="s">
        <v>20</v>
      </c>
      <c r="G312" s="10"/>
      <c r="H312" s="10"/>
      <c r="I312" s="10"/>
      <c r="J312" s="10" t="s">
        <v>24</v>
      </c>
      <c r="K312" s="31">
        <v>112</v>
      </c>
      <c r="L312" s="42"/>
    </row>
    <row r="313" spans="1:13" s="23" customFormat="1" ht="28.5" x14ac:dyDescent="0.25">
      <c r="A313" s="38">
        <f>IF(B313="","",_xlfn.AGGREGATE(3,5,$B$7:B313))</f>
        <v>307</v>
      </c>
      <c r="B313" s="46" t="s">
        <v>702</v>
      </c>
      <c r="C313" s="36" t="s">
        <v>686</v>
      </c>
      <c r="D313" s="50"/>
      <c r="E313" s="46" t="s">
        <v>30</v>
      </c>
      <c r="F313" s="38" t="s">
        <v>116</v>
      </c>
      <c r="G313" s="38"/>
      <c r="H313" s="38"/>
      <c r="I313" s="38" t="s">
        <v>23</v>
      </c>
      <c r="J313" s="38"/>
      <c r="K313" s="39">
        <v>453</v>
      </c>
      <c r="L313" s="44"/>
      <c r="M313" s="46" t="s">
        <v>623</v>
      </c>
    </row>
    <row r="314" spans="1:13" s="23" customFormat="1" ht="28.5" x14ac:dyDescent="0.25">
      <c r="A314" s="38">
        <f>IF(B314="","",_xlfn.AGGREGATE(3,5,$B$7:B314))</f>
        <v>308</v>
      </c>
      <c r="B314" s="46" t="s">
        <v>703</v>
      </c>
      <c r="C314" s="36" t="s">
        <v>687</v>
      </c>
      <c r="D314" s="50"/>
      <c r="E314" s="46" t="s">
        <v>30</v>
      </c>
      <c r="F314" s="38" t="s">
        <v>116</v>
      </c>
      <c r="G314" s="38"/>
      <c r="H314" s="38"/>
      <c r="I314" s="38" t="s">
        <v>24</v>
      </c>
      <c r="J314" s="38"/>
      <c r="K314" s="39">
        <v>454</v>
      </c>
      <c r="L314" s="44"/>
      <c r="M314" s="46" t="s">
        <v>623</v>
      </c>
    </row>
    <row r="315" spans="1:13" s="23" customFormat="1" ht="28.5" x14ac:dyDescent="0.25">
      <c r="A315" s="38">
        <f>IF(B315="","",_xlfn.AGGREGATE(3,5,$B$7:B315))</f>
        <v>309</v>
      </c>
      <c r="B315" s="46" t="s">
        <v>689</v>
      </c>
      <c r="C315" s="36" t="s">
        <v>688</v>
      </c>
      <c r="D315" s="50"/>
      <c r="E315" s="46" t="s">
        <v>30</v>
      </c>
      <c r="F315" s="38" t="s">
        <v>116</v>
      </c>
      <c r="G315" s="38"/>
      <c r="H315" s="38"/>
      <c r="I315" s="38" t="s">
        <v>24</v>
      </c>
      <c r="J315" s="38"/>
      <c r="K315" s="39">
        <v>455</v>
      </c>
      <c r="L315" s="44"/>
      <c r="M315" s="46" t="s">
        <v>623</v>
      </c>
    </row>
    <row r="316" spans="1:13" s="23" customFormat="1" ht="42.75" x14ac:dyDescent="0.25">
      <c r="A316" s="38">
        <f>IF(B316="","",_xlfn.AGGREGATE(3,5,$B$7:B316))</f>
        <v>310</v>
      </c>
      <c r="B316" s="46" t="s">
        <v>691</v>
      </c>
      <c r="C316" s="36" t="s">
        <v>690</v>
      </c>
      <c r="D316" s="50"/>
      <c r="E316" s="46" t="s">
        <v>692</v>
      </c>
      <c r="F316" s="38" t="s">
        <v>116</v>
      </c>
      <c r="G316" s="38"/>
      <c r="H316" s="38"/>
      <c r="I316" s="38" t="s">
        <v>24</v>
      </c>
      <c r="J316" s="38"/>
      <c r="K316" s="39">
        <v>456</v>
      </c>
      <c r="L316" s="44"/>
      <c r="M316" s="46" t="s">
        <v>623</v>
      </c>
    </row>
    <row r="317" spans="1:13" s="23" customFormat="1" ht="28.5" x14ac:dyDescent="0.25">
      <c r="A317" s="38">
        <f>IF(B317="","",_xlfn.AGGREGATE(3,5,$B$7:B317))</f>
        <v>311</v>
      </c>
      <c r="B317" s="46" t="s">
        <v>718</v>
      </c>
      <c r="C317" s="36" t="s">
        <v>693</v>
      </c>
      <c r="D317" s="50"/>
      <c r="E317" s="46" t="s">
        <v>30</v>
      </c>
      <c r="F317" s="38" t="s">
        <v>116</v>
      </c>
      <c r="G317" s="38"/>
      <c r="H317" s="38"/>
      <c r="I317" s="38" t="s">
        <v>24</v>
      </c>
      <c r="J317" s="38"/>
      <c r="K317" s="39">
        <v>457</v>
      </c>
      <c r="L317" s="44"/>
      <c r="M317" s="46" t="s">
        <v>623</v>
      </c>
    </row>
    <row r="318" spans="1:13" ht="88.9" customHeight="1" x14ac:dyDescent="0.25">
      <c r="A318" s="10">
        <f>IF(B318="","",_xlfn.AGGREGATE(3,5,$B$7:B318))</f>
        <v>312</v>
      </c>
      <c r="B318" s="6" t="s">
        <v>717</v>
      </c>
      <c r="C318" s="8" t="s">
        <v>694</v>
      </c>
      <c r="D318" s="7">
        <v>45678</v>
      </c>
      <c r="E318" s="6" t="s">
        <v>699</v>
      </c>
      <c r="F318" s="10" t="s">
        <v>116</v>
      </c>
      <c r="G318" s="10"/>
      <c r="H318" s="10"/>
      <c r="I318" s="10" t="s">
        <v>24</v>
      </c>
      <c r="J318" s="10"/>
      <c r="K318" s="31">
        <v>398</v>
      </c>
      <c r="L318" s="42"/>
    </row>
    <row r="319" spans="1:13" s="64" customFormat="1" ht="38.450000000000003" customHeight="1" x14ac:dyDescent="0.25">
      <c r="A319" s="38">
        <f>IF(B319="","",_xlfn.AGGREGATE(3,5,$B$7:B319))</f>
        <v>313</v>
      </c>
      <c r="B319" s="46" t="s">
        <v>696</v>
      </c>
      <c r="C319" s="36" t="s">
        <v>695</v>
      </c>
      <c r="D319" s="50"/>
      <c r="E319" s="46" t="s">
        <v>30</v>
      </c>
      <c r="F319" s="38" t="s">
        <v>116</v>
      </c>
      <c r="G319" s="38"/>
      <c r="H319" s="38"/>
      <c r="I319" s="38" t="s">
        <v>24</v>
      </c>
      <c r="J319" s="38"/>
      <c r="K319" s="39">
        <v>458</v>
      </c>
      <c r="L319" s="44"/>
      <c r="M319" s="46" t="s">
        <v>721</v>
      </c>
    </row>
    <row r="320" spans="1:13" ht="53.25" customHeight="1" x14ac:dyDescent="0.25">
      <c r="A320" s="10">
        <f>IF(B320="","",_xlfn.AGGREGATE(3,5,$B$7:B320))</f>
        <v>314</v>
      </c>
      <c r="B320" s="6" t="s">
        <v>697</v>
      </c>
      <c r="C320" s="8" t="s">
        <v>700</v>
      </c>
      <c r="D320" s="7">
        <v>45678</v>
      </c>
      <c r="E320" s="6" t="s">
        <v>701</v>
      </c>
      <c r="F320" s="10" t="s">
        <v>116</v>
      </c>
      <c r="G320" s="10"/>
      <c r="H320" s="10"/>
      <c r="I320" s="10" t="s">
        <v>24</v>
      </c>
      <c r="J320" s="10"/>
      <c r="K320" s="31">
        <v>213</v>
      </c>
      <c r="L320" s="42"/>
      <c r="M320" s="6"/>
    </row>
    <row r="321" spans="1:13" s="23" customFormat="1" ht="40.9" customHeight="1" x14ac:dyDescent="0.25">
      <c r="A321" s="38">
        <f>IF(B321="","",_xlfn.AGGREGATE(3,5,$B$7:B321))</f>
        <v>315</v>
      </c>
      <c r="B321" s="46" t="s">
        <v>714</v>
      </c>
      <c r="C321" s="36" t="s">
        <v>698</v>
      </c>
      <c r="D321" s="50"/>
      <c r="E321" s="46" t="s">
        <v>30</v>
      </c>
      <c r="F321" s="38" t="s">
        <v>116</v>
      </c>
      <c r="G321" s="38"/>
      <c r="H321" s="38"/>
      <c r="I321" s="38" t="s">
        <v>23</v>
      </c>
      <c r="J321" s="38"/>
      <c r="K321" s="39">
        <v>459</v>
      </c>
      <c r="L321" s="44"/>
      <c r="M321" s="46" t="s">
        <v>721</v>
      </c>
    </row>
    <row r="322" spans="1:13" s="23" customFormat="1" ht="40.9" customHeight="1" x14ac:dyDescent="0.25">
      <c r="A322" s="38">
        <f>IF(B322="","",_xlfn.AGGREGATE(3,5,$B$7:B322))</f>
        <v>316</v>
      </c>
      <c r="B322" s="46" t="s">
        <v>707</v>
      </c>
      <c r="C322" s="36" t="s">
        <v>704</v>
      </c>
      <c r="D322" s="50"/>
      <c r="E322" s="46" t="s">
        <v>30</v>
      </c>
      <c r="F322" s="38" t="s">
        <v>116</v>
      </c>
      <c r="G322" s="38"/>
      <c r="H322" s="38"/>
      <c r="I322" s="38" t="s">
        <v>24</v>
      </c>
      <c r="J322" s="38"/>
      <c r="K322" s="39">
        <v>460</v>
      </c>
      <c r="L322" s="44"/>
      <c r="M322" s="46" t="s">
        <v>623</v>
      </c>
    </row>
    <row r="323" spans="1:13" s="23" customFormat="1" ht="40.9" customHeight="1" x14ac:dyDescent="0.25">
      <c r="A323" s="38">
        <f>IF(B323="","",_xlfn.AGGREGATE(3,5,$B$7:B323))</f>
        <v>317</v>
      </c>
      <c r="B323" s="46" t="s">
        <v>708</v>
      </c>
      <c r="C323" s="36" t="s">
        <v>705</v>
      </c>
      <c r="D323" s="50"/>
      <c r="E323" s="46" t="s">
        <v>30</v>
      </c>
      <c r="F323" s="38" t="s">
        <v>116</v>
      </c>
      <c r="G323" s="38"/>
      <c r="H323" s="38"/>
      <c r="I323" s="38" t="s">
        <v>24</v>
      </c>
      <c r="J323" s="38"/>
      <c r="K323" s="39">
        <v>461</v>
      </c>
      <c r="L323" s="44"/>
      <c r="M323" s="46" t="s">
        <v>623</v>
      </c>
    </row>
    <row r="324" spans="1:13" s="23" customFormat="1" ht="40.9" customHeight="1" x14ac:dyDescent="0.25">
      <c r="A324" s="38">
        <f>IF(B324="","",_xlfn.AGGREGATE(3,5,$B$7:B324))</f>
        <v>318</v>
      </c>
      <c r="B324" s="46" t="s">
        <v>709</v>
      </c>
      <c r="C324" s="36" t="s">
        <v>706</v>
      </c>
      <c r="D324" s="50"/>
      <c r="E324" s="46" t="s">
        <v>30</v>
      </c>
      <c r="F324" s="38" t="s">
        <v>116</v>
      </c>
      <c r="G324" s="38"/>
      <c r="H324" s="38"/>
      <c r="I324" s="38" t="s">
        <v>24</v>
      </c>
      <c r="J324" s="38"/>
      <c r="K324" s="39">
        <v>462</v>
      </c>
      <c r="L324" s="44"/>
      <c r="M324" s="46" t="s">
        <v>623</v>
      </c>
    </row>
    <row r="325" spans="1:13" s="23" customFormat="1" ht="40.9" customHeight="1" x14ac:dyDescent="0.25">
      <c r="A325" s="38">
        <f>IF(B325="","",_xlfn.AGGREGATE(3,5,$B$7:B325))</f>
        <v>319</v>
      </c>
      <c r="B325" s="46" t="s">
        <v>710</v>
      </c>
      <c r="C325" s="36" t="s">
        <v>711</v>
      </c>
      <c r="D325" s="50"/>
      <c r="E325" s="46" t="s">
        <v>30</v>
      </c>
      <c r="F325" s="38" t="s">
        <v>116</v>
      </c>
      <c r="G325" s="38"/>
      <c r="H325" s="38"/>
      <c r="I325" s="38" t="s">
        <v>24</v>
      </c>
      <c r="J325" s="38"/>
      <c r="K325" s="39">
        <v>463</v>
      </c>
      <c r="L325" s="44"/>
      <c r="M325" s="46" t="s">
        <v>623</v>
      </c>
    </row>
    <row r="326" spans="1:13" ht="40.9" customHeight="1" x14ac:dyDescent="0.25">
      <c r="A326" s="10">
        <f>IF(B326="","",_xlfn.AGGREGATE(3,5,$B$7:B326))</f>
        <v>320</v>
      </c>
      <c r="B326" s="6" t="s">
        <v>713</v>
      </c>
      <c r="C326" s="8" t="s">
        <v>712</v>
      </c>
      <c r="D326" s="7">
        <v>45880</v>
      </c>
      <c r="E326" s="6" t="s">
        <v>30</v>
      </c>
      <c r="F326" s="10" t="s">
        <v>116</v>
      </c>
      <c r="G326" s="10"/>
      <c r="H326" s="10"/>
      <c r="I326" s="10" t="s">
        <v>24</v>
      </c>
      <c r="J326" s="10"/>
      <c r="K326" s="31">
        <v>464</v>
      </c>
      <c r="L326" s="43"/>
      <c r="M326" s="6" t="s">
        <v>623</v>
      </c>
    </row>
    <row r="327" spans="1:13" ht="66" customHeight="1" x14ac:dyDescent="0.25">
      <c r="A327" s="10">
        <f>IF(B327="","",_xlfn.AGGREGATE(3,5,$B$7:B327))</f>
        <v>321</v>
      </c>
      <c r="B327" s="6" t="s">
        <v>62</v>
      </c>
      <c r="C327" s="8" t="s">
        <v>715</v>
      </c>
      <c r="D327" s="7">
        <v>45678</v>
      </c>
      <c r="E327" s="6" t="s">
        <v>716</v>
      </c>
      <c r="F327" s="10" t="s">
        <v>20</v>
      </c>
      <c r="G327" s="10"/>
      <c r="H327" s="10"/>
      <c r="I327" s="10"/>
      <c r="J327" s="10" t="s">
        <v>24</v>
      </c>
      <c r="K327" s="31">
        <v>360</v>
      </c>
      <c r="L327" s="42"/>
    </row>
    <row r="328" spans="1:13" ht="42.75" x14ac:dyDescent="0.25">
      <c r="A328" s="10">
        <f>IF(B328="","",_xlfn.AGGREGATE(3,5,$B$7:B328))</f>
        <v>322</v>
      </c>
      <c r="B328" s="6" t="s">
        <v>816</v>
      </c>
      <c r="C328" s="8" t="s">
        <v>722</v>
      </c>
      <c r="D328" s="7">
        <v>45339</v>
      </c>
      <c r="E328" s="6" t="s">
        <v>725</v>
      </c>
      <c r="F328" s="10" t="s">
        <v>20</v>
      </c>
      <c r="G328" s="10" t="s">
        <v>24</v>
      </c>
      <c r="H328" s="10"/>
      <c r="I328" s="10"/>
      <c r="J328" s="10"/>
      <c r="K328" s="31">
        <v>81</v>
      </c>
      <c r="L328" s="42"/>
    </row>
    <row r="329" spans="1:13" ht="28.5" x14ac:dyDescent="0.25">
      <c r="A329" s="10">
        <f>IF(B329="","",_xlfn.AGGREGATE(3,5,$B$7:B329))</f>
        <v>323</v>
      </c>
      <c r="B329" s="6" t="s">
        <v>726</v>
      </c>
      <c r="C329" s="8" t="s">
        <v>727</v>
      </c>
      <c r="D329" s="7">
        <v>45709</v>
      </c>
      <c r="E329" s="6" t="s">
        <v>728</v>
      </c>
      <c r="F329" s="10" t="s">
        <v>20</v>
      </c>
      <c r="G329" s="10"/>
      <c r="H329" s="10"/>
      <c r="I329" s="10"/>
      <c r="J329" s="10"/>
      <c r="K329" s="31">
        <v>305</v>
      </c>
      <c r="L329" s="42"/>
    </row>
    <row r="330" spans="1:13" ht="57" x14ac:dyDescent="0.25">
      <c r="A330" s="10">
        <f>IF(B330="","",_xlfn.AGGREGATE(3,5,$B$7:B330))</f>
        <v>324</v>
      </c>
      <c r="B330" s="6" t="s">
        <v>729</v>
      </c>
      <c r="C330" s="8" t="s">
        <v>730</v>
      </c>
      <c r="D330" s="7">
        <v>45741</v>
      </c>
      <c r="E330" s="6" t="s">
        <v>731</v>
      </c>
      <c r="F330" s="10" t="s">
        <v>19</v>
      </c>
      <c r="G330" s="10"/>
      <c r="H330" s="10"/>
      <c r="I330" s="10"/>
      <c r="J330" s="10" t="s">
        <v>24</v>
      </c>
      <c r="K330" s="31">
        <v>43</v>
      </c>
      <c r="L330" s="42"/>
      <c r="M330" s="28" t="s">
        <v>749</v>
      </c>
    </row>
    <row r="331" spans="1:13" ht="68.45" customHeight="1" x14ac:dyDescent="0.25">
      <c r="A331" s="10">
        <f>IF(B331="","",_xlfn.AGGREGATE(3,5,$B$7:B331))</f>
        <v>325</v>
      </c>
      <c r="B331" s="6" t="s">
        <v>732</v>
      </c>
      <c r="C331" s="8" t="s">
        <v>733</v>
      </c>
      <c r="D331" s="7">
        <v>45741</v>
      </c>
      <c r="E331" s="6" t="s">
        <v>734</v>
      </c>
      <c r="F331" s="10" t="s">
        <v>19</v>
      </c>
      <c r="G331" s="10"/>
      <c r="H331" s="10"/>
      <c r="I331" s="10"/>
      <c r="J331" s="10" t="s">
        <v>24</v>
      </c>
      <c r="K331" s="31">
        <v>63</v>
      </c>
      <c r="L331" s="8"/>
      <c r="M331" s="28" t="s">
        <v>749</v>
      </c>
    </row>
    <row r="332" spans="1:13" x14ac:dyDescent="0.25">
      <c r="A332" s="10">
        <f>IF(B332="","",_xlfn.AGGREGATE(3,5,$B$7:B332))</f>
        <v>326</v>
      </c>
      <c r="B332" s="6" t="s">
        <v>736</v>
      </c>
      <c r="C332" s="8" t="s">
        <v>735</v>
      </c>
      <c r="D332" s="7">
        <v>45729</v>
      </c>
      <c r="E332" s="26" t="s">
        <v>405</v>
      </c>
      <c r="F332" s="10" t="s">
        <v>20</v>
      </c>
      <c r="G332" s="10"/>
      <c r="H332" s="10"/>
      <c r="I332" s="10"/>
      <c r="J332" s="48" t="s">
        <v>24</v>
      </c>
      <c r="K332" s="31">
        <v>255</v>
      </c>
      <c r="L332" s="68"/>
      <c r="M332" s="8" t="s">
        <v>737</v>
      </c>
    </row>
    <row r="333" spans="1:13" x14ac:dyDescent="0.25">
      <c r="A333" s="10">
        <f>IF(B333="","",_xlfn.AGGREGATE(3,5,$B$7:B333))</f>
        <v>327</v>
      </c>
      <c r="B333" s="6" t="s">
        <v>738</v>
      </c>
      <c r="C333" s="8" t="s">
        <v>739</v>
      </c>
      <c r="D333" s="7">
        <v>45729</v>
      </c>
      <c r="E333" s="6" t="s">
        <v>30</v>
      </c>
      <c r="F333" s="10" t="s">
        <v>20</v>
      </c>
      <c r="G333" s="10"/>
      <c r="H333" s="10"/>
      <c r="I333" s="10"/>
      <c r="J333" s="10" t="s">
        <v>24</v>
      </c>
      <c r="K333" s="31">
        <v>465</v>
      </c>
      <c r="L333" s="68"/>
    </row>
    <row r="334" spans="1:13" s="23" customFormat="1" x14ac:dyDescent="0.25">
      <c r="A334" s="10">
        <f>IF(B334="","",_xlfn.AGGREGATE(3,5,$B$7:B334))</f>
        <v>328</v>
      </c>
      <c r="B334" s="6" t="s">
        <v>775</v>
      </c>
      <c r="C334" s="31" t="s">
        <v>740</v>
      </c>
      <c r="D334" s="7">
        <v>45768</v>
      </c>
      <c r="E334" s="6" t="s">
        <v>30</v>
      </c>
      <c r="F334" s="10" t="s">
        <v>20</v>
      </c>
      <c r="G334" s="10"/>
      <c r="H334" s="10" t="s">
        <v>24</v>
      </c>
      <c r="I334" s="10"/>
      <c r="J334" s="10"/>
      <c r="K334" s="31">
        <v>466</v>
      </c>
      <c r="L334" s="69"/>
      <c r="M334" s="65"/>
    </row>
    <row r="335" spans="1:13" ht="28.5" x14ac:dyDescent="0.25">
      <c r="A335" s="10">
        <f>IF(B335="","",_xlfn.AGGREGATE(3,5,$B$7:B335))</f>
        <v>329</v>
      </c>
      <c r="B335" s="63" t="s">
        <v>742</v>
      </c>
      <c r="C335" s="63" t="s">
        <v>741</v>
      </c>
      <c r="D335" s="1">
        <v>45748</v>
      </c>
      <c r="E335" s="26" t="s">
        <v>751</v>
      </c>
      <c r="F335" s="77" t="s">
        <v>20</v>
      </c>
      <c r="G335" s="47" t="s">
        <v>23</v>
      </c>
      <c r="H335" s="47"/>
      <c r="I335" s="3"/>
      <c r="J335" s="10"/>
      <c r="K335" s="31">
        <v>342</v>
      </c>
      <c r="L335" s="69"/>
      <c r="M335" s="78"/>
    </row>
    <row r="336" spans="1:13" ht="28.9" customHeight="1" x14ac:dyDescent="0.25">
      <c r="A336" s="10">
        <f>IF(B336="","",_xlfn.AGGREGATE(3,5,$B$7:B336))</f>
        <v>330</v>
      </c>
      <c r="B336" s="6" t="s">
        <v>743</v>
      </c>
      <c r="C336" s="31" t="s">
        <v>744</v>
      </c>
      <c r="D336" s="7">
        <v>45756</v>
      </c>
      <c r="E336" s="6" t="s">
        <v>30</v>
      </c>
      <c r="F336" s="10" t="s">
        <v>34</v>
      </c>
      <c r="G336" s="10"/>
      <c r="H336" s="10"/>
      <c r="I336" s="10" t="s">
        <v>24</v>
      </c>
      <c r="J336" s="10"/>
      <c r="K336" s="31">
        <v>467</v>
      </c>
      <c r="L336" s="69"/>
    </row>
    <row r="337" spans="1:12" x14ac:dyDescent="0.25">
      <c r="A337" s="10">
        <f>IF(B337="","",_xlfn.AGGREGATE(3,5,$B$7:B337))</f>
        <v>331</v>
      </c>
      <c r="B337" s="6" t="s">
        <v>746</v>
      </c>
      <c r="C337" s="8" t="s">
        <v>745</v>
      </c>
      <c r="D337" s="7">
        <v>45756</v>
      </c>
      <c r="E337" s="6" t="s">
        <v>30</v>
      </c>
      <c r="F337" s="10" t="s">
        <v>34</v>
      </c>
      <c r="G337" s="10"/>
      <c r="H337" s="10"/>
      <c r="I337" s="10" t="s">
        <v>24</v>
      </c>
      <c r="J337" s="10"/>
      <c r="K337" s="31">
        <v>468</v>
      </c>
      <c r="L337" s="69"/>
    </row>
    <row r="338" spans="1:12" x14ac:dyDescent="0.25">
      <c r="A338" s="10">
        <f>IF(B338="","",_xlfn.AGGREGATE(3,5,$B$7:B338))</f>
        <v>332</v>
      </c>
      <c r="B338" s="6" t="s">
        <v>748</v>
      </c>
      <c r="C338" s="8" t="s">
        <v>747</v>
      </c>
      <c r="D338" s="7">
        <v>45756</v>
      </c>
      <c r="E338" s="6" t="s">
        <v>30</v>
      </c>
      <c r="F338" s="10" t="s">
        <v>34</v>
      </c>
      <c r="G338" s="10"/>
      <c r="H338" s="10"/>
      <c r="I338" s="10" t="s">
        <v>24</v>
      </c>
      <c r="J338" s="10"/>
      <c r="K338" s="31">
        <v>469</v>
      </c>
      <c r="L338" s="69"/>
    </row>
    <row r="339" spans="1:12" x14ac:dyDescent="0.25">
      <c r="A339" s="10">
        <f>IF(B339="","",_xlfn.AGGREGATE(3,5,$B$7:B339))</f>
        <v>333</v>
      </c>
      <c r="B339" s="6" t="s">
        <v>796</v>
      </c>
      <c r="C339" s="8" t="s">
        <v>750</v>
      </c>
      <c r="D339" s="7">
        <v>45747</v>
      </c>
      <c r="E339" s="26" t="s">
        <v>405</v>
      </c>
      <c r="F339" s="10" t="s">
        <v>20</v>
      </c>
      <c r="G339" s="10" t="s">
        <v>24</v>
      </c>
      <c r="H339" s="10"/>
      <c r="I339" s="10"/>
      <c r="J339" s="10"/>
      <c r="K339" s="31">
        <v>81</v>
      </c>
      <c r="L339" s="68"/>
    </row>
    <row r="340" spans="1:12" x14ac:dyDescent="0.25">
      <c r="A340" s="10">
        <f>IF(B340="","",_xlfn.AGGREGATE(3,5,$B$7:B340))</f>
        <v>334</v>
      </c>
      <c r="B340" s="6" t="s">
        <v>753</v>
      </c>
      <c r="C340" s="8" t="s">
        <v>755</v>
      </c>
      <c r="D340" s="7">
        <v>45639</v>
      </c>
      <c r="E340" s="26" t="s">
        <v>405</v>
      </c>
      <c r="F340" s="10" t="s">
        <v>20</v>
      </c>
      <c r="G340" s="10" t="s">
        <v>24</v>
      </c>
      <c r="H340" s="10"/>
      <c r="I340" s="10"/>
      <c r="J340" s="10"/>
      <c r="K340" s="31">
        <v>346</v>
      </c>
      <c r="L340" s="68"/>
    </row>
    <row r="341" spans="1:12" x14ac:dyDescent="0.25">
      <c r="A341" s="10">
        <f>IF(B341="","",_xlfn.AGGREGATE(3,5,$B$7:B341))</f>
        <v>335</v>
      </c>
      <c r="B341" s="6" t="s">
        <v>754</v>
      </c>
      <c r="C341" s="8" t="s">
        <v>756</v>
      </c>
      <c r="D341" s="7">
        <v>45639</v>
      </c>
      <c r="E341" s="26" t="s">
        <v>405</v>
      </c>
      <c r="F341" s="10" t="s">
        <v>20</v>
      </c>
      <c r="G341" s="10" t="s">
        <v>24</v>
      </c>
      <c r="H341" s="10"/>
      <c r="I341" s="10"/>
      <c r="J341" s="10"/>
      <c r="K341" s="31">
        <v>346</v>
      </c>
      <c r="L341" s="68"/>
    </row>
    <row r="342" spans="1:12" x14ac:dyDescent="0.25">
      <c r="A342" s="10">
        <f>IF(B342="","",_xlfn.AGGREGATE(3,5,$B$7:B342))</f>
        <v>336</v>
      </c>
      <c r="B342" s="6" t="s">
        <v>757</v>
      </c>
      <c r="C342" s="8" t="s">
        <v>752</v>
      </c>
      <c r="D342" s="7">
        <v>45639</v>
      </c>
      <c r="E342" s="26" t="s">
        <v>405</v>
      </c>
      <c r="F342" s="10" t="s">
        <v>20</v>
      </c>
      <c r="G342" s="10" t="s">
        <v>24</v>
      </c>
      <c r="H342" s="10"/>
      <c r="I342" s="10"/>
      <c r="J342" s="10"/>
      <c r="K342" s="31">
        <v>346</v>
      </c>
      <c r="L342" s="68"/>
    </row>
    <row r="343" spans="1:12" x14ac:dyDescent="0.25">
      <c r="A343" s="10">
        <f>IF(B343="","",_xlfn.AGGREGATE(3,5,$B$7:B343))</f>
        <v>337</v>
      </c>
      <c r="B343" s="6" t="s">
        <v>758</v>
      </c>
      <c r="C343" s="8" t="s">
        <v>759</v>
      </c>
      <c r="D343" s="7">
        <v>45758</v>
      </c>
      <c r="E343" s="26" t="s">
        <v>405</v>
      </c>
      <c r="F343" s="10" t="s">
        <v>20</v>
      </c>
      <c r="G343" s="10" t="s">
        <v>24</v>
      </c>
      <c r="H343" s="10"/>
      <c r="I343" s="10"/>
      <c r="J343" s="10"/>
      <c r="K343" s="31">
        <v>346</v>
      </c>
      <c r="L343" s="68"/>
    </row>
    <row r="344" spans="1:12" x14ac:dyDescent="0.25">
      <c r="A344" s="10">
        <f>IF(B344="","",_xlfn.AGGREGATE(3,5,$B$7:B344))</f>
        <v>338</v>
      </c>
      <c r="B344" s="6" t="s">
        <v>763</v>
      </c>
      <c r="C344" s="8" t="s">
        <v>760</v>
      </c>
      <c r="D344" s="7">
        <v>45758</v>
      </c>
      <c r="E344" s="26" t="s">
        <v>405</v>
      </c>
      <c r="F344" s="10" t="s">
        <v>20</v>
      </c>
      <c r="G344" s="10" t="s">
        <v>24</v>
      </c>
      <c r="H344" s="10"/>
      <c r="I344" s="10"/>
      <c r="J344" s="10"/>
      <c r="K344" s="31">
        <v>346</v>
      </c>
      <c r="L344" s="68"/>
    </row>
    <row r="345" spans="1:12" x14ac:dyDescent="0.25">
      <c r="A345" s="10">
        <f>IF(B345="","",_xlfn.AGGREGATE(3,5,$B$7:B345))</f>
        <v>339</v>
      </c>
      <c r="B345" s="6" t="s">
        <v>764</v>
      </c>
      <c r="C345" s="8" t="s">
        <v>761</v>
      </c>
      <c r="D345" s="7">
        <v>45758</v>
      </c>
      <c r="E345" s="26" t="s">
        <v>405</v>
      </c>
      <c r="F345" s="10" t="s">
        <v>20</v>
      </c>
      <c r="G345" s="10" t="s">
        <v>24</v>
      </c>
      <c r="H345" s="10"/>
      <c r="I345" s="10"/>
      <c r="J345" s="10"/>
      <c r="K345" s="31">
        <v>346</v>
      </c>
      <c r="L345" s="68"/>
    </row>
    <row r="346" spans="1:12" x14ac:dyDescent="0.25">
      <c r="A346" s="10">
        <f>IF(B346="","",_xlfn.AGGREGATE(3,5,$B$7:B346))</f>
        <v>340</v>
      </c>
      <c r="B346" s="6" t="s">
        <v>765</v>
      </c>
      <c r="C346" s="8" t="s">
        <v>762</v>
      </c>
      <c r="D346" s="7">
        <v>45758</v>
      </c>
      <c r="E346" s="26" t="s">
        <v>405</v>
      </c>
      <c r="F346" s="10" t="s">
        <v>20</v>
      </c>
      <c r="G346" s="10" t="s">
        <v>24</v>
      </c>
      <c r="H346" s="10"/>
      <c r="I346" s="10"/>
      <c r="J346" s="10"/>
      <c r="K346" s="31">
        <v>346</v>
      </c>
      <c r="L346" s="68"/>
    </row>
    <row r="347" spans="1:12" x14ac:dyDescent="0.25">
      <c r="A347" s="10">
        <f>IF(B347="","",_xlfn.AGGREGATE(3,5,$B$7:B347))</f>
        <v>341</v>
      </c>
      <c r="B347" s="6" t="s">
        <v>767</v>
      </c>
      <c r="C347" s="8" t="s">
        <v>766</v>
      </c>
      <c r="D347" s="7">
        <v>45758</v>
      </c>
      <c r="E347" s="26" t="s">
        <v>405</v>
      </c>
      <c r="F347" s="10" t="s">
        <v>20</v>
      </c>
      <c r="G347" s="10"/>
      <c r="H347" s="10"/>
      <c r="I347" s="10"/>
      <c r="J347" s="10" t="s">
        <v>24</v>
      </c>
      <c r="K347" s="31">
        <v>180</v>
      </c>
      <c r="L347" s="68"/>
    </row>
    <row r="348" spans="1:12" ht="30.6" customHeight="1" x14ac:dyDescent="0.25">
      <c r="A348" s="10">
        <f>IF(B348="","",_xlfn.AGGREGATE(3,5,$B$7:B348))</f>
        <v>342</v>
      </c>
      <c r="B348" s="6" t="s">
        <v>768</v>
      </c>
      <c r="C348" s="8" t="s">
        <v>769</v>
      </c>
      <c r="D348" s="7">
        <v>45782</v>
      </c>
      <c r="E348" s="6" t="s">
        <v>770</v>
      </c>
      <c r="F348" s="10" t="s">
        <v>38</v>
      </c>
      <c r="G348" s="10"/>
      <c r="H348" s="10"/>
      <c r="I348" s="10" t="s">
        <v>24</v>
      </c>
      <c r="J348" s="10"/>
      <c r="K348" s="31">
        <v>308</v>
      </c>
      <c r="L348" s="68"/>
    </row>
    <row r="349" spans="1:12" ht="39.6" customHeight="1" x14ac:dyDescent="0.25">
      <c r="A349" s="10">
        <f>IF(B349="","",_xlfn.AGGREGATE(3,5,$B$7:B349))</f>
        <v>343</v>
      </c>
      <c r="B349" s="6" t="s">
        <v>408</v>
      </c>
      <c r="C349" s="8" t="s">
        <v>771</v>
      </c>
      <c r="D349" s="7">
        <v>45764</v>
      </c>
      <c r="E349" s="6" t="s">
        <v>772</v>
      </c>
      <c r="F349" s="10" t="s">
        <v>20</v>
      </c>
      <c r="G349" s="10" t="s">
        <v>24</v>
      </c>
      <c r="H349" s="10"/>
      <c r="I349" s="10"/>
      <c r="J349" s="10"/>
      <c r="K349" s="31">
        <v>135</v>
      </c>
      <c r="L349" s="68"/>
    </row>
    <row r="350" spans="1:12" ht="39.6" customHeight="1" x14ac:dyDescent="0.2">
      <c r="A350" s="10">
        <f>IF(B350="","",_xlfn.AGGREGATE(3,5,$B$7:B350))</f>
        <v>344</v>
      </c>
      <c r="B350" s="6" t="s">
        <v>777</v>
      </c>
      <c r="C350" s="66" t="s">
        <v>776</v>
      </c>
      <c r="D350" s="7">
        <v>45776</v>
      </c>
      <c r="E350" s="6" t="s">
        <v>778</v>
      </c>
      <c r="F350" s="10" t="s">
        <v>20</v>
      </c>
      <c r="G350" s="10"/>
      <c r="H350" s="10"/>
      <c r="I350" s="10"/>
      <c r="J350" s="10" t="s">
        <v>24</v>
      </c>
      <c r="K350" s="31">
        <v>252</v>
      </c>
      <c r="L350" s="69"/>
    </row>
    <row r="351" spans="1:12" x14ac:dyDescent="0.25">
      <c r="A351" s="10">
        <f>IF(B351="","",_xlfn.AGGREGATE(3,5,$B$7:B351))</f>
        <v>345</v>
      </c>
      <c r="B351" s="6" t="s">
        <v>783</v>
      </c>
      <c r="C351" s="8" t="s">
        <v>779</v>
      </c>
      <c r="D351" s="7">
        <v>45793</v>
      </c>
      <c r="E351" s="6" t="s">
        <v>30</v>
      </c>
      <c r="F351" s="10" t="s">
        <v>39</v>
      </c>
      <c r="G351" s="10" t="s">
        <v>24</v>
      </c>
      <c r="H351" s="10"/>
      <c r="I351" s="10"/>
      <c r="J351" s="10"/>
      <c r="K351" s="31">
        <v>470</v>
      </c>
      <c r="L351" s="68"/>
    </row>
    <row r="352" spans="1:12" x14ac:dyDescent="0.25">
      <c r="A352" s="10">
        <f>IF(B352="","",_xlfn.AGGREGATE(3,5,$B$7:B352))</f>
        <v>346</v>
      </c>
      <c r="B352" s="6" t="s">
        <v>785</v>
      </c>
      <c r="C352" s="8" t="s">
        <v>780</v>
      </c>
      <c r="D352" s="7">
        <v>45797</v>
      </c>
      <c r="E352" s="6" t="s">
        <v>30</v>
      </c>
      <c r="F352" s="10" t="s">
        <v>39</v>
      </c>
      <c r="G352" s="10" t="s">
        <v>24</v>
      </c>
      <c r="H352" s="10"/>
      <c r="I352" s="10"/>
      <c r="J352" s="10"/>
      <c r="K352" s="31">
        <v>471</v>
      </c>
      <c r="L352" s="68"/>
    </row>
    <row r="353" spans="1:12" x14ac:dyDescent="0.25">
      <c r="A353" s="10">
        <f>IF(B353="","",_xlfn.AGGREGATE(3,5,$B$7:B353))</f>
        <v>347</v>
      </c>
      <c r="B353" s="6" t="s">
        <v>784</v>
      </c>
      <c r="C353" s="8" t="s">
        <v>781</v>
      </c>
      <c r="D353" s="7">
        <v>45797</v>
      </c>
      <c r="E353" s="6" t="s">
        <v>30</v>
      </c>
      <c r="F353" s="10" t="s">
        <v>39</v>
      </c>
      <c r="G353" s="10" t="s">
        <v>24</v>
      </c>
      <c r="H353" s="10"/>
      <c r="I353" s="10"/>
      <c r="J353" s="10"/>
      <c r="K353" s="31">
        <v>472</v>
      </c>
      <c r="L353" s="68"/>
    </row>
    <row r="354" spans="1:12" x14ac:dyDescent="0.25">
      <c r="A354" s="10">
        <f>IF(B354="","",_xlfn.AGGREGATE(3,5,$B$7:B354))</f>
        <v>348</v>
      </c>
      <c r="B354" s="6" t="s">
        <v>786</v>
      </c>
      <c r="C354" s="8" t="s">
        <v>782</v>
      </c>
      <c r="D354" s="7">
        <v>45797</v>
      </c>
      <c r="E354" s="6" t="s">
        <v>30</v>
      </c>
      <c r="F354" s="10" t="s">
        <v>39</v>
      </c>
      <c r="G354" s="10" t="s">
        <v>24</v>
      </c>
      <c r="H354" s="10"/>
      <c r="I354" s="10"/>
      <c r="J354" s="10"/>
      <c r="K354" s="31">
        <v>473</v>
      </c>
      <c r="L354" s="68"/>
    </row>
    <row r="355" spans="1:12" ht="28.5" x14ac:dyDescent="0.25">
      <c r="A355" s="10">
        <f>IF(B355="","",_xlfn.AGGREGATE(3,5,$B$7:B355))</f>
        <v>349</v>
      </c>
      <c r="B355" s="6" t="s">
        <v>176</v>
      </c>
      <c r="C355" s="8" t="s">
        <v>787</v>
      </c>
      <c r="D355" s="7">
        <v>45798</v>
      </c>
      <c r="E355" s="6" t="s">
        <v>788</v>
      </c>
      <c r="F355" s="10" t="s">
        <v>20</v>
      </c>
      <c r="G355" s="10" t="s">
        <v>24</v>
      </c>
      <c r="H355" s="10"/>
      <c r="I355" s="10"/>
      <c r="J355" s="10"/>
      <c r="K355" s="31">
        <v>325</v>
      </c>
      <c r="L355" s="68"/>
    </row>
    <row r="356" spans="1:12" ht="28.5" x14ac:dyDescent="0.25">
      <c r="A356" s="10">
        <f>IF(B356="","",_xlfn.AGGREGATE(3,5,$B$7:B356))</f>
        <v>350</v>
      </c>
      <c r="B356" s="6" t="s">
        <v>98</v>
      </c>
      <c r="C356" s="8" t="s">
        <v>789</v>
      </c>
      <c r="D356" s="7">
        <v>45798</v>
      </c>
      <c r="E356" s="6" t="s">
        <v>788</v>
      </c>
      <c r="F356" s="10" t="s">
        <v>20</v>
      </c>
      <c r="G356" s="10" t="s">
        <v>24</v>
      </c>
      <c r="H356" s="10"/>
      <c r="I356" s="10"/>
      <c r="J356" s="10"/>
      <c r="K356" s="31">
        <v>235</v>
      </c>
      <c r="L356" s="68"/>
    </row>
    <row r="357" spans="1:12" ht="28.5" x14ac:dyDescent="0.25">
      <c r="A357" s="10">
        <f>IF(B357="","",_xlfn.AGGREGATE(3,5,$B$7:B357))</f>
        <v>351</v>
      </c>
      <c r="B357" s="6" t="s">
        <v>119</v>
      </c>
      <c r="C357" s="8" t="s">
        <v>790</v>
      </c>
      <c r="D357" s="7">
        <v>45799</v>
      </c>
      <c r="E357" s="6" t="s">
        <v>791</v>
      </c>
      <c r="F357" s="10" t="s">
        <v>20</v>
      </c>
      <c r="G357" s="10" t="s">
        <v>24</v>
      </c>
      <c r="H357" s="10"/>
      <c r="I357" s="10"/>
      <c r="J357" s="10"/>
      <c r="K357" s="31">
        <v>389</v>
      </c>
      <c r="L357" s="68"/>
    </row>
    <row r="358" spans="1:12" ht="27.6" customHeight="1" x14ac:dyDescent="0.25">
      <c r="A358" s="10">
        <f>IF(B358="","",_xlfn.AGGREGATE(3,5,$B$7:B358))</f>
        <v>352</v>
      </c>
      <c r="B358" s="6" t="s">
        <v>792</v>
      </c>
      <c r="C358" s="31" t="s">
        <v>793</v>
      </c>
      <c r="D358" s="7">
        <v>45813</v>
      </c>
      <c r="E358" s="6" t="s">
        <v>30</v>
      </c>
      <c r="F358" s="10" t="s">
        <v>87</v>
      </c>
      <c r="G358" s="10"/>
      <c r="H358" s="10" t="s">
        <v>23</v>
      </c>
      <c r="I358" s="10"/>
      <c r="J358" s="10"/>
      <c r="K358" s="31">
        <v>474</v>
      </c>
      <c r="L358" s="68"/>
    </row>
    <row r="359" spans="1:12" x14ac:dyDescent="0.25">
      <c r="A359" s="10">
        <f>IF(B359="","",_xlfn.AGGREGATE(3,5,$B$7:B359))</f>
        <v>353</v>
      </c>
      <c r="B359" s="6" t="s">
        <v>795</v>
      </c>
      <c r="C359" s="8" t="s">
        <v>794</v>
      </c>
      <c r="D359" s="7">
        <v>45810</v>
      </c>
      <c r="E359" s="26" t="s">
        <v>405</v>
      </c>
      <c r="F359" s="10" t="s">
        <v>20</v>
      </c>
      <c r="G359" s="10" t="s">
        <v>24</v>
      </c>
      <c r="H359" s="10"/>
      <c r="I359" s="10"/>
      <c r="J359" s="10"/>
      <c r="K359" s="31">
        <v>81</v>
      </c>
      <c r="L359" s="68"/>
    </row>
    <row r="360" spans="1:12" ht="30.6" customHeight="1" x14ac:dyDescent="0.25">
      <c r="A360" s="10">
        <f>IF(B360="","",_xlfn.AGGREGATE(3,5,$B$7:B360))</f>
        <v>354</v>
      </c>
      <c r="B360" s="6" t="s">
        <v>797</v>
      </c>
      <c r="C360" s="31" t="s">
        <v>799</v>
      </c>
      <c r="D360" s="7">
        <v>45814</v>
      </c>
      <c r="E360" s="6" t="s">
        <v>30</v>
      </c>
      <c r="F360" s="10" t="s">
        <v>798</v>
      </c>
      <c r="G360" s="10" t="s">
        <v>24</v>
      </c>
      <c r="H360" s="10"/>
      <c r="I360" s="10"/>
      <c r="J360" s="10"/>
      <c r="K360" s="31">
        <v>475</v>
      </c>
      <c r="L360" s="68"/>
    </row>
    <row r="361" spans="1:12" ht="28.5" x14ac:dyDescent="0.25">
      <c r="A361" s="10">
        <f>IF(B361="","",_xlfn.AGGREGATE(3,5,$B$7:B361))</f>
        <v>355</v>
      </c>
      <c r="B361" s="6" t="s">
        <v>801</v>
      </c>
      <c r="C361" s="8" t="s">
        <v>800</v>
      </c>
      <c r="D361" s="7">
        <v>45820</v>
      </c>
      <c r="E361" s="26" t="s">
        <v>805</v>
      </c>
      <c r="F361" s="10" t="s">
        <v>20</v>
      </c>
      <c r="G361" s="10"/>
      <c r="H361" s="10"/>
      <c r="I361" s="10"/>
      <c r="J361" s="10" t="s">
        <v>23</v>
      </c>
      <c r="K361" s="31">
        <v>180</v>
      </c>
      <c r="L361" s="68"/>
    </row>
    <row r="362" spans="1:12" ht="57" x14ac:dyDescent="0.25">
      <c r="A362" s="10">
        <f>IF(B362="","",_xlfn.AGGREGATE(3,5,$B$7:B362))</f>
        <v>356</v>
      </c>
      <c r="B362" s="6" t="s">
        <v>803</v>
      </c>
      <c r="C362" s="8" t="s">
        <v>802</v>
      </c>
      <c r="D362" s="7">
        <v>45820</v>
      </c>
      <c r="E362" s="6" t="s">
        <v>804</v>
      </c>
      <c r="F362" s="10" t="s">
        <v>20</v>
      </c>
      <c r="G362" s="10"/>
      <c r="H362" s="10"/>
      <c r="I362" s="10"/>
      <c r="J362" s="10" t="s">
        <v>23</v>
      </c>
      <c r="K362" s="31">
        <v>191</v>
      </c>
      <c r="L362" s="68"/>
    </row>
    <row r="363" spans="1:12" ht="13.9" customHeight="1" x14ac:dyDescent="0.25">
      <c r="A363" s="10">
        <f>IF(B363="","",_xlfn.AGGREGATE(3,5,$B$7:B363))</f>
        <v>357</v>
      </c>
      <c r="B363" s="6" t="s">
        <v>806</v>
      </c>
      <c r="C363" s="8" t="s">
        <v>807</v>
      </c>
      <c r="D363" s="7">
        <v>45820</v>
      </c>
      <c r="E363" s="6" t="s">
        <v>808</v>
      </c>
      <c r="F363" s="10" t="s">
        <v>20</v>
      </c>
      <c r="G363" s="10"/>
      <c r="H363" s="10"/>
      <c r="I363" s="10"/>
      <c r="J363" s="10" t="s">
        <v>24</v>
      </c>
      <c r="K363" s="31">
        <v>112</v>
      </c>
      <c r="L363" s="68"/>
    </row>
    <row r="364" spans="1:12" ht="13.9" customHeight="1" x14ac:dyDescent="0.25">
      <c r="A364" s="10">
        <f>IF(B364="","",_xlfn.AGGREGATE(3,5,$B$7:B364))</f>
        <v>358</v>
      </c>
      <c r="B364" s="6" t="s">
        <v>166</v>
      </c>
      <c r="C364" s="8" t="s">
        <v>809</v>
      </c>
      <c r="D364" s="7">
        <v>45834</v>
      </c>
      <c r="E364" s="6" t="s">
        <v>810</v>
      </c>
      <c r="F364" s="10" t="s">
        <v>39</v>
      </c>
      <c r="G364" s="10" t="s">
        <v>24</v>
      </c>
      <c r="H364" s="10"/>
      <c r="I364" s="10"/>
      <c r="J364" s="10"/>
      <c r="K364" s="31">
        <v>225</v>
      </c>
      <c r="L364" s="68"/>
    </row>
    <row r="365" spans="1:12" ht="79.150000000000006" customHeight="1" x14ac:dyDescent="0.25">
      <c r="A365" s="10">
        <f>IF(B365="","",_xlfn.AGGREGATE(3,5,$B$7:B365))</f>
        <v>359</v>
      </c>
      <c r="B365" s="6" t="s">
        <v>813</v>
      </c>
      <c r="C365" s="8" t="s">
        <v>812</v>
      </c>
      <c r="D365" s="7">
        <v>45853</v>
      </c>
      <c r="E365" s="6" t="s">
        <v>814</v>
      </c>
      <c r="F365" s="10" t="s">
        <v>39</v>
      </c>
      <c r="G365" s="10" t="s">
        <v>24</v>
      </c>
      <c r="H365" s="10"/>
      <c r="I365" s="10"/>
      <c r="J365" s="10"/>
      <c r="K365" s="31">
        <v>279</v>
      </c>
      <c r="L365" s="68"/>
    </row>
    <row r="366" spans="1:12" ht="28.9" customHeight="1" x14ac:dyDescent="0.25">
      <c r="A366" s="10">
        <f>IF(B366="","",_xlfn.AGGREGATE(3,5,$B$7:B366))</f>
        <v>360</v>
      </c>
      <c r="B366" s="6" t="s">
        <v>797</v>
      </c>
      <c r="C366" s="31" t="s">
        <v>826</v>
      </c>
      <c r="D366" s="7">
        <v>45824</v>
      </c>
      <c r="E366" s="6" t="s">
        <v>827</v>
      </c>
      <c r="F366" s="10" t="s">
        <v>798</v>
      </c>
      <c r="G366" s="10" t="s">
        <v>24</v>
      </c>
      <c r="H366" s="10"/>
      <c r="I366" s="10"/>
      <c r="J366" s="10"/>
      <c r="K366" s="31">
        <v>475</v>
      </c>
      <c r="L366" s="68"/>
    </row>
    <row r="367" spans="1:12" ht="38.450000000000003" customHeight="1" x14ac:dyDescent="0.25">
      <c r="A367" s="10">
        <f>IF(B367="","",_xlfn.AGGREGATE(3,5,$B$7:B367))</f>
        <v>361</v>
      </c>
      <c r="B367" s="6" t="s">
        <v>109</v>
      </c>
      <c r="C367" s="8" t="s">
        <v>824</v>
      </c>
      <c r="D367" s="7">
        <v>45825</v>
      </c>
      <c r="E367" s="6" t="s">
        <v>825</v>
      </c>
      <c r="F367" s="10" t="s">
        <v>39</v>
      </c>
      <c r="G367" s="10" t="s">
        <v>24</v>
      </c>
      <c r="H367" s="10"/>
      <c r="I367" s="10"/>
      <c r="J367" s="10"/>
      <c r="K367" s="31">
        <v>387</v>
      </c>
      <c r="L367" s="68"/>
    </row>
    <row r="368" spans="1:12" x14ac:dyDescent="0.25">
      <c r="A368" s="10">
        <f>IF(B368="","",_xlfn.AGGREGATE(3,5,$B$7:B368))</f>
        <v>362</v>
      </c>
      <c r="B368" s="6" t="s">
        <v>816</v>
      </c>
      <c r="C368" s="8" t="s">
        <v>815</v>
      </c>
      <c r="D368" s="7">
        <v>45866</v>
      </c>
      <c r="E368" s="26" t="s">
        <v>405</v>
      </c>
      <c r="F368" s="10" t="s">
        <v>20</v>
      </c>
      <c r="G368" s="10" t="s">
        <v>24</v>
      </c>
      <c r="H368" s="10"/>
      <c r="I368" s="10"/>
      <c r="J368" s="10"/>
      <c r="K368" s="31">
        <v>81</v>
      </c>
      <c r="L368" s="68"/>
    </row>
    <row r="369" spans="1:13" x14ac:dyDescent="0.25">
      <c r="A369" s="10">
        <f>IF(B369="","",_xlfn.AGGREGATE(3,5,$B$7:B369))</f>
        <v>363</v>
      </c>
      <c r="B369" s="6" t="s">
        <v>818</v>
      </c>
      <c r="C369" s="8" t="s">
        <v>817</v>
      </c>
      <c r="D369" s="7">
        <v>45867</v>
      </c>
      <c r="E369" s="26" t="s">
        <v>405</v>
      </c>
      <c r="F369" s="10" t="s">
        <v>20</v>
      </c>
      <c r="G369" s="10" t="s">
        <v>24</v>
      </c>
      <c r="H369" s="10"/>
      <c r="I369" s="10"/>
      <c r="J369" s="10"/>
      <c r="K369" s="31">
        <v>180</v>
      </c>
      <c r="L369" s="68"/>
    </row>
    <row r="370" spans="1:13" x14ac:dyDescent="0.25">
      <c r="A370" s="10">
        <f>IF(B370="","",_xlfn.AGGREGATE(3,5,$B$7:B370))</f>
        <v>364</v>
      </c>
      <c r="B370" s="6" t="s">
        <v>820</v>
      </c>
      <c r="C370" s="8" t="s">
        <v>819</v>
      </c>
      <c r="D370" s="10"/>
      <c r="E370" s="6" t="s">
        <v>828</v>
      </c>
      <c r="F370" s="10" t="s">
        <v>20</v>
      </c>
      <c r="G370" s="10" t="s">
        <v>24</v>
      </c>
      <c r="H370" s="10"/>
      <c r="I370" s="10"/>
      <c r="J370" s="10"/>
      <c r="K370" s="31">
        <v>354</v>
      </c>
      <c r="L370" s="68"/>
    </row>
    <row r="371" spans="1:13" x14ac:dyDescent="0.25">
      <c r="A371" s="10">
        <f>IF(B371="","",_xlfn.AGGREGATE(3,5,$B$7:B371))</f>
        <v>365</v>
      </c>
      <c r="B371" s="6" t="s">
        <v>823</v>
      </c>
      <c r="C371" s="8" t="s">
        <v>821</v>
      </c>
      <c r="D371" s="7">
        <v>45876</v>
      </c>
      <c r="E371" s="6" t="s">
        <v>30</v>
      </c>
      <c r="F371" s="10" t="s">
        <v>822</v>
      </c>
      <c r="G371" s="10" t="s">
        <v>24</v>
      </c>
      <c r="H371" s="10"/>
      <c r="I371" s="10"/>
      <c r="J371" s="10"/>
      <c r="K371" s="31">
        <v>476</v>
      </c>
      <c r="L371" s="68"/>
    </row>
    <row r="372" spans="1:13" s="23" customFormat="1" ht="42.75" x14ac:dyDescent="0.25">
      <c r="A372" s="38">
        <f>IF(B372="","",_xlfn.AGGREGATE(3,5,$B$7:B372))</f>
        <v>366</v>
      </c>
      <c r="B372" s="46" t="s">
        <v>100</v>
      </c>
      <c r="C372" s="36" t="s">
        <v>830</v>
      </c>
      <c r="D372" s="38" t="s">
        <v>838</v>
      </c>
      <c r="E372" s="46" t="s">
        <v>829</v>
      </c>
      <c r="F372" s="38" t="s">
        <v>20</v>
      </c>
      <c r="G372" s="38" t="s">
        <v>24</v>
      </c>
      <c r="H372" s="38"/>
      <c r="I372" s="38"/>
      <c r="J372" s="38"/>
      <c r="K372" s="39">
        <v>324</v>
      </c>
      <c r="L372" s="70" t="s">
        <v>834</v>
      </c>
      <c r="M372" s="46" t="s">
        <v>836</v>
      </c>
    </row>
    <row r="373" spans="1:13" ht="28.5" x14ac:dyDescent="0.25">
      <c r="A373" s="10">
        <f>IF(B373="","",_xlfn.AGGREGATE(3,5,$B$7:B373))</f>
        <v>367</v>
      </c>
      <c r="B373" s="6" t="s">
        <v>121</v>
      </c>
      <c r="C373" s="8" t="s">
        <v>831</v>
      </c>
      <c r="D373" s="7">
        <v>45922</v>
      </c>
      <c r="E373" s="6" t="s">
        <v>829</v>
      </c>
      <c r="F373" s="10" t="s">
        <v>20</v>
      </c>
      <c r="G373" s="10" t="s">
        <v>24</v>
      </c>
      <c r="H373" s="10"/>
      <c r="I373" s="10"/>
      <c r="J373" s="10"/>
      <c r="K373" s="31">
        <v>390</v>
      </c>
      <c r="L373" s="73"/>
      <c r="M373" s="6"/>
    </row>
    <row r="374" spans="1:13" s="23" customFormat="1" ht="42.75" x14ac:dyDescent="0.25">
      <c r="A374" s="38">
        <f>IF(B374="","",_xlfn.AGGREGATE(3,5,$B$7:B374))</f>
        <v>368</v>
      </c>
      <c r="B374" s="46" t="s">
        <v>55</v>
      </c>
      <c r="C374" s="36" t="s">
        <v>832</v>
      </c>
      <c r="D374" s="71" t="s">
        <v>837</v>
      </c>
      <c r="E374" s="46" t="s">
        <v>833</v>
      </c>
      <c r="F374" s="38" t="s">
        <v>20</v>
      </c>
      <c r="G374" s="38" t="s">
        <v>24</v>
      </c>
      <c r="H374" s="38"/>
      <c r="I374" s="38"/>
      <c r="J374" s="38"/>
      <c r="K374" s="39">
        <v>381</v>
      </c>
      <c r="L374" s="70" t="s">
        <v>1075</v>
      </c>
      <c r="M374" s="46" t="s">
        <v>836</v>
      </c>
    </row>
    <row r="375" spans="1:13" ht="19.899999999999999" customHeight="1" x14ac:dyDescent="0.25">
      <c r="A375" s="10">
        <f>IF(B375="","",_xlfn.AGGREGATE(3,5,$B$7:B375))</f>
        <v>369</v>
      </c>
      <c r="B375" s="6" t="s">
        <v>839</v>
      </c>
      <c r="C375" s="8" t="s">
        <v>840</v>
      </c>
      <c r="D375" s="7">
        <v>45904</v>
      </c>
      <c r="E375" s="6" t="s">
        <v>30</v>
      </c>
      <c r="F375" s="10" t="s">
        <v>20</v>
      </c>
      <c r="G375" s="10"/>
      <c r="H375" s="10"/>
      <c r="I375" s="10"/>
      <c r="J375" s="10" t="s">
        <v>24</v>
      </c>
      <c r="K375" s="31">
        <v>477</v>
      </c>
      <c r="L375" s="72"/>
      <c r="M375" s="6"/>
    </row>
    <row r="376" spans="1:13" s="82" customFormat="1" ht="99.75" x14ac:dyDescent="0.25">
      <c r="A376" s="27">
        <f>IF(B376="","",_xlfn.AGGREGATE(3,5,$B$7:B376))</f>
        <v>370</v>
      </c>
      <c r="B376" s="17" t="s">
        <v>408</v>
      </c>
      <c r="C376" s="20" t="s">
        <v>841</v>
      </c>
      <c r="D376" s="83">
        <v>45980</v>
      </c>
      <c r="E376" s="17" t="s">
        <v>899</v>
      </c>
      <c r="F376" s="27" t="s">
        <v>20</v>
      </c>
      <c r="G376" s="27" t="s">
        <v>24</v>
      </c>
      <c r="H376" s="27"/>
      <c r="I376" s="27"/>
      <c r="J376" s="27"/>
      <c r="K376" s="80">
        <v>135</v>
      </c>
      <c r="L376" s="81"/>
      <c r="M376" s="20"/>
    </row>
    <row r="377" spans="1:13" ht="22.15" customHeight="1" x14ac:dyDescent="0.25">
      <c r="A377" s="10">
        <f>IF(B377="","",_xlfn.AGGREGATE(3,5,$B$7:B377))</f>
        <v>371</v>
      </c>
      <c r="B377" s="60" t="s">
        <v>632</v>
      </c>
      <c r="C377" s="8" t="s">
        <v>842</v>
      </c>
      <c r="D377" s="7">
        <v>45908</v>
      </c>
      <c r="E377" s="6" t="s">
        <v>843</v>
      </c>
      <c r="F377" s="10" t="s">
        <v>38</v>
      </c>
      <c r="G377" s="10"/>
      <c r="H377" s="10"/>
      <c r="I377" s="10" t="s">
        <v>24</v>
      </c>
      <c r="J377" s="10"/>
      <c r="K377" s="31">
        <v>310</v>
      </c>
      <c r="L377" s="68"/>
    </row>
    <row r="378" spans="1:13" x14ac:dyDescent="0.25">
      <c r="A378" s="10">
        <f>IF(B378="","",_xlfn.AGGREGATE(3,5,$B$7:B378))</f>
        <v>372</v>
      </c>
      <c r="B378" s="6" t="s">
        <v>845</v>
      </c>
      <c r="C378" s="8" t="s">
        <v>844</v>
      </c>
      <c r="D378" s="7">
        <v>45929</v>
      </c>
      <c r="E378" s="26" t="s">
        <v>405</v>
      </c>
      <c r="F378" s="10" t="s">
        <v>20</v>
      </c>
      <c r="G378" s="10" t="s">
        <v>24</v>
      </c>
      <c r="H378" s="10"/>
      <c r="I378" s="10"/>
      <c r="J378" s="10"/>
      <c r="K378" s="31">
        <v>346</v>
      </c>
      <c r="L378" s="68"/>
    </row>
    <row r="379" spans="1:13" x14ac:dyDescent="0.25">
      <c r="A379" s="10">
        <f>IF(B379="","",_xlfn.AGGREGATE(3,5,$B$7:B379))</f>
        <v>373</v>
      </c>
      <c r="B379" s="6" t="s">
        <v>846</v>
      </c>
      <c r="C379" s="8" t="s">
        <v>850</v>
      </c>
      <c r="D379" s="7">
        <v>45929</v>
      </c>
      <c r="E379" s="26" t="s">
        <v>405</v>
      </c>
      <c r="F379" s="10" t="s">
        <v>20</v>
      </c>
      <c r="G379" s="10" t="s">
        <v>24</v>
      </c>
      <c r="H379" s="10"/>
      <c r="I379" s="10"/>
      <c r="J379" s="10"/>
      <c r="K379" s="31">
        <v>346</v>
      </c>
      <c r="L379" s="68"/>
    </row>
    <row r="380" spans="1:13" x14ac:dyDescent="0.25">
      <c r="A380" s="10">
        <f>IF(B380="","",_xlfn.AGGREGATE(3,5,$B$7:B380))</f>
        <v>374</v>
      </c>
      <c r="B380" s="6" t="s">
        <v>847</v>
      </c>
      <c r="C380" s="8" t="s">
        <v>851</v>
      </c>
      <c r="D380" s="7">
        <v>45929</v>
      </c>
      <c r="E380" s="26" t="s">
        <v>405</v>
      </c>
      <c r="F380" s="10" t="s">
        <v>20</v>
      </c>
      <c r="G380" s="10" t="s">
        <v>24</v>
      </c>
      <c r="H380" s="10"/>
      <c r="I380" s="10"/>
      <c r="J380" s="10"/>
      <c r="K380" s="31">
        <v>346</v>
      </c>
      <c r="L380" s="68"/>
    </row>
    <row r="381" spans="1:13" x14ac:dyDescent="0.25">
      <c r="A381" s="10">
        <f>IF(B381="","",_xlfn.AGGREGATE(3,5,$B$7:B381))</f>
        <v>375</v>
      </c>
      <c r="B381" s="6" t="s">
        <v>848</v>
      </c>
      <c r="C381" s="8" t="s">
        <v>852</v>
      </c>
      <c r="D381" s="7">
        <v>45929</v>
      </c>
      <c r="E381" s="26" t="s">
        <v>405</v>
      </c>
      <c r="F381" s="10" t="s">
        <v>20</v>
      </c>
      <c r="G381" s="10" t="s">
        <v>24</v>
      </c>
      <c r="H381" s="10"/>
      <c r="I381" s="10"/>
      <c r="J381" s="10"/>
      <c r="K381" s="31">
        <v>346</v>
      </c>
      <c r="L381" s="68"/>
    </row>
    <row r="382" spans="1:13" x14ac:dyDescent="0.25">
      <c r="A382" s="10">
        <f>IF(B382="","",_xlfn.AGGREGATE(3,5,$B$7:B382))</f>
        <v>376</v>
      </c>
      <c r="B382" s="6" t="s">
        <v>849</v>
      </c>
      <c r="C382" s="8" t="s">
        <v>853</v>
      </c>
      <c r="D382" s="7">
        <v>45929</v>
      </c>
      <c r="E382" s="26" t="s">
        <v>405</v>
      </c>
      <c r="F382" s="10" t="s">
        <v>20</v>
      </c>
      <c r="G382" s="10" t="s">
        <v>24</v>
      </c>
      <c r="H382" s="10"/>
      <c r="I382" s="10"/>
      <c r="J382" s="10"/>
      <c r="K382" s="31">
        <v>346</v>
      </c>
      <c r="L382" s="68"/>
    </row>
    <row r="383" spans="1:13" s="82" customFormat="1" ht="42.75" x14ac:dyDescent="0.25">
      <c r="A383" s="27">
        <f>IF(B383="","",_xlfn.AGGREGATE(3,5,$B$7:B383))</f>
        <v>377</v>
      </c>
      <c r="B383" s="17" t="s">
        <v>1095</v>
      </c>
      <c r="C383" s="20" t="s">
        <v>854</v>
      </c>
      <c r="D383" s="83">
        <v>46083</v>
      </c>
      <c r="E383" s="17" t="s">
        <v>1102</v>
      </c>
      <c r="F383" s="27" t="s">
        <v>34</v>
      </c>
      <c r="G383" s="27"/>
      <c r="H383" s="27"/>
      <c r="I383" s="27" t="s">
        <v>23</v>
      </c>
      <c r="J383" s="27"/>
      <c r="K383" s="80">
        <v>140</v>
      </c>
      <c r="L383" s="81" t="s">
        <v>855</v>
      </c>
      <c r="M383" s="20"/>
    </row>
    <row r="384" spans="1:13" ht="25.15" customHeight="1" x14ac:dyDescent="0.25">
      <c r="A384" s="10">
        <f>IF(B384="","",_xlfn.AGGREGATE(3,5,$B$7:B384))</f>
        <v>378</v>
      </c>
      <c r="B384" s="6" t="s">
        <v>857</v>
      </c>
      <c r="C384" s="8" t="s">
        <v>856</v>
      </c>
      <c r="D384" s="7">
        <v>45931</v>
      </c>
      <c r="E384" s="17" t="s">
        <v>30</v>
      </c>
      <c r="F384" s="10" t="s">
        <v>39</v>
      </c>
      <c r="G384" s="10" t="s">
        <v>24</v>
      </c>
      <c r="H384" s="10"/>
      <c r="I384" s="10"/>
      <c r="J384" s="10"/>
      <c r="K384" s="31">
        <v>478</v>
      </c>
      <c r="L384" s="68"/>
    </row>
    <row r="385" spans="1:13" x14ac:dyDescent="0.25">
      <c r="A385" s="10">
        <f>IF(B385="","",_xlfn.AGGREGATE(3,5,$B$7:B385))</f>
        <v>379</v>
      </c>
      <c r="B385" s="6" t="s">
        <v>859</v>
      </c>
      <c r="C385" s="8" t="s">
        <v>858</v>
      </c>
      <c r="D385" s="7">
        <v>45932</v>
      </c>
      <c r="E385" s="52" t="s">
        <v>405</v>
      </c>
      <c r="F385" s="10" t="s">
        <v>20</v>
      </c>
      <c r="G385" s="10" t="s">
        <v>24</v>
      </c>
      <c r="H385" s="10"/>
      <c r="I385" s="10"/>
      <c r="J385" s="10"/>
      <c r="K385" s="31">
        <v>81</v>
      </c>
      <c r="L385" s="68"/>
    </row>
    <row r="386" spans="1:13" x14ac:dyDescent="0.25">
      <c r="A386" s="10">
        <f>IF(B386="","",_xlfn.AGGREGATE(3,5,$B$7:B386))</f>
        <v>380</v>
      </c>
      <c r="B386" s="6" t="s">
        <v>861</v>
      </c>
      <c r="C386" s="8" t="s">
        <v>860</v>
      </c>
      <c r="D386" s="7">
        <v>45939</v>
      </c>
      <c r="E386" s="26" t="s">
        <v>405</v>
      </c>
      <c r="F386" s="10" t="s">
        <v>20</v>
      </c>
      <c r="G386" s="10"/>
      <c r="H386" s="10"/>
      <c r="I386" s="10"/>
      <c r="J386" s="10" t="s">
        <v>24</v>
      </c>
      <c r="K386" s="31">
        <v>255</v>
      </c>
      <c r="L386" s="68"/>
      <c r="M386" s="8" t="s">
        <v>737</v>
      </c>
    </row>
    <row r="387" spans="1:13" x14ac:dyDescent="0.25">
      <c r="A387" s="10">
        <f>IF(B387="","",_xlfn.AGGREGATE(3,5,$B$7:B387))</f>
        <v>381</v>
      </c>
      <c r="B387" s="6" t="s">
        <v>863</v>
      </c>
      <c r="C387" s="8" t="s">
        <v>862</v>
      </c>
      <c r="D387" s="19">
        <v>45960</v>
      </c>
      <c r="E387" s="6" t="s">
        <v>30</v>
      </c>
      <c r="F387" s="10" t="s">
        <v>39</v>
      </c>
      <c r="G387" s="10" t="s">
        <v>24</v>
      </c>
      <c r="H387" s="10"/>
      <c r="I387" s="10"/>
      <c r="J387" s="10"/>
      <c r="K387" s="31">
        <v>479</v>
      </c>
      <c r="L387" s="68"/>
    </row>
    <row r="388" spans="1:13" x14ac:dyDescent="0.25">
      <c r="A388" s="10">
        <f>IF(B388="","",_xlfn.AGGREGATE(3,5,$B$7:B388))</f>
        <v>382</v>
      </c>
      <c r="B388" s="6" t="s">
        <v>865</v>
      </c>
      <c r="C388" s="8" t="s">
        <v>864</v>
      </c>
      <c r="D388" s="19">
        <v>45953</v>
      </c>
      <c r="E388" s="6" t="s">
        <v>30</v>
      </c>
      <c r="F388" s="10" t="s">
        <v>39</v>
      </c>
      <c r="G388" s="10" t="s">
        <v>24</v>
      </c>
      <c r="H388" s="10"/>
      <c r="I388" s="10"/>
      <c r="J388" s="10"/>
      <c r="K388" s="31">
        <v>480</v>
      </c>
      <c r="L388" s="68"/>
    </row>
    <row r="389" spans="1:13" x14ac:dyDescent="0.2">
      <c r="A389" s="10">
        <f>IF(B389="","",_xlfn.AGGREGATE(3,5,$B$7:B389))</f>
        <v>383</v>
      </c>
      <c r="B389" s="6" t="s">
        <v>589</v>
      </c>
      <c r="C389" s="8" t="s">
        <v>868</v>
      </c>
      <c r="D389" s="7">
        <v>45958</v>
      </c>
      <c r="E389" s="74" t="s">
        <v>867</v>
      </c>
      <c r="F389" s="10" t="s">
        <v>39</v>
      </c>
      <c r="G389" s="10" t="s">
        <v>24</v>
      </c>
      <c r="H389" s="10"/>
      <c r="I389" s="10"/>
      <c r="J389" s="10"/>
      <c r="K389" s="31">
        <v>365</v>
      </c>
      <c r="L389" s="68"/>
    </row>
    <row r="390" spans="1:13" ht="57" x14ac:dyDescent="0.25">
      <c r="A390" s="10">
        <f>IF(B390="","",_xlfn.AGGREGATE(3,5,$B$7:B390))</f>
        <v>384</v>
      </c>
      <c r="B390" s="6" t="s">
        <v>878</v>
      </c>
      <c r="C390" s="8" t="s">
        <v>869</v>
      </c>
      <c r="D390" s="7">
        <v>45960</v>
      </c>
      <c r="E390" s="6" t="s">
        <v>870</v>
      </c>
      <c r="F390" s="10" t="s">
        <v>39</v>
      </c>
      <c r="G390" s="10" t="s">
        <v>24</v>
      </c>
      <c r="H390" s="10"/>
      <c r="I390" s="10"/>
      <c r="J390" s="10"/>
      <c r="K390" s="31">
        <v>224</v>
      </c>
      <c r="L390" s="68"/>
    </row>
    <row r="391" spans="1:13" ht="25.9" customHeight="1" x14ac:dyDescent="0.2">
      <c r="A391" s="10">
        <f>IF(B391="","",_xlfn.AGGREGATE(3,5,$B$7:B391))</f>
        <v>385</v>
      </c>
      <c r="B391" s="6" t="s">
        <v>57</v>
      </c>
      <c r="C391" s="8" t="s">
        <v>871</v>
      </c>
      <c r="D391" s="7">
        <v>45960</v>
      </c>
      <c r="E391" s="75" t="s">
        <v>873</v>
      </c>
      <c r="F391" s="10" t="s">
        <v>20</v>
      </c>
      <c r="G391" s="10"/>
      <c r="H391" s="10"/>
      <c r="I391" s="10"/>
      <c r="J391" s="10" t="s">
        <v>24</v>
      </c>
      <c r="K391" s="31">
        <v>94</v>
      </c>
      <c r="L391" s="68"/>
    </row>
    <row r="392" spans="1:13" x14ac:dyDescent="0.2">
      <c r="A392" s="10">
        <f>IF(B392="","",_xlfn.AGGREGATE(3,5,$B$7:B392))</f>
        <v>386</v>
      </c>
      <c r="B392" s="6" t="s">
        <v>66</v>
      </c>
      <c r="C392" s="66" t="s">
        <v>872</v>
      </c>
      <c r="D392" s="7">
        <v>45960</v>
      </c>
      <c r="E392" s="6" t="s">
        <v>873</v>
      </c>
      <c r="F392" s="10" t="s">
        <v>20</v>
      </c>
      <c r="G392" s="10"/>
      <c r="H392" s="10"/>
      <c r="I392" s="10"/>
      <c r="J392" s="10" t="s">
        <v>24</v>
      </c>
      <c r="K392" s="31">
        <v>274</v>
      </c>
      <c r="L392" s="68"/>
    </row>
    <row r="393" spans="1:13" x14ac:dyDescent="0.2">
      <c r="A393" s="10">
        <f>IF(B393="","",_xlfn.AGGREGATE(3,5,$B$7:B393))</f>
        <v>387</v>
      </c>
      <c r="B393" s="6" t="s">
        <v>69</v>
      </c>
      <c r="C393" s="8" t="s">
        <v>874</v>
      </c>
      <c r="D393" s="7">
        <v>45960</v>
      </c>
      <c r="E393" s="74" t="s">
        <v>873</v>
      </c>
      <c r="F393" s="10" t="s">
        <v>20</v>
      </c>
      <c r="G393" s="10"/>
      <c r="H393" s="10"/>
      <c r="I393" s="10"/>
      <c r="J393" s="10" t="s">
        <v>24</v>
      </c>
      <c r="K393" s="31">
        <v>294</v>
      </c>
      <c r="L393" s="68"/>
    </row>
    <row r="394" spans="1:13" x14ac:dyDescent="0.2">
      <c r="A394" s="10">
        <f>IF(B394="","",_xlfn.AGGREGATE(3,5,$B$7:B394))</f>
        <v>388</v>
      </c>
      <c r="B394" s="6" t="s">
        <v>67</v>
      </c>
      <c r="C394" s="79" t="s">
        <v>875</v>
      </c>
      <c r="D394" s="7">
        <v>45960</v>
      </c>
      <c r="E394" s="66" t="s">
        <v>873</v>
      </c>
      <c r="F394" s="10" t="s">
        <v>20</v>
      </c>
      <c r="G394" s="10"/>
      <c r="H394" s="10"/>
      <c r="I394" s="10"/>
      <c r="J394" s="10" t="s">
        <v>24</v>
      </c>
      <c r="K394" s="31">
        <v>168</v>
      </c>
      <c r="L394" s="68"/>
    </row>
    <row r="395" spans="1:13" x14ac:dyDescent="0.2">
      <c r="A395" s="10">
        <f>IF(B395="","",_xlfn.AGGREGATE(3,5,$B$7:B395))</f>
        <v>389</v>
      </c>
      <c r="B395" s="6" t="s">
        <v>681</v>
      </c>
      <c r="C395" s="79" t="s">
        <v>876</v>
      </c>
      <c r="D395" s="7">
        <v>45960</v>
      </c>
      <c r="E395" s="66" t="s">
        <v>873</v>
      </c>
      <c r="F395" s="10" t="s">
        <v>20</v>
      </c>
      <c r="G395" s="10"/>
      <c r="H395" s="10"/>
      <c r="I395" s="10"/>
      <c r="J395" s="10" t="s">
        <v>24</v>
      </c>
      <c r="K395" s="31">
        <v>361</v>
      </c>
      <c r="L395" s="68"/>
    </row>
    <row r="396" spans="1:13" x14ac:dyDescent="0.2">
      <c r="A396" s="10">
        <f>IF(B396="","",_xlfn.AGGREGATE(3,5,$B$7:B396))</f>
        <v>390</v>
      </c>
      <c r="B396" s="6" t="s">
        <v>62</v>
      </c>
      <c r="C396" s="79" t="s">
        <v>877</v>
      </c>
      <c r="D396" s="7">
        <v>45960</v>
      </c>
      <c r="E396" s="66" t="s">
        <v>873</v>
      </c>
      <c r="F396" s="10" t="s">
        <v>20</v>
      </c>
      <c r="G396" s="10"/>
      <c r="H396" s="10"/>
      <c r="I396" s="10"/>
      <c r="J396" s="10" t="s">
        <v>24</v>
      </c>
      <c r="K396" s="31">
        <v>360</v>
      </c>
      <c r="L396" s="68"/>
    </row>
    <row r="397" spans="1:13" x14ac:dyDescent="0.2">
      <c r="A397" s="10">
        <f>IF(B397="","",_xlfn.AGGREGATE(3,5,$B$7:B397))</f>
        <v>391</v>
      </c>
      <c r="B397" s="6" t="s">
        <v>418</v>
      </c>
      <c r="C397" s="8" t="s">
        <v>879</v>
      </c>
      <c r="D397" s="7">
        <v>45960</v>
      </c>
      <c r="E397" s="66" t="s">
        <v>873</v>
      </c>
      <c r="F397" s="10" t="s">
        <v>20</v>
      </c>
      <c r="G397" s="10"/>
      <c r="H397" s="10"/>
      <c r="I397" s="10"/>
      <c r="J397" s="10" t="s">
        <v>24</v>
      </c>
      <c r="K397" s="31">
        <v>137</v>
      </c>
      <c r="L397" s="68"/>
    </row>
    <row r="398" spans="1:13" x14ac:dyDescent="0.2">
      <c r="A398" s="10">
        <f>IF(B398="","",_xlfn.AGGREGATE(3,5,$B$7:B398))</f>
        <v>392</v>
      </c>
      <c r="B398" s="6" t="s">
        <v>726</v>
      </c>
      <c r="C398" s="8" t="s">
        <v>880</v>
      </c>
      <c r="D398" s="7">
        <v>45960</v>
      </c>
      <c r="E398" s="66" t="s">
        <v>873</v>
      </c>
      <c r="F398" s="10" t="s">
        <v>20</v>
      </c>
      <c r="G398" s="10"/>
      <c r="H398" s="10"/>
      <c r="I398" s="10"/>
      <c r="J398" s="10" t="s">
        <v>24</v>
      </c>
      <c r="K398" s="31">
        <v>305</v>
      </c>
      <c r="L398" s="68"/>
    </row>
    <row r="399" spans="1:13" ht="15" x14ac:dyDescent="0.2">
      <c r="A399" s="10">
        <f>IF(B399="","",_xlfn.AGGREGATE(3,5,$B$7:B399))</f>
        <v>393</v>
      </c>
      <c r="B399" s="76" t="s">
        <v>882</v>
      </c>
      <c r="C399" s="8" t="s">
        <v>881</v>
      </c>
      <c r="D399" s="7">
        <v>45968</v>
      </c>
      <c r="E399" s="6" t="s">
        <v>30</v>
      </c>
      <c r="F399" s="10" t="s">
        <v>39</v>
      </c>
      <c r="G399" s="10" t="s">
        <v>24</v>
      </c>
      <c r="H399" s="10"/>
      <c r="I399" s="10"/>
      <c r="J399" s="10"/>
      <c r="K399" s="31">
        <v>481</v>
      </c>
      <c r="L399" s="68"/>
    </row>
    <row r="400" spans="1:13" ht="13.15" customHeight="1" x14ac:dyDescent="0.2">
      <c r="A400" s="10">
        <f>IF(B400="","",_xlfn.AGGREGATE(3,5,$B$7:B400))</f>
        <v>394</v>
      </c>
      <c r="B400" s="63" t="s">
        <v>742</v>
      </c>
      <c r="C400" s="8" t="s">
        <v>883</v>
      </c>
      <c r="D400" s="7">
        <v>45961</v>
      </c>
      <c r="E400" s="66" t="s">
        <v>873</v>
      </c>
      <c r="F400" s="10" t="s">
        <v>20</v>
      </c>
      <c r="G400" s="10" t="s">
        <v>24</v>
      </c>
      <c r="H400" s="10"/>
      <c r="I400" s="10"/>
      <c r="J400" s="10"/>
      <c r="K400" s="31">
        <v>342</v>
      </c>
      <c r="L400" s="69"/>
    </row>
    <row r="401" spans="1:12" x14ac:dyDescent="0.2">
      <c r="A401" s="10">
        <f>IF(B401="","",_xlfn.AGGREGATE(3,5,$B$7:B401))</f>
        <v>395</v>
      </c>
      <c r="B401" s="6" t="s">
        <v>565</v>
      </c>
      <c r="C401" s="8" t="s">
        <v>884</v>
      </c>
      <c r="D401" s="7">
        <v>45964</v>
      </c>
      <c r="E401" s="66" t="s">
        <v>873</v>
      </c>
      <c r="F401" s="10" t="s">
        <v>39</v>
      </c>
      <c r="G401" s="10" t="s">
        <v>24</v>
      </c>
      <c r="H401" s="10"/>
      <c r="I401" s="10"/>
      <c r="J401" s="10"/>
      <c r="K401" s="31">
        <v>427</v>
      </c>
      <c r="L401" s="68"/>
    </row>
    <row r="402" spans="1:12" x14ac:dyDescent="0.2">
      <c r="A402" s="10">
        <f>IF(B402="","",_xlfn.AGGREGATE(3,5,$B$7:B406))</f>
        <v>400</v>
      </c>
      <c r="B402" s="6" t="s">
        <v>564</v>
      </c>
      <c r="C402" s="8" t="s">
        <v>885</v>
      </c>
      <c r="D402" s="7">
        <v>45964</v>
      </c>
      <c r="E402" s="66" t="s">
        <v>873</v>
      </c>
      <c r="F402" s="10" t="s">
        <v>39</v>
      </c>
      <c r="G402" s="10" t="s">
        <v>24</v>
      </c>
      <c r="H402" s="10"/>
      <c r="I402" s="10"/>
      <c r="J402" s="10" t="s">
        <v>24</v>
      </c>
      <c r="K402" s="31">
        <v>402</v>
      </c>
      <c r="L402" s="68"/>
    </row>
    <row r="403" spans="1:12" ht="28.5" x14ac:dyDescent="0.25">
      <c r="A403" s="10">
        <f>IF(B403="","",_xlfn.AGGREGATE(3,5,$B$7:B403))</f>
        <v>397</v>
      </c>
      <c r="B403" s="6" t="s">
        <v>886</v>
      </c>
      <c r="C403" s="60" t="s">
        <v>888</v>
      </c>
      <c r="D403" s="7">
        <v>45968</v>
      </c>
      <c r="E403" s="26" t="s">
        <v>887</v>
      </c>
      <c r="F403" s="10" t="s">
        <v>20</v>
      </c>
      <c r="G403" s="10"/>
      <c r="H403" s="10"/>
      <c r="I403" s="10"/>
      <c r="J403" s="10"/>
      <c r="K403" s="31">
        <v>180</v>
      </c>
      <c r="L403" s="69"/>
    </row>
    <row r="404" spans="1:12" x14ac:dyDescent="0.25">
      <c r="A404" s="10">
        <f>IF(B404="","",_xlfn.AGGREGATE(3,5,$B$7:B408))</f>
        <v>402</v>
      </c>
      <c r="B404" s="6" t="s">
        <v>861</v>
      </c>
      <c r="C404" s="8" t="s">
        <v>889</v>
      </c>
      <c r="D404" s="7">
        <v>45968</v>
      </c>
      <c r="E404" s="6" t="s">
        <v>873</v>
      </c>
      <c r="F404" s="10" t="s">
        <v>20</v>
      </c>
      <c r="G404" s="10"/>
      <c r="H404" s="10"/>
      <c r="I404" s="10"/>
      <c r="J404" s="10" t="s">
        <v>24</v>
      </c>
      <c r="K404" s="31"/>
      <c r="L404" s="69"/>
    </row>
    <row r="405" spans="1:12" ht="28.5" x14ac:dyDescent="0.25">
      <c r="A405" s="10">
        <f>IF(B405="","",_xlfn.AGGREGATE(3,5,$B$7:B405))</f>
        <v>399</v>
      </c>
      <c r="B405" s="6" t="s">
        <v>418</v>
      </c>
      <c r="C405" s="8" t="s">
        <v>890</v>
      </c>
      <c r="D405" s="7">
        <v>45971</v>
      </c>
      <c r="E405" s="6" t="s">
        <v>891</v>
      </c>
      <c r="F405" s="10" t="s">
        <v>20</v>
      </c>
      <c r="G405" s="10"/>
      <c r="H405" s="10"/>
      <c r="I405" s="10"/>
      <c r="J405" s="10" t="s">
        <v>24</v>
      </c>
      <c r="K405" s="31"/>
      <c r="L405" s="69"/>
    </row>
    <row r="406" spans="1:12" ht="24.6" customHeight="1" x14ac:dyDescent="0.25">
      <c r="A406" s="10"/>
      <c r="B406" s="6" t="s">
        <v>119</v>
      </c>
      <c r="C406" s="8" t="s">
        <v>892</v>
      </c>
      <c r="D406" s="7">
        <v>45975</v>
      </c>
      <c r="E406" s="6" t="s">
        <v>873</v>
      </c>
      <c r="F406" s="10" t="s">
        <v>20</v>
      </c>
      <c r="G406" s="10" t="s">
        <v>24</v>
      </c>
      <c r="H406" s="10"/>
      <c r="I406" s="10"/>
      <c r="J406" s="10"/>
      <c r="K406" s="31">
        <v>389</v>
      </c>
      <c r="L406" s="69"/>
    </row>
    <row r="407" spans="1:12" ht="42.75" x14ac:dyDescent="0.25">
      <c r="A407" s="10"/>
      <c r="B407" s="6" t="s">
        <v>893</v>
      </c>
      <c r="C407" s="8" t="s">
        <v>895</v>
      </c>
      <c r="D407" s="7">
        <v>45979</v>
      </c>
      <c r="E407" s="6" t="s">
        <v>894</v>
      </c>
      <c r="F407" s="10" t="s">
        <v>20</v>
      </c>
      <c r="G407" s="10" t="s">
        <v>24</v>
      </c>
      <c r="H407" s="10"/>
      <c r="I407" s="10"/>
      <c r="J407" s="10"/>
      <c r="K407" s="31">
        <v>351</v>
      </c>
      <c r="L407" s="42"/>
    </row>
    <row r="408" spans="1:12" ht="31.9" customHeight="1" x14ac:dyDescent="0.25">
      <c r="A408" s="10"/>
      <c r="B408" s="6" t="s">
        <v>897</v>
      </c>
      <c r="C408" s="8" t="s">
        <v>896</v>
      </c>
      <c r="D408" s="7">
        <v>45979</v>
      </c>
      <c r="E408" s="6" t="s">
        <v>898</v>
      </c>
      <c r="F408" s="10" t="s">
        <v>20</v>
      </c>
      <c r="G408" s="10" t="s">
        <v>24</v>
      </c>
      <c r="H408" s="10"/>
      <c r="I408" s="10"/>
      <c r="J408" s="10"/>
      <c r="K408" s="31">
        <v>351</v>
      </c>
      <c r="L408" s="42"/>
    </row>
    <row r="409" spans="1:12" ht="28.5" x14ac:dyDescent="0.25">
      <c r="A409" s="10">
        <f>IF(B409="","",_xlfn.AGGREGATE(3,5,$B$7:B409))</f>
        <v>403</v>
      </c>
      <c r="B409" s="6" t="s">
        <v>900</v>
      </c>
      <c r="C409" s="8" t="s">
        <v>901</v>
      </c>
      <c r="D409" s="7">
        <v>45985</v>
      </c>
      <c r="E409" s="26" t="s">
        <v>902</v>
      </c>
      <c r="F409" s="10" t="s">
        <v>20</v>
      </c>
      <c r="G409" s="10" t="s">
        <v>24</v>
      </c>
      <c r="H409" s="10"/>
      <c r="I409" s="10"/>
      <c r="J409" s="10"/>
      <c r="K409" s="31">
        <v>81</v>
      </c>
      <c r="L409" s="68"/>
    </row>
    <row r="410" spans="1:12" x14ac:dyDescent="0.25">
      <c r="A410" s="10">
        <f>IF(B410="","",_xlfn.AGGREGATE(3,5,$B$7:B410))</f>
        <v>404</v>
      </c>
      <c r="B410" s="6" t="s">
        <v>498</v>
      </c>
      <c r="C410" s="8" t="s">
        <v>903</v>
      </c>
      <c r="D410" s="7">
        <v>45985</v>
      </c>
      <c r="E410" s="6" t="s">
        <v>873</v>
      </c>
      <c r="F410" s="10" t="s">
        <v>39</v>
      </c>
      <c r="G410" s="10" t="s">
        <v>24</v>
      </c>
      <c r="H410" s="10"/>
      <c r="I410" s="10"/>
      <c r="J410" s="10"/>
      <c r="K410" s="31">
        <v>251</v>
      </c>
      <c r="L410" s="68"/>
    </row>
    <row r="411" spans="1:12" x14ac:dyDescent="0.25">
      <c r="A411" s="10">
        <f>IF(B411="","",_xlfn.AGGREGATE(3,5,$B$7:B411))</f>
        <v>405</v>
      </c>
      <c r="B411" s="6" t="s">
        <v>905</v>
      </c>
      <c r="C411" s="8" t="s">
        <v>904</v>
      </c>
      <c r="D411" s="7">
        <v>45985</v>
      </c>
      <c r="E411" s="6" t="s">
        <v>873</v>
      </c>
      <c r="F411" s="10" t="s">
        <v>39</v>
      </c>
      <c r="G411" s="10" t="s">
        <v>24</v>
      </c>
      <c r="H411" s="10"/>
      <c r="I411" s="10"/>
      <c r="J411" s="10"/>
      <c r="K411" s="31">
        <v>175</v>
      </c>
      <c r="L411" s="68"/>
    </row>
    <row r="412" spans="1:12" x14ac:dyDescent="0.25">
      <c r="A412" s="10">
        <f>IF(B412="","",_xlfn.AGGREGATE(3,5,$B$7:B412))</f>
        <v>406</v>
      </c>
      <c r="B412" s="6" t="s">
        <v>40</v>
      </c>
      <c r="C412" s="8" t="s">
        <v>906</v>
      </c>
      <c r="D412" s="7">
        <v>45985</v>
      </c>
      <c r="E412" s="6" t="s">
        <v>873</v>
      </c>
      <c r="F412" s="10" t="s">
        <v>39</v>
      </c>
      <c r="G412" s="10" t="s">
        <v>24</v>
      </c>
      <c r="H412" s="10"/>
      <c r="I412" s="10"/>
      <c r="J412" s="10"/>
      <c r="K412" s="31">
        <v>323</v>
      </c>
      <c r="L412" s="68"/>
    </row>
    <row r="413" spans="1:12" ht="43.15" customHeight="1" x14ac:dyDescent="0.25">
      <c r="A413" s="10">
        <f>IF(B413="","",_xlfn.AGGREGATE(3,5,$B$7:B413))</f>
        <v>407</v>
      </c>
      <c r="B413" s="6" t="s">
        <v>43</v>
      </c>
      <c r="C413" s="8" t="s">
        <v>907</v>
      </c>
      <c r="D413" s="7">
        <v>45986</v>
      </c>
      <c r="E413" s="6" t="s">
        <v>908</v>
      </c>
      <c r="F413" s="10" t="s">
        <v>39</v>
      </c>
      <c r="G413" s="10" t="s">
        <v>24</v>
      </c>
      <c r="H413" s="10"/>
      <c r="I413" s="10"/>
      <c r="J413" s="10"/>
      <c r="K413" s="31">
        <v>363</v>
      </c>
      <c r="L413" s="68"/>
    </row>
    <row r="414" spans="1:12" ht="46.15" customHeight="1" x14ac:dyDescent="0.2">
      <c r="A414" s="10">
        <f>IF(B414="","",_xlfn.AGGREGATE(3,5,$B$7:B414))</f>
        <v>408</v>
      </c>
      <c r="B414" s="6" t="s">
        <v>425</v>
      </c>
      <c r="C414" s="84" t="s">
        <v>909</v>
      </c>
      <c r="D414" s="7">
        <v>45992</v>
      </c>
      <c r="E414" s="6" t="s">
        <v>908</v>
      </c>
      <c r="F414" s="10" t="s">
        <v>39</v>
      </c>
      <c r="G414" s="10" t="s">
        <v>24</v>
      </c>
      <c r="H414" s="10"/>
      <c r="I414" s="10"/>
      <c r="J414" s="10"/>
      <c r="K414" s="31">
        <v>176</v>
      </c>
      <c r="L414" s="68"/>
    </row>
    <row r="415" spans="1:12" ht="15" x14ac:dyDescent="0.25">
      <c r="A415" s="10">
        <f>IF(B415="","",_xlfn.AGGREGATE(3,5,$B$7:B415))</f>
        <v>409</v>
      </c>
      <c r="B415" s="63" t="s">
        <v>911</v>
      </c>
      <c r="C415" s="8" t="s">
        <v>910</v>
      </c>
      <c r="D415" s="7">
        <v>45992</v>
      </c>
      <c r="E415" s="6" t="s">
        <v>873</v>
      </c>
      <c r="F415" s="10" t="s">
        <v>39</v>
      </c>
      <c r="G415" s="10" t="s">
        <v>24</v>
      </c>
      <c r="H415" s="10"/>
      <c r="I415" s="10"/>
      <c r="J415" s="10"/>
      <c r="K415" s="31">
        <v>321</v>
      </c>
      <c r="L415" s="68"/>
    </row>
    <row r="416" spans="1:12" x14ac:dyDescent="0.2">
      <c r="A416" s="10">
        <f>IF(B416="","",_xlfn.AGGREGATE(3,5,$B$7:B416))</f>
        <v>410</v>
      </c>
      <c r="B416" s="6" t="s">
        <v>813</v>
      </c>
      <c r="C416" s="85" t="s">
        <v>912</v>
      </c>
      <c r="D416" s="7">
        <v>45992</v>
      </c>
      <c r="E416" s="6" t="s">
        <v>873</v>
      </c>
      <c r="F416" s="10" t="s">
        <v>39</v>
      </c>
      <c r="G416" s="10" t="s">
        <v>24</v>
      </c>
      <c r="H416" s="10"/>
      <c r="I416" s="10"/>
      <c r="J416" s="10"/>
      <c r="K416" s="31">
        <v>279</v>
      </c>
      <c r="L416" s="68"/>
    </row>
    <row r="417" spans="1:12" x14ac:dyDescent="0.25">
      <c r="A417" s="10">
        <f>IF(B417="","",_xlfn.AGGREGATE(3,5,$B$7:B417))</f>
        <v>411</v>
      </c>
      <c r="B417" s="6" t="s">
        <v>64</v>
      </c>
      <c r="C417" s="8" t="s">
        <v>913</v>
      </c>
      <c r="D417" s="7">
        <v>45992</v>
      </c>
      <c r="E417" s="6" t="s">
        <v>873</v>
      </c>
      <c r="F417" s="10" t="s">
        <v>20</v>
      </c>
      <c r="G417" s="10"/>
      <c r="H417" s="10"/>
      <c r="I417" s="10"/>
      <c r="J417" s="10" t="s">
        <v>24</v>
      </c>
      <c r="K417" s="31">
        <v>299</v>
      </c>
      <c r="L417" s="68"/>
    </row>
    <row r="418" spans="1:12" ht="42.75" x14ac:dyDescent="0.25">
      <c r="A418" s="10">
        <f>IF(B418="","",_xlfn.AGGREGATE(3,5,$B$7:B418))</f>
        <v>412</v>
      </c>
      <c r="B418" s="63" t="s">
        <v>915</v>
      </c>
      <c r="C418" s="8" t="s">
        <v>914</v>
      </c>
      <c r="D418" s="7">
        <v>45994</v>
      </c>
      <c r="E418" s="6" t="s">
        <v>916</v>
      </c>
      <c r="F418" s="10" t="s">
        <v>20</v>
      </c>
      <c r="G418" s="10"/>
      <c r="H418" s="10" t="s">
        <v>24</v>
      </c>
      <c r="I418" s="10"/>
      <c r="J418" s="10"/>
      <c r="K418" s="31">
        <v>39</v>
      </c>
      <c r="L418" s="68"/>
    </row>
    <row r="419" spans="1:12" x14ac:dyDescent="0.25">
      <c r="A419" s="10">
        <f>IF(B419="","",_xlfn.AGGREGATE(3,5,$B$7:B419))</f>
        <v>413</v>
      </c>
      <c r="B419" s="6" t="s">
        <v>166</v>
      </c>
      <c r="C419" s="8" t="s">
        <v>917</v>
      </c>
      <c r="D419" s="7">
        <v>45996</v>
      </c>
      <c r="E419" s="6" t="s">
        <v>873</v>
      </c>
      <c r="F419" s="10" t="s">
        <v>39</v>
      </c>
      <c r="G419" s="10" t="s">
        <v>24</v>
      </c>
      <c r="H419" s="10"/>
      <c r="I419" s="10"/>
      <c r="J419" s="10"/>
      <c r="K419" s="31">
        <v>225</v>
      </c>
      <c r="L419" s="68"/>
    </row>
    <row r="420" spans="1:12" ht="42.75" x14ac:dyDescent="0.25">
      <c r="A420" s="10">
        <f>IF(B420="","",_xlfn.AGGREGATE(3,5,$B$7:B420))</f>
        <v>414</v>
      </c>
      <c r="B420" s="60" t="s">
        <v>632</v>
      </c>
      <c r="C420" s="8" t="s">
        <v>918</v>
      </c>
      <c r="D420" s="7">
        <v>45999</v>
      </c>
      <c r="E420" s="6" t="s">
        <v>927</v>
      </c>
      <c r="F420" s="10" t="s">
        <v>38</v>
      </c>
      <c r="G420" s="10"/>
      <c r="H420" s="10"/>
      <c r="I420" s="10" t="s">
        <v>24</v>
      </c>
      <c r="J420" s="10"/>
      <c r="K420" s="31">
        <v>310</v>
      </c>
      <c r="L420" s="68"/>
    </row>
    <row r="421" spans="1:12" ht="42.75" x14ac:dyDescent="0.25">
      <c r="A421" s="10">
        <f>IF(B421="","",_xlfn.AGGREGATE(3,5,$B$7:B421))</f>
        <v>415</v>
      </c>
      <c r="B421" s="60" t="s">
        <v>633</v>
      </c>
      <c r="C421" s="8" t="s">
        <v>919</v>
      </c>
      <c r="D421" s="7">
        <v>45999</v>
      </c>
      <c r="E421" s="6" t="s">
        <v>928</v>
      </c>
      <c r="F421" s="10" t="s">
        <v>38</v>
      </c>
      <c r="G421" s="10"/>
      <c r="H421" s="10"/>
      <c r="I421" s="10" t="s">
        <v>24</v>
      </c>
      <c r="J421" s="10"/>
      <c r="K421" s="31">
        <v>311</v>
      </c>
      <c r="L421" s="68"/>
    </row>
    <row r="422" spans="1:12" ht="42.75" x14ac:dyDescent="0.25">
      <c r="A422" s="10">
        <f>IF(B422="","",_xlfn.AGGREGATE(3,5,$B$7:B422))</f>
        <v>416</v>
      </c>
      <c r="B422" s="60" t="s">
        <v>634</v>
      </c>
      <c r="C422" s="8" t="s">
        <v>920</v>
      </c>
      <c r="D422" s="7">
        <v>45999</v>
      </c>
      <c r="E422" s="6" t="s">
        <v>929</v>
      </c>
      <c r="F422" s="10" t="s">
        <v>38</v>
      </c>
      <c r="G422" s="10"/>
      <c r="H422" s="10"/>
      <c r="I422" s="10" t="s">
        <v>24</v>
      </c>
      <c r="J422" s="10"/>
      <c r="K422" s="31">
        <v>328</v>
      </c>
      <c r="L422" s="68"/>
    </row>
    <row r="423" spans="1:12" ht="28.5" x14ac:dyDescent="0.25">
      <c r="A423" s="10">
        <f>IF(B423="","",_xlfn.AGGREGATE(3,5,$B$7:B423))</f>
        <v>417</v>
      </c>
      <c r="B423" s="6" t="s">
        <v>659</v>
      </c>
      <c r="C423" s="8" t="s">
        <v>921</v>
      </c>
      <c r="D423" s="7">
        <v>45999</v>
      </c>
      <c r="E423" s="6" t="s">
        <v>924</v>
      </c>
      <c r="F423" s="10" t="s">
        <v>38</v>
      </c>
      <c r="G423" s="10"/>
      <c r="H423" s="10"/>
      <c r="I423" s="10" t="s">
        <v>24</v>
      </c>
      <c r="J423" s="10"/>
      <c r="K423" s="31">
        <v>307</v>
      </c>
      <c r="L423" s="68"/>
    </row>
    <row r="424" spans="1:12" ht="42.75" x14ac:dyDescent="0.2">
      <c r="A424" s="10">
        <f>IF(B424="","",_xlfn.AGGREGATE(3,5,$B$7:B424))</f>
        <v>418</v>
      </c>
      <c r="B424" s="56" t="s">
        <v>618</v>
      </c>
      <c r="C424" s="8" t="s">
        <v>922</v>
      </c>
      <c r="D424" s="7">
        <v>45999</v>
      </c>
      <c r="E424" s="6" t="s">
        <v>930</v>
      </c>
      <c r="F424" s="10" t="s">
        <v>38</v>
      </c>
      <c r="G424" s="10"/>
      <c r="H424" s="10"/>
      <c r="I424" s="10" t="s">
        <v>24</v>
      </c>
      <c r="J424" s="10"/>
      <c r="K424" s="31">
        <v>312</v>
      </c>
      <c r="L424" s="68"/>
    </row>
    <row r="425" spans="1:12" ht="42.75" x14ac:dyDescent="0.25">
      <c r="A425" s="10">
        <f>IF(B425="","",_xlfn.AGGREGATE(3,5,$B$7:B425))</f>
        <v>419</v>
      </c>
      <c r="B425" s="60" t="s">
        <v>628</v>
      </c>
      <c r="C425" s="8" t="s">
        <v>923</v>
      </c>
      <c r="D425" s="7">
        <v>45999</v>
      </c>
      <c r="E425" s="6" t="s">
        <v>931</v>
      </c>
      <c r="F425" s="10" t="s">
        <v>38</v>
      </c>
      <c r="G425" s="10"/>
      <c r="H425" s="10"/>
      <c r="I425" s="10" t="s">
        <v>24</v>
      </c>
      <c r="J425" s="10"/>
      <c r="K425" s="31">
        <v>309</v>
      </c>
      <c r="L425" s="68"/>
    </row>
    <row r="426" spans="1:12" ht="42.75" x14ac:dyDescent="0.25">
      <c r="A426" s="10">
        <f>IF(B426="","",_xlfn.AGGREGATE(3,5,$B$7:B426))</f>
        <v>420</v>
      </c>
      <c r="B426" s="60" t="s">
        <v>637</v>
      </c>
      <c r="C426" s="8" t="s">
        <v>925</v>
      </c>
      <c r="D426" s="7">
        <v>45999</v>
      </c>
      <c r="E426" s="6" t="s">
        <v>932</v>
      </c>
      <c r="F426" s="10" t="s">
        <v>38</v>
      </c>
      <c r="G426" s="10"/>
      <c r="H426" s="10"/>
      <c r="I426" s="10" t="s">
        <v>24</v>
      </c>
      <c r="J426" s="10"/>
      <c r="K426" s="31">
        <v>367</v>
      </c>
      <c r="L426" s="68"/>
    </row>
    <row r="427" spans="1:12" ht="42.75" x14ac:dyDescent="0.25">
      <c r="A427" s="10">
        <f>IF(B427="","",_xlfn.AGGREGATE(3,5,$B$7:B427))</f>
        <v>421</v>
      </c>
      <c r="B427" s="60" t="s">
        <v>625</v>
      </c>
      <c r="C427" s="8" t="s">
        <v>926</v>
      </c>
      <c r="D427" s="7">
        <v>45999</v>
      </c>
      <c r="E427" s="6" t="s">
        <v>933</v>
      </c>
      <c r="F427" s="10" t="s">
        <v>38</v>
      </c>
      <c r="G427" s="10"/>
      <c r="H427" s="10"/>
      <c r="I427" s="10" t="s">
        <v>24</v>
      </c>
      <c r="J427" s="10"/>
      <c r="K427" s="31">
        <v>313</v>
      </c>
      <c r="L427" s="68"/>
    </row>
    <row r="428" spans="1:12" x14ac:dyDescent="0.2">
      <c r="A428" s="10">
        <f>IF(B428="","",_xlfn.AGGREGATE(3,5,$B$7:B428))</f>
        <v>422</v>
      </c>
      <c r="B428" s="6" t="s">
        <v>75</v>
      </c>
      <c r="C428" s="8" t="s">
        <v>934</v>
      </c>
      <c r="D428" s="7">
        <v>46000</v>
      </c>
      <c r="E428" s="66" t="s">
        <v>873</v>
      </c>
      <c r="F428" s="10" t="s">
        <v>20</v>
      </c>
      <c r="G428" s="10"/>
      <c r="H428" s="10"/>
      <c r="I428" s="10"/>
      <c r="J428" s="10" t="s">
        <v>24</v>
      </c>
      <c r="K428" s="31">
        <v>95</v>
      </c>
      <c r="L428" s="68"/>
    </row>
    <row r="429" spans="1:12" x14ac:dyDescent="0.2">
      <c r="A429" s="10">
        <f>IF(B429="","",_xlfn.AGGREGATE(3,5,$B$7:B429))</f>
        <v>423</v>
      </c>
      <c r="B429" s="6" t="s">
        <v>82</v>
      </c>
      <c r="C429" s="8" t="s">
        <v>935</v>
      </c>
      <c r="D429" s="7">
        <v>46000</v>
      </c>
      <c r="E429" s="66" t="s">
        <v>873</v>
      </c>
      <c r="F429" s="10" t="s">
        <v>20</v>
      </c>
      <c r="G429" s="10"/>
      <c r="H429" s="10"/>
      <c r="I429" s="10"/>
      <c r="J429" s="10" t="s">
        <v>24</v>
      </c>
      <c r="K429" s="31">
        <v>270</v>
      </c>
      <c r="L429" s="68"/>
    </row>
    <row r="430" spans="1:12" x14ac:dyDescent="0.2">
      <c r="A430" s="10">
        <f>IF(B430="","",_xlfn.AGGREGATE(3,5,$B$7:B430))</f>
        <v>424</v>
      </c>
      <c r="B430" s="6" t="s">
        <v>133</v>
      </c>
      <c r="C430" s="8" t="s">
        <v>936</v>
      </c>
      <c r="D430" s="7">
        <v>46000</v>
      </c>
      <c r="E430" s="66" t="s">
        <v>873</v>
      </c>
      <c r="F430" s="10" t="s">
        <v>20</v>
      </c>
      <c r="G430" s="10"/>
      <c r="H430" s="10"/>
      <c r="I430" s="10"/>
      <c r="J430" s="10" t="s">
        <v>24</v>
      </c>
      <c r="K430" s="31">
        <v>392</v>
      </c>
      <c r="L430" s="68"/>
    </row>
    <row r="431" spans="1:12" ht="28.5" x14ac:dyDescent="0.2">
      <c r="A431" s="10">
        <f>IF(B431="","",_xlfn.AGGREGATE(3,5,$B$7:B431))</f>
        <v>425</v>
      </c>
      <c r="B431" s="6" t="s">
        <v>937</v>
      </c>
      <c r="C431" s="8" t="s">
        <v>942</v>
      </c>
      <c r="D431" s="10"/>
      <c r="E431" s="86" t="s">
        <v>938</v>
      </c>
      <c r="F431" s="10" t="s">
        <v>20</v>
      </c>
      <c r="G431" s="10"/>
      <c r="H431" s="10"/>
      <c r="I431" s="10"/>
      <c r="J431" s="10" t="s">
        <v>24</v>
      </c>
      <c r="K431" s="31">
        <v>112</v>
      </c>
      <c r="L431" s="68"/>
    </row>
    <row r="432" spans="1:12" x14ac:dyDescent="0.2">
      <c r="A432" s="10">
        <f>IF(B432="","",_xlfn.AGGREGATE(3,5,$B$7:B432))</f>
        <v>426</v>
      </c>
      <c r="B432" s="6" t="s">
        <v>176</v>
      </c>
      <c r="C432" s="8" t="s">
        <v>939</v>
      </c>
      <c r="D432" s="7">
        <v>46000</v>
      </c>
      <c r="E432" s="66" t="s">
        <v>873</v>
      </c>
      <c r="F432" s="10" t="s">
        <v>20</v>
      </c>
      <c r="G432" s="10" t="s">
        <v>24</v>
      </c>
      <c r="H432" s="10"/>
      <c r="I432" s="10"/>
      <c r="J432" s="10"/>
      <c r="K432" s="31">
        <v>325</v>
      </c>
      <c r="L432" s="68"/>
    </row>
    <row r="433" spans="1:12" x14ac:dyDescent="0.2">
      <c r="A433" s="10">
        <f>IF(B433="","",_xlfn.AGGREGATE(3,5,$B$7:B433))</f>
        <v>427</v>
      </c>
      <c r="B433" s="6" t="s">
        <v>98</v>
      </c>
      <c r="C433" s="8" t="s">
        <v>940</v>
      </c>
      <c r="D433" s="7">
        <v>46000</v>
      </c>
      <c r="E433" s="66" t="s">
        <v>873</v>
      </c>
      <c r="F433" s="10" t="s">
        <v>20</v>
      </c>
      <c r="G433" s="10" t="s">
        <v>24</v>
      </c>
      <c r="H433" s="10"/>
      <c r="I433" s="10"/>
      <c r="J433" s="10"/>
      <c r="K433" s="31">
        <v>235</v>
      </c>
      <c r="L433" s="68"/>
    </row>
    <row r="434" spans="1:12" ht="15.75" x14ac:dyDescent="0.25">
      <c r="A434" s="10">
        <f>IF(B434="","",_xlfn.AGGREGATE(3,5,$B$7:B434))</f>
        <v>428</v>
      </c>
      <c r="B434" s="6" t="s">
        <v>657</v>
      </c>
      <c r="C434" s="8" t="s">
        <v>941</v>
      </c>
      <c r="D434" s="7">
        <v>46003</v>
      </c>
      <c r="E434" s="6" t="s">
        <v>944</v>
      </c>
      <c r="F434" s="10" t="s">
        <v>655</v>
      </c>
      <c r="G434" s="10"/>
      <c r="H434" s="10"/>
      <c r="I434" s="10" t="s">
        <v>23</v>
      </c>
      <c r="J434" s="10"/>
      <c r="K434" s="31">
        <v>445</v>
      </c>
      <c r="L434" s="68"/>
    </row>
    <row r="435" spans="1:12" ht="15.75" x14ac:dyDescent="0.25">
      <c r="A435" s="10">
        <f>IF(B435="","",_xlfn.AGGREGATE(3,5,$B$7:B435))</f>
        <v>429</v>
      </c>
      <c r="B435" s="6" t="s">
        <v>658</v>
      </c>
      <c r="C435" s="8" t="s">
        <v>943</v>
      </c>
      <c r="D435" s="7">
        <v>46003</v>
      </c>
      <c r="E435" s="6" t="s">
        <v>944</v>
      </c>
      <c r="F435" s="10" t="s">
        <v>655</v>
      </c>
      <c r="G435" s="10"/>
      <c r="H435" s="10"/>
      <c r="I435" s="10" t="s">
        <v>24</v>
      </c>
      <c r="J435" s="10"/>
      <c r="K435" s="31">
        <v>446</v>
      </c>
      <c r="L435" s="68"/>
    </row>
    <row r="436" spans="1:12" x14ac:dyDescent="0.2">
      <c r="A436" s="10">
        <f>IF(B436="","",_xlfn.AGGREGATE(3,5,$B$7:B436))</f>
        <v>430</v>
      </c>
      <c r="B436" s="12" t="s">
        <v>172</v>
      </c>
      <c r="C436" s="8" t="s">
        <v>945</v>
      </c>
      <c r="D436" s="7">
        <v>46003</v>
      </c>
      <c r="E436" s="66" t="s">
        <v>873</v>
      </c>
      <c r="F436" s="10" t="s">
        <v>39</v>
      </c>
      <c r="G436" s="10" t="s">
        <v>24</v>
      </c>
      <c r="H436" s="10"/>
      <c r="I436" s="10"/>
      <c r="J436" s="10"/>
      <c r="K436" s="31">
        <v>189</v>
      </c>
      <c r="L436" s="68"/>
    </row>
    <row r="437" spans="1:12" x14ac:dyDescent="0.2">
      <c r="A437" s="10">
        <f>IF(B437="","",_xlfn.AGGREGATE(3,5,$B$7:B437))</f>
        <v>431</v>
      </c>
      <c r="B437" s="6" t="s">
        <v>820</v>
      </c>
      <c r="C437" s="8" t="s">
        <v>946</v>
      </c>
      <c r="D437" s="7">
        <v>46006</v>
      </c>
      <c r="E437" s="66" t="s">
        <v>873</v>
      </c>
      <c r="F437" s="10" t="s">
        <v>20</v>
      </c>
      <c r="G437" s="10" t="s">
        <v>24</v>
      </c>
      <c r="H437" s="10"/>
      <c r="I437" s="10"/>
      <c r="J437" s="10"/>
      <c r="K437" s="31">
        <v>354</v>
      </c>
      <c r="L437" s="68"/>
    </row>
    <row r="438" spans="1:12" x14ac:dyDescent="0.2">
      <c r="A438" s="10">
        <f>IF(B438="","",_xlfn.AGGREGATE(3,5,$B$7:B438))</f>
        <v>432</v>
      </c>
      <c r="B438" s="6" t="s">
        <v>857</v>
      </c>
      <c r="C438" s="8" t="s">
        <v>947</v>
      </c>
      <c r="D438" s="7">
        <v>46006</v>
      </c>
      <c r="E438" s="66" t="s">
        <v>873</v>
      </c>
      <c r="F438" s="10" t="s">
        <v>39</v>
      </c>
      <c r="G438" s="10" t="s">
        <v>24</v>
      </c>
      <c r="H438" s="10"/>
      <c r="I438" s="10"/>
      <c r="J438" s="10"/>
      <c r="K438" s="31">
        <v>478</v>
      </c>
      <c r="L438" s="68"/>
    </row>
    <row r="439" spans="1:12" x14ac:dyDescent="0.25">
      <c r="A439" s="10">
        <f>IF(B439="","",_xlfn.AGGREGATE(3,5,$B$7:B439))</f>
        <v>433</v>
      </c>
      <c r="B439" s="6" t="s">
        <v>949</v>
      </c>
      <c r="C439" s="8" t="s">
        <v>948</v>
      </c>
      <c r="D439" s="7">
        <v>46008</v>
      </c>
      <c r="E439" s="6" t="s">
        <v>30</v>
      </c>
      <c r="F439" s="10" t="s">
        <v>39</v>
      </c>
      <c r="G439" s="10" t="s">
        <v>24</v>
      </c>
      <c r="H439" s="10"/>
      <c r="I439" s="10"/>
      <c r="J439" s="10"/>
      <c r="K439" s="31">
        <v>482</v>
      </c>
      <c r="L439" s="68"/>
    </row>
    <row r="440" spans="1:12" x14ac:dyDescent="0.2">
      <c r="A440" s="10">
        <f>IF(B440="","",_xlfn.AGGREGATE(3,5,$B$7:B440))</f>
        <v>434</v>
      </c>
      <c r="B440" s="6" t="s">
        <v>588</v>
      </c>
      <c r="C440" s="8" t="s">
        <v>950</v>
      </c>
      <c r="D440" s="7">
        <v>46013</v>
      </c>
      <c r="E440" s="66" t="s">
        <v>873</v>
      </c>
      <c r="F440" s="10" t="s">
        <v>39</v>
      </c>
      <c r="G440" s="10" t="s">
        <v>24</v>
      </c>
      <c r="H440" s="10"/>
      <c r="I440" s="10"/>
      <c r="J440" s="10"/>
      <c r="K440" s="31">
        <v>364</v>
      </c>
      <c r="L440" s="68"/>
    </row>
    <row r="441" spans="1:12" ht="57" x14ac:dyDescent="0.2">
      <c r="A441" s="10">
        <f>IF(B441="","",_xlfn.AGGREGATE(3,5,$B$7:B441))</f>
        <v>435</v>
      </c>
      <c r="B441" s="6" t="s">
        <v>784</v>
      </c>
      <c r="C441" s="8" t="s">
        <v>952</v>
      </c>
      <c r="D441" s="7">
        <v>46014</v>
      </c>
      <c r="E441" s="86" t="s">
        <v>964</v>
      </c>
      <c r="F441" s="10" t="s">
        <v>39</v>
      </c>
      <c r="G441" s="10" t="s">
        <v>24</v>
      </c>
      <c r="H441" s="10"/>
      <c r="I441" s="10"/>
      <c r="J441" s="10"/>
      <c r="K441" s="31">
        <v>472</v>
      </c>
      <c r="L441" s="68"/>
    </row>
    <row r="442" spans="1:12" ht="42.75" x14ac:dyDescent="0.2">
      <c r="A442" s="10">
        <f>IF(B442="","",_xlfn.AGGREGATE(3,5,$B$7:B442))</f>
        <v>436</v>
      </c>
      <c r="B442" s="6" t="s">
        <v>786</v>
      </c>
      <c r="C442" s="8" t="s">
        <v>953</v>
      </c>
      <c r="D442" s="7">
        <v>46014</v>
      </c>
      <c r="E442" s="86" t="s">
        <v>965</v>
      </c>
      <c r="F442" s="10" t="s">
        <v>39</v>
      </c>
      <c r="G442" s="10" t="s">
        <v>24</v>
      </c>
      <c r="H442" s="10"/>
      <c r="I442" s="10"/>
      <c r="J442" s="10"/>
      <c r="K442" s="31">
        <v>473</v>
      </c>
      <c r="L442" s="68"/>
    </row>
    <row r="443" spans="1:12" ht="57" x14ac:dyDescent="0.2">
      <c r="A443" s="10">
        <f>IF(B443="","",_xlfn.AGGREGATE(3,5,$B$7:B443))</f>
        <v>437</v>
      </c>
      <c r="B443" s="6" t="s">
        <v>785</v>
      </c>
      <c r="C443" s="8" t="s">
        <v>954</v>
      </c>
      <c r="D443" s="7">
        <v>46014</v>
      </c>
      <c r="E443" s="86" t="s">
        <v>964</v>
      </c>
      <c r="F443" s="10" t="s">
        <v>39</v>
      </c>
      <c r="G443" s="10" t="s">
        <v>24</v>
      </c>
      <c r="H443" s="10"/>
      <c r="I443" s="10"/>
      <c r="J443" s="10"/>
      <c r="K443" s="31">
        <v>471</v>
      </c>
      <c r="L443" s="68"/>
    </row>
    <row r="444" spans="1:12" ht="57" x14ac:dyDescent="0.2">
      <c r="A444" s="10">
        <f>IF(B444="","",_xlfn.AGGREGATE(3,5,$B$7:B444))</f>
        <v>438</v>
      </c>
      <c r="B444" s="6" t="s">
        <v>6</v>
      </c>
      <c r="C444" s="8" t="s">
        <v>955</v>
      </c>
      <c r="D444" s="7">
        <v>46014</v>
      </c>
      <c r="E444" s="86" t="s">
        <v>957</v>
      </c>
      <c r="F444" s="10" t="s">
        <v>20</v>
      </c>
      <c r="G444" s="10"/>
      <c r="H444" s="10" t="s">
        <v>24</v>
      </c>
      <c r="I444" s="10"/>
      <c r="J444" s="10"/>
      <c r="K444" s="31">
        <v>370</v>
      </c>
      <c r="L444" s="68"/>
    </row>
    <row r="445" spans="1:12" ht="42.75" x14ac:dyDescent="0.2">
      <c r="A445" s="10">
        <f>IF(B445="","",_xlfn.AGGREGATE(3,5,$B$7:B445))</f>
        <v>439</v>
      </c>
      <c r="B445" s="6" t="s">
        <v>410</v>
      </c>
      <c r="C445" s="8" t="s">
        <v>956</v>
      </c>
      <c r="D445" s="7">
        <v>46014</v>
      </c>
      <c r="E445" s="86" t="s">
        <v>958</v>
      </c>
      <c r="F445" s="10" t="s">
        <v>20</v>
      </c>
      <c r="G445" s="10"/>
      <c r="H445" s="10" t="s">
        <v>24</v>
      </c>
      <c r="I445" s="10"/>
      <c r="J445" s="10"/>
      <c r="K445" s="31">
        <v>376</v>
      </c>
      <c r="L445" s="68"/>
    </row>
    <row r="446" spans="1:12" ht="85.5" x14ac:dyDescent="0.25">
      <c r="A446" s="10">
        <f>IF(B446="","",_xlfn.AGGREGATE(3,5,$B$7:B446))</f>
        <v>440</v>
      </c>
      <c r="B446" s="6" t="s">
        <v>960</v>
      </c>
      <c r="C446" s="8" t="s">
        <v>959</v>
      </c>
      <c r="D446" s="7">
        <v>46014</v>
      </c>
      <c r="E446" s="6" t="s">
        <v>966</v>
      </c>
      <c r="F446" s="10" t="s">
        <v>20</v>
      </c>
      <c r="G446" s="10"/>
      <c r="H446" s="10"/>
      <c r="I446" s="10"/>
      <c r="J446" s="10" t="s">
        <v>24</v>
      </c>
      <c r="K446" s="31">
        <v>83</v>
      </c>
      <c r="L446" s="68"/>
    </row>
    <row r="447" spans="1:12" ht="39.6" customHeight="1" x14ac:dyDescent="0.25">
      <c r="A447" s="10">
        <f>IF(B447="","",_xlfn.AGGREGATE(3,5,$B$7:B447))</f>
        <v>441</v>
      </c>
      <c r="B447" s="6" t="s">
        <v>738</v>
      </c>
      <c r="C447" s="8" t="s">
        <v>961</v>
      </c>
      <c r="D447" s="7">
        <v>46014</v>
      </c>
      <c r="E447" s="6" t="s">
        <v>969</v>
      </c>
      <c r="F447" s="10" t="s">
        <v>20</v>
      </c>
      <c r="G447" s="10"/>
      <c r="H447" s="10"/>
      <c r="I447" s="10"/>
      <c r="J447" s="10" t="s">
        <v>24</v>
      </c>
      <c r="K447" s="31">
        <v>465</v>
      </c>
      <c r="L447" s="68"/>
    </row>
    <row r="448" spans="1:12" ht="85.5" x14ac:dyDescent="0.25">
      <c r="A448" s="10">
        <f>IF(B448="","",_xlfn.AGGREGATE(3,5,$B$7:B448))</f>
        <v>442</v>
      </c>
      <c r="B448" s="6" t="s">
        <v>962</v>
      </c>
      <c r="C448" s="8" t="s">
        <v>963</v>
      </c>
      <c r="D448" s="7">
        <v>46015</v>
      </c>
      <c r="E448" s="6" t="s">
        <v>967</v>
      </c>
      <c r="F448" s="10" t="s">
        <v>20</v>
      </c>
      <c r="G448" s="10"/>
      <c r="H448" s="10"/>
      <c r="I448" s="10"/>
      <c r="J448" s="10" t="s">
        <v>23</v>
      </c>
      <c r="K448" s="31">
        <v>391</v>
      </c>
      <c r="L448" s="68"/>
    </row>
    <row r="449" spans="1:12" ht="65.45" customHeight="1" x14ac:dyDescent="0.25">
      <c r="A449" s="10">
        <f>IF(B449="","",_xlfn.AGGREGATE(3,5,$B$7:B449))</f>
        <v>443</v>
      </c>
      <c r="B449" s="6" t="s">
        <v>971</v>
      </c>
      <c r="C449" s="8" t="s">
        <v>968</v>
      </c>
      <c r="D449" s="7">
        <v>46015</v>
      </c>
      <c r="E449" s="6" t="s">
        <v>970</v>
      </c>
      <c r="F449" s="10" t="s">
        <v>20</v>
      </c>
      <c r="G449" s="10"/>
      <c r="H449" s="10"/>
      <c r="I449" s="10"/>
      <c r="J449" s="10" t="s">
        <v>24</v>
      </c>
      <c r="K449" s="31">
        <v>361</v>
      </c>
      <c r="L449" s="68"/>
    </row>
    <row r="450" spans="1:12" ht="25.15" customHeight="1" x14ac:dyDescent="0.2">
      <c r="A450" s="10">
        <f>IF(B450="","",_xlfn.AGGREGATE(3,5,$B$7:B450))</f>
        <v>444</v>
      </c>
      <c r="B450" s="66" t="s">
        <v>973</v>
      </c>
      <c r="C450" s="8" t="s">
        <v>972</v>
      </c>
      <c r="D450" s="7">
        <v>46021</v>
      </c>
      <c r="E450" s="6" t="s">
        <v>974</v>
      </c>
      <c r="F450" s="10" t="s">
        <v>34</v>
      </c>
      <c r="G450" s="10"/>
      <c r="H450" s="10"/>
      <c r="I450" s="10" t="s">
        <v>24</v>
      </c>
      <c r="J450" s="10"/>
      <c r="K450" s="31">
        <v>483</v>
      </c>
      <c r="L450" s="68"/>
    </row>
    <row r="451" spans="1:12" ht="85.5" x14ac:dyDescent="0.25">
      <c r="A451" s="10">
        <f>IF(B451="","",_xlfn.AGGREGATE(3,5,$B$7:B451))</f>
        <v>445</v>
      </c>
      <c r="B451" s="88" t="s">
        <v>981</v>
      </c>
      <c r="C451" s="8" t="s">
        <v>975</v>
      </c>
      <c r="D451" s="7">
        <v>46021</v>
      </c>
      <c r="E451" s="6" t="s">
        <v>982</v>
      </c>
      <c r="F451" s="10" t="s">
        <v>34</v>
      </c>
      <c r="G451" s="10"/>
      <c r="H451" s="10"/>
      <c r="I451" s="10" t="s">
        <v>24</v>
      </c>
      <c r="J451" s="10"/>
      <c r="K451" s="31">
        <v>178</v>
      </c>
      <c r="L451" s="68"/>
    </row>
    <row r="452" spans="1:12" ht="27.6" customHeight="1" x14ac:dyDescent="0.2">
      <c r="A452" s="10">
        <f>IF(B452="","",_xlfn.AGGREGATE(3,5,$B$7:B452))</f>
        <v>446</v>
      </c>
      <c r="B452" s="6" t="s">
        <v>768</v>
      </c>
      <c r="C452" s="8" t="s">
        <v>976</v>
      </c>
      <c r="D452" s="87">
        <v>46017</v>
      </c>
      <c r="E452" s="66" t="s">
        <v>924</v>
      </c>
      <c r="F452" s="10" t="s">
        <v>38</v>
      </c>
      <c r="G452" s="10"/>
      <c r="H452" s="10"/>
      <c r="I452" s="10" t="s">
        <v>24</v>
      </c>
      <c r="J452" s="10"/>
      <c r="K452" s="31">
        <v>308</v>
      </c>
      <c r="L452" s="68"/>
    </row>
    <row r="453" spans="1:12" ht="42.75" x14ac:dyDescent="0.25">
      <c r="A453" s="10">
        <f>IF(B453="","",_xlfn.AGGREGATE(3,5,$B$7:B453))</f>
        <v>447</v>
      </c>
      <c r="B453" s="6" t="s">
        <v>609</v>
      </c>
      <c r="C453" s="8" t="s">
        <v>977</v>
      </c>
      <c r="D453" s="87">
        <v>46017</v>
      </c>
      <c r="E453" s="6" t="s">
        <v>978</v>
      </c>
      <c r="F453" s="10" t="s">
        <v>38</v>
      </c>
      <c r="G453" s="10"/>
      <c r="H453" s="10"/>
      <c r="I453" s="10" t="s">
        <v>24</v>
      </c>
      <c r="J453" s="10"/>
      <c r="K453" s="31">
        <v>368</v>
      </c>
      <c r="L453" s="68"/>
    </row>
    <row r="454" spans="1:12" ht="28.5" x14ac:dyDescent="0.25">
      <c r="A454" s="10">
        <f>IF(B454="","",_xlfn.AGGREGATE(3,5,$B$7:B454))</f>
        <v>448</v>
      </c>
      <c r="B454" s="6" t="s">
        <v>979</v>
      </c>
      <c r="C454" s="8" t="s">
        <v>980</v>
      </c>
      <c r="D454" s="7">
        <v>46021</v>
      </c>
      <c r="E454" s="26" t="s">
        <v>902</v>
      </c>
      <c r="F454" s="10" t="s">
        <v>20</v>
      </c>
      <c r="G454" s="10" t="s">
        <v>23</v>
      </c>
      <c r="H454" s="10"/>
      <c r="I454" s="10"/>
      <c r="J454" s="10"/>
      <c r="K454" s="31">
        <v>346</v>
      </c>
      <c r="L454" s="68"/>
    </row>
    <row r="455" spans="1:12" ht="28.5" x14ac:dyDescent="0.25">
      <c r="A455" s="10">
        <f>IF(B455="","",_xlfn.AGGREGATE(3,5,$B$7:B455))</f>
        <v>449</v>
      </c>
      <c r="B455" s="6" t="s">
        <v>984</v>
      </c>
      <c r="C455" s="8" t="s">
        <v>983</v>
      </c>
      <c r="D455" s="7">
        <v>46021</v>
      </c>
      <c r="E455" s="26" t="s">
        <v>1037</v>
      </c>
      <c r="F455" s="10" t="s">
        <v>20</v>
      </c>
      <c r="G455" s="10" t="s">
        <v>24</v>
      </c>
      <c r="H455" s="10"/>
      <c r="I455" s="10"/>
      <c r="J455" s="10"/>
      <c r="K455" s="31">
        <v>346</v>
      </c>
      <c r="L455" s="68"/>
    </row>
    <row r="456" spans="1:12" ht="28.5" x14ac:dyDescent="0.25">
      <c r="A456" s="10">
        <f>IF(B456="","",_xlfn.AGGREGATE(3,5,$B$7:B456))</f>
        <v>450</v>
      </c>
      <c r="B456" s="6" t="s">
        <v>985</v>
      </c>
      <c r="C456" s="8" t="s">
        <v>986</v>
      </c>
      <c r="D456" s="7">
        <v>46021</v>
      </c>
      <c r="E456" s="26" t="s">
        <v>1037</v>
      </c>
      <c r="F456" s="10" t="s">
        <v>20</v>
      </c>
      <c r="G456" s="10" t="s">
        <v>24</v>
      </c>
      <c r="H456" s="10"/>
      <c r="I456" s="10"/>
      <c r="J456" s="10"/>
      <c r="K456" s="31">
        <v>346</v>
      </c>
      <c r="L456" s="68"/>
    </row>
    <row r="457" spans="1:12" ht="28.5" x14ac:dyDescent="0.25">
      <c r="A457" s="10">
        <f>IF(B457="","",_xlfn.AGGREGATE(3,5,$B$7:B457))</f>
        <v>451</v>
      </c>
      <c r="B457" s="6" t="s">
        <v>987</v>
      </c>
      <c r="C457" s="8" t="s">
        <v>988</v>
      </c>
      <c r="D457" s="7">
        <v>46021</v>
      </c>
      <c r="E457" s="26" t="s">
        <v>1037</v>
      </c>
      <c r="F457" s="10" t="s">
        <v>20</v>
      </c>
      <c r="G457" s="10" t="s">
        <v>24</v>
      </c>
      <c r="H457" s="10"/>
      <c r="I457" s="10"/>
      <c r="J457" s="10"/>
      <c r="K457" s="31">
        <v>346</v>
      </c>
      <c r="L457" s="68"/>
    </row>
    <row r="458" spans="1:12" ht="28.5" x14ac:dyDescent="0.25">
      <c r="A458" s="10">
        <f>IF(B458="","",_xlfn.AGGREGATE(3,5,$B$7:B458))</f>
        <v>452</v>
      </c>
      <c r="B458" s="6" t="s">
        <v>989</v>
      </c>
      <c r="C458" s="8" t="s">
        <v>990</v>
      </c>
      <c r="D458" s="7">
        <v>46021</v>
      </c>
      <c r="E458" s="26" t="s">
        <v>1037</v>
      </c>
      <c r="F458" s="10" t="s">
        <v>20</v>
      </c>
      <c r="G458" s="10" t="s">
        <v>24</v>
      </c>
      <c r="H458" s="10"/>
      <c r="I458" s="10"/>
      <c r="J458" s="10"/>
      <c r="K458" s="31">
        <v>346</v>
      </c>
      <c r="L458" s="68"/>
    </row>
    <row r="459" spans="1:12" ht="42.75" x14ac:dyDescent="0.25">
      <c r="A459" s="10">
        <f>IF(B459="","",_xlfn.AGGREGATE(3,5,$B$7:B459))</f>
        <v>453</v>
      </c>
      <c r="B459" s="6" t="s">
        <v>41</v>
      </c>
      <c r="C459" s="8" t="s">
        <v>992</v>
      </c>
      <c r="D459" s="7">
        <v>46029</v>
      </c>
      <c r="E459" s="6" t="s">
        <v>997</v>
      </c>
      <c r="F459" s="10" t="s">
        <v>20</v>
      </c>
      <c r="G459" s="10"/>
      <c r="H459" s="10"/>
      <c r="I459" s="10"/>
      <c r="J459" s="10" t="s">
        <v>24</v>
      </c>
      <c r="K459" s="31">
        <v>360</v>
      </c>
      <c r="L459" s="68"/>
    </row>
    <row r="460" spans="1:12" ht="27.6" customHeight="1" x14ac:dyDescent="0.25">
      <c r="A460" s="10">
        <f>IF(B460="","",_xlfn.AGGREGATE(3,5,$B$7:B460))</f>
        <v>454</v>
      </c>
      <c r="B460" s="6" t="s">
        <v>993</v>
      </c>
      <c r="C460" s="8" t="s">
        <v>994</v>
      </c>
      <c r="D460" s="7">
        <v>46029</v>
      </c>
      <c r="E460" s="6" t="s">
        <v>30</v>
      </c>
      <c r="F460" s="10" t="s">
        <v>20</v>
      </c>
      <c r="G460" s="10"/>
      <c r="H460" s="10"/>
      <c r="I460" s="10"/>
      <c r="J460" s="10" t="s">
        <v>24</v>
      </c>
      <c r="K460" s="31">
        <v>484</v>
      </c>
      <c r="L460" s="68"/>
    </row>
    <row r="461" spans="1:12" ht="30" x14ac:dyDescent="0.2">
      <c r="A461" s="10">
        <f>IF(B461="","",_xlfn.AGGREGATE(3,5,$B$7:B461))</f>
        <v>455</v>
      </c>
      <c r="B461" s="6" t="s">
        <v>996</v>
      </c>
      <c r="C461" s="8" t="s">
        <v>995</v>
      </c>
      <c r="D461" s="7">
        <v>46029</v>
      </c>
      <c r="E461" s="91" t="s">
        <v>998</v>
      </c>
      <c r="F461" s="10" t="s">
        <v>20</v>
      </c>
      <c r="G461" s="10"/>
      <c r="H461" s="10"/>
      <c r="I461" s="10"/>
      <c r="J461" s="10" t="s">
        <v>24</v>
      </c>
      <c r="K461" s="31">
        <v>299</v>
      </c>
      <c r="L461" s="68"/>
    </row>
    <row r="462" spans="1:12" ht="99.75" x14ac:dyDescent="0.25">
      <c r="A462" s="10">
        <f>IF(B462="","",_xlfn.AGGREGATE(3,5,$B$7:B462))</f>
        <v>456</v>
      </c>
      <c r="B462" s="13" t="s">
        <v>1000</v>
      </c>
      <c r="C462" s="8" t="s">
        <v>999</v>
      </c>
      <c r="D462" s="7">
        <v>46029</v>
      </c>
      <c r="E462" s="6" t="s">
        <v>1001</v>
      </c>
      <c r="F462" s="10" t="s">
        <v>20</v>
      </c>
      <c r="G462" s="10"/>
      <c r="H462" s="10"/>
      <c r="I462" s="10"/>
      <c r="J462" s="10" t="s">
        <v>24</v>
      </c>
      <c r="K462" s="31">
        <v>477</v>
      </c>
      <c r="L462" s="68"/>
    </row>
    <row r="463" spans="1:12" ht="85.5" x14ac:dyDescent="0.25">
      <c r="A463" s="10">
        <f>IF(B463="","",_xlfn.AGGREGATE(3,5,$B$7:B463))</f>
        <v>457</v>
      </c>
      <c r="B463" s="6" t="s">
        <v>1003</v>
      </c>
      <c r="C463" s="8" t="s">
        <v>1002</v>
      </c>
      <c r="D463" s="7">
        <v>46029</v>
      </c>
      <c r="E463" s="6" t="s">
        <v>1039</v>
      </c>
      <c r="F463" s="10" t="s">
        <v>20</v>
      </c>
      <c r="G463" s="10"/>
      <c r="H463" s="10"/>
      <c r="I463" s="10"/>
      <c r="J463" s="10" t="s">
        <v>24</v>
      </c>
      <c r="K463" s="31">
        <v>305</v>
      </c>
      <c r="L463" s="68"/>
    </row>
    <row r="464" spans="1:12" ht="28.5" x14ac:dyDescent="0.25">
      <c r="A464" s="10">
        <f>IF(B464="","",_xlfn.AGGREGATE(3,5,$B$7:B464))</f>
        <v>458</v>
      </c>
      <c r="B464" s="6" t="s">
        <v>1005</v>
      </c>
      <c r="C464" s="8" t="s">
        <v>1004</v>
      </c>
      <c r="D464" s="7">
        <v>46029</v>
      </c>
      <c r="E464" s="6" t="s">
        <v>1006</v>
      </c>
      <c r="F464" s="10" t="s">
        <v>20</v>
      </c>
      <c r="G464" s="10"/>
      <c r="H464" s="10"/>
      <c r="I464" s="10"/>
      <c r="J464" s="10" t="s">
        <v>23</v>
      </c>
      <c r="K464" s="31">
        <v>95</v>
      </c>
      <c r="L464" s="68"/>
    </row>
    <row r="465" spans="1:12" ht="28.5" x14ac:dyDescent="0.25">
      <c r="A465" s="10">
        <f>IF(B465="","",_xlfn.AGGREGATE(3,5,$B$7:B465))</f>
        <v>459</v>
      </c>
      <c r="B465" s="6" t="s">
        <v>1008</v>
      </c>
      <c r="C465" s="8" t="s">
        <v>1007</v>
      </c>
      <c r="D465" s="7">
        <v>46029</v>
      </c>
      <c r="E465" s="6" t="s">
        <v>1009</v>
      </c>
      <c r="F465" s="10" t="s">
        <v>20</v>
      </c>
      <c r="G465" s="10"/>
      <c r="H465" s="10"/>
      <c r="I465" s="10"/>
      <c r="J465" s="10" t="s">
        <v>24</v>
      </c>
      <c r="K465" s="31">
        <v>168</v>
      </c>
      <c r="L465" s="68"/>
    </row>
    <row r="466" spans="1:12" ht="42.75" x14ac:dyDescent="0.25">
      <c r="A466" s="10">
        <f>IF(B466="","",_xlfn.AGGREGATE(3,5,$B$7:B466))</f>
        <v>460</v>
      </c>
      <c r="B466" s="6" t="s">
        <v>1011</v>
      </c>
      <c r="C466" s="8" t="s">
        <v>1010</v>
      </c>
      <c r="D466" s="7">
        <v>46029</v>
      </c>
      <c r="E466" s="6" t="s">
        <v>1012</v>
      </c>
      <c r="F466" s="10" t="s">
        <v>20</v>
      </c>
      <c r="G466" s="10"/>
      <c r="H466" s="10"/>
      <c r="I466" s="10"/>
      <c r="J466" s="10" t="s">
        <v>24</v>
      </c>
      <c r="K466" s="31">
        <v>294</v>
      </c>
      <c r="L466" s="68"/>
    </row>
    <row r="467" spans="1:12" ht="84" customHeight="1" x14ac:dyDescent="0.25">
      <c r="A467" s="10">
        <f>IF(B467="","",_xlfn.AGGREGATE(3,5,$B$7:B467))</f>
        <v>461</v>
      </c>
      <c r="B467" s="6" t="s">
        <v>92</v>
      </c>
      <c r="C467" s="8" t="s">
        <v>1013</v>
      </c>
      <c r="D467" s="7">
        <v>46037</v>
      </c>
      <c r="E467" s="6" t="s">
        <v>1014</v>
      </c>
      <c r="F467" s="10" t="s">
        <v>87</v>
      </c>
      <c r="G467" s="10"/>
      <c r="H467" s="10" t="s">
        <v>24</v>
      </c>
      <c r="I467" s="10"/>
      <c r="J467" s="10"/>
      <c r="K467" s="31">
        <v>11</v>
      </c>
      <c r="L467" s="68"/>
    </row>
    <row r="468" spans="1:12" ht="99.75" x14ac:dyDescent="0.25">
      <c r="A468" s="10">
        <f>IF(B468="","",_xlfn.AGGREGATE(3,5,$B$7:B468))</f>
        <v>462</v>
      </c>
      <c r="B468" s="6" t="s">
        <v>162</v>
      </c>
      <c r="C468" s="8" t="s">
        <v>1015</v>
      </c>
      <c r="D468" s="7">
        <v>46037</v>
      </c>
      <c r="E468" s="6" t="s">
        <v>1014</v>
      </c>
      <c r="F468" s="10" t="s">
        <v>87</v>
      </c>
      <c r="G468" s="10"/>
      <c r="H468" s="10" t="s">
        <v>23</v>
      </c>
      <c r="I468" s="10"/>
      <c r="J468" s="10"/>
      <c r="K468" s="31">
        <v>406</v>
      </c>
      <c r="L468" s="68"/>
    </row>
    <row r="469" spans="1:12" ht="28.5" x14ac:dyDescent="0.25">
      <c r="A469" s="10">
        <f>IF(B469="","",_xlfn.AGGREGATE(3,5,$B$7:B469))</f>
        <v>463</v>
      </c>
      <c r="B469" s="6" t="s">
        <v>88</v>
      </c>
      <c r="C469" s="8" t="s">
        <v>1017</v>
      </c>
      <c r="D469" s="92" t="s">
        <v>1016</v>
      </c>
      <c r="E469" s="6" t="s">
        <v>1018</v>
      </c>
      <c r="F469" s="10" t="s">
        <v>87</v>
      </c>
      <c r="G469" s="10"/>
      <c r="H469" s="10" t="s">
        <v>24</v>
      </c>
      <c r="I469" s="10"/>
      <c r="J469" s="10"/>
      <c r="K469" s="31">
        <v>1</v>
      </c>
      <c r="L469" s="68"/>
    </row>
    <row r="470" spans="1:12" ht="28.5" x14ac:dyDescent="0.25">
      <c r="A470" s="10">
        <f>IF(B470="","",_xlfn.AGGREGATE(3,5,$B$7:B470))</f>
        <v>464</v>
      </c>
      <c r="B470" s="6" t="s">
        <v>1020</v>
      </c>
      <c r="C470" s="8" t="s">
        <v>1019</v>
      </c>
      <c r="D470" s="92" t="s">
        <v>1016</v>
      </c>
      <c r="E470" s="6" t="s">
        <v>1018</v>
      </c>
      <c r="F470" s="10" t="s">
        <v>87</v>
      </c>
      <c r="G470" s="10"/>
      <c r="H470" s="10" t="s">
        <v>24</v>
      </c>
      <c r="I470" s="10"/>
      <c r="J470" s="10"/>
      <c r="K470" s="31">
        <v>414</v>
      </c>
      <c r="L470" s="68"/>
    </row>
    <row r="471" spans="1:12" ht="28.5" x14ac:dyDescent="0.25">
      <c r="A471" s="10">
        <f>IF(B471="","",_xlfn.AGGREGATE(3,5,$B$7:B471))</f>
        <v>465</v>
      </c>
      <c r="B471" s="53" t="s">
        <v>186</v>
      </c>
      <c r="C471" s="8" t="s">
        <v>1021</v>
      </c>
      <c r="D471" s="92" t="s">
        <v>1016</v>
      </c>
      <c r="E471" s="6" t="s">
        <v>1018</v>
      </c>
      <c r="F471" s="10" t="s">
        <v>87</v>
      </c>
      <c r="G471" s="10"/>
      <c r="H471" s="10" t="s">
        <v>23</v>
      </c>
      <c r="I471" s="10"/>
      <c r="J471" s="10"/>
      <c r="K471" s="31">
        <v>2</v>
      </c>
      <c r="L471" s="68"/>
    </row>
    <row r="472" spans="1:12" ht="28.5" x14ac:dyDescent="0.25">
      <c r="A472" s="10">
        <f>IF(B472="","",_xlfn.AGGREGATE(3,5,$B$7:B472))</f>
        <v>466</v>
      </c>
      <c r="B472" s="4" t="s">
        <v>179</v>
      </c>
      <c r="C472" s="8" t="s">
        <v>1022</v>
      </c>
      <c r="D472" s="92" t="s">
        <v>1016</v>
      </c>
      <c r="E472" s="6" t="s">
        <v>1018</v>
      </c>
      <c r="F472" s="10" t="s">
        <v>87</v>
      </c>
      <c r="G472" s="10"/>
      <c r="H472" s="10" t="s">
        <v>24</v>
      </c>
      <c r="I472" s="10"/>
      <c r="J472" s="10"/>
      <c r="K472" s="31">
        <v>415</v>
      </c>
      <c r="L472" s="68"/>
    </row>
    <row r="473" spans="1:12" ht="28.5" x14ac:dyDescent="0.25">
      <c r="A473" s="10">
        <f>IF(B473="","",_xlfn.AGGREGATE(3,5,$B$7:B473))</f>
        <v>467</v>
      </c>
      <c r="B473" s="6" t="s">
        <v>1023</v>
      </c>
      <c r="C473" s="8" t="s">
        <v>1024</v>
      </c>
      <c r="D473" s="7">
        <v>46097</v>
      </c>
      <c r="E473" s="6" t="s">
        <v>1018</v>
      </c>
      <c r="F473" s="10" t="s">
        <v>87</v>
      </c>
      <c r="G473" s="10"/>
      <c r="H473" s="10" t="s">
        <v>24</v>
      </c>
      <c r="I473" s="10"/>
      <c r="J473" s="10"/>
      <c r="K473" s="31">
        <v>408</v>
      </c>
      <c r="L473" s="68"/>
    </row>
    <row r="474" spans="1:12" ht="28.5" x14ac:dyDescent="0.25">
      <c r="A474" s="10">
        <f>IF(B474="","",_xlfn.AGGREGATE(3,5,$B$7:B474))</f>
        <v>468</v>
      </c>
      <c r="B474" s="6" t="s">
        <v>94</v>
      </c>
      <c r="C474" s="8" t="s">
        <v>1025</v>
      </c>
      <c r="D474" s="7">
        <v>46106</v>
      </c>
      <c r="E474" s="6" t="s">
        <v>1018</v>
      </c>
      <c r="F474" s="10" t="s">
        <v>87</v>
      </c>
      <c r="G474" s="10"/>
      <c r="H474" s="10" t="s">
        <v>24</v>
      </c>
      <c r="I474" s="10"/>
      <c r="J474" s="10"/>
      <c r="K474" s="31">
        <v>4</v>
      </c>
      <c r="L474" s="68"/>
    </row>
    <row r="475" spans="1:12" ht="28.5" x14ac:dyDescent="0.25">
      <c r="A475" s="10">
        <f>IF(B475="","",_xlfn.AGGREGATE(3,5,$B$7:B475))</f>
        <v>469</v>
      </c>
      <c r="B475" s="6" t="s">
        <v>163</v>
      </c>
      <c r="C475" s="8" t="s">
        <v>1026</v>
      </c>
      <c r="D475" s="7">
        <v>46106</v>
      </c>
      <c r="E475" s="6" t="s">
        <v>1018</v>
      </c>
      <c r="F475" s="10" t="s">
        <v>87</v>
      </c>
      <c r="G475" s="10"/>
      <c r="H475" s="10" t="s">
        <v>23</v>
      </c>
      <c r="I475" s="10"/>
      <c r="J475" s="10"/>
      <c r="K475" s="31">
        <v>407</v>
      </c>
      <c r="L475" s="68"/>
    </row>
    <row r="476" spans="1:12" ht="28.5" x14ac:dyDescent="0.25">
      <c r="A476" s="10">
        <f>IF(B476="","",_xlfn.AGGREGATE(3,5,$B$7:B476))</f>
        <v>470</v>
      </c>
      <c r="B476" s="6" t="s">
        <v>194</v>
      </c>
      <c r="C476" s="8" t="s">
        <v>1027</v>
      </c>
      <c r="D476" s="92" t="s">
        <v>1016</v>
      </c>
      <c r="E476" s="6" t="s">
        <v>1028</v>
      </c>
      <c r="F476" s="10" t="s">
        <v>87</v>
      </c>
      <c r="G476" s="10"/>
      <c r="H476" s="10" t="s">
        <v>24</v>
      </c>
      <c r="I476" s="10"/>
      <c r="J476" s="10"/>
      <c r="K476" s="31">
        <v>418</v>
      </c>
      <c r="L476" s="68"/>
    </row>
    <row r="477" spans="1:12" ht="28.5" x14ac:dyDescent="0.25">
      <c r="A477" s="10">
        <f>IF(B477="","",_xlfn.AGGREGATE(3,5,$B$7:B477))</f>
        <v>471</v>
      </c>
      <c r="B477" s="6" t="s">
        <v>1030</v>
      </c>
      <c r="C477" s="8" t="s">
        <v>1029</v>
      </c>
      <c r="D477" s="7">
        <v>46038</v>
      </c>
      <c r="E477" s="26" t="s">
        <v>1037</v>
      </c>
      <c r="F477" s="10" t="s">
        <v>20</v>
      </c>
      <c r="G477" s="10" t="s">
        <v>23</v>
      </c>
      <c r="H477" s="10"/>
      <c r="I477" s="10"/>
      <c r="J477" s="10"/>
      <c r="K477" s="31">
        <v>346</v>
      </c>
      <c r="L477" s="68"/>
    </row>
    <row r="478" spans="1:12" ht="28.5" x14ac:dyDescent="0.25">
      <c r="A478" s="10">
        <f>IF(B478="","",_xlfn.AGGREGATE(3,5,$B$7:B478))</f>
        <v>472</v>
      </c>
      <c r="B478" s="6" t="s">
        <v>1034</v>
      </c>
      <c r="C478" s="8" t="s">
        <v>1032</v>
      </c>
      <c r="D478" s="7">
        <v>46038</v>
      </c>
      <c r="E478" s="26" t="s">
        <v>1037</v>
      </c>
      <c r="F478" s="10" t="s">
        <v>20</v>
      </c>
      <c r="G478" s="10" t="s">
        <v>23</v>
      </c>
      <c r="H478" s="10"/>
      <c r="I478" s="10"/>
      <c r="J478" s="10"/>
      <c r="K478" s="31">
        <v>347</v>
      </c>
      <c r="L478" s="68"/>
    </row>
    <row r="479" spans="1:12" ht="28.5" x14ac:dyDescent="0.25">
      <c r="A479" s="10">
        <f>IF(B479="","",_xlfn.AGGREGATE(3,5,$B$7:B479))</f>
        <v>473</v>
      </c>
      <c r="B479" s="6" t="s">
        <v>1033</v>
      </c>
      <c r="C479" s="8" t="s">
        <v>1031</v>
      </c>
      <c r="D479" s="7">
        <v>46038</v>
      </c>
      <c r="E479" s="26" t="s">
        <v>1037</v>
      </c>
      <c r="F479" s="10" t="s">
        <v>20</v>
      </c>
      <c r="G479" s="10" t="s">
        <v>23</v>
      </c>
      <c r="H479" s="10"/>
      <c r="I479" s="10"/>
      <c r="J479" s="10"/>
      <c r="K479" s="31">
        <v>348</v>
      </c>
      <c r="L479" s="68"/>
    </row>
    <row r="480" spans="1:12" ht="28.5" x14ac:dyDescent="0.25">
      <c r="A480" s="10">
        <f>IF(B480="","",_xlfn.AGGREGATE(3,5,$B$7:B480))</f>
        <v>474</v>
      </c>
      <c r="B480" s="6" t="s">
        <v>1036</v>
      </c>
      <c r="C480" s="8" t="s">
        <v>1035</v>
      </c>
      <c r="D480" s="7">
        <v>46038</v>
      </c>
      <c r="E480" s="26" t="s">
        <v>1037</v>
      </c>
      <c r="F480" s="10" t="s">
        <v>20</v>
      </c>
      <c r="G480" s="10" t="s">
        <v>23</v>
      </c>
      <c r="H480" s="10"/>
      <c r="I480" s="10"/>
      <c r="J480" s="10"/>
      <c r="K480" s="31">
        <v>349</v>
      </c>
      <c r="L480" s="68"/>
    </row>
    <row r="481" spans="1:12" ht="55.15" customHeight="1" x14ac:dyDescent="0.25">
      <c r="A481" s="10">
        <f>IF(B481="","",_xlfn.AGGREGATE(3,5,$B$7:B481))</f>
        <v>475</v>
      </c>
      <c r="B481" s="6" t="s">
        <v>1003</v>
      </c>
      <c r="C481" s="8" t="s">
        <v>1038</v>
      </c>
      <c r="D481" s="7">
        <v>46041</v>
      </c>
      <c r="E481" s="14" t="s">
        <v>1040</v>
      </c>
      <c r="F481" s="10"/>
      <c r="G481" s="10"/>
      <c r="H481" s="10"/>
      <c r="I481" s="10"/>
      <c r="J481" s="10"/>
      <c r="K481" s="31"/>
      <c r="L481" s="68"/>
    </row>
    <row r="482" spans="1:12" ht="25.15" customHeight="1" x14ac:dyDescent="0.25">
      <c r="A482" s="10">
        <f>IF(B482="","",_xlfn.AGGREGATE(3,5,$B$7:B482))</f>
        <v>476</v>
      </c>
      <c r="B482" s="6" t="s">
        <v>1042</v>
      </c>
      <c r="C482" s="8" t="s">
        <v>1041</v>
      </c>
      <c r="D482" s="7">
        <v>46041</v>
      </c>
      <c r="E482" s="6" t="s">
        <v>1136</v>
      </c>
      <c r="F482" s="10" t="s">
        <v>20</v>
      </c>
      <c r="G482" s="10"/>
      <c r="H482" s="10"/>
      <c r="I482" s="10"/>
      <c r="J482" s="10" t="s">
        <v>24</v>
      </c>
      <c r="K482" s="31">
        <v>270</v>
      </c>
      <c r="L482" s="68"/>
    </row>
    <row r="483" spans="1:12" ht="28.5" x14ac:dyDescent="0.25">
      <c r="A483" s="10">
        <f>IF(B483="","",_xlfn.AGGREGATE(3,5,$B$7:B483))</f>
        <v>477</v>
      </c>
      <c r="B483" s="6" t="s">
        <v>90</v>
      </c>
      <c r="C483" s="8" t="s">
        <v>1043</v>
      </c>
      <c r="D483" s="7">
        <v>46045</v>
      </c>
      <c r="E483" s="6" t="s">
        <v>1028</v>
      </c>
      <c r="F483" s="10" t="s">
        <v>87</v>
      </c>
      <c r="G483" s="10"/>
      <c r="H483" s="10" t="s">
        <v>24</v>
      </c>
      <c r="I483" s="10"/>
      <c r="J483" s="10"/>
      <c r="K483" s="31">
        <v>10</v>
      </c>
      <c r="L483" s="68"/>
    </row>
    <row r="484" spans="1:12" ht="28.5" x14ac:dyDescent="0.25">
      <c r="A484" s="10">
        <f>IF(B484="","",_xlfn.AGGREGATE(3,5,$B$7:B484))</f>
        <v>478</v>
      </c>
      <c r="B484" s="6" t="s">
        <v>161</v>
      </c>
      <c r="C484" s="8" t="s">
        <v>1044</v>
      </c>
      <c r="D484" s="7">
        <v>46045</v>
      </c>
      <c r="E484" s="6" t="s">
        <v>1028</v>
      </c>
      <c r="F484" s="10" t="s">
        <v>87</v>
      </c>
      <c r="G484" s="10"/>
      <c r="H484" s="10" t="s">
        <v>24</v>
      </c>
      <c r="I484" s="10"/>
      <c r="J484" s="10"/>
      <c r="K484" s="31">
        <v>10</v>
      </c>
      <c r="L484" s="68"/>
    </row>
    <row r="485" spans="1:12" ht="28.5" x14ac:dyDescent="0.25">
      <c r="A485" s="10">
        <f>IF(B485="","",_xlfn.AGGREGATE(3,5,$B$7:B485))</f>
        <v>479</v>
      </c>
      <c r="B485" s="6" t="s">
        <v>1046</v>
      </c>
      <c r="C485" s="8" t="s">
        <v>1045</v>
      </c>
      <c r="D485" s="7">
        <v>45979</v>
      </c>
      <c r="E485" s="6" t="s">
        <v>1047</v>
      </c>
      <c r="F485" s="10" t="s">
        <v>20</v>
      </c>
      <c r="G485" s="10" t="s">
        <v>24</v>
      </c>
      <c r="H485" s="10"/>
      <c r="I485" s="10"/>
      <c r="J485" s="10"/>
      <c r="K485" s="31">
        <v>351</v>
      </c>
      <c r="L485" s="68"/>
    </row>
    <row r="486" spans="1:12" ht="28.5" x14ac:dyDescent="0.25">
      <c r="A486" s="10">
        <f>IF(B486="","",_xlfn.AGGREGATE(3,5,$B$7:B486))</f>
        <v>480</v>
      </c>
      <c r="B486" s="6" t="s">
        <v>1048</v>
      </c>
      <c r="C486" s="8" t="s">
        <v>1049</v>
      </c>
      <c r="D486" s="7">
        <v>45979</v>
      </c>
      <c r="E486" s="6" t="s">
        <v>1050</v>
      </c>
      <c r="F486" s="10" t="s">
        <v>20</v>
      </c>
      <c r="G486" s="10" t="s">
        <v>24</v>
      </c>
      <c r="H486" s="10"/>
      <c r="I486" s="10"/>
      <c r="J486" s="10"/>
      <c r="K486" s="31">
        <v>352</v>
      </c>
      <c r="L486" s="68"/>
    </row>
    <row r="487" spans="1:12" ht="23.45" customHeight="1" x14ac:dyDescent="0.25">
      <c r="A487" s="10">
        <f>IF(B487="","",_xlfn.AGGREGATE(3,5,$B$7:B487))</f>
        <v>481</v>
      </c>
      <c r="B487" s="6" t="s">
        <v>1052</v>
      </c>
      <c r="C487" s="8" t="s">
        <v>1051</v>
      </c>
      <c r="D487" s="7">
        <v>46051</v>
      </c>
      <c r="E487" s="6" t="s">
        <v>30</v>
      </c>
      <c r="F487" s="10" t="s">
        <v>87</v>
      </c>
      <c r="G487" s="10"/>
      <c r="H487" s="10" t="s">
        <v>24</v>
      </c>
      <c r="I487" s="10"/>
      <c r="J487" s="10"/>
      <c r="K487" s="31">
        <v>485</v>
      </c>
      <c r="L487" s="68"/>
    </row>
    <row r="488" spans="1:12" ht="25.15" customHeight="1" x14ac:dyDescent="0.25">
      <c r="A488" s="10">
        <f>IF(B488="","",_xlfn.AGGREGATE(3,5,$B$7:B488))</f>
        <v>482</v>
      </c>
      <c r="B488" s="6" t="s">
        <v>1054</v>
      </c>
      <c r="C488" s="8" t="s">
        <v>1053</v>
      </c>
      <c r="D488" s="7">
        <v>46051</v>
      </c>
      <c r="E488" s="6" t="s">
        <v>1067</v>
      </c>
      <c r="F488" s="10" t="s">
        <v>20</v>
      </c>
      <c r="G488" s="10"/>
      <c r="H488" s="10"/>
      <c r="I488" s="10"/>
      <c r="J488" s="10" t="s">
        <v>24</v>
      </c>
      <c r="K488" s="31">
        <v>94</v>
      </c>
      <c r="L488" s="68"/>
    </row>
    <row r="489" spans="1:12" ht="28.5" x14ac:dyDescent="0.25">
      <c r="A489" s="10">
        <f>IF(B489="","",_xlfn.AGGREGATE(3,5,$B$7:B489))</f>
        <v>483</v>
      </c>
      <c r="B489" s="6" t="s">
        <v>1056</v>
      </c>
      <c r="C489" s="8" t="s">
        <v>1055</v>
      </c>
      <c r="D489" s="7">
        <v>46051</v>
      </c>
      <c r="E489" s="6" t="s">
        <v>1066</v>
      </c>
      <c r="F489" s="10" t="s">
        <v>20</v>
      </c>
      <c r="G489" s="10"/>
      <c r="H489" s="10"/>
      <c r="I489" s="10"/>
      <c r="J489" s="10" t="s">
        <v>24</v>
      </c>
      <c r="K489" s="31">
        <v>112</v>
      </c>
      <c r="L489" s="68"/>
    </row>
    <row r="490" spans="1:12" ht="28.5" x14ac:dyDescent="0.25">
      <c r="A490" s="10">
        <f>IF(B490="","",_xlfn.AGGREGATE(3,5,$B$7:B490))</f>
        <v>484</v>
      </c>
      <c r="B490" s="6" t="s">
        <v>1058</v>
      </c>
      <c r="C490" s="8" t="s">
        <v>1057</v>
      </c>
      <c r="D490" s="7">
        <v>46051</v>
      </c>
      <c r="E490" s="6" t="s">
        <v>1065</v>
      </c>
      <c r="F490" s="10" t="s">
        <v>20</v>
      </c>
      <c r="G490" s="10"/>
      <c r="H490" s="10"/>
      <c r="I490" s="10"/>
      <c r="J490" s="10" t="s">
        <v>24</v>
      </c>
      <c r="K490" s="31">
        <v>180</v>
      </c>
      <c r="L490" s="68"/>
    </row>
    <row r="491" spans="1:12" ht="28.5" x14ac:dyDescent="0.25">
      <c r="A491" s="10">
        <f>IF(B491="","",_xlfn.AGGREGATE(3,5,$B$7:B491))</f>
        <v>485</v>
      </c>
      <c r="B491" s="6" t="s">
        <v>1060</v>
      </c>
      <c r="C491" s="8" t="s">
        <v>1059</v>
      </c>
      <c r="D491" s="7">
        <v>46051</v>
      </c>
      <c r="E491" s="6" t="s">
        <v>1064</v>
      </c>
      <c r="F491" s="10" t="s">
        <v>20</v>
      </c>
      <c r="G491" s="10"/>
      <c r="H491" s="10"/>
      <c r="I491" s="10"/>
      <c r="J491" s="10" t="s">
        <v>23</v>
      </c>
      <c r="K491" s="31">
        <v>191</v>
      </c>
      <c r="L491" s="68"/>
    </row>
    <row r="492" spans="1:12" ht="85.5" x14ac:dyDescent="0.25">
      <c r="A492" s="10">
        <f>IF(B492="","",_xlfn.AGGREGATE(3,5,$B$7:B492))</f>
        <v>486</v>
      </c>
      <c r="B492" s="6" t="s">
        <v>1062</v>
      </c>
      <c r="C492" s="8" t="s">
        <v>1061</v>
      </c>
      <c r="D492" s="7">
        <v>46051</v>
      </c>
      <c r="E492" s="6" t="s">
        <v>1063</v>
      </c>
      <c r="F492" s="10" t="s">
        <v>20</v>
      </c>
      <c r="G492" s="10"/>
      <c r="H492" s="10"/>
      <c r="I492" s="10"/>
      <c r="J492" s="10" t="s">
        <v>24</v>
      </c>
      <c r="K492" s="31">
        <v>252</v>
      </c>
      <c r="L492" s="68"/>
    </row>
    <row r="493" spans="1:12" ht="25.15" customHeight="1" x14ac:dyDescent="0.25">
      <c r="A493" s="10">
        <f>IF(B493="","",_xlfn.AGGREGATE(3,5,$B$7:B493))</f>
        <v>487</v>
      </c>
      <c r="B493" s="6" t="s">
        <v>1071</v>
      </c>
      <c r="C493" s="8" t="s">
        <v>1068</v>
      </c>
      <c r="D493" s="7">
        <v>46051</v>
      </c>
      <c r="E493" s="6" t="s">
        <v>30</v>
      </c>
      <c r="F493" s="10"/>
      <c r="G493" s="10"/>
      <c r="H493" s="10"/>
      <c r="I493" s="10"/>
      <c r="J493" s="10"/>
      <c r="K493" s="31">
        <v>486</v>
      </c>
      <c r="L493" s="68"/>
    </row>
    <row r="494" spans="1:12" ht="57" x14ac:dyDescent="0.25">
      <c r="A494" s="10">
        <f>IF(B494="","",_xlfn.AGGREGATE(3,5,$B$7:B494))</f>
        <v>488</v>
      </c>
      <c r="B494" s="6" t="s">
        <v>1070</v>
      </c>
      <c r="C494" s="8" t="s">
        <v>1069</v>
      </c>
      <c r="D494" s="7">
        <v>46051</v>
      </c>
      <c r="E494" s="6" t="s">
        <v>1072</v>
      </c>
      <c r="F494" s="10" t="s">
        <v>20</v>
      </c>
      <c r="G494" s="10"/>
      <c r="H494" s="10"/>
      <c r="I494" s="10"/>
      <c r="J494" s="10" t="s">
        <v>24</v>
      </c>
      <c r="K494" s="31">
        <v>392</v>
      </c>
      <c r="L494" s="68"/>
    </row>
    <row r="495" spans="1:12" ht="30.6" customHeight="1" x14ac:dyDescent="0.25">
      <c r="A495" s="10">
        <f>IF(B495="","",_xlfn.AGGREGATE(3,5,$B$7:B495))</f>
        <v>489</v>
      </c>
      <c r="B495" s="52" t="s">
        <v>107</v>
      </c>
      <c r="C495" s="8" t="s">
        <v>1073</v>
      </c>
      <c r="D495" s="7">
        <v>46056</v>
      </c>
      <c r="E495" s="6" t="s">
        <v>1028</v>
      </c>
      <c r="F495" s="10" t="s">
        <v>87</v>
      </c>
      <c r="G495" s="10"/>
      <c r="H495" s="10" t="s">
        <v>23</v>
      </c>
      <c r="I495" s="10"/>
      <c r="J495" s="10"/>
      <c r="K495" s="31">
        <v>276</v>
      </c>
      <c r="L495" s="68"/>
    </row>
    <row r="496" spans="1:12" ht="28.5" x14ac:dyDescent="0.25">
      <c r="A496" s="10">
        <f>IF(B496="","",_xlfn.AGGREGATE(3,5,$B$7:B496))</f>
        <v>490</v>
      </c>
      <c r="B496" s="6" t="s">
        <v>159</v>
      </c>
      <c r="C496" s="8" t="s">
        <v>1074</v>
      </c>
      <c r="D496" s="7">
        <v>46056</v>
      </c>
      <c r="E496" s="6" t="s">
        <v>1028</v>
      </c>
      <c r="F496" s="10" t="s">
        <v>87</v>
      </c>
      <c r="G496" s="10"/>
      <c r="H496" s="10" t="s">
        <v>24</v>
      </c>
      <c r="I496" s="10"/>
      <c r="J496" s="10"/>
      <c r="K496" s="31">
        <v>403</v>
      </c>
      <c r="L496" s="68"/>
    </row>
    <row r="497" spans="1:12" ht="57" x14ac:dyDescent="0.25">
      <c r="A497" s="10">
        <f>IF(B497="","",_xlfn.AGGREGATE(3,5,$B$7:B497))</f>
        <v>491</v>
      </c>
      <c r="B497" s="6" t="s">
        <v>993</v>
      </c>
      <c r="C497" s="8" t="s">
        <v>1076</v>
      </c>
      <c r="D497" s="7">
        <v>46083</v>
      </c>
      <c r="E497" s="6" t="s">
        <v>1077</v>
      </c>
      <c r="F497" s="10" t="s">
        <v>20</v>
      </c>
      <c r="G497" s="10"/>
      <c r="H497" s="10"/>
      <c r="I497" s="10"/>
      <c r="J497" s="10" t="s">
        <v>24</v>
      </c>
      <c r="K497" s="31">
        <v>484</v>
      </c>
      <c r="L497" s="68"/>
    </row>
    <row r="498" spans="1:12" ht="57" x14ac:dyDescent="0.25">
      <c r="A498" s="10">
        <f>IF(B498="","",_xlfn.AGGREGATE(3,5,$B$7:B498))</f>
        <v>492</v>
      </c>
      <c r="B498" s="6" t="s">
        <v>960</v>
      </c>
      <c r="C498" s="8" t="s">
        <v>1078</v>
      </c>
      <c r="D498" s="7">
        <v>46083</v>
      </c>
      <c r="E498" s="6" t="s">
        <v>1077</v>
      </c>
      <c r="F498" s="10" t="s">
        <v>20</v>
      </c>
      <c r="G498" s="10"/>
      <c r="H498" s="10"/>
      <c r="I498" s="10"/>
      <c r="J498" s="10" t="s">
        <v>24</v>
      </c>
      <c r="K498" s="31">
        <v>83</v>
      </c>
      <c r="L498" s="68"/>
    </row>
    <row r="499" spans="1:12" ht="57" x14ac:dyDescent="0.25">
      <c r="A499" s="10">
        <f>IF(B499="","",_xlfn.AGGREGATE(3,5,$B$7:B499))</f>
        <v>493</v>
      </c>
      <c r="B499" s="6" t="s">
        <v>962</v>
      </c>
      <c r="C499" s="8" t="s">
        <v>1079</v>
      </c>
      <c r="D499" s="7">
        <v>46083</v>
      </c>
      <c r="E499" s="6" t="s">
        <v>1077</v>
      </c>
      <c r="F499" s="10" t="s">
        <v>20</v>
      </c>
      <c r="G499" s="10"/>
      <c r="H499" s="10"/>
      <c r="I499" s="10"/>
      <c r="J499" s="10" t="s">
        <v>23</v>
      </c>
      <c r="K499" s="31">
        <v>391</v>
      </c>
      <c r="L499" s="68"/>
    </row>
    <row r="500" spans="1:12" x14ac:dyDescent="0.25">
      <c r="A500" s="10">
        <f>IF(B500="","",_xlfn.AGGREGATE(3,5,$B$7:B500))</f>
        <v>494</v>
      </c>
      <c r="B500" s="6" t="s">
        <v>1081</v>
      </c>
      <c r="C500" s="8" t="s">
        <v>1080</v>
      </c>
      <c r="D500" s="7">
        <v>46083</v>
      </c>
      <c r="E500" s="6" t="s">
        <v>30</v>
      </c>
      <c r="F500" s="10" t="s">
        <v>20</v>
      </c>
      <c r="G500" s="10"/>
      <c r="H500" s="10"/>
      <c r="I500" s="10"/>
      <c r="J500" s="10" t="s">
        <v>23</v>
      </c>
      <c r="K500" s="31">
        <v>487</v>
      </c>
      <c r="L500" s="68"/>
    </row>
    <row r="501" spans="1:12" x14ac:dyDescent="0.25">
      <c r="A501" s="10">
        <f>IF(B501="","",_xlfn.AGGREGATE(3,5,$B$7:B501))</f>
        <v>495</v>
      </c>
      <c r="B501" s="6" t="s">
        <v>1083</v>
      </c>
      <c r="C501" s="8" t="s">
        <v>1082</v>
      </c>
      <c r="D501" s="7">
        <v>46083</v>
      </c>
      <c r="E501" s="6" t="s">
        <v>30</v>
      </c>
      <c r="F501" s="10" t="s">
        <v>20</v>
      </c>
      <c r="G501" s="10"/>
      <c r="H501" s="10"/>
      <c r="I501" s="10"/>
      <c r="J501" s="10" t="s">
        <v>23</v>
      </c>
      <c r="K501" s="31">
        <v>488</v>
      </c>
      <c r="L501" s="68"/>
    </row>
    <row r="502" spans="1:12" x14ac:dyDescent="0.25">
      <c r="A502" s="10">
        <f>IF(B502="","",_xlfn.AGGREGATE(3,5,$B$7:B502))</f>
        <v>496</v>
      </c>
      <c r="B502" s="6" t="s">
        <v>1085</v>
      </c>
      <c r="C502" s="8" t="s">
        <v>1084</v>
      </c>
      <c r="D502" s="7">
        <v>45985</v>
      </c>
      <c r="E502" s="6" t="s">
        <v>405</v>
      </c>
      <c r="F502" s="10" t="s">
        <v>20</v>
      </c>
      <c r="G502" s="10" t="s">
        <v>24</v>
      </c>
      <c r="H502" s="10"/>
      <c r="I502" s="10"/>
      <c r="J502" s="10"/>
      <c r="K502" s="31">
        <v>81</v>
      </c>
      <c r="L502" s="68"/>
    </row>
    <row r="503" spans="1:12" ht="28.5" x14ac:dyDescent="0.25">
      <c r="A503" s="10">
        <f>IF(B503="","",_xlfn.AGGREGATE(3,5,$B$7:B503))</f>
        <v>497</v>
      </c>
      <c r="B503" s="6" t="s">
        <v>105</v>
      </c>
      <c r="C503" s="8" t="s">
        <v>1086</v>
      </c>
      <c r="D503" s="7">
        <v>46094</v>
      </c>
      <c r="E503" s="6" t="s">
        <v>1028</v>
      </c>
      <c r="F503" s="10" t="s">
        <v>87</v>
      </c>
      <c r="G503" s="10"/>
      <c r="H503" s="10" t="s">
        <v>23</v>
      </c>
      <c r="I503" s="10"/>
      <c r="J503" s="10"/>
      <c r="K503" s="31">
        <v>6</v>
      </c>
      <c r="L503" s="68"/>
    </row>
    <row r="504" spans="1:12" ht="28.5" x14ac:dyDescent="0.25">
      <c r="A504" s="10">
        <f>IF(B504="","",_xlfn.AGGREGATE(3,5,$B$7:B504))</f>
        <v>498</v>
      </c>
      <c r="B504" s="6" t="s">
        <v>170</v>
      </c>
      <c r="C504" s="8" t="s">
        <v>1087</v>
      </c>
      <c r="D504" s="7">
        <v>46094</v>
      </c>
      <c r="E504" s="6" t="s">
        <v>1028</v>
      </c>
      <c r="F504" s="10" t="s">
        <v>87</v>
      </c>
      <c r="G504" s="10"/>
      <c r="H504" s="10" t="s">
        <v>24</v>
      </c>
      <c r="I504" s="10"/>
      <c r="J504" s="10"/>
      <c r="K504" s="31">
        <v>412</v>
      </c>
      <c r="L504" s="68"/>
    </row>
    <row r="505" spans="1:12" ht="28.5" x14ac:dyDescent="0.25">
      <c r="A505" s="10">
        <f>IF(B505="","",_xlfn.AGGREGATE(3,5,$B$7:B505))</f>
        <v>499</v>
      </c>
      <c r="B505" s="6" t="s">
        <v>374</v>
      </c>
      <c r="C505" s="8" t="s">
        <v>1088</v>
      </c>
      <c r="D505" s="7">
        <v>46094</v>
      </c>
      <c r="E505" s="6" t="s">
        <v>1028</v>
      </c>
      <c r="F505" s="10" t="s">
        <v>87</v>
      </c>
      <c r="G505" s="10"/>
      <c r="H505" s="10" t="s">
        <v>23</v>
      </c>
      <c r="I505" s="10"/>
      <c r="J505" s="10"/>
      <c r="K505" s="31">
        <v>272</v>
      </c>
      <c r="L505" s="68"/>
    </row>
    <row r="506" spans="1:12" ht="28.5" x14ac:dyDescent="0.25">
      <c r="A506" s="10">
        <f>IF(B506="","",_xlfn.AGGREGATE(3,5,$B$7:B506))</f>
        <v>500</v>
      </c>
      <c r="B506" s="6" t="s">
        <v>160</v>
      </c>
      <c r="C506" s="8" t="s">
        <v>1089</v>
      </c>
      <c r="D506" s="7">
        <v>46094</v>
      </c>
      <c r="E506" s="6" t="s">
        <v>1028</v>
      </c>
      <c r="F506" s="10" t="s">
        <v>87</v>
      </c>
      <c r="G506" s="10"/>
      <c r="H506" s="10" t="s">
        <v>24</v>
      </c>
      <c r="I506" s="10"/>
      <c r="J506" s="10"/>
      <c r="K506" s="31">
        <v>404</v>
      </c>
      <c r="L506" s="68"/>
    </row>
    <row r="507" spans="1:12" ht="28.5" x14ac:dyDescent="0.25">
      <c r="A507" s="10">
        <f>IF(B507="","",_xlfn.AGGREGATE(3,5,$B$7:B507))</f>
        <v>501</v>
      </c>
      <c r="B507" s="6" t="s">
        <v>167</v>
      </c>
      <c r="C507" s="8" t="s">
        <v>1090</v>
      </c>
      <c r="D507" s="92" t="s">
        <v>1016</v>
      </c>
      <c r="E507" s="6" t="s">
        <v>1028</v>
      </c>
      <c r="F507" s="10" t="s">
        <v>87</v>
      </c>
      <c r="G507" s="10"/>
      <c r="H507" s="10" t="s">
        <v>24</v>
      </c>
      <c r="I507" s="10"/>
      <c r="J507" s="10"/>
      <c r="K507" s="31">
        <v>410</v>
      </c>
      <c r="L507" s="68"/>
    </row>
    <row r="508" spans="1:12" ht="28.5" x14ac:dyDescent="0.25">
      <c r="A508" s="10">
        <f>IF(B508="","",_xlfn.AGGREGATE(3,5,$B$7:B508))</f>
        <v>502</v>
      </c>
      <c r="B508" s="6" t="s">
        <v>373</v>
      </c>
      <c r="C508" s="8" t="s">
        <v>1091</v>
      </c>
      <c r="D508" s="92" t="s">
        <v>1016</v>
      </c>
      <c r="E508" s="6" t="s">
        <v>1028</v>
      </c>
      <c r="F508" s="10" t="s">
        <v>87</v>
      </c>
      <c r="G508" s="10"/>
      <c r="H508" s="10" t="s">
        <v>23</v>
      </c>
      <c r="I508" s="10"/>
      <c r="J508" s="10"/>
      <c r="K508" s="31">
        <v>12</v>
      </c>
      <c r="L508" s="68"/>
    </row>
    <row r="509" spans="1:12" ht="71.25" x14ac:dyDescent="0.2">
      <c r="A509" s="10">
        <f>IF(B509="","",_xlfn.AGGREGATE(3,5,$B$7:B509))</f>
        <v>503</v>
      </c>
      <c r="B509" s="6" t="s">
        <v>746</v>
      </c>
      <c r="C509" s="8" t="s">
        <v>1092</v>
      </c>
      <c r="D509" s="7">
        <v>46083</v>
      </c>
      <c r="E509" s="91" t="s">
        <v>1093</v>
      </c>
      <c r="F509" s="10" t="s">
        <v>34</v>
      </c>
      <c r="G509" s="10"/>
      <c r="H509" s="10"/>
      <c r="I509" s="10" t="s">
        <v>24</v>
      </c>
      <c r="J509" s="10"/>
      <c r="K509" s="31">
        <v>468</v>
      </c>
      <c r="L509" s="68"/>
    </row>
    <row r="510" spans="1:12" ht="67.150000000000006" customHeight="1" x14ac:dyDescent="0.2">
      <c r="A510" s="10">
        <f>IF(B510="","",_xlfn.AGGREGATE(3,5,$B$7:B510))</f>
        <v>504</v>
      </c>
      <c r="B510" s="6" t="s">
        <v>748</v>
      </c>
      <c r="C510" s="8" t="s">
        <v>1094</v>
      </c>
      <c r="D510" s="7">
        <v>46083</v>
      </c>
      <c r="E510" s="91" t="s">
        <v>1093</v>
      </c>
      <c r="F510" s="10" t="s">
        <v>34</v>
      </c>
      <c r="G510" s="10"/>
      <c r="H510" s="10"/>
      <c r="I510" s="10" t="s">
        <v>24</v>
      </c>
      <c r="J510" s="10"/>
      <c r="K510" s="31">
        <v>469</v>
      </c>
      <c r="L510" s="68"/>
    </row>
    <row r="511" spans="1:12" ht="57" x14ac:dyDescent="0.25">
      <c r="A511" s="10">
        <f>IF(B511="","",_xlfn.AGGREGATE(3,5,$B$7:B511))</f>
        <v>505</v>
      </c>
      <c r="B511" s="6" t="s">
        <v>50</v>
      </c>
      <c r="C511" s="8" t="s">
        <v>1096</v>
      </c>
      <c r="D511" s="7">
        <v>46083</v>
      </c>
      <c r="E511" s="6" t="s">
        <v>1101</v>
      </c>
      <c r="F511" s="10" t="s">
        <v>34</v>
      </c>
      <c r="G511" s="10"/>
      <c r="H511" s="10"/>
      <c r="I511" s="10" t="s">
        <v>23</v>
      </c>
      <c r="J511" s="10"/>
      <c r="K511" s="31">
        <v>110</v>
      </c>
      <c r="L511" s="68"/>
    </row>
    <row r="512" spans="1:12" ht="28.5" x14ac:dyDescent="0.25">
      <c r="A512" s="10">
        <f>IF(B512="","",_xlfn.AGGREGATE(3,5,$B$7:B512))</f>
        <v>506</v>
      </c>
      <c r="B512" s="6" t="s">
        <v>96</v>
      </c>
      <c r="C512" s="8" t="s">
        <v>1097</v>
      </c>
      <c r="D512" s="7">
        <v>46094</v>
      </c>
      <c r="E512" s="6" t="s">
        <v>1028</v>
      </c>
      <c r="F512" s="10" t="s">
        <v>87</v>
      </c>
      <c r="G512" s="10"/>
      <c r="H512" s="10" t="s">
        <v>24</v>
      </c>
      <c r="I512" s="10"/>
      <c r="J512" s="10"/>
      <c r="K512" s="31">
        <v>13</v>
      </c>
      <c r="L512" s="68"/>
    </row>
    <row r="513" spans="1:13" ht="28.5" x14ac:dyDescent="0.25">
      <c r="A513" s="10">
        <f>IF(B513="","",_xlfn.AGGREGATE(3,5,$B$7:B513))</f>
        <v>507</v>
      </c>
      <c r="B513" s="6" t="s">
        <v>158</v>
      </c>
      <c r="C513" s="8" t="s">
        <v>1098</v>
      </c>
      <c r="D513" s="7">
        <v>46094</v>
      </c>
      <c r="E513" s="6" t="s">
        <v>1028</v>
      </c>
      <c r="F513" s="10" t="s">
        <v>87</v>
      </c>
      <c r="G513" s="10"/>
      <c r="H513" s="10" t="s">
        <v>24</v>
      </c>
      <c r="I513" s="10"/>
      <c r="J513" s="10"/>
      <c r="K513" s="31">
        <v>388</v>
      </c>
      <c r="L513" s="68"/>
    </row>
    <row r="514" spans="1:13" ht="28.5" x14ac:dyDescent="0.25">
      <c r="A514" s="10">
        <f>IF(B514="","",_xlfn.AGGREGATE(3,5,$B$7:B514))</f>
        <v>508</v>
      </c>
      <c r="B514" s="17" t="s">
        <v>375</v>
      </c>
      <c r="C514" s="8" t="s">
        <v>1099</v>
      </c>
      <c r="D514" s="7">
        <v>46104</v>
      </c>
      <c r="E514" s="6" t="s">
        <v>1028</v>
      </c>
      <c r="F514" s="27" t="s">
        <v>87</v>
      </c>
      <c r="G514" s="27"/>
      <c r="H514" s="27" t="s">
        <v>23</v>
      </c>
      <c r="I514" s="27"/>
      <c r="J514" s="27"/>
      <c r="K514" s="80">
        <v>271</v>
      </c>
      <c r="L514" s="68"/>
    </row>
    <row r="515" spans="1:13" ht="28.5" x14ac:dyDescent="0.25">
      <c r="A515" s="10">
        <f>IF(B515="","",_xlfn.AGGREGATE(3,5,$B$7:B515))</f>
        <v>509</v>
      </c>
      <c r="B515" s="6" t="s">
        <v>165</v>
      </c>
      <c r="C515" s="8" t="s">
        <v>1100</v>
      </c>
      <c r="D515" s="7">
        <v>46104</v>
      </c>
      <c r="E515" s="6" t="s">
        <v>1028</v>
      </c>
      <c r="F515" s="10" t="s">
        <v>87</v>
      </c>
      <c r="G515" s="10"/>
      <c r="H515" s="10" t="s">
        <v>23</v>
      </c>
      <c r="I515" s="10"/>
      <c r="J515" s="10"/>
      <c r="K515" s="31">
        <v>409</v>
      </c>
      <c r="L515" s="68"/>
    </row>
    <row r="516" spans="1:13" ht="27.6" customHeight="1" x14ac:dyDescent="0.25">
      <c r="A516" s="10">
        <f>IF(B516="","",_xlfn.AGGREGATE(3,5,$B$7:B516))</f>
        <v>510</v>
      </c>
      <c r="B516" s="6" t="s">
        <v>109</v>
      </c>
      <c r="C516" s="8" t="s">
        <v>1103</v>
      </c>
      <c r="D516" s="7">
        <v>46086</v>
      </c>
      <c r="E516" s="6" t="s">
        <v>873</v>
      </c>
      <c r="F516" s="10" t="s">
        <v>39</v>
      </c>
      <c r="G516" s="10" t="s">
        <v>24</v>
      </c>
      <c r="H516" s="10"/>
      <c r="I516" s="10"/>
      <c r="J516" s="10"/>
      <c r="K516" s="31">
        <v>387</v>
      </c>
      <c r="L516" s="68"/>
    </row>
    <row r="517" spans="1:13" ht="30.6" customHeight="1" x14ac:dyDescent="0.25">
      <c r="A517" s="10">
        <f>IF(B517="","",_xlfn.AGGREGATE(3,5,$B$7:B517))</f>
        <v>511</v>
      </c>
      <c r="B517" s="6" t="s">
        <v>1105</v>
      </c>
      <c r="C517" s="8" t="s">
        <v>1104</v>
      </c>
      <c r="D517" s="92" t="s">
        <v>1016</v>
      </c>
      <c r="E517" s="6" t="s">
        <v>30</v>
      </c>
      <c r="F517" s="10" t="s">
        <v>1106</v>
      </c>
      <c r="G517" s="10"/>
      <c r="H517" s="10"/>
      <c r="I517" s="10" t="s">
        <v>24</v>
      </c>
      <c r="J517" s="10"/>
      <c r="K517" s="31">
        <v>489</v>
      </c>
      <c r="L517" s="68"/>
    </row>
    <row r="518" spans="1:13" ht="57" x14ac:dyDescent="0.25">
      <c r="A518" s="10">
        <f>IF(B518="","",_xlfn.AGGREGATE(3,5,$B$7:B518))</f>
        <v>512</v>
      </c>
      <c r="B518" s="6" t="s">
        <v>1108</v>
      </c>
      <c r="C518" s="8" t="s">
        <v>1107</v>
      </c>
      <c r="D518" s="7">
        <v>46087</v>
      </c>
      <c r="E518" s="6" t="s">
        <v>1109</v>
      </c>
      <c r="F518" s="10" t="s">
        <v>19</v>
      </c>
      <c r="G518" s="10"/>
      <c r="H518" s="10"/>
      <c r="I518" s="10"/>
      <c r="J518" s="10" t="s">
        <v>23</v>
      </c>
      <c r="K518" s="31">
        <v>181</v>
      </c>
      <c r="L518" s="68"/>
    </row>
    <row r="519" spans="1:13" ht="28.5" x14ac:dyDescent="0.25">
      <c r="A519" s="10">
        <f>IF(B519="","",_xlfn.AGGREGATE(3,5,$B$7:B519))</f>
        <v>513</v>
      </c>
      <c r="B519" s="6" t="s">
        <v>378</v>
      </c>
      <c r="C519" s="8" t="s">
        <v>1110</v>
      </c>
      <c r="D519" s="92" t="s">
        <v>1016</v>
      </c>
      <c r="E519" s="6" t="s">
        <v>1028</v>
      </c>
      <c r="F519" s="10" t="s">
        <v>87</v>
      </c>
      <c r="G519" s="10"/>
      <c r="H519" s="10" t="s">
        <v>24</v>
      </c>
      <c r="I519" s="10"/>
      <c r="J519" s="10"/>
      <c r="K519" s="31">
        <v>420</v>
      </c>
      <c r="L519" s="68"/>
    </row>
    <row r="520" spans="1:13" ht="23.45" customHeight="1" x14ac:dyDescent="0.25">
      <c r="A520" s="10">
        <f>IF(B520="","",_xlfn.AGGREGATE(3,5,$B$7:B520))</f>
        <v>514</v>
      </c>
      <c r="B520" s="6" t="s">
        <v>1122</v>
      </c>
      <c r="C520" s="8" t="s">
        <v>1111</v>
      </c>
      <c r="D520" s="7">
        <v>46097</v>
      </c>
      <c r="E520" s="6" t="s">
        <v>30</v>
      </c>
      <c r="F520" s="10" t="s">
        <v>20</v>
      </c>
      <c r="G520" s="10"/>
      <c r="H520" s="10"/>
      <c r="I520" s="10" t="s">
        <v>24</v>
      </c>
      <c r="J520" s="10"/>
      <c r="K520" s="31">
        <v>490</v>
      </c>
      <c r="L520" s="68"/>
    </row>
    <row r="521" spans="1:13" ht="28.5" x14ac:dyDescent="0.25">
      <c r="A521" s="10">
        <f>IF(B521="","",_xlfn.AGGREGATE(3,5,$B$7:B521))</f>
        <v>515</v>
      </c>
      <c r="B521" s="6" t="s">
        <v>337</v>
      </c>
      <c r="C521" s="8" t="s">
        <v>1112</v>
      </c>
      <c r="D521" s="7">
        <v>46097</v>
      </c>
      <c r="E521" s="6" t="s">
        <v>1028</v>
      </c>
      <c r="F521" s="10" t="s">
        <v>87</v>
      </c>
      <c r="G521" s="10"/>
      <c r="H521" s="10" t="s">
        <v>24</v>
      </c>
      <c r="I521" s="10"/>
      <c r="J521" s="10"/>
      <c r="K521" s="31">
        <v>419</v>
      </c>
      <c r="L521" s="68"/>
    </row>
    <row r="522" spans="1:13" ht="27.6" customHeight="1" x14ac:dyDescent="0.25">
      <c r="A522" s="10">
        <f>IF(B522="","",_xlfn.AGGREGATE(3,5,$B$7:B522))</f>
        <v>516</v>
      </c>
      <c r="B522" s="6" t="s">
        <v>124</v>
      </c>
      <c r="C522" s="8" t="s">
        <v>1113</v>
      </c>
      <c r="D522" s="7">
        <v>46097</v>
      </c>
      <c r="E522" s="6" t="s">
        <v>873</v>
      </c>
      <c r="F522" s="10" t="s">
        <v>20</v>
      </c>
      <c r="G522" s="10" t="s">
        <v>24</v>
      </c>
      <c r="H522" s="10"/>
      <c r="I522" s="10"/>
      <c r="J522" s="10"/>
      <c r="K522" s="31">
        <v>124</v>
      </c>
      <c r="L522" s="68"/>
    </row>
    <row r="523" spans="1:13" ht="28.5" x14ac:dyDescent="0.25">
      <c r="A523" s="10">
        <f>IF(B523="","",_xlfn.AGGREGATE(3,5,$B$7:B523))</f>
        <v>517</v>
      </c>
      <c r="B523" s="6" t="s">
        <v>1118</v>
      </c>
      <c r="C523" s="8" t="s">
        <v>1114</v>
      </c>
      <c r="D523" s="7">
        <v>46100</v>
      </c>
      <c r="E523" s="26" t="s">
        <v>1037</v>
      </c>
      <c r="F523" s="10" t="s">
        <v>20</v>
      </c>
      <c r="G523" s="10" t="s">
        <v>23</v>
      </c>
      <c r="H523" s="10"/>
      <c r="I523" s="10"/>
      <c r="J523" s="10"/>
      <c r="K523" s="31">
        <v>349</v>
      </c>
      <c r="L523" s="68"/>
    </row>
    <row r="524" spans="1:13" ht="28.5" x14ac:dyDescent="0.25">
      <c r="A524" s="10">
        <f>IF(B524="","",_xlfn.AGGREGATE(3,5,$B$7:B524))</f>
        <v>518</v>
      </c>
      <c r="B524" s="6" t="s">
        <v>1119</v>
      </c>
      <c r="C524" s="8" t="s">
        <v>1115</v>
      </c>
      <c r="D524" s="7">
        <v>46100</v>
      </c>
      <c r="E524" s="26" t="s">
        <v>1037</v>
      </c>
      <c r="F524" s="10" t="s">
        <v>20</v>
      </c>
      <c r="G524" s="10" t="s">
        <v>23</v>
      </c>
      <c r="H524" s="10"/>
      <c r="I524" s="10"/>
      <c r="J524" s="10"/>
      <c r="K524" s="31">
        <v>349</v>
      </c>
      <c r="L524" s="68"/>
    </row>
    <row r="525" spans="1:13" ht="28.5" x14ac:dyDescent="0.25">
      <c r="A525" s="10">
        <f>IF(B525="","",_xlfn.AGGREGATE(3,5,$B$7:B525))</f>
        <v>519</v>
      </c>
      <c r="B525" s="6" t="s">
        <v>1120</v>
      </c>
      <c r="C525" s="8" t="s">
        <v>1116</v>
      </c>
      <c r="D525" s="7">
        <v>46100</v>
      </c>
      <c r="E525" s="26" t="s">
        <v>1037</v>
      </c>
      <c r="F525" s="10" t="s">
        <v>20</v>
      </c>
      <c r="G525" s="10" t="s">
        <v>23</v>
      </c>
      <c r="H525" s="10"/>
      <c r="I525" s="10"/>
      <c r="J525" s="10"/>
      <c r="K525" s="31">
        <v>349</v>
      </c>
      <c r="L525" s="68"/>
    </row>
    <row r="526" spans="1:13" ht="28.5" x14ac:dyDescent="0.25">
      <c r="A526" s="10">
        <f>IF(B526="","",_xlfn.AGGREGATE(3,5,$B$7:B526))</f>
        <v>520</v>
      </c>
      <c r="B526" s="6" t="s">
        <v>1121</v>
      </c>
      <c r="C526" s="8" t="s">
        <v>1117</v>
      </c>
      <c r="D526" s="7">
        <v>46100</v>
      </c>
      <c r="E526" s="26" t="s">
        <v>1037</v>
      </c>
      <c r="F526" s="10" t="s">
        <v>20</v>
      </c>
      <c r="G526" s="10" t="s">
        <v>23</v>
      </c>
      <c r="H526" s="10"/>
      <c r="I526" s="10"/>
      <c r="J526" s="10"/>
      <c r="K526" s="31">
        <v>349</v>
      </c>
      <c r="L526" s="68"/>
    </row>
    <row r="527" spans="1:13" ht="57" x14ac:dyDescent="0.25">
      <c r="A527" s="10">
        <f>IF(B527="","",_xlfn.AGGREGATE(3,5,$B$7:B527))</f>
        <v>521</v>
      </c>
      <c r="B527" s="13" t="s">
        <v>1000</v>
      </c>
      <c r="C527" s="8" t="s">
        <v>1123</v>
      </c>
      <c r="D527" s="7">
        <v>46100</v>
      </c>
      <c r="E527" s="6" t="s">
        <v>1040</v>
      </c>
      <c r="F527" s="10" t="s">
        <v>20</v>
      </c>
      <c r="G527" s="10"/>
      <c r="H527" s="10"/>
      <c r="I527" s="10"/>
      <c r="J527" s="10" t="s">
        <v>24</v>
      </c>
      <c r="K527" s="31">
        <v>477</v>
      </c>
      <c r="L527" s="68"/>
    </row>
    <row r="528" spans="1:13" s="23" customFormat="1" ht="99.75" x14ac:dyDescent="0.25">
      <c r="A528" s="38">
        <f>IF(B528="","",_xlfn.AGGREGATE(3,5,$B$7:B528))</f>
        <v>522</v>
      </c>
      <c r="B528" s="46" t="s">
        <v>1124</v>
      </c>
      <c r="C528" s="36" t="s">
        <v>1126</v>
      </c>
      <c r="D528" s="50"/>
      <c r="E528" s="46" t="s">
        <v>1125</v>
      </c>
      <c r="F528" s="38" t="s">
        <v>20</v>
      </c>
      <c r="G528" s="38"/>
      <c r="H528" s="38" t="s">
        <v>24</v>
      </c>
      <c r="I528" s="38"/>
      <c r="J528" s="38"/>
      <c r="K528" s="39">
        <v>39</v>
      </c>
      <c r="L528" s="95"/>
      <c r="M528" s="36"/>
    </row>
    <row r="529" spans="1:12" ht="24.6" customHeight="1" x14ac:dyDescent="0.25">
      <c r="A529" s="10">
        <f>IF(B529="","",_xlfn.AGGREGATE(3,5,$B$7:B529))</f>
        <v>523</v>
      </c>
      <c r="B529" s="6" t="s">
        <v>1128</v>
      </c>
      <c r="C529" s="8" t="s">
        <v>1127</v>
      </c>
      <c r="D529" s="7">
        <v>45985</v>
      </c>
      <c r="E529" s="6" t="s">
        <v>405</v>
      </c>
      <c r="F529" s="10" t="s">
        <v>20</v>
      </c>
      <c r="G529" s="10" t="s">
        <v>24</v>
      </c>
      <c r="H529" s="10"/>
      <c r="I529" s="10"/>
      <c r="J529" s="10"/>
      <c r="K529" s="31">
        <v>81</v>
      </c>
      <c r="L529" s="68"/>
    </row>
    <row r="530" spans="1:12" ht="28.5" x14ac:dyDescent="0.25">
      <c r="A530" s="10">
        <f>IF(B530="","",_xlfn.AGGREGATE(3,5,$B$7:B530))</f>
        <v>524</v>
      </c>
      <c r="B530" s="6" t="s">
        <v>717</v>
      </c>
      <c r="C530" s="8" t="s">
        <v>1129</v>
      </c>
      <c r="D530" s="7">
        <v>46125</v>
      </c>
      <c r="E530" s="6" t="s">
        <v>1142</v>
      </c>
      <c r="F530" s="10" t="s">
        <v>116</v>
      </c>
      <c r="G530" s="10"/>
      <c r="H530" s="10"/>
      <c r="I530" s="10" t="s">
        <v>24</v>
      </c>
      <c r="J530" s="10"/>
      <c r="K530" s="31">
        <v>398</v>
      </c>
      <c r="L530" s="68"/>
    </row>
    <row r="531" spans="1:12" ht="28.5" x14ac:dyDescent="0.25">
      <c r="A531" s="10">
        <f>IF(B531="","",_xlfn.AGGREGATE(3,5,$B$7:B531))</f>
        <v>525</v>
      </c>
      <c r="B531" s="6" t="s">
        <v>1132</v>
      </c>
      <c r="C531" s="8" t="s">
        <v>1131</v>
      </c>
      <c r="D531" s="7">
        <v>46125</v>
      </c>
      <c r="E531" s="6" t="s">
        <v>30</v>
      </c>
      <c r="F531" s="10" t="s">
        <v>33</v>
      </c>
      <c r="G531" s="10"/>
      <c r="H531" s="10"/>
      <c r="I531" s="10" t="s">
        <v>23</v>
      </c>
      <c r="J531" s="10"/>
      <c r="K531" s="31">
        <v>491</v>
      </c>
      <c r="L531" s="68"/>
    </row>
    <row r="532" spans="1:12" ht="28.5" x14ac:dyDescent="0.25">
      <c r="A532" s="10">
        <f>IF(B532="","",_xlfn.AGGREGATE(3,5,$B$7:B532))</f>
        <v>526</v>
      </c>
      <c r="B532" s="6" t="s">
        <v>144</v>
      </c>
      <c r="C532" s="8" t="s">
        <v>1130</v>
      </c>
      <c r="D532" s="7">
        <v>46125</v>
      </c>
      <c r="E532" s="6" t="s">
        <v>1142</v>
      </c>
      <c r="F532" s="10" t="s">
        <v>33</v>
      </c>
      <c r="G532" s="10"/>
      <c r="H532" s="10"/>
      <c r="I532" s="10" t="s">
        <v>23</v>
      </c>
      <c r="J532" s="10"/>
      <c r="K532" s="31">
        <v>397</v>
      </c>
      <c r="L532" s="68"/>
    </row>
    <row r="533" spans="1:12" ht="28.5" x14ac:dyDescent="0.25">
      <c r="A533" s="10">
        <f>IF(B533="","",_xlfn.AGGREGATE(3,5,$B$7:B533))</f>
        <v>527</v>
      </c>
      <c r="B533" s="6" t="s">
        <v>645</v>
      </c>
      <c r="C533" s="8" t="s">
        <v>1133</v>
      </c>
      <c r="D533" s="7">
        <v>46125</v>
      </c>
      <c r="E533" s="6" t="s">
        <v>1142</v>
      </c>
      <c r="F533" s="10" t="s">
        <v>116</v>
      </c>
      <c r="G533" s="10"/>
      <c r="H533" s="10"/>
      <c r="I533" s="10" t="s">
        <v>24</v>
      </c>
      <c r="J533" s="10"/>
      <c r="K533" s="31">
        <v>93</v>
      </c>
      <c r="L533" s="68"/>
    </row>
    <row r="534" spans="1:12" ht="57" x14ac:dyDescent="0.25">
      <c r="A534" s="10">
        <f>IF(B534="","",_xlfn.AGGREGATE(3,5,$B$7:B534))</f>
        <v>528</v>
      </c>
      <c r="B534" s="6" t="s">
        <v>117</v>
      </c>
      <c r="C534" s="8" t="s">
        <v>1134</v>
      </c>
      <c r="D534" s="7">
        <v>46125</v>
      </c>
      <c r="E534" s="6" t="s">
        <v>1135</v>
      </c>
      <c r="F534" s="10" t="s">
        <v>116</v>
      </c>
      <c r="G534" s="10"/>
      <c r="H534" s="10"/>
      <c r="I534" s="10" t="s">
        <v>24</v>
      </c>
      <c r="J534" s="10"/>
      <c r="K534" s="31">
        <v>92</v>
      </c>
      <c r="L534" s="68"/>
    </row>
    <row r="535" spans="1:12" ht="31.15" customHeight="1" x14ac:dyDescent="0.25">
      <c r="A535" s="10">
        <f>IF(B535="","",_xlfn.AGGREGATE(3,5,$B$7:B535))</f>
        <v>529</v>
      </c>
      <c r="B535" s="6" t="s">
        <v>1138</v>
      </c>
      <c r="C535" s="8" t="s">
        <v>1137</v>
      </c>
      <c r="D535" s="7">
        <v>46125</v>
      </c>
      <c r="E535" s="6" t="s">
        <v>30</v>
      </c>
      <c r="F535" s="10" t="s">
        <v>20</v>
      </c>
      <c r="G535" s="10"/>
      <c r="H535" s="10"/>
      <c r="I535" s="10"/>
      <c r="J535" s="10" t="s">
        <v>24</v>
      </c>
      <c r="K535" s="31">
        <v>492</v>
      </c>
      <c r="L535" s="68"/>
    </row>
    <row r="536" spans="1:12" ht="85.5" x14ac:dyDescent="0.25">
      <c r="A536" s="10">
        <f>IF(B536="","",_xlfn.AGGREGATE(3,5,$B$7:B536))</f>
        <v>530</v>
      </c>
      <c r="B536" s="6" t="s">
        <v>1140</v>
      </c>
      <c r="C536" s="8" t="s">
        <v>1139</v>
      </c>
      <c r="D536" s="7">
        <v>46125</v>
      </c>
      <c r="E536" s="6" t="s">
        <v>1141</v>
      </c>
      <c r="F536" s="10" t="s">
        <v>20</v>
      </c>
      <c r="G536" s="10"/>
      <c r="H536" s="10"/>
      <c r="I536" s="10"/>
      <c r="J536" s="10" t="s">
        <v>24</v>
      </c>
      <c r="K536" s="31">
        <v>362</v>
      </c>
      <c r="L536" s="68"/>
    </row>
    <row r="537" spans="1:12" ht="28.5" x14ac:dyDescent="0.25">
      <c r="A537" s="10">
        <f>IF(B537="","",_xlfn.AGGREGATE(3,5,$B$7:B537))</f>
        <v>531</v>
      </c>
      <c r="B537" s="6" t="s">
        <v>664</v>
      </c>
      <c r="C537" s="8" t="s">
        <v>1143</v>
      </c>
      <c r="D537" s="7">
        <v>46126</v>
      </c>
      <c r="E537" s="6" t="s">
        <v>1144</v>
      </c>
      <c r="F537" s="10" t="s">
        <v>38</v>
      </c>
      <c r="G537" s="10"/>
      <c r="H537" s="10"/>
      <c r="I537" s="10" t="s">
        <v>23</v>
      </c>
      <c r="J537" s="10"/>
      <c r="K537" s="31">
        <v>448</v>
      </c>
      <c r="L537" s="68"/>
    </row>
    <row r="538" spans="1:12" x14ac:dyDescent="0.25">
      <c r="A538" s="10">
        <f>IF(B538="","",_xlfn.AGGREGATE(3,5,$B$7:B538))</f>
        <v>532</v>
      </c>
      <c r="B538" s="6" t="s">
        <v>1146</v>
      </c>
      <c r="C538" s="8" t="s">
        <v>1145</v>
      </c>
      <c r="D538" s="7">
        <v>45985</v>
      </c>
      <c r="E538" s="6" t="s">
        <v>405</v>
      </c>
      <c r="F538" s="10" t="s">
        <v>20</v>
      </c>
      <c r="G538" s="10" t="s">
        <v>24</v>
      </c>
      <c r="H538" s="10"/>
      <c r="I538" s="10"/>
      <c r="J538" s="10"/>
      <c r="K538" s="31">
        <v>81</v>
      </c>
      <c r="L538" s="68"/>
    </row>
    <row r="539" spans="1:12" x14ac:dyDescent="0.25">
      <c r="A539" s="10">
        <f>IF(B539="","",_xlfn.AGGREGATE(3,5,$B$7:B539))</f>
        <v>533</v>
      </c>
      <c r="B539" s="6" t="s">
        <v>1148</v>
      </c>
      <c r="C539" s="8" t="s">
        <v>1147</v>
      </c>
      <c r="D539" s="7">
        <v>46051</v>
      </c>
      <c r="E539" s="6" t="s">
        <v>405</v>
      </c>
      <c r="F539" s="10" t="s">
        <v>20</v>
      </c>
      <c r="G539" s="10"/>
      <c r="H539" s="10"/>
      <c r="I539" s="10"/>
      <c r="J539" s="10" t="s">
        <v>24</v>
      </c>
      <c r="K539" s="31">
        <v>180</v>
      </c>
      <c r="L539" s="68"/>
    </row>
    <row r="540" spans="1:12" x14ac:dyDescent="0.25">
      <c r="A540" s="10" t="str">
        <f>IF(B540="","",_xlfn.AGGREGATE(3,5,$B$7:B540))</f>
        <v/>
      </c>
      <c r="B540" s="6"/>
      <c r="C540" s="8"/>
      <c r="D540" s="10"/>
      <c r="E540" s="6"/>
      <c r="F540" s="10"/>
      <c r="G540" s="10"/>
      <c r="H540" s="10"/>
      <c r="I540" s="10"/>
      <c r="J540" s="10"/>
      <c r="K540" s="31"/>
      <c r="L540" s="68"/>
    </row>
    <row r="541" spans="1:12" x14ac:dyDescent="0.25">
      <c r="A541" s="10" t="str">
        <f>IF(B541="","",_xlfn.AGGREGATE(3,5,$B$7:B541))</f>
        <v/>
      </c>
      <c r="B541" s="6"/>
      <c r="C541" s="8"/>
      <c r="D541" s="10"/>
      <c r="E541" s="6"/>
      <c r="F541" s="10"/>
      <c r="G541" s="10"/>
      <c r="H541" s="10"/>
      <c r="I541" s="10"/>
      <c r="J541" s="10"/>
      <c r="K541" s="31"/>
      <c r="L541" s="68"/>
    </row>
    <row r="542" spans="1:12" x14ac:dyDescent="0.25">
      <c r="A542" s="10" t="str">
        <f>IF(B542="","",_xlfn.AGGREGATE(3,5,$B$7:B542))</f>
        <v/>
      </c>
      <c r="B542" s="6"/>
      <c r="C542" s="8"/>
      <c r="D542" s="10"/>
      <c r="E542" s="6"/>
      <c r="F542" s="10"/>
      <c r="G542" s="10"/>
      <c r="H542" s="10"/>
      <c r="I542" s="10"/>
      <c r="J542" s="10"/>
      <c r="K542" s="31"/>
      <c r="L542" s="68"/>
    </row>
    <row r="543" spans="1:12" x14ac:dyDescent="0.25">
      <c r="A543" s="10" t="str">
        <f>IF(B543="","",_xlfn.AGGREGATE(3,5,$B$7:B543))</f>
        <v/>
      </c>
      <c r="B543" s="6"/>
      <c r="C543" s="8"/>
      <c r="D543" s="10"/>
      <c r="E543" s="6"/>
      <c r="F543" s="10"/>
      <c r="G543" s="10"/>
      <c r="H543" s="10"/>
      <c r="I543" s="10"/>
      <c r="J543" s="10"/>
      <c r="K543" s="31"/>
      <c r="L543" s="68"/>
    </row>
    <row r="544" spans="1:12" x14ac:dyDescent="0.25">
      <c r="A544" s="10" t="str">
        <f>IF(B544="","",_xlfn.AGGREGATE(3,5,$B$7:B544))</f>
        <v/>
      </c>
      <c r="B544" s="6"/>
      <c r="C544" s="8"/>
      <c r="D544" s="10"/>
      <c r="E544" s="6"/>
      <c r="F544" s="10"/>
      <c r="G544" s="10"/>
      <c r="H544" s="10"/>
      <c r="I544" s="10"/>
      <c r="J544" s="10"/>
      <c r="K544" s="31"/>
      <c r="L544" s="68"/>
    </row>
    <row r="545" spans="1:12" x14ac:dyDescent="0.25">
      <c r="A545" s="10" t="str">
        <f>IF(B545="","",_xlfn.AGGREGATE(3,5,$B$7:B545))</f>
        <v/>
      </c>
      <c r="B545" s="6"/>
      <c r="C545" s="8"/>
      <c r="D545" s="10"/>
      <c r="E545" s="6"/>
      <c r="F545" s="10"/>
      <c r="G545" s="10"/>
      <c r="H545" s="10"/>
      <c r="I545" s="10"/>
      <c r="J545" s="10"/>
      <c r="K545" s="31"/>
      <c r="L545" s="68"/>
    </row>
    <row r="546" spans="1:12" x14ac:dyDescent="0.25">
      <c r="A546" s="10" t="str">
        <f>IF(B546="","",_xlfn.AGGREGATE(3,5,$B$7:B546))</f>
        <v/>
      </c>
      <c r="B546" s="6"/>
      <c r="C546" s="8"/>
      <c r="D546" s="10"/>
      <c r="E546" s="6"/>
      <c r="F546" s="10"/>
      <c r="G546" s="10"/>
      <c r="H546" s="10"/>
      <c r="I546" s="10"/>
      <c r="J546" s="10"/>
      <c r="K546" s="31"/>
      <c r="L546" s="68"/>
    </row>
    <row r="547" spans="1:12" x14ac:dyDescent="0.25">
      <c r="A547" s="10" t="str">
        <f>IF(B547="","",_xlfn.AGGREGATE(3,5,$B$7:B547))</f>
        <v/>
      </c>
      <c r="B547" s="6"/>
      <c r="C547" s="8"/>
      <c r="D547" s="10"/>
      <c r="E547" s="6"/>
      <c r="F547" s="10"/>
      <c r="G547" s="10"/>
      <c r="H547" s="10"/>
      <c r="I547" s="10"/>
      <c r="J547" s="10"/>
      <c r="K547" s="31"/>
      <c r="L547" s="68"/>
    </row>
    <row r="548" spans="1:12" x14ac:dyDescent="0.25">
      <c r="A548" s="10" t="str">
        <f>IF(B548="","",_xlfn.AGGREGATE(3,5,$B$7:B548))</f>
        <v/>
      </c>
      <c r="B548" s="6"/>
      <c r="C548" s="8"/>
      <c r="D548" s="10"/>
      <c r="E548" s="6"/>
      <c r="F548" s="10"/>
      <c r="G548" s="10"/>
      <c r="H548" s="10"/>
      <c r="I548" s="10"/>
      <c r="J548" s="10"/>
      <c r="K548" s="31"/>
      <c r="L548" s="68"/>
    </row>
    <row r="549" spans="1:12" x14ac:dyDescent="0.25">
      <c r="A549" s="10" t="str">
        <f>IF(B549="","",_xlfn.AGGREGATE(3,5,$B$7:B549))</f>
        <v/>
      </c>
      <c r="B549" s="6"/>
      <c r="C549" s="8"/>
      <c r="D549" s="10"/>
      <c r="E549" s="6"/>
      <c r="F549" s="10"/>
      <c r="G549" s="10"/>
      <c r="H549" s="10"/>
      <c r="I549" s="10"/>
      <c r="J549" s="10"/>
      <c r="K549" s="31"/>
      <c r="L549" s="68"/>
    </row>
    <row r="550" spans="1:12" x14ac:dyDescent="0.25">
      <c r="A550" s="10" t="str">
        <f>IF(B550="","",_xlfn.AGGREGATE(3,5,$B$7:B550))</f>
        <v/>
      </c>
      <c r="B550" s="6"/>
      <c r="C550" s="8"/>
      <c r="D550" s="10"/>
      <c r="E550" s="6"/>
      <c r="F550" s="10"/>
      <c r="G550" s="10"/>
      <c r="H550" s="10"/>
      <c r="I550" s="10"/>
      <c r="J550" s="10"/>
      <c r="K550" s="31"/>
      <c r="L550" s="68"/>
    </row>
    <row r="551" spans="1:12" x14ac:dyDescent="0.25">
      <c r="A551" s="10" t="str">
        <f>IF(B551="","",_xlfn.AGGREGATE(3,5,$B$7:B551))</f>
        <v/>
      </c>
      <c r="B551" s="6"/>
      <c r="C551" s="8"/>
      <c r="D551" s="10"/>
      <c r="E551" s="6"/>
      <c r="F551" s="10"/>
      <c r="G551" s="10"/>
      <c r="H551" s="10"/>
      <c r="I551" s="10"/>
      <c r="J551" s="10"/>
      <c r="K551" s="31"/>
      <c r="L551" s="68"/>
    </row>
    <row r="552" spans="1:12" x14ac:dyDescent="0.25">
      <c r="A552" s="10" t="str">
        <f>IF(B552="","",_xlfn.AGGREGATE(3,5,$B$7:B552))</f>
        <v/>
      </c>
      <c r="B552" s="6"/>
      <c r="C552" s="8"/>
      <c r="D552" s="10"/>
      <c r="E552" s="6"/>
      <c r="F552" s="10"/>
      <c r="G552" s="10"/>
      <c r="H552" s="10"/>
      <c r="I552" s="10"/>
      <c r="J552" s="10"/>
      <c r="K552" s="31"/>
      <c r="L552" s="68"/>
    </row>
    <row r="553" spans="1:12" x14ac:dyDescent="0.25">
      <c r="A553" s="10" t="str">
        <f>IF(B553="","",_xlfn.AGGREGATE(3,5,$B$7:B553))</f>
        <v/>
      </c>
      <c r="B553" s="6"/>
      <c r="C553" s="8"/>
      <c r="D553" s="10"/>
      <c r="E553" s="6"/>
      <c r="F553" s="10"/>
      <c r="G553" s="10"/>
      <c r="H553" s="10"/>
      <c r="I553" s="10"/>
      <c r="J553" s="10"/>
      <c r="K553" s="31"/>
      <c r="L553" s="68"/>
    </row>
    <row r="554" spans="1:12" x14ac:dyDescent="0.25">
      <c r="A554" s="10" t="str">
        <f>IF(B554="","",_xlfn.AGGREGATE(3,5,$B$7:B554))</f>
        <v/>
      </c>
      <c r="B554" s="6"/>
      <c r="C554" s="8"/>
      <c r="D554" s="10"/>
      <c r="E554" s="6"/>
      <c r="F554" s="10"/>
      <c r="G554" s="10"/>
      <c r="H554" s="10"/>
      <c r="I554" s="10"/>
      <c r="J554" s="10"/>
      <c r="K554" s="31"/>
      <c r="L554" s="68"/>
    </row>
    <row r="555" spans="1:12" x14ac:dyDescent="0.25">
      <c r="A555" s="10" t="str">
        <f>IF(B555="","",_xlfn.AGGREGATE(3,5,$B$7:B555))</f>
        <v/>
      </c>
      <c r="B555" s="6"/>
      <c r="C555" s="8"/>
      <c r="D555" s="10"/>
      <c r="E555" s="6"/>
      <c r="F555" s="10"/>
      <c r="G555" s="10"/>
      <c r="H555" s="10"/>
      <c r="I555" s="10"/>
      <c r="J555" s="10"/>
      <c r="K555" s="31"/>
      <c r="L555" s="68"/>
    </row>
    <row r="556" spans="1:12" x14ac:dyDescent="0.25">
      <c r="A556" s="10" t="str">
        <f>IF(B556="","",_xlfn.AGGREGATE(3,5,$B$7:B556))</f>
        <v/>
      </c>
      <c r="B556" s="6"/>
      <c r="C556" s="8"/>
      <c r="D556" s="10"/>
      <c r="E556" s="6"/>
      <c r="F556" s="10"/>
      <c r="G556" s="10"/>
      <c r="H556" s="10"/>
      <c r="I556" s="10"/>
      <c r="J556" s="10"/>
      <c r="K556" s="31"/>
      <c r="L556" s="68"/>
    </row>
    <row r="557" spans="1:12" x14ac:dyDescent="0.25">
      <c r="A557" s="10" t="str">
        <f>IF(B557="","",_xlfn.AGGREGATE(3,5,$B$7:B557))</f>
        <v/>
      </c>
      <c r="B557" s="6"/>
      <c r="C557" s="8"/>
      <c r="D557" s="10"/>
      <c r="E557" s="6"/>
      <c r="F557" s="10"/>
      <c r="G557" s="10"/>
      <c r="H557" s="10"/>
      <c r="I557" s="10"/>
      <c r="J557" s="10"/>
      <c r="K557" s="31"/>
      <c r="L557" s="68"/>
    </row>
    <row r="558" spans="1:12" x14ac:dyDescent="0.25">
      <c r="A558" s="10" t="str">
        <f>IF(B558="","",_xlfn.AGGREGATE(3,5,$B$7:B558))</f>
        <v/>
      </c>
      <c r="B558" s="6"/>
      <c r="C558" s="8"/>
      <c r="D558" s="10"/>
      <c r="E558" s="6"/>
      <c r="F558" s="10"/>
      <c r="G558" s="10"/>
      <c r="H558" s="10"/>
      <c r="I558" s="10"/>
      <c r="J558" s="10"/>
      <c r="K558" s="31"/>
      <c r="L558" s="68"/>
    </row>
    <row r="559" spans="1:12" x14ac:dyDescent="0.25">
      <c r="A559" s="10" t="str">
        <f>IF(B559="","",_xlfn.AGGREGATE(3,5,$B$7:B559))</f>
        <v/>
      </c>
      <c r="B559" s="6"/>
      <c r="C559" s="8"/>
      <c r="D559" s="10"/>
      <c r="E559" s="6"/>
      <c r="F559" s="10"/>
      <c r="G559" s="10"/>
      <c r="H559" s="10"/>
      <c r="I559" s="10"/>
      <c r="J559" s="10"/>
      <c r="K559" s="31"/>
      <c r="L559" s="68"/>
    </row>
    <row r="560" spans="1:12" x14ac:dyDescent="0.25">
      <c r="A560" s="10" t="str">
        <f>IF(B560="","",_xlfn.AGGREGATE(3,5,$B$7:B560))</f>
        <v/>
      </c>
      <c r="B560" s="6"/>
      <c r="C560" s="8"/>
      <c r="D560" s="10"/>
      <c r="E560" s="6"/>
      <c r="F560" s="10"/>
      <c r="G560" s="10"/>
      <c r="H560" s="10"/>
      <c r="I560" s="10"/>
      <c r="J560" s="10"/>
      <c r="K560" s="31"/>
      <c r="L560" s="68"/>
    </row>
    <row r="561" spans="1:12" x14ac:dyDescent="0.25">
      <c r="A561" s="10" t="str">
        <f>IF(B561="","",_xlfn.AGGREGATE(3,5,$B$7:B561))</f>
        <v/>
      </c>
      <c r="B561" s="6"/>
      <c r="C561" s="8"/>
      <c r="D561" s="10"/>
      <c r="E561" s="6"/>
      <c r="F561" s="10"/>
      <c r="G561" s="10"/>
      <c r="H561" s="10"/>
      <c r="I561" s="10"/>
      <c r="J561" s="10"/>
      <c r="K561" s="31"/>
      <c r="L561" s="68"/>
    </row>
    <row r="562" spans="1:12" x14ac:dyDescent="0.25">
      <c r="A562" s="10" t="str">
        <f>IF(B562="","",_xlfn.AGGREGATE(3,5,$B$7:B562))</f>
        <v/>
      </c>
      <c r="B562" s="6"/>
      <c r="C562" s="8"/>
      <c r="D562" s="10"/>
      <c r="E562" s="6"/>
      <c r="F562" s="10"/>
      <c r="G562" s="10"/>
      <c r="H562" s="10"/>
      <c r="I562" s="10"/>
      <c r="J562" s="10"/>
      <c r="K562" s="31"/>
      <c r="L562" s="68"/>
    </row>
    <row r="563" spans="1:12" x14ac:dyDescent="0.25">
      <c r="A563" s="10" t="str">
        <f>IF(B563="","",_xlfn.AGGREGATE(3,5,$B$7:B563))</f>
        <v/>
      </c>
      <c r="B563" s="6"/>
      <c r="C563" s="8"/>
      <c r="D563" s="10"/>
      <c r="E563" s="6"/>
      <c r="F563" s="10"/>
      <c r="G563" s="10"/>
      <c r="H563" s="10"/>
      <c r="I563" s="10"/>
      <c r="J563" s="10"/>
      <c r="K563" s="31"/>
      <c r="L563" s="68"/>
    </row>
    <row r="564" spans="1:12" x14ac:dyDescent="0.25">
      <c r="A564" s="10" t="str">
        <f>IF(B564="","",_xlfn.AGGREGATE(3,5,$B$7:B564))</f>
        <v/>
      </c>
      <c r="B564" s="6"/>
      <c r="C564" s="8"/>
      <c r="D564" s="10"/>
      <c r="E564" s="6"/>
      <c r="F564" s="10"/>
      <c r="G564" s="10"/>
      <c r="H564" s="10"/>
      <c r="I564" s="10"/>
      <c r="J564" s="10"/>
      <c r="K564" s="31"/>
      <c r="L564" s="68"/>
    </row>
    <row r="565" spans="1:12" x14ac:dyDescent="0.25">
      <c r="A565" s="10" t="str">
        <f>IF(B565="","",_xlfn.AGGREGATE(3,5,$B$7:B565))</f>
        <v/>
      </c>
      <c r="B565" s="6"/>
      <c r="C565" s="8"/>
      <c r="D565" s="10"/>
      <c r="E565" s="6"/>
      <c r="F565" s="10"/>
      <c r="G565" s="10"/>
      <c r="H565" s="10"/>
      <c r="I565" s="10"/>
      <c r="J565" s="10"/>
      <c r="K565" s="31"/>
      <c r="L565" s="68"/>
    </row>
    <row r="566" spans="1:12" x14ac:dyDescent="0.25">
      <c r="A566" s="10" t="str">
        <f>IF(B566="","",_xlfn.AGGREGATE(3,5,$B$7:B566))</f>
        <v/>
      </c>
      <c r="B566" s="6"/>
      <c r="C566" s="8"/>
      <c r="D566" s="10"/>
      <c r="E566" s="6"/>
      <c r="F566" s="10"/>
      <c r="G566" s="10"/>
      <c r="H566" s="10"/>
      <c r="I566" s="10"/>
      <c r="J566" s="10"/>
      <c r="K566" s="31"/>
      <c r="L566" s="68"/>
    </row>
    <row r="567" spans="1:12" x14ac:dyDescent="0.25">
      <c r="A567" s="10" t="str">
        <f>IF(B567="","",_xlfn.AGGREGATE(3,5,$B$7:B567))</f>
        <v/>
      </c>
      <c r="B567" s="6"/>
      <c r="C567" s="8"/>
      <c r="D567" s="10"/>
      <c r="E567" s="6"/>
      <c r="F567" s="10"/>
      <c r="G567" s="10"/>
      <c r="H567" s="10"/>
      <c r="I567" s="10"/>
      <c r="J567" s="10"/>
      <c r="K567" s="31"/>
      <c r="L567" s="68"/>
    </row>
    <row r="568" spans="1:12" x14ac:dyDescent="0.25">
      <c r="A568" s="10" t="str">
        <f>IF(B568="","",_xlfn.AGGREGATE(3,5,$B$7:B568))</f>
        <v/>
      </c>
      <c r="B568" s="6"/>
      <c r="C568" s="8"/>
      <c r="D568" s="10"/>
      <c r="E568" s="6"/>
      <c r="F568" s="10"/>
      <c r="G568" s="10"/>
      <c r="H568" s="10"/>
      <c r="I568" s="10"/>
      <c r="J568" s="10"/>
      <c r="K568" s="31"/>
      <c r="L568" s="68"/>
    </row>
    <row r="569" spans="1:12" x14ac:dyDescent="0.25">
      <c r="A569" s="10" t="str">
        <f>IF(B569="","",_xlfn.AGGREGATE(3,5,$B$7:B569))</f>
        <v/>
      </c>
      <c r="B569" s="6"/>
      <c r="C569" s="8"/>
      <c r="D569" s="10"/>
      <c r="E569" s="6"/>
      <c r="F569" s="10"/>
      <c r="G569" s="10"/>
      <c r="H569" s="10"/>
      <c r="I569" s="10"/>
      <c r="J569" s="10"/>
      <c r="K569" s="31"/>
      <c r="L569" s="68"/>
    </row>
    <row r="570" spans="1:12" x14ac:dyDescent="0.25">
      <c r="A570" s="10" t="str">
        <f>IF(B570="","",_xlfn.AGGREGATE(3,5,$B$7:B570))</f>
        <v/>
      </c>
      <c r="B570" s="6"/>
      <c r="C570" s="8"/>
      <c r="D570" s="10"/>
      <c r="E570" s="6"/>
      <c r="F570" s="10"/>
      <c r="G570" s="10"/>
      <c r="H570" s="10"/>
      <c r="I570" s="10"/>
      <c r="J570" s="10"/>
      <c r="K570" s="31"/>
      <c r="L570" s="68"/>
    </row>
    <row r="571" spans="1:12" x14ac:dyDescent="0.25">
      <c r="A571" s="10" t="str">
        <f>IF(B571="","",_xlfn.AGGREGATE(3,5,$B$7:B571))</f>
        <v/>
      </c>
      <c r="B571" s="6"/>
      <c r="C571" s="8"/>
      <c r="D571" s="10"/>
      <c r="E571" s="6"/>
      <c r="F571" s="10"/>
      <c r="G571" s="10"/>
      <c r="H571" s="10"/>
      <c r="I571" s="10"/>
      <c r="J571" s="10"/>
      <c r="K571" s="31"/>
      <c r="L571" s="68"/>
    </row>
    <row r="572" spans="1:12" x14ac:dyDescent="0.25">
      <c r="A572" s="10" t="str">
        <f>IF(B572="","",_xlfn.AGGREGATE(3,5,$B$7:B572))</f>
        <v/>
      </c>
      <c r="B572" s="6"/>
      <c r="C572" s="8"/>
      <c r="D572" s="10"/>
      <c r="E572" s="6"/>
      <c r="F572" s="10"/>
      <c r="G572" s="10"/>
      <c r="H572" s="10"/>
      <c r="I572" s="10"/>
      <c r="J572" s="10"/>
      <c r="K572" s="31"/>
      <c r="L572" s="68"/>
    </row>
    <row r="573" spans="1:12" x14ac:dyDescent="0.25">
      <c r="A573" s="10" t="str">
        <f>IF(B573="","",_xlfn.AGGREGATE(3,5,$B$7:B573))</f>
        <v/>
      </c>
      <c r="B573" s="6"/>
      <c r="C573" s="8"/>
      <c r="D573" s="10"/>
      <c r="E573" s="6"/>
      <c r="F573" s="10"/>
      <c r="G573" s="10"/>
      <c r="H573" s="10"/>
      <c r="I573" s="10"/>
      <c r="J573" s="10"/>
      <c r="K573" s="31"/>
      <c r="L573" s="68"/>
    </row>
    <row r="574" spans="1:12" x14ac:dyDescent="0.25">
      <c r="A574" s="10" t="str">
        <f>IF(B574="","",_xlfn.AGGREGATE(3,5,$B$7:B574))</f>
        <v/>
      </c>
      <c r="B574" s="6"/>
      <c r="C574" s="8"/>
      <c r="D574" s="10"/>
      <c r="E574" s="6"/>
      <c r="F574" s="10"/>
      <c r="G574" s="10"/>
      <c r="H574" s="10"/>
      <c r="I574" s="10"/>
      <c r="J574" s="10"/>
      <c r="K574" s="31"/>
      <c r="L574" s="68"/>
    </row>
    <row r="575" spans="1:12" x14ac:dyDescent="0.25">
      <c r="A575" s="10" t="str">
        <f>IF(B575="","",_xlfn.AGGREGATE(3,5,$B$7:B575))</f>
        <v/>
      </c>
      <c r="B575" s="6"/>
      <c r="C575" s="8"/>
      <c r="D575" s="10"/>
      <c r="E575" s="6"/>
      <c r="F575" s="10"/>
      <c r="G575" s="10"/>
      <c r="H575" s="10"/>
      <c r="I575" s="10"/>
      <c r="J575" s="10"/>
      <c r="K575" s="31"/>
      <c r="L575" s="68"/>
    </row>
    <row r="576" spans="1:12" x14ac:dyDescent="0.25">
      <c r="A576" s="10" t="str">
        <f>IF(B576="","",_xlfn.AGGREGATE(3,5,$B$7:B576))</f>
        <v/>
      </c>
      <c r="B576" s="6"/>
      <c r="C576" s="8"/>
      <c r="D576" s="10"/>
      <c r="E576" s="6"/>
      <c r="F576" s="10"/>
      <c r="G576" s="10"/>
      <c r="H576" s="10"/>
      <c r="I576" s="10"/>
      <c r="J576" s="10"/>
      <c r="K576" s="31"/>
      <c r="L576" s="68"/>
    </row>
    <row r="577" spans="1:12" x14ac:dyDescent="0.25">
      <c r="A577" s="10" t="str">
        <f>IF(B577="","",_xlfn.AGGREGATE(3,5,$B$7:B577))</f>
        <v/>
      </c>
      <c r="B577" s="6"/>
      <c r="C577" s="8"/>
      <c r="D577" s="10"/>
      <c r="E577" s="6"/>
      <c r="F577" s="10"/>
      <c r="G577" s="10"/>
      <c r="H577" s="10"/>
      <c r="I577" s="10"/>
      <c r="J577" s="10"/>
      <c r="K577" s="31"/>
      <c r="L577" s="68"/>
    </row>
    <row r="578" spans="1:12" x14ac:dyDescent="0.25">
      <c r="A578" s="10" t="str">
        <f>IF(B578="","",_xlfn.AGGREGATE(3,5,$B$7:B578))</f>
        <v/>
      </c>
      <c r="B578" s="6"/>
      <c r="C578" s="8"/>
      <c r="D578" s="10"/>
      <c r="E578" s="6"/>
      <c r="F578" s="10"/>
      <c r="G578" s="10"/>
      <c r="H578" s="10"/>
      <c r="I578" s="10"/>
      <c r="J578" s="10"/>
      <c r="K578" s="31"/>
      <c r="L578" s="68"/>
    </row>
    <row r="579" spans="1:12" x14ac:dyDescent="0.25">
      <c r="A579" s="10" t="str">
        <f>IF(B579="","",_xlfn.AGGREGATE(3,5,$B$7:B579))</f>
        <v/>
      </c>
      <c r="B579" s="6"/>
      <c r="C579" s="8"/>
      <c r="D579" s="10"/>
      <c r="E579" s="6"/>
      <c r="F579" s="10"/>
      <c r="G579" s="10"/>
      <c r="H579" s="10"/>
      <c r="I579" s="10"/>
      <c r="J579" s="10"/>
      <c r="K579" s="31"/>
      <c r="L579" s="68"/>
    </row>
    <row r="580" spans="1:12" x14ac:dyDescent="0.25">
      <c r="A580" s="10" t="str">
        <f>IF(B580="","",_xlfn.AGGREGATE(3,5,$B$7:B580))</f>
        <v/>
      </c>
      <c r="B580" s="6"/>
      <c r="C580" s="8"/>
      <c r="D580" s="10"/>
      <c r="E580" s="6"/>
      <c r="F580" s="10"/>
      <c r="G580" s="10"/>
      <c r="H580" s="10"/>
      <c r="I580" s="10"/>
      <c r="J580" s="10"/>
      <c r="K580" s="31"/>
      <c r="L580" s="68"/>
    </row>
    <row r="581" spans="1:12" x14ac:dyDescent="0.25">
      <c r="A581" s="10" t="str">
        <f>IF(B581="","",_xlfn.AGGREGATE(3,5,$B$7:B581))</f>
        <v/>
      </c>
      <c r="B581" s="6"/>
      <c r="C581" s="8"/>
      <c r="D581" s="10"/>
      <c r="E581" s="6"/>
      <c r="F581" s="10"/>
      <c r="G581" s="10"/>
      <c r="H581" s="10"/>
      <c r="I581" s="10"/>
      <c r="J581" s="10"/>
      <c r="K581" s="31"/>
      <c r="L581" s="68"/>
    </row>
    <row r="582" spans="1:12" x14ac:dyDescent="0.25">
      <c r="A582" s="10" t="str">
        <f>IF(B582="","",_xlfn.AGGREGATE(3,5,$B$7:B582))</f>
        <v/>
      </c>
      <c r="B582" s="6"/>
      <c r="C582" s="8"/>
      <c r="D582" s="10"/>
      <c r="E582" s="6"/>
      <c r="F582" s="10"/>
      <c r="G582" s="10"/>
      <c r="H582" s="10"/>
      <c r="I582" s="10"/>
      <c r="J582" s="10"/>
      <c r="K582" s="31"/>
      <c r="L582" s="68"/>
    </row>
    <row r="583" spans="1:12" x14ac:dyDescent="0.25">
      <c r="A583" s="10" t="str">
        <f>IF(B583="","",_xlfn.AGGREGATE(3,5,$B$7:B583))</f>
        <v/>
      </c>
      <c r="B583" s="6"/>
      <c r="C583" s="8"/>
      <c r="D583" s="10"/>
      <c r="E583" s="6"/>
      <c r="F583" s="10"/>
      <c r="G583" s="10"/>
      <c r="H583" s="10"/>
      <c r="I583" s="10"/>
      <c r="J583" s="10"/>
      <c r="K583" s="31"/>
      <c r="L583" s="68"/>
    </row>
    <row r="584" spans="1:12" x14ac:dyDescent="0.25">
      <c r="A584" s="10" t="str">
        <f>IF(B584="","",_xlfn.AGGREGATE(3,5,$B$7:B584))</f>
        <v/>
      </c>
      <c r="B584" s="6"/>
      <c r="C584" s="8"/>
      <c r="D584" s="10"/>
      <c r="E584" s="6"/>
      <c r="F584" s="10"/>
      <c r="G584" s="10"/>
      <c r="H584" s="10"/>
      <c r="I584" s="10"/>
      <c r="J584" s="10"/>
      <c r="K584" s="31"/>
      <c r="L584" s="68"/>
    </row>
    <row r="585" spans="1:12" x14ac:dyDescent="0.25">
      <c r="A585" s="10" t="str">
        <f>IF(B585="","",_xlfn.AGGREGATE(3,5,$B$7:B585))</f>
        <v/>
      </c>
      <c r="B585" s="6"/>
      <c r="C585" s="8"/>
      <c r="D585" s="10"/>
      <c r="E585" s="6"/>
      <c r="F585" s="10"/>
      <c r="G585" s="10"/>
      <c r="H585" s="10"/>
      <c r="I585" s="10"/>
      <c r="J585" s="10"/>
      <c r="K585" s="31"/>
      <c r="L585" s="68"/>
    </row>
    <row r="586" spans="1:12" x14ac:dyDescent="0.25">
      <c r="A586" s="10" t="str">
        <f>IF(B586="","",_xlfn.AGGREGATE(3,5,$B$7:B586))</f>
        <v/>
      </c>
      <c r="B586" s="6"/>
      <c r="C586" s="8"/>
      <c r="D586" s="10"/>
      <c r="E586" s="6"/>
      <c r="F586" s="10"/>
      <c r="G586" s="10"/>
      <c r="H586" s="10"/>
      <c r="I586" s="10"/>
      <c r="J586" s="10"/>
      <c r="K586" s="31"/>
      <c r="L586" s="68"/>
    </row>
    <row r="587" spans="1:12" x14ac:dyDescent="0.25">
      <c r="A587" s="10" t="str">
        <f>IF(B587="","",_xlfn.AGGREGATE(3,5,$B$7:B587))</f>
        <v/>
      </c>
      <c r="B587" s="6"/>
      <c r="C587" s="8"/>
      <c r="D587" s="10"/>
      <c r="E587" s="6"/>
      <c r="F587" s="10"/>
      <c r="G587" s="10"/>
      <c r="H587" s="10"/>
      <c r="I587" s="10"/>
      <c r="J587" s="10"/>
      <c r="K587" s="31"/>
      <c r="L587" s="68"/>
    </row>
    <row r="588" spans="1:12" x14ac:dyDescent="0.25">
      <c r="A588" s="10" t="str">
        <f>IF(B588="","",_xlfn.AGGREGATE(3,5,$B$7:B588))</f>
        <v/>
      </c>
      <c r="B588" s="6"/>
      <c r="C588" s="8"/>
      <c r="D588" s="10"/>
      <c r="E588" s="6"/>
      <c r="F588" s="10"/>
      <c r="G588" s="10"/>
      <c r="H588" s="10"/>
      <c r="I588" s="10"/>
      <c r="J588" s="10"/>
      <c r="K588" s="31"/>
      <c r="L588" s="68"/>
    </row>
    <row r="589" spans="1:12" x14ac:dyDescent="0.25">
      <c r="A589" s="10" t="str">
        <f>IF(B589="","",_xlfn.AGGREGATE(3,5,$B$7:B589))</f>
        <v/>
      </c>
      <c r="B589" s="6"/>
      <c r="C589" s="8"/>
      <c r="D589" s="10"/>
      <c r="E589" s="6"/>
      <c r="F589" s="10"/>
      <c r="G589" s="10"/>
      <c r="H589" s="10"/>
      <c r="I589" s="10"/>
      <c r="J589" s="10"/>
      <c r="K589" s="31"/>
      <c r="L589" s="68"/>
    </row>
    <row r="590" spans="1:12" x14ac:dyDescent="0.25">
      <c r="A590" s="10" t="str">
        <f>IF(B590="","",_xlfn.AGGREGATE(3,5,$B$7:B590))</f>
        <v/>
      </c>
      <c r="B590" s="6"/>
      <c r="C590" s="8"/>
      <c r="D590" s="10"/>
      <c r="E590" s="6"/>
      <c r="F590" s="10"/>
      <c r="G590" s="10"/>
      <c r="H590" s="10"/>
      <c r="I590" s="10"/>
      <c r="J590" s="10"/>
      <c r="K590" s="31"/>
      <c r="L590" s="68"/>
    </row>
    <row r="591" spans="1:12" x14ac:dyDescent="0.25">
      <c r="A591" s="10" t="str">
        <f>IF(B591="","",_xlfn.AGGREGATE(3,5,$B$7:B591))</f>
        <v/>
      </c>
      <c r="B591" s="6"/>
      <c r="C591" s="8"/>
      <c r="D591" s="10"/>
      <c r="E591" s="6"/>
      <c r="F591" s="10"/>
      <c r="G591" s="10"/>
      <c r="H591" s="10"/>
      <c r="I591" s="10"/>
      <c r="J591" s="10"/>
      <c r="K591" s="31"/>
      <c r="L591" s="68"/>
    </row>
    <row r="592" spans="1:12" x14ac:dyDescent="0.25">
      <c r="A592" s="10" t="str">
        <f>IF(B592="","",_xlfn.AGGREGATE(3,5,$B$7:B592))</f>
        <v/>
      </c>
      <c r="B592" s="6"/>
      <c r="C592" s="8"/>
      <c r="D592" s="10"/>
      <c r="E592" s="6"/>
      <c r="F592" s="10"/>
      <c r="G592" s="10"/>
      <c r="H592" s="10"/>
      <c r="I592" s="10"/>
      <c r="J592" s="10"/>
      <c r="K592" s="31"/>
      <c r="L592" s="68"/>
    </row>
    <row r="593" spans="1:12" x14ac:dyDescent="0.25">
      <c r="A593" s="10" t="str">
        <f>IF(B593="","",_xlfn.AGGREGATE(3,5,$B$7:B593))</f>
        <v/>
      </c>
      <c r="B593" s="6"/>
      <c r="C593" s="8"/>
      <c r="D593" s="10"/>
      <c r="E593" s="6"/>
      <c r="F593" s="10"/>
      <c r="G593" s="10"/>
      <c r="H593" s="10"/>
      <c r="I593" s="10"/>
      <c r="J593" s="10"/>
      <c r="K593" s="31"/>
      <c r="L593" s="68"/>
    </row>
    <row r="594" spans="1:12" x14ac:dyDescent="0.25">
      <c r="A594" s="10" t="str">
        <f>IF(B594="","",_xlfn.AGGREGATE(3,5,$B$7:B594))</f>
        <v/>
      </c>
      <c r="B594" s="6"/>
      <c r="C594" s="8"/>
      <c r="D594" s="10"/>
      <c r="E594" s="6"/>
      <c r="F594" s="10"/>
      <c r="G594" s="10"/>
      <c r="H594" s="10"/>
      <c r="I594" s="10"/>
      <c r="J594" s="10"/>
      <c r="K594" s="31"/>
      <c r="L594" s="68"/>
    </row>
    <row r="595" spans="1:12" x14ac:dyDescent="0.25">
      <c r="A595" s="10" t="str">
        <f>IF(B595="","",_xlfn.AGGREGATE(3,5,$B$7:B595))</f>
        <v/>
      </c>
      <c r="B595" s="6"/>
      <c r="C595" s="8"/>
      <c r="D595" s="10"/>
      <c r="E595" s="6"/>
      <c r="F595" s="10"/>
      <c r="G595" s="10"/>
      <c r="H595" s="10"/>
      <c r="I595" s="10"/>
      <c r="J595" s="10"/>
      <c r="K595" s="31"/>
      <c r="L595" s="68"/>
    </row>
    <row r="596" spans="1:12" x14ac:dyDescent="0.25">
      <c r="A596" s="10" t="str">
        <f>IF(B596="","",_xlfn.AGGREGATE(3,5,$B$7:B596))</f>
        <v/>
      </c>
      <c r="B596" s="6"/>
      <c r="C596" s="8"/>
      <c r="D596" s="10"/>
      <c r="E596" s="6"/>
      <c r="F596" s="10"/>
      <c r="G596" s="10"/>
      <c r="H596" s="10"/>
      <c r="I596" s="10"/>
      <c r="J596" s="10"/>
      <c r="K596" s="31"/>
      <c r="L596" s="68"/>
    </row>
    <row r="597" spans="1:12" x14ac:dyDescent="0.25">
      <c r="A597" s="10" t="str">
        <f>IF(B597="","",_xlfn.AGGREGATE(3,5,$B$7:B597))</f>
        <v/>
      </c>
      <c r="B597" s="6"/>
      <c r="C597" s="8"/>
      <c r="D597" s="10"/>
      <c r="E597" s="6"/>
      <c r="F597" s="10"/>
      <c r="G597" s="10"/>
      <c r="H597" s="10"/>
      <c r="I597" s="10"/>
      <c r="J597" s="10"/>
      <c r="K597" s="31"/>
      <c r="L597" s="68"/>
    </row>
    <row r="598" spans="1:12" x14ac:dyDescent="0.25">
      <c r="A598" s="10" t="str">
        <f>IF(B598="","",_xlfn.AGGREGATE(3,5,$B$7:B598))</f>
        <v/>
      </c>
      <c r="B598" s="6"/>
      <c r="C598" s="8"/>
      <c r="D598" s="10"/>
      <c r="E598" s="6"/>
      <c r="F598" s="10"/>
      <c r="G598" s="10"/>
      <c r="H598" s="10"/>
      <c r="I598" s="10"/>
      <c r="J598" s="10"/>
      <c r="K598" s="31"/>
      <c r="L598" s="68"/>
    </row>
    <row r="599" spans="1:12" x14ac:dyDescent="0.25">
      <c r="A599" s="10" t="str">
        <f>IF(B599="","",_xlfn.AGGREGATE(3,5,$B$7:B599))</f>
        <v/>
      </c>
      <c r="B599" s="6"/>
      <c r="C599" s="8"/>
      <c r="D599" s="10"/>
      <c r="E599" s="6"/>
      <c r="F599" s="10"/>
      <c r="G599" s="10"/>
      <c r="H599" s="10"/>
      <c r="I599" s="10"/>
      <c r="J599" s="10"/>
      <c r="K599" s="31"/>
      <c r="L599" s="68"/>
    </row>
    <row r="600" spans="1:12" x14ac:dyDescent="0.25">
      <c r="A600" s="10" t="str">
        <f>IF(B600="","",_xlfn.AGGREGATE(3,5,$B$7:B600))</f>
        <v/>
      </c>
      <c r="B600" s="6"/>
      <c r="C600" s="8"/>
      <c r="D600" s="10"/>
      <c r="E600" s="6"/>
      <c r="F600" s="10"/>
      <c r="G600" s="10"/>
      <c r="H600" s="10"/>
      <c r="I600" s="10"/>
      <c r="J600" s="10"/>
      <c r="K600" s="31"/>
      <c r="L600" s="68"/>
    </row>
    <row r="601" spans="1:12" x14ac:dyDescent="0.25">
      <c r="A601" s="10" t="str">
        <f>IF(B601="","",_xlfn.AGGREGATE(3,5,$B$7:B601))</f>
        <v/>
      </c>
      <c r="B601" s="6"/>
      <c r="C601" s="8"/>
      <c r="D601" s="10"/>
      <c r="E601" s="6"/>
      <c r="F601" s="10"/>
      <c r="G601" s="10"/>
      <c r="H601" s="10"/>
      <c r="I601" s="10"/>
      <c r="J601" s="10"/>
      <c r="K601" s="31"/>
      <c r="L601" s="68"/>
    </row>
    <row r="602" spans="1:12" x14ac:dyDescent="0.25">
      <c r="A602" s="10" t="str">
        <f>IF(B602="","",_xlfn.AGGREGATE(3,5,$B$7:B602))</f>
        <v/>
      </c>
      <c r="B602" s="6"/>
      <c r="C602" s="8"/>
      <c r="D602" s="10"/>
      <c r="E602" s="6"/>
      <c r="F602" s="10"/>
      <c r="G602" s="10"/>
      <c r="H602" s="10"/>
      <c r="I602" s="10"/>
      <c r="J602" s="10"/>
      <c r="K602" s="31"/>
      <c r="L602" s="68"/>
    </row>
    <row r="603" spans="1:12" x14ac:dyDescent="0.25">
      <c r="A603" s="10" t="str">
        <f>IF(B603="","",_xlfn.AGGREGATE(3,5,$B$7:B603))</f>
        <v/>
      </c>
      <c r="B603" s="6"/>
      <c r="C603" s="8"/>
      <c r="D603" s="10"/>
      <c r="E603" s="6"/>
      <c r="F603" s="10"/>
      <c r="G603" s="10"/>
      <c r="H603" s="10"/>
      <c r="I603" s="10"/>
      <c r="J603" s="10"/>
      <c r="K603" s="31"/>
      <c r="L603" s="68"/>
    </row>
    <row r="604" spans="1:12" x14ac:dyDescent="0.25">
      <c r="A604" s="10" t="str">
        <f>IF(B604="","",_xlfn.AGGREGATE(3,5,$B$7:B604))</f>
        <v/>
      </c>
      <c r="B604" s="6"/>
      <c r="C604" s="8"/>
      <c r="D604" s="10"/>
      <c r="E604" s="6"/>
      <c r="F604" s="10"/>
      <c r="G604" s="10"/>
      <c r="H604" s="10"/>
      <c r="I604" s="10"/>
      <c r="J604" s="10"/>
      <c r="K604" s="31"/>
      <c r="L604" s="68"/>
    </row>
    <row r="605" spans="1:12" x14ac:dyDescent="0.25">
      <c r="A605" s="10" t="str">
        <f>IF(B605="","",_xlfn.AGGREGATE(3,5,$B$7:B605))</f>
        <v/>
      </c>
      <c r="B605" s="6"/>
      <c r="C605" s="8"/>
      <c r="D605" s="10"/>
      <c r="E605" s="6"/>
      <c r="F605" s="10"/>
      <c r="G605" s="10"/>
      <c r="H605" s="10"/>
      <c r="I605" s="10"/>
      <c r="J605" s="10"/>
      <c r="K605" s="31"/>
      <c r="L605" s="68"/>
    </row>
    <row r="606" spans="1:12" x14ac:dyDescent="0.25">
      <c r="A606" s="10" t="str">
        <f>IF(B606="","",_xlfn.AGGREGATE(3,5,$B$7:B606))</f>
        <v/>
      </c>
      <c r="B606" s="6"/>
      <c r="C606" s="8"/>
      <c r="D606" s="10"/>
      <c r="E606" s="6"/>
      <c r="F606" s="10"/>
      <c r="G606" s="10"/>
      <c r="H606" s="10"/>
      <c r="I606" s="10"/>
      <c r="J606" s="10"/>
      <c r="K606" s="31"/>
      <c r="L606" s="68"/>
    </row>
    <row r="607" spans="1:12" x14ac:dyDescent="0.25">
      <c r="A607" s="10" t="str">
        <f>IF(B607="","",_xlfn.AGGREGATE(3,5,$B$7:B607))</f>
        <v/>
      </c>
      <c r="B607" s="6"/>
      <c r="C607" s="8"/>
      <c r="D607" s="10"/>
      <c r="E607" s="6"/>
      <c r="F607" s="10"/>
      <c r="G607" s="10"/>
      <c r="H607" s="10"/>
      <c r="I607" s="10"/>
      <c r="J607" s="10"/>
      <c r="K607" s="31"/>
      <c r="L607" s="68"/>
    </row>
    <row r="608" spans="1:12" x14ac:dyDescent="0.25">
      <c r="A608" s="10" t="str">
        <f>IF(B608="","",_xlfn.AGGREGATE(3,5,$B$7:B608))</f>
        <v/>
      </c>
      <c r="B608" s="6"/>
      <c r="C608" s="8"/>
      <c r="D608" s="10"/>
      <c r="E608" s="6"/>
      <c r="F608" s="10"/>
      <c r="G608" s="10"/>
      <c r="H608" s="10"/>
      <c r="I608" s="10"/>
      <c r="J608" s="10"/>
      <c r="K608" s="31"/>
      <c r="L608" s="68"/>
    </row>
    <row r="609" spans="1:12" x14ac:dyDescent="0.25">
      <c r="A609" s="10" t="str">
        <f>IF(B609="","",_xlfn.AGGREGATE(3,5,$B$7:B609))</f>
        <v/>
      </c>
      <c r="B609" s="6"/>
      <c r="C609" s="8"/>
      <c r="D609" s="10"/>
      <c r="E609" s="6"/>
      <c r="F609" s="10"/>
      <c r="G609" s="10"/>
      <c r="H609" s="10"/>
      <c r="I609" s="10"/>
      <c r="J609" s="10"/>
      <c r="K609" s="31"/>
      <c r="L609" s="68"/>
    </row>
    <row r="610" spans="1:12" x14ac:dyDescent="0.25">
      <c r="A610" s="10" t="str">
        <f>IF(B610="","",_xlfn.AGGREGATE(3,5,$B$7:B610))</f>
        <v/>
      </c>
      <c r="B610" s="6"/>
      <c r="C610" s="8"/>
      <c r="D610" s="10"/>
      <c r="E610" s="6"/>
      <c r="F610" s="10"/>
      <c r="G610" s="10"/>
      <c r="H610" s="10"/>
      <c r="I610" s="10"/>
      <c r="J610" s="10"/>
      <c r="K610" s="31"/>
      <c r="L610" s="68"/>
    </row>
    <row r="611" spans="1:12" x14ac:dyDescent="0.25">
      <c r="A611" s="10" t="str">
        <f>IF(B611="","",_xlfn.AGGREGATE(3,5,$B$7:B611))</f>
        <v/>
      </c>
      <c r="B611" s="6"/>
      <c r="C611" s="8"/>
      <c r="D611" s="10"/>
      <c r="E611" s="6"/>
      <c r="F611" s="10"/>
      <c r="G611" s="10"/>
      <c r="H611" s="10"/>
      <c r="I611" s="10"/>
      <c r="J611" s="10"/>
      <c r="K611" s="31"/>
      <c r="L611" s="68"/>
    </row>
    <row r="612" spans="1:12" x14ac:dyDescent="0.25">
      <c r="A612" s="10" t="str">
        <f>IF(B612="","",_xlfn.AGGREGATE(3,5,$B$7:B612))</f>
        <v/>
      </c>
      <c r="B612" s="6"/>
      <c r="C612" s="8"/>
      <c r="D612" s="10"/>
      <c r="E612" s="6"/>
      <c r="F612" s="10"/>
      <c r="G612" s="10"/>
      <c r="H612" s="10"/>
      <c r="I612" s="10"/>
      <c r="J612" s="10"/>
      <c r="K612" s="31"/>
      <c r="L612" s="68"/>
    </row>
    <row r="613" spans="1:12" x14ac:dyDescent="0.25">
      <c r="A613" s="10" t="str">
        <f>IF(B613="","",_xlfn.AGGREGATE(3,5,$B$7:B613))</f>
        <v/>
      </c>
      <c r="B613" s="6"/>
      <c r="C613" s="8"/>
      <c r="D613" s="10"/>
      <c r="E613" s="6"/>
      <c r="F613" s="10"/>
      <c r="G613" s="10"/>
      <c r="H613" s="10"/>
      <c r="I613" s="10"/>
      <c r="J613" s="10"/>
      <c r="K613" s="31"/>
      <c r="L613" s="68"/>
    </row>
    <row r="614" spans="1:12" x14ac:dyDescent="0.25">
      <c r="A614" s="10" t="str">
        <f>IF(B614="","",_xlfn.AGGREGATE(3,5,$B$7:B614))</f>
        <v/>
      </c>
      <c r="B614" s="6"/>
      <c r="C614" s="8"/>
      <c r="D614" s="10"/>
      <c r="E614" s="6"/>
      <c r="F614" s="10"/>
      <c r="G614" s="10"/>
      <c r="H614" s="10"/>
      <c r="I614" s="10"/>
      <c r="J614" s="10"/>
      <c r="K614" s="31"/>
      <c r="L614" s="68"/>
    </row>
    <row r="615" spans="1:12" x14ac:dyDescent="0.25">
      <c r="A615" s="10" t="str">
        <f>IF(B615="","",_xlfn.AGGREGATE(3,5,$B$7:B615))</f>
        <v/>
      </c>
      <c r="B615" s="6"/>
      <c r="C615" s="8"/>
      <c r="D615" s="10"/>
      <c r="E615" s="6"/>
      <c r="F615" s="10"/>
      <c r="G615" s="10"/>
      <c r="H615" s="10"/>
      <c r="I615" s="10"/>
      <c r="J615" s="10"/>
      <c r="K615" s="31"/>
      <c r="L615" s="68"/>
    </row>
    <row r="616" spans="1:12" x14ac:dyDescent="0.25">
      <c r="A616" s="10" t="str">
        <f>IF(B616="","",_xlfn.AGGREGATE(3,5,$B$7:B616))</f>
        <v/>
      </c>
      <c r="B616" s="6"/>
      <c r="C616" s="8"/>
      <c r="D616" s="10"/>
      <c r="E616" s="6"/>
      <c r="F616" s="10"/>
      <c r="G616" s="10"/>
      <c r="H616" s="10"/>
      <c r="I616" s="10"/>
      <c r="J616" s="10"/>
      <c r="K616" s="31"/>
      <c r="L616" s="68"/>
    </row>
    <row r="617" spans="1:12" x14ac:dyDescent="0.25">
      <c r="A617" s="10" t="str">
        <f>IF(B617="","",_xlfn.AGGREGATE(3,5,$B$7:B617))</f>
        <v/>
      </c>
      <c r="B617" s="6"/>
      <c r="C617" s="8"/>
      <c r="D617" s="10"/>
      <c r="E617" s="6"/>
      <c r="F617" s="10"/>
      <c r="G617" s="10"/>
      <c r="H617" s="10"/>
      <c r="I617" s="10"/>
      <c r="J617" s="10"/>
      <c r="K617" s="31"/>
      <c r="L617" s="68"/>
    </row>
    <row r="618" spans="1:12" x14ac:dyDescent="0.25">
      <c r="A618" s="10" t="str">
        <f>IF(B618="","",_xlfn.AGGREGATE(3,5,$B$7:B618))</f>
        <v/>
      </c>
      <c r="B618" s="6"/>
      <c r="C618" s="8"/>
      <c r="D618" s="10"/>
      <c r="E618" s="6"/>
      <c r="F618" s="10"/>
      <c r="G618" s="10"/>
      <c r="H618" s="10"/>
      <c r="I618" s="10"/>
      <c r="J618" s="10"/>
      <c r="K618" s="31"/>
      <c r="L618" s="68"/>
    </row>
    <row r="619" spans="1:12" x14ac:dyDescent="0.25">
      <c r="A619" s="10" t="str">
        <f>IF(B619="","",_xlfn.AGGREGATE(3,5,$B$7:B619))</f>
        <v/>
      </c>
      <c r="B619" s="6"/>
      <c r="C619" s="8"/>
      <c r="D619" s="10"/>
      <c r="E619" s="6"/>
      <c r="F619" s="10"/>
      <c r="G619" s="10"/>
      <c r="H619" s="10"/>
      <c r="I619" s="10"/>
      <c r="J619" s="10"/>
      <c r="K619" s="31"/>
      <c r="L619" s="68"/>
    </row>
    <row r="620" spans="1:12" x14ac:dyDescent="0.25">
      <c r="A620" s="10" t="str">
        <f>IF(B620="","",_xlfn.AGGREGATE(3,5,$B$7:B620))</f>
        <v/>
      </c>
      <c r="B620" s="6"/>
      <c r="C620" s="8"/>
      <c r="D620" s="10"/>
      <c r="E620" s="6"/>
      <c r="F620" s="10"/>
      <c r="G620" s="10"/>
      <c r="H620" s="10"/>
      <c r="I620" s="10"/>
      <c r="J620" s="10"/>
      <c r="K620" s="31"/>
      <c r="L620" s="68"/>
    </row>
    <row r="621" spans="1:12" x14ac:dyDescent="0.25">
      <c r="A621" s="10" t="str">
        <f>IF(B621="","",_xlfn.AGGREGATE(3,5,$B$7:B621))</f>
        <v/>
      </c>
      <c r="B621" s="6"/>
      <c r="C621" s="8"/>
      <c r="D621" s="10"/>
      <c r="E621" s="6"/>
      <c r="F621" s="10"/>
      <c r="G621" s="10"/>
      <c r="H621" s="10"/>
      <c r="I621" s="10"/>
      <c r="J621" s="10"/>
      <c r="K621" s="31"/>
      <c r="L621" s="68"/>
    </row>
    <row r="622" spans="1:12" x14ac:dyDescent="0.25">
      <c r="A622" s="10" t="str">
        <f>IF(B622="","",_xlfn.AGGREGATE(3,5,$B$7:B622))</f>
        <v/>
      </c>
      <c r="B622" s="6"/>
      <c r="C622" s="8"/>
      <c r="D622" s="10"/>
      <c r="E622" s="6"/>
      <c r="F622" s="10"/>
      <c r="G622" s="10"/>
      <c r="H622" s="10"/>
      <c r="I622" s="10"/>
      <c r="J622" s="10"/>
      <c r="K622" s="31"/>
      <c r="L622" s="68"/>
    </row>
    <row r="623" spans="1:12" x14ac:dyDescent="0.25">
      <c r="A623" s="10" t="str">
        <f>IF(B623="","",_xlfn.AGGREGATE(3,5,$B$7:B623))</f>
        <v/>
      </c>
      <c r="B623" s="6"/>
      <c r="C623" s="8"/>
      <c r="D623" s="10"/>
      <c r="E623" s="6"/>
      <c r="F623" s="10"/>
      <c r="G623" s="10"/>
      <c r="H623" s="10"/>
      <c r="I623" s="10"/>
      <c r="J623" s="10"/>
      <c r="K623" s="31"/>
      <c r="L623" s="68"/>
    </row>
    <row r="624" spans="1:12" x14ac:dyDescent="0.25">
      <c r="A624" s="10" t="str">
        <f>IF(B624="","",_xlfn.AGGREGATE(3,5,$B$7:B624))</f>
        <v/>
      </c>
      <c r="B624" s="6"/>
      <c r="C624" s="8"/>
      <c r="D624" s="10"/>
      <c r="E624" s="6"/>
      <c r="F624" s="10"/>
      <c r="G624" s="10"/>
      <c r="H624" s="10"/>
      <c r="I624" s="10"/>
      <c r="J624" s="10"/>
      <c r="K624" s="31"/>
      <c r="L624" s="68"/>
    </row>
    <row r="625" spans="1:12" x14ac:dyDescent="0.25">
      <c r="A625" s="10" t="str">
        <f>IF(B625="","",_xlfn.AGGREGATE(3,5,$B$7:B625))</f>
        <v/>
      </c>
      <c r="B625" s="6"/>
      <c r="C625" s="8"/>
      <c r="D625" s="10"/>
      <c r="E625" s="6"/>
      <c r="F625" s="10"/>
      <c r="G625" s="10"/>
      <c r="H625" s="10"/>
      <c r="I625" s="10"/>
      <c r="J625" s="10"/>
      <c r="K625" s="31"/>
      <c r="L625" s="68"/>
    </row>
    <row r="626" spans="1:12" x14ac:dyDescent="0.25">
      <c r="A626" s="10" t="str">
        <f>IF(B626="","",_xlfn.AGGREGATE(3,5,$B$7:B626))</f>
        <v/>
      </c>
      <c r="B626" s="6"/>
      <c r="C626" s="8"/>
      <c r="D626" s="10"/>
      <c r="E626" s="6"/>
      <c r="F626" s="10"/>
      <c r="G626" s="10"/>
      <c r="H626" s="10"/>
      <c r="I626" s="10"/>
      <c r="J626" s="10"/>
      <c r="K626" s="31"/>
      <c r="L626" s="68"/>
    </row>
    <row r="627" spans="1:12" x14ac:dyDescent="0.25">
      <c r="A627" s="10" t="str">
        <f>IF(B627="","",_xlfn.AGGREGATE(3,5,$B$7:B627))</f>
        <v/>
      </c>
      <c r="B627" s="6"/>
      <c r="C627" s="8"/>
      <c r="D627" s="10"/>
      <c r="E627" s="6"/>
      <c r="F627" s="10"/>
      <c r="G627" s="10"/>
      <c r="H627" s="10"/>
      <c r="I627" s="10"/>
      <c r="J627" s="10"/>
      <c r="K627" s="31"/>
      <c r="L627" s="68"/>
    </row>
    <row r="628" spans="1:12" x14ac:dyDescent="0.25">
      <c r="A628" s="10" t="str">
        <f>IF(B628="","",_xlfn.AGGREGATE(3,5,$B$7:B628))</f>
        <v/>
      </c>
      <c r="B628" s="6"/>
      <c r="C628" s="8"/>
      <c r="D628" s="10"/>
      <c r="E628" s="6"/>
      <c r="F628" s="10"/>
      <c r="G628" s="10"/>
      <c r="H628" s="10"/>
      <c r="I628" s="10"/>
      <c r="J628" s="10"/>
      <c r="K628" s="31"/>
      <c r="L628" s="68"/>
    </row>
    <row r="629" spans="1:12" x14ac:dyDescent="0.25">
      <c r="A629" s="10" t="str">
        <f>IF(B629="","",_xlfn.AGGREGATE(3,5,$B$7:B629))</f>
        <v/>
      </c>
      <c r="B629" s="6"/>
      <c r="C629" s="8"/>
      <c r="D629" s="10"/>
      <c r="E629" s="6"/>
      <c r="F629" s="10"/>
      <c r="G629" s="10"/>
      <c r="H629" s="10"/>
      <c r="I629" s="10"/>
      <c r="J629" s="10"/>
      <c r="K629" s="31"/>
      <c r="L629" s="68"/>
    </row>
    <row r="630" spans="1:12" x14ac:dyDescent="0.25">
      <c r="A630" s="10" t="str">
        <f>IF(B630="","",_xlfn.AGGREGATE(3,5,$B$7:B630))</f>
        <v/>
      </c>
      <c r="B630" s="6"/>
      <c r="C630" s="8"/>
      <c r="D630" s="10"/>
      <c r="E630" s="6"/>
      <c r="F630" s="10"/>
      <c r="G630" s="10"/>
      <c r="H630" s="10"/>
      <c r="I630" s="10"/>
      <c r="J630" s="10"/>
      <c r="K630" s="31"/>
      <c r="L630" s="68"/>
    </row>
    <row r="631" spans="1:12" x14ac:dyDescent="0.25">
      <c r="A631" s="10" t="str">
        <f>IF(B631="","",_xlfn.AGGREGATE(3,5,$B$7:B631))</f>
        <v/>
      </c>
      <c r="B631" s="6"/>
      <c r="C631" s="8"/>
      <c r="D631" s="10"/>
      <c r="E631" s="6"/>
      <c r="F631" s="10"/>
      <c r="G631" s="10"/>
      <c r="H631" s="10"/>
      <c r="I631" s="10"/>
      <c r="J631" s="10"/>
      <c r="K631" s="31"/>
      <c r="L631" s="68"/>
    </row>
    <row r="632" spans="1:12" x14ac:dyDescent="0.25">
      <c r="A632" s="10" t="str">
        <f>IF(B632="","",_xlfn.AGGREGATE(3,5,$B$7:B632))</f>
        <v/>
      </c>
      <c r="B632" s="6"/>
      <c r="C632" s="8"/>
      <c r="D632" s="10"/>
      <c r="E632" s="6"/>
      <c r="F632" s="10"/>
      <c r="G632" s="10"/>
      <c r="H632" s="10"/>
      <c r="I632" s="10"/>
      <c r="J632" s="10"/>
      <c r="K632" s="31"/>
      <c r="L632" s="68"/>
    </row>
    <row r="633" spans="1:12" x14ac:dyDescent="0.25">
      <c r="A633" s="10" t="str">
        <f>IF(B633="","",_xlfn.AGGREGATE(3,5,$B$7:B633))</f>
        <v/>
      </c>
      <c r="B633" s="6"/>
      <c r="C633" s="8"/>
      <c r="D633" s="10"/>
      <c r="E633" s="6"/>
      <c r="F633" s="10"/>
      <c r="G633" s="10"/>
      <c r="H633" s="10"/>
      <c r="I633" s="10"/>
      <c r="J633" s="10"/>
      <c r="K633" s="31"/>
      <c r="L633" s="68"/>
    </row>
    <row r="634" spans="1:12" x14ac:dyDescent="0.25">
      <c r="A634" s="10" t="str">
        <f>IF(B634="","",_xlfn.AGGREGATE(3,5,$B$7:B634))</f>
        <v/>
      </c>
      <c r="B634" s="6"/>
      <c r="C634" s="8"/>
      <c r="D634" s="10"/>
      <c r="E634" s="6"/>
      <c r="F634" s="10"/>
      <c r="G634" s="10"/>
      <c r="H634" s="10"/>
      <c r="I634" s="10"/>
      <c r="J634" s="10"/>
      <c r="K634" s="31"/>
      <c r="L634" s="68"/>
    </row>
    <row r="635" spans="1:12" x14ac:dyDescent="0.25">
      <c r="A635" s="10" t="str">
        <f>IF(B635="","",_xlfn.AGGREGATE(3,5,$B$7:B635))</f>
        <v/>
      </c>
      <c r="B635" s="6"/>
      <c r="C635" s="8"/>
      <c r="D635" s="10"/>
      <c r="E635" s="6"/>
      <c r="F635" s="10"/>
      <c r="G635" s="10"/>
      <c r="H635" s="10"/>
      <c r="I635" s="10"/>
      <c r="J635" s="10"/>
      <c r="K635" s="31"/>
      <c r="L635" s="68"/>
    </row>
    <row r="636" spans="1:12" x14ac:dyDescent="0.25">
      <c r="A636" s="10" t="str">
        <f>IF(B636="","",_xlfn.AGGREGATE(3,5,$B$7:B636))</f>
        <v/>
      </c>
      <c r="B636" s="6"/>
      <c r="C636" s="8"/>
      <c r="D636" s="10"/>
      <c r="E636" s="6"/>
      <c r="F636" s="10"/>
      <c r="G636" s="10"/>
      <c r="H636" s="10"/>
      <c r="I636" s="10"/>
      <c r="J636" s="10"/>
      <c r="K636" s="31"/>
      <c r="L636" s="68"/>
    </row>
    <row r="637" spans="1:12" x14ac:dyDescent="0.25">
      <c r="A637" s="10" t="str">
        <f>IF(B637="","",_xlfn.AGGREGATE(3,5,$B$7:B637))</f>
        <v/>
      </c>
      <c r="B637" s="6"/>
      <c r="C637" s="8"/>
      <c r="D637" s="10"/>
      <c r="E637" s="6"/>
      <c r="F637" s="10"/>
      <c r="G637" s="10"/>
      <c r="H637" s="10"/>
      <c r="I637" s="10"/>
      <c r="J637" s="10"/>
      <c r="K637" s="31"/>
      <c r="L637" s="68"/>
    </row>
    <row r="638" spans="1:12" x14ac:dyDescent="0.25">
      <c r="A638" s="10" t="str">
        <f>IF(B638="","",_xlfn.AGGREGATE(3,5,$B$7:B638))</f>
        <v/>
      </c>
      <c r="B638" s="6"/>
      <c r="C638" s="8"/>
      <c r="D638" s="10"/>
      <c r="E638" s="6"/>
      <c r="F638" s="10"/>
      <c r="G638" s="10"/>
      <c r="H638" s="10"/>
      <c r="I638" s="10"/>
      <c r="J638" s="10"/>
      <c r="K638" s="31"/>
      <c r="L638" s="68"/>
    </row>
    <row r="639" spans="1:12" x14ac:dyDescent="0.25">
      <c r="A639" s="10" t="str">
        <f>IF(B639="","",_xlfn.AGGREGATE(3,5,$B$7:B639))</f>
        <v/>
      </c>
      <c r="B639" s="6"/>
      <c r="C639" s="8"/>
      <c r="D639" s="10"/>
      <c r="E639" s="6"/>
      <c r="F639" s="10"/>
      <c r="G639" s="10"/>
      <c r="H639" s="10"/>
      <c r="I639" s="10"/>
      <c r="J639" s="10"/>
      <c r="K639" s="31"/>
      <c r="L639" s="68"/>
    </row>
    <row r="640" spans="1:12" x14ac:dyDescent="0.25">
      <c r="A640" s="10" t="str">
        <f>IF(B640="","",_xlfn.AGGREGATE(3,5,$B$7:B640))</f>
        <v/>
      </c>
      <c r="B640" s="6"/>
      <c r="C640" s="8"/>
      <c r="D640" s="10"/>
      <c r="E640" s="6"/>
      <c r="F640" s="10"/>
      <c r="G640" s="10"/>
      <c r="H640" s="10"/>
      <c r="I640" s="10"/>
      <c r="J640" s="10"/>
      <c r="K640" s="31"/>
      <c r="L640" s="68"/>
    </row>
    <row r="641" spans="1:12" x14ac:dyDescent="0.25">
      <c r="A641" s="10" t="str">
        <f>IF(B641="","",_xlfn.AGGREGATE(3,5,$B$7:B641))</f>
        <v/>
      </c>
      <c r="B641" s="6"/>
      <c r="C641" s="8"/>
      <c r="D641" s="10"/>
      <c r="E641" s="6"/>
      <c r="F641" s="10"/>
      <c r="G641" s="10"/>
      <c r="H641" s="10"/>
      <c r="I641" s="10"/>
      <c r="J641" s="10"/>
      <c r="K641" s="31"/>
      <c r="L641" s="68"/>
    </row>
    <row r="642" spans="1:12" x14ac:dyDescent="0.25">
      <c r="A642" s="10" t="str">
        <f>IF(B642="","",_xlfn.AGGREGATE(3,5,$B$7:B642))</f>
        <v/>
      </c>
      <c r="B642" s="6"/>
      <c r="C642" s="8"/>
      <c r="D642" s="10"/>
      <c r="E642" s="6"/>
      <c r="F642" s="10"/>
      <c r="G642" s="10"/>
      <c r="H642" s="10"/>
      <c r="I642" s="10"/>
      <c r="J642" s="10"/>
      <c r="K642" s="31"/>
      <c r="L642" s="68"/>
    </row>
    <row r="643" spans="1:12" x14ac:dyDescent="0.25">
      <c r="A643" s="10" t="str">
        <f>IF(B643="","",_xlfn.AGGREGATE(3,5,$B$7:B643))</f>
        <v/>
      </c>
      <c r="B643" s="6"/>
      <c r="C643" s="8"/>
      <c r="D643" s="10"/>
      <c r="E643" s="6"/>
      <c r="F643" s="10"/>
      <c r="G643" s="10"/>
      <c r="H643" s="10"/>
      <c r="I643" s="10"/>
      <c r="J643" s="10"/>
      <c r="K643" s="31"/>
      <c r="L643" s="68"/>
    </row>
    <row r="644" spans="1:12" x14ac:dyDescent="0.25">
      <c r="A644" s="10" t="str">
        <f>IF(B644="","",_xlfn.AGGREGATE(3,5,$B$7:B644))</f>
        <v/>
      </c>
      <c r="B644" s="6"/>
      <c r="C644" s="8"/>
      <c r="D644" s="10"/>
      <c r="E644" s="6"/>
      <c r="F644" s="10"/>
      <c r="G644" s="10"/>
      <c r="H644" s="10"/>
      <c r="I644" s="10"/>
      <c r="J644" s="10"/>
      <c r="K644" s="31"/>
      <c r="L644" s="68"/>
    </row>
    <row r="645" spans="1:12" x14ac:dyDescent="0.25">
      <c r="A645" s="10" t="str">
        <f>IF(B645="","",_xlfn.AGGREGATE(3,5,$B$7:B645))</f>
        <v/>
      </c>
      <c r="B645" s="6"/>
      <c r="C645" s="8"/>
      <c r="D645" s="10"/>
      <c r="E645" s="6"/>
      <c r="F645" s="10"/>
      <c r="G645" s="10"/>
      <c r="H645" s="10"/>
      <c r="I645" s="10"/>
      <c r="J645" s="10"/>
      <c r="K645" s="31"/>
      <c r="L645" s="68"/>
    </row>
    <row r="646" spans="1:12" x14ac:dyDescent="0.25">
      <c r="A646" s="10" t="str">
        <f>IF(B646="","",_xlfn.AGGREGATE(3,5,$B$7:B646))</f>
        <v/>
      </c>
      <c r="B646" s="6"/>
      <c r="C646" s="8"/>
      <c r="D646" s="10"/>
      <c r="E646" s="6"/>
      <c r="F646" s="10"/>
      <c r="G646" s="10"/>
      <c r="H646" s="10"/>
      <c r="I646" s="10"/>
      <c r="J646" s="10"/>
      <c r="K646" s="31"/>
      <c r="L646" s="68"/>
    </row>
    <row r="647" spans="1:12" x14ac:dyDescent="0.25">
      <c r="A647" s="10" t="str">
        <f>IF(B647="","",_xlfn.AGGREGATE(3,5,$B$7:B647))</f>
        <v/>
      </c>
      <c r="B647" s="6"/>
      <c r="C647" s="8"/>
      <c r="D647" s="10"/>
      <c r="E647" s="6"/>
      <c r="F647" s="10"/>
      <c r="G647" s="10"/>
      <c r="H647" s="10"/>
      <c r="I647" s="10"/>
      <c r="J647" s="10"/>
      <c r="K647" s="31"/>
      <c r="L647" s="68"/>
    </row>
    <row r="648" spans="1:12" x14ac:dyDescent="0.25">
      <c r="A648" s="10" t="str">
        <f>IF(B648="","",_xlfn.AGGREGATE(3,5,$B$7:B648))</f>
        <v/>
      </c>
      <c r="B648" s="6"/>
      <c r="C648" s="8"/>
      <c r="D648" s="10"/>
      <c r="E648" s="6"/>
      <c r="F648" s="10"/>
      <c r="G648" s="10"/>
      <c r="H648" s="10"/>
      <c r="I648" s="10"/>
      <c r="J648" s="10"/>
      <c r="K648" s="31"/>
      <c r="L648" s="68"/>
    </row>
    <row r="649" spans="1:12" x14ac:dyDescent="0.25">
      <c r="A649" s="10" t="str">
        <f>IF(B649="","",_xlfn.AGGREGATE(3,5,$B$7:B649))</f>
        <v/>
      </c>
      <c r="B649" s="6"/>
      <c r="C649" s="8"/>
      <c r="D649" s="10"/>
      <c r="E649" s="6"/>
      <c r="F649" s="10"/>
      <c r="G649" s="10"/>
      <c r="H649" s="10"/>
      <c r="I649" s="10"/>
      <c r="J649" s="10"/>
      <c r="K649" s="31"/>
      <c r="L649" s="68"/>
    </row>
    <row r="650" spans="1:12" x14ac:dyDescent="0.25">
      <c r="A650" s="10" t="str">
        <f>IF(B650="","",_xlfn.AGGREGATE(3,5,$B$7:B650))</f>
        <v/>
      </c>
      <c r="B650" s="6"/>
      <c r="C650" s="8"/>
      <c r="D650" s="10"/>
      <c r="E650" s="6"/>
      <c r="F650" s="10"/>
      <c r="G650" s="10"/>
      <c r="H650" s="10"/>
      <c r="I650" s="10"/>
      <c r="J650" s="10"/>
      <c r="K650" s="31"/>
      <c r="L650" s="68"/>
    </row>
    <row r="651" spans="1:12" x14ac:dyDescent="0.25">
      <c r="A651" s="10" t="str">
        <f>IF(B651="","",_xlfn.AGGREGATE(3,5,$B$7:B651))</f>
        <v/>
      </c>
      <c r="B651" s="6"/>
      <c r="C651" s="8"/>
      <c r="D651" s="10"/>
      <c r="E651" s="6"/>
      <c r="F651" s="10"/>
      <c r="G651" s="10"/>
      <c r="H651" s="10"/>
      <c r="I651" s="10"/>
      <c r="J651" s="10"/>
      <c r="K651" s="31"/>
      <c r="L651" s="68"/>
    </row>
    <row r="652" spans="1:12" x14ac:dyDescent="0.25">
      <c r="A652" s="10" t="str">
        <f>IF(B652="","",_xlfn.AGGREGATE(3,5,$B$7:B652))</f>
        <v/>
      </c>
      <c r="B652" s="6"/>
      <c r="C652" s="8"/>
      <c r="D652" s="10"/>
      <c r="E652" s="6"/>
      <c r="F652" s="10"/>
      <c r="G652" s="10"/>
      <c r="H652" s="10"/>
      <c r="I652" s="10"/>
      <c r="J652" s="10"/>
      <c r="K652" s="31"/>
      <c r="L652" s="68"/>
    </row>
    <row r="653" spans="1:12" x14ac:dyDescent="0.25">
      <c r="A653" s="10" t="str">
        <f>IF(B653="","",_xlfn.AGGREGATE(3,5,$B$7:B653))</f>
        <v/>
      </c>
      <c r="B653" s="6"/>
      <c r="C653" s="8"/>
      <c r="D653" s="10"/>
      <c r="E653" s="6"/>
      <c r="F653" s="10"/>
      <c r="G653" s="10"/>
      <c r="H653" s="10"/>
      <c r="I653" s="10"/>
      <c r="J653" s="10"/>
      <c r="K653" s="31"/>
      <c r="L653" s="68"/>
    </row>
    <row r="654" spans="1:12" x14ac:dyDescent="0.25">
      <c r="A654" s="10" t="str">
        <f>IF(B654="","",_xlfn.AGGREGATE(3,5,$B$7:B654))</f>
        <v/>
      </c>
      <c r="B654" s="6"/>
      <c r="C654" s="8"/>
      <c r="D654" s="10"/>
      <c r="E654" s="6"/>
      <c r="F654" s="10"/>
      <c r="G654" s="10"/>
      <c r="H654" s="10"/>
      <c r="I654" s="10"/>
      <c r="J654" s="10"/>
      <c r="K654" s="31"/>
      <c r="L654" s="68"/>
    </row>
    <row r="655" spans="1:12" x14ac:dyDescent="0.25">
      <c r="A655" s="10" t="str">
        <f>IF(B655="","",_xlfn.AGGREGATE(3,5,$B$7:B655))</f>
        <v/>
      </c>
      <c r="B655" s="6"/>
      <c r="C655" s="8"/>
      <c r="D655" s="10"/>
      <c r="E655" s="6"/>
      <c r="F655" s="10"/>
      <c r="G655" s="10"/>
      <c r="H655" s="10"/>
      <c r="I655" s="10"/>
      <c r="J655" s="10"/>
      <c r="K655" s="31"/>
      <c r="L655" s="68"/>
    </row>
    <row r="656" spans="1:12" x14ac:dyDescent="0.25">
      <c r="A656" s="10" t="str">
        <f>IF(B656="","",_xlfn.AGGREGATE(3,5,$B$7:B656))</f>
        <v/>
      </c>
      <c r="B656" s="6"/>
      <c r="C656" s="8"/>
      <c r="D656" s="10"/>
      <c r="E656" s="6"/>
      <c r="F656" s="10"/>
      <c r="G656" s="10"/>
      <c r="H656" s="10"/>
      <c r="I656" s="10"/>
      <c r="J656" s="10"/>
      <c r="K656" s="31"/>
      <c r="L656" s="68"/>
    </row>
    <row r="657" spans="1:12" x14ac:dyDescent="0.25">
      <c r="A657" s="10" t="str">
        <f>IF(B657="","",_xlfn.AGGREGATE(3,5,$B$7:B657))</f>
        <v/>
      </c>
      <c r="B657" s="6"/>
      <c r="C657" s="8"/>
      <c r="D657" s="10"/>
      <c r="E657" s="6"/>
      <c r="F657" s="10"/>
      <c r="G657" s="10"/>
      <c r="H657" s="10"/>
      <c r="I657" s="10"/>
      <c r="J657" s="10"/>
      <c r="K657" s="31"/>
      <c r="L657" s="68"/>
    </row>
    <row r="658" spans="1:12" x14ac:dyDescent="0.25">
      <c r="A658" s="10" t="str">
        <f>IF(B658="","",_xlfn.AGGREGATE(3,5,$B$7:B658))</f>
        <v/>
      </c>
      <c r="B658" s="6"/>
      <c r="C658" s="8"/>
      <c r="D658" s="10"/>
      <c r="E658" s="6"/>
      <c r="F658" s="10"/>
      <c r="G658" s="10"/>
      <c r="H658" s="10"/>
      <c r="I658" s="10"/>
      <c r="J658" s="10"/>
      <c r="K658" s="31"/>
      <c r="L658" s="68"/>
    </row>
    <row r="659" spans="1:12" x14ac:dyDescent="0.25">
      <c r="A659" s="10" t="str">
        <f>IF(B659="","",_xlfn.AGGREGATE(3,5,$B$7:B659))</f>
        <v/>
      </c>
      <c r="B659" s="6"/>
      <c r="C659" s="8"/>
      <c r="D659" s="10"/>
      <c r="E659" s="6"/>
      <c r="F659" s="10"/>
      <c r="G659" s="10"/>
      <c r="H659" s="10"/>
      <c r="I659" s="10"/>
      <c r="J659" s="10"/>
      <c r="K659" s="31"/>
      <c r="L659" s="68"/>
    </row>
    <row r="660" spans="1:12" x14ac:dyDescent="0.25">
      <c r="A660" s="10" t="str">
        <f>IF(B660="","",_xlfn.AGGREGATE(3,5,$B$7:B660))</f>
        <v/>
      </c>
      <c r="B660" s="6"/>
      <c r="C660" s="8"/>
      <c r="D660" s="10"/>
      <c r="E660" s="6"/>
      <c r="F660" s="10"/>
      <c r="G660" s="10"/>
      <c r="H660" s="10"/>
      <c r="I660" s="10"/>
      <c r="J660" s="10"/>
      <c r="K660" s="31"/>
      <c r="L660" s="68"/>
    </row>
    <row r="661" spans="1:12" x14ac:dyDescent="0.25">
      <c r="A661" s="10" t="str">
        <f>IF(B661="","",_xlfn.AGGREGATE(3,5,$B$7:B661))</f>
        <v/>
      </c>
      <c r="B661" s="6"/>
      <c r="C661" s="8"/>
      <c r="D661" s="10"/>
      <c r="E661" s="6"/>
      <c r="F661" s="10"/>
      <c r="G661" s="10"/>
      <c r="H661" s="10"/>
      <c r="I661" s="10"/>
      <c r="J661" s="10"/>
      <c r="K661" s="31"/>
      <c r="L661" s="68"/>
    </row>
    <row r="662" spans="1:12" x14ac:dyDescent="0.25">
      <c r="A662" s="10" t="str">
        <f>IF(B662="","",_xlfn.AGGREGATE(3,5,$B$7:B662))</f>
        <v/>
      </c>
      <c r="B662" s="6"/>
      <c r="C662" s="8"/>
      <c r="D662" s="10"/>
      <c r="E662" s="6"/>
      <c r="F662" s="10"/>
      <c r="G662" s="10"/>
      <c r="H662" s="10"/>
      <c r="I662" s="10"/>
      <c r="J662" s="10"/>
      <c r="K662" s="31"/>
      <c r="L662" s="68"/>
    </row>
    <row r="663" spans="1:12" x14ac:dyDescent="0.25">
      <c r="A663" s="10" t="str">
        <f>IF(B663="","",_xlfn.AGGREGATE(3,5,$B$7:B663))</f>
        <v/>
      </c>
      <c r="B663" s="6"/>
      <c r="C663" s="8"/>
      <c r="D663" s="10"/>
      <c r="E663" s="6"/>
      <c r="F663" s="10"/>
      <c r="G663" s="10"/>
      <c r="H663" s="10"/>
      <c r="I663" s="10"/>
      <c r="J663" s="10"/>
      <c r="K663" s="31"/>
      <c r="L663" s="68"/>
    </row>
    <row r="664" spans="1:12" x14ac:dyDescent="0.25">
      <c r="A664" s="10" t="str">
        <f>IF(B664="","",_xlfn.AGGREGATE(3,5,$B$7:B664))</f>
        <v/>
      </c>
      <c r="B664" s="6"/>
      <c r="C664" s="8"/>
      <c r="D664" s="10"/>
      <c r="E664" s="6"/>
      <c r="F664" s="10"/>
      <c r="G664" s="10"/>
      <c r="H664" s="10"/>
      <c r="I664" s="10"/>
      <c r="J664" s="10"/>
      <c r="K664" s="31"/>
      <c r="L664" s="68"/>
    </row>
    <row r="665" spans="1:12" x14ac:dyDescent="0.25">
      <c r="A665" s="10" t="str">
        <f>IF(B665="","",_xlfn.AGGREGATE(3,5,$B$7:B665))</f>
        <v/>
      </c>
      <c r="B665" s="6"/>
      <c r="C665" s="8"/>
      <c r="D665" s="10"/>
      <c r="E665" s="6"/>
      <c r="F665" s="10"/>
      <c r="G665" s="10"/>
      <c r="H665" s="10"/>
      <c r="I665" s="10"/>
      <c r="J665" s="10"/>
      <c r="K665" s="31"/>
      <c r="L665" s="68"/>
    </row>
    <row r="666" spans="1:12" x14ac:dyDescent="0.25">
      <c r="A666" s="10" t="str">
        <f>IF(B666="","",_xlfn.AGGREGATE(3,5,$B$7:B666))</f>
        <v/>
      </c>
      <c r="B666" s="6"/>
      <c r="C666" s="8"/>
      <c r="D666" s="10"/>
      <c r="E666" s="6"/>
      <c r="F666" s="10"/>
      <c r="G666" s="10"/>
      <c r="H666" s="10"/>
      <c r="I666" s="10"/>
      <c r="J666" s="10"/>
      <c r="K666" s="31"/>
      <c r="L666" s="68"/>
    </row>
    <row r="667" spans="1:12" x14ac:dyDescent="0.25">
      <c r="A667" s="10" t="str">
        <f>IF(B667="","",_xlfn.AGGREGATE(3,5,$B$7:B667))</f>
        <v/>
      </c>
      <c r="B667" s="6"/>
      <c r="C667" s="8"/>
      <c r="D667" s="10"/>
      <c r="E667" s="6"/>
      <c r="F667" s="10"/>
      <c r="G667" s="10"/>
      <c r="H667" s="10"/>
      <c r="I667" s="10"/>
      <c r="J667" s="10"/>
      <c r="K667" s="31"/>
      <c r="L667" s="68"/>
    </row>
    <row r="668" spans="1:12" x14ac:dyDescent="0.25">
      <c r="A668" s="10" t="str">
        <f>IF(B668="","",_xlfn.AGGREGATE(3,5,$B$7:B668))</f>
        <v/>
      </c>
      <c r="B668" s="6"/>
      <c r="C668" s="8"/>
      <c r="D668" s="10"/>
      <c r="E668" s="6"/>
      <c r="F668" s="10"/>
      <c r="G668" s="10"/>
      <c r="H668" s="10"/>
      <c r="I668" s="10"/>
      <c r="J668" s="10"/>
      <c r="K668" s="31"/>
      <c r="L668" s="68"/>
    </row>
    <row r="669" spans="1:12" x14ac:dyDescent="0.25">
      <c r="A669" s="10" t="str">
        <f>IF(B669="","",_xlfn.AGGREGATE(3,5,$B$7:B669))</f>
        <v/>
      </c>
      <c r="B669" s="6"/>
      <c r="C669" s="8"/>
      <c r="D669" s="10"/>
      <c r="E669" s="6"/>
      <c r="F669" s="10"/>
      <c r="G669" s="10"/>
      <c r="H669" s="10"/>
      <c r="I669" s="10"/>
      <c r="J669" s="10"/>
      <c r="K669" s="31"/>
      <c r="L669" s="68"/>
    </row>
    <row r="670" spans="1:12" x14ac:dyDescent="0.25">
      <c r="A670" s="10" t="str">
        <f>IF(B670="","",_xlfn.AGGREGATE(3,5,$B$7:B670))</f>
        <v/>
      </c>
      <c r="B670" s="6"/>
      <c r="C670" s="8"/>
      <c r="D670" s="10"/>
      <c r="E670" s="6"/>
      <c r="F670" s="10"/>
      <c r="G670" s="10"/>
      <c r="H670" s="10"/>
      <c r="I670" s="10"/>
      <c r="J670" s="10"/>
      <c r="K670" s="31"/>
      <c r="L670" s="68"/>
    </row>
    <row r="671" spans="1:12" x14ac:dyDescent="0.25">
      <c r="A671" s="10" t="str">
        <f>IF(B671="","",_xlfn.AGGREGATE(3,5,$B$7:B671))</f>
        <v/>
      </c>
      <c r="B671" s="6"/>
      <c r="C671" s="8"/>
      <c r="D671" s="10"/>
      <c r="E671" s="6"/>
      <c r="F671" s="10"/>
      <c r="G671" s="10"/>
      <c r="H671" s="10"/>
      <c r="I671" s="10"/>
      <c r="J671" s="10"/>
      <c r="K671" s="31"/>
      <c r="L671" s="68"/>
    </row>
    <row r="672" spans="1:12" x14ac:dyDescent="0.25">
      <c r="A672" s="10" t="str">
        <f>IF(B672="","",_xlfn.AGGREGATE(3,5,$B$7:B672))</f>
        <v/>
      </c>
      <c r="B672" s="6"/>
      <c r="C672" s="8"/>
      <c r="D672" s="10"/>
      <c r="E672" s="6"/>
      <c r="F672" s="10"/>
      <c r="G672" s="10"/>
      <c r="H672" s="10"/>
      <c r="I672" s="10"/>
      <c r="J672" s="10"/>
      <c r="K672" s="31"/>
      <c r="L672" s="68"/>
    </row>
    <row r="673" spans="1:12" x14ac:dyDescent="0.25">
      <c r="A673" s="10" t="str">
        <f>IF(B673="","",_xlfn.AGGREGATE(3,5,$B$7:B673))</f>
        <v/>
      </c>
      <c r="B673" s="6"/>
      <c r="C673" s="8"/>
      <c r="D673" s="10"/>
      <c r="E673" s="6"/>
      <c r="F673" s="10"/>
      <c r="G673" s="10"/>
      <c r="H673" s="10"/>
      <c r="I673" s="10"/>
      <c r="J673" s="10"/>
      <c r="K673" s="31"/>
      <c r="L673" s="68"/>
    </row>
    <row r="674" spans="1:12" x14ac:dyDescent="0.25">
      <c r="A674" s="10" t="str">
        <f>IF(B674="","",_xlfn.AGGREGATE(3,5,$B$7:B674))</f>
        <v/>
      </c>
      <c r="B674" s="6"/>
      <c r="C674" s="8"/>
      <c r="D674" s="10"/>
      <c r="E674" s="6"/>
      <c r="F674" s="10"/>
      <c r="G674" s="10"/>
      <c r="H674" s="10"/>
      <c r="I674" s="10"/>
      <c r="J674" s="10"/>
      <c r="K674" s="31"/>
      <c r="L674" s="68"/>
    </row>
    <row r="675" spans="1:12" x14ac:dyDescent="0.25">
      <c r="A675" s="10" t="str">
        <f>IF(B675="","",_xlfn.AGGREGATE(3,5,$B$7:B675))</f>
        <v/>
      </c>
      <c r="B675" s="6"/>
      <c r="C675" s="8"/>
      <c r="D675" s="10"/>
      <c r="E675" s="6"/>
      <c r="F675" s="10"/>
      <c r="G675" s="10"/>
      <c r="H675" s="10"/>
      <c r="I675" s="10"/>
      <c r="J675" s="10"/>
      <c r="K675" s="31"/>
      <c r="L675" s="68"/>
    </row>
    <row r="676" spans="1:12" x14ac:dyDescent="0.25">
      <c r="A676" s="10" t="str">
        <f>IF(B676="","",_xlfn.AGGREGATE(3,5,$B$7:B676))</f>
        <v/>
      </c>
      <c r="B676" s="6"/>
      <c r="C676" s="8"/>
      <c r="D676" s="10"/>
      <c r="E676" s="6"/>
      <c r="F676" s="10"/>
      <c r="G676" s="10"/>
      <c r="H676" s="10"/>
      <c r="I676" s="10"/>
      <c r="J676" s="10"/>
      <c r="K676" s="31"/>
      <c r="L676" s="68"/>
    </row>
    <row r="677" spans="1:12" x14ac:dyDescent="0.25">
      <c r="A677" s="10" t="str">
        <f>IF(B677="","",_xlfn.AGGREGATE(3,5,$B$7:B677))</f>
        <v/>
      </c>
      <c r="B677" s="6"/>
      <c r="C677" s="8"/>
      <c r="D677" s="10"/>
      <c r="E677" s="6"/>
      <c r="F677" s="10"/>
      <c r="G677" s="10"/>
      <c r="H677" s="10"/>
      <c r="I677" s="10"/>
      <c r="J677" s="10"/>
      <c r="K677" s="31"/>
      <c r="L677" s="68"/>
    </row>
    <row r="678" spans="1:12" x14ac:dyDescent="0.25">
      <c r="A678" s="10" t="str">
        <f>IF(B678="","",_xlfn.AGGREGATE(3,5,$B$7:B678))</f>
        <v/>
      </c>
      <c r="B678" s="6"/>
      <c r="C678" s="8"/>
      <c r="D678" s="10"/>
      <c r="E678" s="6"/>
      <c r="F678" s="10"/>
      <c r="G678" s="10"/>
      <c r="H678" s="10"/>
      <c r="I678" s="10"/>
      <c r="J678" s="10"/>
      <c r="K678" s="31"/>
      <c r="L678" s="68"/>
    </row>
    <row r="679" spans="1:12" x14ac:dyDescent="0.25">
      <c r="A679" s="10" t="str">
        <f>IF(B679="","",_xlfn.AGGREGATE(3,5,$B$7:B679))</f>
        <v/>
      </c>
      <c r="B679" s="6"/>
      <c r="C679" s="8"/>
      <c r="D679" s="10"/>
      <c r="E679" s="6"/>
      <c r="F679" s="10"/>
      <c r="G679" s="10"/>
      <c r="H679" s="10"/>
      <c r="I679" s="10"/>
      <c r="J679" s="10"/>
      <c r="K679" s="31"/>
      <c r="L679" s="68"/>
    </row>
    <row r="680" spans="1:12" x14ac:dyDescent="0.25">
      <c r="A680" s="10" t="str">
        <f>IF(B680="","",_xlfn.AGGREGATE(3,5,$B$7:B680))</f>
        <v/>
      </c>
      <c r="B680" s="6"/>
      <c r="C680" s="8"/>
      <c r="D680" s="10"/>
      <c r="E680" s="6"/>
      <c r="F680" s="10"/>
      <c r="G680" s="10"/>
      <c r="H680" s="10"/>
      <c r="I680" s="10"/>
      <c r="J680" s="10"/>
      <c r="K680" s="31"/>
      <c r="L680" s="68"/>
    </row>
    <row r="681" spans="1:12" x14ac:dyDescent="0.25">
      <c r="A681" s="10" t="str">
        <f>IF(B681="","",_xlfn.AGGREGATE(3,5,$B$7:B681))</f>
        <v/>
      </c>
      <c r="B681" s="6"/>
      <c r="C681" s="8"/>
      <c r="D681" s="10"/>
      <c r="E681" s="6"/>
      <c r="F681" s="10"/>
      <c r="G681" s="10"/>
      <c r="H681" s="10"/>
      <c r="I681" s="10"/>
      <c r="J681" s="10"/>
      <c r="K681" s="31"/>
      <c r="L681" s="68"/>
    </row>
    <row r="682" spans="1:12" x14ac:dyDescent="0.25">
      <c r="A682" s="10" t="str">
        <f>IF(B682="","",_xlfn.AGGREGATE(3,5,$B$7:B682))</f>
        <v/>
      </c>
      <c r="B682" s="6"/>
      <c r="C682" s="8"/>
      <c r="D682" s="10"/>
      <c r="E682" s="6"/>
      <c r="F682" s="10"/>
      <c r="G682" s="10"/>
      <c r="H682" s="10"/>
      <c r="I682" s="10"/>
      <c r="J682" s="10"/>
      <c r="K682" s="31"/>
      <c r="L682" s="68"/>
    </row>
    <row r="683" spans="1:12" x14ac:dyDescent="0.25">
      <c r="A683" s="10" t="str">
        <f>IF(B683="","",_xlfn.AGGREGATE(3,5,$B$7:B683))</f>
        <v/>
      </c>
      <c r="B683" s="6"/>
      <c r="C683" s="8"/>
      <c r="D683" s="10"/>
      <c r="E683" s="6"/>
      <c r="F683" s="10"/>
      <c r="G683" s="10"/>
      <c r="H683" s="10"/>
      <c r="I683" s="10"/>
      <c r="J683" s="10"/>
      <c r="K683" s="31"/>
      <c r="L683" s="68"/>
    </row>
    <row r="684" spans="1:12" x14ac:dyDescent="0.25">
      <c r="A684" s="10" t="str">
        <f>IF(B684="","",_xlfn.AGGREGATE(3,5,$B$7:B684))</f>
        <v/>
      </c>
      <c r="B684" s="6"/>
      <c r="C684" s="8"/>
      <c r="D684" s="10"/>
      <c r="E684" s="6"/>
      <c r="F684" s="10"/>
      <c r="G684" s="10"/>
      <c r="H684" s="10"/>
      <c r="I684" s="10"/>
      <c r="J684" s="10"/>
      <c r="K684" s="31"/>
      <c r="L684" s="68"/>
    </row>
    <row r="685" spans="1:12" x14ac:dyDescent="0.25">
      <c r="A685" s="10" t="str">
        <f>IF(B685="","",_xlfn.AGGREGATE(3,5,$B$7:B685))</f>
        <v/>
      </c>
      <c r="B685" s="6"/>
      <c r="C685" s="8"/>
      <c r="D685" s="10"/>
      <c r="E685" s="6"/>
      <c r="F685" s="10"/>
      <c r="G685" s="10"/>
      <c r="H685" s="10"/>
      <c r="I685" s="10"/>
      <c r="J685" s="10"/>
      <c r="K685" s="31"/>
      <c r="L685" s="68"/>
    </row>
    <row r="686" spans="1:12" x14ac:dyDescent="0.25">
      <c r="A686" s="10" t="str">
        <f>IF(B686="","",_xlfn.AGGREGATE(3,5,$B$7:B686))</f>
        <v/>
      </c>
      <c r="B686" s="6"/>
      <c r="C686" s="8"/>
      <c r="D686" s="10"/>
      <c r="E686" s="6"/>
      <c r="F686" s="10"/>
      <c r="G686" s="10"/>
      <c r="H686" s="10"/>
      <c r="I686" s="10"/>
      <c r="J686" s="10"/>
      <c r="K686" s="31"/>
      <c r="L686" s="68"/>
    </row>
    <row r="687" spans="1:12" x14ac:dyDescent="0.25">
      <c r="A687" s="10" t="str">
        <f>IF(B687="","",_xlfn.AGGREGATE(3,5,$B$7:B687))</f>
        <v/>
      </c>
      <c r="B687" s="6"/>
      <c r="C687" s="8"/>
      <c r="D687" s="10"/>
      <c r="E687" s="6"/>
      <c r="F687" s="10"/>
      <c r="G687" s="10"/>
      <c r="H687" s="10"/>
      <c r="I687" s="10"/>
      <c r="J687" s="10"/>
      <c r="K687" s="31"/>
      <c r="L687" s="68"/>
    </row>
    <row r="688" spans="1:12" x14ac:dyDescent="0.25">
      <c r="A688" s="10" t="str">
        <f>IF(B688="","",_xlfn.AGGREGATE(3,5,$B$7:B688))</f>
        <v/>
      </c>
      <c r="B688" s="6"/>
      <c r="C688" s="8"/>
      <c r="D688" s="10"/>
      <c r="E688" s="6"/>
      <c r="F688" s="10"/>
      <c r="G688" s="10"/>
      <c r="H688" s="10"/>
      <c r="I688" s="10"/>
      <c r="J688" s="10"/>
      <c r="K688" s="31"/>
      <c r="L688" s="68"/>
    </row>
    <row r="689" spans="1:12" x14ac:dyDescent="0.25">
      <c r="A689" s="10" t="str">
        <f>IF(B689="","",_xlfn.AGGREGATE(3,5,$B$7:B689))</f>
        <v/>
      </c>
      <c r="B689" s="6"/>
      <c r="C689" s="8"/>
      <c r="D689" s="10"/>
      <c r="E689" s="6"/>
      <c r="F689" s="10"/>
      <c r="G689" s="10"/>
      <c r="H689" s="10"/>
      <c r="I689" s="10"/>
      <c r="J689" s="10"/>
      <c r="K689" s="31"/>
      <c r="L689" s="68"/>
    </row>
    <row r="690" spans="1:12" x14ac:dyDescent="0.25">
      <c r="A690" s="10" t="str">
        <f>IF(B690="","",_xlfn.AGGREGATE(3,5,$B$7:B690))</f>
        <v/>
      </c>
      <c r="B690" s="6"/>
      <c r="C690" s="8"/>
      <c r="D690" s="10"/>
      <c r="E690" s="6"/>
      <c r="F690" s="10"/>
      <c r="G690" s="10"/>
      <c r="H690" s="10"/>
      <c r="I690" s="10"/>
      <c r="J690" s="10"/>
      <c r="K690" s="31"/>
      <c r="L690" s="68"/>
    </row>
    <row r="691" spans="1:12" x14ac:dyDescent="0.25">
      <c r="A691" s="10" t="str">
        <f>IF(B691="","",_xlfn.AGGREGATE(3,5,$B$7:B691))</f>
        <v/>
      </c>
      <c r="B691" s="6"/>
      <c r="C691" s="8"/>
      <c r="D691" s="10"/>
      <c r="E691" s="6"/>
      <c r="F691" s="10"/>
      <c r="G691" s="10"/>
      <c r="H691" s="10"/>
      <c r="I691" s="10"/>
      <c r="J691" s="10"/>
      <c r="K691" s="31"/>
      <c r="L691" s="68"/>
    </row>
    <row r="692" spans="1:12" x14ac:dyDescent="0.25">
      <c r="A692" s="10" t="str">
        <f>IF(B692="","",_xlfn.AGGREGATE(3,5,$B$7:B692))</f>
        <v/>
      </c>
      <c r="B692" s="6"/>
      <c r="C692" s="8"/>
      <c r="D692" s="10"/>
      <c r="E692" s="6"/>
      <c r="F692" s="10"/>
      <c r="G692" s="10"/>
      <c r="H692" s="10"/>
      <c r="I692" s="10"/>
      <c r="J692" s="10"/>
      <c r="K692" s="31"/>
      <c r="L692" s="68"/>
    </row>
    <row r="693" spans="1:12" x14ac:dyDescent="0.25">
      <c r="A693" s="10" t="str">
        <f>IF(B693="","",_xlfn.AGGREGATE(3,5,$B$7:B693))</f>
        <v/>
      </c>
      <c r="B693" s="6"/>
      <c r="C693" s="8"/>
      <c r="D693" s="10"/>
      <c r="E693" s="6"/>
      <c r="F693" s="10"/>
      <c r="G693" s="10"/>
      <c r="H693" s="10"/>
      <c r="I693" s="10"/>
      <c r="J693" s="10"/>
      <c r="K693" s="31"/>
      <c r="L693" s="68"/>
    </row>
    <row r="694" spans="1:12" x14ac:dyDescent="0.25">
      <c r="A694" s="10" t="str">
        <f>IF(B694="","",_xlfn.AGGREGATE(3,5,$B$7:B694))</f>
        <v/>
      </c>
      <c r="B694" s="6"/>
      <c r="C694" s="8"/>
      <c r="D694" s="10"/>
      <c r="E694" s="6"/>
      <c r="F694" s="10"/>
      <c r="G694" s="10"/>
      <c r="H694" s="10"/>
      <c r="I694" s="10"/>
      <c r="J694" s="10"/>
      <c r="K694" s="31"/>
      <c r="L694" s="68"/>
    </row>
    <row r="695" spans="1:12" x14ac:dyDescent="0.25">
      <c r="A695" s="10" t="str">
        <f>IF(B695="","",_xlfn.AGGREGATE(3,5,$B$7:B695))</f>
        <v/>
      </c>
      <c r="B695" s="6"/>
      <c r="C695" s="8"/>
      <c r="D695" s="10"/>
      <c r="E695" s="6"/>
      <c r="F695" s="10"/>
      <c r="G695" s="10"/>
      <c r="H695" s="10"/>
      <c r="I695" s="10"/>
      <c r="J695" s="10"/>
      <c r="K695" s="31"/>
      <c r="L695" s="68"/>
    </row>
    <row r="696" spans="1:12" x14ac:dyDescent="0.25">
      <c r="A696" s="10" t="str">
        <f>IF(B696="","",_xlfn.AGGREGATE(3,5,$B$7:B696))</f>
        <v/>
      </c>
      <c r="B696" s="6"/>
      <c r="C696" s="8"/>
      <c r="D696" s="10"/>
      <c r="E696" s="6"/>
      <c r="F696" s="10"/>
      <c r="G696" s="10"/>
      <c r="H696" s="10"/>
      <c r="I696" s="10"/>
      <c r="J696" s="10"/>
      <c r="K696" s="31"/>
      <c r="L696" s="68"/>
    </row>
    <row r="697" spans="1:12" x14ac:dyDescent="0.25">
      <c r="A697" s="10" t="str">
        <f>IF(B697="","",_xlfn.AGGREGATE(3,5,$B$7:B697))</f>
        <v/>
      </c>
      <c r="B697" s="6"/>
      <c r="C697" s="8"/>
      <c r="D697" s="10"/>
      <c r="E697" s="6"/>
      <c r="F697" s="10"/>
      <c r="G697" s="10"/>
      <c r="H697" s="10"/>
      <c r="I697" s="10"/>
      <c r="J697" s="10"/>
      <c r="K697" s="31"/>
      <c r="L697" s="68"/>
    </row>
    <row r="698" spans="1:12" ht="28.5" x14ac:dyDescent="0.25">
      <c r="B698" s="6" t="s">
        <v>100</v>
      </c>
      <c r="C698" s="6"/>
      <c r="E698" s="14" t="s">
        <v>829</v>
      </c>
      <c r="F698" s="10"/>
      <c r="G698" s="10"/>
      <c r="H698" s="10"/>
      <c r="I698" s="10"/>
      <c r="J698" s="10"/>
      <c r="K698" s="31"/>
    </row>
    <row r="699" spans="1:12" x14ac:dyDescent="0.25">
      <c r="B699" s="6"/>
      <c r="C699" s="8"/>
      <c r="D699" s="7"/>
      <c r="E699" s="6"/>
      <c r="F699" s="10"/>
      <c r="G699" s="10"/>
      <c r="H699" s="10"/>
      <c r="I699" s="10"/>
      <c r="J699" s="10"/>
      <c r="K699" s="31"/>
    </row>
    <row r="700" spans="1:12" ht="15" x14ac:dyDescent="0.25">
      <c r="B700" s="63"/>
      <c r="C700" s="8"/>
      <c r="D700" s="7"/>
      <c r="E700" s="26"/>
      <c r="F700" s="10"/>
      <c r="G700" s="10"/>
      <c r="H700" s="10"/>
      <c r="I700" s="10"/>
      <c r="J700" s="10"/>
      <c r="K700" s="31"/>
    </row>
    <row r="701" spans="1:12" x14ac:dyDescent="0.25">
      <c r="B701" s="6"/>
      <c r="C701" s="8"/>
      <c r="D701" s="7"/>
      <c r="E701" s="26"/>
      <c r="F701" s="10"/>
      <c r="G701" s="10"/>
      <c r="H701" s="10"/>
      <c r="I701" s="10"/>
      <c r="J701" s="10"/>
      <c r="K701" s="31"/>
    </row>
    <row r="702" spans="1:12" x14ac:dyDescent="0.25">
      <c r="B702" s="6"/>
      <c r="C702" s="8"/>
      <c r="D702" s="7"/>
      <c r="E702" s="26"/>
      <c r="F702" s="10"/>
      <c r="G702" s="10"/>
      <c r="H702" s="10"/>
      <c r="I702" s="10"/>
      <c r="J702" s="10"/>
      <c r="K702" s="31"/>
    </row>
    <row r="703" spans="1:12" x14ac:dyDescent="0.25">
      <c r="B703" s="6"/>
      <c r="C703" s="8"/>
    </row>
    <row r="708" spans="2:2" x14ac:dyDescent="0.25">
      <c r="B708" s="6"/>
    </row>
  </sheetData>
  <autoFilter ref="A6:P700"/>
  <mergeCells count="1">
    <mergeCell ref="C2:K2"/>
  </mergeCells>
  <phoneticPr fontId="15" type="noConversion"/>
  <conditionalFormatting sqref="A15:A143 A184:A406 A409:A697">
    <cfRule type="expression" dxfId="142" priority="354">
      <formula>COUNTA(A15)&gt;0</formula>
    </cfRule>
  </conditionalFormatting>
  <conditionalFormatting sqref="A6:B14 D6:K77 B15:B61 F78:G78 B131:B134 F372 K372 F373:K373 K444">
    <cfRule type="expression" dxfId="141" priority="363">
      <formula>COUNTA(A6)&gt;0</formula>
    </cfRule>
  </conditionalFormatting>
  <conditionalFormatting sqref="A144:B147 A148:A166">
    <cfRule type="expression" dxfId="140" priority="343">
      <formula>COUNTA(A144)&gt;0</formula>
    </cfRule>
  </conditionalFormatting>
  <conditionalFormatting sqref="A167:B183">
    <cfRule type="expression" dxfId="139" priority="264">
      <formula>COUNTA(A167)&gt;0</formula>
    </cfRule>
  </conditionalFormatting>
  <conditionalFormatting sqref="B63:B77">
    <cfRule type="expression" dxfId="138" priority="126">
      <formula>COUNTA(B63)&gt;0</formula>
    </cfRule>
  </conditionalFormatting>
  <conditionalFormatting sqref="B84:B128">
    <cfRule type="expression" dxfId="137" priority="50">
      <formula>COUNTA(B84)&gt;0</formula>
    </cfRule>
  </conditionalFormatting>
  <conditionalFormatting sqref="B136:B141">
    <cfRule type="expression" dxfId="136" priority="355">
      <formula>COUNTA(B136)&gt;0</formula>
    </cfRule>
  </conditionalFormatting>
  <conditionalFormatting sqref="B148:B149">
    <cfRule type="expression" dxfId="135" priority="335">
      <formula>COUNTA(B148)&gt;0</formula>
    </cfRule>
  </conditionalFormatting>
  <conditionalFormatting sqref="B152:B158">
    <cfRule type="expression" dxfId="134" priority="164">
      <formula>COUNTA(B152)&gt;0</formula>
    </cfRule>
  </conditionalFormatting>
  <conditionalFormatting sqref="B160:B165">
    <cfRule type="expression" dxfId="133" priority="285">
      <formula>COUNTA(B160)&gt;0</formula>
    </cfRule>
  </conditionalFormatting>
  <conditionalFormatting sqref="B184:B188">
    <cfRule type="expression" dxfId="132" priority="256">
      <formula>COUNTA(B184)&gt;0</formula>
    </cfRule>
  </conditionalFormatting>
  <conditionalFormatting sqref="B190">
    <cfRule type="expression" dxfId="131" priority="248">
      <formula>COUNTA(B190)&gt;0</formula>
    </cfRule>
  </conditionalFormatting>
  <conditionalFormatting sqref="B201:B202">
    <cfRule type="expression" dxfId="130" priority="238">
      <formula>COUNTA(B201)&gt;0</formula>
    </cfRule>
  </conditionalFormatting>
  <conditionalFormatting sqref="B231:B233">
    <cfRule type="expression" dxfId="129" priority="220">
      <formula>COUNTA(B231)&gt;0</formula>
    </cfRule>
  </conditionalFormatting>
  <conditionalFormatting sqref="B236:B240 D238:K240">
    <cfRule type="expression" dxfId="128" priority="193">
      <formula>COUNTA(B236)&gt;0</formula>
    </cfRule>
  </conditionalFormatting>
  <conditionalFormatting sqref="B254:B255">
    <cfRule type="expression" dxfId="127" priority="161">
      <formula>COUNTA(B254)&gt;0</formula>
    </cfRule>
  </conditionalFormatting>
  <conditionalFormatting sqref="B267:B272">
    <cfRule type="expression" dxfId="126" priority="135">
      <formula>COUNTA(B267)&gt;0</formula>
    </cfRule>
  </conditionalFormatting>
  <conditionalFormatting sqref="B294:B298 F295:K298 D298 F531:K534">
    <cfRule type="expression" dxfId="125" priority="118">
      <formula>COUNTA(B294)&gt;0</formula>
    </cfRule>
  </conditionalFormatting>
  <conditionalFormatting sqref="B304 E304:K304 F511:K515">
    <cfRule type="expression" dxfId="124" priority="112">
      <formula>COUNTA(B304)&gt;0</formula>
    </cfRule>
  </conditionalFormatting>
  <conditionalFormatting sqref="B312">
    <cfRule type="expression" dxfId="123" priority="101">
      <formula>COUNTA(B312)&gt;0</formula>
    </cfRule>
  </conditionalFormatting>
  <conditionalFormatting sqref="B332">
    <cfRule type="expression" dxfId="122" priority="94">
      <formula>COUNTA(B332)&gt;0</formula>
    </cfRule>
  </conditionalFormatting>
  <conditionalFormatting sqref="B347">
    <cfRule type="expression" dxfId="121" priority="89">
      <formula>COUNTA(B347)&gt;0</formula>
    </cfRule>
  </conditionalFormatting>
  <conditionalFormatting sqref="B355">
    <cfRule type="expression" dxfId="120" priority="85">
      <formula>COUNTA(B355)&gt;0</formula>
    </cfRule>
  </conditionalFormatting>
  <conditionalFormatting sqref="B357">
    <cfRule type="expression" dxfId="119" priority="83">
      <formula>COUNTA(B357)&gt;0</formula>
    </cfRule>
  </conditionalFormatting>
  <conditionalFormatting sqref="B361:B364">
    <cfRule type="expression" dxfId="118" priority="76">
      <formula>COUNTA(B361)&gt;0</formula>
    </cfRule>
  </conditionalFormatting>
  <conditionalFormatting sqref="B367">
    <cfRule type="expression" dxfId="117" priority="73">
      <formula>COUNTA(B367)&gt;0</formula>
    </cfRule>
  </conditionalFormatting>
  <conditionalFormatting sqref="B369">
    <cfRule type="expression" dxfId="116" priority="74">
      <formula>COUNTA(B369)&gt;0</formula>
    </cfRule>
  </conditionalFormatting>
  <conditionalFormatting sqref="B372:B374">
    <cfRule type="expression" dxfId="115" priority="69">
      <formula>COUNTA(B372)&gt;0</formula>
    </cfRule>
  </conditionalFormatting>
  <conditionalFormatting sqref="B386">
    <cfRule type="expression" dxfId="114" priority="67">
      <formula>COUNTA(B386)&gt;0</formula>
    </cfRule>
  </conditionalFormatting>
  <conditionalFormatting sqref="B390:B394">
    <cfRule type="expression" dxfId="113" priority="61">
      <formula>COUNTA(B390)&gt;0</formula>
    </cfRule>
  </conditionalFormatting>
  <conditionalFormatting sqref="B402:B404">
    <cfRule type="expression" dxfId="112" priority="57">
      <formula>COUNTA(B402)&gt;0</formula>
    </cfRule>
  </conditionalFormatting>
  <conditionalFormatting sqref="B406">
    <cfRule type="expression" dxfId="111" priority="56">
      <formula>COUNTA(B406)&gt;0</formula>
    </cfRule>
  </conditionalFormatting>
  <conditionalFormatting sqref="B412">
    <cfRule type="expression" dxfId="110" priority="54">
      <formula>COUNTA(B412)&gt;0</formula>
    </cfRule>
  </conditionalFormatting>
  <conditionalFormatting sqref="B417">
    <cfRule type="expression" dxfId="109" priority="53">
      <formula>COUNTA(B417)&gt;0</formula>
    </cfRule>
  </conditionalFormatting>
  <conditionalFormatting sqref="B419">
    <cfRule type="expression" dxfId="108" priority="52">
      <formula>COUNTA(B419)&gt;0</formula>
    </cfRule>
  </conditionalFormatting>
  <conditionalFormatting sqref="B428">
    <cfRule type="expression" dxfId="107" priority="51">
      <formula>COUNTA(B428)&gt;0</formula>
    </cfRule>
  </conditionalFormatting>
  <conditionalFormatting sqref="B430:B432">
    <cfRule type="expression" dxfId="106" priority="47">
      <formula>COUNTA(B430)&gt;0</formula>
    </cfRule>
  </conditionalFormatting>
  <conditionalFormatting sqref="B436">
    <cfRule type="expression" dxfId="105" priority="46">
      <formula>COUNTA(B436)&gt;0</formula>
    </cfRule>
  </conditionalFormatting>
  <conditionalFormatting sqref="B444">
    <cfRule type="expression" dxfId="104" priority="44">
      <formula>COUNTA(B444)&gt;0</formula>
    </cfRule>
  </conditionalFormatting>
  <conditionalFormatting sqref="B461">
    <cfRule type="expression" dxfId="103" priority="42">
      <formula>COUNTA(B461)&gt;0</formula>
    </cfRule>
  </conditionalFormatting>
  <conditionalFormatting sqref="B464:B470">
    <cfRule type="expression" dxfId="102" priority="36">
      <formula>COUNTA(B464)&gt;0</formula>
    </cfRule>
  </conditionalFormatting>
  <conditionalFormatting sqref="B473:B475">
    <cfRule type="expression" dxfId="101" priority="33">
      <formula>COUNTA(B473)&gt;0</formula>
    </cfRule>
  </conditionalFormatting>
  <conditionalFormatting sqref="B483:B484">
    <cfRule type="expression" dxfId="100" priority="29">
      <formula>COUNTA(B483)&gt;0</formula>
    </cfRule>
  </conditionalFormatting>
  <conditionalFormatting sqref="B488:B491">
    <cfRule type="expression" dxfId="99" priority="25">
      <formula>COUNTA(B488)&gt;0</formula>
    </cfRule>
  </conditionalFormatting>
  <conditionalFormatting sqref="B493:B496">
    <cfRule type="expression" dxfId="98" priority="22">
      <formula>COUNTA(B493)&gt;0</formula>
    </cfRule>
  </conditionalFormatting>
  <conditionalFormatting sqref="B503:B508">
    <cfRule type="expression" dxfId="97" priority="15">
      <formula>COUNTA(B503)&gt;0</formula>
    </cfRule>
  </conditionalFormatting>
  <conditionalFormatting sqref="B511:B516">
    <cfRule type="expression" dxfId="96" priority="9">
      <formula>COUNTA(B511)&gt;0</formula>
    </cfRule>
  </conditionalFormatting>
  <conditionalFormatting sqref="B518">
    <cfRule type="expression" dxfId="95" priority="8">
      <formula>COUNTA(B518)&gt;0</formula>
    </cfRule>
  </conditionalFormatting>
  <conditionalFormatting sqref="B521">
    <cfRule type="expression" dxfId="94" priority="7">
      <formula>COUNTA(B521)&gt;0</formula>
    </cfRule>
  </conditionalFormatting>
  <conditionalFormatting sqref="B531:B534">
    <cfRule type="expression" dxfId="93" priority="3">
      <formula>COUNTA(B531)&gt;0</formula>
    </cfRule>
  </conditionalFormatting>
  <conditionalFormatting sqref="B536">
    <cfRule type="expression" dxfId="92" priority="2">
      <formula>COUNTA(B536)&gt;0</formula>
    </cfRule>
  </conditionalFormatting>
  <conditionalFormatting sqref="B698:B699">
    <cfRule type="expression" dxfId="91" priority="19">
      <formula>COUNTA(B698)&gt;0</formula>
    </cfRule>
  </conditionalFormatting>
  <conditionalFormatting sqref="B708">
    <cfRule type="expression" dxfId="90" priority="137">
      <formula>COUNTA(B708)&gt;0</formula>
    </cfRule>
  </conditionalFormatting>
  <conditionalFormatting sqref="C190">
    <cfRule type="duplicateValues" dxfId="89" priority="247"/>
  </conditionalFormatting>
  <conditionalFormatting sqref="C201">
    <cfRule type="duplicateValues" dxfId="88" priority="240"/>
  </conditionalFormatting>
  <conditionalFormatting sqref="C202:C208">
    <cfRule type="duplicateValues" dxfId="87" priority="237"/>
  </conditionalFormatting>
  <conditionalFormatting sqref="C210:C227">
    <cfRule type="duplicateValues" dxfId="86" priority="228"/>
  </conditionalFormatting>
  <conditionalFormatting sqref="C237">
    <cfRule type="duplicateValues" dxfId="85" priority="209"/>
  </conditionalFormatting>
  <conditionalFormatting sqref="C238">
    <cfRule type="duplicateValues" dxfId="84" priority="205"/>
  </conditionalFormatting>
  <conditionalFormatting sqref="C239">
    <cfRule type="duplicateValues" dxfId="83" priority="203"/>
  </conditionalFormatting>
  <conditionalFormatting sqref="C240">
    <cfRule type="duplicateValues" dxfId="82" priority="192"/>
  </conditionalFormatting>
  <conditionalFormatting sqref="C242">
    <cfRule type="duplicateValues" dxfId="81" priority="176"/>
  </conditionalFormatting>
  <conditionalFormatting sqref="C243:C251">
    <cfRule type="duplicateValues" dxfId="80" priority="172"/>
  </conditionalFormatting>
  <conditionalFormatting sqref="C254">
    <cfRule type="duplicateValues" dxfId="79" priority="166"/>
  </conditionalFormatting>
  <conditionalFormatting sqref="C255">
    <cfRule type="duplicateValues" dxfId="78" priority="162"/>
  </conditionalFormatting>
  <conditionalFormatting sqref="C267">
    <cfRule type="duplicateValues" dxfId="77" priority="154"/>
  </conditionalFormatting>
  <conditionalFormatting sqref="C268">
    <cfRule type="duplicateValues" dxfId="76" priority="149"/>
  </conditionalFormatting>
  <conditionalFormatting sqref="C269">
    <cfRule type="duplicateValues" dxfId="75" priority="146"/>
  </conditionalFormatting>
  <conditionalFormatting sqref="C270">
    <cfRule type="duplicateValues" dxfId="74" priority="141"/>
  </conditionalFormatting>
  <conditionalFormatting sqref="C271">
    <cfRule type="duplicateValues" dxfId="73" priority="139"/>
  </conditionalFormatting>
  <conditionalFormatting sqref="C272">
    <cfRule type="duplicateValues" dxfId="72" priority="134"/>
  </conditionalFormatting>
  <conditionalFormatting sqref="C273">
    <cfRule type="duplicateValues" dxfId="71" priority="131"/>
  </conditionalFormatting>
  <conditionalFormatting sqref="C274">
    <cfRule type="duplicateValues" dxfId="70" priority="130"/>
  </conditionalFormatting>
  <conditionalFormatting sqref="C293">
    <cfRule type="duplicateValues" dxfId="69" priority="86"/>
  </conditionalFormatting>
  <conditionalFormatting sqref="C294">
    <cfRule type="duplicateValues" dxfId="68" priority="128"/>
  </conditionalFormatting>
  <conditionalFormatting sqref="C295">
    <cfRule type="duplicateValues" dxfId="67" priority="124"/>
  </conditionalFormatting>
  <conditionalFormatting sqref="C298">
    <cfRule type="duplicateValues" dxfId="66" priority="117"/>
  </conditionalFormatting>
  <conditionalFormatting sqref="C304">
    <cfRule type="duplicateValues" dxfId="65" priority="111"/>
  </conditionalFormatting>
  <conditionalFormatting sqref="C305">
    <cfRule type="duplicateValues" dxfId="64" priority="108"/>
  </conditionalFormatting>
  <conditionalFormatting sqref="C312">
    <cfRule type="duplicateValues" dxfId="63" priority="102"/>
  </conditionalFormatting>
  <conditionalFormatting sqref="C313">
    <cfRule type="duplicateValues" dxfId="62" priority="99"/>
  </conditionalFormatting>
  <conditionalFormatting sqref="C314">
    <cfRule type="duplicateValues" dxfId="61" priority="98"/>
  </conditionalFormatting>
  <conditionalFormatting sqref="C332">
    <cfRule type="duplicateValues" dxfId="60" priority="93"/>
  </conditionalFormatting>
  <conditionalFormatting sqref="C349">
    <cfRule type="duplicateValues" dxfId="59" priority="88"/>
  </conditionalFormatting>
  <conditionalFormatting sqref="C708:C1048576 C1:C189 C191:C200 C209 C228:C236 C241 C252:C253 C256:C266 C275:C292 C296:C297 C299:C303 C306:C311 C315:C331 C333 C335 C337:C348 C351:C357 C359 C361:C365 C367:C391 C393 C409:C413 C397:C402 C404:C406 C415 C417:C703">
    <cfRule type="duplicateValues" dxfId="58" priority="253"/>
  </conditionalFormatting>
  <conditionalFormatting sqref="D143">
    <cfRule type="expression" dxfId="57" priority="250">
      <formula>COUNTA(D143)&gt;0</formula>
    </cfRule>
  </conditionalFormatting>
  <conditionalFormatting sqref="D190">
    <cfRule type="expression" dxfId="56" priority="243">
      <formula>COUNTA(D190)&gt;0</formula>
    </cfRule>
  </conditionalFormatting>
  <conditionalFormatting sqref="D255">
    <cfRule type="expression" dxfId="55" priority="163">
      <formula>COUNTA(D255)&gt;0</formula>
    </cfRule>
  </conditionalFormatting>
  <conditionalFormatting sqref="D269:D272">
    <cfRule type="expression" dxfId="54" priority="132">
      <formula>COUNTA(D269)&gt;0</formula>
    </cfRule>
  </conditionalFormatting>
  <conditionalFormatting sqref="D295:E295">
    <cfRule type="expression" dxfId="53" priority="123">
      <formula>COUNTA(D295)&gt;0</formula>
    </cfRule>
  </conditionalFormatting>
  <conditionalFormatting sqref="D332:J332">
    <cfRule type="expression" dxfId="52" priority="91">
      <formula>COUNTA(D332)&gt;0</formula>
    </cfRule>
  </conditionalFormatting>
  <conditionalFormatting sqref="D84:K141 K402 K412 K436 F536:K536">
    <cfRule type="expression" dxfId="51" priority="337">
      <formula>COUNTA(D84)&gt;0</formula>
    </cfRule>
  </conditionalFormatting>
  <conditionalFormatting sqref="D144:K188 F235:K235 F469:F470 K471:K475 H483:K483 F484:K484 F495:K496 F503:K508 F518:K519 F521:K521 F698:K699">
    <cfRule type="expression" dxfId="50" priority="249">
      <formula>COUNTA(D144)&gt;0</formula>
    </cfRule>
  </conditionalFormatting>
  <conditionalFormatting sqref="D268:K268">
    <cfRule type="expression" dxfId="49" priority="150">
      <formula>COUNTA(D268)&gt;0</formula>
    </cfRule>
  </conditionalFormatting>
  <conditionalFormatting sqref="D294:K294">
    <cfRule type="expression" dxfId="48" priority="129">
      <formula>COUNTA(D294)&gt;0</formula>
    </cfRule>
  </conditionalFormatting>
  <conditionalFormatting sqref="E201:E208">
    <cfRule type="expression" dxfId="47" priority="236">
      <formula>COUNTA(E201)&gt;0</formula>
    </cfRule>
  </conditionalFormatting>
  <conditionalFormatting sqref="E231:E233">
    <cfRule type="expression" dxfId="46" priority="219">
      <formula>COUNTA(E231)&gt;0</formula>
    </cfRule>
  </conditionalFormatting>
  <conditionalFormatting sqref="E305">
    <cfRule type="expression" dxfId="45" priority="109">
      <formula>COUNTA(E305)&gt;0</formula>
    </cfRule>
  </conditionalFormatting>
  <conditionalFormatting sqref="E339:E347">
    <cfRule type="expression" dxfId="44" priority="90">
      <formula>COUNTA(E339)&gt;0</formula>
    </cfRule>
  </conditionalFormatting>
  <conditionalFormatting sqref="E359">
    <cfRule type="expression" dxfId="43" priority="82">
      <formula>COUNTA(E359)&gt;0</formula>
    </cfRule>
  </conditionalFormatting>
  <conditionalFormatting sqref="E361">
    <cfRule type="expression" dxfId="42" priority="80">
      <formula>COUNTA(E361)&gt;0</formula>
    </cfRule>
  </conditionalFormatting>
  <conditionalFormatting sqref="E368:E369">
    <cfRule type="expression" dxfId="41" priority="75">
      <formula>COUNTA(E368)&gt;0</formula>
    </cfRule>
  </conditionalFormatting>
  <conditionalFormatting sqref="E378:E382">
    <cfRule type="expression" dxfId="40" priority="68">
      <formula>COUNTA(E378)&gt;0</formula>
    </cfRule>
  </conditionalFormatting>
  <conditionalFormatting sqref="E385:E386">
    <cfRule type="expression" dxfId="39" priority="66">
      <formula>COUNTA(E385)&gt;0</formula>
    </cfRule>
  </conditionalFormatting>
  <conditionalFormatting sqref="E403">
    <cfRule type="expression" dxfId="38" priority="58">
      <formula>COUNTA(E403)&gt;0</formula>
    </cfRule>
  </conditionalFormatting>
  <conditionalFormatting sqref="E409">
    <cfRule type="expression" dxfId="37" priority="55">
      <formula>COUNTA(E409)&gt;0</formula>
    </cfRule>
  </conditionalFormatting>
  <conditionalFormatting sqref="E454:E458">
    <cfRule type="expression" dxfId="36" priority="43">
      <formula>COUNTA(E454)&gt;0</formula>
    </cfRule>
  </conditionalFormatting>
  <conditionalFormatting sqref="E477:E480 E523:E526 E700:E702">
    <cfRule type="expression" dxfId="35" priority="31">
      <formula>COUNTA(E477)&gt;0</formula>
    </cfRule>
  </conditionalFormatting>
  <conditionalFormatting sqref="E79:F83">
    <cfRule type="expression" dxfId="34" priority="359">
      <formula>COUNTA(E79)&gt;0</formula>
    </cfRule>
  </conditionalFormatting>
  <conditionalFormatting sqref="E190:J191">
    <cfRule type="expression" dxfId="33" priority="244">
      <formula>COUNTA(E190)&gt;0</formula>
    </cfRule>
  </conditionalFormatting>
  <conditionalFormatting sqref="E272:J272">
    <cfRule type="expression" dxfId="32" priority="133">
      <formula>COUNTA(E272)&gt;0</formula>
    </cfRule>
  </conditionalFormatting>
  <conditionalFormatting sqref="E229:K229">
    <cfRule type="expression" dxfId="31" priority="229">
      <formula>COUNTA(E229)&gt;0</formula>
    </cfRule>
  </conditionalFormatting>
  <conditionalFormatting sqref="E237:K237">
    <cfRule type="expression" dxfId="30" priority="207">
      <formula>COUNTA(E237)&gt;0</formula>
    </cfRule>
  </conditionalFormatting>
  <conditionalFormatting sqref="E256:K256">
    <cfRule type="expression" dxfId="29" priority="159">
      <formula>COUNTA(E256)&gt;0</formula>
    </cfRule>
  </conditionalFormatting>
  <conditionalFormatting sqref="E258:K258">
    <cfRule type="expression" dxfId="28" priority="157">
      <formula>COUNTA(E258)&gt;0</formula>
    </cfRule>
  </conditionalFormatting>
  <conditionalFormatting sqref="E267:K267">
    <cfRule type="expression" dxfId="27" priority="152">
      <formula>COUNTA(E267)&gt;0</formula>
    </cfRule>
  </conditionalFormatting>
  <conditionalFormatting sqref="E269:K271 K392:K394 K428 K464:K469">
    <cfRule type="expression" dxfId="26" priority="138">
      <formula>COUNTA(E269)&gt;0</formula>
    </cfRule>
  </conditionalFormatting>
  <conditionalFormatting sqref="E312:K312">
    <cfRule type="expression" dxfId="25" priority="100">
      <formula>COUNTA(E312)&gt;0</formula>
    </cfRule>
  </conditionalFormatting>
  <conditionalFormatting sqref="E328:K328">
    <cfRule type="expression" dxfId="24" priority="96">
      <formula>COUNTA(E328)&gt;0</formula>
    </cfRule>
  </conditionalFormatting>
  <conditionalFormatting sqref="F201:F227">
    <cfRule type="expression" dxfId="23" priority="231">
      <formula>COUNTA(F201)&gt;0</formula>
    </cfRule>
  </conditionalFormatting>
  <conditionalFormatting sqref="F233:F234">
    <cfRule type="expression" dxfId="22" priority="216">
      <formula>COUNTA(F233)&gt;0</formula>
    </cfRule>
  </conditionalFormatting>
  <conditionalFormatting sqref="F253:F254">
    <cfRule type="expression" dxfId="21" priority="165">
      <formula>COUNTA(F253)&gt;0</formula>
    </cfRule>
  </conditionalFormatting>
  <conditionalFormatting sqref="F261:F264">
    <cfRule type="expression" dxfId="20" priority="156">
      <formula>COUNTA(F261)&gt;0</formula>
    </cfRule>
  </conditionalFormatting>
  <conditionalFormatting sqref="F305:F307 F383">
    <cfRule type="expression" dxfId="19" priority="105">
      <formula>COUNTA(F305)&gt;0</formula>
    </cfRule>
  </conditionalFormatting>
  <conditionalFormatting sqref="F329">
    <cfRule type="expression" dxfId="18" priority="95">
      <formula>COUNTA(F329)&gt;0</formula>
    </cfRule>
  </conditionalFormatting>
  <conditionalFormatting sqref="F242:G251">
    <cfRule type="expression" dxfId="17" priority="170">
      <formula>COUNTA(F242)&gt;0</formula>
    </cfRule>
  </conditionalFormatting>
  <conditionalFormatting sqref="F230:K232">
    <cfRule type="expression" dxfId="16" priority="221">
      <formula>COUNTA(F230)&gt;0</formula>
    </cfRule>
  </conditionalFormatting>
  <conditionalFormatting sqref="G201:G208">
    <cfRule type="expression" dxfId="15" priority="242">
      <formula>COUNTA(G201)&gt;0</formula>
    </cfRule>
  </conditionalFormatting>
  <conditionalFormatting sqref="G210:G227">
    <cfRule type="expression" dxfId="14" priority="232">
      <formula>COUNTA(G210)&gt;0</formula>
    </cfRule>
  </conditionalFormatting>
  <conditionalFormatting sqref="H143">
    <cfRule type="expression" dxfId="13" priority="353">
      <formula>COUNTA(H143)&gt;0</formula>
    </cfRule>
  </conditionalFormatting>
  <conditionalFormatting sqref="H236">
    <cfRule type="expression" dxfId="12" priority="214">
      <formula>COUNTA(H236)&gt;0</formula>
    </cfRule>
  </conditionalFormatting>
  <conditionalFormatting sqref="H201:K201">
    <cfRule type="expression" dxfId="11" priority="241">
      <formula>COUNTA(H201)&gt;0</formula>
    </cfRule>
  </conditionalFormatting>
  <conditionalFormatting sqref="I79:I83">
    <cfRule type="expression" dxfId="10" priority="360">
      <formula>COUNTA(I79)&gt;0</formula>
    </cfRule>
  </conditionalFormatting>
  <conditionalFormatting sqref="I299:I303 I434 I537">
    <cfRule type="expression" dxfId="9" priority="113">
      <formula>COUNTA(I299)&gt;0</formula>
    </cfRule>
  </conditionalFormatting>
  <conditionalFormatting sqref="I305:I306 I383">
    <cfRule type="expression" dxfId="8" priority="106">
      <formula>COUNTA(I305)&gt;0</formula>
    </cfRule>
  </conditionalFormatting>
  <conditionalFormatting sqref="K202:K208">
    <cfRule type="expression" dxfId="7" priority="234">
      <formula>COUNTA(K202)&gt;0</formula>
    </cfRule>
  </conditionalFormatting>
  <conditionalFormatting sqref="K210:K227">
    <cfRule type="expression" dxfId="6" priority="230">
      <formula>COUNTA(K210)&gt;0</formula>
    </cfRule>
  </conditionalFormatting>
  <conditionalFormatting sqref="K236">
    <cfRule type="expression" dxfId="5" priority="213">
      <formula>COUNTA(K236)&gt;0</formula>
    </cfRule>
  </conditionalFormatting>
  <conditionalFormatting sqref="K242:K251">
    <cfRule type="expression" dxfId="4" priority="169">
      <formula>COUNTA(K242)&gt;0</formula>
    </cfRule>
  </conditionalFormatting>
  <conditionalFormatting sqref="K355">
    <cfRule type="expression" dxfId="3" priority="84">
      <formula>COUNTA(K355)&gt;0</formula>
    </cfRule>
  </conditionalFormatting>
  <conditionalFormatting sqref="K362:K363 K430:K432 K489 K491 K494">
    <cfRule type="expression" dxfId="2" priority="77">
      <formula>COUNTA(K362)&gt;0</formula>
    </cfRule>
  </conditionalFormatting>
  <conditionalFormatting sqref="L6">
    <cfRule type="expression" dxfId="1" priority="260">
      <formula>COUNTA(L6)&gt;0</formula>
    </cfRule>
  </conditionalFormatting>
  <conditionalFormatting sqref="B539">
    <cfRule type="expression" dxfId="0" priority="1">
      <formula>COUNTA(B539)&gt;0</formula>
    </cfRule>
  </conditionalFormatting>
  <pageMargins left="0.25" right="0.25" top="0.75" bottom="0.75" header="0.3" footer="0.3"/>
  <pageSetup scale="10" orientation="portrait" r:id="rId1"/>
  <headerFooter>
    <oddFooter>&amp;LBM-QT-QLCL-023-09-05                                                                 &amp;RTrang/page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2022-Nay</vt:lpstr>
      <vt:lpstr>'2022-Nay'!Print_Area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Phuc, Do Thi Hong</dc:creator>
  <cp:lastModifiedBy>Khoi, Le Minh</cp:lastModifiedBy>
  <cp:lastPrinted>2025-10-27T04:15:14Z</cp:lastPrinted>
  <dcterms:created xsi:type="dcterms:W3CDTF">2022-08-26T03:52:57Z</dcterms:created>
  <dcterms:modified xsi:type="dcterms:W3CDTF">2026-05-04T06:37:52Z</dcterms:modified>
</cp:coreProperties>
</file>