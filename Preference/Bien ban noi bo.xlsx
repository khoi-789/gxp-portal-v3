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0490" windowHeight="7620" activeTab="1"/>
  </bookViews>
  <sheets>
    <sheet name="Danh mục" sheetId="3" r:id="rId1"/>
    <sheet name="Theo dõi 2024-2026" sheetId="1" r:id="rId2"/>
    <sheet name="Sheet1" sheetId="4" r:id="rId3"/>
  </sheets>
  <definedNames>
    <definedName name="_xlnm._FilterDatabase" localSheetId="0" hidden="1">'Danh mục'!$A$1:$B$1</definedName>
    <definedName name="_xlnm._FilterDatabase" localSheetId="1" hidden="1">'Theo dõi 2024-2026'!$A$1:$O$1</definedName>
  </definedNames>
  <calcPr calcId="162913"/>
</workbook>
</file>

<file path=xl/calcChain.xml><?xml version="1.0" encoding="utf-8"?>
<calcChain xmlns="http://schemas.openxmlformats.org/spreadsheetml/2006/main">
  <c r="M1444" i="1" l="1"/>
  <c r="M1443" i="1" l="1"/>
  <c r="M1442" i="1"/>
  <c r="M1441" i="1" l="1"/>
  <c r="M1376" i="1" l="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348" i="1" l="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47" i="1"/>
  <c r="M1308" i="1" l="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07" i="1"/>
  <c r="M1276" i="1" l="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275" i="1"/>
  <c r="M1274" i="1" l="1"/>
  <c r="M1261" i="1" l="1"/>
  <c r="M1262" i="1"/>
  <c r="M1263" i="1"/>
  <c r="M1264" i="1"/>
  <c r="M1265" i="1"/>
  <c r="M1266" i="1"/>
  <c r="M1267" i="1"/>
  <c r="M1268" i="1"/>
  <c r="M1269" i="1"/>
  <c r="M1270" i="1"/>
  <c r="M1271" i="1"/>
  <c r="M1272" i="1"/>
  <c r="M1273" i="1"/>
  <c r="M1260" i="1"/>
  <c r="M1259" i="1" l="1"/>
  <c r="M1258" i="1" l="1"/>
  <c r="M1257" i="1"/>
  <c r="M1256" i="1"/>
  <c r="M1255" i="1"/>
  <c r="M1254" i="1" l="1"/>
  <c r="M1253" i="1"/>
  <c r="M1252" i="1" l="1"/>
  <c r="M1251" i="1"/>
  <c r="M1250" i="1" l="1"/>
  <c r="M1249" i="1" l="1"/>
  <c r="M1248" i="1" l="1"/>
  <c r="M1247" i="1"/>
  <c r="M1205" i="1" l="1"/>
  <c r="M1206" i="1"/>
  <c r="M1244" i="1" l="1"/>
  <c r="M1245" i="1"/>
  <c r="M1246" i="1"/>
  <c r="M1243" i="1"/>
  <c r="M1242" i="1" l="1"/>
  <c r="M1241" i="1"/>
  <c r="M1240" i="1"/>
  <c r="M1231" i="1" l="1"/>
  <c r="M1232" i="1"/>
  <c r="M1233" i="1"/>
  <c r="M1234" i="1"/>
  <c r="M1235" i="1"/>
  <c r="M1236" i="1"/>
  <c r="M1237" i="1"/>
  <c r="M1238" i="1"/>
  <c r="M1239" i="1"/>
  <c r="M1214" i="1"/>
  <c r="M1215" i="1"/>
  <c r="M1216" i="1"/>
  <c r="M1217" i="1"/>
  <c r="M1218" i="1"/>
  <c r="M1219" i="1"/>
  <c r="M1220" i="1"/>
  <c r="M1221" i="1"/>
  <c r="M1222" i="1"/>
  <c r="M1223" i="1"/>
  <c r="M1224" i="1"/>
  <c r="M1225" i="1"/>
  <c r="M1226" i="1"/>
  <c r="M1227" i="1"/>
  <c r="M1228" i="1"/>
  <c r="M1229" i="1"/>
  <c r="M1230" i="1"/>
  <c r="M1203" i="1" l="1"/>
  <c r="M1204" i="1"/>
  <c r="M1208" i="1" l="1"/>
  <c r="M1209" i="1"/>
  <c r="M1210" i="1"/>
  <c r="M1211" i="1"/>
  <c r="M1212" i="1"/>
  <c r="M1213" i="1"/>
  <c r="M1207" i="1"/>
  <c r="M1202" i="1" l="1"/>
  <c r="M1201" i="1"/>
  <c r="M1200" i="1" l="1"/>
  <c r="M1197" i="1" l="1"/>
  <c r="M1198" i="1"/>
  <c r="M1199" i="1"/>
  <c r="M1196" i="1"/>
  <c r="M1194" i="1" l="1"/>
  <c r="M1195" i="1"/>
  <c r="M1193" i="1" l="1"/>
  <c r="M1192" i="1" l="1"/>
  <c r="M1191" i="1"/>
  <c r="M1188" i="1" l="1"/>
  <c r="M1189" i="1"/>
  <c r="M1190" i="1"/>
  <c r="M1182" i="1"/>
  <c r="M1183" i="1"/>
  <c r="M1184" i="1"/>
  <c r="M1185" i="1"/>
  <c r="M1186" i="1"/>
  <c r="M1187" i="1"/>
  <c r="M1177" i="1"/>
  <c r="M1178" i="1"/>
  <c r="M1179" i="1"/>
  <c r="M1180" i="1"/>
  <c r="M1181" i="1"/>
  <c r="M1176" i="1"/>
  <c r="M1173" i="1"/>
  <c r="M1174" i="1"/>
  <c r="M1175" i="1"/>
  <c r="M1172" i="1"/>
  <c r="M1170" i="1"/>
  <c r="M1171" i="1"/>
  <c r="M1169" i="1"/>
  <c r="M1168" i="1"/>
  <c r="M1167" i="1"/>
  <c r="M1166" i="1"/>
  <c r="M1165" i="1"/>
  <c r="M1163" i="1"/>
  <c r="M1164" i="1"/>
  <c r="M1161" i="1"/>
  <c r="M1162" i="1"/>
  <c r="M1160" i="1"/>
  <c r="M1155" i="1" l="1"/>
  <c r="M1156" i="1"/>
  <c r="M1157" i="1"/>
  <c r="M1158" i="1"/>
  <c r="M1159" i="1"/>
  <c r="M1114" i="1" l="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13" i="1"/>
  <c r="M1112" i="1" l="1"/>
  <c r="M1107" i="1" l="1"/>
  <c r="M1109" i="1"/>
  <c r="M1110" i="1"/>
  <c r="M1111" i="1"/>
  <c r="M1108" i="1"/>
  <c r="M1106" i="1"/>
  <c r="M1105" i="1" l="1"/>
  <c r="M1021" i="1" l="1"/>
  <c r="M1019" i="1"/>
  <c r="M1020" i="1"/>
  <c r="M1022" i="1"/>
  <c r="M1023" i="1"/>
  <c r="M1030" i="1" l="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029" i="1" l="1"/>
  <c r="M1028" i="1"/>
  <c r="M1027" i="1" l="1"/>
  <c r="M1026" i="1" l="1"/>
  <c r="M1025" i="1" l="1"/>
  <c r="M995" i="1" l="1"/>
  <c r="M996" i="1"/>
  <c r="M997" i="1"/>
  <c r="M998" i="1"/>
  <c r="M999" i="1"/>
  <c r="M1000" i="1"/>
  <c r="M1001" i="1"/>
  <c r="M1002" i="1"/>
  <c r="M1024" i="1" l="1"/>
  <c r="M1018" i="1" l="1"/>
  <c r="M1017" i="1"/>
  <c r="M1016" i="1" l="1"/>
  <c r="M1004" i="1" l="1"/>
  <c r="M1005" i="1"/>
  <c r="M1006" i="1"/>
  <c r="M1007" i="1"/>
  <c r="M1008" i="1"/>
  <c r="M1009" i="1"/>
  <c r="M1010" i="1"/>
  <c r="M1011" i="1"/>
  <c r="M1012" i="1"/>
  <c r="M1013" i="1"/>
  <c r="M1014" i="1"/>
  <c r="M1015"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1003" i="1"/>
  <c r="M936" i="1" l="1"/>
  <c r="M937" i="1"/>
  <c r="M938" i="1"/>
  <c r="M939" i="1"/>
  <c r="M940" i="1"/>
  <c r="M941" i="1"/>
  <c r="M942" i="1"/>
  <c r="M943" i="1"/>
  <c r="M944" i="1"/>
  <c r="M945" i="1"/>
  <c r="M946" i="1"/>
  <c r="M947" i="1"/>
  <c r="M948" i="1"/>
  <c r="M949" i="1"/>
  <c r="M950" i="1"/>
  <c r="M951" i="1"/>
  <c r="M952" i="1"/>
  <c r="M953" i="1"/>
  <c r="M954" i="1"/>
  <c r="M955" i="1"/>
  <c r="M956" i="1"/>
  <c r="M957" i="1"/>
  <c r="M958" i="1"/>
  <c r="M959" i="1"/>
  <c r="M925" i="1" l="1"/>
  <c r="M926" i="1"/>
  <c r="M927" i="1"/>
  <c r="M928" i="1"/>
  <c r="M929" i="1"/>
  <c r="M930" i="1"/>
  <c r="M931" i="1"/>
  <c r="M932" i="1"/>
  <c r="M933" i="1"/>
  <c r="M934" i="1"/>
  <c r="M935" i="1"/>
  <c r="M924" i="1"/>
  <c r="M921" i="1" l="1"/>
  <c r="M922" i="1"/>
  <c r="M923" i="1"/>
  <c r="M920" i="1"/>
  <c r="M919" i="1"/>
  <c r="M918" i="1"/>
  <c r="M917" i="1" l="1"/>
  <c r="M912" i="1"/>
  <c r="M913" i="1"/>
  <c r="M914" i="1"/>
  <c r="M915" i="1"/>
  <c r="M916" i="1"/>
  <c r="M898" i="1" l="1"/>
  <c r="M899" i="1"/>
  <c r="M900" i="1"/>
  <c r="M901" i="1"/>
  <c r="M902" i="1"/>
  <c r="M903" i="1"/>
  <c r="M904" i="1"/>
  <c r="M905" i="1"/>
  <c r="M906" i="1"/>
  <c r="M907" i="1"/>
  <c r="M908" i="1"/>
  <c r="M909" i="1"/>
  <c r="M910" i="1"/>
  <c r="M911" i="1"/>
  <c r="M897" i="1"/>
  <c r="M889" i="1" l="1"/>
  <c r="M890" i="1"/>
  <c r="M891" i="1"/>
  <c r="M892" i="1"/>
  <c r="M893" i="1"/>
  <c r="M894" i="1"/>
  <c r="M895" i="1"/>
  <c r="M896" i="1"/>
  <c r="M874" i="1"/>
  <c r="M875" i="1"/>
  <c r="M876" i="1"/>
  <c r="M877" i="1"/>
  <c r="M878" i="1"/>
  <c r="M879" i="1"/>
  <c r="M880" i="1"/>
  <c r="M881" i="1"/>
  <c r="M882" i="1"/>
  <c r="M883" i="1"/>
  <c r="M884" i="1"/>
  <c r="M885" i="1"/>
  <c r="M886" i="1"/>
  <c r="M887" i="1"/>
  <c r="M888" i="1"/>
  <c r="M873" i="1"/>
  <c r="M872" i="1" l="1"/>
  <c r="M871" i="1" l="1"/>
  <c r="M870" i="1" l="1"/>
  <c r="M869" i="1"/>
  <c r="M868" i="1"/>
  <c r="M867" i="1"/>
  <c r="M866" i="1"/>
  <c r="M865" i="1"/>
  <c r="M864" i="1"/>
  <c r="M863" i="1" l="1"/>
  <c r="M862" i="1" l="1"/>
  <c r="M861" i="1"/>
  <c r="M860" i="1" l="1"/>
  <c r="M859" i="1" l="1"/>
  <c r="M858" i="1" l="1"/>
  <c r="M857" i="1"/>
  <c r="M856" i="1" l="1"/>
  <c r="M855" i="1"/>
  <c r="M854" i="1" l="1"/>
  <c r="M852" i="1" l="1"/>
  <c r="M853" i="1"/>
  <c r="M851" i="1"/>
  <c r="M850" i="1" l="1"/>
  <c r="M849" i="1" l="1"/>
  <c r="M827" i="1" l="1"/>
  <c r="M828" i="1"/>
  <c r="M829" i="1"/>
  <c r="M830" i="1"/>
  <c r="M831" i="1"/>
  <c r="M832" i="1"/>
  <c r="M833" i="1"/>
  <c r="M834" i="1"/>
  <c r="M835" i="1"/>
  <c r="M836" i="1"/>
  <c r="M837" i="1"/>
  <c r="M838" i="1"/>
  <c r="M839" i="1"/>
  <c r="M840" i="1"/>
  <c r="M841" i="1"/>
  <c r="M842" i="1"/>
  <c r="M843" i="1"/>
  <c r="M844" i="1"/>
  <c r="M845" i="1"/>
  <c r="M846" i="1"/>
  <c r="M847" i="1"/>
  <c r="M848" i="1"/>
  <c r="M826" i="1"/>
  <c r="M825" i="1"/>
  <c r="M824" i="1"/>
  <c r="M823" i="1" l="1"/>
  <c r="M822" i="1" l="1"/>
  <c r="M821" i="1"/>
  <c r="M820" i="1" l="1"/>
  <c r="M819" i="1" l="1"/>
  <c r="M818" i="1"/>
  <c r="M804" i="1" l="1"/>
  <c r="M805" i="1"/>
  <c r="M806" i="1"/>
  <c r="M807" i="1"/>
  <c r="M808" i="1"/>
  <c r="M809" i="1"/>
  <c r="M810" i="1"/>
  <c r="M811" i="1"/>
  <c r="M812" i="1"/>
  <c r="M813" i="1"/>
  <c r="M814" i="1"/>
  <c r="M815" i="1"/>
  <c r="M816" i="1"/>
  <c r="M817" i="1"/>
  <c r="M803" i="1"/>
  <c r="M802" i="1"/>
  <c r="M799" i="1" l="1"/>
  <c r="M800" i="1"/>
  <c r="M801" i="1"/>
  <c r="M798" i="1"/>
  <c r="M796" i="1" l="1"/>
  <c r="M797" i="1"/>
  <c r="M795" i="1"/>
  <c r="M794" i="1" l="1"/>
  <c r="M793" i="1"/>
  <c r="M792" i="1" l="1"/>
  <c r="M791" i="1" l="1"/>
  <c r="M790" i="1" l="1"/>
  <c r="M789" i="1"/>
  <c r="M788" i="1" l="1"/>
  <c r="M787" i="1" l="1"/>
  <c r="M785" i="1"/>
  <c r="M786" i="1"/>
  <c r="M782" i="1"/>
  <c r="M783" i="1"/>
  <c r="M784" i="1"/>
  <c r="M781" i="1" l="1"/>
  <c r="M780" i="1"/>
  <c r="M778" i="1"/>
  <c r="M779" i="1"/>
  <c r="M771" i="1"/>
  <c r="M772" i="1"/>
  <c r="M773" i="1"/>
  <c r="M774" i="1"/>
  <c r="M775" i="1"/>
  <c r="M776" i="1"/>
  <c r="M777" i="1"/>
  <c r="M770" i="1"/>
  <c r="M769" i="1"/>
  <c r="M768" i="1"/>
  <c r="M767" i="1"/>
  <c r="M766" i="1"/>
  <c r="M765" i="1"/>
  <c r="M764" i="1"/>
  <c r="M763" i="1"/>
  <c r="M762" i="1"/>
  <c r="M761" i="1"/>
  <c r="M760" i="1"/>
  <c r="M759" i="1"/>
  <c r="M758" i="1"/>
  <c r="M757" i="1"/>
  <c r="M756" i="1"/>
  <c r="M755" i="1"/>
  <c r="M754" i="1"/>
  <c r="M753" i="1"/>
  <c r="M752" i="1"/>
  <c r="M751" i="1"/>
  <c r="M750" i="1"/>
  <c r="M748" i="1"/>
  <c r="M749" i="1"/>
  <c r="M747" i="1"/>
  <c r="M746" i="1"/>
  <c r="M745" i="1"/>
  <c r="M744" i="1"/>
  <c r="M743" i="1"/>
  <c r="M742" i="1"/>
  <c r="M741" i="1"/>
  <c r="M740" i="1"/>
  <c r="M736" i="1"/>
  <c r="M737" i="1"/>
  <c r="M738" i="1"/>
  <c r="M739" i="1"/>
  <c r="M735" i="1"/>
  <c r="M734" i="1"/>
  <c r="M733" i="1"/>
  <c r="L717" i="1"/>
  <c r="L718" i="1"/>
  <c r="L719" i="1"/>
  <c r="L720" i="1"/>
  <c r="L721" i="1"/>
  <c r="L722" i="1"/>
  <c r="L723" i="1"/>
  <c r="L724" i="1"/>
  <c r="L725" i="1"/>
  <c r="L726" i="1"/>
  <c r="L727" i="1"/>
  <c r="L728" i="1"/>
  <c r="L729" i="1"/>
  <c r="L730" i="1"/>
  <c r="L731" i="1"/>
  <c r="L732" i="1"/>
  <c r="L716" i="1"/>
  <c r="M718" i="1"/>
  <c r="M719" i="1"/>
  <c r="M720" i="1"/>
  <c r="M721" i="1"/>
  <c r="M722" i="1"/>
  <c r="M723" i="1"/>
  <c r="M724" i="1"/>
  <c r="M725" i="1"/>
  <c r="M726" i="1"/>
  <c r="M727" i="1"/>
  <c r="M728" i="1"/>
  <c r="M729" i="1"/>
  <c r="M730" i="1"/>
  <c r="M731" i="1"/>
  <c r="M732" i="1"/>
  <c r="M717" i="1"/>
  <c r="M716" i="1"/>
  <c r="M715" i="1"/>
  <c r="M693" i="1"/>
  <c r="M694" i="1"/>
  <c r="M695" i="1"/>
  <c r="M696" i="1"/>
  <c r="M697" i="1"/>
  <c r="M698" i="1"/>
  <c r="M699" i="1"/>
  <c r="M700" i="1"/>
  <c r="M701" i="1"/>
  <c r="M702" i="1"/>
  <c r="M703" i="1"/>
  <c r="M704" i="1"/>
  <c r="M705" i="1"/>
  <c r="M706" i="1"/>
  <c r="M707" i="1"/>
  <c r="M708" i="1"/>
  <c r="M709" i="1"/>
  <c r="M710" i="1"/>
  <c r="M711" i="1"/>
  <c r="M712" i="1"/>
  <c r="M713" i="1"/>
  <c r="M714" i="1"/>
  <c r="M692" i="1"/>
  <c r="M691" i="1"/>
  <c r="M688" i="1"/>
  <c r="M689" i="1"/>
  <c r="M690" i="1"/>
  <c r="M687" i="1"/>
  <c r="M686" i="1"/>
  <c r="M685" i="1"/>
  <c r="M684" i="1"/>
  <c r="M683" i="1"/>
  <c r="M682" i="1"/>
  <c r="M681" i="1"/>
  <c r="M680" i="1"/>
  <c r="M679" i="1"/>
  <c r="M678"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I192"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alcChain>
</file>

<file path=xl/sharedStrings.xml><?xml version="1.0" encoding="utf-8"?>
<sst xmlns="http://schemas.openxmlformats.org/spreadsheetml/2006/main" count="11947" uniqueCount="3406">
  <si>
    <t>TÊN SẢN PHẨM/ Product's name</t>
  </si>
  <si>
    <t>LPN</t>
  </si>
  <si>
    <t>Ngày</t>
  </si>
  <si>
    <t>HSD</t>
  </si>
  <si>
    <t>SỐ LƯỢNG</t>
  </si>
  <si>
    <t>Chi nhánh</t>
  </si>
  <si>
    <t>Phân loại</t>
  </si>
  <si>
    <t>Nội dung</t>
  </si>
  <si>
    <t>Tình trạng</t>
  </si>
  <si>
    <t>Batch</t>
  </si>
  <si>
    <t>Trả về</t>
  </si>
  <si>
    <t>Hết date tại kho</t>
  </si>
  <si>
    <t>Mô tả</t>
  </si>
  <si>
    <t>Trả về có sự cố nhưng release</t>
  </si>
  <si>
    <t>Theo dõi hàng có BBSC chi nhánh, TBYT hư hỏng trả hãng</t>
  </si>
  <si>
    <t>Hãng yêu cầu xử lý hàng</t>
  </si>
  <si>
    <t>Chuyển hủy theo diện hết date (chỉ mail chỗ chị như / nhóm CXL)</t>
  </si>
  <si>
    <t>INT-0001-24</t>
  </si>
  <si>
    <t>000138900</t>
  </si>
  <si>
    <t>W1C332V</t>
  </si>
  <si>
    <t>SA5211011</t>
  </si>
  <si>
    <t>VERORAB BOX OF 10 VIALS + 10 SYRINGES</t>
  </si>
  <si>
    <t>INT-0002-24</t>
  </si>
  <si>
    <t>SA5211005</t>
  </si>
  <si>
    <t>HEXAXIM BOX OF 1 PRE-FILLED SYRINGE + 2 NEEDLES</t>
  </si>
  <si>
    <t>W3G601V</t>
  </si>
  <si>
    <t>000139236</t>
  </si>
  <si>
    <t>Không có thuốc bên trong hộp</t>
  </si>
  <si>
    <t>SC6100011</t>
  </si>
  <si>
    <t>PERFECTIL (H/30 VIEN)</t>
  </si>
  <si>
    <t>PFT2167P</t>
  </si>
  <si>
    <t>SC6100007</t>
  </si>
  <si>
    <t>JOINTACE (H/30 VIEN)</t>
  </si>
  <si>
    <t>PFT2166P</t>
  </si>
  <si>
    <t>SC6100019</t>
  </si>
  <si>
    <t>WELLBABY MULTI-VITAMIN LIQUID (CHAI 150ML)</t>
  </si>
  <si>
    <t>SC6100002</t>
  </si>
  <si>
    <t>FEROGLOBIN B12 LIQUID 200ML</t>
  </si>
  <si>
    <t>156077A</t>
  </si>
  <si>
    <t>SC6100017</t>
  </si>
  <si>
    <t>WELLKID MULTI-VITAMIN LIQUID (CHAI/150ML)</t>
  </si>
  <si>
    <t>PFT21114P</t>
  </si>
  <si>
    <t>SC6100001</t>
  </si>
  <si>
    <t>OSTEOCARE LIQUID 200ML</t>
  </si>
  <si>
    <t>SC6100018</t>
  </si>
  <si>
    <t>PREGNACARE BREAST-FEEDING (HOP/56 VIEN NEN, 28 VIEN NANG)</t>
  </si>
  <si>
    <t>PB2230</t>
  </si>
  <si>
    <t>SC6100015</t>
  </si>
  <si>
    <t>PREGNACARE PLUS OMEGA 3 (H/56 VIEN)</t>
  </si>
  <si>
    <t>PP2139</t>
  </si>
  <si>
    <t>000139260</t>
  </si>
  <si>
    <t>000139261</t>
  </si>
  <si>
    <t>000139262</t>
  </si>
  <si>
    <t>000139264</t>
  </si>
  <si>
    <t>000139263</t>
  </si>
  <si>
    <t>000139267</t>
  </si>
  <si>
    <t>000139266</t>
  </si>
  <si>
    <t>000139268</t>
  </si>
  <si>
    <t>000139265</t>
  </si>
  <si>
    <t>000139272</t>
  </si>
  <si>
    <t>000139273</t>
  </si>
  <si>
    <t>000139274</t>
  </si>
  <si>
    <t>000139275</t>
  </si>
  <si>
    <t>000139269</t>
  </si>
  <si>
    <t>000139270</t>
  </si>
  <si>
    <t>000139271</t>
  </si>
  <si>
    <t>156077</t>
  </si>
  <si>
    <t>21043</t>
  </si>
  <si>
    <t>21049</t>
  </si>
  <si>
    <t>20635</t>
  </si>
  <si>
    <t>21042</t>
  </si>
  <si>
    <t>21017</t>
  </si>
  <si>
    <t>21170</t>
  </si>
  <si>
    <t>21261</t>
  </si>
  <si>
    <t>21659</t>
  </si>
  <si>
    <t>21571</t>
  </si>
  <si>
    <t>Cận date</t>
  </si>
  <si>
    <t>INT-0003-24</t>
  </si>
  <si>
    <t>Trả về - Release</t>
  </si>
  <si>
    <t>SA1207001</t>
  </si>
  <si>
    <t>NO-SPA 40MG/2ML INJ AM25 VN</t>
  </si>
  <si>
    <t>GC459A</t>
  </si>
  <si>
    <t>000139942</t>
  </si>
  <si>
    <t>INT-0004-24</t>
  </si>
  <si>
    <t>ADR</t>
  </si>
  <si>
    <t>Chờ xuất mẫu về cho hãng</t>
  </si>
  <si>
    <t>INT-0005-24</t>
  </si>
  <si>
    <t>INT-0006-24</t>
  </si>
  <si>
    <t>INT-0007-24</t>
  </si>
  <si>
    <t>000140092</t>
  </si>
  <si>
    <t>000140090</t>
  </si>
  <si>
    <t>000140093</t>
  </si>
  <si>
    <t>SC6100003</t>
  </si>
  <si>
    <t>FEROGLOBIN B12 CAPSULES (H/30 VIEN)</t>
  </si>
  <si>
    <t>000140094</t>
  </si>
  <si>
    <t>PP2212</t>
  </si>
  <si>
    <t>PB2314</t>
  </si>
  <si>
    <t>PB2320</t>
  </si>
  <si>
    <t>FW2201AA</t>
  </si>
  <si>
    <t>PLENMOXI (H/1VI/10VIEN)</t>
  </si>
  <si>
    <t>AV1100012</t>
  </si>
  <si>
    <t>417BE03</t>
  </si>
  <si>
    <t>000137173</t>
  </si>
  <si>
    <t>Hết date</t>
  </si>
  <si>
    <t>000140089</t>
  </si>
  <si>
    <t>INT-0008-24</t>
  </si>
  <si>
    <t>Mã SP/
 Item</t>
  </si>
  <si>
    <t>Số theo dõi</t>
  </si>
  <si>
    <t>Ghi Chú</t>
  </si>
  <si>
    <t>Yêu cầu từ hãng</t>
  </si>
  <si>
    <t>INT-0009-24</t>
  </si>
  <si>
    <t>INT-0010-24</t>
  </si>
  <si>
    <t>INT-0011-24</t>
  </si>
  <si>
    <t>WO1100006</t>
  </si>
  <si>
    <t>ALFA – LIPOGAMMA 600 ORAL BOX/100.S</t>
  </si>
  <si>
    <t>21F113</t>
  </si>
  <si>
    <t>000140649</t>
  </si>
  <si>
    <t>INT-0012-24</t>
  </si>
  <si>
    <t>DIVASER (HOP/100VIEN)</t>
  </si>
  <si>
    <t>210978</t>
  </si>
  <si>
    <t>LAKCAY 60MG (HOP/60VIEN)</t>
  </si>
  <si>
    <t>202801</t>
  </si>
  <si>
    <t>LAVEZZI-10 10MG (HOP/100VIEN)</t>
  </si>
  <si>
    <t>201313</t>
  </si>
  <si>
    <t>LAVEZZI-5 (HOP/100VIEN)</t>
  </si>
  <si>
    <t>192067</t>
  </si>
  <si>
    <t>MANDUKA 200MG (HOP/60VIEN)</t>
  </si>
  <si>
    <t>192600</t>
  </si>
  <si>
    <t>MIPROTONE-F (HOP/30VIEN)</t>
  </si>
  <si>
    <t>202980</t>
  </si>
  <si>
    <t>RAZIRAX (HOP/28VIEN)</t>
  </si>
  <si>
    <t>192113</t>
  </si>
  <si>
    <t>SERNAL-4 4MG</t>
  </si>
  <si>
    <t>201604</t>
  </si>
  <si>
    <t>210971</t>
  </si>
  <si>
    <t>SILVASTEN (HOP/28VIEN)</t>
  </si>
  <si>
    <t>200112</t>
  </si>
  <si>
    <t>SINRIGU (HOP/30VIEN)</t>
  </si>
  <si>
    <t>202266</t>
  </si>
  <si>
    <t>THUOC MO TACROPIC (HOP/1TUYP)</t>
  </si>
  <si>
    <t>202911</t>
  </si>
  <si>
    <t>ZABAVNIK 10MG</t>
  </si>
  <si>
    <t>201026</t>
  </si>
  <si>
    <t>Chuyển kho</t>
  </si>
  <si>
    <t>Chuyển về hãng, chuyển kho thuê sang kho bán hoặc ngược lại</t>
  </si>
  <si>
    <t>DV1100092</t>
  </si>
  <si>
    <t>DV1100073</t>
  </si>
  <si>
    <t>DV1100086</t>
  </si>
  <si>
    <t>DV1100033</t>
  </si>
  <si>
    <t>DV1100088</t>
  </si>
  <si>
    <t>DV1100058</t>
  </si>
  <si>
    <t>DV1100019</t>
  </si>
  <si>
    <t>DV1100026</t>
  </si>
  <si>
    <t>DV1100078</t>
  </si>
  <si>
    <t>DV1100093</t>
  </si>
  <si>
    <t>DV1100037</t>
  </si>
  <si>
    <t>DV1100054</t>
  </si>
  <si>
    <t>000128609</t>
  </si>
  <si>
    <t>000133025</t>
  </si>
  <si>
    <t>000128608</t>
  </si>
  <si>
    <t>000131208</t>
  </si>
  <si>
    <t>LPN005919</t>
  </si>
  <si>
    <t>000087210</t>
  </si>
  <si>
    <t>LPN006016</t>
  </si>
  <si>
    <t>0000045006</t>
  </si>
  <si>
    <t>000080919</t>
  </si>
  <si>
    <t>0000009896-1</t>
  </si>
  <si>
    <t>0000009924-1</t>
  </si>
  <si>
    <t>0000042597</t>
  </si>
  <si>
    <t>LPN005680</t>
  </si>
  <si>
    <t>000116014</t>
  </si>
  <si>
    <t>000107167</t>
  </si>
  <si>
    <t>Chuyển kho bán -&gt; thuê, xuất về hãng</t>
  </si>
  <si>
    <t>INT-0013-24</t>
  </si>
  <si>
    <t>LPN006939</t>
  </si>
  <si>
    <t>SERNAL 2MG - EU</t>
  </si>
  <si>
    <t>241164</t>
  </si>
  <si>
    <t>Chờ đơn chỉ định</t>
  </si>
  <si>
    <t>DV1100168</t>
  </si>
  <si>
    <t>INT-0014-24</t>
  </si>
  <si>
    <t>INT-0015-24</t>
  </si>
  <si>
    <t>DV1100160</t>
  </si>
  <si>
    <t>CERAHEAD (HOP/60VIEN) - EU</t>
  </si>
  <si>
    <t>NV1100088</t>
  </si>
  <si>
    <t>BEPRASAN 20MG (H/VI/ 10V).</t>
  </si>
  <si>
    <t>240587</t>
  </si>
  <si>
    <t>240589</t>
  </si>
  <si>
    <t>NN4995</t>
  </si>
  <si>
    <t>000140936</t>
  </si>
  <si>
    <t>000140937</t>
  </si>
  <si>
    <t>000140938</t>
  </si>
  <si>
    <t>BK364490</t>
  </si>
  <si>
    <t>ORSIRO 3.0/18</t>
  </si>
  <si>
    <t>07232361</t>
  </si>
  <si>
    <t>BK364509</t>
  </si>
  <si>
    <t>ORSIRO 3.5/26</t>
  </si>
  <si>
    <t>04223460</t>
  </si>
  <si>
    <t>BK391235</t>
  </si>
  <si>
    <t>ORSIRO 2.5/35</t>
  </si>
  <si>
    <t>05231315</t>
  </si>
  <si>
    <t>M0001210</t>
  </si>
  <si>
    <t>M0001209</t>
  </si>
  <si>
    <t>30159</t>
  </si>
  <si>
    <t>PP2237</t>
  </si>
  <si>
    <t>21573</t>
  </si>
  <si>
    <t>PB2344</t>
  </si>
  <si>
    <t>000140252</t>
  </si>
  <si>
    <t>000140253</t>
  </si>
  <si>
    <t>000140249</t>
  </si>
  <si>
    <t>000140250</t>
  </si>
  <si>
    <t>000140254</t>
  </si>
  <si>
    <t>000140251</t>
  </si>
  <si>
    <t>Long Châu</t>
  </si>
  <si>
    <t>21F112</t>
  </si>
  <si>
    <t>000140340</t>
  </si>
  <si>
    <t>Chờ huỷ</t>
  </si>
  <si>
    <t>Trả về - CXL</t>
  </si>
  <si>
    <t>AZ1100019</t>
  </si>
  <si>
    <t>KOMBOGLYZE XR 5MG/500MG BOX OF 4 BLISTERS X 7 FILM-COATED TA</t>
  </si>
  <si>
    <t>NP0205</t>
  </si>
  <si>
    <t>AZ1100018</t>
  </si>
  <si>
    <t>KOMBOGLYZE XR 5MG/1000MG BOX OF 4 BLISTERS X 7 FILM-COATED T</t>
  </si>
  <si>
    <t>NP0109</t>
  </si>
  <si>
    <t>AZ1100017</t>
  </si>
  <si>
    <t>ONGLYZA 5MG BOX OF 2 BLISTERS X 14 FILM-COATED TABLETS</t>
  </si>
  <si>
    <t>SD785</t>
  </si>
  <si>
    <t>AZ1100012</t>
  </si>
  <si>
    <t>ONGLYZA 2.5 MG BOX OF 2 BLISTERS X 14 FILM-COATED TABLETS</t>
  </si>
  <si>
    <t>SA595</t>
  </si>
  <si>
    <t>000139987</t>
  </si>
  <si>
    <t>000139989</t>
  </si>
  <si>
    <t>000139990</t>
  </si>
  <si>
    <t>000139988</t>
  </si>
  <si>
    <t>Móp do vận chuyển</t>
  </si>
  <si>
    <t>Đã xuất ngày 25/06/2024</t>
  </si>
  <si>
    <t>Sự cố hãng - Đã Approved</t>
  </si>
  <si>
    <t>Hãng gửi mail xác nhận hàng hoá, trước khi hàng về</t>
  </si>
  <si>
    <t>Link dẫn</t>
  </si>
  <si>
    <t>INT-0016-24</t>
  </si>
  <si>
    <t>SC6100006</t>
  </si>
  <si>
    <t>DIABETONE (H/30 VIEN)</t>
  </si>
  <si>
    <t>DIA2161PA</t>
  </si>
  <si>
    <t>000139240</t>
  </si>
  <si>
    <t>INT-0017-24</t>
  </si>
  <si>
    <t>INT-0018-24</t>
  </si>
  <si>
    <t>HY6100004</t>
  </si>
  <si>
    <t>THUC PHAM BAO VE SUC KHOE OCEAN HEALTH VITAMIN D3 1000IU</t>
  </si>
  <si>
    <t>VE0120</t>
  </si>
  <si>
    <t>000142629</t>
  </si>
  <si>
    <t>Lỗi do vận chuyển nhiệt độ cao</t>
  </si>
  <si>
    <t>Chuyển Huỷ</t>
  </si>
  <si>
    <t>INT-0019-24</t>
  </si>
  <si>
    <t>AMPLATZER SEPTAL OCCLUDER 24MM</t>
  </si>
  <si>
    <t>AMPLATZER SEPTAL OCCLUDER 10MM</t>
  </si>
  <si>
    <t>AMPLATZER SEPTAL OCCLUDER 20MM</t>
  </si>
  <si>
    <t>AMPLATZER SEPTAL OCCLUDER 30MM</t>
  </si>
  <si>
    <t>Amplatzer Septal Occluder 20mm</t>
  </si>
  <si>
    <t>ST9-ASD-020</t>
  </si>
  <si>
    <t>Viện Tim</t>
  </si>
  <si>
    <t>Amplatzer Septal Occluder 24mm</t>
  </si>
  <si>
    <t>ST9-ASD-024</t>
  </si>
  <si>
    <t>Amplatzer TorqVue Delivery System PDA 8F</t>
  </si>
  <si>
    <t>ST9-ITV08F180/80</t>
  </si>
  <si>
    <t>Amplatzer Septal Occluder 30mm</t>
  </si>
  <si>
    <t>ST9-ASD-030</t>
  </si>
  <si>
    <t>Chợ Rẫy</t>
  </si>
  <si>
    <t>Amplatzer Septal Occluder 10mm</t>
  </si>
  <si>
    <t>ST9-ASD-010</t>
  </si>
  <si>
    <t>Đà Nẵng: đã nhận tại ĐN</t>
  </si>
  <si>
    <t>Đã có Credit INV từ hãng =&gt; Chuyển hủy</t>
  </si>
  <si>
    <t>INT-0020-24</t>
  </si>
  <si>
    <t>CNHN</t>
  </si>
  <si>
    <t>INT-0021-24</t>
  </si>
  <si>
    <t>BK419150</t>
  </si>
  <si>
    <t>ORSIRO MISSION 2.5/40</t>
  </si>
  <si>
    <t>11234962</t>
  </si>
  <si>
    <t>M0001309</t>
  </si>
  <si>
    <t>BS1100002</t>
  </si>
  <si>
    <t>UTROGESTAN 200MG</t>
  </si>
  <si>
    <t>241367</t>
  </si>
  <si>
    <t>000143325</t>
  </si>
  <si>
    <t>Chuyển chờ huỷ</t>
  </si>
  <si>
    <t>INT-0022-24</t>
  </si>
  <si>
    <t>SA1200007</t>
  </si>
  <si>
    <t>CORDARONE 150MG/3ML INJ B/6 AMPS VN</t>
  </si>
  <si>
    <t>DA096</t>
  </si>
  <si>
    <t>000137999</t>
  </si>
  <si>
    <t>Hàng trả về cận date, BV đa khoa phú yên tự ý trả về. THÙNG XỐP VƯỢT ĐỘ</t>
  </si>
  <si>
    <t>Khác</t>
  </si>
  <si>
    <t>Chị Lan xác nhận</t>
  </si>
  <si>
    <t>CC_210324</t>
  </si>
  <si>
    <t>INT-0023-24</t>
  </si>
  <si>
    <t>BS1300011</t>
  </si>
  <si>
    <t>OESTROGEL 0.06% PUMP - PACK 80G 1.S</t>
  </si>
  <si>
    <t>75632</t>
  </si>
  <si>
    <t>000143888</t>
  </si>
  <si>
    <t>BS1300008</t>
  </si>
  <si>
    <t>REGELLE</t>
  </si>
  <si>
    <t>716M</t>
  </si>
  <si>
    <t>000143889</t>
  </si>
  <si>
    <t>Đơn hàng đặc biệt, có mail xác nhận từ chị Dương - Plan</t>
  </si>
  <si>
    <t>Mail chị Dương</t>
  </si>
  <si>
    <t>INT-0024-24</t>
  </si>
  <si>
    <t>TAGRISSO PA TAB 80MG BL 3X10 EA VN</t>
  </si>
  <si>
    <t>FLLM</t>
  </si>
  <si>
    <t>Chuyển Hủy</t>
  </si>
  <si>
    <t>BV175, hàng PAP</t>
  </si>
  <si>
    <t>INT-0025-24</t>
  </si>
  <si>
    <t>BK364503</t>
  </si>
  <si>
    <t>ORSIRO 3.5/22</t>
  </si>
  <si>
    <t>01242306</t>
  </si>
  <si>
    <t>M0001388</t>
  </si>
  <si>
    <t>TTBYT hư hỏng trả hãng</t>
  </si>
  <si>
    <t>Mail hãng</t>
  </si>
  <si>
    <t>INT-0026-24</t>
  </si>
  <si>
    <t>AB1100005</t>
  </si>
  <si>
    <t>DUSPATALIN RETARD CAP 200MG 30.S</t>
  </si>
  <si>
    <t>726187</t>
  </si>
  <si>
    <t>000144723</t>
  </si>
  <si>
    <t>mail CS và GSDP</t>
  </si>
  <si>
    <t>INT-0027-24</t>
  </si>
  <si>
    <t>21501</t>
  </si>
  <si>
    <t>000145535</t>
  </si>
  <si>
    <t>Mail CS</t>
  </si>
  <si>
    <t>hàng trả về xuất mẫu trả hãng</t>
  </si>
  <si>
    <t>000145536</t>
  </si>
  <si>
    <t>FW2402PA</t>
  </si>
  <si>
    <t>000145532</t>
  </si>
  <si>
    <t>INT-0028-24</t>
  </si>
  <si>
    <t>SA5211012</t>
  </si>
  <si>
    <t>VAXIGRIP TETRA BOX OF 1 SYR 0.5ML (NH)</t>
  </si>
  <si>
    <t>X3G082V</t>
  </si>
  <si>
    <t>000145286</t>
  </si>
  <si>
    <t>Thu hồi theo yêu cầu của hãng</t>
  </si>
  <si>
    <t>Xuất 24.07.2024</t>
  </si>
  <si>
    <t>SEROQUEL XR TAB 200MG 30'S (HOP/30VIEN)</t>
  </si>
  <si>
    <t>SL151</t>
  </si>
  <si>
    <t>LU1100002</t>
  </si>
  <si>
    <t>M0001429</t>
  </si>
  <si>
    <t>TORQVUE DELIVERY SYSTEM PDA 8F</t>
  </si>
  <si>
    <t>7854083</t>
  </si>
  <si>
    <t>7125404</t>
  </si>
  <si>
    <t>7983754</t>
  </si>
  <si>
    <t>9094838</t>
  </si>
  <si>
    <t>7893093</t>
  </si>
  <si>
    <t>Mail Ngọc Anh- TBYT</t>
  </si>
  <si>
    <t>AZ1200002</t>
  </si>
  <si>
    <t>ZOLADEX 3.6 MG DEPOT 1.S</t>
  </si>
  <si>
    <t>SK762</t>
  </si>
  <si>
    <t>000146363</t>
  </si>
  <si>
    <t>241055</t>
  </si>
  <si>
    <t>000146368</t>
  </si>
  <si>
    <t>241052</t>
  </si>
  <si>
    <t>000146367</t>
  </si>
  <si>
    <t>DV1100202</t>
  </si>
  <si>
    <t>HATLOP-150 (HOP/100VIEN) - EU</t>
  </si>
  <si>
    <t>240892</t>
  </si>
  <si>
    <t>000146370</t>
  </si>
  <si>
    <t>241058</t>
  </si>
  <si>
    <t>000146369</t>
  </si>
  <si>
    <t>HY7300043</t>
  </si>
  <si>
    <t>VCI GLYCOLIC ACID PEEL 70% (SAC 10S)</t>
  </si>
  <si>
    <t>WJ0276</t>
  </si>
  <si>
    <t>000146355</t>
  </si>
  <si>
    <t>40120</t>
  </si>
  <si>
    <t>LPN007199</t>
  </si>
  <si>
    <t>Chờ trả hãng</t>
  </si>
  <si>
    <t>Mail Trinh Kho</t>
  </si>
  <si>
    <t>INT-0029-24</t>
  </si>
  <si>
    <t>INT-0030-24</t>
  </si>
  <si>
    <t>INT-0031-24</t>
  </si>
  <si>
    <t>INT-0032-24</t>
  </si>
  <si>
    <t>INT-0033-24</t>
  </si>
  <si>
    <t>INT-0034-24</t>
  </si>
  <si>
    <t>INT-0035-24</t>
  </si>
  <si>
    <t>000146930</t>
  </si>
  <si>
    <t>SC6100012</t>
  </si>
  <si>
    <t>CARDIOACE (H/30 VIEN)</t>
  </si>
  <si>
    <t>000146931</t>
  </si>
  <si>
    <t>157479</t>
  </si>
  <si>
    <t>Hàng cận hạn</t>
  </si>
  <si>
    <t>INT-0036-24</t>
  </si>
  <si>
    <t>000146885 or 000146884 or 000146887 or 000146888 or 000146886</t>
  </si>
  <si>
    <t>000146359</t>
  </si>
  <si>
    <t>INT-0037-24</t>
  </si>
  <si>
    <t>DV1100081</t>
  </si>
  <si>
    <t>000145498</t>
  </si>
  <si>
    <t>WRIGHT-F</t>
  </si>
  <si>
    <t>211521</t>
  </si>
  <si>
    <t>Hết hạn</t>
  </si>
  <si>
    <t>INT-0038-24</t>
  </si>
  <si>
    <t>000147697</t>
  </si>
  <si>
    <t>Mail Trinh Plan</t>
  </si>
  <si>
    <t>WO1100005</t>
  </si>
  <si>
    <t>ALFA – LIPOGAMMA 600 ORAL BOX/30.S</t>
  </si>
  <si>
    <t>21F114</t>
  </si>
  <si>
    <t>000141661</t>
  </si>
  <si>
    <t>000141662</t>
  </si>
  <si>
    <t>INT-0039-24</t>
  </si>
  <si>
    <t>INT-0040-24</t>
  </si>
  <si>
    <t>BS1300002</t>
  </si>
  <si>
    <t>ANDROGEL GEL 50MG 30.S</t>
  </si>
  <si>
    <t>81989</t>
  </si>
  <si>
    <t>000147998</t>
  </si>
  <si>
    <t>Mail chị Thảo - Hãng</t>
  </si>
  <si>
    <t>BK391239</t>
  </si>
  <si>
    <t>ORSIRO 2.5/40</t>
  </si>
  <si>
    <t>03241529</t>
  </si>
  <si>
    <t>M0001528</t>
  </si>
  <si>
    <t>xuất về hãng</t>
  </si>
  <si>
    <t>Chuyển CXL</t>
  </si>
  <si>
    <t>Mail hãng</t>
  </si>
  <si>
    <t>INT-0041-24</t>
  </si>
  <si>
    <t>Trả về có sự cố nhưng không release / chuyển CXL có thông tin từ hãng / chờ xuất về hãng theo y/c</t>
  </si>
  <si>
    <t>SC6100025</t>
  </si>
  <si>
    <t>PREGNACARE MAX (H/56 VIEN NEN, 28 VIEN NANG)</t>
  </si>
  <si>
    <t>PM2409</t>
  </si>
  <si>
    <t>000148083</t>
  </si>
  <si>
    <t>Chờ xuất mẫu về hãng</t>
  </si>
  <si>
    <t>INT-0042-24</t>
  </si>
  <si>
    <t>000135377 or 000135385 or 000135376 or 000135375 or 000135380 or 000135386 or 000135378 or 000135381 or 000135379 or 000135384 or 000135382 or 000135383 or 000135387</t>
  </si>
  <si>
    <t>Ngày hold: 19/04/2024</t>
  </si>
  <si>
    <t>INT-0043-24</t>
  </si>
  <si>
    <t>AB1100050</t>
  </si>
  <si>
    <t>RINOFIL SYRUP 2.5MG/5ML BT 15ML B/1</t>
  </si>
  <si>
    <t>C230214</t>
  </si>
  <si>
    <t>000135425</t>
  </si>
  <si>
    <t>GSDP chịu trách nhiệm</t>
  </si>
  <si>
    <t>Ngày hold: 20/04/2024</t>
  </si>
  <si>
    <t>chuyển chờ xử lý
15.08.2024: kho đổi hàng trực tiếp.
LPN này trở thành hàng nguyên vẹn chuyển bán</t>
  </si>
  <si>
    <t>INT-0044-24</t>
  </si>
  <si>
    <t>PAP Tagrisso/Imfinzi/Lynparza/Calquence</t>
  </si>
  <si>
    <t>BK391241</t>
  </si>
  <si>
    <t>ORSIRO 3.0/40</t>
  </si>
  <si>
    <t>M0001594</t>
  </si>
  <si>
    <t>09227274</t>
  </si>
  <si>
    <t>INT-0045-24</t>
  </si>
  <si>
    <t>INT-0046-24</t>
  </si>
  <si>
    <t>Chuyển hủy</t>
  </si>
  <si>
    <t>Hàng thu hồi</t>
  </si>
  <si>
    <t>Hàng HN chuyển vào chờ hủy</t>
  </si>
  <si>
    <t xml:space="preserve">000149637 or 
000149635 or 
000149632 or 
000149639 or 
000149636 or 
000149634 or 
000149633 or 
000149631 or 
000149638 or 000149741 or 000149740 or 000149738 or 000149739
</t>
  </si>
  <si>
    <t>Xuất mẫu về VP VE đi ngày 30/08/2024</t>
  </si>
  <si>
    <t>INT-0047-24</t>
  </si>
  <si>
    <t>CNĐN</t>
  </si>
  <si>
    <t>000149900 or 000149893 or 000149894 or 000149896 or 000149898 or 000149895 or 000149899 or 000149897</t>
  </si>
  <si>
    <t>INT-0048-24</t>
  </si>
  <si>
    <t>Chuyển trả VE</t>
  </si>
  <si>
    <t>27 hộp chuyển trả VE 
1 hộp nhập trả ảo để xuất mẫu qua hãng VE</t>
  </si>
  <si>
    <t>INT-0049-24</t>
  </si>
  <si>
    <t>BK364501</t>
  </si>
  <si>
    <t>ORSIRO 2.75/22</t>
  </si>
  <si>
    <t>09220366</t>
  </si>
  <si>
    <t>M0001611</t>
  </si>
  <si>
    <t>INT-0050-24</t>
  </si>
  <si>
    <t>000151280</t>
  </si>
  <si>
    <t>10.00000</t>
  </si>
  <si>
    <t>000151281</t>
  </si>
  <si>
    <t>38.00000</t>
  </si>
  <si>
    <t>000151282</t>
  </si>
  <si>
    <t>1.00000</t>
  </si>
  <si>
    <t>000151283</t>
  </si>
  <si>
    <t>2.00000</t>
  </si>
  <si>
    <t>000151279</t>
  </si>
  <si>
    <t>PFT2216P</t>
  </si>
  <si>
    <t>PFT2217P</t>
  </si>
  <si>
    <t>PFT2203P</t>
  </si>
  <si>
    <t>PFT2204P</t>
  </si>
  <si>
    <t>30357</t>
  </si>
  <si>
    <t>không đúng lpn, hàng thực tế lot: PFT21179P
Chờ kho sửa</t>
  </si>
  <si>
    <t>INT-0051-24</t>
  </si>
  <si>
    <t>AV1100009</t>
  </si>
  <si>
    <t>GLEMONT IR 10MG 30.S</t>
  </si>
  <si>
    <t>19224158</t>
  </si>
  <si>
    <t>000151557</t>
  </si>
  <si>
    <t>GD1100126</t>
  </si>
  <si>
    <t>TENSODOZ 8 (HOP/3VI X 10 VIEN NEN)</t>
  </si>
  <si>
    <t>3590041</t>
  </si>
  <si>
    <t>000151559</t>
  </si>
  <si>
    <t>GA1100005</t>
  </si>
  <si>
    <t>PAMLONOR 5 H9x10V</t>
  </si>
  <si>
    <t>12605395</t>
  </si>
  <si>
    <t>000151558</t>
  </si>
  <si>
    <t>RD1200005</t>
  </si>
  <si>
    <t>DECITABINE 50MG</t>
  </si>
  <si>
    <t>H230266</t>
  </si>
  <si>
    <t>000151555</t>
  </si>
  <si>
    <t>H230902</t>
  </si>
  <si>
    <t>000151556</t>
  </si>
  <si>
    <t>HT1100015</t>
  </si>
  <si>
    <t>HYPOLIP-10 (HOP/ 30 VIEN)</t>
  </si>
  <si>
    <t>ATC22008</t>
  </si>
  <si>
    <t>000151560</t>
  </si>
  <si>
    <t>PD7300002</t>
  </si>
  <si>
    <t>SCARLET CREAM 20G</t>
  </si>
  <si>
    <t>ECA2202</t>
  </si>
  <si>
    <t>000151561</t>
  </si>
  <si>
    <t>hàng cận date chuyển hủy</t>
  </si>
  <si>
    <t>INT-0052-24</t>
  </si>
  <si>
    <t>23 móp nhẹ bán tự do, 3 hộp rách vỉ chờ xử lý (GSDP đền bù)</t>
  </si>
  <si>
    <t>INT-0053-24</t>
  </si>
  <si>
    <t>BE90001892</t>
  </si>
  <si>
    <t>90001892 CONTOUR TS VN/MM/PH/SG(EN)MG/Dl (CONTOUR TS BLOOD G</t>
  </si>
  <si>
    <t>PH20030002</t>
  </si>
  <si>
    <t>Thu hồi chuyển HỦY</t>
  </si>
  <si>
    <t>000151565</t>
  </si>
  <si>
    <t>000151564</t>
  </si>
  <si>
    <t>000151566</t>
  </si>
  <si>
    <t>000151567</t>
  </si>
  <si>
    <t>INT-0054-24</t>
  </si>
  <si>
    <t>BK412531</t>
  </si>
  <si>
    <t>MAGMARIS 3.5/25</t>
  </si>
  <si>
    <t>06232303</t>
  </si>
  <si>
    <t>M0001683</t>
  </si>
  <si>
    <t>BK412530</t>
  </si>
  <si>
    <t>MAGMARIS 3.5/20</t>
  </si>
  <si>
    <t>06232300</t>
  </si>
  <si>
    <t>Hàng hư hỏng chuyển trả hãng</t>
  </si>
  <si>
    <t>INT-0055-24</t>
  </si>
  <si>
    <t>000151552 or
000151551 or
000151550 or
000151549 or
000151805 or
000151804 or
000151806 or
000151814 or
000151799 or
000151800 or
000151810 or
000151811 or
000151815 or
000151816 or
000151797 or
000151798 or
000151812 or
000151813 or
000151801 or
000151802 or
000151803 or
000151807 or
000151808 or
000151809</t>
  </si>
  <si>
    <t>INT-0056-24</t>
  </si>
  <si>
    <t>000151925</t>
  </si>
  <si>
    <t>30590</t>
  </si>
  <si>
    <t>000151923</t>
  </si>
  <si>
    <t>PFT2213P</t>
  </si>
  <si>
    <t>000151924</t>
  </si>
  <si>
    <t>INT-0057-24</t>
  </si>
  <si>
    <t>000152208 or
000152209 or
000152210</t>
  </si>
  <si>
    <t>INT-0058-24</t>
  </si>
  <si>
    <t>ST9-ASD-026</t>
  </si>
  <si>
    <t>ST9-ASD-040</t>
  </si>
  <si>
    <t>AMPLATZER SEPTAL OCCLUDER 26MM</t>
  </si>
  <si>
    <t>AMPLATZER SEPTAL OCCLUDER 40MM</t>
  </si>
  <si>
    <t>6861860</t>
  </si>
  <si>
    <t>6887015</t>
  </si>
  <si>
    <t>M0001689</t>
  </si>
  <si>
    <t>PAP - Bàn giao vỏ/hộp,vỉ thuốc đã sử dụng từ VMIS</t>
  </si>
  <si>
    <t>AZ</t>
  </si>
  <si>
    <t>INT-0059-24</t>
  </si>
  <si>
    <t>LOTEMAX</t>
  </si>
  <si>
    <t>482322</t>
  </si>
  <si>
    <t>Trả về - PAP</t>
  </si>
  <si>
    <t>Hàng PAP trả về, phải có BBGN từ BV</t>
  </si>
  <si>
    <t>INT-0060-24</t>
  </si>
  <si>
    <t>000152457</t>
  </si>
  <si>
    <t>SK054</t>
  </si>
  <si>
    <t>LYNPARZA PA TAB 150MG BL 7X8 EA VN</t>
  </si>
  <si>
    <t>PAP</t>
  </si>
  <si>
    <t>INT-0061-24</t>
  </si>
  <si>
    <t>INT-0062-24</t>
  </si>
  <si>
    <t>Trả về từ  BV chợ rẫy - hết date</t>
  </si>
  <si>
    <t>Trả về từ BV truyền máu TW</t>
  </si>
  <si>
    <t>JAKAVI 20MG 4x14</t>
  </si>
  <si>
    <t>JAKAVI 15MG 4x14</t>
  </si>
  <si>
    <t>000152528</t>
  </si>
  <si>
    <t>000152532</t>
  </si>
  <si>
    <t>SHJV2</t>
  </si>
  <si>
    <t>SFCN9</t>
  </si>
  <si>
    <t>NV1100091</t>
  </si>
  <si>
    <t>NV1100090</t>
  </si>
  <si>
    <t>Xuất ngày 26.09.2024</t>
  </si>
  <si>
    <t>INT-0063-24</t>
  </si>
  <si>
    <t>Thu hồi trả hãng</t>
  </si>
  <si>
    <t>000152544</t>
  </si>
  <si>
    <t>21634</t>
  </si>
  <si>
    <t>000152545</t>
  </si>
  <si>
    <t>000152540</t>
  </si>
  <si>
    <t>22023</t>
  </si>
  <si>
    <t>000152543</t>
  </si>
  <si>
    <t>000153184</t>
  </si>
  <si>
    <t>INT-0064-24</t>
  </si>
  <si>
    <t>INT-0065-24</t>
  </si>
  <si>
    <t>BS1300001</t>
  </si>
  <si>
    <t>PROGESTOGEL 1% 80G</t>
  </si>
  <si>
    <t>047</t>
  </si>
  <si>
    <t>000153186</t>
  </si>
  <si>
    <t>Chi nhánh - PAP</t>
  </si>
  <si>
    <t>Hàng PAP Chi nhánh, phải có BBGN từ BV</t>
  </si>
  <si>
    <t>000153087</t>
  </si>
  <si>
    <t>000153089</t>
  </si>
  <si>
    <t>000153086</t>
  </si>
  <si>
    <t>000153091</t>
  </si>
  <si>
    <t>000153090</t>
  </si>
  <si>
    <t>000153215</t>
  </si>
  <si>
    <t>INT-0067-24</t>
  </si>
  <si>
    <t>MAGMARIS 3.5/15</t>
  </si>
  <si>
    <t>BK412529</t>
  </si>
  <si>
    <t>08230083</t>
  </si>
  <si>
    <t>M0001741</t>
  </si>
  <si>
    <t>Hết date chuyển hủy</t>
  </si>
  <si>
    <t>INT-0068-24</t>
  </si>
  <si>
    <t>GZ1201006</t>
  </si>
  <si>
    <t>MIURAGET INJECTION 5MG/ML</t>
  </si>
  <si>
    <t>302P19</t>
  </si>
  <si>
    <t>LPN007689</t>
  </si>
  <si>
    <t>Check cảm quan sản phẩm bị khác màu</t>
  </si>
  <si>
    <t>SA1200018</t>
  </si>
  <si>
    <t>TOUJEO SOLOSTAR 450IU B/5 PENS X 1.5ML</t>
  </si>
  <si>
    <t>3F882A</t>
  </si>
  <si>
    <t>000153954</t>
  </si>
  <si>
    <t>Xuất mẫu hãng</t>
  </si>
  <si>
    <t>Chờ xuất trả hãng</t>
  </si>
  <si>
    <t>INT-0069-24</t>
  </si>
  <si>
    <t>INT-0070-24</t>
  </si>
  <si>
    <t>000154182</t>
  </si>
  <si>
    <t>FW2713SA</t>
  </si>
  <si>
    <t>000154185</t>
  </si>
  <si>
    <t>FW2404TA</t>
  </si>
  <si>
    <t>000154184</t>
  </si>
  <si>
    <t>000154183</t>
  </si>
  <si>
    <t>30656</t>
  </si>
  <si>
    <t>000154180</t>
  </si>
  <si>
    <t>30952</t>
  </si>
  <si>
    <t>000154181</t>
  </si>
  <si>
    <t>31948</t>
  </si>
  <si>
    <t>000154187</t>
  </si>
  <si>
    <t>30655</t>
  </si>
  <si>
    <t>000154166</t>
  </si>
  <si>
    <t>000154165</t>
  </si>
  <si>
    <t>PP2347</t>
  </si>
  <si>
    <t>000154164</t>
  </si>
  <si>
    <t>PFT2212P</t>
  </si>
  <si>
    <t>000154163</t>
  </si>
  <si>
    <t>PP2341</t>
  </si>
  <si>
    <t>000154186</t>
  </si>
  <si>
    <t>Hàng thu hồi từ Long Châu</t>
  </si>
  <si>
    <t>INT-0071-24</t>
  </si>
  <si>
    <t>Hàng thu hồi từ Long Châu HN</t>
  </si>
  <si>
    <t>000154387</t>
  </si>
  <si>
    <t>000154388</t>
  </si>
  <si>
    <t>000154390</t>
  </si>
  <si>
    <t>UI6100003</t>
  </si>
  <si>
    <t>FONTACTIV® DIABEST (VANILLA 400G)</t>
  </si>
  <si>
    <t>1363-087</t>
  </si>
  <si>
    <t>000154393</t>
  </si>
  <si>
    <t>chuyển CXL- GSDP đền bù</t>
  </si>
  <si>
    <t>000154389</t>
  </si>
  <si>
    <t>30358</t>
  </si>
  <si>
    <t>000154392</t>
  </si>
  <si>
    <t>30477</t>
  </si>
  <si>
    <t>000154391</t>
  </si>
  <si>
    <t>INT-0072-24</t>
  </si>
  <si>
    <t>CALCIUM CORBIERE EXTRA 3SUPX10 5ML VN</t>
  </si>
  <si>
    <t>EVH1016</t>
  </si>
  <si>
    <t>LPN007524</t>
  </si>
  <si>
    <t xml:space="preserve"> SA1100017</t>
  </si>
  <si>
    <t>Trả về - Chuyển hủy</t>
  </si>
  <si>
    <t>Hàng bể trong quá trình vận chuyển, Hàng không xuất cho chị Như GSDP được, GSDP đã xác nhận hủy</t>
  </si>
  <si>
    <t>INT-0073-24</t>
  </si>
  <si>
    <t>RH5300016</t>
  </si>
  <si>
    <t>SAN PHAM XUA MUOI DANG XIT CHO BE TU 6 THANG TUOI (REMOS BAB</t>
  </si>
  <si>
    <t>GA02</t>
  </si>
  <si>
    <t>000154364</t>
  </si>
  <si>
    <t>INT-0074-24</t>
  </si>
  <si>
    <t>DV1100234</t>
  </si>
  <si>
    <t>ZIEGLER (HOP/100VIEN) - EU</t>
  </si>
  <si>
    <t>240773</t>
  </si>
  <si>
    <t>000154456</t>
  </si>
  <si>
    <t>Chờ xuất trả hãng điều tra nguyên nhan</t>
  </si>
  <si>
    <t>CC_600824</t>
  </si>
  <si>
    <t>hàng CẬN DATE chuyển hủy theo yc hãng
(CN-HN)</t>
  </si>
  <si>
    <t>Đã xuất trả Hãng- 14.10.2024</t>
  </si>
  <si>
    <t>INT-0075-24</t>
  </si>
  <si>
    <t>RELACTAGEL</t>
  </si>
  <si>
    <t>818M</t>
  </si>
  <si>
    <t>000151413 or 000151414 or LPN007696</t>
  </si>
  <si>
    <t>Địa chỉ nsx không đúng với cục duyệt</t>
  </si>
  <si>
    <t>Chờ bổ sung nhãn phụ lại</t>
  </si>
  <si>
    <t>Đã xuất cho a Nhiên GSDP</t>
  </si>
  <si>
    <t>LU1100001</t>
  </si>
  <si>
    <t>SEROQUEL XR TAB 300MG 30.S (HOP/30VIEN).</t>
  </si>
  <si>
    <t>SL708</t>
  </si>
  <si>
    <t>000151278</t>
  </si>
  <si>
    <t>Dính</t>
  </si>
  <si>
    <t>đã xuất đi 11H ngày 16.10.2024</t>
  </si>
  <si>
    <t>INT-0076-24</t>
  </si>
  <si>
    <t>000155294</t>
  </si>
  <si>
    <t>30384</t>
  </si>
  <si>
    <t>INT-0077-24</t>
  </si>
  <si>
    <t>az</t>
  </si>
  <si>
    <t>INT-0078-24</t>
  </si>
  <si>
    <t>INT-0079-24</t>
  </si>
  <si>
    <t>BK364510</t>
  </si>
  <si>
    <t>ORSIRO 4.0/26</t>
  </si>
  <si>
    <t>07233172</t>
  </si>
  <si>
    <t>M0001805</t>
  </si>
  <si>
    <t>Chuyển trả Hãng</t>
  </si>
  <si>
    <t>INT-0080-24</t>
  </si>
  <si>
    <t>INT-0081-24</t>
  </si>
  <si>
    <t>UI6100004</t>
  </si>
  <si>
    <t>FONTACTIV® DIABEST (VANILLA 800G)</t>
  </si>
  <si>
    <t>000155744</t>
  </si>
  <si>
    <t>2613-092</t>
  </si>
  <si>
    <t>Hàng móp - GSDP đền</t>
  </si>
  <si>
    <t>INT-0082-24</t>
  </si>
  <si>
    <t>000155825</t>
  </si>
  <si>
    <t>11 viên</t>
  </si>
  <si>
    <t>INT-0083-24</t>
  </si>
  <si>
    <t>AZ1100023</t>
  </si>
  <si>
    <t>KOMBOGLYZE XR 5MG/1000MG BOX OF 4 BLISTERS X 7 FILM-COATED</t>
  </si>
  <si>
    <t>WF0157</t>
  </si>
  <si>
    <t>LPN007817</t>
  </si>
  <si>
    <t>Hàng móp trong thùng móp - Planning xác nhận</t>
  </si>
  <si>
    <t xml:space="preserve">Chuyển bán </t>
  </si>
  <si>
    <t>INT-0084-24</t>
  </si>
  <si>
    <t>000155897</t>
  </si>
  <si>
    <t>Hãng yêu cầu thu hồi</t>
  </si>
  <si>
    <t>INT-0085-24</t>
  </si>
  <si>
    <t>000156377</t>
  </si>
  <si>
    <t>RD1100014</t>
  </si>
  <si>
    <t>SEVELAMER CARBONATE TABLETS 800MG (CHAI/270 VIEN)</t>
  </si>
  <si>
    <t>T2300945</t>
  </si>
  <si>
    <t>Khách yêu cầu lô /hd khác</t>
  </si>
  <si>
    <t>INT-0086-24</t>
  </si>
  <si>
    <t>FLLN</t>
  </si>
  <si>
    <t>000156582</t>
  </si>
  <si>
    <t>PAP Hàng thu hồi do người bệnh chưa sử dụng hết</t>
  </si>
  <si>
    <t>INT-0087-24</t>
  </si>
  <si>
    <t>Thu hồi từ Long Châu</t>
  </si>
  <si>
    <t>INT-0088-24</t>
  </si>
  <si>
    <t>BK364515</t>
  </si>
  <si>
    <t>ORSIRO 3.5/30</t>
  </si>
  <si>
    <t>01242322</t>
  </si>
  <si>
    <t>M0001857</t>
  </si>
  <si>
    <t>Hàng chi nhánh hư hỏng chuyển trả hãng</t>
  </si>
  <si>
    <t>Chuyển damage chờ trả hãng</t>
  </si>
  <si>
    <t>INT-0089-24</t>
  </si>
  <si>
    <t>000157054 OR</t>
  </si>
  <si>
    <t>000157055 OR</t>
  </si>
  <si>
    <t>000157056 OR</t>
  </si>
  <si>
    <t>000157057 OR</t>
  </si>
  <si>
    <t>Thu hồi từ Pharmacity</t>
  </si>
  <si>
    <t>Chuyển hủy chờ trả hãng</t>
  </si>
  <si>
    <t>INT-0090-24</t>
  </si>
  <si>
    <t>HÀNG FPT LC HN, chuyển trả hãng</t>
  </si>
  <si>
    <t>Chuyển trả hãng</t>
  </si>
  <si>
    <t>000157882</t>
  </si>
  <si>
    <t>000157881</t>
  </si>
  <si>
    <t>000157879</t>
  </si>
  <si>
    <t>000157884</t>
  </si>
  <si>
    <t>000157877</t>
  </si>
  <si>
    <t>000157883</t>
  </si>
  <si>
    <t>000157886</t>
  </si>
  <si>
    <t>000157880</t>
  </si>
  <si>
    <t>000157878</t>
  </si>
  <si>
    <t>000157885</t>
  </si>
  <si>
    <t>30166</t>
  </si>
  <si>
    <t>262976</t>
  </si>
  <si>
    <t>30367</t>
  </si>
  <si>
    <t>30234</t>
  </si>
  <si>
    <t>FW2167PA</t>
  </si>
  <si>
    <t>INT-0091-24</t>
  </si>
  <si>
    <t>BK349215</t>
  </si>
  <si>
    <t>BK364508</t>
  </si>
  <si>
    <t>03244825</t>
  </si>
  <si>
    <t>09236220</t>
  </si>
  <si>
    <t>M0001911</t>
  </si>
  <si>
    <t>M0001912</t>
  </si>
  <si>
    <t>ASTRON 10/60/70</t>
  </si>
  <si>
    <t>ORSIRO 3.0/26</t>
  </si>
  <si>
    <t>INT-0092-24</t>
  </si>
  <si>
    <t>INT-0093-24</t>
  </si>
  <si>
    <t>BE90007118-KM</t>
  </si>
  <si>
    <t>90007118- KM CONTOUR PLUS ELITE  BLOOD GLUCOSE MONITORING SY</t>
  </si>
  <si>
    <t>PH23080018</t>
  </si>
  <si>
    <t>000158367</t>
  </si>
  <si>
    <t>Thu hồi chờ xuất hàng Demo cho bệnh viện</t>
  </si>
  <si>
    <t>INT-0094-24</t>
  </si>
  <si>
    <t>04246748</t>
  </si>
  <si>
    <t>M0001938</t>
  </si>
  <si>
    <t>INT-0095-24</t>
  </si>
  <si>
    <t>000158865</t>
  </si>
  <si>
    <t>INT-0096-24</t>
  </si>
  <si>
    <t>SA1100040</t>
  </si>
  <si>
    <t>PLAVIX 75MG B/ 1BL X 14 TABS VN</t>
  </si>
  <si>
    <t>FA3021</t>
  </si>
  <si>
    <t>000158866</t>
  </si>
  <si>
    <t>Hàng SNF trả về, có BB xác nhận ĐKBQ</t>
  </si>
  <si>
    <t>INT-0097-24</t>
  </si>
  <si>
    <t>SA1100008</t>
  </si>
  <si>
    <t>ENTEROGERMINA 2 BILLION/5ML B/ 20 BOTTLE</t>
  </si>
  <si>
    <t>4I181</t>
  </si>
  <si>
    <t>000156935</t>
  </si>
  <si>
    <r>
      <t xml:space="preserve">Hàng SNF trả về, </t>
    </r>
    <r>
      <rPr>
        <sz val="10"/>
        <color rgb="FFFF0000"/>
        <rFont val="Tahoma"/>
        <family val="2"/>
      </rPr>
      <t xml:space="preserve">không </t>
    </r>
    <r>
      <rPr>
        <sz val="10"/>
        <color theme="1"/>
        <rFont val="Tahoma"/>
        <family val="2"/>
      </rPr>
      <t>có BB xác nhận ĐKBQ,
Thầu lên đơn sai SĐK</t>
    </r>
  </si>
  <si>
    <t>000156956</t>
  </si>
  <si>
    <t>PFT2214P</t>
  </si>
  <si>
    <t>000156953</t>
  </si>
  <si>
    <t>000156950</t>
  </si>
  <si>
    <t>000156952</t>
  </si>
  <si>
    <t>000156954</t>
  </si>
  <si>
    <t>000156955</t>
  </si>
  <si>
    <t>000156951</t>
  </si>
  <si>
    <t>000156958</t>
  </si>
  <si>
    <t>000156957</t>
  </si>
  <si>
    <t>000156963</t>
  </si>
  <si>
    <t>000156964</t>
  </si>
  <si>
    <t>000156965</t>
  </si>
  <si>
    <t>000156966</t>
  </si>
  <si>
    <t>000156962</t>
  </si>
  <si>
    <t>000156961</t>
  </si>
  <si>
    <t>000156959</t>
  </si>
  <si>
    <t>INT-0098-24</t>
  </si>
  <si>
    <t>LPN008027</t>
  </si>
  <si>
    <t>Đổi màu thuốc</t>
  </si>
  <si>
    <t>INT-0099-24</t>
  </si>
  <si>
    <t>000161029</t>
  </si>
  <si>
    <t>000161025</t>
  </si>
  <si>
    <t>000161028</t>
  </si>
  <si>
    <t>000161027</t>
  </si>
  <si>
    <t>000161026</t>
  </si>
  <si>
    <t>Thu hồi</t>
  </si>
  <si>
    <t>INT-0100-24</t>
  </si>
  <si>
    <t>PP2359</t>
  </si>
  <si>
    <t>000161091</t>
  </si>
  <si>
    <t>000161101</t>
  </si>
  <si>
    <t>1.00</t>
  </si>
  <si>
    <t>000161100</t>
  </si>
  <si>
    <t>000161094</t>
  </si>
  <si>
    <t>000161097</t>
  </si>
  <si>
    <t>000161096</t>
  </si>
  <si>
    <t>000161095</t>
  </si>
  <si>
    <t>30677</t>
  </si>
  <si>
    <t>000161098</t>
  </si>
  <si>
    <t>000161099</t>
  </si>
  <si>
    <t>000161092</t>
  </si>
  <si>
    <t>30821</t>
  </si>
  <si>
    <t>000161093</t>
  </si>
  <si>
    <t>INT-0101-24</t>
  </si>
  <si>
    <t>000161135</t>
  </si>
  <si>
    <t>000161133</t>
  </si>
  <si>
    <t>000161134</t>
  </si>
  <si>
    <t>000161132</t>
  </si>
  <si>
    <t>INT-0102-24</t>
  </si>
  <si>
    <t>HY1200009</t>
  </si>
  <si>
    <t>INDOCOLLYRE 0.1%, ONE BOTTLE 5ML</t>
  </si>
  <si>
    <t>H9663</t>
  </si>
  <si>
    <t>000161229</t>
  </si>
  <si>
    <t>Chi nhánh Hà Nội cận hạn chuyển hủy</t>
  </si>
  <si>
    <t>Xem file</t>
  </si>
  <si>
    <t>N/A</t>
  </si>
  <si>
    <t>PAP - Bàn giao vỏ/hộp,vỉ thuốc đã sử dụng</t>
  </si>
  <si>
    <t>INT-0103-24</t>
  </si>
  <si>
    <t>Hành động</t>
  </si>
  <si>
    <t>CT PAP Tagrisso/Imfinzi/Lynparza/Calquence 29.11.24</t>
  </si>
  <si>
    <t>CT PAP Tagrisso/Imfinzi/Lynparza/Calquence 07.11.24</t>
  </si>
  <si>
    <t>INT-0104-24</t>
  </si>
  <si>
    <t>Chuyển bán BT</t>
  </si>
  <si>
    <t>FLWX</t>
  </si>
  <si>
    <t>INT-0105-24</t>
  </si>
  <si>
    <t>HY1100008</t>
  </si>
  <si>
    <t>PIASCLEDINE TAB 15.S</t>
  </si>
  <si>
    <t>M131</t>
  </si>
  <si>
    <t>000161790</t>
  </si>
  <si>
    <t>RÁCH VỎ</t>
  </si>
  <si>
    <t>Chuyển CXL, Chờ xuất mẫu</t>
  </si>
  <si>
    <t>INT-0106-24</t>
  </si>
  <si>
    <t>INT-0107-24</t>
  </si>
  <si>
    <t>INT-0108-24</t>
  </si>
  <si>
    <t>INT-0109-24</t>
  </si>
  <si>
    <t>000162829</t>
  </si>
  <si>
    <t>41403</t>
  </si>
  <si>
    <t>PHOSPHALUGEL 12.38G/20G ORGEL SC26 VN</t>
  </si>
  <si>
    <t>BK364499</t>
  </si>
  <si>
    <t>ORSIRO 2.25/22</t>
  </si>
  <si>
    <t>08230094</t>
  </si>
  <si>
    <t>M0001991</t>
  </si>
  <si>
    <t>Đã chuyển trả hãng- 17/12/2024</t>
  </si>
  <si>
    <t>INT-0110-24</t>
  </si>
  <si>
    <t>Arimidex 1mg</t>
  </si>
  <si>
    <t>SR241</t>
  </si>
  <si>
    <t>móp nhẹ- phát hiện trong thùng nguyên ko sticker</t>
  </si>
  <si>
    <t>INT-0111-24</t>
  </si>
  <si>
    <t>AV1100003</t>
  </si>
  <si>
    <t>GLEMONT CT5 5MG 30.S</t>
  </si>
  <si>
    <t>05230131</t>
  </si>
  <si>
    <t>000162847</t>
  </si>
  <si>
    <t>CNĐN - hàng cận hạn</t>
  </si>
  <si>
    <t>INT-0112-24</t>
  </si>
  <si>
    <t>DV1100141</t>
  </si>
  <si>
    <t>KAGAWAS-300 (HOP/30VIEN)</t>
  </si>
  <si>
    <t>212267</t>
  </si>
  <si>
    <t>000162848</t>
  </si>
  <si>
    <t>GA1100006</t>
  </si>
  <si>
    <t>NADAXENA 250 H3x10v</t>
  </si>
  <si>
    <t>12615501</t>
  </si>
  <si>
    <t>000162849</t>
  </si>
  <si>
    <t>INT-0113-24</t>
  </si>
  <si>
    <t>HC082A</t>
  </si>
  <si>
    <t>000162850</t>
  </si>
  <si>
    <t>Trả về - hư hỏng</t>
  </si>
  <si>
    <t>Chuyển CXL, Chờ trả hãng theo đợt</t>
  </si>
  <si>
    <t>428297</t>
  </si>
  <si>
    <t>000162827</t>
  </si>
  <si>
    <t>Plan hold</t>
  </si>
  <si>
    <t>INT-0114-24</t>
  </si>
  <si>
    <t>INT-0115-24</t>
  </si>
  <si>
    <t>HY1300068</t>
  </si>
  <si>
    <t>G242800</t>
  </si>
  <si>
    <t>PHYSIODOSE (HOP/15 ONG X 5ML)</t>
  </si>
  <si>
    <t>000163380</t>
  </si>
  <si>
    <t>INT-0116-24</t>
  </si>
  <si>
    <t>FLTB</t>
  </si>
  <si>
    <t>INT-0117-24</t>
  </si>
  <si>
    <t>40505</t>
  </si>
  <si>
    <t>40153</t>
  </si>
  <si>
    <t>SC6100024</t>
  </si>
  <si>
    <t>OSTEOCARE CHEWABLE (HOP/30 VIEN)</t>
  </si>
  <si>
    <t>F169385</t>
  </si>
  <si>
    <t>THU HỒI HÀNG VE- HO KINH DOANH MINH ANH PHARMACY</t>
  </si>
  <si>
    <t>INT-0118-24</t>
  </si>
  <si>
    <t>PM2308</t>
  </si>
  <si>
    <t>000164100</t>
  </si>
  <si>
    <t>Chuyển BQDV</t>
  </si>
  <si>
    <t>INT-0119-24</t>
  </si>
  <si>
    <t>54-11630</t>
  </si>
  <si>
    <t>000164161</t>
  </si>
  <si>
    <t>INT-0120-24</t>
  </si>
  <si>
    <t>INT-0121-24</t>
  </si>
  <si>
    <t>000164395</t>
  </si>
  <si>
    <t>000164396</t>
  </si>
  <si>
    <t>30383</t>
  </si>
  <si>
    <t>000164393</t>
  </si>
  <si>
    <t>000164394</t>
  </si>
  <si>
    <t>AN KHANG - VE PHARMA - THU HỒI HÀNG CẬN DATE THÁNG 12</t>
  </si>
  <si>
    <t>INT-0122-24</t>
  </si>
  <si>
    <t>HY1300044</t>
  </si>
  <si>
    <t>STERIMAR NOSE HYGIENE BABY 50 ML</t>
  </si>
  <si>
    <t>FE3263D</t>
  </si>
  <si>
    <t>000164400</t>
  </si>
  <si>
    <t>INT-0123-24</t>
  </si>
  <si>
    <t xml:space="preserve">Nhà cung cấp RXILIENT MEDICAL PTE.LTD đã xác nhận hàng dc bảo quản ở 15-25 đô C </t>
  </si>
  <si>
    <t>Hàng thực tế INV:RMPI240043 về với nhiệt độ 2-8 độ C</t>
  </si>
  <si>
    <t>INT-0001-25</t>
  </si>
  <si>
    <t>000164668</t>
  </si>
  <si>
    <t>000164667</t>
  </si>
  <si>
    <t>000164671</t>
  </si>
  <si>
    <t>000164670</t>
  </si>
  <si>
    <t>000164669</t>
  </si>
  <si>
    <t>000164664</t>
  </si>
  <si>
    <t>000164666</t>
  </si>
  <si>
    <t>000164665</t>
  </si>
  <si>
    <t>31120</t>
  </si>
  <si>
    <t>30883</t>
  </si>
  <si>
    <t>PFT2204A</t>
  </si>
  <si>
    <t>THU HỒI LONG CHÂU</t>
  </si>
  <si>
    <t>INT-0002-25</t>
  </si>
  <si>
    <t>DV1100035</t>
  </si>
  <si>
    <t>TEGRUCIL-4 (HOP/60VIEN)</t>
  </si>
  <si>
    <t>220021</t>
  </si>
  <si>
    <t>000164775</t>
  </si>
  <si>
    <t>000164777</t>
  </si>
  <si>
    <t>220020</t>
  </si>
  <si>
    <t>000164774</t>
  </si>
  <si>
    <t>000164776</t>
  </si>
  <si>
    <t>CNHN- HÀNG CẬN HẠN</t>
  </si>
  <si>
    <t>INT-0003-25</t>
  </si>
  <si>
    <t>OSIRO 2.5/30</t>
  </si>
  <si>
    <t>BK364512</t>
  </si>
  <si>
    <t>M0002122</t>
  </si>
  <si>
    <t>02242292</t>
  </si>
  <si>
    <t>CHUYỂN TRẢ HÃNG</t>
  </si>
  <si>
    <t>AZ1100005</t>
  </si>
  <si>
    <t>LYNPARZA 100MG 7 BLISTERS X 8 FILM-COATED TABLETS</t>
  </si>
  <si>
    <t>SR613</t>
  </si>
  <si>
    <t>000165088</t>
  </si>
  <si>
    <t>hàng móp có sticker cam</t>
  </si>
  <si>
    <t>INT-0004-25</t>
  </si>
  <si>
    <t>INT-0005-25</t>
  </si>
  <si>
    <t>SC6100021</t>
  </si>
  <si>
    <t>WELLKID MULTI-VITAMIN SMART CHEWABLE (H/30VIEN)</t>
  </si>
  <si>
    <t>000166115</t>
  </si>
  <si>
    <t>000166116</t>
  </si>
  <si>
    <t>000166114</t>
  </si>
  <si>
    <t>32022</t>
  </si>
  <si>
    <t>F166743</t>
  </si>
  <si>
    <t>163763</t>
  </si>
  <si>
    <t>Hàng chi nhánh cận date (&lt;1 năm)</t>
  </si>
  <si>
    <t>INT-0006-25</t>
  </si>
  <si>
    <t>000166125</t>
  </si>
  <si>
    <t>000166126</t>
  </si>
  <si>
    <t>000166127</t>
  </si>
  <si>
    <t>số ASN: 54-11889</t>
  </si>
  <si>
    <t>000166217</t>
  </si>
  <si>
    <t>000166218</t>
  </si>
  <si>
    <t>SỐ ASN: 54-11955</t>
  </si>
  <si>
    <t>INT-0007-25</t>
  </si>
  <si>
    <t>000166398</t>
  </si>
  <si>
    <t>25 VIÊN</t>
  </si>
  <si>
    <t>Trả hãng ngày 16.01.2025</t>
  </si>
  <si>
    <t>Tồn</t>
  </si>
  <si>
    <t>Có</t>
  </si>
  <si>
    <t>Không</t>
  </si>
  <si>
    <t>INT-0008-25</t>
  </si>
  <si>
    <t>000166587</t>
  </si>
  <si>
    <t>000166586</t>
  </si>
  <si>
    <t>F165579</t>
  </si>
  <si>
    <t>000166593</t>
  </si>
  <si>
    <t>000166590</t>
  </si>
  <si>
    <t>000166591</t>
  </si>
  <si>
    <t>000166842</t>
  </si>
  <si>
    <t>000166891</t>
  </si>
  <si>
    <t>000166890</t>
  </si>
  <si>
    <t>191036</t>
  </si>
  <si>
    <t>000166894</t>
  </si>
  <si>
    <t>162008A</t>
  </si>
  <si>
    <t>000166895</t>
  </si>
  <si>
    <t>SC6100009</t>
  </si>
  <si>
    <t>WELLMAN (H/30 VIEN)</t>
  </si>
  <si>
    <t>WEIR4210PAA</t>
  </si>
  <si>
    <t>000166897</t>
  </si>
  <si>
    <t>000166898</t>
  </si>
  <si>
    <t>31308</t>
  </si>
  <si>
    <t>000166902</t>
  </si>
  <si>
    <t>000166903</t>
  </si>
  <si>
    <t>000166906</t>
  </si>
  <si>
    <t>Hàng thu hồi cận date (&lt;1 năm)</t>
  </si>
  <si>
    <t>SỐ ASN: 50-11890</t>
  </si>
  <si>
    <t>SỐ ASN:50-11890</t>
  </si>
  <si>
    <t>SỐ ASN: 50-11901</t>
  </si>
  <si>
    <t>SỐ ASN: 50-11911</t>
  </si>
  <si>
    <t>PAP Tagrisso/Imfinzi/Lynparza/Calquence 27.12.24</t>
  </si>
  <si>
    <t>INT-0009-25</t>
  </si>
  <si>
    <t>000166589</t>
  </si>
  <si>
    <t>000166901</t>
  </si>
  <si>
    <t>hàng bị dán giá, dơ</t>
  </si>
  <si>
    <t>50-11890</t>
  </si>
  <si>
    <t>50-11911</t>
  </si>
  <si>
    <t>INT-0010-25</t>
  </si>
  <si>
    <t>DV1100016</t>
  </si>
  <si>
    <t>KAUSKAS-50 (HOP/30VIEN)</t>
  </si>
  <si>
    <t>220286</t>
  </si>
  <si>
    <t>000167109</t>
  </si>
  <si>
    <t>OR5700001</t>
  </si>
  <si>
    <t>FOSTER</t>
  </si>
  <si>
    <t>1182016</t>
  </si>
  <si>
    <t>000167107</t>
  </si>
  <si>
    <t>AV1300007</t>
  </si>
  <si>
    <t>COMBIWAVE SF 125</t>
  </si>
  <si>
    <t>12230184</t>
  </si>
  <si>
    <t>000167108</t>
  </si>
  <si>
    <t>CHUYỂN CHỜ HỦY</t>
  </si>
  <si>
    <t>INT-0011-25</t>
  </si>
  <si>
    <t>000167187</t>
  </si>
  <si>
    <t>Hàng date dưới 12 tháng</t>
  </si>
  <si>
    <t>000167280</t>
  </si>
  <si>
    <t>000167282</t>
  </si>
  <si>
    <t>000167279</t>
  </si>
  <si>
    <t>000167281</t>
  </si>
  <si>
    <t>000167283</t>
  </si>
  <si>
    <t>INT-0012-25</t>
  </si>
  <si>
    <t>INT-0013-25</t>
  </si>
  <si>
    <t>000167307</t>
  </si>
  <si>
    <t>000167310</t>
  </si>
  <si>
    <t>000167312</t>
  </si>
  <si>
    <t>000167309</t>
  </si>
  <si>
    <t>000167308</t>
  </si>
  <si>
    <t>INT-0014-25</t>
  </si>
  <si>
    <t>000167212</t>
  </si>
  <si>
    <t>000167213</t>
  </si>
  <si>
    <t>000167226</t>
  </si>
  <si>
    <t>000167229</t>
  </si>
  <si>
    <t>000167228</t>
  </si>
  <si>
    <t>000167230</t>
  </si>
  <si>
    <t>000167276</t>
  </si>
  <si>
    <t>Đã xuất đi</t>
  </si>
  <si>
    <t>Đền bù vận chuyển</t>
  </si>
  <si>
    <t>Yêu cầu hãng</t>
  </si>
  <si>
    <t>Chờ trả hãng, chờ hủy, release</t>
  </si>
  <si>
    <t>Trả về - release</t>
  </si>
  <si>
    <t>Nhiệt độ vận chuyển, móp nhẹ mà mình release</t>
  </si>
  <si>
    <t>Chờ hủy,…</t>
  </si>
  <si>
    <t>Bán</t>
  </si>
  <si>
    <t>Hủy</t>
  </si>
  <si>
    <t>Chưa xác định</t>
  </si>
  <si>
    <t>Đơn chỉ định</t>
  </si>
  <si>
    <t>Xuất mẫu</t>
  </si>
  <si>
    <t>Chuyển bán</t>
  </si>
  <si>
    <t>Tình trạng</t>
  </si>
  <si>
    <t>INT-0015-25</t>
  </si>
  <si>
    <t>000167293</t>
  </si>
  <si>
    <t>31445</t>
  </si>
  <si>
    <t>40314</t>
  </si>
  <si>
    <t>000167298</t>
  </si>
  <si>
    <t>000167299</t>
  </si>
  <si>
    <t>000167294</t>
  </si>
  <si>
    <t>000167297</t>
  </si>
  <si>
    <t>000167292</t>
  </si>
  <si>
    <t>000167295</t>
  </si>
  <si>
    <t>000167296</t>
  </si>
  <si>
    <t>Xuất</t>
  </si>
  <si>
    <t>Plan xác nhận hủy</t>
  </si>
  <si>
    <t>Hãng yêu cầu thu hồi =&gt; chuyển hủy</t>
  </si>
  <si>
    <t>Mail CS
Đã xuất mẫu về hãng</t>
  </si>
  <si>
    <t>INT-0016-25</t>
  </si>
  <si>
    <t>40028</t>
  </si>
  <si>
    <t>000167316</t>
  </si>
  <si>
    <t>000167317</t>
  </si>
  <si>
    <t>000167359</t>
  </si>
  <si>
    <t>000167362</t>
  </si>
  <si>
    <t>000167363</t>
  </si>
  <si>
    <t>000167365</t>
  </si>
  <si>
    <t>000167898</t>
  </si>
  <si>
    <t>INT-0017-25</t>
  </si>
  <si>
    <t>Planning xác nhận</t>
  </si>
  <si>
    <t>DV1100147</t>
  </si>
  <si>
    <t>KOZERAL (HOP/60VIEN)</t>
  </si>
  <si>
    <t>220215</t>
  </si>
  <si>
    <t>000168016</t>
  </si>
  <si>
    <t>12230266</t>
  </si>
  <si>
    <t>000168014</t>
  </si>
  <si>
    <t>DV1100146</t>
  </si>
  <si>
    <t>CRUZZ-5 (HOP/30VIEN)</t>
  </si>
  <si>
    <t>220170</t>
  </si>
  <si>
    <t>000168015</t>
  </si>
  <si>
    <t>Hàng cận date-Trinh Plan xác nhận</t>
  </si>
  <si>
    <t>INT-0018-25</t>
  </si>
  <si>
    <t>000168020</t>
  </si>
  <si>
    <t>000168019</t>
  </si>
  <si>
    <t>000168018</t>
  </si>
  <si>
    <t>000168023</t>
  </si>
  <si>
    <t>000168021</t>
  </si>
  <si>
    <t>Hàng date dưới 12 tháng - Hãng xác nhận hủy</t>
  </si>
  <si>
    <t>INT-0019-25</t>
  </si>
  <si>
    <t>000167763</t>
  </si>
  <si>
    <t>000167761</t>
  </si>
  <si>
    <t>000167760</t>
  </si>
  <si>
    <t>000167756</t>
  </si>
  <si>
    <t>000167755</t>
  </si>
  <si>
    <t>000167773</t>
  </si>
  <si>
    <t>000167774</t>
  </si>
  <si>
    <t>000167775</t>
  </si>
  <si>
    <t>000167771</t>
  </si>
  <si>
    <t>000167770</t>
  </si>
  <si>
    <t>SC6100013</t>
  </si>
  <si>
    <t>PREGNACARE ORIGINAL (H/30 VIEN)</t>
  </si>
  <si>
    <t>PRW2323PA</t>
  </si>
  <si>
    <t>000167360</t>
  </si>
  <si>
    <t>000167361</t>
  </si>
  <si>
    <t>000167364</t>
  </si>
  <si>
    <t>hàng bị dán giá trên hộp</t>
  </si>
  <si>
    <t>INT-0020-25</t>
  </si>
  <si>
    <t>000168157</t>
  </si>
  <si>
    <t>INT-0021-25</t>
  </si>
  <si>
    <t>INT-0022-25</t>
  </si>
  <si>
    <t>SC6</t>
  </si>
  <si>
    <t>hàng date dưới 12 tháng, móp, rách, dán giá</t>
  </si>
  <si>
    <t>000168354 , 000168349 , 000168350 , 000168352 , 000168353 , 000168351 , 000168331 , 000168330 , 000168333</t>
  </si>
  <si>
    <t>000168197 or 000168198 or 000168201 OR 000168202 OR 000168200 OR 000168199</t>
  </si>
  <si>
    <t>INT-0023-25</t>
  </si>
  <si>
    <t>000168457</t>
  </si>
  <si>
    <t>000168456</t>
  </si>
  <si>
    <t>cận hạn</t>
  </si>
  <si>
    <t>chuyển sang INT-0022-25</t>
  </si>
  <si>
    <t>INT-0024-25</t>
  </si>
  <si>
    <t>PAP Tagrisso/Imfinzi/Lynparza/Calquence 21.01.25</t>
  </si>
  <si>
    <t>000168159</t>
  </si>
  <si>
    <t>000168160</t>
  </si>
  <si>
    <t>000168158</t>
  </si>
  <si>
    <t>Chuyển kho chờ trả hãng</t>
  </si>
  <si>
    <t>CC_460724</t>
  </si>
  <si>
    <t>INT-0025-25</t>
  </si>
  <si>
    <t>SA1200012</t>
  </si>
  <si>
    <t>LOVENOX 40MG/0.4ML INJ. B/ 2 SYRINGES VN</t>
  </si>
  <si>
    <t>JS044A</t>
  </si>
  <si>
    <t>Hàng trả về do lệch cơ số thầu BV- hàng nguyên vẹn- release bán bình thường</t>
  </si>
  <si>
    <t>hãng xác nhận hủy</t>
  </si>
  <si>
    <t>INT-0026-25</t>
  </si>
  <si>
    <t>CORDARONE 200MG</t>
  </si>
  <si>
    <t>FA2647</t>
  </si>
  <si>
    <t>000168042 or 000168045 or 000168049 or 000168048 or 000168044 or 000168046 or 000168053 or 000168043 or 000168047 or 000168052 or 000168050 or 000168051 or 000168025 or 000168030 or 000168124 or 000168127 or 000167877 or 000168024 or 000168029 or 000168123 OR LPN008359 or 000168037 or 000168033 or 000168059 or 000168031 or 000168060 or 000167882 or 000168036 or 000167867 or 000168201 or 000167878 or 000168197 or 000168198 or 000167875 or 000168199 or 000168200 or 000167869 or 000168039 or 000168034 or LPN008359 OR 000167876 or 000168140 or 000168202 or 000167874 or 000168141 or 000167212 or 000167213 or 000167226 or 000167229 or 000167228 or 000167230 or 000167276 or 000167758 or 000167765 or 000167767 or 000167769 or 000167768 or 000167764 or 000168027 or 000168061 or 000168129 or 000168135 or 000168136 or 000168138 or 000168146 or 000168143 or 000168142 or 000168319 or 000168069 or 000168071 or 000168070 or 000168038 or 000168035 or 000168041 or 000168032 or 000168040 or 000168145 or LPN008349 or LPN008348 or 000168490  or 
000168492 or 
000168494 or 
000168493 or 
000168495 or 000167316 or 
000167317 or 
000167321 or 
000167319 or 
000168322 or 
000168323 or 
000168325 or 
000168326 or 
000168328 or 
000168356 or 
000168355 or 
000168359 or 
000168361 or 
000168362 or 
000168364 or 
000168363 or 000168369 or 
000168375 or 
000168376 or 
000168377 or 
000168378 or 
000168379 or
000168380 or 
000168381 or 
000168382 or 
000168384 or 
000168387 or 
000168388 or 
000168390 or 
000168391 or 000168649 or 
000168650 or 
LPN008375 or 
000168652 or 
000168653 or 
000168654 or 
000168656 or 
000168657 or 
000168659 or 000168693 or 
000168695 or 
000168696 or 
000168697 or 
000168699 or 
000168700</t>
  </si>
  <si>
    <t xml:space="preserve">000168491 or 000168201 or 
000168197 or 
000168198 or 
000168199 or 
000168200 or 
000168202 or 000168694 or  
000168698 </t>
  </si>
  <si>
    <t>INT-0027-25</t>
  </si>
  <si>
    <t>PLAVIX 300MG TABCO BL3X10</t>
  </si>
  <si>
    <t>EA3535</t>
  </si>
  <si>
    <t>thu hồi do KAM đặt sai số lượng</t>
  </si>
  <si>
    <t>SA1100034</t>
  </si>
  <si>
    <t>thu hồi do bệnh viện đặt sai sản phẩm</t>
  </si>
  <si>
    <t>SA1100039</t>
  </si>
  <si>
    <t>INT-0028-25</t>
  </si>
  <si>
    <t>PB2406</t>
  </si>
  <si>
    <t>RH1300082</t>
  </si>
  <si>
    <t>THUOC GOI TRI GAU (SELSUN 1.8 %) 100 ML</t>
  </si>
  <si>
    <t>OIBY014</t>
  </si>
  <si>
    <t>LPN008403</t>
  </si>
  <si>
    <t>LPN008404</t>
  </si>
  <si>
    <t>LPN008402</t>
  </si>
  <si>
    <t>INT-0029-25</t>
  </si>
  <si>
    <t>INT-0030-25</t>
  </si>
  <si>
    <t>BK391018</t>
  </si>
  <si>
    <t>ORSIRO 3.5/35</t>
  </si>
  <si>
    <t>M0002213</t>
  </si>
  <si>
    <t>01245469</t>
  </si>
  <si>
    <t>BK364502</t>
  </si>
  <si>
    <t>ORSIRO 3.0/22</t>
  </si>
  <si>
    <t>05240252</t>
  </si>
  <si>
    <t>ST9-ASD-012</t>
  </si>
  <si>
    <t>AMPLATZER SEPTAL OCCLUDER 12MM</t>
  </si>
  <si>
    <t>7934578</t>
  </si>
  <si>
    <t>M0002214</t>
  </si>
  <si>
    <t>ST9-ASD-022</t>
  </si>
  <si>
    <t>AMPLATZER SEPTAL OCCLUDER 22MM</t>
  </si>
  <si>
    <t>9214505</t>
  </si>
  <si>
    <t>7302599</t>
  </si>
  <si>
    <t>ST9-PDAP-05-04-L</t>
  </si>
  <si>
    <t>AMPLATZER PICCOLO OCCLUDER 5MM X 4MM</t>
  </si>
  <si>
    <t>10190778</t>
  </si>
  <si>
    <t>ST9-ITV09F45/80</t>
  </si>
  <si>
    <t>TORQVUE DELIVERY SYSTEM ASD 9F</t>
  </si>
  <si>
    <t>10011451</t>
  </si>
  <si>
    <t>hàng chi nhánh hư hỏng chờ tiêu hủy</t>
  </si>
  <si>
    <t>INT-0031-25</t>
  </si>
  <si>
    <t>000169657</t>
  </si>
  <si>
    <t>SC6100008</t>
  </si>
  <si>
    <t>MENOPACE (H/30 VIEN)</t>
  </si>
  <si>
    <t>165074</t>
  </si>
  <si>
    <t>000169716</t>
  </si>
  <si>
    <t>Móp xuất đơn chỉ định-gsdp</t>
  </si>
  <si>
    <t>INT-0032-25</t>
  </si>
  <si>
    <t>RH7300221</t>
  </si>
  <si>
    <t>NXTP HADA LABO ADVANCED NOURISH HYALURONIC ACID CLEANSER 80G</t>
  </si>
  <si>
    <t>HA01V2</t>
  </si>
  <si>
    <t>000169371</t>
  </si>
  <si>
    <t>000169372</t>
  </si>
  <si>
    <t>hàng trả về lệch lô, CS xác nhận lên đơn clear hàng</t>
  </si>
  <si>
    <t>INT-0033-25</t>
  </si>
  <si>
    <t>000169684</t>
  </si>
  <si>
    <t>000169687</t>
  </si>
  <si>
    <t>INT-0034-25</t>
  </si>
  <si>
    <t xml:space="preserve">000169680 OR 000169682 OR 000169681 OR 000169683 OR 000169688 OR 000169686 OR 000169685 or 000170115 or 
000170118 or 
000170119 or 
000170120 or
000170121 or 
000170122 or 
000170126 or 
000170125 or 000170153 or 000170211 or 000170212
</t>
  </si>
  <si>
    <t>INT-0035-25</t>
  </si>
  <si>
    <t>HT1100033</t>
  </si>
  <si>
    <t>DOLUTEGRAVIR, LAMIVUDINE AND TENOFOVIR DISOPROXIL FUMARATE T</t>
  </si>
  <si>
    <t>E243629</t>
  </si>
  <si>
    <t>000156665</t>
  </si>
  <si>
    <t>2 hộp ARV thu hồi về kho bị móp, rách vỏ hộp theo thông tin Hãng báo sẽ chuyển vào kho cách ly riêng chung với hàng bị ướt khi vận chuyển</t>
  </si>
  <si>
    <t>không nằm trong 4 lô DLT ướt, chờ thay hộp</t>
  </si>
  <si>
    <t>Nội bộ kho xử lý</t>
  </si>
  <si>
    <t>Kho tự xử lý, ra đơn, đền bù</t>
  </si>
  <si>
    <t>RH7300104</t>
  </si>
  <si>
    <t>NXTP KM SUA CHONG NANG SUNPLAY 30G (SUPER BLOCK SPF81)</t>
  </si>
  <si>
    <t>GA06</t>
  </si>
  <si>
    <t>LPN008468</t>
  </si>
  <si>
    <t>Mặt sau ố vàng,
Mặt đáy mất seal, nhăn, nhàu</t>
  </si>
  <si>
    <t>INT-0036-25</t>
  </si>
  <si>
    <t>Kho lẻ: hàng NXTP Hold tạm chờ đơn</t>
  </si>
  <si>
    <t>DIABETONE (H/30 VIEN), FEROGLOBIN B12 LIQUID 200ML, JOINTACE (H/30 VIEN), LIVERIL (H/30 VIEN), MENOPACE (H/30 VIEN), OSTEOCARE LIQUID 200ML, WELLBABY MULTI-VITAMIN LIQUID (CHAI 150ML), WELLKID MULTI-VITAMIN LIQUID (CHAI/150ML), WELLKID MULTI-VITAMIN SMART CHEWABLE (H/30VIEN)</t>
  </si>
  <si>
    <t>000170597</t>
  </si>
  <si>
    <t>000170596</t>
  </si>
  <si>
    <t>hàng date dưới 12 tháng</t>
  </si>
  <si>
    <t>INT-0037-25</t>
  </si>
  <si>
    <t>INT-0038-25</t>
  </si>
  <si>
    <t>000170668</t>
  </si>
  <si>
    <t>000170669</t>
  </si>
  <si>
    <t>FW2315TA</t>
  </si>
  <si>
    <t>000170670</t>
  </si>
  <si>
    <t>SC6100004</t>
  </si>
  <si>
    <t>OSTEOCARE (H/30 VIEN)</t>
  </si>
  <si>
    <t>OT2204P</t>
  </si>
  <si>
    <t>000170671</t>
  </si>
  <si>
    <t>000170672</t>
  </si>
  <si>
    <t>000170673</t>
  </si>
  <si>
    <t>000170674</t>
  </si>
  <si>
    <t>hàng bị dán giá</t>
  </si>
  <si>
    <t>INT-0039-25</t>
  </si>
  <si>
    <t>DV1100225</t>
  </si>
  <si>
    <t>TEGRUCIL-1 (HOP/100VIEN) - EU</t>
  </si>
  <si>
    <t>241600</t>
  </si>
  <si>
    <t>RCD_01/25; RCN_01/25</t>
  </si>
  <si>
    <t>Hàng trả về bị móp, hold cs chờ ra đơn</t>
  </si>
  <si>
    <t>INT-0040-25</t>
  </si>
  <si>
    <t>03235939</t>
  </si>
  <si>
    <t>M0002230</t>
  </si>
  <si>
    <t>INT-0041-25</t>
  </si>
  <si>
    <t>OT2121P</t>
  </si>
  <si>
    <t>000171720</t>
  </si>
  <si>
    <t>INT-0042-25</t>
  </si>
  <si>
    <t>AZ1112005</t>
  </si>
  <si>
    <t>FLKM</t>
  </si>
  <si>
    <t>000171924</t>
  </si>
  <si>
    <t>000171925</t>
  </si>
  <si>
    <t>INT-0043-25</t>
  </si>
  <si>
    <t>HT1100013</t>
  </si>
  <si>
    <t>TEMOTERO 20 (HOP/ 5 VIEN)</t>
  </si>
  <si>
    <t>TEM23010C</t>
  </si>
  <si>
    <t>000172170</t>
  </si>
  <si>
    <t>INT-0044-25</t>
  </si>
  <si>
    <t xml:space="preserve">000172065 or  000172064 or  000172068 or  000172066 or  000172067 or  000172069 or </t>
  </si>
  <si>
    <t>Xuất trả hãng ngày 12/03/2025</t>
  </si>
  <si>
    <t>INT-0045-25</t>
  </si>
  <si>
    <t>000172181</t>
  </si>
  <si>
    <t>000146502</t>
  </si>
  <si>
    <t>000146501</t>
  </si>
  <si>
    <t>SC6100014</t>
  </si>
  <si>
    <t>LIVERIL (H/30 VIEN)</t>
  </si>
  <si>
    <t>LV2114P</t>
  </si>
  <si>
    <t>PFT21116P</t>
  </si>
  <si>
    <t>000146503</t>
  </si>
  <si>
    <t>000146499</t>
  </si>
  <si>
    <t>LV2111P</t>
  </si>
  <si>
    <t>000146500</t>
  </si>
  <si>
    <t>SA1100012</t>
  </si>
  <si>
    <t xml:space="preserve">Trả về tại kho - </t>
  </si>
  <si>
    <t>INT-0046-25</t>
  </si>
  <si>
    <t>MG1100042</t>
  </si>
  <si>
    <t>PANFOR SR-1000 (HOP/5 VI X 20 VIEN)</t>
  </si>
  <si>
    <t>PAF021009</t>
  </si>
  <si>
    <t>000170207</t>
  </si>
  <si>
    <t>Gom lại thông tin gửi mail cho chị Như-Giám sát + Khải TN xuất</t>
  </si>
  <si>
    <t>INT-0047-25</t>
  </si>
  <si>
    <t>BK364505</t>
  </si>
  <si>
    <t>ORSIRO 2.25/26</t>
  </si>
  <si>
    <t>04232708</t>
  </si>
  <si>
    <t>M0002337</t>
  </si>
  <si>
    <t>INT-0048-25</t>
  </si>
  <si>
    <t>RH5300037</t>
  </si>
  <si>
    <t>BO SAN PHAM REMOS LAVENDER 70ML(06 PCS)+REMOS SA CHANH 70 ML</t>
  </si>
  <si>
    <t>AB01</t>
  </si>
  <si>
    <t>000172644
000172645</t>
  </si>
  <si>
    <t>240
177</t>
  </si>
  <si>
    <t>Planning sẽ giải trình khi khách yêu cầu</t>
  </si>
  <si>
    <t>Thu hồi thuốc chưa sử dụng CT Tagrisso T10.2024</t>
  </si>
  <si>
    <t>chuyển sang INT-0106-24</t>
  </si>
  <si>
    <t>INT-0049-25</t>
  </si>
  <si>
    <t>1_RWP SWEETIE 30ml+1_RN WOODY 30ml-Kuromi+2RWP DELUXE 30ml-K</t>
  </si>
  <si>
    <t>BB01A</t>
  </si>
  <si>
    <t>000173250</t>
  </si>
  <si>
    <t>INT-0050-25</t>
  </si>
  <si>
    <t>000173293</t>
  </si>
  <si>
    <t>WEIR2304SA</t>
  </si>
  <si>
    <t>000173294</t>
  </si>
  <si>
    <t>INT-0051-25</t>
  </si>
  <si>
    <t>INT-0052-25</t>
  </si>
  <si>
    <t>Kho Long Hậu</t>
  </si>
  <si>
    <t>AZ1112001</t>
  </si>
  <si>
    <t>CALQUENCE PA CAP 100MG BL 10X6 EA VN</t>
  </si>
  <si>
    <t>ABFF</t>
  </si>
  <si>
    <t>CN CONG TY TNHH DUOC PHAM &amp; TTBYT HOANG DUC</t>
  </si>
  <si>
    <t>D.vụ bảo quản</t>
  </si>
  <si>
    <t>Đã kiểm</t>
  </si>
  <si>
    <t>AZ1100006</t>
  </si>
  <si>
    <t>LYNPARZA 150 MG7 BLISTERS X 8 FILM-COATED TABLETS</t>
  </si>
  <si>
    <t>SK052</t>
  </si>
  <si>
    <t>000173680</t>
  </si>
  <si>
    <t>000173682</t>
  </si>
  <si>
    <t>000173681</t>
  </si>
  <si>
    <t>000173658 OR  000173659 OR  000173660 OR  000173661 OR  000173662 OR  000173663 OR  000173664</t>
  </si>
  <si>
    <t>000170690 or  000170837 or  000170915 or  000170923 or  000170924 or  000171537 or  000171693 or  000171712 or  000172410 or  000172411 or  000173274 or 000173275 or 000173273 or 000171926</t>
  </si>
  <si>
    <t>INT-0053-25</t>
  </si>
  <si>
    <t>SA1100035</t>
  </si>
  <si>
    <t>DEPAKINE CHRONO 500MG TUBE OF 30 TABS VN</t>
  </si>
  <si>
    <t>FAS3705</t>
  </si>
  <si>
    <t>000173926</t>
  </si>
  <si>
    <t>INT-0054-25</t>
  </si>
  <si>
    <t>000173984 OR  000173987 OR  000173985 OR  000173986 OR  000173983 OR  000173981 OR  000173980 OR  000173982 or 000174342 or 000174343 or 000174341 or 000174346 or 000174344 or 000174345</t>
  </si>
  <si>
    <t>INT-0055-25</t>
  </si>
  <si>
    <t>EN5200001</t>
  </si>
  <si>
    <t>ZOMETA (HOP/1 CHAI 100ML)</t>
  </si>
  <si>
    <t>SFTW5</t>
  </si>
  <si>
    <t>000174531</t>
  </si>
  <si>
    <t>INT-0056-25</t>
  </si>
  <si>
    <t>000174800 OR  000174801 OR  000174814 OR  000174815 OR  000174816 OR  000174794 OR  000174795 OR  000174827</t>
  </si>
  <si>
    <t>BS1300007</t>
  </si>
  <si>
    <t>OESTROGEL 0.06% GEL 80G 1.S</t>
  </si>
  <si>
    <t>74149</t>
  </si>
  <si>
    <t>000137264-1</t>
  </si>
  <si>
    <t>0000064551</t>
  </si>
  <si>
    <t>INT-0057-25</t>
  </si>
  <si>
    <t>000176030</t>
  </si>
  <si>
    <t>INT-0058-25</t>
  </si>
  <si>
    <t>ORSIRO 2.5/30</t>
  </si>
  <si>
    <t>04246723</t>
  </si>
  <si>
    <t>M0002432</t>
  </si>
  <si>
    <t>02242382</t>
  </si>
  <si>
    <t>ORSIRO 2.75/26</t>
  </si>
  <si>
    <t>BK364507</t>
  </si>
  <si>
    <t>INT-0059-25</t>
  </si>
  <si>
    <t>000176004</t>
  </si>
  <si>
    <t>INT-0060-25</t>
  </si>
  <si>
    <t>PRW2210AA</t>
  </si>
  <si>
    <t>000176242</t>
  </si>
  <si>
    <t>000176243</t>
  </si>
  <si>
    <t>000176244</t>
  </si>
  <si>
    <t>INT-0061-25</t>
  </si>
  <si>
    <t>BK419154</t>
  </si>
  <si>
    <t>ORSIRO MISSION 4.0/40</t>
  </si>
  <si>
    <t>07240043</t>
  </si>
  <si>
    <t>M0002465</t>
  </si>
  <si>
    <t>INT-0062-25</t>
  </si>
  <si>
    <t>INT-0063-25</t>
  </si>
  <si>
    <t>MY1100004</t>
  </si>
  <si>
    <t>SMECTA ORANGE 3G 10SACH VN</t>
  </si>
  <si>
    <t>C52354</t>
  </si>
  <si>
    <t>INT-0064-25</t>
  </si>
  <si>
    <t>41589</t>
  </si>
  <si>
    <t>41402</t>
  </si>
  <si>
    <t>000176952</t>
  </si>
  <si>
    <t>000176953</t>
  </si>
  <si>
    <t>INT-0065-25</t>
  </si>
  <si>
    <t>PODOXRED 500MG (H/1 LO)</t>
  </si>
  <si>
    <t>SAN PHAM XUA MUOI REMOS BABY SPRAY KHUYNH DIEP 70ML</t>
  </si>
  <si>
    <t>RD1200009</t>
  </si>
  <si>
    <t>RH5300032</t>
  </si>
  <si>
    <t>H240904</t>
  </si>
  <si>
    <t>AB02</t>
  </si>
  <si>
    <t>LV2211P</t>
  </si>
  <si>
    <t>000177215</t>
  </si>
  <si>
    <t>000177216</t>
  </si>
  <si>
    <t>000177217</t>
  </si>
  <si>
    <t>000177218</t>
  </si>
  <si>
    <t>000177219</t>
  </si>
  <si>
    <t>000177220</t>
  </si>
  <si>
    <t>000177221</t>
  </si>
  <si>
    <t>BK364514</t>
  </si>
  <si>
    <t>ORSIRO 3.0/30</t>
  </si>
  <si>
    <t>BK419140</t>
  </si>
  <si>
    <t>ORSIRO MISSION 3.0/30</t>
  </si>
  <si>
    <t>03235354</t>
  </si>
  <si>
    <t>06243054</t>
  </si>
  <si>
    <t>M0002466</t>
  </si>
  <si>
    <t>INT-0066-25</t>
  </si>
  <si>
    <t>INT-0067-25</t>
  </si>
  <si>
    <t>000177629</t>
  </si>
  <si>
    <t>000177630</t>
  </si>
  <si>
    <t>000177631</t>
  </si>
  <si>
    <t>INT-0068-25</t>
  </si>
  <si>
    <t>PB2418</t>
  </si>
  <si>
    <t>41079</t>
  </si>
  <si>
    <t>40487</t>
  </si>
  <si>
    <t>PFT2425P</t>
  </si>
  <si>
    <t>PFT2405P</t>
  </si>
  <si>
    <t>000177464</t>
  </si>
  <si>
    <t>000177469</t>
  </si>
  <si>
    <t>000177470</t>
  </si>
  <si>
    <t>000177471</t>
  </si>
  <si>
    <t>000177462</t>
  </si>
  <si>
    <t>000177463</t>
  </si>
  <si>
    <t>000177468</t>
  </si>
  <si>
    <t>000177466</t>
  </si>
  <si>
    <t>000177467</t>
  </si>
  <si>
    <t>000177465</t>
  </si>
  <si>
    <t>INT-0069-25</t>
  </si>
  <si>
    <t>SA1100037</t>
  </si>
  <si>
    <t>DEPAKINE SOLUTION 200MG BTLX40ML VN</t>
  </si>
  <si>
    <t>ELB03419</t>
  </si>
  <si>
    <t>000177722</t>
  </si>
  <si>
    <t>INT-0070-25</t>
  </si>
  <si>
    <t>STAMLO-T (HOP/ 28 VIEN)</t>
  </si>
  <si>
    <t>V2301894</t>
  </si>
  <si>
    <t>LPN008970</t>
  </si>
  <si>
    <t>RD1100016</t>
  </si>
  <si>
    <t>247550</t>
  </si>
  <si>
    <t>INT-0071-25</t>
  </si>
  <si>
    <t>ASN: 0000030056</t>
  </si>
  <si>
    <t>INT-0072-25</t>
  </si>
  <si>
    <t>T2304081</t>
  </si>
  <si>
    <t>000126466</t>
  </si>
  <si>
    <t>000177290</t>
  </si>
  <si>
    <t>000178029</t>
  </si>
  <si>
    <t>INT-0073-25</t>
  </si>
  <si>
    <t>000178103</t>
  </si>
  <si>
    <t>000178133</t>
  </si>
  <si>
    <t>INT-0074-25</t>
  </si>
  <si>
    <t>000178243</t>
  </si>
  <si>
    <t>000178241</t>
  </si>
  <si>
    <t>000178242</t>
  </si>
  <si>
    <t>INT-0075-25</t>
  </si>
  <si>
    <t>SC6100016</t>
  </si>
  <si>
    <t>OSTEOCARE FIZZ (TUYP/ 20 VIEN)</t>
  </si>
  <si>
    <t>F164785</t>
  </si>
  <si>
    <t>000178262</t>
  </si>
  <si>
    <t>000178263</t>
  </si>
  <si>
    <t>000178362</t>
  </si>
  <si>
    <t>000178373</t>
  </si>
  <si>
    <t>INT-0076-25</t>
  </si>
  <si>
    <t>Xuất 3 hộp 07/05/2025</t>
  </si>
  <si>
    <t>Xuất 6 hộp 07/05/2025</t>
  </si>
  <si>
    <t>Bán tự do: Tình trạng tương tự các lô trước đó</t>
  </si>
  <si>
    <t>Yêu cầu CSKH</t>
  </si>
  <si>
    <t>CS gửi bổ sung 01 vỏ hộp 09/05/2025</t>
  </si>
  <si>
    <t>Hết date</t>
  </si>
  <si>
    <t>INT-0077-25</t>
  </si>
  <si>
    <t>AV1300002</t>
  </si>
  <si>
    <t>HEXIDINE 80ML</t>
  </si>
  <si>
    <t>L20130</t>
  </si>
  <si>
    <t>000144285</t>
  </si>
  <si>
    <r>
      <rPr>
        <b/>
        <sz val="11"/>
        <color theme="1"/>
        <rFont val="Tahoma"/>
        <family val="2"/>
      </rPr>
      <t>18/08/2023:</t>
    </r>
    <r>
      <rPr>
        <sz val="11"/>
        <color theme="1"/>
        <rFont val="Tahoma"/>
        <family val="2"/>
      </rPr>
      <t xml:space="preserve"> nhả hàng Hexidine 80ml để tiến hành xuất bán </t>
    </r>
  </si>
  <si>
    <t>INT-0078-25</t>
  </si>
  <si>
    <t>DV1100226</t>
  </si>
  <si>
    <t>TEGRUCIL-4 (HOP/60VIEN) - EU</t>
  </si>
  <si>
    <t>240613</t>
  </si>
  <si>
    <t>232686</t>
  </si>
  <si>
    <t>221807</t>
  </si>
  <si>
    <t>04/04/27</t>
  </si>
  <si>
    <t>14/12/26</t>
  </si>
  <si>
    <t>24/08/25</t>
  </si>
  <si>
    <t>000179451-1</t>
  </si>
  <si>
    <t>000179454-1</t>
  </si>
  <si>
    <t>000179452-1</t>
  </si>
  <si>
    <t>INT-0079-25</t>
  </si>
  <si>
    <t>xem file</t>
  </si>
  <si>
    <t>INT-0080-25</t>
  </si>
  <si>
    <t>000179838</t>
  </si>
  <si>
    <t>INT-0081-25</t>
  </si>
  <si>
    <t>000179894</t>
  </si>
  <si>
    <t>INT-0082-25</t>
  </si>
  <si>
    <t>FMAF</t>
  </si>
  <si>
    <t>000180396</t>
  </si>
  <si>
    <t>INT-0083-25</t>
  </si>
  <si>
    <t>000180397</t>
  </si>
  <si>
    <t>INT-0084-25</t>
  </si>
  <si>
    <t>WO1100004</t>
  </si>
  <si>
    <t>SILYGAMMA 150MG 100.S</t>
  </si>
  <si>
    <t>428584</t>
  </si>
  <si>
    <t>000180629</t>
  </si>
  <si>
    <t>INT-0085-25</t>
  </si>
  <si>
    <t>000180941</t>
  </si>
  <si>
    <t>INT-0086-25</t>
  </si>
  <si>
    <t>DV1100135</t>
  </si>
  <si>
    <t xml:space="preserve">GEBHART (HOP/30GOI) </t>
  </si>
  <si>
    <t>Lượng hàng thuê kho chuyển trả DAVI</t>
  </si>
  <si>
    <t>INT-0087-25</t>
  </si>
  <si>
    <t>AZ1112003</t>
  </si>
  <si>
    <t>SN711</t>
  </si>
  <si>
    <t>000181661</t>
  </si>
  <si>
    <t>INT-0088-25</t>
  </si>
  <si>
    <t>000181884</t>
  </si>
  <si>
    <t>000181917</t>
  </si>
  <si>
    <t>INT-0089-25</t>
  </si>
  <si>
    <t>10240572</t>
  </si>
  <si>
    <t>04/11/26</t>
  </si>
  <si>
    <t>M0002576</t>
  </si>
  <si>
    <t>hàng hư trả hãng</t>
  </si>
  <si>
    <t>INT-0090-25</t>
  </si>
  <si>
    <t>INT-0091-25</t>
  </si>
  <si>
    <t>000182053</t>
  </si>
  <si>
    <t>000182059</t>
  </si>
  <si>
    <t>000182129</t>
  </si>
  <si>
    <t>000182130</t>
  </si>
  <si>
    <t>000182131</t>
  </si>
  <si>
    <t>000182132</t>
  </si>
  <si>
    <t>PB2501</t>
  </si>
  <si>
    <t>LV2213P</t>
  </si>
  <si>
    <t>30/09/27</t>
  </si>
  <si>
    <t>30/11/26</t>
  </si>
  <si>
    <t>31/08/25</t>
  </si>
  <si>
    <t>31/10/25</t>
  </si>
  <si>
    <t>30/09/25</t>
  </si>
  <si>
    <t>hàng hủy</t>
  </si>
  <si>
    <t>Xuất 9 hộp 04/06/2025 LPN009319</t>
  </si>
  <si>
    <t>INT-0092-25</t>
  </si>
  <si>
    <t>08/02/27</t>
  </si>
  <si>
    <t>000182462</t>
  </si>
  <si>
    <t>INT-0093-25</t>
  </si>
  <si>
    <t>BK419135</t>
  </si>
  <si>
    <t>BK419143</t>
  </si>
  <si>
    <t>ORSIRO MISSION 3.5/26</t>
  </si>
  <si>
    <t>ORSIRO MISSION 2.25/35</t>
  </si>
  <si>
    <t>M0002577</t>
  </si>
  <si>
    <t>04233671</t>
  </si>
  <si>
    <t>11245222</t>
  </si>
  <si>
    <t>11241213</t>
  </si>
  <si>
    <t>13/05/25</t>
  </si>
  <si>
    <t>14/01/27</t>
  </si>
  <si>
    <t>04/12/26</t>
  </si>
  <si>
    <t>INT-0094-25</t>
  </si>
  <si>
    <t>hủy</t>
  </si>
  <si>
    <t>000183016</t>
  </si>
  <si>
    <t>000183017</t>
  </si>
  <si>
    <t>000183383</t>
  </si>
  <si>
    <t>Hàng thu hồi trả hãng</t>
  </si>
  <si>
    <t>INT-0095-25</t>
  </si>
  <si>
    <t>INT-0096-25</t>
  </si>
  <si>
    <t>HOANGDUC</t>
  </si>
  <si>
    <t>RAD</t>
  </si>
  <si>
    <t>HOLD</t>
  </si>
  <si>
    <t>VD-27453-17</t>
  </si>
  <si>
    <t>51-359493</t>
  </si>
  <si>
    <t>51-359549</t>
  </si>
  <si>
    <t>01/07/27</t>
  </si>
  <si>
    <t>000183597</t>
  </si>
  <si>
    <t>20.000</t>
  </si>
  <si>
    <t>000183598</t>
  </si>
  <si>
    <t>5.000</t>
  </si>
  <si>
    <t>000183636</t>
  </si>
  <si>
    <t>5.240</t>
  </si>
  <si>
    <t>000183637</t>
  </si>
  <si>
    <t>1.000</t>
  </si>
  <si>
    <t>INT-0097-25</t>
  </si>
  <si>
    <t>FMDF</t>
  </si>
  <si>
    <t>000183596</t>
  </si>
  <si>
    <t>INT-0098-25</t>
  </si>
  <si>
    <t>HY7300059</t>
  </si>
  <si>
    <t>FAIRENCE T-COMPLEX 30G (HOP/ 1 TUYP)</t>
  </si>
  <si>
    <t>730602</t>
  </si>
  <si>
    <t>000183751</t>
  </si>
  <si>
    <t>740101</t>
  </si>
  <si>
    <t>000183752</t>
  </si>
  <si>
    <t>Thu hồi vì vấn đề chất lượng</t>
  </si>
  <si>
    <t>RCD_03/25; RCN_03/25</t>
  </si>
  <si>
    <t>INT-0099-25</t>
  </si>
  <si>
    <t>RD4200001</t>
  </si>
  <si>
    <t>REDDITUX 500MG (H/1LO X 50ML)</t>
  </si>
  <si>
    <t>N240505A</t>
  </si>
  <si>
    <t>000183723</t>
  </si>
  <si>
    <t>Chuyển kho HY về LH để hủy</t>
  </si>
  <si>
    <t>INT-0100-25</t>
  </si>
  <si>
    <t>MG1100050</t>
  </si>
  <si>
    <t>TORMEG-10 (HOP/3 VI X 10 VIEN)</t>
  </si>
  <si>
    <t>HY1100013</t>
  </si>
  <si>
    <t>RUPAFIN (ORAL SOLUTION 120ML)</t>
  </si>
  <si>
    <t>RD1100015</t>
  </si>
  <si>
    <t>KALVEL 30 (HOP/ 20 VIEN)</t>
  </si>
  <si>
    <t>0303780</t>
  </si>
  <si>
    <t>B2302483</t>
  </si>
  <si>
    <t>24519</t>
  </si>
  <si>
    <t>30/06/25</t>
  </si>
  <si>
    <t>30/06/27</t>
  </si>
  <si>
    <t>000183727</t>
  </si>
  <si>
    <t>000183729</t>
  </si>
  <si>
    <t>000183742</t>
  </si>
  <si>
    <t>chờ trả hãng</t>
  </si>
  <si>
    <t>INT-0101-25</t>
  </si>
  <si>
    <t>PAP Tagrisso/Imfinzi/Lynparza/Calquence 10.06.25</t>
  </si>
  <si>
    <t>Bàn giao vỏ/hộp,vỉ thuốc đã sử dụng và Biên bản tài trợ Y tế từ VMIS</t>
  </si>
  <si>
    <t>INT-0102-25</t>
  </si>
  <si>
    <t>FW2418PA</t>
  </si>
  <si>
    <t>41951</t>
  </si>
  <si>
    <t>41750</t>
  </si>
  <si>
    <t>41631</t>
  </si>
  <si>
    <t>FW2414PA</t>
  </si>
  <si>
    <t>31/10/26</t>
  </si>
  <si>
    <t>30/09/26</t>
  </si>
  <si>
    <t>31/05/27</t>
  </si>
  <si>
    <t>000184598</t>
  </si>
  <si>
    <t>000184597</t>
  </si>
  <si>
    <t>000184600</t>
  </si>
  <si>
    <t>000184601</t>
  </si>
  <si>
    <t>000184599</t>
  </si>
  <si>
    <t>cách ly, chờ xuất mẫu</t>
  </si>
  <si>
    <t>INT-0103-25</t>
  </si>
  <si>
    <t>TBYT</t>
  </si>
  <si>
    <t>hết date</t>
  </si>
  <si>
    <t>INT-0104-25</t>
  </si>
  <si>
    <t>000185520</t>
  </si>
  <si>
    <t>000185521</t>
  </si>
  <si>
    <t>Trả hãng</t>
  </si>
  <si>
    <t>INT-0105-25</t>
  </si>
  <si>
    <t>DV1100152</t>
  </si>
  <si>
    <t>COURTOIS (HOP/28VIEN) - EU</t>
  </si>
  <si>
    <t>242710</t>
  </si>
  <si>
    <t>000185721</t>
  </si>
  <si>
    <t>hàng trả về bị dính, rách. Hold CXL</t>
  </si>
  <si>
    <t>INT-0106-25</t>
  </si>
  <si>
    <t>ABDP</t>
  </si>
  <si>
    <t>000185757</t>
  </si>
  <si>
    <t>SL258</t>
  </si>
  <si>
    <t>000185756</t>
  </si>
  <si>
    <t>INT-0107-25</t>
  </si>
  <si>
    <t>BK380346</t>
  </si>
  <si>
    <t>PASSEO-14 3.0/180/150</t>
  </si>
  <si>
    <t>05226569</t>
  </si>
  <si>
    <t>M0002902</t>
  </si>
  <si>
    <t>đã xuất 73 hộp ngày 07/07/2025</t>
  </si>
  <si>
    <t>000186681</t>
  </si>
  <si>
    <t>INT-0108-25</t>
  </si>
  <si>
    <t>Hàng có Date trong năm 2025 -&gt; chuyển khu vực Hủy
 Hàng có Date từ 2026 trở đi -&gt; chuyển khu vực Cách Ly</t>
  </si>
  <si>
    <t>INT-0109-25</t>
  </si>
  <si>
    <t>FW2422PA</t>
  </si>
  <si>
    <t>000187249</t>
  </si>
  <si>
    <t>hàng móp rách khách không nhận, hold CXL</t>
  </si>
  <si>
    <t>INT-0110-25</t>
  </si>
  <si>
    <t>INT-0111-25</t>
  </si>
  <si>
    <t>000187312</t>
  </si>
  <si>
    <t>AZ1113001</t>
  </si>
  <si>
    <t>TAGRISSO PA TAB 80MG BL 1X10 EA VN</t>
  </si>
  <si>
    <t>FLVS</t>
  </si>
  <si>
    <t>000187313</t>
  </si>
  <si>
    <t>000187043</t>
  </si>
  <si>
    <t>INT-0112-25</t>
  </si>
  <si>
    <t>162441</t>
  </si>
  <si>
    <t>162793</t>
  </si>
  <si>
    <t>000187502</t>
  </si>
  <si>
    <t>000187503</t>
  </si>
  <si>
    <t>000187504</t>
  </si>
  <si>
    <t>000187505</t>
  </si>
  <si>
    <t>000187506</t>
  </si>
  <si>
    <t>cận date chờ trả hãng</t>
  </si>
  <si>
    <t>INT-0113-25</t>
  </si>
  <si>
    <t>000187725</t>
  </si>
  <si>
    <t>INT-0114-25</t>
  </si>
  <si>
    <t>File số 1 (127 hộp) -&gt; 79 hộp Diabetone: Khu hủy; Wellman + Osteocare Fizz: Khu cách ly 
File số 2 (71 hộp Liveril) -&gt; hold  
File số 3 (342 hộp ): 
+ Hàng có date hơn 12 tháng -&gt; Khu cách ly. (tuy nhiên, nếu trên 12 tháng mà hàng móp nặng và quá xấu -&gt; chuyển Khu hủy) 
+ Hàng có date &lt; 12 tháng -&gt; Khu hủy</t>
  </si>
  <si>
    <t>SC</t>
  </si>
  <si>
    <t>000187912</t>
  </si>
  <si>
    <t>CC_310425-HN</t>
  </si>
  <si>
    <t>CC_170325-HN</t>
  </si>
  <si>
    <t>BBSC.CNHY-011-0325</t>
  </si>
  <si>
    <t>BBSC.CNHY-013-0325
đã xuất hàng ngày 23/04/2025</t>
  </si>
  <si>
    <t>BBSC.CNHY-013-0325
Hàng thu hồi trả hãng</t>
  </si>
  <si>
    <t>Hàng thu hồi</t>
  </si>
  <si>
    <t>INT-0115-25</t>
  </si>
  <si>
    <t>INT-0116-25</t>
  </si>
  <si>
    <t>YH6100002</t>
  </si>
  <si>
    <t>THUC PHAM BAO VE SUC KHOE YES EVENING PRIMROSE OIL PLUS D3</t>
  </si>
  <si>
    <t>AL50375</t>
  </si>
  <si>
    <t>000186654</t>
  </si>
  <si>
    <t>đối với 30h bị móp vỏ, hãng gửi vỏ hộp kèm với tem tròn dán 2 đầu vỏ hộp</t>
  </si>
  <si>
    <t>000178361</t>
  </si>
  <si>
    <t>BBSC.CNHY-015-0425-Hàng bị móp méo, ẩm ướt, rách vỏ hộp=&gt;Chuyển Long Hậu, mail plan 16/04</t>
  </si>
  <si>
    <t>INT-0117-25</t>
  </si>
  <si>
    <t>30/11/25</t>
  </si>
  <si>
    <t>31/12/25</t>
  </si>
  <si>
    <t>31/07/25</t>
  </si>
  <si>
    <t>000188504</t>
  </si>
  <si>
    <t>000188501</t>
  </si>
  <si>
    <t>000188503</t>
  </si>
  <si>
    <t>000188505</t>
  </si>
  <si>
    <t>000188502</t>
  </si>
  <si>
    <t>000188527</t>
  </si>
  <si>
    <t>cận date</t>
  </si>
  <si>
    <t>INT-0118-25</t>
  </si>
  <si>
    <t>000188879</t>
  </si>
  <si>
    <t>000188884</t>
  </si>
  <si>
    <t>000188885</t>
  </si>
  <si>
    <t>000188892</t>
  </si>
  <si>
    <t>LV2212P</t>
  </si>
  <si>
    <t>000188894</t>
  </si>
  <si>
    <t>000188895</t>
  </si>
  <si>
    <t>OT2205P</t>
  </si>
  <si>
    <t>000188896</t>
  </si>
  <si>
    <t>000188919</t>
  </si>
  <si>
    <t>000188920</t>
  </si>
  <si>
    <t>PP2324</t>
  </si>
  <si>
    <t>000188921</t>
  </si>
  <si>
    <t>000188922</t>
  </si>
  <si>
    <t>000188923</t>
  </si>
  <si>
    <t>000188924</t>
  </si>
  <si>
    <t>000188925</t>
  </si>
  <si>
    <t>000188944</t>
  </si>
  <si>
    <t>Thu hồi trả hãng</t>
  </si>
  <si>
    <t>INT-0119-25</t>
  </si>
  <si>
    <t>PP2345</t>
  </si>
  <si>
    <t>31/05/26</t>
  </si>
  <si>
    <t>28/02/26</t>
  </si>
  <si>
    <t>000189655</t>
  </si>
  <si>
    <t>000189663</t>
  </si>
  <si>
    <t>000189667</t>
  </si>
  <si>
    <t>SC3300060</t>
  </si>
  <si>
    <t>SCJONOST3 -SCISSORS - STAINLESS STEEL/CAY KEO- THEP KHONG GI</t>
  </si>
  <si>
    <t>SC3300004</t>
  </si>
  <si>
    <t>CRYWBY1 BUT SAP MAU VA GIAY TO MAU - CRAYONS WITH DRAWING BO</t>
  </si>
  <si>
    <t>SC3300051</t>
  </si>
  <si>
    <t>PENSILVERJON3 BUT BI VO KIM LOAI - METAL PENS</t>
  </si>
  <si>
    <t>FW2420PA</t>
  </si>
  <si>
    <t>41605</t>
  </si>
  <si>
    <t>OT2312P</t>
  </si>
  <si>
    <t>F173695</t>
  </si>
  <si>
    <t>170023A</t>
  </si>
  <si>
    <t>41876</t>
  </si>
  <si>
    <t>41588</t>
  </si>
  <si>
    <t>PP2505</t>
  </si>
  <si>
    <t>PP2501</t>
  </si>
  <si>
    <t>PM2410</t>
  </si>
  <si>
    <t>31/12/99</t>
  </si>
  <si>
    <t>31/07/27</t>
  </si>
  <si>
    <t>31/08/26</t>
  </si>
  <si>
    <t>31/08/27</t>
  </si>
  <si>
    <t>30/04/27</t>
  </si>
  <si>
    <t>30/11/27</t>
  </si>
  <si>
    <t>000189701</t>
  </si>
  <si>
    <t>000189665</t>
  </si>
  <si>
    <t>000189657</t>
  </si>
  <si>
    <t>000189654</t>
  </si>
  <si>
    <t>000189656</t>
  </si>
  <si>
    <t>000189668</t>
  </si>
  <si>
    <t>000189666</t>
  </si>
  <si>
    <t>000189671</t>
  </si>
  <si>
    <t>000189662</t>
  </si>
  <si>
    <t>000189672</t>
  </si>
  <si>
    <t>000189669</t>
  </si>
  <si>
    <t>000189658</t>
  </si>
  <si>
    <t>000189659</t>
  </si>
  <si>
    <t>000189661</t>
  </si>
  <si>
    <t>000189664</t>
  </si>
  <si>
    <t>000189660</t>
  </si>
  <si>
    <t>000189895</t>
  </si>
  <si>
    <t>INT-0120-25</t>
  </si>
  <si>
    <t>INT-0121-25</t>
  </si>
  <si>
    <t>M0003092</t>
  </si>
  <si>
    <t>000190355</t>
  </si>
  <si>
    <t>000190486</t>
  </si>
  <si>
    <t>000190485</t>
  </si>
  <si>
    <t>000190484</t>
  </si>
  <si>
    <t>000190483</t>
  </si>
  <si>
    <t>10316580</t>
  </si>
  <si>
    <t>SI5200001</t>
  </si>
  <si>
    <t>ENDOPROST 125MCG 1.S-0.5ML</t>
  </si>
  <si>
    <t>RH1300051</t>
  </si>
  <si>
    <t>THUOC NHO MAT (NEW V-ROHTO) 13ML</t>
  </si>
  <si>
    <t>RH7300517</t>
  </si>
  <si>
    <t>SELSUN ANTI-DANDRUFF SHAMPOO WITH SELENIUM SULFIDE 100ML +KM</t>
  </si>
  <si>
    <t>SD1100005</t>
  </si>
  <si>
    <t>OSPAMOX 500MG TAB 10.S (NQ)</t>
  </si>
  <si>
    <t>B12823003</t>
  </si>
  <si>
    <t>JA02-3</t>
  </si>
  <si>
    <t>DB03</t>
  </si>
  <si>
    <t>PM2501CP</t>
  </si>
  <si>
    <t>040D003</t>
  </si>
  <si>
    <t>07/07/25</t>
  </si>
  <si>
    <t>01/10/27</t>
  </si>
  <si>
    <t>22/04/28</t>
  </si>
  <si>
    <t>07/05/29</t>
  </si>
  <si>
    <t>INT-0122-25</t>
  </si>
  <si>
    <t>BK419144</t>
  </si>
  <si>
    <t>ORSIRO MISSION 2.5/35</t>
  </si>
  <si>
    <t>ST9-PDA-009</t>
  </si>
  <si>
    <t>AMPLATZER PDA OCCLUDER 16/14MM</t>
  </si>
  <si>
    <t>ST9-PFO-035</t>
  </si>
  <si>
    <t>PFO IMPLANT 35MM</t>
  </si>
  <si>
    <t>11243112</t>
  </si>
  <si>
    <t>7357997</t>
  </si>
  <si>
    <t>7345867</t>
  </si>
  <si>
    <t>7417092</t>
  </si>
  <si>
    <t>05/01/27</t>
  </si>
  <si>
    <t>31/12/24</t>
  </si>
  <si>
    <t>31/01/25</t>
  </si>
  <si>
    <t>31/07/28</t>
  </si>
  <si>
    <t>M0003119</t>
  </si>
  <si>
    <t>M0003118</t>
  </si>
  <si>
    <t>M0003117</t>
  </si>
  <si>
    <t>INT-0123-25</t>
  </si>
  <si>
    <t>000191419</t>
  </si>
  <si>
    <t>INT-0124-25</t>
  </si>
  <si>
    <t>000191523</t>
  </si>
  <si>
    <t>000191526</t>
  </si>
  <si>
    <t>Hãng yêu cầu thu hồi</t>
  </si>
  <si>
    <t>INT-0125-25</t>
  </si>
  <si>
    <t>SC6100023</t>
  </si>
  <si>
    <t>VISIONACE ORIGINAL (HOP/30VIEN)</t>
  </si>
  <si>
    <t>F170292</t>
  </si>
  <si>
    <t>126094A</t>
  </si>
  <si>
    <t>40426A</t>
  </si>
  <si>
    <t>40622</t>
  </si>
  <si>
    <t>30/06/26</t>
  </si>
  <si>
    <t>31/07/26</t>
  </si>
  <si>
    <t>31/01/26</t>
  </si>
  <si>
    <t>31/03/26</t>
  </si>
  <si>
    <t>000191851</t>
  </si>
  <si>
    <t>000191850</t>
  </si>
  <si>
    <t>000191852</t>
  </si>
  <si>
    <t>000191847</t>
  </si>
  <si>
    <t>000191849</t>
  </si>
  <si>
    <t>000191848</t>
  </si>
  <si>
    <t>Dưới 12 tháng</t>
  </si>
  <si>
    <t>INT-0126-25</t>
  </si>
  <si>
    <t>PB2412</t>
  </si>
  <si>
    <t>000192236</t>
  </si>
  <si>
    <t>000192237</t>
  </si>
  <si>
    <t>000192238</t>
  </si>
  <si>
    <t>000192239</t>
  </si>
  <si>
    <t>000192240</t>
  </si>
  <si>
    <t>000192242</t>
  </si>
  <si>
    <t>000192244</t>
  </si>
  <si>
    <t>cảm quan không đạt</t>
  </si>
  <si>
    <t>LPN010021 or LPN010022</t>
  </si>
  <si>
    <t>LPN010025 or LPN010026</t>
  </si>
  <si>
    <t>INT-0127-25</t>
  </si>
  <si>
    <t>OT2202P</t>
  </si>
  <si>
    <t>40696</t>
  </si>
  <si>
    <t>40426</t>
  </si>
  <si>
    <t>000192611</t>
  </si>
  <si>
    <t>000192613</t>
  </si>
  <si>
    <t>000192612</t>
  </si>
  <si>
    <t>000192610</t>
  </si>
  <si>
    <t>000192614</t>
  </si>
  <si>
    <t>000192615</t>
  </si>
  <si>
    <t>000192624</t>
  </si>
  <si>
    <t>000192621</t>
  </si>
  <si>
    <t>000192623</t>
  </si>
  <si>
    <t>000192622</t>
  </si>
  <si>
    <t>000192620</t>
  </si>
  <si>
    <t>000192617</t>
  </si>
  <si>
    <t>000192616</t>
  </si>
  <si>
    <t>000192619</t>
  </si>
  <si>
    <t>000192618</t>
  </si>
  <si>
    <t>Dưới 12 tháng và lỗi</t>
  </si>
  <si>
    <t>Lỗi</t>
  </si>
  <si>
    <t>INT-0128-25</t>
  </si>
  <si>
    <t>HY3300004</t>
  </si>
  <si>
    <t>KM LONG DEN GIAY STERIMAR (1 LONG DEN + 1 CAY TREO ONG DEN +</t>
  </si>
  <si>
    <t>LPN010039</t>
  </si>
  <si>
    <t>Hãng yêu cầu hủy</t>
  </si>
  <si>
    <t>INT-0129-25</t>
  </si>
  <si>
    <t>000192660</t>
  </si>
  <si>
    <t>000192661</t>
  </si>
  <si>
    <t>INT-0130-25</t>
  </si>
  <si>
    <t>INT-0131-25</t>
  </si>
  <si>
    <t>CT PAP /Imfinzi/Lynparza /20.08.25</t>
  </si>
  <si>
    <t>CT PAP Tagrisso/Imfinzi/Lynparza/Calquence 18.08.25</t>
  </si>
  <si>
    <t>INT-0132-25</t>
  </si>
  <si>
    <t>RD1200010</t>
  </si>
  <si>
    <t>CASPOFUNGIN ACETATE 50MG (H/1 LO)</t>
  </si>
  <si>
    <t>A1480014</t>
  </si>
  <si>
    <t>000193069</t>
  </si>
  <si>
    <t>INT-0133-25</t>
  </si>
  <si>
    <t>OT2201P</t>
  </si>
  <si>
    <t>8615/2019/ĐKSP</t>
  </si>
  <si>
    <t>51-384058</t>
  </si>
  <si>
    <t>OT2203P</t>
  </si>
  <si>
    <t>51-384063</t>
  </si>
  <si>
    <t>51-384064</t>
  </si>
  <si>
    <t>9184/2019/ĐKSP</t>
  </si>
  <si>
    <t>51-384066</t>
  </si>
  <si>
    <t>LV2304P</t>
  </si>
  <si>
    <t>000193114</t>
  </si>
  <si>
    <t>INT-0134-25</t>
  </si>
  <si>
    <t>000195077</t>
  </si>
  <si>
    <t>SM985</t>
  </si>
  <si>
    <t>000195081</t>
  </si>
  <si>
    <t>INT-0135-25</t>
  </si>
  <si>
    <t>PFT2320P</t>
  </si>
  <si>
    <t>000194964</t>
  </si>
  <si>
    <t>000194965</t>
  </si>
  <si>
    <t>000194966</t>
  </si>
  <si>
    <t>000194967</t>
  </si>
  <si>
    <t>HSD dưới 12 tháng - chuyển CXL theo y/c hãng (Mail)</t>
  </si>
  <si>
    <t>HSD trên 12 tháng nhưng bị móp rách và dán giá - Chuyển CXL theo yêu cầu hãng</t>
  </si>
  <si>
    <t>PB2408</t>
  </si>
  <si>
    <t>000195221</t>
  </si>
  <si>
    <t>INT-0136-25</t>
  </si>
  <si>
    <t>HY1100001</t>
  </si>
  <si>
    <t>DORITHRICIN TAB 20.S</t>
  </si>
  <si>
    <t>2452301</t>
  </si>
  <si>
    <t>000182164</t>
  </si>
  <si>
    <t>2452801</t>
  </si>
  <si>
    <t>LPN010169</t>
  </si>
  <si>
    <t>Chuyển CXL theo yêu cầu hãng</t>
  </si>
  <si>
    <t>INT-0137-25</t>
  </si>
  <si>
    <t>000195092</t>
  </si>
  <si>
    <t>000195093</t>
  </si>
  <si>
    <t>000195091</t>
  </si>
  <si>
    <t>OT2206P</t>
  </si>
  <si>
    <t>000195090</t>
  </si>
  <si>
    <t>Chuyển trả hãng</t>
  </si>
  <si>
    <t>INT-0138-25</t>
  </si>
  <si>
    <t>GA1100008</t>
  </si>
  <si>
    <t>NADAXENA 500 (HOP/30 VIEN)</t>
  </si>
  <si>
    <t>12664302</t>
  </si>
  <si>
    <t>000195088</t>
  </si>
  <si>
    <t>Chuyển hủy hàng cận hạn</t>
  </si>
  <si>
    <t>INT-0139-25</t>
  </si>
  <si>
    <t>000195672</t>
  </si>
  <si>
    <t>000195669</t>
  </si>
  <si>
    <t>000195670</t>
  </si>
  <si>
    <t>000195660</t>
  </si>
  <si>
    <t>000195659</t>
  </si>
  <si>
    <t>40488</t>
  </si>
  <si>
    <t>000195665</t>
  </si>
  <si>
    <t>LV2305P</t>
  </si>
  <si>
    <t>000195653</t>
  </si>
  <si>
    <t>000195663</t>
  </si>
  <si>
    <t>41390</t>
  </si>
  <si>
    <t>000195671</t>
  </si>
  <si>
    <t>40815</t>
  </si>
  <si>
    <t>000195661</t>
  </si>
  <si>
    <t>000195662</t>
  </si>
  <si>
    <t>000195664</t>
  </si>
  <si>
    <t>000195673</t>
  </si>
  <si>
    <t>000195666</t>
  </si>
  <si>
    <t>000195654</t>
  </si>
  <si>
    <t>000195668</t>
  </si>
  <si>
    <t>000195655</t>
  </si>
  <si>
    <t>000195675</t>
  </si>
  <si>
    <t>41736</t>
  </si>
  <si>
    <t>000195656</t>
  </si>
  <si>
    <t>40372</t>
  </si>
  <si>
    <t>000195657</t>
  </si>
  <si>
    <t>000195667</t>
  </si>
  <si>
    <t>000195674</t>
  </si>
  <si>
    <t>000195658</t>
  </si>
  <si>
    <t>INT-0140-25</t>
  </si>
  <si>
    <t>INT-0141-25</t>
  </si>
  <si>
    <t>31/10/27</t>
  </si>
  <si>
    <t>PRW2427A</t>
  </si>
  <si>
    <t>000195996</t>
  </si>
  <si>
    <t>Chuyển hủy theo yêu cầu hãng</t>
  </si>
  <si>
    <t>INT-0142-25</t>
  </si>
  <si>
    <t>000195928</t>
  </si>
  <si>
    <t>000195964</t>
  </si>
  <si>
    <t>000195965</t>
  </si>
  <si>
    <t>000195968</t>
  </si>
  <si>
    <t>000195969</t>
  </si>
  <si>
    <t>000195971</t>
  </si>
  <si>
    <t>000195980</t>
  </si>
  <si>
    <t>000195930</t>
  </si>
  <si>
    <t>000195931</t>
  </si>
  <si>
    <t>000195932</t>
  </si>
  <si>
    <t>000195933</t>
  </si>
  <si>
    <t>000195934</t>
  </si>
  <si>
    <t>000195960</t>
  </si>
  <si>
    <t>000195962</t>
  </si>
  <si>
    <t>000195929</t>
  </si>
  <si>
    <t>000195880</t>
  </si>
  <si>
    <t>INT-0143-25</t>
  </si>
  <si>
    <t>000196439</t>
  </si>
  <si>
    <t>Hàng thu hồi hết date</t>
  </si>
  <si>
    <t>INT-0144-25</t>
  </si>
  <si>
    <t>HY7300057</t>
  </si>
  <si>
    <t>CERADAN SKIN BARRIER REPAIR CREAM 10G</t>
  </si>
  <si>
    <t>131011</t>
  </si>
  <si>
    <t>000196639</t>
  </si>
  <si>
    <t>000196640</t>
  </si>
  <si>
    <t>000196641</t>
  </si>
  <si>
    <t>000196642</t>
  </si>
  <si>
    <t>000196643</t>
  </si>
  <si>
    <t>000196644</t>
  </si>
  <si>
    <t>INT-0145-25</t>
  </si>
  <si>
    <t>HY4200001</t>
  </si>
  <si>
    <t>CUROSURF 120MG/1,5ML (H/1LO X 1,5ML)</t>
  </si>
  <si>
    <t>1213389</t>
  </si>
  <si>
    <t>000196616</t>
  </si>
  <si>
    <t>Chuyển bán</t>
  </si>
  <si>
    <t>INT-0146-25</t>
  </si>
  <si>
    <t>RD1200021</t>
  </si>
  <si>
    <t>ZANTOLRED (HOP/112VIEN)</t>
  </si>
  <si>
    <t>D10501P3</t>
  </si>
  <si>
    <t>000197018</t>
  </si>
  <si>
    <t>hàng trả về cận date, hãng xác nhận chuyển chờ hủy</t>
  </si>
  <si>
    <t>INT-0147-25</t>
  </si>
  <si>
    <t>50219</t>
  </si>
  <si>
    <t>000197496</t>
  </si>
  <si>
    <t>bể, lem, ướt</t>
  </si>
  <si>
    <t>INT-0148-25</t>
  </si>
  <si>
    <t>BE-90001890</t>
  </si>
  <si>
    <t>90001890 CONTOUR PLUS BLOOD GLUCOSE TEST STRIPS 50.S 2X25 (</t>
  </si>
  <si>
    <t>DP4HQHH31B</t>
  </si>
  <si>
    <t>lem bẩn</t>
  </si>
  <si>
    <t>Yêu cầu chị Thạch</t>
  </si>
  <si>
    <t>LPN010266</t>
  </si>
  <si>
    <t>INT-0149-25</t>
  </si>
  <si>
    <t>RD1200016</t>
  </si>
  <si>
    <t>DAPTOMRED 500 MG (H/1 LO)</t>
  </si>
  <si>
    <t>INT-0150-25</t>
  </si>
  <si>
    <t>750201</t>
  </si>
  <si>
    <t>000197782</t>
  </si>
  <si>
    <t>Khách dùng bị dị ứng</t>
  </si>
  <si>
    <t>K240283</t>
  </si>
  <si>
    <t>000197816</t>
  </si>
  <si>
    <t>INT-0151-25</t>
  </si>
  <si>
    <t>HY1200007</t>
  </si>
  <si>
    <t>XENETIX 300 (HOP/10 LO x 100ML)</t>
  </si>
  <si>
    <t>24WC0430</t>
  </si>
  <si>
    <t>000196765</t>
  </si>
  <si>
    <t>hàng trả về bị vượt độ ẩm, anh Hào Hyphens xác nhận hàng xuất bán bình thường</t>
  </si>
  <si>
    <t>INT-0152-25</t>
  </si>
  <si>
    <t>AZ1100009</t>
  </si>
  <si>
    <t>TAGRISSO 80MG 3 BLISTERS OF 10 FILM-COATED TABLETS</t>
  </si>
  <si>
    <t>FKNV</t>
  </si>
  <si>
    <t>000193961</t>
  </si>
  <si>
    <t>AZ1100008</t>
  </si>
  <si>
    <t>TAGRISSO 40MG 3 BLISTERS OF 10 FILM-COATED TABLETS</t>
  </si>
  <si>
    <t>EFRN</t>
  </si>
  <si>
    <t>000193960</t>
  </si>
  <si>
    <t>RS946</t>
  </si>
  <si>
    <t>000193959</t>
  </si>
  <si>
    <t>INT-0153-25</t>
  </si>
  <si>
    <t>000198527</t>
  </si>
  <si>
    <t>000198526</t>
  </si>
  <si>
    <t>000198525</t>
  </si>
  <si>
    <t>PAP - tháng 09/2025</t>
  </si>
  <si>
    <t>WO1200002</t>
  </si>
  <si>
    <t>MILGAMMA N INJ 2ML 5.S</t>
  </si>
  <si>
    <t>40429E</t>
  </si>
  <si>
    <t>000198517</t>
  </si>
  <si>
    <t>40513C</t>
  </si>
  <si>
    <t>000198516</t>
  </si>
  <si>
    <t>hàng lỗi Hưng Yên</t>
  </si>
  <si>
    <t>INT-0154-25</t>
  </si>
  <si>
    <t>000198666</t>
  </si>
  <si>
    <t>000198667</t>
  </si>
  <si>
    <t>000198668</t>
  </si>
  <si>
    <t>LV2309P</t>
  </si>
  <si>
    <t>000198669</t>
  </si>
  <si>
    <t>000198670</t>
  </si>
  <si>
    <t>000198671</t>
  </si>
  <si>
    <t>INT-0155-25</t>
  </si>
  <si>
    <t>BE-90001885</t>
  </si>
  <si>
    <t>90001885 CNTR PLUS,BN/HK/MY/SG(EN/MS/ZHT)MMOL/L,RET,7618B (C</t>
  </si>
  <si>
    <t>PH23010007</t>
  </si>
  <si>
    <t>000195709</t>
  </si>
  <si>
    <t>Chuyển hủy theo yêu cầu PGD + GSK</t>
  </si>
  <si>
    <t>Không có mail xác nhận, chỉ xác nhận miệng</t>
  </si>
  <si>
    <t>000198947</t>
  </si>
  <si>
    <t>12664380</t>
  </si>
  <si>
    <t>000198948</t>
  </si>
  <si>
    <t>hàng trả về hết date</t>
  </si>
  <si>
    <t>INT-0156-25</t>
  </si>
  <si>
    <t>PB2507</t>
  </si>
  <si>
    <t>000198831</t>
  </si>
  <si>
    <t>000198830</t>
  </si>
  <si>
    <t>000198832</t>
  </si>
  <si>
    <t>hàng sự cố từ owner Hoangduc chuyển sang owner hãng, hãng xác nhận hướng xử lý</t>
  </si>
  <si>
    <t>INT-0157-25</t>
  </si>
  <si>
    <t>PM2510CP</t>
  </si>
  <si>
    <t>000199141</t>
  </si>
  <si>
    <t>000199140</t>
  </si>
  <si>
    <t>rách</t>
  </si>
  <si>
    <t>móp, rách</t>
  </si>
  <si>
    <t>07/10/2025: xuất 5 hộp cho hãng - LPN010283</t>
  </si>
  <si>
    <t>INT-0158-25</t>
  </si>
  <si>
    <t>Bán chỉ định, planning hold hàng</t>
  </si>
  <si>
    <t>INT-0159-25</t>
  </si>
  <si>
    <t>000199578</t>
  </si>
  <si>
    <t>INT-0160-25</t>
  </si>
  <si>
    <t>WO1100009</t>
  </si>
  <si>
    <t>THIOGAMMA TURBO-SET (HOP/1 LO)</t>
  </si>
  <si>
    <t>MY1100002</t>
  </si>
  <si>
    <t>FORTRANS 4SACH VN</t>
  </si>
  <si>
    <t>MY1100008</t>
  </si>
  <si>
    <t>FORLAX 10G 20SACH VN</t>
  </si>
  <si>
    <t>MG1100053</t>
  </si>
  <si>
    <t>GLY4PAR 60 (HOP/3 VI X 10 VIEN)</t>
  </si>
  <si>
    <t>MG1100044</t>
  </si>
  <si>
    <t>PANFOR SR-750 (HOP/10 VI X 10 VIEN)</t>
  </si>
  <si>
    <t>31120C</t>
  </si>
  <si>
    <t>ST259</t>
  </si>
  <si>
    <t>C61859</t>
  </si>
  <si>
    <t>C60956</t>
  </si>
  <si>
    <t>A08952316</t>
  </si>
  <si>
    <t>A08902321</t>
  </si>
  <si>
    <t>26/09/27</t>
  </si>
  <si>
    <t>19/10/26</t>
  </si>
  <si>
    <t>17/10/27</t>
  </si>
  <si>
    <t>27/09/27</t>
  </si>
  <si>
    <t>27/12/25</t>
  </si>
  <si>
    <t>24/12/25</t>
  </si>
  <si>
    <t>000199730</t>
  </si>
  <si>
    <t>000199722</t>
  </si>
  <si>
    <t>000199719</t>
  </si>
  <si>
    <t>000199720</t>
  </si>
  <si>
    <t>000199721</t>
  </si>
  <si>
    <t>000199724</t>
  </si>
  <si>
    <t>000199723</t>
  </si>
  <si>
    <t>000199759</t>
  </si>
  <si>
    <t>hư hỏng</t>
  </si>
  <si>
    <t>INT-0161-25</t>
  </si>
  <si>
    <t>BK364506</t>
  </si>
  <si>
    <t>ORSIRO 2.5/26</t>
  </si>
  <si>
    <t>01240466</t>
  </si>
  <si>
    <t>M0003390</t>
  </si>
  <si>
    <t>BK419137</t>
  </si>
  <si>
    <t>ORSIRO MISSION 2.25/30</t>
  </si>
  <si>
    <t>10241558</t>
  </si>
  <si>
    <t>M0003389</t>
  </si>
  <si>
    <t>hư hỏng chờ trả hãng</t>
  </si>
  <si>
    <t>INT-0162-25</t>
  </si>
  <si>
    <t>BK343787</t>
  </si>
  <si>
    <t>ASTRON 7/60/120</t>
  </si>
  <si>
    <t>03226335</t>
  </si>
  <si>
    <t>M0003410</t>
  </si>
  <si>
    <t>INT-0163-25</t>
  </si>
  <si>
    <t>BK383284</t>
  </si>
  <si>
    <t>PASSEO-35 7.0/150/130</t>
  </si>
  <si>
    <t>BK386594</t>
  </si>
  <si>
    <t>FORTRESS 6F STRAIGHT-45 INTRODUCER SHEATH</t>
  </si>
  <si>
    <t>BK386593</t>
  </si>
  <si>
    <t>FORTRESS 6F CROSSOVER-45 INTRODUCER SHEATH</t>
  </si>
  <si>
    <t>BK366124</t>
  </si>
  <si>
    <t>PASSEO-18 6.0/80/130</t>
  </si>
  <si>
    <t>ST9-ITV08F45/80</t>
  </si>
  <si>
    <t>TORQVUE DELIVERY SYSTEM ASD 8F</t>
  </si>
  <si>
    <t>INT-0164-25</t>
  </si>
  <si>
    <t>INT-0165-25</t>
  </si>
  <si>
    <t>06210029</t>
  </si>
  <si>
    <t>31.05.2024</t>
  </si>
  <si>
    <t>709175</t>
  </si>
  <si>
    <t>28.02.2025</t>
  </si>
  <si>
    <t>709196</t>
  </si>
  <si>
    <t>30.06.2025</t>
  </si>
  <si>
    <t>04220012</t>
  </si>
  <si>
    <t>31.03.2025</t>
  </si>
  <si>
    <t>07214593</t>
  </si>
  <si>
    <t>31.08.2024</t>
  </si>
  <si>
    <t>31.03.2024</t>
  </si>
  <si>
    <t>hàng hết date chuyển từ VP về kho LH</t>
  </si>
  <si>
    <t>M0003398</t>
  </si>
  <si>
    <t>M0003399</t>
  </si>
  <si>
    <t>M0003400</t>
  </si>
  <si>
    <t>M0003396</t>
  </si>
  <si>
    <t>M0003395</t>
  </si>
  <si>
    <t>INT-0166-25</t>
  </si>
  <si>
    <t>000200096</t>
  </si>
  <si>
    <t>INT-0167-25</t>
  </si>
  <si>
    <t>000200608</t>
  </si>
  <si>
    <t>000200609</t>
  </si>
  <si>
    <t>bẩn, mất seal</t>
  </si>
  <si>
    <t>INT-0168-25</t>
  </si>
  <si>
    <t>HT1100004</t>
  </si>
  <si>
    <t>PANTIN 40 (HOP/ 30 VIEN)</t>
  </si>
  <si>
    <t>FD253704A</t>
  </si>
  <si>
    <t>000193190</t>
  </si>
  <si>
    <t>Thay vỏ hộp mới, hàng bị ẩm</t>
  </si>
  <si>
    <t>INT-0169-25</t>
  </si>
  <si>
    <t>000200766</t>
  </si>
  <si>
    <t>INT-0170-25</t>
  </si>
  <si>
    <t>000200785</t>
  </si>
  <si>
    <t>INT-0171-25</t>
  </si>
  <si>
    <t>HY7300071</t>
  </si>
  <si>
    <t>BLU VOILE TINTED SUNSCREEN 50G (HOP/1 TUYP)</t>
  </si>
  <si>
    <t>WK0321</t>
  </si>
  <si>
    <t>000200781</t>
  </si>
  <si>
    <t>INT-0172-25</t>
  </si>
  <si>
    <t>INT-0173-25</t>
  </si>
  <si>
    <t>ST9-VSD-MUSC-018</t>
  </si>
  <si>
    <t>VSD,MUSCULAR,18MM; PKG;STER</t>
  </si>
  <si>
    <t>10513650</t>
  </si>
  <si>
    <t>M0003464</t>
  </si>
  <si>
    <t>000200925</t>
  </si>
  <si>
    <t>HY7300060</t>
  </si>
  <si>
    <t>CERADAN SKIN BARRIER REPAIR CREAM 80G</t>
  </si>
  <si>
    <t>130808</t>
  </si>
  <si>
    <t>000200926</t>
  </si>
  <si>
    <t>INT-0174-25</t>
  </si>
  <si>
    <t>RH1300347</t>
  </si>
  <si>
    <t>THUOC NHO MAT (V.ROHTO COOL) 12 ML (MAU MOI 2024)</t>
  </si>
  <si>
    <t>LA06</t>
  </si>
  <si>
    <t>000201045</t>
  </si>
  <si>
    <t>RH1300356</t>
  </si>
  <si>
    <t>THUOC NHO MAT CHO TRE EM (V.ROHTO FOR KIDS) 13 ML (RX)</t>
  </si>
  <si>
    <t>FB01</t>
  </si>
  <si>
    <t>000201046</t>
  </si>
  <si>
    <t>SA1100041</t>
  </si>
  <si>
    <t>TAVANIC 500MG TABCO BL5 M36 VN</t>
  </si>
  <si>
    <t>4P77A</t>
  </si>
  <si>
    <t>000201047</t>
  </si>
  <si>
    <t>040D012</t>
  </si>
  <si>
    <t>000201048</t>
  </si>
  <si>
    <t>móp. dính vỏ</t>
  </si>
  <si>
    <t>lỗi, chờ trả</t>
  </si>
  <si>
    <t>INT-0175-25</t>
  </si>
  <si>
    <t>INT-0176-25</t>
  </si>
  <si>
    <t>MG1100038</t>
  </si>
  <si>
    <t>COLESTRIM SUPRA 145MG (HOP/3 VI X 10 VIEN)</t>
  </si>
  <si>
    <t>48004</t>
  </si>
  <si>
    <t>000201349</t>
  </si>
  <si>
    <t>HY7300058</t>
  </si>
  <si>
    <t>CERADAN SKIN BARRIER REPAIR CREAM 30G</t>
  </si>
  <si>
    <t>HY7300054</t>
  </si>
  <si>
    <t>CERADAN GENTLE CLEANSER 500ML</t>
  </si>
  <si>
    <t>HY7300068</t>
  </si>
  <si>
    <t>CERADAN GENTLE CLEANSER 280ML</t>
  </si>
  <si>
    <t>HY7300056</t>
  </si>
  <si>
    <t>NON DRYING CLEANSING LOTION 100ML</t>
  </si>
  <si>
    <t>VF0156</t>
  </si>
  <si>
    <t>131010</t>
  </si>
  <si>
    <t>931007</t>
  </si>
  <si>
    <t>931005</t>
  </si>
  <si>
    <t>931006</t>
  </si>
  <si>
    <t>931010</t>
  </si>
  <si>
    <t>XK0391</t>
  </si>
  <si>
    <t>131007</t>
  </si>
  <si>
    <t>931008</t>
  </si>
  <si>
    <t>931011</t>
  </si>
  <si>
    <t>000201366</t>
  </si>
  <si>
    <t>000201367</t>
  </si>
  <si>
    <t>000201358</t>
  </si>
  <si>
    <t>000201359</t>
  </si>
  <si>
    <t>000201355</t>
  </si>
  <si>
    <t>000201353</t>
  </si>
  <si>
    <t>000201354</t>
  </si>
  <si>
    <t>000201363</t>
  </si>
  <si>
    <t>000201357</t>
  </si>
  <si>
    <t>000201360</t>
  </si>
  <si>
    <t>000201361</t>
  </si>
  <si>
    <t>000201362</t>
  </si>
  <si>
    <t>000201356</t>
  </si>
  <si>
    <t>000201364</t>
  </si>
  <si>
    <t>000201365</t>
  </si>
  <si>
    <t>INT-0177-25</t>
  </si>
  <si>
    <t>BK419147</t>
  </si>
  <si>
    <t>ORSIRO MISSION 3.5/35</t>
  </si>
  <si>
    <t>BK419146</t>
  </si>
  <si>
    <t>ORSIRO MISSION 3.0/35</t>
  </si>
  <si>
    <t>01250649</t>
  </si>
  <si>
    <t>03251780</t>
  </si>
  <si>
    <t>M0003470</t>
  </si>
  <si>
    <t>M0003471</t>
  </si>
  <si>
    <t>Hàng hư chờ trả hãng</t>
  </si>
  <si>
    <t>INT-0178-25</t>
  </si>
  <si>
    <t>50026</t>
  </si>
  <si>
    <t>000201691</t>
  </si>
  <si>
    <t>hàng trả về bị móp rách nặng, hãng xác nhận chuyển CXL</t>
  </si>
  <si>
    <t>INT-0179-25</t>
  </si>
  <si>
    <t>M00106</t>
  </si>
  <si>
    <t>STAGE</t>
  </si>
  <si>
    <t>10281/2019/ĐKSP</t>
  </si>
  <si>
    <t>000201690</t>
  </si>
  <si>
    <t>000201689</t>
  </si>
  <si>
    <t>Hàng thu hồi an khang</t>
  </si>
  <si>
    <t>INT-0180-25</t>
  </si>
  <si>
    <t>CT PAP Tagrisso 24.10.25</t>
  </si>
  <si>
    <t>INT-0181-25</t>
  </si>
  <si>
    <t>000203230</t>
  </si>
  <si>
    <t>ABHH</t>
  </si>
  <si>
    <t>000203229</t>
  </si>
  <si>
    <t>PAP CNHY</t>
  </si>
  <si>
    <t>INT-0182-25</t>
  </si>
  <si>
    <t>000203246</t>
  </si>
  <si>
    <t>000203247</t>
  </si>
  <si>
    <t>000203248</t>
  </si>
  <si>
    <t>000203233</t>
  </si>
  <si>
    <t>40683</t>
  </si>
  <si>
    <t>000203232</t>
  </si>
  <si>
    <t>000203234</t>
  </si>
  <si>
    <t>000203235</t>
  </si>
  <si>
    <t>000203236</t>
  </si>
  <si>
    <t>000203242</t>
  </si>
  <si>
    <t>000203241</t>
  </si>
  <si>
    <t>000203231</t>
  </si>
  <si>
    <t>LV2306P</t>
  </si>
  <si>
    <t>000203252</t>
  </si>
  <si>
    <t>000203253</t>
  </si>
  <si>
    <t>000203251</t>
  </si>
  <si>
    <t>000203250</t>
  </si>
  <si>
    <t>000203249</t>
  </si>
  <si>
    <t>000203243</t>
  </si>
  <si>
    <t>000203244</t>
  </si>
  <si>
    <t>000203245</t>
  </si>
  <si>
    <t>40662</t>
  </si>
  <si>
    <t>000203237</t>
  </si>
  <si>
    <t>000203240</t>
  </si>
  <si>
    <t>000203239</t>
  </si>
  <si>
    <t>40812</t>
  </si>
  <si>
    <t>000203238</t>
  </si>
  <si>
    <t>Chuyển CNHY - DATE 2025 - CHUYỂN HỦY</t>
  </si>
  <si>
    <t>Chuyển CNHY - DATE 2026 - CHUYỂN CXL</t>
  </si>
  <si>
    <t>INT-0183-25</t>
  </si>
  <si>
    <t>01242316</t>
  </si>
  <si>
    <t>M0003527</t>
  </si>
  <si>
    <t>hư chờ trả hãng</t>
  </si>
  <si>
    <t>INT-0184-25</t>
  </si>
  <si>
    <t>11244444</t>
  </si>
  <si>
    <t>M0003557</t>
  </si>
  <si>
    <t>Chờ trả hãng</t>
  </si>
  <si>
    <t>INT-0185-25</t>
  </si>
  <si>
    <t>000204687</t>
  </si>
  <si>
    <t>000204688</t>
  </si>
  <si>
    <t>000204710</t>
  </si>
  <si>
    <t>INT-0186-25</t>
  </si>
  <si>
    <t>30/04/26</t>
  </si>
  <si>
    <t>000205408</t>
  </si>
  <si>
    <t xml:space="preserve">thu hồi hàng VE từ pharmacity </t>
  </si>
  <si>
    <t>INT-0187-25</t>
  </si>
  <si>
    <t>DV1100320</t>
  </si>
  <si>
    <t>JANUS-30 (HOP/8 VIEN) - EU</t>
  </si>
  <si>
    <t>000206015</t>
  </si>
  <si>
    <t>DV1100319</t>
  </si>
  <si>
    <t>JANUS-60 (HOP/8 VIEN) - EU</t>
  </si>
  <si>
    <t>000206016</t>
  </si>
  <si>
    <t>INT-0188-25</t>
  </si>
  <si>
    <t>SN710</t>
  </si>
  <si>
    <t>000206343</t>
  </si>
  <si>
    <t>000206344</t>
  </si>
  <si>
    <t>240480</t>
  </si>
  <si>
    <t>240347</t>
  </si>
  <si>
    <t>Chờ xuất về cho hãng</t>
  </si>
  <si>
    <t>INT-0189-25</t>
  </si>
  <si>
    <t>M0003583</t>
  </si>
  <si>
    <t>01241990</t>
  </si>
  <si>
    <t>INT-0190-25</t>
  </si>
  <si>
    <t>HY6100005</t>
  </si>
  <si>
    <t>OCUVITE BLUE LIGHT (HOP/ 30 VIEN)</t>
  </si>
  <si>
    <t>24AAF0260</t>
  </si>
  <si>
    <t>000208205</t>
  </si>
  <si>
    <t>hàng CNHY hết date</t>
  </si>
  <si>
    <t>INT-0191-25</t>
  </si>
  <si>
    <t>BA1313005</t>
  </si>
  <si>
    <t>VO HOP THU HOI TAGRISSO PA TAB 40MG BL 3X10 EA VN</t>
  </si>
  <si>
    <t>000208154</t>
  </si>
  <si>
    <t>BA1313002</t>
  </si>
  <si>
    <t>VO HOP THU HOI TAGRISSO PA TAB 80MG BL 3X10 EA VN</t>
  </si>
  <si>
    <t>000208155</t>
  </si>
  <si>
    <t>Vỏ PAP chuyển hủy</t>
  </si>
  <si>
    <t>INT-0192-25</t>
  </si>
  <si>
    <t>PRW2332PA</t>
  </si>
  <si>
    <t>000208467</t>
  </si>
  <si>
    <t>INT-0193-25</t>
  </si>
  <si>
    <t>RH1300181</t>
  </si>
  <si>
    <t>THUOC NHO MAT (V.ROHTO VITAMIN) 13 ML</t>
  </si>
  <si>
    <t>20/12/27</t>
  </si>
  <si>
    <t>LA09</t>
  </si>
  <si>
    <t>000208671</t>
  </si>
  <si>
    <t>000208670</t>
  </si>
  <si>
    <t>RH1300319</t>
  </si>
  <si>
    <t>NXTP THUOC NHO MAT V.ROHTO COOL 12ML</t>
  </si>
  <si>
    <t>15/06/28</t>
  </si>
  <si>
    <t>FB02</t>
  </si>
  <si>
    <t>000208674</t>
  </si>
  <si>
    <t>20/11/27</t>
  </si>
  <si>
    <t>KA02</t>
  </si>
  <si>
    <t>000208673</t>
  </si>
  <si>
    <t>21/12/27</t>
  </si>
  <si>
    <t>000208672</t>
  </si>
  <si>
    <t>RH1300322</t>
  </si>
  <si>
    <t>NXTP (MAU MOI) THUOC NHO MAT V-ROHTO VITAMIN 13ML</t>
  </si>
  <si>
    <t>06/06/28</t>
  </si>
  <si>
    <t>FB04</t>
  </si>
  <si>
    <t>000208676</t>
  </si>
  <si>
    <t>10/09/28</t>
  </si>
  <si>
    <t>IB01</t>
  </si>
  <si>
    <t>000208675</t>
  </si>
  <si>
    <t>Hãng yêu cầu thu hồi (hỗ trợ đổi hàng cho KH bị thiệt hạ do thiên tai)</t>
  </si>
  <si>
    <t>INT-0194-25</t>
  </si>
  <si>
    <t>Chuyển chờ xử lý theo yêu cầu hãng</t>
  </si>
  <si>
    <t>INT-0195-25</t>
  </si>
  <si>
    <t xml:space="preserve">000150322 or 
000150329 or 
000150320 or 
000150321 or 
000150319 or 
000150324 or 
000150323 or 
000150325 or 
000150330 or 
000150452 or 
000150326 or 
000150327 or 
000150331 or 
000150328 or
000150332
</t>
  </si>
  <si>
    <t>FA1446</t>
  </si>
  <si>
    <t>Dữ liệu hàng trả về từ: Khoa dược bệnh viện đa khoa tư nhân Lê Ngọc Tùng
SL: 30 Ống</t>
  </si>
  <si>
    <t>Max 11.2°C</t>
  </si>
  <si>
    <t>000208868</t>
  </si>
  <si>
    <t>Xem danh sách trong thư mục INT</t>
  </si>
  <si>
    <t>Xuất trả hãng</t>
  </si>
  <si>
    <t>INT-0196-25</t>
  </si>
  <si>
    <t>RH5300027</t>
  </si>
  <si>
    <t>SAN PHAM XUA MUOI DANG XIT HUONG LAVENDER (REMOS LAVENDER) 7</t>
  </si>
  <si>
    <t>RH5300033</t>
  </si>
  <si>
    <t>SAN PHAM XUA MUOI REMOS CAM DANG KEM 70G</t>
  </si>
  <si>
    <t>RH5300031</t>
  </si>
  <si>
    <t>SAN PHAM XUA MUOI REMOS SA CHANH 150ML</t>
  </si>
  <si>
    <t>RH5300034</t>
  </si>
  <si>
    <t>SAN PHAM XUA MUOI REMOS SA CHANH DANG KEM 70G</t>
  </si>
  <si>
    <t>RH5300035</t>
  </si>
  <si>
    <t>SAN PHAM XUA MUOI REMOS LAVENDER DANG KEM 70G</t>
  </si>
  <si>
    <t>RH5300030</t>
  </si>
  <si>
    <t>SAN PHAM XUA MUOI REMOS SA CHANH 70ML</t>
  </si>
  <si>
    <t>RH7300467</t>
  </si>
  <si>
    <t>DAU GOI CHONG GAU (SELSUN ANTI-DANDRUFF SHAMPOO) 5ML</t>
  </si>
  <si>
    <t>RH7300466</t>
  </si>
  <si>
    <t>DAU XA DUONG TOC DANH CHO TOC GAU (SELSUN ANTI-DANDRUFF COND</t>
  </si>
  <si>
    <t>RH5300029</t>
  </si>
  <si>
    <t>SAN PHAM XUA MUOI REMOS BABY CREAM KHUYNH DIEP 70G</t>
  </si>
  <si>
    <t>RH7300168</t>
  </si>
  <si>
    <t>DAU GOI CHONG GAU (SELSUN ANTI-DANDRUFF SHAMPOO WITH SELENIU</t>
  </si>
  <si>
    <t>RH7300171</t>
  </si>
  <si>
    <t>HB06</t>
  </si>
  <si>
    <t>IB08</t>
  </si>
  <si>
    <t>HB01</t>
  </si>
  <si>
    <t>HB02</t>
  </si>
  <si>
    <t>GB01</t>
  </si>
  <si>
    <t>IB04</t>
  </si>
  <si>
    <t>IB03</t>
  </si>
  <si>
    <t>GB03</t>
  </si>
  <si>
    <t>DB08</t>
  </si>
  <si>
    <t>IB02B</t>
  </si>
  <si>
    <t>IB02</t>
  </si>
  <si>
    <t>FB10V2</t>
  </si>
  <si>
    <t>EB03</t>
  </si>
  <si>
    <t>000208934</t>
  </si>
  <si>
    <t>000208933</t>
  </si>
  <si>
    <t>000208932</t>
  </si>
  <si>
    <t>000208939</t>
  </si>
  <si>
    <t>000208937</t>
  </si>
  <si>
    <t>000208940</t>
  </si>
  <si>
    <t>000208941</t>
  </si>
  <si>
    <t>000208936</t>
  </si>
  <si>
    <t>000208945</t>
  </si>
  <si>
    <t>000208944</t>
  </si>
  <si>
    <t>000208935</t>
  </si>
  <si>
    <t>000208942</t>
  </si>
  <si>
    <t>000208946</t>
  </si>
  <si>
    <t>000208938</t>
  </si>
  <si>
    <t>000208943</t>
  </si>
  <si>
    <t>000208931</t>
  </si>
  <si>
    <t>000208923</t>
  </si>
  <si>
    <t>000208926</t>
  </si>
  <si>
    <t>000208925</t>
  </si>
  <si>
    <t>000208924</t>
  </si>
  <si>
    <t>000208928</t>
  </si>
  <si>
    <t>000208930</t>
  </si>
  <si>
    <t>000208927</t>
  </si>
  <si>
    <t>000208929</t>
  </si>
  <si>
    <t>CB09A</t>
  </si>
  <si>
    <t>KZ02-2</t>
  </si>
  <si>
    <t>FB24V2</t>
  </si>
  <si>
    <t>IA01-3</t>
  </si>
  <si>
    <t>EB01V2</t>
  </si>
  <si>
    <t>INT-0197-25</t>
  </si>
  <si>
    <t>RH1300044</t>
  </si>
  <si>
    <t>THUOC BOI DA KHANG VIEM, GIAM DAU TAI CHO (DEEP HEAT RUB PLU</t>
  </si>
  <si>
    <t>RH1300024</t>
  </si>
  <si>
    <t>THUOC BOI DA TRI MUN SUNG DO VA DAU (ACNES MEDICAL CREAM) 18</t>
  </si>
  <si>
    <t>RH1300330</t>
  </si>
  <si>
    <t>THUOC BOI DA TRI MUN (OXY 10) 10G</t>
  </si>
  <si>
    <t>RH1300329</t>
  </si>
  <si>
    <t>THUOC BOI DA TRI MUN (OXY 5) 10G</t>
  </si>
  <si>
    <t>RH1300015</t>
  </si>
  <si>
    <t>THUOC NHO MAT (V.ROHTO LYCEE) 13 ML</t>
  </si>
  <si>
    <t>000208091</t>
  </si>
  <si>
    <t>000208092</t>
  </si>
  <si>
    <t>000208093</t>
  </si>
  <si>
    <t>000208094</t>
  </si>
  <si>
    <t>000208095</t>
  </si>
  <si>
    <t>000208096</t>
  </si>
  <si>
    <t>000208097</t>
  </si>
  <si>
    <t>000208098</t>
  </si>
  <si>
    <t>000208099</t>
  </si>
  <si>
    <t>000208100</t>
  </si>
  <si>
    <t>000208101</t>
  </si>
  <si>
    <t>000208102</t>
  </si>
  <si>
    <t>000208103</t>
  </si>
  <si>
    <t>000208104</t>
  </si>
  <si>
    <t>000208105</t>
  </si>
  <si>
    <t>KA01</t>
  </si>
  <si>
    <t>KY02</t>
  </si>
  <si>
    <t>KY03</t>
  </si>
  <si>
    <t>KY05</t>
  </si>
  <si>
    <t>IY01</t>
  </si>
  <si>
    <t>DA01</t>
  </si>
  <si>
    <t>AA01B</t>
  </si>
  <si>
    <t>AA01A</t>
  </si>
  <si>
    <t>KZ01</t>
  </si>
  <si>
    <t>DA01B</t>
  </si>
  <si>
    <t>DA01A</t>
  </si>
  <si>
    <t>BZ01A</t>
  </si>
  <si>
    <t>KY01A</t>
  </si>
  <si>
    <t>xuất</t>
  </si>
  <si>
    <t>000209029</t>
  </si>
  <si>
    <t>000209032</t>
  </si>
  <si>
    <t>000209031</t>
  </si>
  <si>
    <t>000209033</t>
  </si>
  <si>
    <t>000209030</t>
  </si>
  <si>
    <t>F167061</t>
  </si>
  <si>
    <t>INT-0198-25</t>
  </si>
  <si>
    <t>INT-0199-25</t>
  </si>
  <si>
    <t>03251107</t>
  </si>
  <si>
    <t>M0003627</t>
  </si>
  <si>
    <t>INT-0200-25</t>
  </si>
  <si>
    <t>000209036</t>
  </si>
  <si>
    <t>INT-0201-25</t>
  </si>
  <si>
    <t>000209035</t>
  </si>
  <si>
    <t>Hủy theo yêu cầu hãng (C.Kim)</t>
  </si>
  <si>
    <t>INT-0202-25</t>
  </si>
  <si>
    <t>000208843</t>
  </si>
  <si>
    <t>000208844</t>
  </si>
  <si>
    <t>000208845</t>
  </si>
  <si>
    <t>000209011</t>
  </si>
  <si>
    <t>LV2307P</t>
  </si>
  <si>
    <t>INT-0203-25</t>
  </si>
  <si>
    <t>000209148</t>
  </si>
  <si>
    <t>000209147</t>
  </si>
  <si>
    <t>000209151</t>
  </si>
  <si>
    <t>000209149</t>
  </si>
  <si>
    <t>000209152</t>
  </si>
  <si>
    <t>000209153</t>
  </si>
  <si>
    <t>000209143</t>
  </si>
  <si>
    <t>000209145</t>
  </si>
  <si>
    <t>000209144</t>
  </si>
  <si>
    <t>000209146</t>
  </si>
  <si>
    <t>000209142</t>
  </si>
  <si>
    <t>000209150</t>
  </si>
  <si>
    <t>HÀNG TRẢ AN KHANG - THÁNG 12 - KHO LONG HẬU</t>
  </si>
  <si>
    <t>RH1300357</t>
  </si>
  <si>
    <t>THUOC NHO MAT (NEW V-ROHTO) 13ML (RX)</t>
  </si>
  <si>
    <t>RH7300458</t>
  </si>
  <si>
    <t>(2022) KEM RUA MAT NGAN NGUA MUN CREAMY WASH 50G</t>
  </si>
  <si>
    <t>RH1300334</t>
  </si>
  <si>
    <t>DUNG DICH NHO MAT V.ROHTO DRYEYE 13 ML</t>
  </si>
  <si>
    <t>RH1300343</t>
  </si>
  <si>
    <t>DUNG DICH NHO MAT ROHTO DRY AID 10ML (HOP/ 1 LO)</t>
  </si>
  <si>
    <t>RH1300317</t>
  </si>
  <si>
    <t>NXTP THUOC NHO MAT NEW V-ROHTO 13ML</t>
  </si>
  <si>
    <t>INT-0204-25</t>
  </si>
  <si>
    <t>HB07V2</t>
  </si>
  <si>
    <t>HB03</t>
  </si>
  <si>
    <t>HB02D</t>
  </si>
  <si>
    <t>HB05</t>
  </si>
  <si>
    <t>JA02</t>
  </si>
  <si>
    <t>GB07V2</t>
  </si>
  <si>
    <t>GB02</t>
  </si>
  <si>
    <t>GB04</t>
  </si>
  <si>
    <t>JA01</t>
  </si>
  <si>
    <t>IA03-2</t>
  </si>
  <si>
    <t>FA01</t>
  </si>
  <si>
    <t>000209384</t>
  </si>
  <si>
    <t>000209381</t>
  </si>
  <si>
    <t>000209382</t>
  </si>
  <si>
    <t>000209383</t>
  </si>
  <si>
    <t>000209380</t>
  </si>
  <si>
    <t>000209387</t>
  </si>
  <si>
    <t>000209391</t>
  </si>
  <si>
    <t>000209390</t>
  </si>
  <si>
    <t>000209392</t>
  </si>
  <si>
    <t>000209388</t>
  </si>
  <si>
    <t>000209389</t>
  </si>
  <si>
    <t>000209413</t>
  </si>
  <si>
    <t>000209415</t>
  </si>
  <si>
    <t>000209414</t>
  </si>
  <si>
    <t>000209412</t>
  </si>
  <si>
    <t>000209416</t>
  </si>
  <si>
    <t>000209418</t>
  </si>
  <si>
    <t>000209417</t>
  </si>
  <si>
    <t>000209422</t>
  </si>
  <si>
    <t>000209423</t>
  </si>
  <si>
    <t>000209421</t>
  </si>
  <si>
    <t>000209420</t>
  </si>
  <si>
    <t>000209419</t>
  </si>
  <si>
    <t>000209424</t>
  </si>
  <si>
    <t>INT-0205-25</t>
  </si>
  <si>
    <t>AZ1112002</t>
  </si>
  <si>
    <t>LYNPARZA PA TAB 100MG BL 7X8 EA VN</t>
  </si>
  <si>
    <t>ST331</t>
  </si>
  <si>
    <t>000209531</t>
  </si>
  <si>
    <t>BA1313007</t>
  </si>
  <si>
    <t>VO HOP THU HOI LYNPARZA PA TAB 150MG BL 7X8 EA VN</t>
  </si>
  <si>
    <t>000209609</t>
  </si>
  <si>
    <t>BA1313006</t>
  </si>
  <si>
    <t>VO HOP THU HOI LYNPARZA PA TAB 100MG BL 7X8 EA VN</t>
  </si>
  <si>
    <t>000209613</t>
  </si>
  <si>
    <t>thu hồi vỏ hộp, vỏ vỉ PAP</t>
  </si>
  <si>
    <t>2 vỏ hộp, 104 vỏ vỉ, 8 viên nguyên</t>
  </si>
  <si>
    <t>RH1300348</t>
  </si>
  <si>
    <t>THUOC NHO MAT (V.ROHTO LYCEE) 13 ML (MAU MOI 2024)</t>
  </si>
  <si>
    <t>RH1300005</t>
  </si>
  <si>
    <t>THUOC BOI TRI NGUA, VIEM DA VA VET CON TRUNG CAN (REMOS IB)</t>
  </si>
  <si>
    <t>RH1300089</t>
  </si>
  <si>
    <t>THUOC NHO MAT (ROHTO ANTIBACTERIAL) 13 ML</t>
  </si>
  <si>
    <t>000209588</t>
  </si>
  <si>
    <t>000209587</t>
  </si>
  <si>
    <t>000209591</t>
  </si>
  <si>
    <t>000209589</t>
  </si>
  <si>
    <t>000209590</t>
  </si>
  <si>
    <t>000209594</t>
  </si>
  <si>
    <t>000209593</t>
  </si>
  <si>
    <t>000209592</t>
  </si>
  <si>
    <t>000209595</t>
  </si>
  <si>
    <t>000209597</t>
  </si>
  <si>
    <t>000209596</t>
  </si>
  <si>
    <t>000209598</t>
  </si>
  <si>
    <t>CB24A</t>
  </si>
  <si>
    <t>EB01A</t>
  </si>
  <si>
    <t>EB02</t>
  </si>
  <si>
    <t>HB04</t>
  </si>
  <si>
    <t>INT-0206-25</t>
  </si>
  <si>
    <t>BK391236</t>
  </si>
  <si>
    <t>ORSIRO 2.75/35</t>
  </si>
  <si>
    <t>M0003647</t>
  </si>
  <si>
    <t>M0003646</t>
  </si>
  <si>
    <t>03241497</t>
  </si>
  <si>
    <t>INT-0001-26</t>
  </si>
  <si>
    <t>Hàng thu hồi từ An Khang date dưới 12 tháng</t>
  </si>
  <si>
    <t>INT-0002-26</t>
  </si>
  <si>
    <t>000209704</t>
  </si>
  <si>
    <t>000209703</t>
  </si>
  <si>
    <t>000209702</t>
  </si>
  <si>
    <t>000209705</t>
  </si>
  <si>
    <t>BB01</t>
  </si>
  <si>
    <t>EB01</t>
  </si>
  <si>
    <t>KA01B</t>
  </si>
  <si>
    <t>KA03</t>
  </si>
  <si>
    <t>hãng yêu cầu thu hồi, hỗ trợ đỏi hàng cho khách bị thiệt hại thiên tai</t>
  </si>
  <si>
    <t>BK419130</t>
  </si>
  <si>
    <t>ORSIRO MISSION 4.0/22</t>
  </si>
  <si>
    <t>M0003648</t>
  </si>
  <si>
    <t>03244390</t>
  </si>
  <si>
    <t>INT-0003-26</t>
  </si>
  <si>
    <t>hàng trả về mất seal bị lệch lô, xuất trả bệnh viện</t>
  </si>
  <si>
    <t>IB05</t>
  </si>
  <si>
    <t>INT-0004-26</t>
  </si>
  <si>
    <t>000209913</t>
  </si>
  <si>
    <t>000209914</t>
  </si>
  <si>
    <t>000209686</t>
  </si>
  <si>
    <t>000209915</t>
  </si>
  <si>
    <t>000210224</t>
  </si>
  <si>
    <t>000210220</t>
  </si>
  <si>
    <t>000210226</t>
  </si>
  <si>
    <t>000210219</t>
  </si>
  <si>
    <t>000210221</t>
  </si>
  <si>
    <t>000210225</t>
  </si>
  <si>
    <t>000210222</t>
  </si>
  <si>
    <t>000210223</t>
  </si>
  <si>
    <t>FA04</t>
  </si>
  <si>
    <t>KA17</t>
  </si>
  <si>
    <t>BB02</t>
  </si>
  <si>
    <t>IA02</t>
  </si>
  <si>
    <t>LA01</t>
  </si>
  <si>
    <t>INT-0005-26</t>
  </si>
  <si>
    <t>JJ640CF0620</t>
  </si>
  <si>
    <t>640CF0620 VONG XOAN KIM LOAI ORBIT GALAXY</t>
  </si>
  <si>
    <t>M0003673</t>
  </si>
  <si>
    <t>hàng lỗi, chuyển chờ hủy</t>
  </si>
  <si>
    <t>Xuất 13.01.2025 (Trinh Plan)</t>
  </si>
  <si>
    <t>INT-0006-26</t>
  </si>
  <si>
    <t>LV2312P</t>
  </si>
  <si>
    <t>LV2308P</t>
  </si>
  <si>
    <t>Hàng cận date, hết date owner HOANGDUC thu hồi từ Pharmacity, trả về VE theo yêu cầu hãng</t>
  </si>
  <si>
    <t>000210427</t>
  </si>
  <si>
    <t>000210421</t>
  </si>
  <si>
    <t>000210425</t>
  </si>
  <si>
    <t>000210426</t>
  </si>
  <si>
    <t>000210424</t>
  </si>
  <si>
    <t>000210422</t>
  </si>
  <si>
    <t>000210423</t>
  </si>
  <si>
    <t>000210430</t>
  </si>
  <si>
    <t>000210428</t>
  </si>
  <si>
    <t>000210432</t>
  </si>
  <si>
    <t>000210429</t>
  </si>
  <si>
    <t>000210431</t>
  </si>
  <si>
    <t>000210378</t>
  </si>
  <si>
    <t>1 hộp còn 22 viên nguyên, 1 hộp còn 30 viên nguyên</t>
  </si>
  <si>
    <t>INT-0007-26</t>
  </si>
  <si>
    <t>MG1100039</t>
  </si>
  <si>
    <t>DIOPOLOL 2.5 (HOP/2 VI X 14 VIEN)</t>
  </si>
  <si>
    <t>31139B/5</t>
  </si>
  <si>
    <t>LPN010765</t>
  </si>
  <si>
    <t>MG1100065</t>
  </si>
  <si>
    <t>CILZEC 40 (HOP/3VI X 10VIEN)</t>
  </si>
  <si>
    <t>BRE03282A</t>
  </si>
  <si>
    <t>LPN010764</t>
  </si>
  <si>
    <t>INT-0008-26</t>
  </si>
  <si>
    <t>DV1100238</t>
  </si>
  <si>
    <t>DEMBELE-HCTZ (HOP/30VIEN) - EU</t>
  </si>
  <si>
    <t>230432</t>
  </si>
  <si>
    <t>000211007</t>
  </si>
  <si>
    <t>RH1300332</t>
  </si>
  <si>
    <t>000211142</t>
  </si>
  <si>
    <t>000211140</t>
  </si>
  <si>
    <t>000211141</t>
  </si>
  <si>
    <t>000211139</t>
  </si>
  <si>
    <t>000211138</t>
  </si>
  <si>
    <t>000211147</t>
  </si>
  <si>
    <t>000211145</t>
  </si>
  <si>
    <t>000211144</t>
  </si>
  <si>
    <t>DUNG DICH NHO MAT (V.ROHTO MINERAL TEAR) 13ML</t>
  </si>
  <si>
    <t>FA03-2</t>
  </si>
  <si>
    <t>LA02</t>
  </si>
  <si>
    <t>JA03-2</t>
  </si>
  <si>
    <t>GA02-2</t>
  </si>
  <si>
    <t>51034</t>
  </si>
  <si>
    <t>000211121</t>
  </si>
  <si>
    <t>hàng trả về bị lem mất lot date</t>
  </si>
  <si>
    <t>INT-0009-26</t>
  </si>
  <si>
    <t>INT-0010-26</t>
  </si>
  <si>
    <t>D76067</t>
  </si>
  <si>
    <t>000211456</t>
  </si>
  <si>
    <t>hàng Mayoly nhập khẩu, 02 hộp rách trong thùng rách, không có cam lúc sang hàng, anh Duy Sơn đền bù</t>
  </si>
  <si>
    <t>INT-0011-26</t>
  </si>
  <si>
    <t>KS061A</t>
  </si>
  <si>
    <t>Hộp dán băng dính đen 2 đầu, ghi chữ Challenge Test trên vỏ hộp</t>
  </si>
  <si>
    <t>NA</t>
  </si>
  <si>
    <t>INT-0012-26</t>
  </si>
  <si>
    <t>AV1100021</t>
  </si>
  <si>
    <t>ALFUTOR ER TABLETS 10MG (HOP/30VIEN)</t>
  </si>
  <si>
    <t>BGP9L002</t>
  </si>
  <si>
    <t>000212099</t>
  </si>
  <si>
    <t>BGP9L001</t>
  </si>
  <si>
    <t>000212098</t>
  </si>
  <si>
    <t>41404</t>
  </si>
  <si>
    <t>41547</t>
  </si>
  <si>
    <t>FW2302AA</t>
  </si>
  <si>
    <t>41694</t>
  </si>
  <si>
    <t>50111</t>
  </si>
  <si>
    <t>FW2407PA</t>
  </si>
  <si>
    <t>FW2501KA</t>
  </si>
  <si>
    <t>50461</t>
  </si>
  <si>
    <t>LV2310P</t>
  </si>
  <si>
    <t>PP2424</t>
  </si>
  <si>
    <t>FW2413TA</t>
  </si>
  <si>
    <t>FW2402DBA</t>
  </si>
  <si>
    <t>41630</t>
  </si>
  <si>
    <t>FW2401TA</t>
  </si>
  <si>
    <t>FW2502TA</t>
  </si>
  <si>
    <t>831952A</t>
  </si>
  <si>
    <t>41555</t>
  </si>
  <si>
    <t>FW2304AA</t>
  </si>
  <si>
    <t>PB2505</t>
  </si>
  <si>
    <t>50590</t>
  </si>
  <si>
    <t>41302</t>
  </si>
  <si>
    <t>OT2409P</t>
  </si>
  <si>
    <t>OT2404P</t>
  </si>
  <si>
    <t>50306</t>
  </si>
  <si>
    <t>41096</t>
  </si>
  <si>
    <t>41952</t>
  </si>
  <si>
    <t>PFT2319P</t>
  </si>
  <si>
    <t>000212261</t>
  </si>
  <si>
    <t>000212212</t>
  </si>
  <si>
    <t>000212255</t>
  </si>
  <si>
    <t>000212224</t>
  </si>
  <si>
    <t>000212235</t>
  </si>
  <si>
    <t>000212225</t>
  </si>
  <si>
    <t>000212237</t>
  </si>
  <si>
    <t>000212249</t>
  </si>
  <si>
    <t>000212200</t>
  </si>
  <si>
    <t>000212219</t>
  </si>
  <si>
    <t>000212254</t>
  </si>
  <si>
    <t>000212252</t>
  </si>
  <si>
    <t>000212244</t>
  </si>
  <si>
    <t>000212262</t>
  </si>
  <si>
    <t>000212257</t>
  </si>
  <si>
    <t>000212265</t>
  </si>
  <si>
    <t>000212247</t>
  </si>
  <si>
    <t>000212228</t>
  </si>
  <si>
    <t>000212229</t>
  </si>
  <si>
    <t>000212205</t>
  </si>
  <si>
    <t>000212236</t>
  </si>
  <si>
    <t>000212202</t>
  </si>
  <si>
    <t>000212196</t>
  </si>
  <si>
    <t>000212251</t>
  </si>
  <si>
    <t>000212214</t>
  </si>
  <si>
    <t>000212250</t>
  </si>
  <si>
    <t>000212223</t>
  </si>
  <si>
    <t>000212242</t>
  </si>
  <si>
    <t>000212209</t>
  </si>
  <si>
    <t>000212264</t>
  </si>
  <si>
    <t>000212207</t>
  </si>
  <si>
    <t>000212222</t>
  </si>
  <si>
    <t>000212195</t>
  </si>
  <si>
    <t>000212193</t>
  </si>
  <si>
    <t>000212194</t>
  </si>
  <si>
    <t>000212243</t>
  </si>
  <si>
    <t>000212246</t>
  </si>
  <si>
    <t>000212217</t>
  </si>
  <si>
    <t>000212259</t>
  </si>
  <si>
    <t>000212248</t>
  </si>
  <si>
    <t>000212245</t>
  </si>
  <si>
    <t>000212227</t>
  </si>
  <si>
    <t>000212203</t>
  </si>
  <si>
    <t>000212233</t>
  </si>
  <si>
    <t>000212218</t>
  </si>
  <si>
    <t>000212211</t>
  </si>
  <si>
    <t>000212256</t>
  </si>
  <si>
    <t>000212258</t>
  </si>
  <si>
    <t>000212263</t>
  </si>
  <si>
    <t>000212238</t>
  </si>
  <si>
    <t>000212260</t>
  </si>
  <si>
    <t>000212206</t>
  </si>
  <si>
    <t>000212232</t>
  </si>
  <si>
    <t>000212199</t>
  </si>
  <si>
    <t>000212231</t>
  </si>
  <si>
    <t>000212230</t>
  </si>
  <si>
    <t>000212201</t>
  </si>
  <si>
    <t>000212198</t>
  </si>
  <si>
    <t>000212239</t>
  </si>
  <si>
    <t>000212226</t>
  </si>
  <si>
    <t>000212253</t>
  </si>
  <si>
    <t>000212208</t>
  </si>
  <si>
    <t>000212197</t>
  </si>
  <si>
    <t>000212266</t>
  </si>
  <si>
    <t>000212213</t>
  </si>
  <si>
    <t>000212267</t>
  </si>
  <si>
    <t>000212220</t>
  </si>
  <si>
    <t>000212216</t>
  </si>
  <si>
    <t>000212234</t>
  </si>
  <si>
    <t>000212240</t>
  </si>
  <si>
    <t>000212241</t>
  </si>
  <si>
    <t>000212221</t>
  </si>
  <si>
    <t>000212210</t>
  </si>
  <si>
    <t>000212204</t>
  </si>
  <si>
    <t>000212215</t>
  </si>
  <si>
    <t>hàng VE thu hồi từ LC và PMC theo yêu cầu của hãng (hàng chuyền về kho LH từ HY)</t>
  </si>
  <si>
    <t>000211912</t>
  </si>
  <si>
    <t>000211913</t>
  </si>
  <si>
    <t>31238C/1</t>
  </si>
  <si>
    <t>000212269</t>
  </si>
  <si>
    <t>000212270</t>
  </si>
  <si>
    <t>000212268</t>
  </si>
  <si>
    <t>TT39662</t>
  </si>
  <si>
    <t>INT-0013-26</t>
  </si>
  <si>
    <t>000212528</t>
  </si>
  <si>
    <t>hàng VE thu hồi từ LC, cận date</t>
  </si>
  <si>
    <t>INT-0014-26</t>
  </si>
  <si>
    <t>FMFY</t>
  </si>
  <si>
    <t>000213260</t>
  </si>
  <si>
    <t>PAP, TAG040351</t>
  </si>
  <si>
    <t>INT-0015-26</t>
  </si>
  <si>
    <t>IB06</t>
  </si>
  <si>
    <t>000213100</t>
  </si>
  <si>
    <t>000213159</t>
  </si>
  <si>
    <t>000213158</t>
  </si>
  <si>
    <t>000213156</t>
  </si>
  <si>
    <t>000213262</t>
  </si>
  <si>
    <t>PAP, TAG020557</t>
  </si>
  <si>
    <t>Hãng yêu cầu thu hồi, hỗ trợ đỏi hàng cho khách bị thiệt hại thiên tai</t>
  </si>
  <si>
    <t>INT-0016-26</t>
  </si>
  <si>
    <t>BK364513</t>
  </si>
  <si>
    <t>ORSIRO 2.75/30</t>
  </si>
  <si>
    <t>04254733</t>
  </si>
  <si>
    <t>M0003726</t>
  </si>
  <si>
    <t>Hàng hư hỏng trả hãng</t>
  </si>
  <si>
    <t>INT-0017-26</t>
  </si>
  <si>
    <t>41401</t>
  </si>
  <si>
    <t>LV2413P</t>
  </si>
  <si>
    <t>LV2311P</t>
  </si>
  <si>
    <t>LV2501P</t>
  </si>
  <si>
    <t>PP2509</t>
  </si>
  <si>
    <t>50690</t>
  </si>
  <si>
    <t>50691</t>
  </si>
  <si>
    <t>50494</t>
  </si>
  <si>
    <t>FW2503KA</t>
  </si>
  <si>
    <t>51043</t>
  </si>
  <si>
    <t>41353</t>
  </si>
  <si>
    <t>OT2213P</t>
  </si>
  <si>
    <t>000213741</t>
  </si>
  <si>
    <t>000213742</t>
  </si>
  <si>
    <t>000213743</t>
  </si>
  <si>
    <t>000213746</t>
  </si>
  <si>
    <t>000213744</t>
  </si>
  <si>
    <t>000213745</t>
  </si>
  <si>
    <t>000213723</t>
  </si>
  <si>
    <t>000213721</t>
  </si>
  <si>
    <t>000213725</t>
  </si>
  <si>
    <t>000213722</t>
  </si>
  <si>
    <t>000213724</t>
  </si>
  <si>
    <t>000213740</t>
  </si>
  <si>
    <t>000213719</t>
  </si>
  <si>
    <t>000213720</t>
  </si>
  <si>
    <t>000213718</t>
  </si>
  <si>
    <t>000213717</t>
  </si>
  <si>
    <t>000213709</t>
  </si>
  <si>
    <t>000213712</t>
  </si>
  <si>
    <t>000213714</t>
  </si>
  <si>
    <t>000213715</t>
  </si>
  <si>
    <t>000213716</t>
  </si>
  <si>
    <t>000213713</t>
  </si>
  <si>
    <t>000213710</t>
  </si>
  <si>
    <t>000213708</t>
  </si>
  <si>
    <t>000213711</t>
  </si>
  <si>
    <t>000213705</t>
  </si>
  <si>
    <t>000213737</t>
  </si>
  <si>
    <t>000213738</t>
  </si>
  <si>
    <t>000213739</t>
  </si>
  <si>
    <t>000213732</t>
  </si>
  <si>
    <t>000213733</t>
  </si>
  <si>
    <t>000213729</t>
  </si>
  <si>
    <t>000213730</t>
  </si>
  <si>
    <t>000213731</t>
  </si>
  <si>
    <t>000213726</t>
  </si>
  <si>
    <t>000213727</t>
  </si>
  <si>
    <t>000213706</t>
  </si>
  <si>
    <t>000213734</t>
  </si>
  <si>
    <t>000213707</t>
  </si>
  <si>
    <t>000213735</t>
  </si>
  <si>
    <t>000213736</t>
  </si>
  <si>
    <t>000213728</t>
  </si>
  <si>
    <t>cận date, lỗi</t>
  </si>
  <si>
    <t>HY3300023</t>
  </si>
  <si>
    <t>KM SO TAY LO XO</t>
  </si>
  <si>
    <t>HY3300018</t>
  </si>
  <si>
    <t>KM TUI CHAN BONG OCEAN HEALTH</t>
  </si>
  <si>
    <t>HY3300008</t>
  </si>
  <si>
    <t>KM QUA TANG PHYSIODOSE (HOP 5 TUYP)</t>
  </si>
  <si>
    <t>HY3300024</t>
  </si>
  <si>
    <t>KM SAP 12 MAU COLOKIT CR-C016</t>
  </si>
  <si>
    <t>HY3300021</t>
  </si>
  <si>
    <t>KM HOP NHUA (NHUA PP) DUNG CHUA DUNG THUC PHAM TRONG NHA BEP</t>
  </si>
  <si>
    <t>000213798</t>
  </si>
  <si>
    <t>000213799</t>
  </si>
  <si>
    <t>000213800</t>
  </si>
  <si>
    <t>000213796</t>
  </si>
  <si>
    <t>000213797</t>
  </si>
  <si>
    <t>_</t>
  </si>
  <si>
    <t>G243097</t>
  </si>
  <si>
    <t>INT-0018-26</t>
  </si>
  <si>
    <t>INT-0019-26</t>
  </si>
  <si>
    <t>000130150</t>
  </si>
  <si>
    <t>000130149</t>
  </si>
  <si>
    <t>000130156</t>
  </si>
  <si>
    <t>LPN006663</t>
  </si>
  <si>
    <t>000124464</t>
  </si>
  <si>
    <t>000129961</t>
  </si>
  <si>
    <t>LPN007031</t>
  </si>
  <si>
    <t>LPN006085</t>
  </si>
  <si>
    <t>LPN007456</t>
  </si>
  <si>
    <t>000145152</t>
  </si>
  <si>
    <t>000145153</t>
  </si>
  <si>
    <t>000137674</t>
  </si>
  <si>
    <t>000157704</t>
  </si>
  <si>
    <t>000157705</t>
  </si>
  <si>
    <t>000157706</t>
  </si>
  <si>
    <t>000165696</t>
  </si>
  <si>
    <t>000199137</t>
  </si>
  <si>
    <t>000199136</t>
  </si>
  <si>
    <t>000199138</t>
  </si>
  <si>
    <t>000199135</t>
  </si>
  <si>
    <t>000199139</t>
  </si>
  <si>
    <t>000204921</t>
  </si>
  <si>
    <t>000204922</t>
  </si>
  <si>
    <t>000204920</t>
  </si>
  <si>
    <t>000208443</t>
  </si>
  <si>
    <t>000208444</t>
  </si>
  <si>
    <t>000208445</t>
  </si>
  <si>
    <t>000210246</t>
  </si>
  <si>
    <t>000210248</t>
  </si>
  <si>
    <t>000210247</t>
  </si>
  <si>
    <t>LV2506P</t>
  </si>
  <si>
    <t>LV2508P</t>
  </si>
  <si>
    <t>LV2504P</t>
  </si>
  <si>
    <t xml:space="preserve">Hãng yc  chuyển hàng vào kho cách ly </t>
  </si>
  <si>
    <t>CN. HƯNG YẾN</t>
  </si>
  <si>
    <t>chi nhánh đã hold 1299 hộp</t>
  </si>
  <si>
    <t> 41876</t>
  </si>
  <si>
    <t>INT-0020-26</t>
  </si>
  <si>
    <t>Hàng CN cận date chuyển hủy</t>
  </si>
  <si>
    <t>HT1100025</t>
  </si>
  <si>
    <t>LENALIDOMIDE CAPSULES 25MG (HOP/ 30 VIEN)</t>
  </si>
  <si>
    <t>LEN24031C</t>
  </si>
  <si>
    <t>000213924</t>
  </si>
  <si>
    <t>74587</t>
  </si>
  <si>
    <t>000213912</t>
  </si>
  <si>
    <t>LPN010971</t>
  </si>
  <si>
    <t>INT-0021-26</t>
  </si>
  <si>
    <t>000214556</t>
  </si>
  <si>
    <t>000214557</t>
  </si>
  <si>
    <t>000214558</t>
  </si>
  <si>
    <t>000214555</t>
  </si>
  <si>
    <t>24WC0573</t>
  </si>
  <si>
    <t>INT-0022-26</t>
  </si>
  <si>
    <t>FMFW</t>
  </si>
  <si>
    <t>000214602</t>
  </si>
  <si>
    <t>INT-0023-26</t>
  </si>
  <si>
    <t>000214618</t>
  </si>
  <si>
    <t>000214619</t>
  </si>
  <si>
    <t>INT-0024-26</t>
  </si>
  <si>
    <t>MG1100052</t>
  </si>
  <si>
    <t>GLY4PAR 30 (HOP/3 VI X 10 VIEN)</t>
  </si>
  <si>
    <t>A08942409</t>
  </si>
  <si>
    <t>LPN011013</t>
  </si>
  <si>
    <t>hold chờ hủy theo yc hãng</t>
  </si>
  <si>
    <t>INT-0025-26</t>
  </si>
  <si>
    <t>000198518</t>
  </si>
  <si>
    <t>000199737</t>
  </si>
  <si>
    <t>000202389</t>
  </si>
  <si>
    <t>000207151</t>
  </si>
  <si>
    <t>LPN011034</t>
  </si>
  <si>
    <t>2454201</t>
  </si>
  <si>
    <t>2452701</t>
  </si>
  <si>
    <t>2457202</t>
  </si>
  <si>
    <t>000215568</t>
  </si>
  <si>
    <t>CN. Đà Nẵng</t>
  </si>
  <si>
    <t>000215569</t>
  </si>
  <si>
    <t>INT-0026-26</t>
  </si>
  <si>
    <t>000216637</t>
  </si>
  <si>
    <t>000216635</t>
  </si>
  <si>
    <t>000216634</t>
  </si>
  <si>
    <t>000216633</t>
  </si>
  <si>
    <t>000216639</t>
  </si>
  <si>
    <t>000216638</t>
  </si>
  <si>
    <t>000216631</t>
  </si>
  <si>
    <t>000216632</t>
  </si>
  <si>
    <t>000216625</t>
  </si>
  <si>
    <t>000216626</t>
  </si>
  <si>
    <t>000216624</t>
  </si>
  <si>
    <t>000216627</t>
  </si>
  <si>
    <t>000216646</t>
  </si>
  <si>
    <t>000216644</t>
  </si>
  <si>
    <t>000216643</t>
  </si>
  <si>
    <t>000216642</t>
  </si>
  <si>
    <t>000216641</t>
  </si>
  <si>
    <t>000216636</t>
  </si>
  <si>
    <t>000216630</t>
  </si>
  <si>
    <t>000216622</t>
  </si>
  <si>
    <t>000216628</t>
  </si>
  <si>
    <t>000216629</t>
  </si>
  <si>
    <t>000216621</t>
  </si>
  <si>
    <t>000216640</t>
  </si>
  <si>
    <t>000216623</t>
  </si>
  <si>
    <t>000216645</t>
  </si>
  <si>
    <t>INT-0027-26</t>
  </si>
  <si>
    <t>HT1100031</t>
  </si>
  <si>
    <t>TADAFIL 20 (HOP/100 VIEN)</t>
  </si>
  <si>
    <t>E241749B</t>
  </si>
  <si>
    <t>000216543</t>
  </si>
  <si>
    <t>HT1100030</t>
  </si>
  <si>
    <t>TADAFIL 10 (HOP/100 VIEN)</t>
  </si>
  <si>
    <t>E242007</t>
  </si>
  <si>
    <t>000216542</t>
  </si>
  <si>
    <t>HT1100028</t>
  </si>
  <si>
    <t>ETORICOXIB TABLETS 120MG (HOP/30 VIEN)</t>
  </si>
  <si>
    <t>E240774B</t>
  </si>
  <si>
    <t>000216541</t>
  </si>
  <si>
    <t>planning xác nhận chuyển reject hàng cận date</t>
  </si>
  <si>
    <t>INT-0028-26</t>
  </si>
  <si>
    <t>ST9-ASD-032</t>
  </si>
  <si>
    <t>AMPLATZER SEPTAL OCCLUDER 32MM</t>
  </si>
  <si>
    <t>ST9-PDA-004</t>
  </si>
  <si>
    <t>AMPLATZER PDA OCCLUDER 6/4MM</t>
  </si>
  <si>
    <t>ST9-PDA2-05-04</t>
  </si>
  <si>
    <t>AMPLATZER PDA2 OCCLUDER 5/4MM</t>
  </si>
  <si>
    <t>M0003856</t>
  </si>
  <si>
    <t>M0003858</t>
  </si>
  <si>
    <t>8448698</t>
  </si>
  <si>
    <t>10484198</t>
  </si>
  <si>
    <t>10608355</t>
  </si>
  <si>
    <t>31/03/27</t>
  </si>
  <si>
    <t>31/07/29</t>
  </si>
  <si>
    <t>31/10/29</t>
  </si>
  <si>
    <t>CN. Hưng Yên</t>
  </si>
  <si>
    <t>000215877</t>
  </si>
  <si>
    <t>000215878</t>
  </si>
  <si>
    <t>INT-0029-26</t>
  </si>
  <si>
    <t>08250154</t>
  </si>
  <si>
    <t>M0003859</t>
  </si>
  <si>
    <t>08250279</t>
  </si>
  <si>
    <t>hàng lỗi, trả hãng</t>
  </si>
  <si>
    <t>INT-0030-26</t>
  </si>
  <si>
    <t>40708C</t>
  </si>
  <si>
    <t>000218394</t>
  </si>
  <si>
    <t>LPN011142</t>
  </si>
  <si>
    <t>hàng trả về cận date, hãng yêu cầu hold CXL</t>
  </si>
  <si>
    <t>hàng trả về móp rách, hãng xác nhận chuyển reject</t>
  </si>
  <si>
    <r>
      <t xml:space="preserve">Hàng trả về cận date, tổng 400 hộp: 50 hộp móp rách hãng xác nhận chuyển reject, 350 hộp còn lại hold CXL - </t>
    </r>
    <r>
      <rPr>
        <b/>
        <sz val="10"/>
        <color theme="1"/>
        <rFont val="Tahoma"/>
        <family val="2"/>
      </rPr>
      <t>TT50458</t>
    </r>
  </si>
  <si>
    <t>INT-0031-26</t>
  </si>
  <si>
    <t>BA1313003</t>
  </si>
  <si>
    <t>VO HOP THU HOI IMFINZI PA INJ 500MG VI 1X10ML VN</t>
  </si>
  <si>
    <t>000218901</t>
  </si>
  <si>
    <t>000218903</t>
  </si>
  <si>
    <t>vỏ hộp PAP</t>
  </si>
  <si>
    <t>INT-0032-26</t>
  </si>
  <si>
    <t>9091087</t>
  </si>
  <si>
    <t>M0003863</t>
  </si>
  <si>
    <t>ST9-ASD-036</t>
  </si>
  <si>
    <t>AMPLATZER SEPTAL OCCLUDER 36MM</t>
  </si>
  <si>
    <t>10262051</t>
  </si>
  <si>
    <t>rách seal, móp vỏ, mở bọc bên trong</t>
  </si>
  <si>
    <t>rách seal, móp vỏ, mở bọc bên trong (bọc đựng SP khác)</t>
  </si>
  <si>
    <t xml:space="preserve">xuất ra khi làm workshop tháng 4 </t>
  </si>
  <si>
    <t>INT-0033-26</t>
  </si>
  <si>
    <t>SS656</t>
  </si>
  <si>
    <t>000219768</t>
  </si>
  <si>
    <t>000219770</t>
  </si>
  <si>
    <t>000219767</t>
  </si>
  <si>
    <t>000219769</t>
  </si>
  <si>
    <t>19 viên</t>
  </si>
  <si>
    <t>30 viên</t>
  </si>
  <si>
    <t>54 viên</t>
  </si>
  <si>
    <t>36 viên</t>
  </si>
  <si>
    <t>INT-0034-26</t>
  </si>
  <si>
    <t>FMKB</t>
  </si>
  <si>
    <t>000219884</t>
  </si>
  <si>
    <t>7 viên</t>
  </si>
  <si>
    <t>INT-0035-26</t>
  </si>
  <si>
    <t>HY1300043</t>
  </si>
  <si>
    <t>STERIMAR NOSE HYGIENE &amp; COMFORT 50 ML</t>
  </si>
  <si>
    <t>HY1300045</t>
  </si>
  <si>
    <t>STERIMAR BLOCKED NOSE BABY 50 ML</t>
  </si>
  <si>
    <t>HY1300046</t>
  </si>
  <si>
    <t>STERIMAR ALLERGIC NOSE 50 ML</t>
  </si>
  <si>
    <t>HY1300049</t>
  </si>
  <si>
    <t>STERIMAR BLOCKED NOSE 50 ML</t>
  </si>
  <si>
    <t>000182569</t>
  </si>
  <si>
    <t>000200889</t>
  </si>
  <si>
    <t>000201756</t>
  </si>
  <si>
    <t>LPN011218</t>
  </si>
  <si>
    <t>LPN011219</t>
  </si>
  <si>
    <t>000188984</t>
  </si>
  <si>
    <t>000178374</t>
  </si>
  <si>
    <t>LPN011220</t>
  </si>
  <si>
    <t>000188983</t>
  </si>
  <si>
    <t>000200883</t>
  </si>
  <si>
    <t>LPN011216</t>
  </si>
  <si>
    <t>000200884</t>
  </si>
  <si>
    <t>LPN011217</t>
  </si>
  <si>
    <t>FE3302B</t>
  </si>
  <si>
    <t>FE3302</t>
  </si>
  <si>
    <t>FE3274C</t>
  </si>
  <si>
    <t>FE3274</t>
  </si>
  <si>
    <t>FE3274B</t>
  </si>
  <si>
    <t>FE3222C</t>
  </si>
  <si>
    <t>FE3304C</t>
  </si>
  <si>
    <t>hold theo yc hãng</t>
  </si>
  <si>
    <t>000221651</t>
  </si>
  <si>
    <t>hàng RAD, subject mail: "[Shopee] Rút hàng từ ODN qua kho Hoàng Đức (29 Nguyễn Hiền) | 06/04/2026 ODN hết stock"</t>
  </si>
  <si>
    <t>INT-0036-26</t>
  </si>
  <si>
    <t>000221812</t>
  </si>
  <si>
    <t>000221814</t>
  </si>
  <si>
    <t>000221815</t>
  </si>
  <si>
    <t>000221816</t>
  </si>
  <si>
    <t>000221811</t>
  </si>
  <si>
    <t>000221810</t>
  </si>
  <si>
    <t>000221809</t>
  </si>
  <si>
    <t>000221808</t>
  </si>
  <si>
    <t>000221813</t>
  </si>
  <si>
    <t>000221838</t>
  </si>
  <si>
    <t>000221837</t>
  </si>
  <si>
    <t>000221832</t>
  </si>
  <si>
    <t>000221831</t>
  </si>
  <si>
    <t>000221830</t>
  </si>
  <si>
    <t>000221818</t>
  </si>
  <si>
    <t>000221817</t>
  </si>
  <si>
    <t>000221820</t>
  </si>
  <si>
    <t>000221819</t>
  </si>
  <si>
    <t>000221821</t>
  </si>
  <si>
    <t>000221822</t>
  </si>
  <si>
    <t>000221836</t>
  </si>
  <si>
    <t>000221835</t>
  </si>
  <si>
    <t>000221807</t>
  </si>
  <si>
    <t>000221833</t>
  </si>
  <si>
    <t>000221834</t>
  </si>
  <si>
    <t>000221827</t>
  </si>
  <si>
    <t>000221825</t>
  </si>
  <si>
    <t>000221823</t>
  </si>
  <si>
    <t>000221826</t>
  </si>
  <si>
    <t>000221824</t>
  </si>
  <si>
    <t>000221829</t>
  </si>
  <si>
    <t>000221828</t>
  </si>
  <si>
    <t>50726</t>
  </si>
  <si>
    <t>50693</t>
  </si>
  <si>
    <t>PFT2402P</t>
  </si>
  <si>
    <t>OT2502P</t>
  </si>
  <si>
    <t>51033</t>
  </si>
  <si>
    <t>INT-0037-26</t>
  </si>
  <si>
    <t>000221887</t>
  </si>
  <si>
    <t>000221885</t>
  </si>
  <si>
    <t>000221886</t>
  </si>
  <si>
    <t>000221884</t>
  </si>
  <si>
    <t>000221882</t>
  </si>
  <si>
    <t>000221880</t>
  </si>
  <si>
    <t>000221883</t>
  </si>
  <si>
    <t>000221877</t>
  </si>
  <si>
    <t>000221869</t>
  </si>
  <si>
    <t>000221872</t>
  </si>
  <si>
    <t>000221873</t>
  </si>
  <si>
    <t>000221875</t>
  </si>
  <si>
    <t>000221847</t>
  </si>
  <si>
    <t>000221868</t>
  </si>
  <si>
    <t>000221848</t>
  </si>
  <si>
    <t>000221879</t>
  </si>
  <si>
    <t>000221874</t>
  </si>
  <si>
    <t>000221878</t>
  </si>
  <si>
    <t>000221854</t>
  </si>
  <si>
    <t>000221866</t>
  </si>
  <si>
    <t>000221867</t>
  </si>
  <si>
    <t>000221863</t>
  </si>
  <si>
    <t>000221862</t>
  </si>
  <si>
    <t>000221861</t>
  </si>
  <si>
    <t>000221865</t>
  </si>
  <si>
    <t>000221864</t>
  </si>
  <si>
    <t>000221860</t>
  </si>
  <si>
    <t>000221852</t>
  </si>
  <si>
    <t>000221876</t>
  </si>
  <si>
    <t>000221858</t>
  </si>
  <si>
    <t>000221871</t>
  </si>
  <si>
    <t>000221859</t>
  </si>
  <si>
    <t>000221881</t>
  </si>
  <si>
    <t>000221857</t>
  </si>
  <si>
    <t>000221850</t>
  </si>
  <si>
    <t>000221853</t>
  </si>
  <si>
    <t>000221851</t>
  </si>
  <si>
    <t>000221855</t>
  </si>
  <si>
    <t>000221856</t>
  </si>
  <si>
    <t>000221849</t>
  </si>
  <si>
    <t>hàng thu hồi LC, hãng xác nhận chuyển hủy</t>
  </si>
  <si>
    <t>OT2310P</t>
  </si>
  <si>
    <t>OT2311P</t>
  </si>
  <si>
    <t>PB2517CP</t>
  </si>
  <si>
    <t>50884</t>
  </si>
  <si>
    <t>INT-0038-26</t>
  </si>
  <si>
    <t>RH7300429</t>
  </si>
  <si>
    <t>GEL RUA MAT NGAN NGUA MUN (ACNES GENTLE WASH) 100G NAM 2024</t>
  </si>
  <si>
    <t>RH7300282</t>
  </si>
  <si>
    <t>ACNES VITAMIN CLEANSER 100G (MAU MOI 2024)</t>
  </si>
  <si>
    <t>BA01A</t>
  </si>
  <si>
    <t>JB06</t>
  </si>
  <si>
    <t>AA01</t>
  </si>
  <si>
    <t>BA01</t>
  </si>
  <si>
    <t>KZ02</t>
  </si>
  <si>
    <t>IA08</t>
  </si>
  <si>
    <t>KA01A</t>
  </si>
  <si>
    <t>CB03A</t>
  </si>
  <si>
    <t>CB06A</t>
  </si>
  <si>
    <t>GA01B</t>
  </si>
  <si>
    <t>BB06B</t>
  </si>
  <si>
    <t>IA06A</t>
  </si>
  <si>
    <t>EB01C</t>
  </si>
  <si>
    <t>EB05</t>
  </si>
  <si>
    <t>IB06A</t>
  </si>
  <si>
    <t>JB01A</t>
  </si>
  <si>
    <t>EA01A</t>
  </si>
  <si>
    <t>HA01</t>
  </si>
  <si>
    <t>GA01</t>
  </si>
  <si>
    <t>AA03</t>
  </si>
  <si>
    <t>DB01</t>
  </si>
  <si>
    <t>CB01</t>
  </si>
  <si>
    <t>FB01A</t>
  </si>
  <si>
    <t>thu hồi - trả hãng</t>
  </si>
  <si>
    <t>000222640</t>
  </si>
  <si>
    <t>000222602</t>
  </si>
  <si>
    <t>000222636</t>
  </si>
  <si>
    <t>000222585</t>
  </si>
  <si>
    <t>000222595</t>
  </si>
  <si>
    <t>000222601</t>
  </si>
  <si>
    <t>000222584</t>
  </si>
  <si>
    <t>000222594</t>
  </si>
  <si>
    <t>000222583</t>
  </si>
  <si>
    <t>000222598</t>
  </si>
  <si>
    <t>000222604</t>
  </si>
  <si>
    <t>000222639</t>
  </si>
  <si>
    <t>000222608</t>
  </si>
  <si>
    <t>000222607</t>
  </si>
  <si>
    <t>000222638</t>
  </si>
  <si>
    <t>000222621</t>
  </si>
  <si>
    <t>000222637</t>
  </si>
  <si>
    <t>000222622</t>
  </si>
  <si>
    <t>000222620</t>
  </si>
  <si>
    <t>000222597</t>
  </si>
  <si>
    <t>000222619</t>
  </si>
  <si>
    <t>000222587</t>
  </si>
  <si>
    <t>000222633</t>
  </si>
  <si>
    <t>000222628</t>
  </si>
  <si>
    <t>000222632</t>
  </si>
  <si>
    <t>000222579</t>
  </si>
  <si>
    <t>000222591</t>
  </si>
  <si>
    <t>000222627</t>
  </si>
  <si>
    <t>000222631</t>
  </si>
  <si>
    <t>000222626</t>
  </si>
  <si>
    <t>000222578</t>
  </si>
  <si>
    <t>000222577</t>
  </si>
  <si>
    <t>000222603</t>
  </si>
  <si>
    <t>000222586</t>
  </si>
  <si>
    <t>000222596</t>
  </si>
  <si>
    <t>000222600</t>
  </si>
  <si>
    <t>000222576</t>
  </si>
  <si>
    <t>000222589</t>
  </si>
  <si>
    <t>000222606</t>
  </si>
  <si>
    <t>000222629</t>
  </si>
  <si>
    <t>000222605</t>
  </si>
  <si>
    <t>000222634</t>
  </si>
  <si>
    <t>000222592</t>
  </si>
  <si>
    <t>000222615</t>
  </si>
  <si>
    <t>000222614</t>
  </si>
  <si>
    <t>000222617</t>
  </si>
  <si>
    <t>000222635</t>
  </si>
  <si>
    <t>000222581</t>
  </si>
  <si>
    <t>000222593</t>
  </si>
  <si>
    <t>000222618</t>
  </si>
  <si>
    <t>000222616</t>
  </si>
  <si>
    <t>000222582</t>
  </si>
  <si>
    <t>000222580</t>
  </si>
  <si>
    <t>000222625</t>
  </si>
  <si>
    <t>000222599</t>
  </si>
  <si>
    <t>000222624</t>
  </si>
  <si>
    <t>000222623</t>
  </si>
  <si>
    <t>000222588</t>
  </si>
  <si>
    <t>000222630</t>
  </si>
  <si>
    <t>000222590</t>
  </si>
  <si>
    <t>000222613</t>
  </si>
  <si>
    <t>000222612</t>
  </si>
  <si>
    <t>000222611</t>
  </si>
  <si>
    <t>000222609</t>
  </si>
  <si>
    <t>000222610</t>
  </si>
  <si>
    <t>PM2519CP</t>
  </si>
  <si>
    <t>PM2517CP</t>
  </si>
  <si>
    <t>132798A</t>
  </si>
  <si>
    <t>F173187</t>
  </si>
  <si>
    <t>51137</t>
  </si>
  <si>
    <t>50444</t>
  </si>
  <si>
    <t>50396</t>
  </si>
  <si>
    <t>PB2528CP</t>
  </si>
  <si>
    <t>PB2529CP</t>
  </si>
  <si>
    <t>51035</t>
  </si>
  <si>
    <t>PFT2502A</t>
  </si>
  <si>
    <t>136497A</t>
  </si>
  <si>
    <t>OT2508P</t>
  </si>
  <si>
    <t>OT2410P</t>
  </si>
  <si>
    <t>50445</t>
  </si>
  <si>
    <t>51271</t>
  </si>
  <si>
    <t>hàng thu hồi TIKI, hãng xác nhận chuyển hủy</t>
  </si>
  <si>
    <t>INT-0039-26</t>
  </si>
  <si>
    <t>INT-0040-26</t>
  </si>
  <si>
    <t>M0004009</t>
  </si>
  <si>
    <t>10211846</t>
  </si>
  <si>
    <t>hàng CNDDN bị mất seal -&gt; chờ xuất workshop</t>
  </si>
  <si>
    <t>000223362</t>
  </si>
  <si>
    <t>000223363</t>
  </si>
  <si>
    <t>hàng trả về hết date (tổng 269 ống, 53 ống không có vỏ hộp)</t>
  </si>
  <si>
    <t>INT-0041-26</t>
  </si>
  <si>
    <t>INT-0042-26</t>
  </si>
  <si>
    <t>000223615</t>
  </si>
  <si>
    <t>thu hồi LC chuyển cách ly</t>
  </si>
  <si>
    <t>000224133</t>
  </si>
  <si>
    <t>000224132</t>
  </si>
  <si>
    <t>000224134</t>
  </si>
  <si>
    <t>000224136</t>
  </si>
  <si>
    <t>000224137</t>
  </si>
  <si>
    <t>000224135</t>
  </si>
  <si>
    <t>000224130</t>
  </si>
  <si>
    <t>000224131</t>
  </si>
  <si>
    <t>000224139</t>
  </si>
  <si>
    <t>000224138</t>
  </si>
  <si>
    <t>000224148</t>
  </si>
  <si>
    <t>000224147</t>
  </si>
  <si>
    <t>000224146</t>
  </si>
  <si>
    <t>000224145</t>
  </si>
  <si>
    <t>000224143</t>
  </si>
  <si>
    <t>000224144</t>
  </si>
  <si>
    <t>000224142</t>
  </si>
  <si>
    <t>000224141</t>
  </si>
  <si>
    <t>000224140</t>
  </si>
  <si>
    <t>000224149</t>
  </si>
  <si>
    <t>000224124</t>
  </si>
  <si>
    <t>000224125</t>
  </si>
  <si>
    <t>000224126</t>
  </si>
  <si>
    <t>000224121</t>
  </si>
  <si>
    <t>000224122</t>
  </si>
  <si>
    <t>000224123</t>
  </si>
  <si>
    <t>000224129</t>
  </si>
  <si>
    <t>000224127</t>
  </si>
  <si>
    <t>000224128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</si>
</sst>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0\);&quot;-&quot;"/>
  </numFmts>
  <fonts count="128" x14ac:knownFonts="1">
    <font>
      <sz val="11"/>
      <color theme="1"/>
      <name val="Calibri"/>
      <family val="2"/>
      <scheme val="minor"/>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u/>
      <sz val="11"/>
      <color theme="10"/>
      <name val="Calibri"/>
      <family val="2"/>
      <scheme val="minor"/>
    </font>
    <font>
      <b/>
      <sz val="15"/>
      <color theme="1"/>
      <name val="Tahoma"/>
      <family val="2"/>
    </font>
    <font>
      <sz val="15"/>
      <color theme="1"/>
      <name val="Tahoma"/>
      <family val="2"/>
    </font>
    <font>
      <sz val="10"/>
      <color theme="1"/>
      <name val="Tahoma"/>
      <family val="2"/>
    </font>
    <font>
      <sz val="10"/>
      <color indexed="8"/>
      <name val="Tahoma"/>
      <family val="2"/>
    </font>
    <font>
      <sz val="10"/>
      <color rgb="FFFF0000"/>
      <name val="Tahoma"/>
      <family val="2"/>
    </font>
    <font>
      <b/>
      <i/>
      <u/>
      <sz val="13"/>
      <color theme="1"/>
      <name val="Tahoma"/>
      <family val="2"/>
    </font>
    <font>
      <b/>
      <i/>
      <sz val="15"/>
      <color theme="1"/>
      <name val="Tahoma"/>
      <family val="2"/>
    </font>
    <font>
      <sz val="11"/>
      <color theme="1"/>
      <name val="Tahoma"/>
      <family val="2"/>
    </font>
    <font>
      <u/>
      <sz val="11"/>
      <color theme="10"/>
      <name val="Tahoma"/>
      <family val="2"/>
    </font>
    <font>
      <b/>
      <sz val="11"/>
      <color theme="1"/>
      <name val="Tahoma"/>
      <family val="2"/>
    </font>
    <font>
      <sz val="10"/>
      <color theme="1"/>
      <name val="Tahoma"/>
      <family val="2"/>
    </font>
    <font>
      <b/>
      <sz val="11"/>
      <color theme="1"/>
      <name val="Tahoma"/>
      <family val="2"/>
    </font>
    <font>
      <sz val="11"/>
      <color theme="1"/>
      <name val="Tahoma"/>
      <family val="2"/>
    </font>
    <font>
      <sz val="10"/>
      <color rgb="FF000000"/>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sz val="11"/>
      <color theme="1"/>
      <name val="Tahoma"/>
      <family val="2"/>
    </font>
    <font>
      <b/>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b/>
      <sz val="10"/>
      <color theme="1"/>
      <name val="Tahoma"/>
      <family val="2"/>
    </font>
    <font>
      <sz val="10"/>
      <color theme="1"/>
      <name val="Tahoma"/>
      <family val="2"/>
    </font>
    <font>
      <b/>
      <sz val="11"/>
      <color theme="1"/>
      <name val="Tahoma"/>
      <family val="2"/>
    </font>
    <font>
      <sz val="11"/>
      <color theme="1"/>
      <name val="Tahoma"/>
      <family val="2"/>
    </font>
    <font>
      <sz val="9"/>
      <color rgb="FF212529"/>
      <name val="Segoe UI"/>
      <family val="2"/>
    </font>
    <font>
      <sz val="10"/>
      <color theme="1"/>
      <name val="Tahoma"/>
      <family val="2"/>
    </font>
    <font>
      <sz val="11"/>
      <color theme="1"/>
      <name val="Tahoma"/>
      <family val="2"/>
    </font>
    <font>
      <b/>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9"/>
      <color rgb="FF1A1A1A"/>
      <name val="Arial"/>
      <family val="2"/>
    </font>
    <font>
      <sz val="9"/>
      <color rgb="FF666666"/>
      <name val="Arial"/>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b/>
      <sz val="11"/>
      <color theme="3"/>
      <name val="Calibri"/>
      <family val="2"/>
      <scheme val="minor"/>
    </font>
    <font>
      <sz val="10"/>
      <color rgb="FF000000"/>
      <name val="Segoe UI"/>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ont>
    <font>
      <b/>
      <sz val="11"/>
      <color theme="1"/>
      <name val="Tahoma"/>
    </font>
    <font>
      <sz val="11"/>
      <color theme="1"/>
      <name val="Tahoma"/>
    </font>
  </fonts>
  <fills count="9">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FFFFFF"/>
        <bgColor indexed="64"/>
      </patternFill>
    </fill>
    <fill>
      <patternFill patternType="solid">
        <fgColor theme="5" tint="0.79998168889431442"/>
        <bgColor indexed="64"/>
      </patternFill>
    </fill>
    <fill>
      <patternFill patternType="solid">
        <fgColor rgb="FFF0F0F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rgb="FF000000"/>
      </left>
      <right style="medium">
        <color rgb="FF000000"/>
      </right>
      <top/>
      <bottom/>
      <diagonal/>
    </border>
    <border>
      <left/>
      <right style="medium">
        <color rgb="FFBDBDBD"/>
      </right>
      <top/>
      <bottom style="medium">
        <color rgb="FFBDBDBD"/>
      </bottom>
      <diagonal/>
    </border>
    <border>
      <left style="medium">
        <color rgb="FFBDBDBD"/>
      </left>
      <right style="medium">
        <color rgb="FFBDBDBD"/>
      </right>
      <top/>
      <bottom style="medium">
        <color rgb="FFBDBDBD"/>
      </bottom>
      <diagonal/>
    </border>
    <border>
      <left/>
      <right style="medium">
        <color rgb="FFBDBDBD"/>
      </right>
      <top/>
      <bottom/>
      <diagonal/>
    </border>
    <border>
      <left style="thin">
        <color indexed="64"/>
      </left>
      <right style="thin">
        <color indexed="64"/>
      </right>
      <top style="thin">
        <color indexed="64"/>
      </top>
      <bottom/>
      <diagonal/>
    </border>
  </borders>
  <cellStyleXfs count="3">
    <xf numFmtId="0" fontId="0" fillId="0" borderId="0"/>
    <xf numFmtId="0" fontId="20" fillId="0" borderId="0" applyNumberFormat="0" applyFill="0" applyBorder="0" applyAlignment="0" applyProtection="0"/>
    <xf numFmtId="0" fontId="114" fillId="0" borderId="0" applyNumberFormat="0" applyFill="0" applyBorder="0" applyAlignment="0" applyProtection="0"/>
  </cellStyleXfs>
  <cellXfs count="482">
    <xf numFmtId="0" fontId="0" fillId="0" borderId="0" xfId="0"/>
    <xf numFmtId="0" fontId="21" fillId="0" borderId="1" xfId="0" applyFont="1" applyBorder="1" applyAlignment="1">
      <alignment horizontal="center" vertical="center"/>
    </xf>
    <xf numFmtId="0" fontId="21" fillId="0" borderId="1" xfId="0" applyFont="1" applyBorder="1" applyAlignment="1">
      <alignment horizontal="center" vertical="center" wrapText="1"/>
    </xf>
    <xf numFmtId="0" fontId="22" fillId="0" borderId="0" xfId="0" applyFont="1" applyAlignment="1">
      <alignment vertical="center"/>
    </xf>
    <xf numFmtId="0" fontId="22" fillId="0" borderId="1" xfId="0" applyFont="1" applyBorder="1" applyAlignment="1">
      <alignment vertical="center"/>
    </xf>
    <xf numFmtId="0" fontId="22" fillId="0" borderId="1" xfId="0" applyFont="1" applyBorder="1" applyAlignment="1">
      <alignment vertical="center" wrapText="1"/>
    </xf>
    <xf numFmtId="0" fontId="22" fillId="0" borderId="0" xfId="0" applyFont="1" applyAlignment="1">
      <alignment vertical="center" wrapText="1"/>
    </xf>
    <xf numFmtId="0" fontId="22" fillId="3" borderId="1" xfId="0" applyFont="1" applyFill="1" applyBorder="1" applyAlignment="1">
      <alignment vertical="center"/>
    </xf>
    <xf numFmtId="0" fontId="27" fillId="3" borderId="1" xfId="0" applyFont="1" applyFill="1" applyBorder="1" applyAlignment="1">
      <alignment vertical="center"/>
    </xf>
    <xf numFmtId="49" fontId="0" fillId="0" borderId="0" xfId="0" applyNumberFormat="1"/>
    <xf numFmtId="0" fontId="0" fillId="6" borderId="0" xfId="0" applyFill="1"/>
    <xf numFmtId="0" fontId="54" fillId="6" borderId="5" xfId="0" applyFont="1" applyFill="1" applyBorder="1" applyAlignment="1">
      <alignment horizontal="center" vertical="center" wrapText="1"/>
    </xf>
    <xf numFmtId="0" fontId="54" fillId="6" borderId="5" xfId="0" applyFont="1" applyFill="1" applyBorder="1" applyAlignment="1">
      <alignment horizontal="center" vertical="center"/>
    </xf>
    <xf numFmtId="0" fontId="54" fillId="6" borderId="5" xfId="0" applyFont="1" applyFill="1" applyBorder="1" applyAlignment="1">
      <alignment vertical="center"/>
    </xf>
    <xf numFmtId="14" fontId="54" fillId="6" borderId="5" xfId="0" applyNumberFormat="1" applyFont="1" applyFill="1" applyBorder="1" applyAlignment="1">
      <alignment horizontal="center" vertical="center"/>
    </xf>
    <xf numFmtId="14" fontId="0" fillId="0" borderId="0" xfId="0" applyNumberFormat="1"/>
    <xf numFmtId="0" fontId="106" fillId="8" borderId="6" xfId="0" applyFont="1" applyFill="1" applyBorder="1" applyAlignment="1">
      <alignment horizontal="left" vertical="center"/>
    </xf>
    <xf numFmtId="0" fontId="107" fillId="8" borderId="6" xfId="0" applyFont="1" applyFill="1" applyBorder="1" applyAlignment="1">
      <alignment horizontal="left" vertical="center"/>
    </xf>
    <xf numFmtId="14" fontId="106" fillId="8" borderId="6" xfId="0" applyNumberFormat="1" applyFont="1" applyFill="1" applyBorder="1" applyAlignment="1">
      <alignment horizontal="left" vertical="center"/>
    </xf>
    <xf numFmtId="0" fontId="106" fillId="8" borderId="6" xfId="0" applyFont="1" applyFill="1" applyBorder="1" applyAlignment="1">
      <alignment horizontal="right" vertical="center"/>
    </xf>
    <xf numFmtId="0" fontId="106" fillId="6" borderId="0" xfId="0" applyFont="1" applyFill="1" applyAlignment="1">
      <alignment horizontal="left" vertical="center"/>
    </xf>
    <xf numFmtId="0" fontId="106" fillId="8" borderId="7" xfId="0" applyFont="1" applyFill="1" applyBorder="1" applyAlignment="1">
      <alignment horizontal="left" vertical="center"/>
    </xf>
    <xf numFmtId="0" fontId="106" fillId="8" borderId="8" xfId="0" applyFont="1" applyFill="1" applyBorder="1" applyAlignment="1">
      <alignment horizontal="left" vertical="center"/>
    </xf>
    <xf numFmtId="14" fontId="106" fillId="8" borderId="8" xfId="0" applyNumberFormat="1" applyFont="1" applyFill="1" applyBorder="1" applyAlignment="1">
      <alignment horizontal="left" vertical="center"/>
    </xf>
    <xf numFmtId="0" fontId="106" fillId="8" borderId="8" xfId="0" applyFont="1" applyFill="1" applyBorder="1" applyAlignment="1">
      <alignment horizontal="right" vertical="center"/>
    </xf>
    <xf numFmtId="0" fontId="107" fillId="8" borderId="8" xfId="0" applyFont="1" applyFill="1" applyBorder="1" applyAlignment="1">
      <alignment horizontal="left" vertical="center"/>
    </xf>
    <xf numFmtId="0" fontId="106" fillId="8" borderId="0" xfId="0" applyFont="1" applyFill="1" applyBorder="1" applyAlignment="1">
      <alignment horizontal="left" vertical="center"/>
    </xf>
    <xf numFmtId="0" fontId="26" fillId="0" borderId="0" xfId="0" applyFont="1" applyAlignment="1">
      <alignment horizontal="center" vertical="center"/>
    </xf>
    <xf numFmtId="0" fontId="28" fillId="0" borderId="0" xfId="0" applyFont="1" applyAlignment="1">
      <alignment horizontal="center" vertical="center"/>
    </xf>
    <xf numFmtId="0" fontId="29" fillId="0" borderId="0" xfId="1" applyFont="1" applyAlignment="1">
      <alignment horizontal="center" vertical="center"/>
    </xf>
    <xf numFmtId="0" fontId="28" fillId="0" borderId="0" xfId="0" applyFont="1" applyFill="1" applyAlignment="1">
      <alignment horizontal="center" vertical="center"/>
    </xf>
    <xf numFmtId="0" fontId="28" fillId="0" borderId="0" xfId="0" applyFont="1" applyFill="1" applyAlignment="1">
      <alignment horizontal="center" vertical="center" wrapText="1"/>
    </xf>
    <xf numFmtId="0" fontId="30" fillId="0" borderId="0" xfId="0" applyFont="1" applyFill="1" applyAlignment="1">
      <alignment horizontal="center" vertical="center" wrapText="1"/>
    </xf>
    <xf numFmtId="0" fontId="28" fillId="0" borderId="0" xfId="0" applyFont="1" applyFill="1" applyAlignment="1">
      <alignment horizontal="left" vertical="center" wrapText="1"/>
    </xf>
    <xf numFmtId="0" fontId="23" fillId="0" borderId="0" xfId="0" applyFont="1" applyFill="1" applyAlignment="1">
      <alignment horizontal="center" vertical="center" wrapText="1"/>
    </xf>
    <xf numFmtId="164" fontId="23" fillId="7" borderId="1" xfId="0" applyNumberFormat="1" applyFont="1" applyFill="1" applyBorder="1" applyAlignment="1">
      <alignment horizontal="center" vertical="center"/>
    </xf>
    <xf numFmtId="164" fontId="30" fillId="0" borderId="1" xfId="0" applyNumberFormat="1" applyFont="1" applyBorder="1" applyAlignment="1">
      <alignment horizontal="center" vertical="center" wrapText="1"/>
    </xf>
    <xf numFmtId="164" fontId="23" fillId="0" borderId="1" xfId="0" applyNumberFormat="1" applyFont="1" applyBorder="1" applyAlignment="1">
      <alignment horizontal="center" vertical="center"/>
    </xf>
    <xf numFmtId="164" fontId="23" fillId="2" borderId="1" xfId="0" applyNumberFormat="1" applyFont="1" applyFill="1" applyBorder="1" applyAlignment="1">
      <alignment horizontal="left" vertical="center" wrapText="1"/>
    </xf>
    <xf numFmtId="164" fontId="23" fillId="0" borderId="1" xfId="0" applyNumberFormat="1" applyFont="1" applyBorder="1" applyAlignment="1">
      <alignment horizontal="center" vertical="center" wrapText="1"/>
    </xf>
    <xf numFmtId="164" fontId="23" fillId="0" borderId="1" xfId="0" applyNumberFormat="1" applyFont="1" applyFill="1" applyBorder="1" applyAlignment="1">
      <alignment horizontal="center" vertical="center" wrapText="1"/>
    </xf>
    <xf numFmtId="164" fontId="20" fillId="0" borderId="1" xfId="1" applyNumberFormat="1" applyBorder="1" applyAlignment="1">
      <alignment horizontal="center" vertical="center"/>
    </xf>
    <xf numFmtId="164" fontId="28" fillId="0" borderId="1" xfId="0" applyNumberFormat="1" applyFont="1" applyBorder="1" applyAlignment="1">
      <alignment horizontal="center" vertical="center" wrapText="1"/>
    </xf>
    <xf numFmtId="164" fontId="29" fillId="0" borderId="1" xfId="1" applyNumberFormat="1" applyFont="1" applyBorder="1"/>
    <xf numFmtId="164" fontId="30" fillId="3" borderId="1" xfId="0" applyNumberFormat="1" applyFont="1" applyFill="1" applyBorder="1" applyAlignment="1">
      <alignment horizontal="center" vertical="center" wrapText="1"/>
    </xf>
    <xf numFmtId="164" fontId="24" fillId="0" borderId="1" xfId="0" applyNumberFormat="1" applyFont="1" applyFill="1" applyBorder="1" applyAlignment="1" applyProtection="1">
      <alignment horizontal="center" vertical="center" wrapText="1"/>
    </xf>
    <xf numFmtId="164" fontId="28" fillId="0" borderId="1" xfId="0" applyNumberFormat="1" applyFont="1" applyBorder="1" applyAlignment="1">
      <alignment horizontal="center" vertical="center"/>
    </xf>
    <xf numFmtId="164" fontId="30" fillId="0" borderId="1" xfId="0" applyNumberFormat="1" applyFont="1" applyFill="1" applyBorder="1" applyAlignment="1">
      <alignment horizontal="center" vertical="center" wrapText="1"/>
    </xf>
    <xf numFmtId="164" fontId="23" fillId="0" borderId="1" xfId="0" applyNumberFormat="1" applyFont="1" applyFill="1" applyBorder="1" applyAlignment="1">
      <alignment horizontal="center" vertical="center"/>
    </xf>
    <xf numFmtId="164" fontId="28" fillId="0" borderId="1" xfId="0" applyNumberFormat="1" applyFont="1" applyFill="1" applyBorder="1" applyAlignment="1">
      <alignment horizontal="center" vertical="center" wrapText="1"/>
    </xf>
    <xf numFmtId="164" fontId="23" fillId="0" borderId="1" xfId="0" applyNumberFormat="1" applyFont="1" applyBorder="1" applyAlignment="1">
      <alignment horizontal="left" vertical="center" wrapText="1"/>
    </xf>
    <xf numFmtId="164" fontId="23" fillId="4" borderId="1" xfId="0" applyNumberFormat="1" applyFont="1" applyFill="1" applyBorder="1" applyAlignment="1">
      <alignment horizontal="center" vertical="center" wrapText="1"/>
    </xf>
    <xf numFmtId="164" fontId="32" fillId="0" borderId="1" xfId="0" applyNumberFormat="1" applyFont="1" applyFill="1" applyBorder="1" applyAlignment="1">
      <alignment horizontal="center" vertical="center" wrapText="1"/>
    </xf>
    <xf numFmtId="164" fontId="31" fillId="0" borderId="1" xfId="0" applyNumberFormat="1" applyFont="1" applyFill="1" applyBorder="1" applyAlignment="1">
      <alignment horizontal="center" vertical="center"/>
    </xf>
    <xf numFmtId="164" fontId="31" fillId="2" borderId="1" xfId="0" applyNumberFormat="1" applyFont="1" applyFill="1" applyBorder="1" applyAlignment="1">
      <alignment horizontal="left" vertical="center" wrapText="1"/>
    </xf>
    <xf numFmtId="164" fontId="31" fillId="0" borderId="1" xfId="0" applyNumberFormat="1" applyFont="1" applyFill="1" applyBorder="1" applyAlignment="1">
      <alignment horizontal="center" vertical="center" wrapText="1"/>
    </xf>
    <xf numFmtId="164" fontId="33" fillId="0" borderId="1" xfId="0" applyNumberFormat="1" applyFont="1" applyFill="1" applyBorder="1" applyAlignment="1">
      <alignment horizontal="center" vertical="center" wrapText="1"/>
    </xf>
    <xf numFmtId="164" fontId="31" fillId="7" borderId="1" xfId="0" applyNumberFormat="1" applyFont="1" applyFill="1" applyBorder="1" applyAlignment="1">
      <alignment horizontal="center" vertical="center"/>
    </xf>
    <xf numFmtId="164" fontId="35" fillId="7" borderId="1" xfId="0" applyNumberFormat="1" applyFont="1" applyFill="1" applyBorder="1" applyAlignment="1">
      <alignment horizontal="center" vertical="center"/>
    </xf>
    <xf numFmtId="164" fontId="36" fillId="0" borderId="1" xfId="0" applyNumberFormat="1" applyFont="1" applyFill="1" applyBorder="1" applyAlignment="1">
      <alignment horizontal="center" vertical="center" wrapText="1"/>
    </xf>
    <xf numFmtId="164" fontId="35" fillId="0" borderId="1" xfId="0" applyNumberFormat="1" applyFont="1" applyFill="1" applyBorder="1" applyAlignment="1">
      <alignment horizontal="center" vertical="center"/>
    </xf>
    <xf numFmtId="164" fontId="35" fillId="2" borderId="1" xfId="0" applyNumberFormat="1" applyFont="1" applyFill="1" applyBorder="1" applyAlignment="1">
      <alignment horizontal="left" vertical="center" wrapText="1"/>
    </xf>
    <xf numFmtId="164" fontId="35" fillId="0" borderId="1" xfId="0" applyNumberFormat="1" applyFont="1" applyFill="1" applyBorder="1" applyAlignment="1">
      <alignment horizontal="center" vertical="center" wrapText="1"/>
    </xf>
    <xf numFmtId="164" fontId="37" fillId="0" borderId="1" xfId="0" applyNumberFormat="1" applyFont="1" applyFill="1" applyBorder="1" applyAlignment="1">
      <alignment horizontal="center" vertical="center" wrapText="1"/>
    </xf>
    <xf numFmtId="164" fontId="38" fillId="7" borderId="1" xfId="0" applyNumberFormat="1" applyFont="1" applyFill="1" applyBorder="1" applyAlignment="1">
      <alignment horizontal="center" vertical="center"/>
    </xf>
    <xf numFmtId="164" fontId="39" fillId="0" borderId="1" xfId="0" applyNumberFormat="1" applyFont="1" applyFill="1" applyBorder="1" applyAlignment="1">
      <alignment horizontal="center" vertical="center" wrapText="1"/>
    </xf>
    <xf numFmtId="164" fontId="38" fillId="0" borderId="1" xfId="0" applyNumberFormat="1" applyFont="1" applyFill="1" applyBorder="1" applyAlignment="1">
      <alignment horizontal="center" vertical="center"/>
    </xf>
    <xf numFmtId="164" fontId="38" fillId="2" borderId="1" xfId="0" applyNumberFormat="1" applyFont="1" applyFill="1" applyBorder="1" applyAlignment="1">
      <alignment horizontal="left" vertical="center" wrapText="1"/>
    </xf>
    <xf numFmtId="164" fontId="38" fillId="0" borderId="1" xfId="0" applyNumberFormat="1" applyFont="1" applyFill="1" applyBorder="1" applyAlignment="1">
      <alignment horizontal="center" vertical="center" wrapText="1"/>
    </xf>
    <xf numFmtId="164" fontId="40" fillId="0" borderId="1" xfId="0" applyNumberFormat="1" applyFont="1" applyFill="1" applyBorder="1" applyAlignment="1">
      <alignment horizontal="center" vertical="center" wrapText="1"/>
    </xf>
    <xf numFmtId="164" fontId="20" fillId="0" borderId="1" xfId="1" applyNumberFormat="1" applyFill="1" applyBorder="1" applyAlignment="1">
      <alignment horizontal="center" vertical="center"/>
    </xf>
    <xf numFmtId="164" fontId="41" fillId="7" borderId="1" xfId="0" applyNumberFormat="1" applyFont="1" applyFill="1" applyBorder="1" applyAlignment="1">
      <alignment horizontal="center" vertical="center"/>
    </xf>
    <xf numFmtId="164" fontId="41" fillId="0" borderId="1" xfId="0" applyNumberFormat="1" applyFont="1" applyFill="1" applyBorder="1" applyAlignment="1">
      <alignment horizontal="center" vertical="center"/>
    </xf>
    <xf numFmtId="164" fontId="41" fillId="2" borderId="1" xfId="0" applyNumberFormat="1" applyFont="1" applyFill="1" applyBorder="1" applyAlignment="1">
      <alignment horizontal="left" vertical="center" wrapText="1"/>
    </xf>
    <xf numFmtId="164" fontId="41" fillId="0" borderId="1" xfId="0" applyNumberFormat="1" applyFont="1" applyFill="1" applyBorder="1" applyAlignment="1">
      <alignment horizontal="center" vertical="center" wrapText="1"/>
    </xf>
    <xf numFmtId="164" fontId="42" fillId="0" borderId="1" xfId="0" applyNumberFormat="1" applyFont="1" applyFill="1" applyBorder="1" applyAlignment="1">
      <alignment horizontal="center" vertical="center" wrapText="1"/>
    </xf>
    <xf numFmtId="164" fontId="43" fillId="0" borderId="1" xfId="0" applyNumberFormat="1" applyFont="1" applyFill="1" applyBorder="1" applyAlignment="1">
      <alignment horizontal="center" vertical="center" wrapText="1"/>
    </xf>
    <xf numFmtId="164" fontId="44" fillId="7" borderId="1" xfId="0" applyNumberFormat="1" applyFont="1" applyFill="1" applyBorder="1" applyAlignment="1">
      <alignment horizontal="center" vertical="center"/>
    </xf>
    <xf numFmtId="164" fontId="45" fillId="0" borderId="1" xfId="0" applyNumberFormat="1" applyFont="1" applyFill="1" applyBorder="1" applyAlignment="1">
      <alignment horizontal="center" vertical="center" wrapText="1"/>
    </xf>
    <xf numFmtId="164" fontId="44" fillId="0" borderId="1" xfId="0" applyNumberFormat="1" applyFont="1" applyFill="1" applyBorder="1" applyAlignment="1">
      <alignment horizontal="center" vertical="center"/>
    </xf>
    <xf numFmtId="164" fontId="44" fillId="2" borderId="1" xfId="0" applyNumberFormat="1" applyFont="1" applyFill="1" applyBorder="1" applyAlignment="1">
      <alignment horizontal="left" vertical="center" wrapText="1"/>
    </xf>
    <xf numFmtId="164" fontId="44" fillId="0" borderId="1" xfId="0" applyNumberFormat="1" applyFont="1" applyFill="1" applyBorder="1" applyAlignment="1">
      <alignment horizontal="center" vertical="center" wrapText="1"/>
    </xf>
    <xf numFmtId="164" fontId="46" fillId="0" borderId="1" xfId="0" applyNumberFormat="1" applyFont="1" applyFill="1" applyBorder="1" applyAlignment="1">
      <alignment horizontal="center" vertical="center" wrapText="1"/>
    </xf>
    <xf numFmtId="164" fontId="47" fillId="7" borderId="1" xfId="0" applyNumberFormat="1" applyFont="1" applyFill="1" applyBorder="1" applyAlignment="1">
      <alignment horizontal="center" vertical="center"/>
    </xf>
    <xf numFmtId="164" fontId="48" fillId="0" borderId="1" xfId="0" applyNumberFormat="1" applyFont="1" applyFill="1" applyBorder="1" applyAlignment="1">
      <alignment horizontal="center" vertical="center" wrapText="1"/>
    </xf>
    <xf numFmtId="164" fontId="47" fillId="0" borderId="1" xfId="0" applyNumberFormat="1" applyFont="1" applyFill="1" applyBorder="1" applyAlignment="1">
      <alignment horizontal="center" vertical="center"/>
    </xf>
    <xf numFmtId="164" fontId="47" fillId="2" borderId="1" xfId="0" applyNumberFormat="1" applyFont="1" applyFill="1" applyBorder="1" applyAlignment="1">
      <alignment horizontal="left" vertical="center" wrapText="1"/>
    </xf>
    <xf numFmtId="164" fontId="49" fillId="0" borderId="1" xfId="0" applyNumberFormat="1" applyFont="1" applyFill="1" applyBorder="1" applyAlignment="1">
      <alignment horizontal="center" vertical="center" wrapText="1"/>
    </xf>
    <xf numFmtId="164" fontId="47" fillId="0" borderId="1" xfId="0" applyNumberFormat="1" applyFont="1" applyFill="1" applyBorder="1" applyAlignment="1">
      <alignment horizontal="center" vertical="center" wrapText="1"/>
    </xf>
    <xf numFmtId="164" fontId="51" fillId="7" borderId="1" xfId="0" applyNumberFormat="1" applyFont="1" applyFill="1" applyBorder="1" applyAlignment="1">
      <alignment horizontal="center" vertical="center"/>
    </xf>
    <xf numFmtId="164" fontId="52" fillId="0" borderId="1" xfId="0" applyNumberFormat="1" applyFont="1" applyFill="1" applyBorder="1" applyAlignment="1">
      <alignment horizontal="center" vertical="center" wrapText="1"/>
    </xf>
    <xf numFmtId="164" fontId="51" fillId="0" borderId="1" xfId="0" applyNumberFormat="1" applyFont="1" applyFill="1" applyBorder="1" applyAlignment="1">
      <alignment horizontal="center" vertical="center"/>
    </xf>
    <xf numFmtId="164" fontId="51" fillId="2" borderId="1" xfId="0" applyNumberFormat="1" applyFont="1" applyFill="1" applyBorder="1" applyAlignment="1">
      <alignment horizontal="left" vertical="center" wrapText="1"/>
    </xf>
    <xf numFmtId="164" fontId="51" fillId="0" borderId="1" xfId="0" applyNumberFormat="1" applyFont="1" applyFill="1" applyBorder="1" applyAlignment="1">
      <alignment horizontal="center" vertical="center" wrapText="1"/>
    </xf>
    <xf numFmtId="164" fontId="53" fillId="0" borderId="1" xfId="0" applyNumberFormat="1" applyFont="1" applyFill="1" applyBorder="1" applyAlignment="1">
      <alignment horizontal="center" vertical="center" wrapText="1"/>
    </xf>
    <xf numFmtId="164" fontId="55" fillId="7" borderId="1" xfId="0" applyNumberFormat="1" applyFont="1" applyFill="1" applyBorder="1" applyAlignment="1">
      <alignment horizontal="center" vertical="center"/>
    </xf>
    <xf numFmtId="164" fontId="55" fillId="0" borderId="1" xfId="0" applyNumberFormat="1" applyFont="1" applyFill="1" applyBorder="1" applyAlignment="1">
      <alignment horizontal="center" vertical="center"/>
    </xf>
    <xf numFmtId="164" fontId="55" fillId="2" borderId="1" xfId="0" applyNumberFormat="1" applyFont="1" applyFill="1" applyBorder="1" applyAlignment="1">
      <alignment horizontal="left" vertical="center" wrapText="1"/>
    </xf>
    <xf numFmtId="164" fontId="55" fillId="0" borderId="1" xfId="0" applyNumberFormat="1" applyFont="1" applyFill="1" applyBorder="1" applyAlignment="1">
      <alignment horizontal="center" vertical="center" wrapText="1"/>
    </xf>
    <xf numFmtId="164" fontId="56" fillId="0" borderId="1" xfId="0" applyNumberFormat="1" applyFont="1" applyFill="1" applyBorder="1" applyAlignment="1">
      <alignment horizontal="center" vertical="center" wrapText="1"/>
    </xf>
    <xf numFmtId="164" fontId="57" fillId="0" borderId="1" xfId="0" applyNumberFormat="1" applyFont="1" applyFill="1" applyBorder="1" applyAlignment="1">
      <alignment horizontal="center" vertical="center" wrapText="1"/>
    </xf>
    <xf numFmtId="164" fontId="58" fillId="7" borderId="1" xfId="0" applyNumberFormat="1" applyFont="1" applyFill="1" applyBorder="1" applyAlignment="1">
      <alignment horizontal="center" vertical="center"/>
    </xf>
    <xf numFmtId="164" fontId="59" fillId="0" borderId="1" xfId="0" applyNumberFormat="1" applyFont="1" applyFill="1" applyBorder="1" applyAlignment="1">
      <alignment horizontal="center" vertical="center" wrapText="1"/>
    </xf>
    <xf numFmtId="164" fontId="58" fillId="0" borderId="1" xfId="0" applyNumberFormat="1" applyFont="1" applyFill="1" applyBorder="1" applyAlignment="1">
      <alignment horizontal="center" vertical="center"/>
    </xf>
    <xf numFmtId="164" fontId="58" fillId="2" borderId="1" xfId="0" applyNumberFormat="1" applyFont="1" applyFill="1" applyBorder="1" applyAlignment="1">
      <alignment horizontal="left" vertical="center" wrapText="1"/>
    </xf>
    <xf numFmtId="164" fontId="58" fillId="0" borderId="1" xfId="0" applyNumberFormat="1" applyFont="1" applyFill="1" applyBorder="1" applyAlignment="1">
      <alignment horizontal="center" vertical="center" wrapText="1"/>
    </xf>
    <xf numFmtId="164" fontId="60" fillId="0" borderId="1" xfId="0" applyNumberFormat="1" applyFont="1" applyFill="1" applyBorder="1" applyAlignment="1">
      <alignment horizontal="center" vertical="center" wrapText="1"/>
    </xf>
    <xf numFmtId="164" fontId="28" fillId="3" borderId="1" xfId="0" applyNumberFormat="1" applyFont="1" applyFill="1" applyBorder="1" applyAlignment="1">
      <alignment horizontal="center" vertical="center" wrapText="1"/>
    </xf>
    <xf numFmtId="164" fontId="61" fillId="7" borderId="1" xfId="0" applyNumberFormat="1" applyFont="1" applyFill="1" applyBorder="1" applyAlignment="1">
      <alignment horizontal="center" vertical="center"/>
    </xf>
    <xf numFmtId="164" fontId="62" fillId="0" borderId="1" xfId="0" applyNumberFormat="1" applyFont="1" applyFill="1" applyBorder="1" applyAlignment="1">
      <alignment horizontal="center" vertical="center" wrapText="1"/>
    </xf>
    <xf numFmtId="164" fontId="61" fillId="0" borderId="1" xfId="0" applyNumberFormat="1" applyFont="1" applyFill="1" applyBorder="1" applyAlignment="1">
      <alignment horizontal="center" vertical="center"/>
    </xf>
    <xf numFmtId="164" fontId="61" fillId="2" borderId="1" xfId="0" applyNumberFormat="1" applyFont="1" applyFill="1" applyBorder="1" applyAlignment="1">
      <alignment horizontal="left" vertical="center" wrapText="1"/>
    </xf>
    <xf numFmtId="164" fontId="61" fillId="0" borderId="1" xfId="0" applyNumberFormat="1" applyFont="1" applyFill="1" applyBorder="1" applyAlignment="1">
      <alignment horizontal="center" vertical="center" wrapText="1"/>
    </xf>
    <xf numFmtId="164" fontId="63" fillId="0" borderId="1" xfId="0" applyNumberFormat="1" applyFont="1" applyFill="1" applyBorder="1" applyAlignment="1">
      <alignment horizontal="center" vertical="center" wrapText="1"/>
    </xf>
    <xf numFmtId="164" fontId="88" fillId="7" borderId="1" xfId="0" applyNumberFormat="1" applyFont="1" applyFill="1" applyBorder="1" applyAlignment="1">
      <alignment horizontal="center" vertical="center"/>
    </xf>
    <xf numFmtId="164" fontId="89" fillId="0" borderId="1" xfId="0" applyNumberFormat="1" applyFont="1" applyFill="1" applyBorder="1" applyAlignment="1">
      <alignment horizontal="center" vertical="center" wrapText="1"/>
    </xf>
    <xf numFmtId="164" fontId="88" fillId="0" borderId="1" xfId="0" applyNumberFormat="1" applyFont="1" applyFill="1" applyBorder="1" applyAlignment="1">
      <alignment horizontal="center" vertical="center"/>
    </xf>
    <xf numFmtId="164" fontId="88" fillId="2" borderId="1" xfId="0" applyNumberFormat="1" applyFont="1" applyFill="1" applyBorder="1" applyAlignment="1">
      <alignment horizontal="left" vertical="center" wrapText="1"/>
    </xf>
    <xf numFmtId="164" fontId="88" fillId="0" borderId="1" xfId="0" applyNumberFormat="1" applyFont="1" applyFill="1" applyBorder="1" applyAlignment="1">
      <alignment horizontal="center" vertical="center" wrapText="1"/>
    </xf>
    <xf numFmtId="164" fontId="90" fillId="0" borderId="1" xfId="0" applyNumberFormat="1" applyFont="1" applyFill="1" applyBorder="1" applyAlignment="1">
      <alignment horizontal="center" vertical="center" wrapText="1"/>
    </xf>
    <xf numFmtId="164" fontId="64" fillId="7" borderId="1" xfId="0" applyNumberFormat="1" applyFont="1" applyFill="1" applyBorder="1" applyAlignment="1">
      <alignment horizontal="center" vertical="center"/>
    </xf>
    <xf numFmtId="164" fontId="65" fillId="0" borderId="1" xfId="0" applyNumberFormat="1" applyFont="1" applyFill="1" applyBorder="1" applyAlignment="1">
      <alignment horizontal="center" vertical="center" wrapText="1"/>
    </xf>
    <xf numFmtId="164" fontId="64" fillId="0" borderId="1" xfId="0" applyNumberFormat="1" applyFont="1" applyFill="1" applyBorder="1" applyAlignment="1">
      <alignment horizontal="center" vertical="center"/>
    </xf>
    <xf numFmtId="164" fontId="64" fillId="2" borderId="1" xfId="0" applyNumberFormat="1" applyFont="1" applyFill="1" applyBorder="1" applyAlignment="1">
      <alignment horizontal="left" vertical="center" wrapText="1"/>
    </xf>
    <xf numFmtId="164" fontId="64" fillId="0" borderId="1" xfId="0" applyNumberFormat="1" applyFont="1" applyFill="1" applyBorder="1" applyAlignment="1">
      <alignment horizontal="center" vertical="center" wrapText="1"/>
    </xf>
    <xf numFmtId="164" fontId="66" fillId="0" borderId="1" xfId="0" applyNumberFormat="1" applyFont="1" applyFill="1" applyBorder="1" applyAlignment="1">
      <alignment horizontal="center" vertical="center" wrapText="1"/>
    </xf>
    <xf numFmtId="164" fontId="67" fillId="7" borderId="1" xfId="0" applyNumberFormat="1" applyFont="1" applyFill="1" applyBorder="1" applyAlignment="1">
      <alignment horizontal="center" vertical="center"/>
    </xf>
    <xf numFmtId="164" fontId="68" fillId="0" borderId="1" xfId="0" applyNumberFormat="1" applyFont="1" applyFill="1" applyBorder="1" applyAlignment="1">
      <alignment horizontal="center" vertical="center" wrapText="1"/>
    </xf>
    <xf numFmtId="164" fontId="67" fillId="0" borderId="1" xfId="0" applyNumberFormat="1" applyFont="1" applyFill="1" applyBorder="1" applyAlignment="1">
      <alignment horizontal="center" vertical="center"/>
    </xf>
    <xf numFmtId="164" fontId="67" fillId="2" borderId="1" xfId="0" applyNumberFormat="1" applyFont="1" applyFill="1" applyBorder="1" applyAlignment="1">
      <alignment horizontal="left" vertical="center" wrapText="1"/>
    </xf>
    <xf numFmtId="164" fontId="67" fillId="0" borderId="1" xfId="0" applyNumberFormat="1" applyFont="1" applyFill="1" applyBorder="1" applyAlignment="1">
      <alignment horizontal="center" vertical="center" wrapText="1"/>
    </xf>
    <xf numFmtId="164" fontId="69" fillId="0" borderId="1" xfId="0" applyNumberFormat="1" applyFont="1" applyFill="1" applyBorder="1" applyAlignment="1">
      <alignment horizontal="center" vertical="center" wrapText="1"/>
    </xf>
    <xf numFmtId="164" fontId="71" fillId="0" borderId="1" xfId="0" applyNumberFormat="1" applyFont="1" applyFill="1" applyBorder="1" applyAlignment="1">
      <alignment horizontal="center" vertical="center" wrapText="1"/>
    </xf>
    <xf numFmtId="164" fontId="70" fillId="0" borderId="1" xfId="0" applyNumberFormat="1" applyFont="1" applyFill="1" applyBorder="1" applyAlignment="1">
      <alignment horizontal="center" vertical="center"/>
    </xf>
    <xf numFmtId="164" fontId="70" fillId="2" borderId="1" xfId="0" applyNumberFormat="1" applyFont="1" applyFill="1" applyBorder="1" applyAlignment="1">
      <alignment horizontal="left" vertical="center" wrapText="1"/>
    </xf>
    <xf numFmtId="164" fontId="70" fillId="0" borderId="1" xfId="0" applyNumberFormat="1" applyFont="1" applyFill="1" applyBorder="1" applyAlignment="1">
      <alignment horizontal="center" vertical="center" wrapText="1"/>
    </xf>
    <xf numFmtId="164" fontId="72" fillId="0" borderId="1" xfId="0" applyNumberFormat="1" applyFont="1" applyFill="1" applyBorder="1" applyAlignment="1">
      <alignment horizontal="center" vertical="center" wrapText="1"/>
    </xf>
    <xf numFmtId="164" fontId="70" fillId="7" borderId="1" xfId="0" applyNumberFormat="1" applyFont="1" applyFill="1" applyBorder="1" applyAlignment="1">
      <alignment horizontal="center" vertical="center"/>
    </xf>
    <xf numFmtId="164" fontId="19" fillId="0" borderId="1" xfId="0" applyNumberFormat="1" applyFont="1" applyFill="1" applyBorder="1" applyAlignment="1">
      <alignment horizontal="center" vertical="center" wrapText="1"/>
    </xf>
    <xf numFmtId="164" fontId="18" fillId="0" borderId="1" xfId="0" applyNumberFormat="1" applyFont="1" applyFill="1" applyBorder="1" applyAlignment="1">
      <alignment horizontal="center" vertical="center" wrapText="1"/>
    </xf>
    <xf numFmtId="164" fontId="73" fillId="7" borderId="1" xfId="0" applyNumberFormat="1" applyFont="1" applyFill="1" applyBorder="1" applyAlignment="1">
      <alignment horizontal="center" vertical="center"/>
    </xf>
    <xf numFmtId="164" fontId="74" fillId="0" borderId="1" xfId="0" applyNumberFormat="1" applyFont="1" applyFill="1" applyBorder="1" applyAlignment="1">
      <alignment horizontal="center" vertical="center" wrapText="1"/>
    </xf>
    <xf numFmtId="164" fontId="73" fillId="0" borderId="1" xfId="0" applyNumberFormat="1" applyFont="1" applyFill="1" applyBorder="1" applyAlignment="1">
      <alignment horizontal="center" vertical="center"/>
    </xf>
    <xf numFmtId="164" fontId="73" fillId="2" borderId="1" xfId="0" applyNumberFormat="1" applyFont="1" applyFill="1" applyBorder="1" applyAlignment="1">
      <alignment horizontal="left" vertical="center" wrapText="1"/>
    </xf>
    <xf numFmtId="164" fontId="75" fillId="0" borderId="1" xfId="0" applyNumberFormat="1" applyFont="1" applyFill="1" applyBorder="1" applyAlignment="1">
      <alignment horizontal="center" vertical="center" wrapText="1"/>
    </xf>
    <xf numFmtId="164" fontId="73" fillId="0" borderId="1" xfId="0" applyNumberFormat="1" applyFont="1" applyFill="1" applyBorder="1" applyAlignment="1">
      <alignment horizontal="center" vertical="center" wrapText="1"/>
    </xf>
    <xf numFmtId="164" fontId="17" fillId="0" borderId="1" xfId="0" applyNumberFormat="1" applyFont="1" applyFill="1" applyBorder="1" applyAlignment="1">
      <alignment horizontal="center" vertical="center" wrapText="1"/>
    </xf>
    <xf numFmtId="164" fontId="77" fillId="0" borderId="1" xfId="0" applyNumberFormat="1" applyFont="1" applyFill="1" applyBorder="1" applyAlignment="1">
      <alignment horizontal="center" vertical="center" wrapText="1"/>
    </xf>
    <xf numFmtId="164" fontId="76" fillId="0" borderId="1" xfId="0" applyNumberFormat="1" applyFont="1" applyFill="1" applyBorder="1" applyAlignment="1">
      <alignment horizontal="center" vertical="center"/>
    </xf>
    <xf numFmtId="164" fontId="76" fillId="2" borderId="1" xfId="0" applyNumberFormat="1" applyFont="1" applyFill="1" applyBorder="1" applyAlignment="1">
      <alignment horizontal="left" vertical="center" wrapText="1"/>
    </xf>
    <xf numFmtId="164" fontId="76" fillId="0" borderId="1" xfId="0" applyNumberFormat="1" applyFont="1" applyFill="1" applyBorder="1" applyAlignment="1">
      <alignment horizontal="center" vertical="center" wrapText="1"/>
    </xf>
    <xf numFmtId="164" fontId="78" fillId="0" borderId="1" xfId="0" applyNumberFormat="1" applyFont="1" applyFill="1" applyBorder="1" applyAlignment="1">
      <alignment horizontal="center" vertical="center" wrapText="1"/>
    </xf>
    <xf numFmtId="164" fontId="76" fillId="7" borderId="1" xfId="0" applyNumberFormat="1" applyFont="1" applyFill="1" applyBorder="1" applyAlignment="1">
      <alignment horizontal="center" vertical="center"/>
    </xf>
    <xf numFmtId="164" fontId="79" fillId="7" borderId="1" xfId="0" applyNumberFormat="1" applyFont="1" applyFill="1" applyBorder="1" applyAlignment="1">
      <alignment horizontal="center" vertical="center"/>
    </xf>
    <xf numFmtId="164" fontId="80" fillId="0" borderId="1" xfId="0" applyNumberFormat="1" applyFont="1" applyFill="1" applyBorder="1" applyAlignment="1">
      <alignment horizontal="center" vertical="center" wrapText="1"/>
    </xf>
    <xf numFmtId="164" fontId="79" fillId="0" borderId="1" xfId="0" applyNumberFormat="1" applyFont="1" applyFill="1" applyBorder="1" applyAlignment="1">
      <alignment horizontal="center" vertical="center"/>
    </xf>
    <xf numFmtId="164" fontId="79" fillId="2" borderId="1" xfId="0" applyNumberFormat="1" applyFont="1" applyFill="1" applyBorder="1" applyAlignment="1">
      <alignment horizontal="left" vertical="center" wrapText="1"/>
    </xf>
    <xf numFmtId="164" fontId="79" fillId="0" borderId="1" xfId="0" applyNumberFormat="1" applyFont="1" applyFill="1" applyBorder="1" applyAlignment="1">
      <alignment horizontal="center" vertical="center" wrapText="1"/>
    </xf>
    <xf numFmtId="164" fontId="81" fillId="0" borderId="1" xfId="0" applyNumberFormat="1" applyFont="1" applyFill="1" applyBorder="1" applyAlignment="1">
      <alignment horizontal="center" vertical="center" wrapText="1"/>
    </xf>
    <xf numFmtId="164" fontId="82" fillId="7" borderId="1" xfId="0" applyNumberFormat="1" applyFont="1" applyFill="1" applyBorder="1" applyAlignment="1">
      <alignment horizontal="center" vertical="center"/>
    </xf>
    <xf numFmtId="164" fontId="83" fillId="0" borderId="1" xfId="0" applyNumberFormat="1" applyFont="1" applyFill="1" applyBorder="1" applyAlignment="1">
      <alignment horizontal="center" vertical="center" wrapText="1"/>
    </xf>
    <xf numFmtId="164" fontId="82" fillId="0" borderId="1" xfId="0" applyNumberFormat="1" applyFont="1" applyFill="1" applyBorder="1" applyAlignment="1">
      <alignment horizontal="center" vertical="center"/>
    </xf>
    <xf numFmtId="164" fontId="82" fillId="2" borderId="1" xfId="0" applyNumberFormat="1" applyFont="1" applyFill="1" applyBorder="1" applyAlignment="1">
      <alignment horizontal="left" vertical="center" wrapText="1"/>
    </xf>
    <xf numFmtId="164" fontId="82" fillId="0" borderId="1" xfId="0" applyNumberFormat="1" applyFont="1" applyFill="1" applyBorder="1" applyAlignment="1">
      <alignment horizontal="center" vertical="center" wrapText="1"/>
    </xf>
    <xf numFmtId="164" fontId="84" fillId="0" borderId="1" xfId="0" applyNumberFormat="1" applyFont="1" applyFill="1" applyBorder="1" applyAlignment="1">
      <alignment horizontal="center" vertical="center" wrapText="1"/>
    </xf>
    <xf numFmtId="164" fontId="23" fillId="0" borderId="1" xfId="0" applyNumberFormat="1" applyFont="1" applyFill="1" applyBorder="1" applyAlignment="1">
      <alignment horizontal="left" vertical="center" wrapText="1"/>
    </xf>
    <xf numFmtId="164" fontId="85" fillId="7" borderId="1" xfId="0" applyNumberFormat="1" applyFont="1" applyFill="1" applyBorder="1" applyAlignment="1">
      <alignment horizontal="center" vertical="center"/>
    </xf>
    <xf numFmtId="164" fontId="86" fillId="0" borderId="1" xfId="0" applyNumberFormat="1" applyFont="1" applyFill="1" applyBorder="1" applyAlignment="1">
      <alignment horizontal="center" vertical="center" wrapText="1"/>
    </xf>
    <xf numFmtId="164" fontId="85" fillId="0" borderId="1" xfId="0" applyNumberFormat="1" applyFont="1" applyFill="1" applyBorder="1" applyAlignment="1">
      <alignment horizontal="center" vertical="center"/>
    </xf>
    <xf numFmtId="164" fontId="85" fillId="2" borderId="1" xfId="0" applyNumberFormat="1" applyFont="1" applyFill="1" applyBorder="1" applyAlignment="1">
      <alignment horizontal="left" vertical="center" wrapText="1"/>
    </xf>
    <xf numFmtId="164" fontId="85" fillId="0" borderId="1" xfId="0" applyNumberFormat="1" applyFont="1" applyFill="1" applyBorder="1" applyAlignment="1">
      <alignment horizontal="center" vertical="center" wrapText="1"/>
    </xf>
    <xf numFmtId="164" fontId="87" fillId="0" borderId="1" xfId="0" applyNumberFormat="1" applyFont="1" applyFill="1" applyBorder="1" applyAlignment="1">
      <alignment horizontal="center" vertical="center" wrapText="1"/>
    </xf>
    <xf numFmtId="164" fontId="15" fillId="0" borderId="1" xfId="0" applyNumberFormat="1" applyFont="1" applyFill="1" applyBorder="1" applyAlignment="1">
      <alignment horizontal="center" vertical="center" wrapText="1"/>
    </xf>
    <xf numFmtId="164" fontId="14" fillId="0" borderId="1" xfId="0" applyNumberFormat="1" applyFont="1" applyFill="1" applyBorder="1" applyAlignment="1">
      <alignment horizontal="center" vertical="center" wrapText="1"/>
    </xf>
    <xf numFmtId="164" fontId="12" fillId="0" borderId="1" xfId="0" applyNumberFormat="1" applyFont="1" applyFill="1" applyBorder="1" applyAlignment="1">
      <alignment horizontal="center" vertical="center" wrapText="1"/>
    </xf>
    <xf numFmtId="164" fontId="91" fillId="7" borderId="1" xfId="0" applyNumberFormat="1" applyFont="1" applyFill="1" applyBorder="1" applyAlignment="1">
      <alignment horizontal="center" vertical="center"/>
    </xf>
    <xf numFmtId="164" fontId="92" fillId="0" borderId="1" xfId="0" applyNumberFormat="1" applyFont="1" applyFill="1" applyBorder="1" applyAlignment="1">
      <alignment horizontal="center" vertical="center" wrapText="1"/>
    </xf>
    <xf numFmtId="164" fontId="91" fillId="0" borderId="1" xfId="0" applyNumberFormat="1" applyFont="1" applyFill="1" applyBorder="1" applyAlignment="1">
      <alignment horizontal="center" vertical="center"/>
    </xf>
    <xf numFmtId="164" fontId="91" fillId="2" borderId="1" xfId="0" applyNumberFormat="1" applyFont="1" applyFill="1" applyBorder="1" applyAlignment="1">
      <alignment horizontal="left" vertical="center" wrapText="1"/>
    </xf>
    <xf numFmtId="164" fontId="91" fillId="0" borderId="1" xfId="0" applyNumberFormat="1" applyFont="1" applyFill="1" applyBorder="1" applyAlignment="1">
      <alignment horizontal="center" vertical="center" wrapText="1"/>
    </xf>
    <xf numFmtId="164" fontId="93" fillId="0" borderId="1" xfId="0" applyNumberFormat="1" applyFont="1" applyFill="1" applyBorder="1" applyAlignment="1">
      <alignment horizontal="center" vertical="center" wrapText="1"/>
    </xf>
    <xf numFmtId="164" fontId="97" fillId="7" borderId="1" xfId="0" applyNumberFormat="1" applyFont="1" applyFill="1" applyBorder="1" applyAlignment="1">
      <alignment horizontal="center" vertical="center"/>
    </xf>
    <xf numFmtId="164" fontId="98" fillId="0" borderId="1" xfId="0" applyNumberFormat="1" applyFont="1" applyFill="1" applyBorder="1" applyAlignment="1">
      <alignment horizontal="center" vertical="center" wrapText="1"/>
    </xf>
    <xf numFmtId="164" fontId="97" fillId="0" borderId="1" xfId="0" applyNumberFormat="1" applyFont="1" applyFill="1" applyBorder="1" applyAlignment="1">
      <alignment horizontal="center" vertical="center"/>
    </xf>
    <xf numFmtId="164" fontId="97" fillId="2" borderId="1" xfId="0" applyNumberFormat="1" applyFont="1" applyFill="1" applyBorder="1" applyAlignment="1">
      <alignment horizontal="left" vertical="center" wrapText="1"/>
    </xf>
    <xf numFmtId="164" fontId="97" fillId="0" borderId="1" xfId="0" applyNumberFormat="1" applyFont="1" applyFill="1" applyBorder="1" applyAlignment="1">
      <alignment horizontal="center" vertical="center" wrapText="1"/>
    </xf>
    <xf numFmtId="164" fontId="99" fillId="0" borderId="1" xfId="0" applyNumberFormat="1" applyFont="1" applyFill="1" applyBorder="1" applyAlignment="1">
      <alignment horizontal="center" vertical="center" wrapText="1"/>
    </xf>
    <xf numFmtId="164" fontId="100" fillId="7" borderId="1" xfId="0" applyNumberFormat="1" applyFont="1" applyFill="1" applyBorder="1" applyAlignment="1">
      <alignment horizontal="center" vertical="center"/>
    </xf>
    <xf numFmtId="164" fontId="101" fillId="0" borderId="1" xfId="0" applyNumberFormat="1" applyFont="1" applyFill="1" applyBorder="1" applyAlignment="1">
      <alignment horizontal="center" vertical="center" wrapText="1"/>
    </xf>
    <xf numFmtId="164" fontId="100" fillId="0" borderId="1" xfId="0" applyNumberFormat="1" applyFont="1" applyFill="1" applyBorder="1" applyAlignment="1">
      <alignment horizontal="center" vertical="center"/>
    </xf>
    <xf numFmtId="164" fontId="100" fillId="2" borderId="1" xfId="0" applyNumberFormat="1" applyFont="1" applyFill="1" applyBorder="1" applyAlignment="1">
      <alignment horizontal="left" vertical="center" wrapText="1"/>
    </xf>
    <xf numFmtId="164" fontId="100" fillId="0" borderId="1" xfId="0" applyNumberFormat="1" applyFont="1" applyFill="1" applyBorder="1" applyAlignment="1">
      <alignment horizontal="center" vertical="center" wrapText="1"/>
    </xf>
    <xf numFmtId="164" fontId="102" fillId="0" borderId="1" xfId="0" applyNumberFormat="1" applyFont="1" applyFill="1" applyBorder="1" applyAlignment="1">
      <alignment horizontal="center" vertical="center" wrapText="1"/>
    </xf>
    <xf numFmtId="164" fontId="9" fillId="0" borderId="1" xfId="0" applyNumberFormat="1" applyFont="1" applyFill="1" applyBorder="1" applyAlignment="1">
      <alignment horizontal="center" vertical="center" wrapText="1"/>
    </xf>
    <xf numFmtId="164" fontId="103" fillId="7" borderId="1" xfId="0" applyNumberFormat="1" applyFont="1" applyFill="1" applyBorder="1" applyAlignment="1">
      <alignment horizontal="center" vertical="center"/>
    </xf>
    <xf numFmtId="164" fontId="104" fillId="0" borderId="1" xfId="0" applyNumberFormat="1" applyFont="1" applyFill="1" applyBorder="1" applyAlignment="1">
      <alignment horizontal="center" vertical="center" wrapText="1"/>
    </xf>
    <xf numFmtId="164" fontId="103" fillId="0" borderId="1" xfId="0" applyNumberFormat="1" applyFont="1" applyFill="1" applyBorder="1" applyAlignment="1">
      <alignment horizontal="center" vertical="center"/>
    </xf>
    <xf numFmtId="164" fontId="103" fillId="2" borderId="1" xfId="0" applyNumberFormat="1" applyFont="1" applyFill="1" applyBorder="1" applyAlignment="1">
      <alignment horizontal="left" vertical="center" wrapText="1"/>
    </xf>
    <xf numFmtId="164" fontId="103" fillId="0" borderId="1" xfId="0" applyNumberFormat="1" applyFont="1" applyFill="1" applyBorder="1" applyAlignment="1">
      <alignment horizontal="center" vertical="center" wrapText="1"/>
    </xf>
    <xf numFmtId="164" fontId="105" fillId="0" borderId="1" xfId="0" applyNumberFormat="1" applyFont="1" applyFill="1" applyBorder="1" applyAlignment="1">
      <alignment horizontal="center" vertical="center" wrapText="1"/>
    </xf>
    <xf numFmtId="164" fontId="7" fillId="0" borderId="1" xfId="0" applyNumberFormat="1" applyFont="1" applyFill="1" applyBorder="1" applyAlignment="1">
      <alignment horizontal="center" vertical="center" wrapText="1"/>
    </xf>
    <xf numFmtId="14" fontId="28" fillId="0" borderId="0" xfId="0" applyNumberFormat="1" applyFont="1" applyFill="1" applyAlignment="1">
      <alignment horizontal="center" vertical="center"/>
    </xf>
    <xf numFmtId="49" fontId="23" fillId="0" borderId="1" xfId="0" applyNumberFormat="1" applyFont="1" applyBorder="1" applyAlignment="1">
      <alignment horizontal="center" vertical="center"/>
    </xf>
    <xf numFmtId="49" fontId="24" fillId="0" borderId="1" xfId="0" applyNumberFormat="1" applyFont="1" applyFill="1" applyBorder="1" applyAlignment="1" applyProtection="1">
      <alignment horizontal="center" vertical="center" wrapText="1"/>
    </xf>
    <xf numFmtId="49" fontId="28" fillId="0" borderId="1" xfId="0" applyNumberFormat="1" applyFont="1" applyBorder="1" applyAlignment="1">
      <alignment horizontal="center" vertical="center"/>
    </xf>
    <xf numFmtId="49" fontId="23" fillId="0" borderId="1" xfId="0" applyNumberFormat="1" applyFont="1" applyFill="1" applyBorder="1" applyAlignment="1">
      <alignment horizontal="center" vertical="center"/>
    </xf>
    <xf numFmtId="49" fontId="31" fillId="0" borderId="1" xfId="0" applyNumberFormat="1" applyFont="1" applyFill="1" applyBorder="1" applyAlignment="1">
      <alignment horizontal="center" vertical="center"/>
    </xf>
    <xf numFmtId="49" fontId="35" fillId="0" borderId="1" xfId="0" applyNumberFormat="1" applyFont="1" applyFill="1" applyBorder="1" applyAlignment="1">
      <alignment horizontal="center" vertical="center"/>
    </xf>
    <xf numFmtId="49" fontId="38" fillId="0" borderId="1" xfId="0" applyNumberFormat="1" applyFont="1" applyFill="1" applyBorder="1" applyAlignment="1">
      <alignment horizontal="center" vertical="center"/>
    </xf>
    <xf numFmtId="49" fontId="41" fillId="0" borderId="1" xfId="0" applyNumberFormat="1" applyFont="1" applyFill="1" applyBorder="1" applyAlignment="1">
      <alignment horizontal="center" vertical="center"/>
    </xf>
    <xf numFmtId="49" fontId="44" fillId="0" borderId="1" xfId="0" applyNumberFormat="1" applyFont="1" applyFill="1" applyBorder="1" applyAlignment="1">
      <alignment horizontal="center" vertical="center"/>
    </xf>
    <xf numFmtId="49" fontId="47" fillId="0" borderId="1" xfId="0" applyNumberFormat="1" applyFont="1" applyFill="1" applyBorder="1" applyAlignment="1">
      <alignment horizontal="center" vertical="center"/>
    </xf>
    <xf numFmtId="49" fontId="51" fillId="0" borderId="1" xfId="0" applyNumberFormat="1" applyFont="1" applyFill="1" applyBorder="1" applyAlignment="1">
      <alignment horizontal="center" vertical="center"/>
    </xf>
    <xf numFmtId="49" fontId="55" fillId="0" borderId="1" xfId="0" applyNumberFormat="1" applyFont="1" applyFill="1" applyBorder="1" applyAlignment="1">
      <alignment horizontal="center" vertical="center"/>
    </xf>
    <xf numFmtId="49" fontId="58" fillId="0" borderId="1" xfId="0" applyNumberFormat="1" applyFont="1" applyFill="1" applyBorder="1" applyAlignment="1">
      <alignment horizontal="center" vertical="center"/>
    </xf>
    <xf numFmtId="49" fontId="61" fillId="0" borderId="1" xfId="0" applyNumberFormat="1" applyFont="1" applyFill="1" applyBorder="1" applyAlignment="1">
      <alignment horizontal="center" vertical="center"/>
    </xf>
    <xf numFmtId="49" fontId="88" fillId="0" borderId="1" xfId="0" applyNumberFormat="1" applyFont="1" applyFill="1" applyBorder="1" applyAlignment="1">
      <alignment horizontal="center" vertical="center"/>
    </xf>
    <xf numFmtId="49" fontId="64" fillId="0" borderId="1" xfId="0" applyNumberFormat="1" applyFont="1" applyFill="1" applyBorder="1" applyAlignment="1">
      <alignment horizontal="center" vertical="center"/>
    </xf>
    <xf numFmtId="49" fontId="67" fillId="0" borderId="1" xfId="0" applyNumberFormat="1" applyFont="1" applyFill="1" applyBorder="1" applyAlignment="1">
      <alignment horizontal="center" vertical="center"/>
    </xf>
    <xf numFmtId="49" fontId="70" fillId="0" borderId="1" xfId="0" applyNumberFormat="1" applyFont="1" applyFill="1" applyBorder="1" applyAlignment="1">
      <alignment horizontal="center" vertical="center"/>
    </xf>
    <xf numFmtId="49" fontId="73" fillId="0" borderId="1" xfId="0" applyNumberFormat="1" applyFont="1" applyFill="1" applyBorder="1" applyAlignment="1">
      <alignment horizontal="center" vertical="center"/>
    </xf>
    <xf numFmtId="49" fontId="76" fillId="0" borderId="1" xfId="0" applyNumberFormat="1" applyFont="1" applyFill="1" applyBorder="1" applyAlignment="1">
      <alignment horizontal="center" vertical="center"/>
    </xf>
    <xf numFmtId="49" fontId="79" fillId="0" borderId="1" xfId="0" applyNumberFormat="1" applyFont="1" applyFill="1" applyBorder="1" applyAlignment="1">
      <alignment horizontal="center" vertical="center"/>
    </xf>
    <xf numFmtId="49" fontId="82" fillId="0" borderId="1" xfId="0" applyNumberFormat="1" applyFont="1" applyFill="1" applyBorder="1" applyAlignment="1">
      <alignment horizontal="center" vertical="center"/>
    </xf>
    <xf numFmtId="49" fontId="85" fillId="0" borderId="1" xfId="0" applyNumberFormat="1" applyFont="1" applyFill="1" applyBorder="1" applyAlignment="1">
      <alignment horizontal="center" vertical="center"/>
    </xf>
    <xf numFmtId="49" fontId="91" fillId="0" borderId="1" xfId="0" applyNumberFormat="1" applyFont="1" applyFill="1" applyBorder="1" applyAlignment="1">
      <alignment horizontal="center" vertical="center"/>
    </xf>
    <xf numFmtId="49" fontId="97" fillId="0" borderId="1" xfId="0" applyNumberFormat="1" applyFont="1" applyFill="1" applyBorder="1" applyAlignment="1">
      <alignment horizontal="center" vertical="center"/>
    </xf>
    <xf numFmtId="49" fontId="100" fillId="0" borderId="1" xfId="0" applyNumberFormat="1" applyFont="1" applyFill="1" applyBorder="1" applyAlignment="1">
      <alignment horizontal="center" vertical="center"/>
    </xf>
    <xf numFmtId="49" fontId="103" fillId="0" borderId="1" xfId="0" applyNumberFormat="1" applyFont="1" applyFill="1" applyBorder="1" applyAlignment="1">
      <alignment horizontal="center" vertical="center"/>
    </xf>
    <xf numFmtId="49" fontId="28" fillId="0" borderId="0" xfId="0" applyNumberFormat="1" applyFont="1" applyFill="1" applyAlignment="1">
      <alignment horizontal="center" vertical="center"/>
    </xf>
    <xf numFmtId="14" fontId="23" fillId="0" borderId="1" xfId="0" applyNumberFormat="1" applyFont="1" applyBorder="1" applyAlignment="1">
      <alignment horizontal="center" vertical="center"/>
    </xf>
    <xf numFmtId="14" fontId="24" fillId="0" borderId="1" xfId="0" applyNumberFormat="1" applyFont="1" applyFill="1" applyBorder="1" applyAlignment="1" applyProtection="1">
      <alignment horizontal="center" vertical="center" wrapText="1"/>
    </xf>
    <xf numFmtId="14" fontId="28" fillId="0" borderId="1" xfId="0" applyNumberFormat="1" applyFont="1" applyBorder="1" applyAlignment="1">
      <alignment horizontal="center" vertical="center"/>
    </xf>
    <xf numFmtId="14" fontId="23" fillId="0" borderId="1" xfId="0" applyNumberFormat="1" applyFont="1" applyFill="1" applyBorder="1" applyAlignment="1">
      <alignment horizontal="center" vertical="center"/>
    </xf>
    <xf numFmtId="14" fontId="31" fillId="0" borderId="1" xfId="0" applyNumberFormat="1" applyFont="1" applyFill="1" applyBorder="1" applyAlignment="1">
      <alignment horizontal="center" vertical="center"/>
    </xf>
    <xf numFmtId="14" fontId="35" fillId="0" borderId="1" xfId="0" applyNumberFormat="1" applyFont="1" applyFill="1" applyBorder="1" applyAlignment="1">
      <alignment horizontal="center" vertical="center"/>
    </xf>
    <xf numFmtId="14" fontId="38" fillId="0" borderId="1" xfId="0" applyNumberFormat="1" applyFont="1" applyFill="1" applyBorder="1" applyAlignment="1">
      <alignment horizontal="center" vertical="center"/>
    </xf>
    <xf numFmtId="14" fontId="41" fillId="0" borderId="1" xfId="0" applyNumberFormat="1" applyFont="1" applyFill="1" applyBorder="1" applyAlignment="1">
      <alignment horizontal="center" vertical="center"/>
    </xf>
    <xf numFmtId="14" fontId="44" fillId="0" borderId="1" xfId="0" applyNumberFormat="1" applyFont="1" applyFill="1" applyBorder="1" applyAlignment="1">
      <alignment horizontal="center" vertical="center"/>
    </xf>
    <xf numFmtId="14" fontId="47" fillId="0" borderId="1" xfId="0" applyNumberFormat="1" applyFont="1" applyFill="1" applyBorder="1" applyAlignment="1">
      <alignment horizontal="center" vertical="center"/>
    </xf>
    <xf numFmtId="14" fontId="51" fillId="0" borderId="1" xfId="0" applyNumberFormat="1" applyFont="1" applyFill="1" applyBorder="1" applyAlignment="1">
      <alignment horizontal="center" vertical="center"/>
    </xf>
    <xf numFmtId="14" fontId="55" fillId="0" borderId="1" xfId="0" applyNumberFormat="1" applyFont="1" applyFill="1" applyBorder="1" applyAlignment="1">
      <alignment horizontal="center" vertical="center"/>
    </xf>
    <xf numFmtId="14" fontId="58" fillId="0" borderId="1" xfId="0" applyNumberFormat="1" applyFont="1" applyFill="1" applyBorder="1" applyAlignment="1">
      <alignment horizontal="center" vertical="center"/>
    </xf>
    <xf numFmtId="14" fontId="61" fillId="0" borderId="1" xfId="0" applyNumberFormat="1" applyFont="1" applyFill="1" applyBorder="1" applyAlignment="1">
      <alignment horizontal="center" vertical="center"/>
    </xf>
    <xf numFmtId="14" fontId="88" fillId="0" borderId="1" xfId="0" applyNumberFormat="1" applyFont="1" applyFill="1" applyBorder="1" applyAlignment="1">
      <alignment horizontal="center" vertical="center"/>
    </xf>
    <xf numFmtId="14" fontId="64" fillId="0" borderId="1" xfId="0" applyNumberFormat="1" applyFont="1" applyFill="1" applyBorder="1" applyAlignment="1">
      <alignment horizontal="center" vertical="center"/>
    </xf>
    <xf numFmtId="14" fontId="67" fillId="0" borderId="1" xfId="0" applyNumberFormat="1" applyFont="1" applyFill="1" applyBorder="1" applyAlignment="1">
      <alignment horizontal="center" vertical="center"/>
    </xf>
    <xf numFmtId="14" fontId="70" fillId="0" borderId="1" xfId="0" applyNumberFormat="1" applyFont="1" applyFill="1" applyBorder="1" applyAlignment="1">
      <alignment horizontal="center" vertical="center"/>
    </xf>
    <xf numFmtId="14" fontId="73" fillId="0" borderId="1" xfId="0" applyNumberFormat="1" applyFont="1" applyFill="1" applyBorder="1" applyAlignment="1">
      <alignment horizontal="center" vertical="center"/>
    </xf>
    <xf numFmtId="14" fontId="76" fillId="0" borderId="1" xfId="0" applyNumberFormat="1" applyFont="1" applyFill="1" applyBorder="1" applyAlignment="1">
      <alignment horizontal="center" vertical="center"/>
    </xf>
    <xf numFmtId="14" fontId="79" fillId="0" borderId="1" xfId="0" applyNumberFormat="1" applyFont="1" applyFill="1" applyBorder="1" applyAlignment="1">
      <alignment horizontal="center" vertical="center"/>
    </xf>
    <xf numFmtId="14" fontId="82" fillId="0" borderId="1" xfId="0" applyNumberFormat="1" applyFont="1" applyFill="1" applyBorder="1" applyAlignment="1">
      <alignment horizontal="center" vertical="center"/>
    </xf>
    <xf numFmtId="14" fontId="85" fillId="0" borderId="1" xfId="0" applyNumberFormat="1" applyFont="1" applyFill="1" applyBorder="1" applyAlignment="1">
      <alignment horizontal="center" vertical="center"/>
    </xf>
    <xf numFmtId="14" fontId="91" fillId="0" borderId="1" xfId="0" applyNumberFormat="1" applyFont="1" applyFill="1" applyBorder="1" applyAlignment="1">
      <alignment horizontal="center" vertical="center"/>
    </xf>
    <xf numFmtId="14" fontId="97" fillId="0" borderId="1" xfId="0" applyNumberFormat="1" applyFont="1" applyFill="1" applyBorder="1" applyAlignment="1">
      <alignment horizontal="center" vertical="center"/>
    </xf>
    <xf numFmtId="14" fontId="100" fillId="0" borderId="1" xfId="0" applyNumberFormat="1" applyFont="1" applyFill="1" applyBorder="1" applyAlignment="1">
      <alignment horizontal="center" vertical="center"/>
    </xf>
    <xf numFmtId="14" fontId="103" fillId="0" borderId="1" xfId="0" applyNumberFormat="1" applyFont="1" applyFill="1" applyBorder="1" applyAlignment="1">
      <alignment horizontal="center" vertical="center"/>
    </xf>
    <xf numFmtId="164" fontId="25" fillId="0" borderId="1" xfId="0" applyNumberFormat="1" applyFont="1" applyBorder="1" applyAlignment="1">
      <alignment horizontal="left" vertical="center" wrapText="1"/>
    </xf>
    <xf numFmtId="164" fontId="34" fillId="0" borderId="1" xfId="0" applyNumberFormat="1" applyFont="1" applyBorder="1" applyAlignment="1">
      <alignment horizontal="left" vertical="center"/>
    </xf>
    <xf numFmtId="164" fontId="31" fillId="0" borderId="1" xfId="0" applyNumberFormat="1" applyFont="1" applyFill="1" applyBorder="1" applyAlignment="1">
      <alignment horizontal="left" vertical="center" wrapText="1"/>
    </xf>
    <xf numFmtId="164" fontId="25" fillId="0" borderId="1" xfId="0" applyNumberFormat="1" applyFont="1" applyFill="1" applyBorder="1" applyAlignment="1">
      <alignment horizontal="left" vertical="center" wrapText="1"/>
    </xf>
    <xf numFmtId="164" fontId="50" fillId="0" borderId="1" xfId="0" applyNumberFormat="1" applyFont="1" applyFill="1" applyBorder="1" applyAlignment="1">
      <alignment horizontal="left" vertical="center" wrapText="1"/>
    </xf>
    <xf numFmtId="164" fontId="51" fillId="0" borderId="1" xfId="0" applyNumberFormat="1" applyFont="1" applyFill="1" applyBorder="1" applyAlignment="1">
      <alignment horizontal="left" vertical="center" wrapText="1"/>
    </xf>
    <xf numFmtId="164" fontId="55" fillId="0" borderId="1" xfId="0" applyNumberFormat="1" applyFont="1" applyFill="1" applyBorder="1" applyAlignment="1">
      <alignment horizontal="left" vertical="center" wrapText="1"/>
    </xf>
    <xf numFmtId="164" fontId="58" fillId="0" borderId="1" xfId="0" applyNumberFormat="1" applyFont="1" applyFill="1" applyBorder="1" applyAlignment="1">
      <alignment horizontal="left" vertical="center" wrapText="1"/>
    </xf>
    <xf numFmtId="164" fontId="23" fillId="3" borderId="1" xfId="0" applyNumberFormat="1" applyFont="1" applyFill="1" applyBorder="1" applyAlignment="1">
      <alignment horizontal="left" vertical="center" wrapText="1"/>
    </xf>
    <xf numFmtId="164" fontId="61" fillId="0" borderId="1" xfId="0" applyNumberFormat="1" applyFont="1" applyFill="1" applyBorder="1" applyAlignment="1">
      <alignment horizontal="left" vertical="center" wrapText="1"/>
    </xf>
    <xf numFmtId="164" fontId="64" fillId="0" borderId="1" xfId="0" applyNumberFormat="1" applyFont="1" applyFill="1" applyBorder="1" applyAlignment="1">
      <alignment horizontal="left" vertical="center" wrapText="1"/>
    </xf>
    <xf numFmtId="164" fontId="67" fillId="0" borderId="1" xfId="0" applyNumberFormat="1" applyFont="1" applyFill="1" applyBorder="1" applyAlignment="1">
      <alignment horizontal="left" vertical="center" wrapText="1"/>
    </xf>
    <xf numFmtId="164" fontId="70" fillId="0" borderId="1" xfId="0" applyNumberFormat="1" applyFont="1" applyFill="1" applyBorder="1" applyAlignment="1">
      <alignment horizontal="left" vertical="center" wrapText="1"/>
    </xf>
    <xf numFmtId="164" fontId="73" fillId="0" borderId="1" xfId="0" applyNumberFormat="1" applyFont="1" applyFill="1" applyBorder="1" applyAlignment="1">
      <alignment horizontal="left" vertical="center" wrapText="1"/>
    </xf>
    <xf numFmtId="164" fontId="76" fillId="0" borderId="1" xfId="0" applyNumberFormat="1" applyFont="1" applyFill="1" applyBorder="1" applyAlignment="1">
      <alignment horizontal="left" vertical="center" wrapText="1"/>
    </xf>
    <xf numFmtId="164" fontId="79" fillId="0" borderId="1" xfId="0" applyNumberFormat="1" applyFont="1" applyFill="1" applyBorder="1" applyAlignment="1">
      <alignment horizontal="left" vertical="center" wrapText="1"/>
    </xf>
    <xf numFmtId="164" fontId="82" fillId="0" borderId="1" xfId="0" applyNumberFormat="1" applyFont="1" applyFill="1" applyBorder="1" applyAlignment="1">
      <alignment horizontal="left" vertical="center" wrapText="1"/>
    </xf>
    <xf numFmtId="164" fontId="85" fillId="0" borderId="1" xfId="0" applyNumberFormat="1" applyFont="1" applyFill="1" applyBorder="1" applyAlignment="1">
      <alignment horizontal="left" vertical="center" wrapText="1"/>
    </xf>
    <xf numFmtId="164" fontId="88" fillId="0" borderId="1" xfId="0" applyNumberFormat="1" applyFont="1" applyFill="1" applyBorder="1" applyAlignment="1">
      <alignment horizontal="left" vertical="center" wrapText="1"/>
    </xf>
    <xf numFmtId="164" fontId="97" fillId="0" borderId="1" xfId="0" applyNumberFormat="1" applyFont="1" applyFill="1" applyBorder="1" applyAlignment="1">
      <alignment horizontal="left" vertical="center" wrapText="1"/>
    </xf>
    <xf numFmtId="164" fontId="100" fillId="0" borderId="1" xfId="0" applyNumberFormat="1" applyFont="1" applyFill="1" applyBorder="1" applyAlignment="1">
      <alignment horizontal="left" vertical="center" wrapText="1"/>
    </xf>
    <xf numFmtId="49" fontId="23" fillId="3" borderId="1" xfId="0" applyNumberFormat="1" applyFont="1" applyFill="1" applyBorder="1" applyAlignment="1">
      <alignment horizontal="center" vertical="center"/>
    </xf>
    <xf numFmtId="49" fontId="23" fillId="0" borderId="1" xfId="0" applyNumberFormat="1" applyFont="1" applyBorder="1" applyAlignment="1">
      <alignment horizontal="center" vertical="center" wrapText="1"/>
    </xf>
    <xf numFmtId="49" fontId="23" fillId="0" borderId="1" xfId="0" applyNumberFormat="1" applyFont="1" applyFill="1" applyBorder="1" applyAlignment="1">
      <alignment horizontal="center" vertical="center" wrapText="1"/>
    </xf>
    <xf numFmtId="49" fontId="23" fillId="0" borderId="1" xfId="0" quotePrefix="1" applyNumberFormat="1" applyFont="1" applyFill="1" applyBorder="1" applyAlignment="1">
      <alignment horizontal="center" vertical="center"/>
    </xf>
    <xf numFmtId="49" fontId="0" fillId="0" borderId="1" xfId="0" applyNumberFormat="1" applyBorder="1" applyAlignment="1">
      <alignment wrapText="1"/>
    </xf>
    <xf numFmtId="49" fontId="51" fillId="0" borderId="1" xfId="0" applyNumberFormat="1" applyFont="1" applyFill="1" applyBorder="1" applyAlignment="1">
      <alignment horizontal="center" vertical="center" wrapText="1"/>
    </xf>
    <xf numFmtId="49" fontId="55" fillId="0" borderId="1" xfId="0" applyNumberFormat="1" applyFont="1" applyFill="1" applyBorder="1" applyAlignment="1">
      <alignment horizontal="center" vertical="center" wrapText="1"/>
    </xf>
    <xf numFmtId="164" fontId="108" fillId="7" borderId="1" xfId="0" applyNumberFormat="1" applyFont="1" applyFill="1" applyBorder="1" applyAlignment="1">
      <alignment horizontal="center" vertical="center"/>
    </xf>
    <xf numFmtId="164" fontId="109" fillId="0" borderId="1" xfId="0" applyNumberFormat="1" applyFont="1" applyFill="1" applyBorder="1" applyAlignment="1">
      <alignment horizontal="center" vertical="center" wrapText="1"/>
    </xf>
    <xf numFmtId="164" fontId="108" fillId="0" borderId="1" xfId="0" applyNumberFormat="1" applyFont="1" applyFill="1" applyBorder="1" applyAlignment="1">
      <alignment horizontal="center" vertical="center"/>
    </xf>
    <xf numFmtId="164" fontId="108" fillId="2" borderId="1" xfId="0" applyNumberFormat="1" applyFont="1" applyFill="1" applyBorder="1" applyAlignment="1">
      <alignment horizontal="left" vertical="center" wrapText="1"/>
    </xf>
    <xf numFmtId="14" fontId="108" fillId="0" borderId="1" xfId="0" applyNumberFormat="1" applyFont="1" applyFill="1" applyBorder="1" applyAlignment="1">
      <alignment horizontal="center" vertical="center"/>
    </xf>
    <xf numFmtId="49" fontId="108" fillId="0" borderId="1" xfId="0" applyNumberFormat="1" applyFont="1" applyFill="1" applyBorder="1" applyAlignment="1">
      <alignment horizontal="center" vertical="center"/>
    </xf>
    <xf numFmtId="164" fontId="108" fillId="0" borderId="1" xfId="0" applyNumberFormat="1" applyFont="1" applyFill="1" applyBorder="1" applyAlignment="1">
      <alignment horizontal="left" vertical="center" wrapText="1"/>
    </xf>
    <xf numFmtId="164" fontId="108" fillId="0" borderId="1" xfId="0" applyNumberFormat="1" applyFont="1" applyFill="1" applyBorder="1" applyAlignment="1">
      <alignment horizontal="center" vertical="center" wrapText="1"/>
    </xf>
    <xf numFmtId="164" fontId="110" fillId="0" borderId="1" xfId="0" applyNumberFormat="1" applyFont="1" applyFill="1" applyBorder="1" applyAlignment="1">
      <alignment horizontal="center" vertical="center" wrapText="1"/>
    </xf>
    <xf numFmtId="0" fontId="108" fillId="0" borderId="1" xfId="0" applyNumberFormat="1" applyFont="1" applyFill="1" applyBorder="1" applyAlignment="1">
      <alignment horizontal="center" vertical="center"/>
    </xf>
    <xf numFmtId="14" fontId="26" fillId="5" borderId="2" xfId="0" applyNumberFormat="1" applyFont="1" applyFill="1" applyBorder="1" applyAlignment="1">
      <alignment horizontal="center" vertical="center"/>
    </xf>
    <xf numFmtId="164" fontId="26" fillId="5" borderId="3" xfId="0" applyNumberFormat="1" applyFont="1" applyFill="1" applyBorder="1" applyAlignment="1">
      <alignment horizontal="center" vertical="center"/>
    </xf>
    <xf numFmtId="164" fontId="26" fillId="5" borderId="3" xfId="0" applyNumberFormat="1" applyFont="1" applyFill="1" applyBorder="1" applyAlignment="1">
      <alignment horizontal="center" vertical="center" wrapText="1"/>
    </xf>
    <xf numFmtId="49" fontId="26" fillId="5" borderId="3" xfId="0" applyNumberFormat="1" applyFont="1" applyFill="1" applyBorder="1" applyAlignment="1">
      <alignment horizontal="center" vertical="center"/>
    </xf>
    <xf numFmtId="14" fontId="26" fillId="5" borderId="3" xfId="0" applyNumberFormat="1" applyFont="1" applyFill="1" applyBorder="1" applyAlignment="1">
      <alignment horizontal="center" vertical="center"/>
    </xf>
    <xf numFmtId="164" fontId="26" fillId="5" borderId="4" xfId="0" applyNumberFormat="1" applyFont="1" applyFill="1" applyBorder="1" applyAlignment="1">
      <alignment horizontal="center" vertical="center"/>
    </xf>
    <xf numFmtId="164" fontId="28" fillId="0" borderId="1" xfId="0" applyNumberFormat="1" applyFont="1" applyFill="1" applyBorder="1" applyAlignment="1">
      <alignment horizontal="center" vertical="center"/>
    </xf>
    <xf numFmtId="14" fontId="23" fillId="3" borderId="1" xfId="0" applyNumberFormat="1" applyFont="1" applyFill="1" applyBorder="1" applyAlignment="1">
      <alignment horizontal="center" vertical="center"/>
    </xf>
    <xf numFmtId="164" fontId="33" fillId="0" borderId="1" xfId="0" applyNumberFormat="1" applyFont="1" applyFill="1" applyBorder="1" applyAlignment="1">
      <alignment horizontal="center" vertical="center"/>
    </xf>
    <xf numFmtId="14" fontId="31" fillId="5" borderId="1" xfId="0" applyNumberFormat="1" applyFont="1" applyFill="1" applyBorder="1" applyAlignment="1">
      <alignment horizontal="center" vertical="center"/>
    </xf>
    <xf numFmtId="164" fontId="37" fillId="0" borderId="1" xfId="0" applyNumberFormat="1" applyFont="1" applyFill="1" applyBorder="1" applyAlignment="1">
      <alignment horizontal="center" vertical="center"/>
    </xf>
    <xf numFmtId="164" fontId="40" fillId="0" borderId="1" xfId="0" applyNumberFormat="1" applyFont="1" applyFill="1" applyBorder="1" applyAlignment="1">
      <alignment horizontal="center" vertical="center"/>
    </xf>
    <xf numFmtId="164" fontId="42" fillId="0" borderId="1" xfId="0" applyNumberFormat="1" applyFont="1" applyFill="1" applyBorder="1" applyAlignment="1">
      <alignment horizontal="center" vertical="center"/>
    </xf>
    <xf numFmtId="164" fontId="46" fillId="0" borderId="1" xfId="0" applyNumberFormat="1" applyFont="1" applyFill="1" applyBorder="1" applyAlignment="1">
      <alignment horizontal="center" vertical="center"/>
    </xf>
    <xf numFmtId="164" fontId="49" fillId="0" borderId="1" xfId="0" applyNumberFormat="1" applyFont="1" applyFill="1" applyBorder="1" applyAlignment="1">
      <alignment horizontal="center" vertical="center"/>
    </xf>
    <xf numFmtId="164" fontId="53" fillId="0" borderId="1" xfId="0" applyNumberFormat="1" applyFont="1" applyFill="1" applyBorder="1" applyAlignment="1">
      <alignment horizontal="center" vertical="center"/>
    </xf>
    <xf numFmtId="164" fontId="56" fillId="0" borderId="1" xfId="0" applyNumberFormat="1" applyFont="1" applyFill="1" applyBorder="1" applyAlignment="1">
      <alignment horizontal="center" vertical="center"/>
    </xf>
    <xf numFmtId="164" fontId="60" fillId="0" borderId="1" xfId="0" applyNumberFormat="1" applyFont="1" applyFill="1" applyBorder="1" applyAlignment="1">
      <alignment horizontal="center" vertical="center"/>
    </xf>
    <xf numFmtId="164" fontId="63" fillId="0" borderId="1" xfId="0" applyNumberFormat="1" applyFont="1" applyFill="1" applyBorder="1" applyAlignment="1">
      <alignment horizontal="center" vertical="center"/>
    </xf>
    <xf numFmtId="164" fontId="90" fillId="0" borderId="1" xfId="0" applyNumberFormat="1" applyFont="1" applyFill="1" applyBorder="1" applyAlignment="1">
      <alignment horizontal="center" vertical="center"/>
    </xf>
    <xf numFmtId="164" fontId="66" fillId="0" borderId="1" xfId="0" applyNumberFormat="1" applyFont="1" applyFill="1" applyBorder="1" applyAlignment="1">
      <alignment horizontal="center" vertical="center"/>
    </xf>
    <xf numFmtId="164" fontId="69" fillId="0" borderId="1" xfId="0" applyNumberFormat="1" applyFont="1" applyFill="1" applyBorder="1" applyAlignment="1">
      <alignment horizontal="center" vertical="center"/>
    </xf>
    <xf numFmtId="164" fontId="72" fillId="0" borderId="1" xfId="0" applyNumberFormat="1" applyFont="1" applyFill="1" applyBorder="1" applyAlignment="1">
      <alignment horizontal="center" vertical="center"/>
    </xf>
    <xf numFmtId="164" fontId="19" fillId="0" borderId="1" xfId="0" applyNumberFormat="1" applyFont="1" applyFill="1" applyBorder="1" applyAlignment="1">
      <alignment horizontal="center" vertical="center"/>
    </xf>
    <xf numFmtId="164" fontId="18" fillId="0" borderId="1" xfId="0" applyNumberFormat="1" applyFont="1" applyFill="1" applyBorder="1" applyAlignment="1">
      <alignment horizontal="center" vertical="center"/>
    </xf>
    <xf numFmtId="164" fontId="75" fillId="0" borderId="1" xfId="0" applyNumberFormat="1" applyFont="1" applyFill="1" applyBorder="1" applyAlignment="1">
      <alignment horizontal="center" vertical="center"/>
    </xf>
    <xf numFmtId="164" fontId="78" fillId="0" borderId="1" xfId="0" applyNumberFormat="1" applyFont="1" applyFill="1" applyBorder="1" applyAlignment="1">
      <alignment horizontal="center" vertical="center"/>
    </xf>
    <xf numFmtId="164" fontId="17" fillId="0" borderId="1" xfId="0" applyNumberFormat="1" applyFont="1" applyFill="1" applyBorder="1" applyAlignment="1">
      <alignment horizontal="center" vertical="center"/>
    </xf>
    <xf numFmtId="164" fontId="81" fillId="0" borderId="1" xfId="0" applyNumberFormat="1" applyFont="1" applyFill="1" applyBorder="1" applyAlignment="1">
      <alignment horizontal="center" vertical="center"/>
    </xf>
    <xf numFmtId="164" fontId="84" fillId="0" borderId="1" xfId="0" applyNumberFormat="1" applyFont="1" applyFill="1" applyBorder="1" applyAlignment="1">
      <alignment horizontal="center" vertical="center"/>
    </xf>
    <xf numFmtId="164" fontId="87" fillId="0" borderId="1" xfId="0" applyNumberFormat="1" applyFont="1" applyFill="1" applyBorder="1" applyAlignment="1">
      <alignment horizontal="center" vertical="center"/>
    </xf>
    <xf numFmtId="164" fontId="16" fillId="0" borderId="1" xfId="0" applyNumberFormat="1" applyFont="1" applyFill="1" applyBorder="1" applyAlignment="1">
      <alignment horizontal="center" vertical="center" wrapText="1"/>
    </xf>
    <xf numFmtId="164" fontId="16" fillId="0" borderId="1" xfId="0" applyNumberFormat="1" applyFont="1" applyFill="1" applyBorder="1" applyAlignment="1">
      <alignment horizontal="center" vertical="center"/>
    </xf>
    <xf numFmtId="164" fontId="15" fillId="0" borderId="1" xfId="0" applyNumberFormat="1" applyFont="1" applyFill="1" applyBorder="1" applyAlignment="1">
      <alignment horizontal="center" vertical="center"/>
    </xf>
    <xf numFmtId="164" fontId="14" fillId="0" borderId="1" xfId="0" applyNumberFormat="1" applyFont="1" applyFill="1" applyBorder="1" applyAlignment="1">
      <alignment horizontal="center" vertical="center"/>
    </xf>
    <xf numFmtId="164" fontId="13" fillId="0" borderId="1" xfId="0" applyNumberFormat="1" applyFont="1" applyFill="1" applyBorder="1" applyAlignment="1">
      <alignment horizontal="center" vertical="center" wrapText="1"/>
    </xf>
    <xf numFmtId="164" fontId="13" fillId="0" borderId="1" xfId="0" applyNumberFormat="1" applyFont="1" applyFill="1" applyBorder="1" applyAlignment="1">
      <alignment horizontal="center" vertical="center"/>
    </xf>
    <xf numFmtId="164" fontId="12" fillId="0" borderId="1" xfId="0" applyNumberFormat="1" applyFont="1" applyFill="1" applyBorder="1" applyAlignment="1">
      <alignment horizontal="center" vertical="center"/>
    </xf>
    <xf numFmtId="164" fontId="11" fillId="0" borderId="1" xfId="0" applyNumberFormat="1" applyFont="1" applyFill="1" applyBorder="1" applyAlignment="1">
      <alignment horizontal="center" vertical="center" wrapText="1"/>
    </xf>
    <xf numFmtId="164" fontId="11" fillId="0" borderId="1" xfId="0" applyNumberFormat="1" applyFont="1" applyFill="1" applyBorder="1" applyAlignment="1">
      <alignment horizontal="center" vertical="center"/>
    </xf>
    <xf numFmtId="14" fontId="88" fillId="0" borderId="1" xfId="0" applyNumberFormat="1" applyFont="1" applyFill="1" applyBorder="1" applyAlignment="1">
      <alignment horizontal="center" vertical="center" wrapText="1"/>
    </xf>
    <xf numFmtId="164" fontId="88" fillId="7" borderId="1" xfId="0" applyNumberFormat="1" applyFont="1" applyFill="1" applyBorder="1" applyAlignment="1">
      <alignment horizontal="center" vertical="center" wrapText="1"/>
    </xf>
    <xf numFmtId="49" fontId="88" fillId="0" borderId="1" xfId="0" applyNumberFormat="1" applyFont="1" applyFill="1" applyBorder="1" applyAlignment="1">
      <alignment horizontal="center" vertical="center" wrapText="1"/>
    </xf>
    <xf numFmtId="164" fontId="20" fillId="0" borderId="1" xfId="1" applyNumberFormat="1" applyFill="1" applyBorder="1" applyAlignment="1">
      <alignment horizontal="center" vertical="center" wrapText="1"/>
    </xf>
    <xf numFmtId="164" fontId="10" fillId="0" borderId="1" xfId="0" applyNumberFormat="1" applyFont="1" applyFill="1" applyBorder="1" applyAlignment="1">
      <alignment horizontal="center" vertical="center" wrapText="1"/>
    </xf>
    <xf numFmtId="164" fontId="10" fillId="0" borderId="1" xfId="0" applyNumberFormat="1" applyFont="1" applyFill="1" applyBorder="1" applyAlignment="1">
      <alignment horizontal="center" vertical="center"/>
    </xf>
    <xf numFmtId="164" fontId="9" fillId="0" borderId="1" xfId="0" applyNumberFormat="1" applyFont="1" applyFill="1" applyBorder="1" applyAlignment="1">
      <alignment horizontal="center" vertical="center"/>
    </xf>
    <xf numFmtId="164" fontId="93" fillId="0" borderId="1" xfId="0" applyNumberFormat="1" applyFont="1" applyFill="1" applyBorder="1" applyAlignment="1">
      <alignment horizontal="center" vertical="center"/>
    </xf>
    <xf numFmtId="164" fontId="91" fillId="0" borderId="1" xfId="0" applyNumberFormat="1" applyFont="1" applyFill="1" applyBorder="1" applyAlignment="1">
      <alignment horizontal="left" vertical="center" wrapText="1"/>
    </xf>
    <xf numFmtId="14" fontId="94" fillId="0" borderId="1" xfId="0" applyNumberFormat="1" applyFont="1" applyFill="1" applyBorder="1" applyAlignment="1">
      <alignment horizontal="center" vertical="center"/>
    </xf>
    <xf numFmtId="164" fontId="94" fillId="7" borderId="1" xfId="0" applyNumberFormat="1" applyFont="1" applyFill="1" applyBorder="1" applyAlignment="1">
      <alignment horizontal="center" vertical="center"/>
    </xf>
    <xf numFmtId="164" fontId="95" fillId="0" borderId="1" xfId="0" applyNumberFormat="1" applyFont="1" applyFill="1" applyBorder="1" applyAlignment="1">
      <alignment horizontal="center" vertical="center" wrapText="1"/>
    </xf>
    <xf numFmtId="164" fontId="94" fillId="0" borderId="1" xfId="0" applyNumberFormat="1" applyFont="1" applyFill="1" applyBorder="1" applyAlignment="1">
      <alignment horizontal="center" vertical="center"/>
    </xf>
    <xf numFmtId="164" fontId="94" fillId="2" borderId="1" xfId="0" applyNumberFormat="1" applyFont="1" applyFill="1" applyBorder="1" applyAlignment="1">
      <alignment horizontal="left" vertical="center" wrapText="1"/>
    </xf>
    <xf numFmtId="49" fontId="94" fillId="0" borderId="1" xfId="0" applyNumberFormat="1" applyFont="1" applyFill="1" applyBorder="1" applyAlignment="1">
      <alignment horizontal="center" vertical="center"/>
    </xf>
    <xf numFmtId="164" fontId="94" fillId="0" borderId="1" xfId="0" applyNumberFormat="1" applyFont="1" applyFill="1" applyBorder="1" applyAlignment="1">
      <alignment horizontal="center" vertical="center" wrapText="1"/>
    </xf>
    <xf numFmtId="164" fontId="96" fillId="0" borderId="1" xfId="0" applyNumberFormat="1" applyFont="1" applyFill="1" applyBorder="1" applyAlignment="1">
      <alignment horizontal="center" vertical="center" wrapText="1"/>
    </xf>
    <xf numFmtId="164" fontId="96" fillId="0" borderId="1" xfId="0" applyNumberFormat="1" applyFont="1" applyFill="1" applyBorder="1" applyAlignment="1">
      <alignment horizontal="center" vertical="center"/>
    </xf>
    <xf numFmtId="164" fontId="94" fillId="0" borderId="1" xfId="0" applyNumberFormat="1" applyFont="1" applyFill="1" applyBorder="1" applyAlignment="1">
      <alignment horizontal="left" vertical="center" wrapText="1"/>
    </xf>
    <xf numFmtId="164" fontId="99" fillId="0" borderId="1" xfId="0" applyNumberFormat="1" applyFont="1" applyFill="1" applyBorder="1" applyAlignment="1">
      <alignment horizontal="center" vertical="center"/>
    </xf>
    <xf numFmtId="164" fontId="102" fillId="0" borderId="1" xfId="0" applyNumberFormat="1" applyFont="1" applyFill="1" applyBorder="1" applyAlignment="1">
      <alignment horizontal="center" vertical="center"/>
    </xf>
    <xf numFmtId="164" fontId="5" fillId="0" borderId="1" xfId="0" applyNumberFormat="1" applyFont="1" applyFill="1" applyBorder="1" applyAlignment="1">
      <alignment horizontal="center" vertical="center" wrapText="1"/>
    </xf>
    <xf numFmtId="164" fontId="8" fillId="0" borderId="1" xfId="0" applyNumberFormat="1" applyFont="1" applyFill="1" applyBorder="1" applyAlignment="1">
      <alignment horizontal="center" vertical="center" wrapText="1"/>
    </xf>
    <xf numFmtId="164" fontId="8" fillId="0" borderId="1" xfId="0" applyNumberFormat="1" applyFont="1" applyFill="1" applyBorder="1" applyAlignment="1">
      <alignment horizontal="center" vertical="center"/>
    </xf>
    <xf numFmtId="164" fontId="105" fillId="0" borderId="1" xfId="0" applyNumberFormat="1" applyFont="1" applyFill="1" applyBorder="1" applyAlignment="1">
      <alignment horizontal="center" vertical="center"/>
    </xf>
    <xf numFmtId="164" fontId="103" fillId="0" borderId="1" xfId="0" applyNumberFormat="1" applyFont="1" applyFill="1" applyBorder="1" applyAlignment="1">
      <alignment horizontal="left" vertical="center" wrapText="1"/>
    </xf>
    <xf numFmtId="164" fontId="7" fillId="0" borderId="1" xfId="0" applyNumberFormat="1" applyFont="1" applyFill="1" applyBorder="1" applyAlignment="1">
      <alignment horizontal="center" vertical="center"/>
    </xf>
    <xf numFmtId="164" fontId="110" fillId="0" borderId="1" xfId="0" applyNumberFormat="1" applyFont="1" applyFill="1" applyBorder="1" applyAlignment="1">
      <alignment horizontal="center" vertical="center"/>
    </xf>
    <xf numFmtId="164" fontId="6" fillId="0" borderId="1" xfId="0" applyNumberFormat="1" applyFont="1" applyFill="1" applyBorder="1" applyAlignment="1">
      <alignment horizontal="center" vertical="center" wrapText="1"/>
    </xf>
    <xf numFmtId="164" fontId="6" fillId="0" borderId="1" xfId="0" applyNumberFormat="1" applyFont="1" applyFill="1" applyBorder="1" applyAlignment="1">
      <alignment horizontal="center" vertical="center"/>
    </xf>
    <xf numFmtId="164" fontId="5" fillId="0" borderId="1" xfId="0" applyNumberFormat="1" applyFont="1" applyFill="1" applyBorder="1" applyAlignment="1">
      <alignment horizontal="center" vertical="center"/>
    </xf>
    <xf numFmtId="14" fontId="111" fillId="0" borderId="1" xfId="0" applyNumberFormat="1" applyFont="1" applyFill="1" applyBorder="1" applyAlignment="1">
      <alignment horizontal="center" vertical="center"/>
    </xf>
    <xf numFmtId="164" fontId="111" fillId="0" borderId="1" xfId="0" applyNumberFormat="1" applyFont="1" applyFill="1" applyBorder="1" applyAlignment="1">
      <alignment horizontal="center" vertical="center"/>
    </xf>
    <xf numFmtId="164" fontId="111" fillId="2" borderId="1" xfId="0" applyNumberFormat="1" applyFont="1" applyFill="1" applyBorder="1" applyAlignment="1">
      <alignment horizontal="left" vertical="center" wrapText="1"/>
    </xf>
    <xf numFmtId="49" fontId="111" fillId="0" borderId="1" xfId="0" applyNumberFormat="1" applyFont="1" applyFill="1" applyBorder="1" applyAlignment="1">
      <alignment horizontal="center" vertical="center"/>
    </xf>
    <xf numFmtId="164" fontId="111" fillId="0" borderId="1" xfId="0" applyNumberFormat="1" applyFont="1" applyFill="1" applyBorder="1" applyAlignment="1">
      <alignment horizontal="center" vertical="center" wrapText="1"/>
    </xf>
    <xf numFmtId="164" fontId="113" fillId="0" borderId="1" xfId="0" applyNumberFormat="1" applyFont="1" applyFill="1" applyBorder="1" applyAlignment="1">
      <alignment horizontal="center" vertical="center" wrapText="1"/>
    </xf>
    <xf numFmtId="164" fontId="113" fillId="0" borderId="1" xfId="0" applyNumberFormat="1" applyFont="1" applyFill="1" applyBorder="1" applyAlignment="1">
      <alignment horizontal="center" vertical="center"/>
    </xf>
    <xf numFmtId="164" fontId="111" fillId="7" borderId="1" xfId="0" applyNumberFormat="1" applyFont="1" applyFill="1" applyBorder="1" applyAlignment="1">
      <alignment horizontal="center" vertical="center"/>
    </xf>
    <xf numFmtId="164" fontId="112" fillId="0" borderId="1" xfId="0" applyNumberFormat="1" applyFont="1" applyFill="1" applyBorder="1" applyAlignment="1">
      <alignment horizontal="center" vertical="center" wrapText="1"/>
    </xf>
    <xf numFmtId="164" fontId="111" fillId="0" borderId="1" xfId="0" applyNumberFormat="1" applyFont="1" applyFill="1" applyBorder="1" applyAlignment="1">
      <alignment horizontal="left" vertical="center" wrapText="1"/>
    </xf>
    <xf numFmtId="164" fontId="114" fillId="0" borderId="1" xfId="2" applyNumberFormat="1" applyFill="1" applyBorder="1" applyAlignment="1">
      <alignment horizontal="center" vertical="center"/>
    </xf>
    <xf numFmtId="14" fontId="111" fillId="0" borderId="9" xfId="0" applyNumberFormat="1" applyFont="1" applyFill="1" applyBorder="1" applyAlignment="1">
      <alignment horizontal="center" vertical="center"/>
    </xf>
    <xf numFmtId="164" fontId="112" fillId="0" borderId="9" xfId="0" applyNumberFormat="1" applyFont="1" applyFill="1" applyBorder="1" applyAlignment="1">
      <alignment horizontal="center" vertical="center" wrapText="1"/>
    </xf>
    <xf numFmtId="164" fontId="111" fillId="0" borderId="9" xfId="0" applyNumberFormat="1" applyFont="1" applyFill="1" applyBorder="1" applyAlignment="1">
      <alignment horizontal="center" vertical="center"/>
    </xf>
    <xf numFmtId="164" fontId="111" fillId="2" borderId="9" xfId="0" applyNumberFormat="1" applyFont="1" applyFill="1" applyBorder="1" applyAlignment="1">
      <alignment horizontal="left" vertical="center" wrapText="1"/>
    </xf>
    <xf numFmtId="49" fontId="111" fillId="0" borderId="9" xfId="0" applyNumberFormat="1" applyFont="1" applyFill="1" applyBorder="1" applyAlignment="1">
      <alignment horizontal="center" vertical="center"/>
    </xf>
    <xf numFmtId="164" fontId="111" fillId="0" borderId="9" xfId="0" applyNumberFormat="1" applyFont="1" applyFill="1" applyBorder="1" applyAlignment="1">
      <alignment horizontal="center" vertical="center" wrapText="1"/>
    </xf>
    <xf numFmtId="164" fontId="20" fillId="0" borderId="9" xfId="1" applyNumberFormat="1" applyFill="1" applyBorder="1" applyAlignment="1">
      <alignment horizontal="center" vertical="center"/>
    </xf>
    <xf numFmtId="164" fontId="113" fillId="0" borderId="9" xfId="0" applyNumberFormat="1" applyFont="1" applyFill="1" applyBorder="1" applyAlignment="1">
      <alignment horizontal="center" vertical="center" wrapText="1"/>
    </xf>
    <xf numFmtId="164" fontId="113" fillId="0" borderId="9" xfId="0" applyNumberFormat="1" applyFont="1" applyFill="1" applyBorder="1" applyAlignment="1">
      <alignment horizontal="center" vertical="center"/>
    </xf>
    <xf numFmtId="0" fontId="115" fillId="0" borderId="0" xfId="0" applyFont="1"/>
    <xf numFmtId="164" fontId="23" fillId="0" borderId="9" xfId="0" applyNumberFormat="1" applyFont="1" applyFill="1" applyBorder="1" applyAlignment="1">
      <alignment horizontal="left" vertical="center" wrapText="1"/>
    </xf>
    <xf numFmtId="164" fontId="111" fillId="7" borderId="9" xfId="0" applyNumberFormat="1" applyFont="1" applyFill="1" applyBorder="1" applyAlignment="1">
      <alignment horizontal="center" vertical="center"/>
    </xf>
    <xf numFmtId="164" fontId="23" fillId="0" borderId="9" xfId="0" applyNumberFormat="1" applyFont="1" applyFill="1" applyBorder="1" applyAlignment="1">
      <alignment horizontal="center" vertical="center" wrapText="1"/>
    </xf>
    <xf numFmtId="164" fontId="111" fillId="0" borderId="9" xfId="0" applyNumberFormat="1" applyFont="1" applyFill="1" applyBorder="1" applyAlignment="1">
      <alignment horizontal="left" vertical="center" wrapText="1"/>
    </xf>
    <xf numFmtId="0" fontId="111" fillId="0" borderId="1" xfId="0" applyNumberFormat="1" applyFont="1" applyFill="1" applyBorder="1" applyAlignment="1">
      <alignment horizontal="center" vertical="center"/>
    </xf>
    <xf numFmtId="0" fontId="111" fillId="0" borderId="9" xfId="0" applyNumberFormat="1" applyFont="1" applyFill="1" applyBorder="1" applyAlignment="1">
      <alignment horizontal="center" vertical="center"/>
    </xf>
    <xf numFmtId="49" fontId="111" fillId="3" borderId="9" xfId="0" applyNumberFormat="1" applyFont="1" applyFill="1" applyBorder="1" applyAlignment="1">
      <alignment horizontal="center" vertical="center"/>
    </xf>
    <xf numFmtId="164" fontId="111" fillId="3" borderId="1" xfId="0" applyNumberFormat="1" applyFont="1" applyFill="1" applyBorder="1" applyAlignment="1">
      <alignment horizontal="center" vertical="center" wrapText="1"/>
    </xf>
    <xf numFmtId="14" fontId="116" fillId="0" borderId="1" xfId="0" applyNumberFormat="1" applyFont="1" applyFill="1" applyBorder="1" applyAlignment="1">
      <alignment horizontal="center" vertical="center"/>
    </xf>
    <xf numFmtId="164" fontId="117" fillId="0" borderId="1" xfId="0" applyNumberFormat="1" applyFont="1" applyFill="1" applyBorder="1" applyAlignment="1">
      <alignment horizontal="center" vertical="center" wrapText="1"/>
    </xf>
    <xf numFmtId="164" fontId="116" fillId="0" borderId="1" xfId="0" applyNumberFormat="1" applyFont="1" applyFill="1" applyBorder="1" applyAlignment="1">
      <alignment horizontal="center" vertical="center"/>
    </xf>
    <xf numFmtId="49" fontId="116" fillId="0" borderId="1" xfId="0" applyNumberFormat="1" applyFont="1" applyFill="1" applyBorder="1" applyAlignment="1">
      <alignment horizontal="center" vertical="center"/>
    </xf>
    <xf numFmtId="164" fontId="116" fillId="0" borderId="1" xfId="0" applyNumberFormat="1" applyFont="1" applyFill="1" applyBorder="1" applyAlignment="1">
      <alignment horizontal="left" vertical="center" wrapText="1"/>
    </xf>
    <xf numFmtId="164" fontId="116" fillId="0" borderId="1" xfId="0" applyNumberFormat="1" applyFont="1" applyFill="1" applyBorder="1" applyAlignment="1">
      <alignment horizontal="center" vertical="center" wrapText="1"/>
    </xf>
    <xf numFmtId="164" fontId="118" fillId="0" borderId="1" xfId="0" applyNumberFormat="1" applyFont="1" applyFill="1" applyBorder="1" applyAlignment="1">
      <alignment horizontal="center" vertical="center" wrapText="1"/>
    </xf>
    <xf numFmtId="164" fontId="118" fillId="0" borderId="1" xfId="0" applyNumberFormat="1" applyFont="1" applyFill="1" applyBorder="1" applyAlignment="1">
      <alignment horizontal="center" vertical="center"/>
    </xf>
    <xf numFmtId="14" fontId="116" fillId="0" borderId="9" xfId="0" applyNumberFormat="1" applyFont="1" applyFill="1" applyBorder="1" applyAlignment="1">
      <alignment horizontal="center" vertical="center"/>
    </xf>
    <xf numFmtId="164" fontId="116" fillId="7" borderId="9" xfId="0" applyNumberFormat="1" applyFont="1" applyFill="1" applyBorder="1" applyAlignment="1">
      <alignment horizontal="center" vertical="center"/>
    </xf>
    <xf numFmtId="164" fontId="117" fillId="0" borderId="9" xfId="0" applyNumberFormat="1" applyFont="1" applyFill="1" applyBorder="1" applyAlignment="1">
      <alignment horizontal="center" vertical="center" wrapText="1"/>
    </xf>
    <xf numFmtId="164" fontId="116" fillId="0" borderId="9" xfId="0" applyNumberFormat="1" applyFont="1" applyFill="1" applyBorder="1" applyAlignment="1">
      <alignment horizontal="center" vertical="center"/>
    </xf>
    <xf numFmtId="164" fontId="116" fillId="2" borderId="9" xfId="0" applyNumberFormat="1" applyFont="1" applyFill="1" applyBorder="1" applyAlignment="1">
      <alignment horizontal="left" vertical="center" wrapText="1"/>
    </xf>
    <xf numFmtId="49" fontId="116" fillId="0" borderId="9" xfId="0" applyNumberFormat="1" applyFont="1" applyFill="1" applyBorder="1" applyAlignment="1">
      <alignment horizontal="center" vertical="center"/>
    </xf>
    <xf numFmtId="164" fontId="116" fillId="0" borderId="9" xfId="0" applyNumberFormat="1" applyFont="1" applyFill="1" applyBorder="1" applyAlignment="1">
      <alignment horizontal="left" vertical="center" wrapText="1"/>
    </xf>
    <xf numFmtId="164" fontId="116" fillId="0" borderId="9" xfId="0" applyNumberFormat="1" applyFont="1" applyFill="1" applyBorder="1" applyAlignment="1">
      <alignment horizontal="center" vertical="center" wrapText="1"/>
    </xf>
    <xf numFmtId="164" fontId="118" fillId="0" borderId="9" xfId="0" applyNumberFormat="1" applyFont="1" applyFill="1" applyBorder="1" applyAlignment="1">
      <alignment horizontal="center" vertical="center" wrapText="1"/>
    </xf>
    <xf numFmtId="164" fontId="118" fillId="0" borderId="9" xfId="0" applyNumberFormat="1" applyFont="1" applyFill="1" applyBorder="1" applyAlignment="1">
      <alignment horizontal="center" vertical="center"/>
    </xf>
    <xf numFmtId="14" fontId="23" fillId="0" borderId="9" xfId="0" applyNumberFormat="1" applyFont="1" applyFill="1" applyBorder="1" applyAlignment="1">
      <alignment horizontal="center" vertical="center"/>
    </xf>
    <xf numFmtId="164" fontId="23" fillId="7" borderId="9" xfId="0" applyNumberFormat="1" applyFont="1" applyFill="1" applyBorder="1" applyAlignment="1">
      <alignment horizontal="center" vertical="center"/>
    </xf>
    <xf numFmtId="164" fontId="30" fillId="0" borderId="9" xfId="0" applyNumberFormat="1" applyFont="1" applyFill="1" applyBorder="1" applyAlignment="1">
      <alignment horizontal="center" vertical="center" wrapText="1"/>
    </xf>
    <xf numFmtId="164" fontId="23" fillId="0" borderId="9" xfId="0" applyNumberFormat="1" applyFont="1" applyFill="1" applyBorder="1" applyAlignment="1">
      <alignment horizontal="center" vertical="center"/>
    </xf>
    <xf numFmtId="164" fontId="23" fillId="2" borderId="9" xfId="0" applyNumberFormat="1" applyFont="1" applyFill="1" applyBorder="1" applyAlignment="1">
      <alignment horizontal="left" vertical="center" wrapText="1"/>
    </xf>
    <xf numFmtId="49" fontId="23" fillId="0" borderId="9" xfId="0" applyNumberFormat="1" applyFont="1" applyFill="1" applyBorder="1" applyAlignment="1">
      <alignment horizontal="center" vertical="center"/>
    </xf>
    <xf numFmtId="164" fontId="4" fillId="0" borderId="9" xfId="0" applyNumberFormat="1" applyFont="1" applyFill="1" applyBorder="1" applyAlignment="1">
      <alignment horizontal="center" vertical="center" wrapText="1"/>
    </xf>
    <xf numFmtId="164" fontId="4" fillId="0" borderId="9" xfId="0" applyNumberFormat="1" applyFont="1" applyFill="1" applyBorder="1" applyAlignment="1">
      <alignment horizontal="center" vertical="center"/>
    </xf>
    <xf numFmtId="14" fontId="119" fillId="0" borderId="9" xfId="0" applyNumberFormat="1" applyFont="1" applyFill="1" applyBorder="1" applyAlignment="1">
      <alignment horizontal="center" vertical="center"/>
    </xf>
    <xf numFmtId="164" fontId="119" fillId="7" borderId="9" xfId="0" applyNumberFormat="1" applyFont="1" applyFill="1" applyBorder="1" applyAlignment="1">
      <alignment horizontal="center" vertical="center"/>
    </xf>
    <xf numFmtId="164" fontId="120" fillId="0" borderId="9" xfId="0" applyNumberFormat="1" applyFont="1" applyFill="1" applyBorder="1" applyAlignment="1">
      <alignment horizontal="center" vertical="center" wrapText="1"/>
    </xf>
    <xf numFmtId="164" fontId="119" fillId="0" borderId="9" xfId="0" applyNumberFormat="1" applyFont="1" applyFill="1" applyBorder="1" applyAlignment="1">
      <alignment horizontal="center" vertical="center"/>
    </xf>
    <xf numFmtId="164" fontId="119" fillId="2" borderId="9" xfId="0" applyNumberFormat="1" applyFont="1" applyFill="1" applyBorder="1" applyAlignment="1">
      <alignment horizontal="left" vertical="center" wrapText="1"/>
    </xf>
    <xf numFmtId="49" fontId="119" fillId="0" borderId="9" xfId="0" applyNumberFormat="1" applyFont="1" applyFill="1" applyBorder="1" applyAlignment="1">
      <alignment horizontal="center" vertical="center"/>
    </xf>
    <xf numFmtId="164" fontId="119" fillId="0" borderId="9" xfId="0" applyNumberFormat="1" applyFont="1" applyFill="1" applyBorder="1" applyAlignment="1">
      <alignment horizontal="left" vertical="center" wrapText="1"/>
    </xf>
    <xf numFmtId="164" fontId="119" fillId="0" borderId="9" xfId="0" applyNumberFormat="1" applyFont="1" applyFill="1" applyBorder="1" applyAlignment="1">
      <alignment horizontal="center" vertical="center" wrapText="1"/>
    </xf>
    <xf numFmtId="164" fontId="121" fillId="0" borderId="9" xfId="0" applyNumberFormat="1" applyFont="1" applyFill="1" applyBorder="1" applyAlignment="1">
      <alignment horizontal="center" vertical="center" wrapText="1"/>
    </xf>
    <xf numFmtId="164" fontId="121" fillId="0" borderId="9" xfId="0" applyNumberFormat="1" applyFont="1" applyFill="1" applyBorder="1" applyAlignment="1">
      <alignment horizontal="center" vertical="center"/>
    </xf>
    <xf numFmtId="164" fontId="3" fillId="0" borderId="9" xfId="0" applyNumberFormat="1" applyFont="1" applyFill="1" applyBorder="1" applyAlignment="1">
      <alignment horizontal="center" vertical="center" wrapText="1"/>
    </xf>
    <xf numFmtId="164" fontId="3" fillId="0" borderId="9" xfId="0" applyNumberFormat="1" applyFont="1" applyFill="1" applyBorder="1" applyAlignment="1">
      <alignment horizontal="center" vertical="center"/>
    </xf>
    <xf numFmtId="14" fontId="119" fillId="0" borderId="1" xfId="0" applyNumberFormat="1" applyFont="1" applyFill="1" applyBorder="1" applyAlignment="1">
      <alignment horizontal="center" vertical="center"/>
    </xf>
    <xf numFmtId="164" fontId="119" fillId="0" borderId="1" xfId="0" applyNumberFormat="1" applyFont="1" applyFill="1" applyBorder="1" applyAlignment="1">
      <alignment horizontal="center" vertical="center"/>
    </xf>
    <xf numFmtId="164" fontId="119" fillId="2" borderId="1" xfId="0" applyNumberFormat="1" applyFont="1" applyFill="1" applyBorder="1" applyAlignment="1">
      <alignment horizontal="left" vertical="center" wrapText="1"/>
    </xf>
    <xf numFmtId="49" fontId="119" fillId="0" borderId="1" xfId="0" applyNumberFormat="1" applyFont="1" applyFill="1" applyBorder="1" applyAlignment="1">
      <alignment horizontal="center" vertical="center"/>
    </xf>
    <xf numFmtId="164" fontId="119" fillId="0" borderId="1" xfId="0" applyNumberFormat="1" applyFont="1" applyFill="1" applyBorder="1" applyAlignment="1">
      <alignment horizontal="center" vertical="center" wrapText="1"/>
    </xf>
    <xf numFmtId="164" fontId="121" fillId="0" borderId="1" xfId="0" applyNumberFormat="1" applyFont="1" applyFill="1" applyBorder="1" applyAlignment="1">
      <alignment horizontal="center" vertical="center" wrapText="1"/>
    </xf>
    <xf numFmtId="164" fontId="121" fillId="0" borderId="1" xfId="0" applyNumberFormat="1" applyFont="1" applyFill="1" applyBorder="1" applyAlignment="1">
      <alignment horizontal="center" vertical="center"/>
    </xf>
    <xf numFmtId="49" fontId="23" fillId="3" borderId="9" xfId="0" applyNumberFormat="1" applyFont="1" applyFill="1" applyBorder="1" applyAlignment="1">
      <alignment horizontal="center" vertical="center"/>
    </xf>
    <xf numFmtId="164" fontId="119" fillId="7" borderId="1" xfId="0" applyNumberFormat="1" applyFont="1" applyFill="1" applyBorder="1" applyAlignment="1">
      <alignment horizontal="center" vertical="center"/>
    </xf>
    <xf numFmtId="164" fontId="120" fillId="0" borderId="1" xfId="0" applyNumberFormat="1" applyFont="1" applyFill="1" applyBorder="1" applyAlignment="1">
      <alignment horizontal="center" vertical="center" wrapText="1"/>
    </xf>
    <xf numFmtId="49" fontId="119" fillId="3" borderId="1" xfId="0" applyNumberFormat="1" applyFont="1" applyFill="1" applyBorder="1" applyAlignment="1">
      <alignment horizontal="center" vertical="center"/>
    </xf>
    <xf numFmtId="164" fontId="23" fillId="3" borderId="9" xfId="0" applyNumberFormat="1" applyFont="1" applyFill="1" applyBorder="1" applyAlignment="1">
      <alignment horizontal="center" vertical="center" wrapText="1"/>
    </xf>
    <xf numFmtId="164" fontId="119" fillId="3" borderId="1" xfId="0" applyNumberFormat="1" applyFont="1" applyFill="1" applyBorder="1" applyAlignment="1">
      <alignment horizontal="center" vertical="center" wrapText="1"/>
    </xf>
    <xf numFmtId="164" fontId="2" fillId="0" borderId="9" xfId="0" applyNumberFormat="1" applyFont="1" applyFill="1" applyBorder="1" applyAlignment="1">
      <alignment horizontal="center" vertical="center" wrapText="1"/>
    </xf>
    <xf numFmtId="164" fontId="2" fillId="0" borderId="9" xfId="0" applyNumberFormat="1" applyFont="1" applyFill="1" applyBorder="1" applyAlignment="1">
      <alignment horizontal="center" vertical="center"/>
    </xf>
    <xf numFmtId="164" fontId="1" fillId="0" borderId="9" xfId="0" applyNumberFormat="1" applyFont="1" applyFill="1" applyBorder="1" applyAlignment="1">
      <alignment horizontal="center" vertical="center" wrapText="1"/>
    </xf>
    <xf numFmtId="164" fontId="1" fillId="0" borderId="9" xfId="0" applyNumberFormat="1" applyFont="1" applyFill="1" applyBorder="1" applyAlignment="1">
      <alignment horizontal="center" vertical="center"/>
    </xf>
    <xf numFmtId="14" fontId="122" fillId="0" borderId="9" xfId="0" applyNumberFormat="1" applyFont="1" applyFill="1" applyBorder="1" applyAlignment="1">
      <alignment horizontal="center" vertical="center"/>
    </xf>
    <xf numFmtId="164" fontId="122" fillId="7" borderId="9" xfId="0" applyNumberFormat="1" applyFont="1" applyFill="1" applyBorder="1" applyAlignment="1">
      <alignment horizontal="center" vertical="center"/>
    </xf>
    <xf numFmtId="164" fontId="123" fillId="0" borderId="9" xfId="0" applyNumberFormat="1" applyFont="1" applyFill="1" applyBorder="1" applyAlignment="1">
      <alignment horizontal="center" vertical="center" wrapText="1"/>
    </xf>
    <xf numFmtId="164" fontId="122" fillId="0" borderId="9" xfId="0" applyNumberFormat="1" applyFont="1" applyFill="1" applyBorder="1" applyAlignment="1">
      <alignment horizontal="center" vertical="center"/>
    </xf>
    <xf numFmtId="164" fontId="122" fillId="2" borderId="9" xfId="0" applyNumberFormat="1" applyFont="1" applyFill="1" applyBorder="1" applyAlignment="1">
      <alignment horizontal="left" vertical="center" wrapText="1"/>
    </xf>
    <xf numFmtId="49" fontId="122" fillId="0" borderId="9" xfId="0" applyNumberFormat="1" applyFont="1" applyFill="1" applyBorder="1" applyAlignment="1">
      <alignment horizontal="center" vertical="center"/>
    </xf>
    <xf numFmtId="164" fontId="122" fillId="0" borderId="9" xfId="0" applyNumberFormat="1" applyFont="1" applyFill="1" applyBorder="1" applyAlignment="1">
      <alignment horizontal="center" vertical="center" wrapText="1"/>
    </xf>
    <xf numFmtId="164" fontId="124" fillId="0" borderId="9" xfId="0" applyNumberFormat="1" applyFont="1" applyFill="1" applyBorder="1" applyAlignment="1">
      <alignment horizontal="center" vertical="center" wrapText="1"/>
    </xf>
    <xf numFmtId="164" fontId="124" fillId="0" borderId="9" xfId="0" applyNumberFormat="1" applyFont="1" applyFill="1" applyBorder="1" applyAlignment="1">
      <alignment horizontal="center" vertical="center"/>
    </xf>
    <xf numFmtId="164" fontId="122" fillId="0" borderId="9" xfId="0" applyNumberFormat="1" applyFont="1" applyFill="1" applyBorder="1" applyAlignment="1">
      <alignment horizontal="left" vertical="center" wrapText="1"/>
    </xf>
    <xf numFmtId="164" fontId="1" fillId="0" borderId="1" xfId="0" applyNumberFormat="1" applyFont="1" applyFill="1" applyBorder="1" applyAlignment="1">
      <alignment horizontal="center" vertical="center" wrapText="1"/>
    </xf>
    <xf numFmtId="164" fontId="1" fillId="0" borderId="1" xfId="0" applyNumberFormat="1" applyFont="1" applyFill="1" applyBorder="1" applyAlignment="1">
      <alignment horizontal="center" vertical="center"/>
    </xf>
    <xf numFmtId="14" fontId="125" fillId="0" borderId="9" xfId="0" applyNumberFormat="1" applyFont="1" applyFill="1" applyBorder="1" applyAlignment="1">
      <alignment horizontal="center" vertical="center"/>
    </xf>
    <xf numFmtId="164" fontId="125" fillId="7" borderId="9" xfId="0" applyNumberFormat="1" applyFont="1" applyFill="1" applyBorder="1" applyAlignment="1">
      <alignment horizontal="center" vertical="center"/>
    </xf>
    <xf numFmtId="164" fontId="126" fillId="0" borderId="9" xfId="0" applyNumberFormat="1" applyFont="1" applyFill="1" applyBorder="1" applyAlignment="1">
      <alignment horizontal="center" vertical="center" wrapText="1"/>
    </xf>
    <xf numFmtId="164" fontId="125" fillId="0" borderId="9" xfId="0" applyNumberFormat="1" applyFont="1" applyFill="1" applyBorder="1" applyAlignment="1">
      <alignment horizontal="center" vertical="center"/>
    </xf>
    <xf numFmtId="164" fontId="125" fillId="2" borderId="9" xfId="0" applyNumberFormat="1" applyFont="1" applyFill="1" applyBorder="1" applyAlignment="1">
      <alignment horizontal="left" vertical="center" wrapText="1"/>
    </xf>
    <xf numFmtId="49" fontId="125" fillId="0" borderId="9" xfId="0" applyNumberFormat="1" applyFont="1" applyFill="1" applyBorder="1" applyAlignment="1">
      <alignment horizontal="center" vertical="center"/>
    </xf>
    <xf numFmtId="164" fontId="127" fillId="0" borderId="9" xfId="0" applyNumberFormat="1" applyFont="1" applyFill="1" applyBorder="1" applyAlignment="1">
      <alignment horizontal="center" vertical="center" wrapText="1"/>
    </xf>
    <xf numFmtId="164" fontId="127" fillId="0" borderId="9" xfId="0" applyNumberFormat="1" applyFont="1" applyFill="1" applyBorder="1" applyAlignment="1">
      <alignment horizontal="center" vertical="center"/>
    </xf>
    <xf numFmtId="14" fontId="125" fillId="0" borderId="1" xfId="0" applyNumberFormat="1" applyFont="1" applyFill="1" applyBorder="1" applyAlignment="1">
      <alignment horizontal="center" vertical="center"/>
    </xf>
    <xf numFmtId="164" fontId="125" fillId="0" borderId="1" xfId="0" applyNumberFormat="1" applyFont="1" applyFill="1" applyBorder="1" applyAlignment="1">
      <alignment horizontal="center" vertical="center"/>
    </xf>
    <xf numFmtId="164" fontId="125" fillId="2" borderId="1" xfId="0" applyNumberFormat="1" applyFont="1" applyFill="1" applyBorder="1" applyAlignment="1">
      <alignment horizontal="left" vertical="center" wrapText="1"/>
    </xf>
    <xf numFmtId="49" fontId="125" fillId="0" borderId="1" xfId="0" applyNumberFormat="1" applyFont="1" applyFill="1" applyBorder="1" applyAlignment="1">
      <alignment horizontal="center" vertical="center"/>
    </xf>
    <xf numFmtId="164" fontId="125" fillId="0" borderId="1" xfId="0" applyNumberFormat="1" applyFont="1" applyFill="1" applyBorder="1" applyAlignment="1">
      <alignment horizontal="center" vertical="center" wrapText="1"/>
    </xf>
    <xf numFmtId="164" fontId="127" fillId="0" borderId="1" xfId="0" applyNumberFormat="1" applyFont="1" applyFill="1" applyBorder="1" applyAlignment="1">
      <alignment horizontal="center" vertical="center" wrapText="1"/>
    </xf>
    <xf numFmtId="164" fontId="127" fillId="0" borderId="1" xfId="0" applyNumberFormat="1" applyFont="1" applyFill="1" applyBorder="1" applyAlignment="1">
      <alignment horizontal="center" vertical="center"/>
    </xf>
    <xf numFmtId="164" fontId="125" fillId="0" borderId="9" xfId="0" applyNumberFormat="1" applyFont="1" applyFill="1" applyBorder="1" applyAlignment="1">
      <alignment horizontal="center" vertical="center" wrapText="1"/>
    </xf>
    <xf numFmtId="164" fontId="125" fillId="0" borderId="9" xfId="0" applyNumberFormat="1" applyFont="1" applyFill="1" applyBorder="1" applyAlignment="1">
      <alignment horizontal="left" vertical="center" wrapText="1"/>
    </xf>
    <xf numFmtId="164" fontId="125" fillId="7" borderId="1" xfId="0" applyNumberFormat="1" applyFont="1" applyFill="1" applyBorder="1" applyAlignment="1">
      <alignment horizontal="center" vertical="center"/>
    </xf>
    <xf numFmtId="164" fontId="126" fillId="0" borderId="1" xfId="0" applyNumberFormat="1" applyFont="1" applyFill="1" applyBorder="1" applyAlignment="1">
      <alignment horizontal="center" vertical="center" wrapText="1"/>
    </xf>
    <xf numFmtId="164" fontId="125" fillId="0" borderId="1" xfId="0" applyNumberFormat="1" applyFont="1" applyFill="1" applyBorder="1" applyAlignment="1">
      <alignment horizontal="left" vertical="center" wrapText="1"/>
    </xf>
  </cellXfs>
  <cellStyles count="3">
    <cellStyle name="Heading 4" xfId="2" builtinId="19"/>
    <cellStyle name="Hyperlink" xfId="1" builtinId="8"/>
    <cellStyle name="Normal" xfId="0" builtinId="0"/>
  </cellStyles>
  <dxfs count="37">
    <dxf>
      <font>
        <b val="0"/>
        <i val="0"/>
        <strike val="0"/>
        <condense val="0"/>
        <extend val="0"/>
        <outline val="0"/>
        <shadow val="0"/>
        <u val="none"/>
        <vertAlign val="baseline"/>
        <sz val="11"/>
        <color theme="1"/>
        <name val="Tahoma"/>
        <scheme val="none"/>
      </font>
      <numFmt numFmtId="164" formatCode="#,##0_);\(#,##0\);&quot;-&quo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ahoma"/>
        <scheme val="none"/>
      </font>
      <numFmt numFmtId="164" formatCode="#,##0_);\(#,##0\);&quot;-&quo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_);\(#,##0\);&quot;-&quo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64" formatCode="#,##0_);\(#,##0\);&quot;-&quo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64" formatCode="#,##0_);\(#,##0\);&quot;-&quo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64" formatCode="#,##0_);\(#,##0\);&quot;-&quo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64" formatCode="#,##0_);\(#,##0\);&quot;-&quo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9" formatCode="dd/mm/yy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64" formatCode="#,##0_);\(#,##0\);&quot;-&quot;"/>
      <fill>
        <patternFill patternType="solid">
          <fgColor indexed="64"/>
          <bgColor theme="5"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64" formatCode="#,##0_);\(#,##0\);&quot;-&quo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Tahoma"/>
        <scheme val="none"/>
      </font>
      <numFmt numFmtId="164" formatCode="#,##0_);\(#,##0\);&quot;-&quo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64" formatCode="#,##0_);\(#,##0\);&quot;-&quot;"/>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9" formatCode="dd/mm/yy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strike val="0"/>
        <condense val="0"/>
        <extend val="0"/>
        <outline val="0"/>
        <shadow val="0"/>
        <u/>
        <vertAlign val="baseline"/>
        <sz val="13"/>
        <color theme="1"/>
        <name val="Tahoma"/>
        <scheme val="none"/>
      </font>
      <numFmt numFmtId="164" formatCode="#,##0_);\(#,##0\);&quot;-&quot;"/>
      <fill>
        <patternFill patternType="solid">
          <fgColor indexed="64"/>
          <bgColor rgb="FF92D05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color rgb="FF9C0006"/>
      </font>
      <fill>
        <patternFill>
          <bgColor rgb="FFFFC7CE"/>
        </patternFill>
      </fill>
    </dxf>
    <dxf>
      <fill>
        <patternFill>
          <bgColor theme="9" tint="0.79998168889431442"/>
        </patternFill>
      </fill>
    </dxf>
    <dxf>
      <fill>
        <patternFill>
          <bgColor theme="5" tint="0.39994506668294322"/>
        </patternFill>
      </fill>
    </dxf>
    <dxf>
      <fill>
        <patternFill>
          <bgColor theme="5" tint="0.39994506668294322"/>
        </patternFill>
      </fill>
    </dxf>
    <dxf>
      <font>
        <color rgb="FF9C0006"/>
      </font>
      <fill>
        <patternFill>
          <bgColor rgb="FFFFC7CE"/>
        </patternFill>
      </fill>
    </dxf>
    <dxf>
      <fill>
        <patternFill>
          <bgColor theme="9"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28</xdr:row>
          <xdr:rowOff>0</xdr:rowOff>
        </xdr:from>
        <xdr:to>
          <xdr:col>5</xdr:col>
          <xdr:colOff>257175</xdr:colOff>
          <xdr:row>29</xdr:row>
          <xdr:rowOff>47625</xdr:rowOff>
        </xdr:to>
        <xdr:sp macro="" textlink="">
          <xdr:nvSpPr>
            <xdr:cNvPr id="2049" name="Control 1" hidden="1">
              <a:extLst>
                <a:ext uri="{63B3BB69-23CF-44E3-9099-C40C66FF867C}">
                  <a14:compatExt spid="_x0000_s2049"/>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id="1" name="Table1" displayName="Table1" ref="A1:O1444" totalsRowShown="0" headerRowDxfId="18" headerRowBorderDxfId="17" tableBorderDxfId="16" totalsRowBorderDxfId="15">
  <autoFilter ref="A1:O1444"/>
  <tableColumns count="15">
    <tableColumn id="1" name="Ngày" dataDxfId="14"/>
    <tableColumn id="2" name="Số theo dõi" dataDxfId="13"/>
    <tableColumn id="3" name="Phân loại" dataDxfId="12"/>
    <tableColumn id="4" name="Mã SP/_x000a_ Item" dataDxfId="11"/>
    <tableColumn id="5" name="TÊN SẢN PHẨM/ Product's name" dataDxfId="10"/>
    <tableColumn id="6" name="Batch" dataDxfId="9"/>
    <tableColumn id="7" name="HSD" dataDxfId="8"/>
    <tableColumn id="8" name="LPN" dataDxfId="7"/>
    <tableColumn id="9" name="SỐ LƯỢNG" dataDxfId="6"/>
    <tableColumn id="10" name="Nội dung" dataDxfId="5"/>
    <tableColumn id="11" name="Tình trạng" dataDxfId="4"/>
    <tableColumn id="12" name="Ghi Chú" dataDxfId="3"/>
    <tableColumn id="13" name="Link dẫn" dataDxfId="2" dataCellStyle="Hyperlink">
      <calculatedColumnFormula>HYPERLINK("P:\7. LONG HAU\7. CAC THEO DOI TRONG QUA TRINH\4. DEVIATION- INCIDENTS\THEO DÕI NỘI BỘ (NGOÀI BBSC)\"&amp;YEAR(A2)&amp;"\"&amp;B2,B2)</calculatedColumnFormula>
    </tableColumn>
    <tableColumn id="14" name="Hành động" dataDxfId="1"/>
    <tableColumn id="15" name="Tồ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selection activeCell="D6" sqref="D6"/>
    </sheetView>
  </sheetViews>
  <sheetFormatPr defaultColWidth="9.140625" defaultRowHeight="18.75" x14ac:dyDescent="0.25"/>
  <cols>
    <col min="1" max="1" width="52" style="3" customWidth="1"/>
    <col min="2" max="2" width="74.85546875" style="6" customWidth="1"/>
    <col min="3" max="3" width="9.140625" style="3"/>
    <col min="4" max="4" width="19.5703125" style="3" bestFit="1" customWidth="1"/>
    <col min="5" max="9" width="9.140625" style="3"/>
    <col min="10" max="10" width="19.5703125" style="3" bestFit="1" customWidth="1"/>
    <col min="11" max="16384" width="9.140625" style="3"/>
  </cols>
  <sheetData>
    <row r="1" spans="1:10" x14ac:dyDescent="0.25">
      <c r="A1" s="1" t="s">
        <v>6</v>
      </c>
      <c r="B1" s="2" t="s">
        <v>12</v>
      </c>
      <c r="D1" s="8" t="s">
        <v>1077</v>
      </c>
    </row>
    <row r="2" spans="1:10" ht="37.5" x14ac:dyDescent="0.25">
      <c r="A2" s="4" t="s">
        <v>5</v>
      </c>
      <c r="B2" s="5" t="s">
        <v>14</v>
      </c>
      <c r="D2" s="7" t="s">
        <v>1071</v>
      </c>
      <c r="H2" s="3" t="s">
        <v>990</v>
      </c>
      <c r="J2" s="3" t="s">
        <v>1076</v>
      </c>
    </row>
    <row r="3" spans="1:10" x14ac:dyDescent="0.25">
      <c r="A3" s="4" t="s">
        <v>576</v>
      </c>
      <c r="B3" s="5" t="s">
        <v>577</v>
      </c>
      <c r="D3" s="7" t="s">
        <v>1072</v>
      </c>
      <c r="H3" s="3" t="s">
        <v>991</v>
      </c>
      <c r="J3" s="3" t="s">
        <v>438</v>
      </c>
    </row>
    <row r="4" spans="1:10" ht="37.5" x14ac:dyDescent="0.25">
      <c r="A4" s="4" t="s">
        <v>143</v>
      </c>
      <c r="B4" s="5" t="s">
        <v>144</v>
      </c>
      <c r="D4" s="7" t="s">
        <v>1074</v>
      </c>
      <c r="J4" s="3" t="s">
        <v>1074</v>
      </c>
    </row>
    <row r="5" spans="1:10" ht="37.5" x14ac:dyDescent="0.25">
      <c r="A5" s="4" t="s">
        <v>11</v>
      </c>
      <c r="B5" s="5" t="s">
        <v>16</v>
      </c>
      <c r="D5" s="7" t="s">
        <v>1089</v>
      </c>
      <c r="J5" s="3" t="s">
        <v>1075</v>
      </c>
    </row>
    <row r="6" spans="1:10" x14ac:dyDescent="0.25">
      <c r="A6" s="4" t="s">
        <v>288</v>
      </c>
      <c r="B6" s="5"/>
      <c r="D6" s="7" t="s">
        <v>1073</v>
      </c>
      <c r="J6" s="3" t="s">
        <v>1073</v>
      </c>
    </row>
    <row r="7" spans="1:10" x14ac:dyDescent="0.25">
      <c r="A7" s="4" t="s">
        <v>235</v>
      </c>
      <c r="B7" s="5" t="s">
        <v>236</v>
      </c>
      <c r="D7" s="7" t="s">
        <v>1645</v>
      </c>
    </row>
    <row r="8" spans="1:10" x14ac:dyDescent="0.25">
      <c r="A8" s="4" t="s">
        <v>504</v>
      </c>
      <c r="B8" s="5"/>
    </row>
    <row r="9" spans="1:10" x14ac:dyDescent="0.25">
      <c r="A9" s="4" t="s">
        <v>646</v>
      </c>
      <c r="B9" s="5"/>
    </row>
    <row r="10" spans="1:10" ht="37.5" x14ac:dyDescent="0.25">
      <c r="A10" s="4" t="s">
        <v>216</v>
      </c>
      <c r="B10" s="5" t="s">
        <v>413</v>
      </c>
    </row>
    <row r="11" spans="1:10" x14ac:dyDescent="0.25">
      <c r="A11" s="4" t="s">
        <v>541</v>
      </c>
      <c r="B11" s="5" t="s">
        <v>542</v>
      </c>
    </row>
    <row r="12" spans="1:10" x14ac:dyDescent="0.25">
      <c r="A12" s="4" t="s">
        <v>78</v>
      </c>
      <c r="B12" s="5" t="s">
        <v>13</v>
      </c>
    </row>
    <row r="13" spans="1:10" x14ac:dyDescent="0.25">
      <c r="A13" s="4" t="s">
        <v>109</v>
      </c>
      <c r="B13" s="5" t="s">
        <v>15</v>
      </c>
    </row>
    <row r="15" spans="1:10" x14ac:dyDescent="0.25">
      <c r="A15" s="1" t="s">
        <v>6</v>
      </c>
      <c r="B15" s="2" t="s">
        <v>12</v>
      </c>
    </row>
    <row r="16" spans="1:10" x14ac:dyDescent="0.25">
      <c r="A16" s="4" t="s">
        <v>1065</v>
      </c>
      <c r="B16" s="5"/>
    </row>
    <row r="17" spans="1:2" x14ac:dyDescent="0.25">
      <c r="A17" s="4" t="s">
        <v>1066</v>
      </c>
      <c r="B17" s="5" t="s">
        <v>1067</v>
      </c>
    </row>
    <row r="18" spans="1:2" x14ac:dyDescent="0.25">
      <c r="A18" s="4" t="s">
        <v>547</v>
      </c>
      <c r="B18" s="5" t="s">
        <v>1070</v>
      </c>
    </row>
    <row r="19" spans="1:2" x14ac:dyDescent="0.25">
      <c r="A19" s="4" t="s">
        <v>1068</v>
      </c>
      <c r="B19" s="5" t="s">
        <v>1069</v>
      </c>
    </row>
    <row r="20" spans="1:2" x14ac:dyDescent="0.25">
      <c r="A20" s="4" t="s">
        <v>1103</v>
      </c>
      <c r="B20" s="5"/>
    </row>
    <row r="21" spans="1:2" x14ac:dyDescent="0.25">
      <c r="A21" s="4" t="s">
        <v>1236</v>
      </c>
      <c r="B21" s="5" t="s">
        <v>1237</v>
      </c>
    </row>
    <row r="22" spans="1:2" x14ac:dyDescent="0.25">
      <c r="A22" s="4" t="s">
        <v>1477</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Y1444"/>
  <sheetViews>
    <sheetView tabSelected="1" zoomScale="90" zoomScaleNormal="90" workbookViewId="0">
      <pane xSplit="3" ySplit="1" topLeftCell="D1340" activePane="bottomRight" state="frozen"/>
      <selection pane="topRight" activeCell="D1" sqref="D1"/>
      <selection pane="bottomLeft" activeCell="A2" sqref="A2"/>
      <selection pane="bottomRight" activeCell="F1356" sqref="F1356"/>
    </sheetView>
  </sheetViews>
  <sheetFormatPr defaultColWidth="9.140625" defaultRowHeight="14.25" x14ac:dyDescent="0.25"/>
  <cols>
    <col min="1" max="1" width="12.42578125" style="201" customWidth="1"/>
    <col min="2" max="2" width="18.42578125" style="30" customWidth="1"/>
    <col min="3" max="3" width="26.28515625" style="32" bestFit="1" customWidth="1"/>
    <col min="4" max="4" width="17.140625" style="30" bestFit="1" customWidth="1"/>
    <col min="5" max="5" width="55.28515625" style="33" customWidth="1"/>
    <col min="6" max="6" width="14" style="229" bestFit="1" customWidth="1"/>
    <col min="7" max="7" width="13.28515625" style="201" bestFit="1" customWidth="1"/>
    <col min="8" max="8" width="22.42578125" style="229" customWidth="1"/>
    <col min="9" max="9" width="17.7109375" style="30" customWidth="1"/>
    <col min="10" max="10" width="46" style="33" customWidth="1"/>
    <col min="11" max="11" width="21.7109375" style="34" customWidth="1"/>
    <col min="12" max="12" width="29.7109375" style="31" customWidth="1"/>
    <col min="13" max="13" width="14.5703125" style="30" customWidth="1"/>
    <col min="14" max="14" width="38.85546875" style="31" customWidth="1"/>
    <col min="15" max="15" width="30.5703125" style="30" customWidth="1"/>
    <col min="16" max="16384" width="9.140625" style="30"/>
  </cols>
  <sheetData>
    <row r="1" spans="1:25" s="27" customFormat="1" ht="33" x14ac:dyDescent="0.25">
      <c r="A1" s="295" t="s">
        <v>2</v>
      </c>
      <c r="B1" s="296" t="s">
        <v>107</v>
      </c>
      <c r="C1" s="297" t="s">
        <v>6</v>
      </c>
      <c r="D1" s="297" t="s">
        <v>106</v>
      </c>
      <c r="E1" s="297" t="s">
        <v>0</v>
      </c>
      <c r="F1" s="298" t="s">
        <v>9</v>
      </c>
      <c r="G1" s="299" t="s">
        <v>3</v>
      </c>
      <c r="H1" s="298" t="s">
        <v>1</v>
      </c>
      <c r="I1" s="296" t="s">
        <v>4</v>
      </c>
      <c r="J1" s="297" t="s">
        <v>7</v>
      </c>
      <c r="K1" s="297" t="s">
        <v>8</v>
      </c>
      <c r="L1" s="297" t="s">
        <v>108</v>
      </c>
      <c r="M1" s="296" t="s">
        <v>237</v>
      </c>
      <c r="N1" s="296" t="s">
        <v>842</v>
      </c>
      <c r="O1" s="300" t="s">
        <v>989</v>
      </c>
    </row>
    <row r="2" spans="1:25" s="28" customFormat="1" ht="15" x14ac:dyDescent="0.25">
      <c r="A2" s="230">
        <v>45440</v>
      </c>
      <c r="B2" s="35" t="s">
        <v>17</v>
      </c>
      <c r="C2" s="36" t="s">
        <v>1236</v>
      </c>
      <c r="D2" s="37" t="s">
        <v>20</v>
      </c>
      <c r="E2" s="38" t="s">
        <v>21</v>
      </c>
      <c r="F2" s="202" t="s">
        <v>19</v>
      </c>
      <c r="G2" s="230">
        <v>45961</v>
      </c>
      <c r="H2" s="202" t="s">
        <v>18</v>
      </c>
      <c r="I2" s="37">
        <v>300</v>
      </c>
      <c r="J2" s="50" t="s">
        <v>1301</v>
      </c>
      <c r="K2" s="40"/>
      <c r="L2" s="39"/>
      <c r="M2" s="41" t="str">
        <f t="shared" ref="M2:M65" si="0">HYPERLINK("P:\7. LONG HAU\7. CAC THEO DOI TRONG QUA TRINH\4. DEVIATION- INCIDENTS\THEO DÕI NỘI BỘ (NGOÀI BBSC)\"&amp;YEAR(A2)&amp;"\"&amp;B2,B2)</f>
        <v>INT-0001-24</v>
      </c>
      <c r="N2" s="42"/>
      <c r="O2" s="46" t="s">
        <v>991</v>
      </c>
    </row>
    <row r="3" spans="1:25" s="28" customFormat="1" ht="15" x14ac:dyDescent="0.25">
      <c r="A3" s="230">
        <v>45446</v>
      </c>
      <c r="B3" s="35" t="s">
        <v>22</v>
      </c>
      <c r="C3" s="36" t="s">
        <v>10</v>
      </c>
      <c r="D3" s="37" t="s">
        <v>23</v>
      </c>
      <c r="E3" s="38" t="s">
        <v>24</v>
      </c>
      <c r="F3" s="202" t="s">
        <v>25</v>
      </c>
      <c r="G3" s="230">
        <v>46142</v>
      </c>
      <c r="H3" s="202" t="s">
        <v>26</v>
      </c>
      <c r="I3" s="37">
        <v>1</v>
      </c>
      <c r="J3" s="50" t="s">
        <v>27</v>
      </c>
      <c r="K3" s="40" t="s">
        <v>1089</v>
      </c>
      <c r="L3" s="39" t="s">
        <v>290</v>
      </c>
      <c r="M3" s="41" t="str">
        <f t="shared" si="0"/>
        <v>INT-0002-24</v>
      </c>
      <c r="N3" s="42"/>
      <c r="O3" s="46" t="s">
        <v>991</v>
      </c>
    </row>
    <row r="4" spans="1:25" s="28" customFormat="1" ht="15" x14ac:dyDescent="0.25">
      <c r="A4" s="230">
        <v>45446</v>
      </c>
      <c r="B4" s="35" t="s">
        <v>77</v>
      </c>
      <c r="C4" s="36" t="s">
        <v>1066</v>
      </c>
      <c r="D4" s="37" t="s">
        <v>28</v>
      </c>
      <c r="E4" s="38" t="s">
        <v>29</v>
      </c>
      <c r="F4" s="202" t="s">
        <v>30</v>
      </c>
      <c r="G4" s="230">
        <v>45443</v>
      </c>
      <c r="H4" s="202" t="s">
        <v>50</v>
      </c>
      <c r="I4" s="37">
        <v>7</v>
      </c>
      <c r="J4" s="50" t="s">
        <v>76</v>
      </c>
      <c r="K4" s="40" t="s">
        <v>1073</v>
      </c>
      <c r="L4" s="39"/>
      <c r="M4" s="41" t="str">
        <f t="shared" si="0"/>
        <v>INT-0003-24</v>
      </c>
      <c r="N4" s="42"/>
      <c r="O4" s="46" t="s">
        <v>990</v>
      </c>
    </row>
    <row r="5" spans="1:25" s="28" customFormat="1" ht="15" x14ac:dyDescent="0.25">
      <c r="A5" s="230">
        <v>45446</v>
      </c>
      <c r="B5" s="35" t="s">
        <v>77</v>
      </c>
      <c r="C5" s="36" t="s">
        <v>1066</v>
      </c>
      <c r="D5" s="37" t="s">
        <v>31</v>
      </c>
      <c r="E5" s="38" t="s">
        <v>32</v>
      </c>
      <c r="F5" s="202" t="s">
        <v>66</v>
      </c>
      <c r="G5" s="230">
        <v>45443</v>
      </c>
      <c r="H5" s="202" t="s">
        <v>51</v>
      </c>
      <c r="I5" s="37">
        <v>18</v>
      </c>
      <c r="J5" s="50" t="s">
        <v>76</v>
      </c>
      <c r="K5" s="40" t="s">
        <v>1073</v>
      </c>
      <c r="L5" s="39"/>
      <c r="M5" s="41" t="str">
        <f t="shared" si="0"/>
        <v>INT-0003-24</v>
      </c>
      <c r="N5" s="42"/>
      <c r="O5" s="46" t="s">
        <v>990</v>
      </c>
      <c r="Y5" s="29"/>
    </row>
    <row r="6" spans="1:25" s="28" customFormat="1" ht="15" x14ac:dyDescent="0.25">
      <c r="A6" s="230">
        <v>45446</v>
      </c>
      <c r="B6" s="35" t="s">
        <v>77</v>
      </c>
      <c r="C6" s="36" t="s">
        <v>1066</v>
      </c>
      <c r="D6" s="37" t="s">
        <v>28</v>
      </c>
      <c r="E6" s="38" t="s">
        <v>29</v>
      </c>
      <c r="F6" s="202" t="s">
        <v>33</v>
      </c>
      <c r="G6" s="230">
        <v>45443</v>
      </c>
      <c r="H6" s="202" t="s">
        <v>52</v>
      </c>
      <c r="I6" s="37">
        <v>4</v>
      </c>
      <c r="J6" s="50" t="s">
        <v>76</v>
      </c>
      <c r="K6" s="40" t="s">
        <v>1073</v>
      </c>
      <c r="L6" s="39"/>
      <c r="M6" s="41" t="str">
        <f t="shared" si="0"/>
        <v>INT-0003-24</v>
      </c>
      <c r="N6" s="42"/>
      <c r="O6" s="46" t="s">
        <v>990</v>
      </c>
      <c r="X6" s="29"/>
    </row>
    <row r="7" spans="1:25" s="28" customFormat="1" ht="15" x14ac:dyDescent="0.25">
      <c r="A7" s="230">
        <v>45446</v>
      </c>
      <c r="B7" s="35" t="s">
        <v>77</v>
      </c>
      <c r="C7" s="36" t="s">
        <v>1066</v>
      </c>
      <c r="D7" s="37" t="s">
        <v>34</v>
      </c>
      <c r="E7" s="38" t="s">
        <v>35</v>
      </c>
      <c r="F7" s="202" t="s">
        <v>67</v>
      </c>
      <c r="G7" s="230">
        <v>45443</v>
      </c>
      <c r="H7" s="202" t="s">
        <v>53</v>
      </c>
      <c r="I7" s="37">
        <v>3</v>
      </c>
      <c r="J7" s="50" t="s">
        <v>76</v>
      </c>
      <c r="K7" s="40" t="s">
        <v>1073</v>
      </c>
      <c r="L7" s="39"/>
      <c r="M7" s="41" t="str">
        <f t="shared" si="0"/>
        <v>INT-0003-24</v>
      </c>
      <c r="N7" s="42"/>
      <c r="O7" s="46" t="s">
        <v>990</v>
      </c>
      <c r="X7" s="29"/>
    </row>
    <row r="8" spans="1:25" s="28" customFormat="1" ht="15" x14ac:dyDescent="0.25">
      <c r="A8" s="230">
        <v>45446</v>
      </c>
      <c r="B8" s="35" t="s">
        <v>77</v>
      </c>
      <c r="C8" s="36" t="s">
        <v>1066</v>
      </c>
      <c r="D8" s="37" t="s">
        <v>36</v>
      </c>
      <c r="E8" s="38" t="s">
        <v>37</v>
      </c>
      <c r="F8" s="202" t="s">
        <v>68</v>
      </c>
      <c r="G8" s="230">
        <v>45443</v>
      </c>
      <c r="H8" s="202" t="s">
        <v>54</v>
      </c>
      <c r="I8" s="37">
        <v>16</v>
      </c>
      <c r="J8" s="50" t="s">
        <v>76</v>
      </c>
      <c r="K8" s="40" t="s">
        <v>1073</v>
      </c>
      <c r="L8" s="39"/>
      <c r="M8" s="41" t="str">
        <f t="shared" si="0"/>
        <v>INT-0003-24</v>
      </c>
      <c r="N8" s="42"/>
      <c r="O8" s="46" t="s">
        <v>990</v>
      </c>
      <c r="X8" s="29"/>
    </row>
    <row r="9" spans="1:25" s="28" customFormat="1" ht="15" x14ac:dyDescent="0.25">
      <c r="A9" s="230">
        <v>45446</v>
      </c>
      <c r="B9" s="35" t="s">
        <v>77</v>
      </c>
      <c r="C9" s="36" t="s">
        <v>1066</v>
      </c>
      <c r="D9" s="37" t="s">
        <v>36</v>
      </c>
      <c r="E9" s="38" t="s">
        <v>37</v>
      </c>
      <c r="F9" s="202" t="s">
        <v>69</v>
      </c>
      <c r="G9" s="230">
        <v>45443</v>
      </c>
      <c r="H9" s="202" t="s">
        <v>55</v>
      </c>
      <c r="I9" s="37">
        <v>1</v>
      </c>
      <c r="J9" s="50" t="s">
        <v>76</v>
      </c>
      <c r="K9" s="40" t="s">
        <v>1073</v>
      </c>
      <c r="L9" s="39"/>
      <c r="M9" s="41" t="str">
        <f t="shared" si="0"/>
        <v>INT-0003-24</v>
      </c>
      <c r="N9" s="42"/>
      <c r="O9" s="46" t="s">
        <v>990</v>
      </c>
    </row>
    <row r="10" spans="1:25" s="28" customFormat="1" ht="15" x14ac:dyDescent="0.25">
      <c r="A10" s="230">
        <v>45446</v>
      </c>
      <c r="B10" s="35" t="s">
        <v>77</v>
      </c>
      <c r="C10" s="36" t="s">
        <v>1066</v>
      </c>
      <c r="D10" s="37" t="s">
        <v>31</v>
      </c>
      <c r="E10" s="38" t="s">
        <v>32</v>
      </c>
      <c r="F10" s="202" t="s">
        <v>38</v>
      </c>
      <c r="G10" s="230">
        <v>45443</v>
      </c>
      <c r="H10" s="202" t="s">
        <v>56</v>
      </c>
      <c r="I10" s="37">
        <v>25</v>
      </c>
      <c r="J10" s="50" t="s">
        <v>76</v>
      </c>
      <c r="K10" s="40" t="s">
        <v>1073</v>
      </c>
      <c r="L10" s="39"/>
      <c r="M10" s="41" t="str">
        <f t="shared" si="0"/>
        <v>INT-0003-24</v>
      </c>
      <c r="N10" s="42"/>
      <c r="O10" s="46" t="s">
        <v>990</v>
      </c>
    </row>
    <row r="11" spans="1:25" s="28" customFormat="1" ht="15" x14ac:dyDescent="0.25">
      <c r="A11" s="230">
        <v>45446</v>
      </c>
      <c r="B11" s="35" t="s">
        <v>77</v>
      </c>
      <c r="C11" s="36" t="s">
        <v>1066</v>
      </c>
      <c r="D11" s="37" t="s">
        <v>34</v>
      </c>
      <c r="E11" s="38" t="s">
        <v>35</v>
      </c>
      <c r="F11" s="202" t="s">
        <v>70</v>
      </c>
      <c r="G11" s="230">
        <v>45443</v>
      </c>
      <c r="H11" s="202" t="s">
        <v>57</v>
      </c>
      <c r="I11" s="37">
        <v>6</v>
      </c>
      <c r="J11" s="50" t="s">
        <v>76</v>
      </c>
      <c r="K11" s="40" t="s">
        <v>1073</v>
      </c>
      <c r="L11" s="39"/>
      <c r="M11" s="41" t="str">
        <f t="shared" si="0"/>
        <v>INT-0003-24</v>
      </c>
      <c r="N11" s="42"/>
      <c r="O11" s="46" t="s">
        <v>990</v>
      </c>
    </row>
    <row r="12" spans="1:25" s="28" customFormat="1" ht="15" x14ac:dyDescent="0.25">
      <c r="A12" s="230">
        <v>45446</v>
      </c>
      <c r="B12" s="35" t="s">
        <v>77</v>
      </c>
      <c r="C12" s="36" t="s">
        <v>1066</v>
      </c>
      <c r="D12" s="37" t="s">
        <v>39</v>
      </c>
      <c r="E12" s="38" t="s">
        <v>40</v>
      </c>
      <c r="F12" s="202" t="s">
        <v>71</v>
      </c>
      <c r="G12" s="230">
        <v>45443</v>
      </c>
      <c r="H12" s="202" t="s">
        <v>58</v>
      </c>
      <c r="I12" s="37">
        <v>10</v>
      </c>
      <c r="J12" s="50" t="s">
        <v>76</v>
      </c>
      <c r="K12" s="40" t="s">
        <v>1073</v>
      </c>
      <c r="L12" s="39"/>
      <c r="M12" s="41" t="str">
        <f t="shared" si="0"/>
        <v>INT-0003-24</v>
      </c>
      <c r="N12" s="42"/>
      <c r="O12" s="46" t="s">
        <v>990</v>
      </c>
    </row>
    <row r="13" spans="1:25" s="28" customFormat="1" ht="15" x14ac:dyDescent="0.25">
      <c r="A13" s="230">
        <v>45446</v>
      </c>
      <c r="B13" s="35" t="s">
        <v>77</v>
      </c>
      <c r="C13" s="36" t="s">
        <v>1066</v>
      </c>
      <c r="D13" s="37" t="s">
        <v>28</v>
      </c>
      <c r="E13" s="38" t="s">
        <v>29</v>
      </c>
      <c r="F13" s="202" t="s">
        <v>41</v>
      </c>
      <c r="G13" s="230">
        <v>45473</v>
      </c>
      <c r="H13" s="202" t="s">
        <v>59</v>
      </c>
      <c r="I13" s="37">
        <v>1</v>
      </c>
      <c r="J13" s="50" t="s">
        <v>76</v>
      </c>
      <c r="K13" s="40" t="s">
        <v>1073</v>
      </c>
      <c r="L13" s="39"/>
      <c r="M13" s="41" t="str">
        <f t="shared" si="0"/>
        <v>INT-0003-24</v>
      </c>
      <c r="N13" s="42"/>
      <c r="O13" s="46" t="s">
        <v>990</v>
      </c>
    </row>
    <row r="14" spans="1:25" s="28" customFormat="1" ht="15" x14ac:dyDescent="0.25">
      <c r="A14" s="230">
        <v>45446</v>
      </c>
      <c r="B14" s="35" t="s">
        <v>77</v>
      </c>
      <c r="C14" s="36" t="s">
        <v>1066</v>
      </c>
      <c r="D14" s="37" t="s">
        <v>42</v>
      </c>
      <c r="E14" s="38" t="s">
        <v>43</v>
      </c>
      <c r="F14" s="202" t="s">
        <v>72</v>
      </c>
      <c r="G14" s="230">
        <v>45473</v>
      </c>
      <c r="H14" s="202" t="s">
        <v>60</v>
      </c>
      <c r="I14" s="37">
        <v>4</v>
      </c>
      <c r="J14" s="50" t="s">
        <v>76</v>
      </c>
      <c r="K14" s="40" t="s">
        <v>1073</v>
      </c>
      <c r="L14" s="39"/>
      <c r="M14" s="41" t="str">
        <f t="shared" si="0"/>
        <v>INT-0003-24</v>
      </c>
      <c r="N14" s="42"/>
      <c r="O14" s="46" t="s">
        <v>990</v>
      </c>
    </row>
    <row r="15" spans="1:25" s="28" customFormat="1" ht="15" x14ac:dyDescent="0.25">
      <c r="A15" s="230">
        <v>45446</v>
      </c>
      <c r="B15" s="35" t="s">
        <v>77</v>
      </c>
      <c r="C15" s="36" t="s">
        <v>1066</v>
      </c>
      <c r="D15" s="37" t="s">
        <v>42</v>
      </c>
      <c r="E15" s="38" t="s">
        <v>43</v>
      </c>
      <c r="F15" s="202" t="s">
        <v>73</v>
      </c>
      <c r="G15" s="230">
        <v>45473</v>
      </c>
      <c r="H15" s="202" t="s">
        <v>61</v>
      </c>
      <c r="I15" s="37">
        <v>8</v>
      </c>
      <c r="J15" s="50" t="s">
        <v>76</v>
      </c>
      <c r="K15" s="40" t="s">
        <v>1073</v>
      </c>
      <c r="L15" s="39"/>
      <c r="M15" s="41" t="str">
        <f t="shared" si="0"/>
        <v>INT-0003-24</v>
      </c>
      <c r="N15" s="42"/>
      <c r="O15" s="46" t="s">
        <v>990</v>
      </c>
    </row>
    <row r="16" spans="1:25" s="28" customFormat="1" ht="25.5" x14ac:dyDescent="0.25">
      <c r="A16" s="230">
        <v>45446</v>
      </c>
      <c r="B16" s="35" t="s">
        <v>77</v>
      </c>
      <c r="C16" s="36" t="s">
        <v>1066</v>
      </c>
      <c r="D16" s="37" t="s">
        <v>44</v>
      </c>
      <c r="E16" s="38" t="s">
        <v>45</v>
      </c>
      <c r="F16" s="202" t="s">
        <v>46</v>
      </c>
      <c r="G16" s="230">
        <v>45565</v>
      </c>
      <c r="H16" s="202" t="s">
        <v>62</v>
      </c>
      <c r="I16" s="37">
        <v>2</v>
      </c>
      <c r="J16" s="50" t="s">
        <v>76</v>
      </c>
      <c r="K16" s="40" t="s">
        <v>1073</v>
      </c>
      <c r="L16" s="39" t="s">
        <v>1064</v>
      </c>
      <c r="M16" s="41" t="str">
        <f t="shared" si="0"/>
        <v>INT-0003-24</v>
      </c>
      <c r="N16" s="42"/>
      <c r="O16" s="301" t="s">
        <v>991</v>
      </c>
    </row>
    <row r="17" spans="1:15" s="28" customFormat="1" ht="15" x14ac:dyDescent="0.25">
      <c r="A17" s="230">
        <v>45446</v>
      </c>
      <c r="B17" s="35" t="s">
        <v>77</v>
      </c>
      <c r="C17" s="36" t="s">
        <v>1066</v>
      </c>
      <c r="D17" s="37" t="s">
        <v>34</v>
      </c>
      <c r="E17" s="38" t="s">
        <v>35</v>
      </c>
      <c r="F17" s="202" t="s">
        <v>74</v>
      </c>
      <c r="G17" s="230">
        <v>45565</v>
      </c>
      <c r="H17" s="202" t="s">
        <v>63</v>
      </c>
      <c r="I17" s="37">
        <v>2</v>
      </c>
      <c r="J17" s="50" t="s">
        <v>76</v>
      </c>
      <c r="K17" s="40" t="s">
        <v>1073</v>
      </c>
      <c r="L17" s="39" t="s">
        <v>1064</v>
      </c>
      <c r="M17" s="41" t="str">
        <f t="shared" si="0"/>
        <v>INT-0003-24</v>
      </c>
      <c r="N17" s="42"/>
      <c r="O17" s="46" t="s">
        <v>991</v>
      </c>
    </row>
    <row r="18" spans="1:15" s="28" customFormat="1" ht="15" x14ac:dyDescent="0.25">
      <c r="A18" s="230">
        <v>45446</v>
      </c>
      <c r="B18" s="35" t="s">
        <v>77</v>
      </c>
      <c r="C18" s="36" t="s">
        <v>1066</v>
      </c>
      <c r="D18" s="37" t="s">
        <v>39</v>
      </c>
      <c r="E18" s="38" t="s">
        <v>40</v>
      </c>
      <c r="F18" s="202" t="s">
        <v>75</v>
      </c>
      <c r="G18" s="230">
        <v>45535</v>
      </c>
      <c r="H18" s="202" t="s">
        <v>64</v>
      </c>
      <c r="I18" s="37">
        <v>1</v>
      </c>
      <c r="J18" s="50" t="s">
        <v>76</v>
      </c>
      <c r="K18" s="40" t="s">
        <v>1073</v>
      </c>
      <c r="L18" s="39" t="s">
        <v>1064</v>
      </c>
      <c r="M18" s="41" t="str">
        <f t="shared" si="0"/>
        <v>INT-0003-24</v>
      </c>
      <c r="N18" s="42"/>
      <c r="O18" s="46" t="s">
        <v>991</v>
      </c>
    </row>
    <row r="19" spans="1:15" s="28" customFormat="1" ht="15" x14ac:dyDescent="0.25">
      <c r="A19" s="230">
        <v>45446</v>
      </c>
      <c r="B19" s="35" t="s">
        <v>77</v>
      </c>
      <c r="C19" s="36" t="s">
        <v>1066</v>
      </c>
      <c r="D19" s="37" t="s">
        <v>47</v>
      </c>
      <c r="E19" s="38" t="s">
        <v>48</v>
      </c>
      <c r="F19" s="202" t="s">
        <v>49</v>
      </c>
      <c r="G19" s="230">
        <v>45504</v>
      </c>
      <c r="H19" s="202" t="s">
        <v>65</v>
      </c>
      <c r="I19" s="37">
        <v>1</v>
      </c>
      <c r="J19" s="50" t="s">
        <v>76</v>
      </c>
      <c r="K19" s="40" t="s">
        <v>1073</v>
      </c>
      <c r="L19" s="39" t="s">
        <v>1064</v>
      </c>
      <c r="M19" s="41" t="str">
        <f t="shared" si="0"/>
        <v>INT-0003-24</v>
      </c>
      <c r="N19" s="42"/>
      <c r="O19" s="46" t="s">
        <v>990</v>
      </c>
    </row>
    <row r="20" spans="1:15" s="28" customFormat="1" ht="15" x14ac:dyDescent="0.2">
      <c r="A20" s="230">
        <v>45446</v>
      </c>
      <c r="B20" s="35" t="s">
        <v>83</v>
      </c>
      <c r="C20" s="36" t="s">
        <v>1066</v>
      </c>
      <c r="D20" s="37" t="s">
        <v>79</v>
      </c>
      <c r="E20" s="38" t="s">
        <v>80</v>
      </c>
      <c r="F20" s="202" t="s">
        <v>81</v>
      </c>
      <c r="G20" s="230">
        <v>46187</v>
      </c>
      <c r="H20" s="202" t="s">
        <v>82</v>
      </c>
      <c r="I20" s="37">
        <v>2.92</v>
      </c>
      <c r="J20" s="50" t="s">
        <v>84</v>
      </c>
      <c r="K20" s="40" t="s">
        <v>1089</v>
      </c>
      <c r="L20" s="39" t="s">
        <v>1064</v>
      </c>
      <c r="M20" s="41" t="str">
        <f t="shared" si="0"/>
        <v>INT-0004-24</v>
      </c>
      <c r="N20" s="43"/>
      <c r="O20" s="46" t="s">
        <v>991</v>
      </c>
    </row>
    <row r="21" spans="1:15" s="28" customFormat="1" ht="25.5" x14ac:dyDescent="0.25">
      <c r="A21" s="230">
        <v>45450</v>
      </c>
      <c r="B21" s="35" t="s">
        <v>86</v>
      </c>
      <c r="C21" s="36" t="s">
        <v>1066</v>
      </c>
      <c r="D21" s="37" t="s">
        <v>220</v>
      </c>
      <c r="E21" s="38" t="s">
        <v>221</v>
      </c>
      <c r="F21" s="202" t="s">
        <v>222</v>
      </c>
      <c r="G21" s="230">
        <v>45638</v>
      </c>
      <c r="H21" s="202" t="s">
        <v>230</v>
      </c>
      <c r="I21" s="37">
        <v>1</v>
      </c>
      <c r="J21" s="50" t="s">
        <v>233</v>
      </c>
      <c r="K21" s="40" t="s">
        <v>1074</v>
      </c>
      <c r="L21" s="39" t="s">
        <v>1064</v>
      </c>
      <c r="M21" s="41" t="str">
        <f t="shared" si="0"/>
        <v>INT-0005-24</v>
      </c>
      <c r="N21" s="42"/>
      <c r="O21" s="46" t="s">
        <v>991</v>
      </c>
    </row>
    <row r="22" spans="1:15" s="28" customFormat="1" ht="25.5" x14ac:dyDescent="0.25">
      <c r="A22" s="230">
        <v>45450</v>
      </c>
      <c r="B22" s="35" t="s">
        <v>86</v>
      </c>
      <c r="C22" s="36" t="s">
        <v>1066</v>
      </c>
      <c r="D22" s="37" t="s">
        <v>217</v>
      </c>
      <c r="E22" s="38" t="s">
        <v>218</v>
      </c>
      <c r="F22" s="202" t="s">
        <v>219</v>
      </c>
      <c r="G22" s="230">
        <v>45660</v>
      </c>
      <c r="H22" s="202" t="s">
        <v>231</v>
      </c>
      <c r="I22" s="37">
        <v>1</v>
      </c>
      <c r="J22" s="50" t="s">
        <v>233</v>
      </c>
      <c r="K22" s="40" t="s">
        <v>1074</v>
      </c>
      <c r="L22" s="39" t="s">
        <v>1064</v>
      </c>
      <c r="M22" s="41" t="str">
        <f t="shared" si="0"/>
        <v>INT-0005-24</v>
      </c>
      <c r="N22" s="42"/>
      <c r="O22" s="46" t="s">
        <v>991</v>
      </c>
    </row>
    <row r="23" spans="1:15" s="28" customFormat="1" ht="25.5" x14ac:dyDescent="0.25">
      <c r="A23" s="230">
        <v>45450</v>
      </c>
      <c r="B23" s="35" t="s">
        <v>86</v>
      </c>
      <c r="C23" s="36" t="s">
        <v>1066</v>
      </c>
      <c r="D23" s="37" t="s">
        <v>223</v>
      </c>
      <c r="E23" s="38" t="s">
        <v>224</v>
      </c>
      <c r="F23" s="202" t="s">
        <v>225</v>
      </c>
      <c r="G23" s="230">
        <v>45768</v>
      </c>
      <c r="H23" s="202" t="s">
        <v>232</v>
      </c>
      <c r="I23" s="37">
        <v>1</v>
      </c>
      <c r="J23" s="50" t="s">
        <v>233</v>
      </c>
      <c r="K23" s="40" t="s">
        <v>1074</v>
      </c>
      <c r="L23" s="39" t="s">
        <v>1064</v>
      </c>
      <c r="M23" s="41" t="str">
        <f t="shared" si="0"/>
        <v>INT-0005-24</v>
      </c>
      <c r="N23" s="42"/>
      <c r="O23" s="46" t="s">
        <v>991</v>
      </c>
    </row>
    <row r="24" spans="1:15" s="28" customFormat="1" ht="25.5" x14ac:dyDescent="0.25">
      <c r="A24" s="230">
        <v>45450</v>
      </c>
      <c r="B24" s="35" t="s">
        <v>86</v>
      </c>
      <c r="C24" s="36" t="s">
        <v>1066</v>
      </c>
      <c r="D24" s="37" t="s">
        <v>226</v>
      </c>
      <c r="E24" s="38" t="s">
        <v>227</v>
      </c>
      <c r="F24" s="202" t="s">
        <v>228</v>
      </c>
      <c r="G24" s="230">
        <v>45537</v>
      </c>
      <c r="H24" s="202" t="s">
        <v>229</v>
      </c>
      <c r="I24" s="37">
        <v>1</v>
      </c>
      <c r="J24" s="50" t="s">
        <v>233</v>
      </c>
      <c r="K24" s="40" t="s">
        <v>1074</v>
      </c>
      <c r="L24" s="39" t="s">
        <v>1064</v>
      </c>
      <c r="M24" s="41" t="str">
        <f t="shared" si="0"/>
        <v>INT-0005-24</v>
      </c>
      <c r="N24" s="42"/>
      <c r="O24" s="46" t="s">
        <v>991</v>
      </c>
    </row>
    <row r="25" spans="1:15" s="28" customFormat="1" ht="15" x14ac:dyDescent="0.25">
      <c r="A25" s="230">
        <v>45454</v>
      </c>
      <c r="B25" s="35" t="s">
        <v>87</v>
      </c>
      <c r="C25" s="36" t="s">
        <v>1066</v>
      </c>
      <c r="D25" s="37" t="s">
        <v>47</v>
      </c>
      <c r="E25" s="38" t="s">
        <v>48</v>
      </c>
      <c r="F25" s="202" t="s">
        <v>95</v>
      </c>
      <c r="G25" s="230">
        <v>45565</v>
      </c>
      <c r="H25" s="202" t="s">
        <v>89</v>
      </c>
      <c r="I25" s="37">
        <v>9</v>
      </c>
      <c r="J25" s="50" t="s">
        <v>76</v>
      </c>
      <c r="K25" s="40" t="s">
        <v>1073</v>
      </c>
      <c r="L25" s="39"/>
      <c r="M25" s="41" t="str">
        <f t="shared" si="0"/>
        <v>INT-0006-24</v>
      </c>
      <c r="N25" s="42"/>
      <c r="O25" s="46" t="s">
        <v>990</v>
      </c>
    </row>
    <row r="26" spans="1:15" s="28" customFormat="1" ht="25.5" x14ac:dyDescent="0.25">
      <c r="A26" s="230">
        <v>45454</v>
      </c>
      <c r="B26" s="35" t="s">
        <v>87</v>
      </c>
      <c r="C26" s="36" t="s">
        <v>1066</v>
      </c>
      <c r="D26" s="37" t="s">
        <v>44</v>
      </c>
      <c r="E26" s="38" t="s">
        <v>45</v>
      </c>
      <c r="F26" s="202" t="s">
        <v>96</v>
      </c>
      <c r="G26" s="230">
        <v>45900</v>
      </c>
      <c r="H26" s="202" t="s">
        <v>90</v>
      </c>
      <c r="I26" s="37">
        <v>10</v>
      </c>
      <c r="J26" s="50" t="s">
        <v>76</v>
      </c>
      <c r="K26" s="40" t="s">
        <v>1073</v>
      </c>
      <c r="L26" s="39"/>
      <c r="M26" s="41" t="str">
        <f t="shared" si="0"/>
        <v>INT-0006-24</v>
      </c>
      <c r="N26" s="42"/>
      <c r="O26" s="46" t="s">
        <v>990</v>
      </c>
    </row>
    <row r="27" spans="1:15" s="28" customFormat="1" ht="25.5" x14ac:dyDescent="0.25">
      <c r="A27" s="230">
        <v>45454</v>
      </c>
      <c r="B27" s="35" t="s">
        <v>87</v>
      </c>
      <c r="C27" s="36" t="s">
        <v>1066</v>
      </c>
      <c r="D27" s="37" t="s">
        <v>44</v>
      </c>
      <c r="E27" s="38" t="s">
        <v>45</v>
      </c>
      <c r="F27" s="202" t="s">
        <v>97</v>
      </c>
      <c r="G27" s="230">
        <v>45900</v>
      </c>
      <c r="H27" s="202" t="s">
        <v>91</v>
      </c>
      <c r="I27" s="37">
        <v>1</v>
      </c>
      <c r="J27" s="50" t="s">
        <v>76</v>
      </c>
      <c r="K27" s="40" t="s">
        <v>1073</v>
      </c>
      <c r="L27" s="39"/>
      <c r="M27" s="41" t="str">
        <f t="shared" si="0"/>
        <v>INT-0006-24</v>
      </c>
      <c r="N27" s="42"/>
      <c r="O27" s="46" t="s">
        <v>990</v>
      </c>
    </row>
    <row r="28" spans="1:15" s="28" customFormat="1" ht="15" x14ac:dyDescent="0.25">
      <c r="A28" s="230">
        <v>45454</v>
      </c>
      <c r="B28" s="35" t="s">
        <v>87</v>
      </c>
      <c r="C28" s="36" t="s">
        <v>1066</v>
      </c>
      <c r="D28" s="37" t="s">
        <v>92</v>
      </c>
      <c r="E28" s="38" t="s">
        <v>93</v>
      </c>
      <c r="F28" s="202" t="s">
        <v>98</v>
      </c>
      <c r="G28" s="230">
        <v>45961</v>
      </c>
      <c r="H28" s="202" t="s">
        <v>94</v>
      </c>
      <c r="I28" s="37">
        <v>1</v>
      </c>
      <c r="J28" s="50" t="s">
        <v>76</v>
      </c>
      <c r="K28" s="40" t="s">
        <v>1073</v>
      </c>
      <c r="L28" s="39"/>
      <c r="M28" s="41" t="str">
        <f t="shared" si="0"/>
        <v>INT-0006-24</v>
      </c>
      <c r="N28" s="42"/>
      <c r="O28" s="46" t="s">
        <v>990</v>
      </c>
    </row>
    <row r="29" spans="1:15" s="28" customFormat="1" ht="15" x14ac:dyDescent="0.25">
      <c r="A29" s="230">
        <v>45454</v>
      </c>
      <c r="B29" s="35" t="s">
        <v>88</v>
      </c>
      <c r="C29" s="44" t="s">
        <v>11</v>
      </c>
      <c r="D29" s="37" t="s">
        <v>100</v>
      </c>
      <c r="E29" s="38" t="s">
        <v>99</v>
      </c>
      <c r="F29" s="202" t="s">
        <v>101</v>
      </c>
      <c r="G29" s="230">
        <v>45450</v>
      </c>
      <c r="H29" s="202" t="s">
        <v>102</v>
      </c>
      <c r="I29" s="37">
        <v>2499</v>
      </c>
      <c r="J29" s="50" t="s">
        <v>103</v>
      </c>
      <c r="K29" s="40" t="s">
        <v>1072</v>
      </c>
      <c r="L29" s="39"/>
      <c r="M29" s="41" t="str">
        <f t="shared" si="0"/>
        <v>INT-0007-24</v>
      </c>
      <c r="N29" s="42"/>
      <c r="O29" s="46" t="s">
        <v>991</v>
      </c>
    </row>
    <row r="30" spans="1:15" s="28" customFormat="1" ht="15" x14ac:dyDescent="0.25">
      <c r="A30" s="230">
        <v>45454</v>
      </c>
      <c r="B30" s="35" t="s">
        <v>105</v>
      </c>
      <c r="C30" s="36" t="s">
        <v>1066</v>
      </c>
      <c r="D30" s="37" t="s">
        <v>39</v>
      </c>
      <c r="E30" s="38" t="s">
        <v>40</v>
      </c>
      <c r="F30" s="202" t="s">
        <v>75</v>
      </c>
      <c r="G30" s="230">
        <v>45535</v>
      </c>
      <c r="H30" s="202" t="s">
        <v>104</v>
      </c>
      <c r="I30" s="37">
        <v>3</v>
      </c>
      <c r="J30" s="50" t="s">
        <v>76</v>
      </c>
      <c r="K30" s="40" t="s">
        <v>1089</v>
      </c>
      <c r="L30" s="39"/>
      <c r="M30" s="41" t="str">
        <f t="shared" si="0"/>
        <v>INT-0008-24</v>
      </c>
      <c r="N30" s="42"/>
      <c r="O30" s="46" t="s">
        <v>991</v>
      </c>
    </row>
    <row r="31" spans="1:15" s="28" customFormat="1" ht="15" x14ac:dyDescent="0.25">
      <c r="A31" s="230">
        <v>45455</v>
      </c>
      <c r="B31" s="35" t="s">
        <v>110</v>
      </c>
      <c r="C31" s="36" t="s">
        <v>1066</v>
      </c>
      <c r="D31" s="37" t="s">
        <v>42</v>
      </c>
      <c r="E31" s="38" t="s">
        <v>43</v>
      </c>
      <c r="F31" s="202" t="s">
        <v>72</v>
      </c>
      <c r="G31" s="231">
        <v>45473</v>
      </c>
      <c r="H31" s="202" t="s">
        <v>206</v>
      </c>
      <c r="I31" s="37">
        <v>1</v>
      </c>
      <c r="J31" s="50" t="s">
        <v>76</v>
      </c>
      <c r="K31" s="40" t="s">
        <v>1073</v>
      </c>
      <c r="L31" s="39" t="s">
        <v>212</v>
      </c>
      <c r="M31" s="41" t="str">
        <f t="shared" si="0"/>
        <v>INT-0009-24</v>
      </c>
      <c r="N31" s="42"/>
      <c r="O31" s="46" t="s">
        <v>990</v>
      </c>
    </row>
    <row r="32" spans="1:15" s="28" customFormat="1" ht="28.5" x14ac:dyDescent="0.25">
      <c r="A32" s="230">
        <v>45455</v>
      </c>
      <c r="B32" s="35" t="s">
        <v>110</v>
      </c>
      <c r="C32" s="36" t="s">
        <v>1066</v>
      </c>
      <c r="D32" s="37" t="s">
        <v>42</v>
      </c>
      <c r="E32" s="38" t="s">
        <v>43</v>
      </c>
      <c r="F32" s="202" t="s">
        <v>202</v>
      </c>
      <c r="G32" s="231">
        <v>45688</v>
      </c>
      <c r="H32" s="278" t="s">
        <v>207</v>
      </c>
      <c r="I32" s="37">
        <v>1</v>
      </c>
      <c r="J32" s="50" t="s">
        <v>76</v>
      </c>
      <c r="K32" s="40" t="s">
        <v>1089</v>
      </c>
      <c r="L32" s="39" t="s">
        <v>212</v>
      </c>
      <c r="M32" s="41" t="str">
        <f t="shared" si="0"/>
        <v>INT-0009-24</v>
      </c>
      <c r="N32" s="42" t="s">
        <v>442</v>
      </c>
      <c r="O32" s="46" t="s">
        <v>991</v>
      </c>
    </row>
    <row r="33" spans="1:15" s="28" customFormat="1" ht="15" x14ac:dyDescent="0.25">
      <c r="A33" s="230">
        <v>45455</v>
      </c>
      <c r="B33" s="35" t="s">
        <v>110</v>
      </c>
      <c r="C33" s="36" t="s">
        <v>1066</v>
      </c>
      <c r="D33" s="37" t="s">
        <v>47</v>
      </c>
      <c r="E33" s="38" t="s">
        <v>48</v>
      </c>
      <c r="F33" s="202" t="s">
        <v>95</v>
      </c>
      <c r="G33" s="231">
        <v>45565</v>
      </c>
      <c r="H33" s="202" t="s">
        <v>208</v>
      </c>
      <c r="I33" s="37">
        <v>7</v>
      </c>
      <c r="J33" s="50" t="s">
        <v>76</v>
      </c>
      <c r="K33" s="40" t="s">
        <v>1089</v>
      </c>
      <c r="L33" s="39" t="s">
        <v>212</v>
      </c>
      <c r="M33" s="41" t="str">
        <f t="shared" si="0"/>
        <v>INT-0009-24</v>
      </c>
      <c r="N33" s="42"/>
      <c r="O33" s="46" t="s">
        <v>991</v>
      </c>
    </row>
    <row r="34" spans="1:15" s="28" customFormat="1" ht="28.5" x14ac:dyDescent="0.25">
      <c r="A34" s="230">
        <v>45455</v>
      </c>
      <c r="B34" s="35" t="s">
        <v>110</v>
      </c>
      <c r="C34" s="36" t="s">
        <v>1066</v>
      </c>
      <c r="D34" s="37" t="s">
        <v>47</v>
      </c>
      <c r="E34" s="38" t="s">
        <v>48</v>
      </c>
      <c r="F34" s="202" t="s">
        <v>203</v>
      </c>
      <c r="G34" s="231">
        <v>45688</v>
      </c>
      <c r="H34" s="278" t="s">
        <v>209</v>
      </c>
      <c r="I34" s="37">
        <v>1</v>
      </c>
      <c r="J34" s="50" t="s">
        <v>76</v>
      </c>
      <c r="K34" s="40" t="s">
        <v>1089</v>
      </c>
      <c r="L34" s="39" t="s">
        <v>212</v>
      </c>
      <c r="M34" s="41" t="str">
        <f t="shared" si="0"/>
        <v>INT-0009-24</v>
      </c>
      <c r="N34" s="42" t="s">
        <v>442</v>
      </c>
      <c r="O34" s="46" t="s">
        <v>991</v>
      </c>
    </row>
    <row r="35" spans="1:15" s="28" customFormat="1" ht="15" x14ac:dyDescent="0.25">
      <c r="A35" s="230">
        <v>45455</v>
      </c>
      <c r="B35" s="35" t="s">
        <v>110</v>
      </c>
      <c r="C35" s="36" t="s">
        <v>1066</v>
      </c>
      <c r="D35" s="37" t="s">
        <v>39</v>
      </c>
      <c r="E35" s="38" t="s">
        <v>40</v>
      </c>
      <c r="F35" s="202" t="s">
        <v>204</v>
      </c>
      <c r="G35" s="231">
        <v>45565</v>
      </c>
      <c r="H35" s="202" t="s">
        <v>210</v>
      </c>
      <c r="I35" s="37">
        <v>10</v>
      </c>
      <c r="J35" s="50" t="s">
        <v>76</v>
      </c>
      <c r="K35" s="40" t="s">
        <v>1089</v>
      </c>
      <c r="L35" s="39" t="s">
        <v>212</v>
      </c>
      <c r="M35" s="41" t="str">
        <f t="shared" si="0"/>
        <v>INT-0009-24</v>
      </c>
      <c r="N35" s="42"/>
      <c r="O35" s="46" t="s">
        <v>991</v>
      </c>
    </row>
    <row r="36" spans="1:15" s="28" customFormat="1" ht="25.5" x14ac:dyDescent="0.25">
      <c r="A36" s="230">
        <v>45455</v>
      </c>
      <c r="B36" s="35" t="s">
        <v>110</v>
      </c>
      <c r="C36" s="36" t="s">
        <v>1066</v>
      </c>
      <c r="D36" s="37" t="s">
        <v>44</v>
      </c>
      <c r="E36" s="38" t="s">
        <v>45</v>
      </c>
      <c r="F36" s="202" t="s">
        <v>205</v>
      </c>
      <c r="G36" s="231">
        <v>46295</v>
      </c>
      <c r="H36" s="202" t="s">
        <v>211</v>
      </c>
      <c r="I36" s="37">
        <v>1</v>
      </c>
      <c r="J36" s="50" t="s">
        <v>76</v>
      </c>
      <c r="K36" s="40" t="s">
        <v>1073</v>
      </c>
      <c r="L36" s="39" t="s">
        <v>212</v>
      </c>
      <c r="M36" s="41" t="str">
        <f t="shared" si="0"/>
        <v>INT-0009-24</v>
      </c>
      <c r="N36" s="42"/>
      <c r="O36" s="46" t="s">
        <v>990</v>
      </c>
    </row>
    <row r="37" spans="1:15" s="28" customFormat="1" ht="15" x14ac:dyDescent="0.25">
      <c r="A37" s="230">
        <v>45457</v>
      </c>
      <c r="B37" s="35" t="s">
        <v>111</v>
      </c>
      <c r="C37" s="36" t="s">
        <v>1066</v>
      </c>
      <c r="D37" s="37" t="s">
        <v>113</v>
      </c>
      <c r="E37" s="38" t="s">
        <v>114</v>
      </c>
      <c r="F37" s="202" t="s">
        <v>213</v>
      </c>
      <c r="G37" s="231">
        <v>45457.75</v>
      </c>
      <c r="H37" s="203" t="s">
        <v>214</v>
      </c>
      <c r="I37" s="45">
        <v>5</v>
      </c>
      <c r="J37" s="50" t="s">
        <v>76</v>
      </c>
      <c r="K37" s="40" t="s">
        <v>1072</v>
      </c>
      <c r="L37" s="39" t="s">
        <v>215</v>
      </c>
      <c r="M37" s="41" t="str">
        <f t="shared" si="0"/>
        <v>INT-0010-24</v>
      </c>
      <c r="N37" s="42"/>
      <c r="O37" s="46" t="s">
        <v>991</v>
      </c>
    </row>
    <row r="38" spans="1:15" s="28" customFormat="1" ht="15" x14ac:dyDescent="0.25">
      <c r="A38" s="230">
        <v>45308</v>
      </c>
      <c r="B38" s="35" t="s">
        <v>112</v>
      </c>
      <c r="C38" s="36" t="s">
        <v>1066</v>
      </c>
      <c r="D38" s="37" t="s">
        <v>113</v>
      </c>
      <c r="E38" s="38" t="s">
        <v>114</v>
      </c>
      <c r="F38" s="202" t="s">
        <v>115</v>
      </c>
      <c r="G38" s="230">
        <v>45458</v>
      </c>
      <c r="H38" s="202" t="s">
        <v>116</v>
      </c>
      <c r="I38" s="37">
        <v>22</v>
      </c>
      <c r="J38" s="50" t="s">
        <v>76</v>
      </c>
      <c r="K38" s="40" t="s">
        <v>1072</v>
      </c>
      <c r="L38" s="39" t="s">
        <v>215</v>
      </c>
      <c r="M38" s="41" t="str">
        <f t="shared" si="0"/>
        <v>INT-0011-24</v>
      </c>
      <c r="N38" s="42"/>
      <c r="O38" s="46" t="s">
        <v>991</v>
      </c>
    </row>
    <row r="39" spans="1:15" s="28" customFormat="1" ht="15" x14ac:dyDescent="0.25">
      <c r="A39" s="230">
        <v>45462</v>
      </c>
      <c r="B39" s="35" t="s">
        <v>117</v>
      </c>
      <c r="C39" s="36" t="s">
        <v>143</v>
      </c>
      <c r="D39" s="37" t="s">
        <v>145</v>
      </c>
      <c r="E39" s="38" t="s">
        <v>118</v>
      </c>
      <c r="F39" s="202" t="s">
        <v>119</v>
      </c>
      <c r="G39" s="230">
        <v>45426</v>
      </c>
      <c r="H39" s="202" t="s">
        <v>157</v>
      </c>
      <c r="I39" s="37">
        <v>96</v>
      </c>
      <c r="J39" s="50" t="s">
        <v>172</v>
      </c>
      <c r="K39" s="40" t="s">
        <v>1089</v>
      </c>
      <c r="L39" s="39"/>
      <c r="M39" s="41" t="str">
        <f t="shared" si="0"/>
        <v>INT-0012-24</v>
      </c>
      <c r="N39" s="42"/>
      <c r="O39" s="46" t="s">
        <v>991</v>
      </c>
    </row>
    <row r="40" spans="1:15" s="28" customFormat="1" ht="15" x14ac:dyDescent="0.25">
      <c r="A40" s="230">
        <v>45462</v>
      </c>
      <c r="B40" s="35" t="s">
        <v>117</v>
      </c>
      <c r="C40" s="36" t="s">
        <v>143</v>
      </c>
      <c r="D40" s="37" t="s">
        <v>145</v>
      </c>
      <c r="E40" s="38" t="s">
        <v>118</v>
      </c>
      <c r="F40" s="202" t="s">
        <v>119</v>
      </c>
      <c r="G40" s="230">
        <v>45426</v>
      </c>
      <c r="H40" s="202" t="s">
        <v>157</v>
      </c>
      <c r="I40" s="37">
        <v>238</v>
      </c>
      <c r="J40" s="50" t="s">
        <v>172</v>
      </c>
      <c r="K40" s="40" t="s">
        <v>1089</v>
      </c>
      <c r="L40" s="39"/>
      <c r="M40" s="41" t="str">
        <f t="shared" si="0"/>
        <v>INT-0012-24</v>
      </c>
      <c r="N40" s="42"/>
      <c r="O40" s="46" t="s">
        <v>991</v>
      </c>
    </row>
    <row r="41" spans="1:15" s="28" customFormat="1" ht="15" x14ac:dyDescent="0.25">
      <c r="A41" s="230">
        <v>45462</v>
      </c>
      <c r="B41" s="35" t="s">
        <v>117</v>
      </c>
      <c r="C41" s="36" t="s">
        <v>143</v>
      </c>
      <c r="D41" s="37" t="s">
        <v>146</v>
      </c>
      <c r="E41" s="38" t="s">
        <v>132</v>
      </c>
      <c r="F41" s="202" t="s">
        <v>134</v>
      </c>
      <c r="G41" s="230">
        <v>45423</v>
      </c>
      <c r="H41" s="202" t="s">
        <v>158</v>
      </c>
      <c r="I41" s="37">
        <v>48</v>
      </c>
      <c r="J41" s="50" t="s">
        <v>172</v>
      </c>
      <c r="K41" s="40" t="s">
        <v>1089</v>
      </c>
      <c r="L41" s="39"/>
      <c r="M41" s="41" t="str">
        <f t="shared" si="0"/>
        <v>INT-0012-24</v>
      </c>
      <c r="N41" s="42"/>
      <c r="O41" s="46" t="s">
        <v>991</v>
      </c>
    </row>
    <row r="42" spans="1:15" s="28" customFormat="1" ht="15" x14ac:dyDescent="0.25">
      <c r="A42" s="230">
        <v>45462</v>
      </c>
      <c r="B42" s="35" t="s">
        <v>117</v>
      </c>
      <c r="C42" s="36" t="s">
        <v>143</v>
      </c>
      <c r="D42" s="37" t="s">
        <v>146</v>
      </c>
      <c r="E42" s="38" t="s">
        <v>132</v>
      </c>
      <c r="F42" s="202" t="s">
        <v>134</v>
      </c>
      <c r="G42" s="230">
        <v>45423</v>
      </c>
      <c r="H42" s="202" t="s">
        <v>159</v>
      </c>
      <c r="I42" s="37">
        <v>94</v>
      </c>
      <c r="J42" s="50" t="s">
        <v>172</v>
      </c>
      <c r="K42" s="40" t="s">
        <v>1089</v>
      </c>
      <c r="L42" s="39"/>
      <c r="M42" s="41" t="str">
        <f t="shared" si="0"/>
        <v>INT-0012-24</v>
      </c>
      <c r="N42" s="42"/>
      <c r="O42" s="46" t="s">
        <v>991</v>
      </c>
    </row>
    <row r="43" spans="1:15" s="28" customFormat="1" ht="15" x14ac:dyDescent="0.25">
      <c r="A43" s="230">
        <v>45462</v>
      </c>
      <c r="B43" s="35" t="s">
        <v>117</v>
      </c>
      <c r="C43" s="36" t="s">
        <v>143</v>
      </c>
      <c r="D43" s="37" t="s">
        <v>146</v>
      </c>
      <c r="E43" s="38" t="s">
        <v>132</v>
      </c>
      <c r="F43" s="202" t="s">
        <v>134</v>
      </c>
      <c r="G43" s="230">
        <v>45423</v>
      </c>
      <c r="H43" s="202" t="s">
        <v>160</v>
      </c>
      <c r="I43" s="37">
        <v>19</v>
      </c>
      <c r="J43" s="50" t="s">
        <v>172</v>
      </c>
      <c r="K43" s="40" t="s">
        <v>1089</v>
      </c>
      <c r="L43" s="39"/>
      <c r="M43" s="41" t="str">
        <f t="shared" si="0"/>
        <v>INT-0012-24</v>
      </c>
      <c r="N43" s="42"/>
      <c r="O43" s="46" t="s">
        <v>991</v>
      </c>
    </row>
    <row r="44" spans="1:15" s="28" customFormat="1" ht="15" x14ac:dyDescent="0.25">
      <c r="A44" s="230">
        <v>45462</v>
      </c>
      <c r="B44" s="35" t="s">
        <v>117</v>
      </c>
      <c r="C44" s="36" t="s">
        <v>143</v>
      </c>
      <c r="D44" s="37" t="s">
        <v>147</v>
      </c>
      <c r="E44" s="38" t="s">
        <v>120</v>
      </c>
      <c r="F44" s="202" t="s">
        <v>121</v>
      </c>
      <c r="G44" s="230">
        <v>45278</v>
      </c>
      <c r="H44" s="202" t="s">
        <v>161</v>
      </c>
      <c r="I44" s="37">
        <v>427</v>
      </c>
      <c r="J44" s="50" t="s">
        <v>172</v>
      </c>
      <c r="K44" s="40" t="s">
        <v>1089</v>
      </c>
      <c r="L44" s="39"/>
      <c r="M44" s="41" t="str">
        <f t="shared" si="0"/>
        <v>INT-0012-24</v>
      </c>
      <c r="N44" s="42"/>
      <c r="O44" s="46" t="s">
        <v>991</v>
      </c>
    </row>
    <row r="45" spans="1:15" s="28" customFormat="1" ht="15" x14ac:dyDescent="0.25">
      <c r="A45" s="230">
        <v>45462</v>
      </c>
      <c r="B45" s="35" t="s">
        <v>117</v>
      </c>
      <c r="C45" s="36" t="s">
        <v>143</v>
      </c>
      <c r="D45" s="37" t="s">
        <v>148</v>
      </c>
      <c r="E45" s="38" t="s">
        <v>135</v>
      </c>
      <c r="F45" s="202" t="s">
        <v>136</v>
      </c>
      <c r="G45" s="230">
        <v>44967</v>
      </c>
      <c r="H45" s="202" t="s">
        <v>162</v>
      </c>
      <c r="I45" s="37">
        <v>4</v>
      </c>
      <c r="J45" s="50" t="s">
        <v>172</v>
      </c>
      <c r="K45" s="40" t="s">
        <v>1089</v>
      </c>
      <c r="L45" s="39"/>
      <c r="M45" s="41" t="str">
        <f t="shared" si="0"/>
        <v>INT-0012-24</v>
      </c>
      <c r="N45" s="42"/>
      <c r="O45" s="46" t="s">
        <v>991</v>
      </c>
    </row>
    <row r="46" spans="1:15" s="28" customFormat="1" ht="15" x14ac:dyDescent="0.25">
      <c r="A46" s="230">
        <v>45462</v>
      </c>
      <c r="B46" s="35" t="s">
        <v>117</v>
      </c>
      <c r="C46" s="36" t="s">
        <v>143</v>
      </c>
      <c r="D46" s="37" t="s">
        <v>149</v>
      </c>
      <c r="E46" s="38" t="s">
        <v>128</v>
      </c>
      <c r="F46" s="202" t="s">
        <v>129</v>
      </c>
      <c r="G46" s="230">
        <v>45289</v>
      </c>
      <c r="H46" s="202" t="s">
        <v>163</v>
      </c>
      <c r="I46" s="37">
        <v>34</v>
      </c>
      <c r="J46" s="50" t="s">
        <v>172</v>
      </c>
      <c r="K46" s="40" t="s">
        <v>1089</v>
      </c>
      <c r="L46" s="39"/>
      <c r="M46" s="41" t="str">
        <f t="shared" si="0"/>
        <v>INT-0012-24</v>
      </c>
      <c r="N46" s="42"/>
      <c r="O46" s="46" t="s">
        <v>991</v>
      </c>
    </row>
    <row r="47" spans="1:15" s="28" customFormat="1" ht="15" x14ac:dyDescent="0.25">
      <c r="A47" s="230">
        <v>45462</v>
      </c>
      <c r="B47" s="35" t="s">
        <v>117</v>
      </c>
      <c r="C47" s="36" t="s">
        <v>143</v>
      </c>
      <c r="D47" s="37" t="s">
        <v>149</v>
      </c>
      <c r="E47" s="38" t="s">
        <v>128</v>
      </c>
      <c r="F47" s="202" t="s">
        <v>129</v>
      </c>
      <c r="G47" s="230">
        <v>45289</v>
      </c>
      <c r="H47" s="202" t="s">
        <v>163</v>
      </c>
      <c r="I47" s="37">
        <v>51</v>
      </c>
      <c r="J47" s="50" t="s">
        <v>172</v>
      </c>
      <c r="K47" s="40" t="s">
        <v>1089</v>
      </c>
      <c r="L47" s="39"/>
      <c r="M47" s="41" t="str">
        <f t="shared" si="0"/>
        <v>INT-0012-24</v>
      </c>
      <c r="N47" s="42"/>
      <c r="O47" s="46" t="s">
        <v>991</v>
      </c>
    </row>
    <row r="48" spans="1:15" s="28" customFormat="1" ht="15" x14ac:dyDescent="0.25">
      <c r="A48" s="230">
        <v>45462</v>
      </c>
      <c r="B48" s="35" t="s">
        <v>117</v>
      </c>
      <c r="C48" s="36" t="s">
        <v>143</v>
      </c>
      <c r="D48" s="37" t="s">
        <v>146</v>
      </c>
      <c r="E48" s="38" t="s">
        <v>132</v>
      </c>
      <c r="F48" s="202" t="s">
        <v>133</v>
      </c>
      <c r="G48" s="230">
        <v>45156</v>
      </c>
      <c r="H48" s="202" t="s">
        <v>164</v>
      </c>
      <c r="I48" s="37">
        <v>92</v>
      </c>
      <c r="J48" s="50" t="s">
        <v>172</v>
      </c>
      <c r="K48" s="40" t="s">
        <v>1089</v>
      </c>
      <c r="L48" s="39"/>
      <c r="M48" s="41" t="str">
        <f t="shared" si="0"/>
        <v>INT-0012-24</v>
      </c>
      <c r="N48" s="42"/>
      <c r="O48" s="46" t="s">
        <v>991</v>
      </c>
    </row>
    <row r="49" spans="1:15" s="28" customFormat="1" ht="15" x14ac:dyDescent="0.25">
      <c r="A49" s="230">
        <v>45462</v>
      </c>
      <c r="B49" s="35" t="s">
        <v>117</v>
      </c>
      <c r="C49" s="36" t="s">
        <v>143</v>
      </c>
      <c r="D49" s="37" t="s">
        <v>150</v>
      </c>
      <c r="E49" s="38" t="s">
        <v>126</v>
      </c>
      <c r="F49" s="202" t="s">
        <v>127</v>
      </c>
      <c r="G49" s="230">
        <v>44894</v>
      </c>
      <c r="H49" s="202" t="s">
        <v>165</v>
      </c>
      <c r="I49" s="37">
        <v>26</v>
      </c>
      <c r="J49" s="50" t="s">
        <v>172</v>
      </c>
      <c r="K49" s="40" t="s">
        <v>1089</v>
      </c>
      <c r="L49" s="39"/>
      <c r="M49" s="41" t="str">
        <f t="shared" si="0"/>
        <v>INT-0012-24</v>
      </c>
      <c r="N49" s="42"/>
      <c r="O49" s="46" t="s">
        <v>991</v>
      </c>
    </row>
    <row r="50" spans="1:15" s="28" customFormat="1" ht="15" x14ac:dyDescent="0.25">
      <c r="A50" s="230">
        <v>45462</v>
      </c>
      <c r="B50" s="35" t="s">
        <v>117</v>
      </c>
      <c r="C50" s="36" t="s">
        <v>143</v>
      </c>
      <c r="D50" s="37" t="s">
        <v>151</v>
      </c>
      <c r="E50" s="38" t="s">
        <v>124</v>
      </c>
      <c r="F50" s="202" t="s">
        <v>125</v>
      </c>
      <c r="G50" s="230">
        <v>44837</v>
      </c>
      <c r="H50" s="202" t="s">
        <v>166</v>
      </c>
      <c r="I50" s="37">
        <v>50</v>
      </c>
      <c r="J50" s="50" t="s">
        <v>172</v>
      </c>
      <c r="K50" s="40" t="s">
        <v>1089</v>
      </c>
      <c r="L50" s="39"/>
      <c r="M50" s="41" t="str">
        <f t="shared" si="0"/>
        <v>INT-0012-24</v>
      </c>
      <c r="N50" s="42"/>
      <c r="O50" s="46" t="s">
        <v>991</v>
      </c>
    </row>
    <row r="51" spans="1:15" s="28" customFormat="1" ht="15" x14ac:dyDescent="0.25">
      <c r="A51" s="230">
        <v>45462</v>
      </c>
      <c r="B51" s="35" t="s">
        <v>117</v>
      </c>
      <c r="C51" s="36" t="s">
        <v>143</v>
      </c>
      <c r="D51" s="37" t="s">
        <v>151</v>
      </c>
      <c r="E51" s="38" t="s">
        <v>124</v>
      </c>
      <c r="F51" s="202" t="s">
        <v>125</v>
      </c>
      <c r="G51" s="230">
        <v>44837</v>
      </c>
      <c r="H51" s="202" t="s">
        <v>166</v>
      </c>
      <c r="I51" s="37">
        <v>407</v>
      </c>
      <c r="J51" s="50" t="s">
        <v>172</v>
      </c>
      <c r="K51" s="40" t="s">
        <v>1089</v>
      </c>
      <c r="L51" s="39"/>
      <c r="M51" s="41" t="str">
        <f t="shared" si="0"/>
        <v>INT-0012-24</v>
      </c>
      <c r="N51" s="42"/>
      <c r="O51" s="46" t="s">
        <v>991</v>
      </c>
    </row>
    <row r="52" spans="1:15" s="28" customFormat="1" ht="15" x14ac:dyDescent="0.25">
      <c r="A52" s="230">
        <v>45462</v>
      </c>
      <c r="B52" s="35" t="s">
        <v>117</v>
      </c>
      <c r="C52" s="36" t="s">
        <v>143</v>
      </c>
      <c r="D52" s="37" t="s">
        <v>152</v>
      </c>
      <c r="E52" s="38" t="s">
        <v>130</v>
      </c>
      <c r="F52" s="202" t="s">
        <v>131</v>
      </c>
      <c r="G52" s="230">
        <v>44842</v>
      </c>
      <c r="H52" s="202" t="s">
        <v>167</v>
      </c>
      <c r="I52" s="37">
        <v>591</v>
      </c>
      <c r="J52" s="50" t="s">
        <v>172</v>
      </c>
      <c r="K52" s="40" t="s">
        <v>1089</v>
      </c>
      <c r="L52" s="39"/>
      <c r="M52" s="41" t="str">
        <f t="shared" si="0"/>
        <v>INT-0012-24</v>
      </c>
      <c r="N52" s="42"/>
      <c r="O52" s="46" t="s">
        <v>991</v>
      </c>
    </row>
    <row r="53" spans="1:15" s="28" customFormat="1" ht="15" x14ac:dyDescent="0.25">
      <c r="A53" s="230">
        <v>45462</v>
      </c>
      <c r="B53" s="35" t="s">
        <v>117</v>
      </c>
      <c r="C53" s="36" t="s">
        <v>143</v>
      </c>
      <c r="D53" s="37" t="s">
        <v>152</v>
      </c>
      <c r="E53" s="38" t="s">
        <v>130</v>
      </c>
      <c r="F53" s="202" t="s">
        <v>131</v>
      </c>
      <c r="G53" s="230">
        <v>44842</v>
      </c>
      <c r="H53" s="202" t="s">
        <v>167</v>
      </c>
      <c r="I53" s="37">
        <v>139</v>
      </c>
      <c r="J53" s="50" t="s">
        <v>172</v>
      </c>
      <c r="K53" s="40" t="s">
        <v>1089</v>
      </c>
      <c r="L53" s="39"/>
      <c r="M53" s="41" t="str">
        <f t="shared" si="0"/>
        <v>INT-0012-24</v>
      </c>
      <c r="N53" s="42"/>
      <c r="O53" s="46" t="s">
        <v>991</v>
      </c>
    </row>
    <row r="54" spans="1:15" s="28" customFormat="1" ht="15" x14ac:dyDescent="0.25">
      <c r="A54" s="230">
        <v>45462</v>
      </c>
      <c r="B54" s="35" t="s">
        <v>117</v>
      </c>
      <c r="C54" s="36" t="s">
        <v>143</v>
      </c>
      <c r="D54" s="37" t="s">
        <v>153</v>
      </c>
      <c r="E54" s="38" t="s">
        <v>122</v>
      </c>
      <c r="F54" s="202" t="s">
        <v>123</v>
      </c>
      <c r="G54" s="230">
        <v>45122</v>
      </c>
      <c r="H54" s="202" t="s">
        <v>168</v>
      </c>
      <c r="I54" s="37">
        <v>105</v>
      </c>
      <c r="J54" s="50" t="s">
        <v>172</v>
      </c>
      <c r="K54" s="40" t="s">
        <v>1089</v>
      </c>
      <c r="L54" s="39"/>
      <c r="M54" s="41" t="str">
        <f t="shared" si="0"/>
        <v>INT-0012-24</v>
      </c>
      <c r="N54" s="42"/>
      <c r="O54" s="46" t="s">
        <v>991</v>
      </c>
    </row>
    <row r="55" spans="1:15" s="28" customFormat="1" ht="15" x14ac:dyDescent="0.25">
      <c r="A55" s="230">
        <v>45462</v>
      </c>
      <c r="B55" s="35" t="s">
        <v>117</v>
      </c>
      <c r="C55" s="36" t="s">
        <v>143</v>
      </c>
      <c r="D55" s="37" t="s">
        <v>154</v>
      </c>
      <c r="E55" s="38" t="s">
        <v>137</v>
      </c>
      <c r="F55" s="202" t="s">
        <v>138</v>
      </c>
      <c r="G55" s="230">
        <v>45254</v>
      </c>
      <c r="H55" s="202" t="s">
        <v>169</v>
      </c>
      <c r="I55" s="37">
        <v>324</v>
      </c>
      <c r="J55" s="50" t="s">
        <v>172</v>
      </c>
      <c r="K55" s="40" t="s">
        <v>1089</v>
      </c>
      <c r="L55" s="39"/>
      <c r="M55" s="41" t="str">
        <f t="shared" si="0"/>
        <v>INT-0012-24</v>
      </c>
      <c r="N55" s="42"/>
      <c r="O55" s="46" t="s">
        <v>991</v>
      </c>
    </row>
    <row r="56" spans="1:15" s="28" customFormat="1" ht="15" x14ac:dyDescent="0.25">
      <c r="A56" s="230">
        <v>45462</v>
      </c>
      <c r="B56" s="35" t="s">
        <v>117</v>
      </c>
      <c r="C56" s="36" t="s">
        <v>143</v>
      </c>
      <c r="D56" s="37" t="s">
        <v>145</v>
      </c>
      <c r="E56" s="38" t="s">
        <v>118</v>
      </c>
      <c r="F56" s="202" t="s">
        <v>119</v>
      </c>
      <c r="G56" s="230">
        <v>45426</v>
      </c>
      <c r="H56" s="202" t="s">
        <v>157</v>
      </c>
      <c r="I56" s="37">
        <v>180</v>
      </c>
      <c r="J56" s="50" t="s">
        <v>172</v>
      </c>
      <c r="K56" s="40" t="s">
        <v>1089</v>
      </c>
      <c r="L56" s="39"/>
      <c r="M56" s="41" t="str">
        <f t="shared" si="0"/>
        <v>INT-0012-24</v>
      </c>
      <c r="N56" s="42"/>
      <c r="O56" s="46" t="s">
        <v>991</v>
      </c>
    </row>
    <row r="57" spans="1:15" s="28" customFormat="1" ht="15" x14ac:dyDescent="0.25">
      <c r="A57" s="230">
        <v>45462</v>
      </c>
      <c r="B57" s="35" t="s">
        <v>117</v>
      </c>
      <c r="C57" s="36" t="s">
        <v>143</v>
      </c>
      <c r="D57" s="37" t="s">
        <v>145</v>
      </c>
      <c r="E57" s="38" t="s">
        <v>118</v>
      </c>
      <c r="F57" s="202" t="s">
        <v>119</v>
      </c>
      <c r="G57" s="230">
        <v>45426</v>
      </c>
      <c r="H57" s="202" t="s">
        <v>157</v>
      </c>
      <c r="I57" s="37">
        <v>18</v>
      </c>
      <c r="J57" s="50" t="s">
        <v>172</v>
      </c>
      <c r="K57" s="40" t="s">
        <v>1089</v>
      </c>
      <c r="L57" s="39"/>
      <c r="M57" s="41" t="str">
        <f t="shared" si="0"/>
        <v>INT-0012-24</v>
      </c>
      <c r="N57" s="42"/>
      <c r="O57" s="46" t="s">
        <v>991</v>
      </c>
    </row>
    <row r="58" spans="1:15" s="28" customFormat="1" ht="15" x14ac:dyDescent="0.25">
      <c r="A58" s="230">
        <v>45462</v>
      </c>
      <c r="B58" s="35" t="s">
        <v>117</v>
      </c>
      <c r="C58" s="36" t="s">
        <v>143</v>
      </c>
      <c r="D58" s="37" t="s">
        <v>155</v>
      </c>
      <c r="E58" s="38" t="s">
        <v>139</v>
      </c>
      <c r="F58" s="202" t="s">
        <v>140</v>
      </c>
      <c r="G58" s="230">
        <v>45283</v>
      </c>
      <c r="H58" s="202" t="s">
        <v>170</v>
      </c>
      <c r="I58" s="37">
        <v>20</v>
      </c>
      <c r="J58" s="50" t="s">
        <v>172</v>
      </c>
      <c r="K58" s="40" t="s">
        <v>1089</v>
      </c>
      <c r="L58" s="39"/>
      <c r="M58" s="41" t="str">
        <f t="shared" si="0"/>
        <v>INT-0012-24</v>
      </c>
      <c r="N58" s="42"/>
      <c r="O58" s="46" t="s">
        <v>991</v>
      </c>
    </row>
    <row r="59" spans="1:15" s="28" customFormat="1" ht="15" x14ac:dyDescent="0.25">
      <c r="A59" s="230">
        <v>45462</v>
      </c>
      <c r="B59" s="35" t="s">
        <v>117</v>
      </c>
      <c r="C59" s="36" t="s">
        <v>143</v>
      </c>
      <c r="D59" s="37" t="s">
        <v>156</v>
      </c>
      <c r="E59" s="38" t="s">
        <v>141</v>
      </c>
      <c r="F59" s="202" t="s">
        <v>142</v>
      </c>
      <c r="G59" s="230">
        <v>45099</v>
      </c>
      <c r="H59" s="202" t="s">
        <v>171</v>
      </c>
      <c r="I59" s="37">
        <v>120</v>
      </c>
      <c r="J59" s="50" t="s">
        <v>172</v>
      </c>
      <c r="K59" s="40" t="s">
        <v>1089</v>
      </c>
      <c r="L59" s="39"/>
      <c r="M59" s="41" t="str">
        <f t="shared" si="0"/>
        <v>INT-0012-24</v>
      </c>
      <c r="N59" s="42"/>
      <c r="O59" s="46" t="s">
        <v>991</v>
      </c>
    </row>
    <row r="60" spans="1:15" s="28" customFormat="1" ht="15" x14ac:dyDescent="0.25">
      <c r="A60" s="230">
        <v>45462</v>
      </c>
      <c r="B60" s="35" t="s">
        <v>173</v>
      </c>
      <c r="C60" s="36" t="s">
        <v>78</v>
      </c>
      <c r="D60" s="37" t="s">
        <v>178</v>
      </c>
      <c r="E60" s="38" t="s">
        <v>175</v>
      </c>
      <c r="F60" s="202" t="s">
        <v>176</v>
      </c>
      <c r="G60" s="230">
        <v>46535</v>
      </c>
      <c r="H60" s="202" t="s">
        <v>174</v>
      </c>
      <c r="I60" s="37">
        <v>23</v>
      </c>
      <c r="J60" s="50" t="s">
        <v>177</v>
      </c>
      <c r="K60" s="40" t="s">
        <v>1074</v>
      </c>
      <c r="L60" s="39" t="s">
        <v>234</v>
      </c>
      <c r="M60" s="41" t="str">
        <f t="shared" si="0"/>
        <v>INT-0013-24</v>
      </c>
      <c r="N60" s="42"/>
      <c r="O60" s="46" t="s">
        <v>991</v>
      </c>
    </row>
    <row r="61" spans="1:15" s="28" customFormat="1" ht="15" x14ac:dyDescent="0.25">
      <c r="A61" s="230">
        <v>45464</v>
      </c>
      <c r="B61" s="35" t="s">
        <v>179</v>
      </c>
      <c r="C61" s="36" t="s">
        <v>1103</v>
      </c>
      <c r="D61" s="37" t="s">
        <v>181</v>
      </c>
      <c r="E61" s="38" t="s">
        <v>182</v>
      </c>
      <c r="F61" s="202" t="s">
        <v>185</v>
      </c>
      <c r="G61" s="231">
        <v>46486.75</v>
      </c>
      <c r="H61" s="202" t="s">
        <v>188</v>
      </c>
      <c r="I61" s="37">
        <v>14</v>
      </c>
      <c r="J61" s="50" t="s">
        <v>1090</v>
      </c>
      <c r="K61" s="40" t="s">
        <v>1072</v>
      </c>
      <c r="L61" s="46"/>
      <c r="M61" s="41" t="str">
        <f t="shared" si="0"/>
        <v>INT-0014-24</v>
      </c>
      <c r="N61" s="42"/>
      <c r="O61" s="46" t="s">
        <v>991</v>
      </c>
    </row>
    <row r="62" spans="1:15" s="28" customFormat="1" ht="15" x14ac:dyDescent="0.25">
      <c r="A62" s="230">
        <v>45464</v>
      </c>
      <c r="B62" s="35" t="s">
        <v>179</v>
      </c>
      <c r="C62" s="36" t="s">
        <v>1103</v>
      </c>
      <c r="D62" s="37" t="s">
        <v>181</v>
      </c>
      <c r="E62" s="38" t="s">
        <v>182</v>
      </c>
      <c r="F62" s="202" t="s">
        <v>186</v>
      </c>
      <c r="G62" s="231">
        <v>46486.75</v>
      </c>
      <c r="H62" s="202" t="s">
        <v>189</v>
      </c>
      <c r="I62" s="37">
        <v>35</v>
      </c>
      <c r="J62" s="50" t="s">
        <v>1090</v>
      </c>
      <c r="K62" s="40" t="s">
        <v>1072</v>
      </c>
      <c r="L62" s="46"/>
      <c r="M62" s="41" t="str">
        <f t="shared" si="0"/>
        <v>INT-0014-24</v>
      </c>
      <c r="N62" s="42"/>
      <c r="O62" s="46" t="s">
        <v>991</v>
      </c>
    </row>
    <row r="63" spans="1:15" s="28" customFormat="1" ht="15" x14ac:dyDescent="0.25">
      <c r="A63" s="230">
        <v>45464</v>
      </c>
      <c r="B63" s="35" t="s">
        <v>179</v>
      </c>
      <c r="C63" s="36" t="s">
        <v>1103</v>
      </c>
      <c r="D63" s="37" t="s">
        <v>183</v>
      </c>
      <c r="E63" s="38" t="s">
        <v>184</v>
      </c>
      <c r="F63" s="202" t="s">
        <v>187</v>
      </c>
      <c r="G63" s="231">
        <v>45984.75</v>
      </c>
      <c r="H63" s="202" t="s">
        <v>190</v>
      </c>
      <c r="I63" s="37">
        <v>12</v>
      </c>
      <c r="J63" s="50" t="s">
        <v>1090</v>
      </c>
      <c r="K63" s="40" t="s">
        <v>1072</v>
      </c>
      <c r="L63" s="46"/>
      <c r="M63" s="41" t="str">
        <f t="shared" si="0"/>
        <v>INT-0014-24</v>
      </c>
      <c r="N63" s="42"/>
      <c r="O63" s="46" t="s">
        <v>991</v>
      </c>
    </row>
    <row r="64" spans="1:15" s="28" customFormat="1" ht="15" x14ac:dyDescent="0.25">
      <c r="A64" s="230">
        <v>45464</v>
      </c>
      <c r="B64" s="35" t="s">
        <v>180</v>
      </c>
      <c r="C64" s="36" t="s">
        <v>1066</v>
      </c>
      <c r="D64" s="37" t="s">
        <v>191</v>
      </c>
      <c r="E64" s="38" t="s">
        <v>192</v>
      </c>
      <c r="F64" s="202" t="s">
        <v>193</v>
      </c>
      <c r="G64" s="231">
        <v>45881</v>
      </c>
      <c r="H64" s="202" t="s">
        <v>200</v>
      </c>
      <c r="I64" s="37">
        <v>1</v>
      </c>
      <c r="J64" s="50" t="s">
        <v>85</v>
      </c>
      <c r="K64" s="40" t="s">
        <v>1089</v>
      </c>
      <c r="L64" s="39"/>
      <c r="M64" s="41" t="str">
        <f t="shared" si="0"/>
        <v>INT-0015-24</v>
      </c>
      <c r="N64" s="42"/>
      <c r="O64" s="46" t="s">
        <v>991</v>
      </c>
    </row>
    <row r="65" spans="1:15" s="28" customFormat="1" ht="15" x14ac:dyDescent="0.25">
      <c r="A65" s="230">
        <v>45464</v>
      </c>
      <c r="B65" s="35" t="s">
        <v>180</v>
      </c>
      <c r="C65" s="36" t="s">
        <v>1066</v>
      </c>
      <c r="D65" s="37" t="s">
        <v>194</v>
      </c>
      <c r="E65" s="38" t="s">
        <v>195</v>
      </c>
      <c r="F65" s="202" t="s">
        <v>196</v>
      </c>
      <c r="G65" s="231">
        <v>45414</v>
      </c>
      <c r="H65" s="202" t="s">
        <v>200</v>
      </c>
      <c r="I65" s="37">
        <v>1</v>
      </c>
      <c r="J65" s="50" t="s">
        <v>85</v>
      </c>
      <c r="K65" s="40" t="s">
        <v>1089</v>
      </c>
      <c r="L65" s="39"/>
      <c r="M65" s="41" t="str">
        <f t="shared" si="0"/>
        <v>INT-0015-24</v>
      </c>
      <c r="N65" s="42"/>
      <c r="O65" s="46" t="s">
        <v>991</v>
      </c>
    </row>
    <row r="66" spans="1:15" s="28" customFormat="1" ht="15" x14ac:dyDescent="0.25">
      <c r="A66" s="230">
        <v>45464</v>
      </c>
      <c r="B66" s="35" t="s">
        <v>180</v>
      </c>
      <c r="C66" s="36" t="s">
        <v>1066</v>
      </c>
      <c r="D66" s="37" t="s">
        <v>197</v>
      </c>
      <c r="E66" s="38" t="s">
        <v>198</v>
      </c>
      <c r="F66" s="202" t="s">
        <v>199</v>
      </c>
      <c r="G66" s="231">
        <v>45814</v>
      </c>
      <c r="H66" s="202" t="s">
        <v>201</v>
      </c>
      <c r="I66" s="37">
        <v>1</v>
      </c>
      <c r="J66" s="50" t="s">
        <v>85</v>
      </c>
      <c r="K66" s="40" t="s">
        <v>1089</v>
      </c>
      <c r="L66" s="39"/>
      <c r="M66" s="41" t="str">
        <f t="shared" ref="M66:M133" si="1">HYPERLINK("P:\7. LONG HAU\7. CAC THEO DOI TRONG QUA TRINH\4. DEVIATION- INCIDENTS\THEO DÕI NỘI BỘ (NGOÀI BBSC)\"&amp;YEAR(A66)&amp;"\"&amp;B66,B66)</f>
        <v>INT-0015-24</v>
      </c>
      <c r="N66" s="42"/>
      <c r="O66" s="46" t="s">
        <v>991</v>
      </c>
    </row>
    <row r="67" spans="1:15" s="28" customFormat="1" ht="15" x14ac:dyDescent="0.25">
      <c r="A67" s="230">
        <v>45464</v>
      </c>
      <c r="B67" s="35" t="s">
        <v>238</v>
      </c>
      <c r="C67" s="36" t="s">
        <v>1066</v>
      </c>
      <c r="D67" s="37" t="s">
        <v>393</v>
      </c>
      <c r="E67" s="38" t="s">
        <v>394</v>
      </c>
      <c r="F67" s="202" t="s">
        <v>395</v>
      </c>
      <c r="G67" s="231">
        <v>45458</v>
      </c>
      <c r="H67" s="202" t="s">
        <v>396</v>
      </c>
      <c r="I67" s="37">
        <v>3</v>
      </c>
      <c r="J67" s="50" t="s">
        <v>1091</v>
      </c>
      <c r="K67" s="40" t="s">
        <v>1072</v>
      </c>
      <c r="L67" s="39"/>
      <c r="M67" s="41" t="str">
        <f t="shared" si="1"/>
        <v>INT-0016-24</v>
      </c>
      <c r="N67" s="42"/>
      <c r="O67" s="46" t="s">
        <v>991</v>
      </c>
    </row>
    <row r="68" spans="1:15" s="28" customFormat="1" ht="15" x14ac:dyDescent="0.25">
      <c r="A68" s="230">
        <v>45464</v>
      </c>
      <c r="B68" s="35" t="s">
        <v>238</v>
      </c>
      <c r="C68" s="36" t="s">
        <v>1066</v>
      </c>
      <c r="D68" s="37" t="s">
        <v>113</v>
      </c>
      <c r="E68" s="38" t="s">
        <v>114</v>
      </c>
      <c r="F68" s="202" t="s">
        <v>213</v>
      </c>
      <c r="G68" s="231">
        <v>45457</v>
      </c>
      <c r="H68" s="202" t="s">
        <v>397</v>
      </c>
      <c r="I68" s="37">
        <v>32</v>
      </c>
      <c r="J68" s="50" t="s">
        <v>1091</v>
      </c>
      <c r="K68" s="40" t="s">
        <v>1072</v>
      </c>
      <c r="L68" s="39"/>
      <c r="M68" s="41" t="str">
        <f t="shared" si="1"/>
        <v>INT-0016-24</v>
      </c>
      <c r="N68" s="42"/>
      <c r="O68" s="46" t="s">
        <v>991</v>
      </c>
    </row>
    <row r="69" spans="1:15" s="28" customFormat="1" ht="15" x14ac:dyDescent="0.25">
      <c r="A69" s="230">
        <v>45470</v>
      </c>
      <c r="B69" s="35" t="s">
        <v>243</v>
      </c>
      <c r="C69" s="36" t="s">
        <v>1066</v>
      </c>
      <c r="D69" s="37" t="s">
        <v>239</v>
      </c>
      <c r="E69" s="38" t="s">
        <v>240</v>
      </c>
      <c r="F69" s="202" t="s">
        <v>241</v>
      </c>
      <c r="G69" s="230">
        <v>45535</v>
      </c>
      <c r="H69" s="202" t="s">
        <v>242</v>
      </c>
      <c r="I69" s="37">
        <v>5</v>
      </c>
      <c r="J69" s="50" t="s">
        <v>76</v>
      </c>
      <c r="K69" s="40" t="s">
        <v>1072</v>
      </c>
      <c r="L69" s="39"/>
      <c r="M69" s="41" t="str">
        <f t="shared" si="1"/>
        <v>INT-0017-24</v>
      </c>
      <c r="N69" s="42"/>
      <c r="O69" s="46" t="s">
        <v>991</v>
      </c>
    </row>
    <row r="70" spans="1:15" s="28" customFormat="1" ht="25.5" x14ac:dyDescent="0.25">
      <c r="A70" s="230">
        <v>45474</v>
      </c>
      <c r="B70" s="35" t="s">
        <v>244</v>
      </c>
      <c r="C70" s="36" t="s">
        <v>1103</v>
      </c>
      <c r="D70" s="37" t="s">
        <v>245</v>
      </c>
      <c r="E70" s="38" t="s">
        <v>246</v>
      </c>
      <c r="F70" s="202" t="s">
        <v>247</v>
      </c>
      <c r="G70" s="230">
        <v>46053</v>
      </c>
      <c r="H70" s="202" t="s">
        <v>248</v>
      </c>
      <c r="I70" s="37">
        <v>200</v>
      </c>
      <c r="J70" s="50" t="s">
        <v>249</v>
      </c>
      <c r="K70" s="40" t="s">
        <v>1072</v>
      </c>
      <c r="L70" s="39"/>
      <c r="M70" s="41" t="str">
        <f t="shared" si="1"/>
        <v>INT-0018-24</v>
      </c>
      <c r="N70" s="42"/>
      <c r="O70" s="46" t="s">
        <v>991</v>
      </c>
    </row>
    <row r="71" spans="1:15" s="28" customFormat="1" ht="15" x14ac:dyDescent="0.25">
      <c r="A71" s="230">
        <v>45475</v>
      </c>
      <c r="B71" s="35" t="s">
        <v>251</v>
      </c>
      <c r="C71" s="36" t="s">
        <v>1066</v>
      </c>
      <c r="D71" s="37" t="s">
        <v>257</v>
      </c>
      <c r="E71" s="38" t="s">
        <v>256</v>
      </c>
      <c r="F71" s="202">
        <v>7125404</v>
      </c>
      <c r="G71" s="230">
        <v>45504</v>
      </c>
      <c r="H71" s="202" t="s">
        <v>338</v>
      </c>
      <c r="I71" s="37">
        <v>1</v>
      </c>
      <c r="J71" s="50" t="s">
        <v>269</v>
      </c>
      <c r="K71" s="40" t="s">
        <v>1072</v>
      </c>
      <c r="L71" s="39" t="s">
        <v>258</v>
      </c>
      <c r="M71" s="41" t="str">
        <f t="shared" si="1"/>
        <v>INT-0019-24</v>
      </c>
      <c r="N71" s="42"/>
      <c r="O71" s="46" t="s">
        <v>991</v>
      </c>
    </row>
    <row r="72" spans="1:15" s="28" customFormat="1" ht="15" x14ac:dyDescent="0.25">
      <c r="A72" s="230">
        <v>45475</v>
      </c>
      <c r="B72" s="35" t="s">
        <v>251</v>
      </c>
      <c r="C72" s="36" t="s">
        <v>1066</v>
      </c>
      <c r="D72" s="37" t="s">
        <v>260</v>
      </c>
      <c r="E72" s="38" t="s">
        <v>259</v>
      </c>
      <c r="F72" s="202">
        <v>9094838</v>
      </c>
      <c r="G72" s="230">
        <v>46904</v>
      </c>
      <c r="H72" s="202" t="s">
        <v>338</v>
      </c>
      <c r="I72" s="37">
        <v>1</v>
      </c>
      <c r="J72" s="50" t="s">
        <v>269</v>
      </c>
      <c r="K72" s="40" t="s">
        <v>1072</v>
      </c>
      <c r="L72" s="39" t="s">
        <v>258</v>
      </c>
      <c r="M72" s="41" t="str">
        <f t="shared" si="1"/>
        <v>INT-0019-24</v>
      </c>
      <c r="N72" s="42"/>
      <c r="O72" s="46" t="s">
        <v>991</v>
      </c>
    </row>
    <row r="73" spans="1:15" s="28" customFormat="1" ht="15" x14ac:dyDescent="0.25">
      <c r="A73" s="230">
        <v>45475</v>
      </c>
      <c r="B73" s="35" t="s">
        <v>251</v>
      </c>
      <c r="C73" s="36" t="s">
        <v>1066</v>
      </c>
      <c r="D73" s="37" t="s">
        <v>262</v>
      </c>
      <c r="E73" s="38" t="s">
        <v>261</v>
      </c>
      <c r="F73" s="202">
        <v>7854083</v>
      </c>
      <c r="G73" s="230">
        <v>45322</v>
      </c>
      <c r="H73" s="202" t="s">
        <v>338</v>
      </c>
      <c r="I73" s="37">
        <v>1</v>
      </c>
      <c r="J73" s="50" t="s">
        <v>269</v>
      </c>
      <c r="K73" s="40" t="s">
        <v>1072</v>
      </c>
      <c r="L73" s="39" t="s">
        <v>258</v>
      </c>
      <c r="M73" s="41" t="str">
        <f t="shared" si="1"/>
        <v>INT-0019-24</v>
      </c>
      <c r="N73" s="42"/>
      <c r="O73" s="46" t="s">
        <v>991</v>
      </c>
    </row>
    <row r="74" spans="1:15" s="28" customFormat="1" ht="15" x14ac:dyDescent="0.25">
      <c r="A74" s="230">
        <v>45475</v>
      </c>
      <c r="B74" s="35" t="s">
        <v>251</v>
      </c>
      <c r="C74" s="36" t="s">
        <v>1066</v>
      </c>
      <c r="D74" s="37" t="s">
        <v>264</v>
      </c>
      <c r="E74" s="38" t="s">
        <v>263</v>
      </c>
      <c r="F74" s="202">
        <v>7983754</v>
      </c>
      <c r="G74" s="230">
        <v>46142</v>
      </c>
      <c r="H74" s="202" t="s">
        <v>338</v>
      </c>
      <c r="I74" s="37">
        <v>1</v>
      </c>
      <c r="J74" s="50" t="s">
        <v>269</v>
      </c>
      <c r="K74" s="40" t="s">
        <v>1072</v>
      </c>
      <c r="L74" s="39" t="s">
        <v>265</v>
      </c>
      <c r="M74" s="41" t="str">
        <f t="shared" si="1"/>
        <v>INT-0019-24</v>
      </c>
      <c r="N74" s="42"/>
      <c r="O74" s="46" t="s">
        <v>991</v>
      </c>
    </row>
    <row r="75" spans="1:15" s="28" customFormat="1" ht="15" x14ac:dyDescent="0.25">
      <c r="A75" s="230">
        <v>45475</v>
      </c>
      <c r="B75" s="35" t="s">
        <v>251</v>
      </c>
      <c r="C75" s="36" t="s">
        <v>1066</v>
      </c>
      <c r="D75" s="37" t="s">
        <v>267</v>
      </c>
      <c r="E75" s="38" t="s">
        <v>266</v>
      </c>
      <c r="F75" s="202">
        <v>7893093</v>
      </c>
      <c r="G75" s="230">
        <v>46081</v>
      </c>
      <c r="H75" s="202" t="s">
        <v>338</v>
      </c>
      <c r="I75" s="37">
        <v>1</v>
      </c>
      <c r="J75" s="50" t="s">
        <v>269</v>
      </c>
      <c r="K75" s="40" t="s">
        <v>1072</v>
      </c>
      <c r="L75" s="39" t="s">
        <v>268</v>
      </c>
      <c r="M75" s="41" t="str">
        <f t="shared" si="1"/>
        <v>INT-0019-24</v>
      </c>
      <c r="N75" s="42"/>
      <c r="O75" s="46" t="s">
        <v>991</v>
      </c>
    </row>
    <row r="76" spans="1:15" s="28" customFormat="1" ht="15" x14ac:dyDescent="0.25">
      <c r="A76" s="230">
        <v>45481</v>
      </c>
      <c r="B76" s="35" t="s">
        <v>270</v>
      </c>
      <c r="C76" s="36" t="s">
        <v>1066</v>
      </c>
      <c r="D76" s="37" t="s">
        <v>277</v>
      </c>
      <c r="E76" s="38" t="s">
        <v>278</v>
      </c>
      <c r="F76" s="202" t="s">
        <v>279</v>
      </c>
      <c r="G76" s="230">
        <v>46446</v>
      </c>
      <c r="H76" s="202" t="s">
        <v>280</v>
      </c>
      <c r="I76" s="37">
        <v>590</v>
      </c>
      <c r="J76" s="50" t="s">
        <v>281</v>
      </c>
      <c r="K76" s="40" t="s">
        <v>1072</v>
      </c>
      <c r="L76" s="39" t="s">
        <v>271</v>
      </c>
      <c r="M76" s="41" t="str">
        <f t="shared" si="1"/>
        <v>INT-0020-24</v>
      </c>
      <c r="N76" s="42"/>
      <c r="O76" s="46" t="s">
        <v>991</v>
      </c>
    </row>
    <row r="77" spans="1:15" s="28" customFormat="1" ht="15" x14ac:dyDescent="0.25">
      <c r="A77" s="230">
        <v>45482</v>
      </c>
      <c r="B77" s="35" t="s">
        <v>272</v>
      </c>
      <c r="C77" s="36" t="s">
        <v>1066</v>
      </c>
      <c r="D77" s="37" t="s">
        <v>273</v>
      </c>
      <c r="E77" s="38" t="s">
        <v>274</v>
      </c>
      <c r="F77" s="202" t="s">
        <v>275</v>
      </c>
      <c r="G77" s="230">
        <v>46024</v>
      </c>
      <c r="H77" s="202" t="s">
        <v>276</v>
      </c>
      <c r="I77" s="37">
        <v>1</v>
      </c>
      <c r="J77" s="50" t="s">
        <v>85</v>
      </c>
      <c r="K77" s="40" t="s">
        <v>1089</v>
      </c>
      <c r="L77" s="39"/>
      <c r="M77" s="41" t="str">
        <f t="shared" si="1"/>
        <v>INT-0021-24</v>
      </c>
      <c r="N77" s="42"/>
      <c r="O77" s="46" t="s">
        <v>991</v>
      </c>
    </row>
    <row r="78" spans="1:15" s="28" customFormat="1" ht="25.5" x14ac:dyDescent="0.25">
      <c r="A78" s="302">
        <v>45429</v>
      </c>
      <c r="B78" s="35" t="s">
        <v>282</v>
      </c>
      <c r="C78" s="36" t="s">
        <v>1103</v>
      </c>
      <c r="D78" s="37" t="s">
        <v>283</v>
      </c>
      <c r="E78" s="38" t="s">
        <v>284</v>
      </c>
      <c r="F78" s="202" t="s">
        <v>285</v>
      </c>
      <c r="G78" s="230">
        <v>45505</v>
      </c>
      <c r="H78" s="202" t="s">
        <v>286</v>
      </c>
      <c r="I78" s="37">
        <v>83</v>
      </c>
      <c r="J78" s="50" t="s">
        <v>287</v>
      </c>
      <c r="K78" s="40" t="s">
        <v>250</v>
      </c>
      <c r="L78" s="39" t="s">
        <v>289</v>
      </c>
      <c r="M78" s="41" t="str">
        <f t="shared" si="1"/>
        <v>INT-0022-24</v>
      </c>
      <c r="N78" s="42"/>
      <c r="O78" s="46" t="s">
        <v>991</v>
      </c>
    </row>
    <row r="79" spans="1:15" s="28" customFormat="1" ht="25.5" x14ac:dyDescent="0.25">
      <c r="A79" s="230">
        <v>45484</v>
      </c>
      <c r="B79" s="35" t="s">
        <v>291</v>
      </c>
      <c r="C79" s="36" t="s">
        <v>1103</v>
      </c>
      <c r="D79" s="37" t="s">
        <v>292</v>
      </c>
      <c r="E79" s="38" t="s">
        <v>293</v>
      </c>
      <c r="F79" s="202" t="s">
        <v>294</v>
      </c>
      <c r="G79" s="230">
        <v>46507</v>
      </c>
      <c r="H79" s="202" t="s">
        <v>295</v>
      </c>
      <c r="I79" s="37">
        <v>10</v>
      </c>
      <c r="J79" s="50" t="s">
        <v>300</v>
      </c>
      <c r="K79" s="40" t="s">
        <v>1071</v>
      </c>
      <c r="L79" s="39" t="s">
        <v>301</v>
      </c>
      <c r="M79" s="41" t="str">
        <f t="shared" si="1"/>
        <v>INT-0023-24</v>
      </c>
      <c r="N79" s="42"/>
      <c r="O79" s="46" t="s">
        <v>991</v>
      </c>
    </row>
    <row r="80" spans="1:15" s="28" customFormat="1" ht="25.5" x14ac:dyDescent="0.25">
      <c r="A80" s="230">
        <v>45484</v>
      </c>
      <c r="B80" s="35" t="s">
        <v>291</v>
      </c>
      <c r="C80" s="36" t="s">
        <v>1103</v>
      </c>
      <c r="D80" s="37" t="s">
        <v>296</v>
      </c>
      <c r="E80" s="38" t="s">
        <v>297</v>
      </c>
      <c r="F80" s="202" t="s">
        <v>298</v>
      </c>
      <c r="G80" s="230">
        <v>45991</v>
      </c>
      <c r="H80" s="202" t="s">
        <v>299</v>
      </c>
      <c r="I80" s="37">
        <v>11</v>
      </c>
      <c r="J80" s="50" t="s">
        <v>300</v>
      </c>
      <c r="K80" s="40" t="s">
        <v>1071</v>
      </c>
      <c r="L80" s="39" t="s">
        <v>301</v>
      </c>
      <c r="M80" s="41" t="str">
        <f t="shared" si="1"/>
        <v>INT-0023-24</v>
      </c>
      <c r="N80" s="42"/>
      <c r="O80" s="46" t="s">
        <v>991</v>
      </c>
    </row>
    <row r="81" spans="1:15" s="28" customFormat="1" ht="15" x14ac:dyDescent="0.25">
      <c r="A81" s="230">
        <v>45489</v>
      </c>
      <c r="B81" s="35" t="s">
        <v>302</v>
      </c>
      <c r="C81" s="47" t="s">
        <v>547</v>
      </c>
      <c r="D81" s="37" t="s">
        <v>537</v>
      </c>
      <c r="E81" s="38" t="s">
        <v>303</v>
      </c>
      <c r="F81" s="202" t="s">
        <v>304</v>
      </c>
      <c r="G81" s="232">
        <v>46124</v>
      </c>
      <c r="H81" s="202" t="s">
        <v>1484</v>
      </c>
      <c r="I81" s="37">
        <v>1</v>
      </c>
      <c r="J81" s="257" t="s">
        <v>716</v>
      </c>
      <c r="K81" s="40" t="s">
        <v>1072</v>
      </c>
      <c r="L81" s="39" t="s">
        <v>306</v>
      </c>
      <c r="M81" s="41" t="str">
        <f t="shared" si="1"/>
        <v>INT-0024-24</v>
      </c>
      <c r="N81" s="42"/>
      <c r="O81" s="46"/>
    </row>
    <row r="82" spans="1:15" s="28" customFormat="1" ht="15" x14ac:dyDescent="0.25">
      <c r="A82" s="230">
        <v>45491</v>
      </c>
      <c r="B82" s="35" t="s">
        <v>307</v>
      </c>
      <c r="C82" s="36" t="s">
        <v>1066</v>
      </c>
      <c r="D82" s="37" t="s">
        <v>308</v>
      </c>
      <c r="E82" s="38" t="s">
        <v>309</v>
      </c>
      <c r="F82" s="202" t="s">
        <v>310</v>
      </c>
      <c r="G82" s="230">
        <v>46070</v>
      </c>
      <c r="H82" s="202" t="s">
        <v>311</v>
      </c>
      <c r="I82" s="37">
        <v>1</v>
      </c>
      <c r="J82" s="50" t="s">
        <v>312</v>
      </c>
      <c r="K82" s="40" t="s">
        <v>1089</v>
      </c>
      <c r="L82" s="39" t="s">
        <v>313</v>
      </c>
      <c r="M82" s="41" t="str">
        <f t="shared" si="1"/>
        <v>INT-0025-24</v>
      </c>
      <c r="N82" s="42"/>
      <c r="O82" s="46" t="s">
        <v>991</v>
      </c>
    </row>
    <row r="83" spans="1:15" s="28" customFormat="1" ht="15" x14ac:dyDescent="0.25">
      <c r="A83" s="230">
        <v>45495</v>
      </c>
      <c r="B83" s="35" t="s">
        <v>314</v>
      </c>
      <c r="C83" s="36" t="s">
        <v>1068</v>
      </c>
      <c r="D83" s="37" t="s">
        <v>315</v>
      </c>
      <c r="E83" s="38" t="s">
        <v>316</v>
      </c>
      <c r="F83" s="202" t="s">
        <v>317</v>
      </c>
      <c r="G83" s="230">
        <v>46265</v>
      </c>
      <c r="H83" s="202" t="s">
        <v>318</v>
      </c>
      <c r="I83" s="37">
        <v>1</v>
      </c>
      <c r="J83" s="50" t="s">
        <v>1268</v>
      </c>
      <c r="K83" s="40" t="s">
        <v>1089</v>
      </c>
      <c r="L83" s="39" t="s">
        <v>319</v>
      </c>
      <c r="M83" s="41" t="str">
        <f t="shared" si="1"/>
        <v>INT-0026-24</v>
      </c>
      <c r="N83" s="42"/>
      <c r="O83" s="46" t="s">
        <v>991</v>
      </c>
    </row>
    <row r="84" spans="1:15" s="28" customFormat="1" ht="15" x14ac:dyDescent="0.25">
      <c r="A84" s="230">
        <v>45497</v>
      </c>
      <c r="B84" s="35" t="s">
        <v>320</v>
      </c>
      <c r="C84" s="36" t="s">
        <v>1066</v>
      </c>
      <c r="D84" s="37" t="s">
        <v>34</v>
      </c>
      <c r="E84" s="38" t="s">
        <v>35</v>
      </c>
      <c r="F84" s="202" t="s">
        <v>321</v>
      </c>
      <c r="G84" s="230">
        <v>45535</v>
      </c>
      <c r="H84" s="202" t="s">
        <v>322</v>
      </c>
      <c r="I84" s="37">
        <v>89</v>
      </c>
      <c r="J84" s="50" t="s">
        <v>324</v>
      </c>
      <c r="K84" s="40" t="s">
        <v>1089</v>
      </c>
      <c r="L84" s="39" t="s">
        <v>323</v>
      </c>
      <c r="M84" s="41" t="str">
        <f t="shared" si="1"/>
        <v>INT-0027-24</v>
      </c>
      <c r="N84" s="42"/>
      <c r="O84" s="46" t="s">
        <v>991</v>
      </c>
    </row>
    <row r="85" spans="1:15" s="28" customFormat="1" ht="15" x14ac:dyDescent="0.25">
      <c r="A85" s="230">
        <v>45497</v>
      </c>
      <c r="B85" s="35" t="s">
        <v>320</v>
      </c>
      <c r="C85" s="36" t="s">
        <v>1066</v>
      </c>
      <c r="D85" s="37" t="s">
        <v>39</v>
      </c>
      <c r="E85" s="38" t="s">
        <v>40</v>
      </c>
      <c r="F85" s="202" t="s">
        <v>75</v>
      </c>
      <c r="G85" s="230">
        <v>45535</v>
      </c>
      <c r="H85" s="202" t="s">
        <v>325</v>
      </c>
      <c r="I85" s="37">
        <v>60</v>
      </c>
      <c r="J85" s="50" t="s">
        <v>324</v>
      </c>
      <c r="K85" s="40" t="s">
        <v>1089</v>
      </c>
      <c r="L85" s="39" t="s">
        <v>323</v>
      </c>
      <c r="M85" s="41" t="str">
        <f t="shared" si="1"/>
        <v>INT-0027-24</v>
      </c>
      <c r="N85" s="42"/>
      <c r="O85" s="46" t="s">
        <v>991</v>
      </c>
    </row>
    <row r="86" spans="1:15" s="28" customFormat="1" ht="25.5" x14ac:dyDescent="0.25">
      <c r="A86" s="230">
        <v>45497</v>
      </c>
      <c r="B86" s="35" t="s">
        <v>320</v>
      </c>
      <c r="C86" s="36" t="s">
        <v>1066</v>
      </c>
      <c r="D86" s="37" t="s">
        <v>92</v>
      </c>
      <c r="E86" s="38" t="s">
        <v>93</v>
      </c>
      <c r="F86" s="202" t="s">
        <v>326</v>
      </c>
      <c r="G86" s="230">
        <v>46418</v>
      </c>
      <c r="H86" s="202" t="s">
        <v>327</v>
      </c>
      <c r="I86" s="37">
        <v>1</v>
      </c>
      <c r="J86" s="50" t="s">
        <v>324</v>
      </c>
      <c r="K86" s="40" t="s">
        <v>1089</v>
      </c>
      <c r="L86" s="39" t="s">
        <v>1092</v>
      </c>
      <c r="M86" s="41" t="str">
        <f t="shared" si="1"/>
        <v>INT-0027-24</v>
      </c>
      <c r="N86" s="42"/>
      <c r="O86" s="46" t="s">
        <v>991</v>
      </c>
    </row>
    <row r="87" spans="1:15" s="28" customFormat="1" ht="15" x14ac:dyDescent="0.25">
      <c r="A87" s="230">
        <v>45497</v>
      </c>
      <c r="B87" s="35" t="s">
        <v>328</v>
      </c>
      <c r="C87" s="36" t="s">
        <v>1066</v>
      </c>
      <c r="D87" s="37" t="s">
        <v>329</v>
      </c>
      <c r="E87" s="38" t="s">
        <v>330</v>
      </c>
      <c r="F87" s="202" t="s">
        <v>331</v>
      </c>
      <c r="G87" s="230">
        <v>45504</v>
      </c>
      <c r="H87" s="202" t="s">
        <v>332</v>
      </c>
      <c r="I87" s="37">
        <v>1144</v>
      </c>
      <c r="J87" s="50" t="s">
        <v>333</v>
      </c>
      <c r="K87" s="40" t="s">
        <v>1089</v>
      </c>
      <c r="L87" s="39" t="s">
        <v>334</v>
      </c>
      <c r="M87" s="41" t="str">
        <f t="shared" si="1"/>
        <v>INT-0028-24</v>
      </c>
      <c r="N87" s="42"/>
      <c r="O87" s="46" t="s">
        <v>991</v>
      </c>
    </row>
    <row r="88" spans="1:15" s="28" customFormat="1" ht="15" x14ac:dyDescent="0.25">
      <c r="A88" s="230">
        <v>45503</v>
      </c>
      <c r="B88" s="35" t="s">
        <v>368</v>
      </c>
      <c r="C88" s="36" t="s">
        <v>216</v>
      </c>
      <c r="D88" s="37" t="s">
        <v>337</v>
      </c>
      <c r="E88" s="38" t="s">
        <v>335</v>
      </c>
      <c r="F88" s="202" t="s">
        <v>336</v>
      </c>
      <c r="G88" s="230">
        <v>46145</v>
      </c>
      <c r="H88" s="202" t="s">
        <v>383</v>
      </c>
      <c r="I88" s="37">
        <v>2</v>
      </c>
      <c r="J88" s="50" t="s">
        <v>324</v>
      </c>
      <c r="K88" s="40" t="s">
        <v>1089</v>
      </c>
      <c r="L88" s="39" t="s">
        <v>323</v>
      </c>
      <c r="M88" s="41" t="str">
        <f t="shared" si="1"/>
        <v>INT-0029-24</v>
      </c>
      <c r="N88" s="42"/>
      <c r="O88" s="46" t="s">
        <v>991</v>
      </c>
    </row>
    <row r="89" spans="1:15" s="28" customFormat="1" ht="15" x14ac:dyDescent="0.25">
      <c r="A89" s="230">
        <v>45502</v>
      </c>
      <c r="B89" s="35" t="s">
        <v>369</v>
      </c>
      <c r="C89" s="36" t="s">
        <v>143</v>
      </c>
      <c r="D89" s="37" t="s">
        <v>262</v>
      </c>
      <c r="E89" s="38" t="s">
        <v>339</v>
      </c>
      <c r="F89" s="202" t="s">
        <v>340</v>
      </c>
      <c r="G89" s="230">
        <v>45322</v>
      </c>
      <c r="H89" s="202" t="s">
        <v>338</v>
      </c>
      <c r="I89" s="37">
        <v>1</v>
      </c>
      <c r="J89" s="50" t="s">
        <v>1158</v>
      </c>
      <c r="K89" s="40" t="s">
        <v>1072</v>
      </c>
      <c r="L89" s="39" t="s">
        <v>345</v>
      </c>
      <c r="M89" s="41" t="str">
        <f t="shared" si="1"/>
        <v>INT-0030-24</v>
      </c>
      <c r="N89" s="42"/>
      <c r="O89" s="46" t="s">
        <v>991</v>
      </c>
    </row>
    <row r="90" spans="1:15" s="28" customFormat="1" ht="15" x14ac:dyDescent="0.25">
      <c r="A90" s="230">
        <v>45502</v>
      </c>
      <c r="B90" s="35" t="s">
        <v>369</v>
      </c>
      <c r="C90" s="36" t="s">
        <v>143</v>
      </c>
      <c r="D90" s="37" t="s">
        <v>257</v>
      </c>
      <c r="E90" s="38" t="s">
        <v>254</v>
      </c>
      <c r="F90" s="202" t="s">
        <v>341</v>
      </c>
      <c r="G90" s="230">
        <v>45504</v>
      </c>
      <c r="H90" s="202" t="s">
        <v>338</v>
      </c>
      <c r="I90" s="37">
        <v>1</v>
      </c>
      <c r="J90" s="50" t="s">
        <v>1158</v>
      </c>
      <c r="K90" s="40" t="s">
        <v>1072</v>
      </c>
      <c r="L90" s="39" t="s">
        <v>345</v>
      </c>
      <c r="M90" s="41" t="str">
        <f t="shared" si="1"/>
        <v>INT-0030-24</v>
      </c>
      <c r="N90" s="42"/>
      <c r="O90" s="46" t="s">
        <v>991</v>
      </c>
    </row>
    <row r="91" spans="1:15" s="28" customFormat="1" ht="15" x14ac:dyDescent="0.25">
      <c r="A91" s="230">
        <v>45502</v>
      </c>
      <c r="B91" s="35" t="s">
        <v>369</v>
      </c>
      <c r="C91" s="36" t="s">
        <v>143</v>
      </c>
      <c r="D91" s="37" t="s">
        <v>264</v>
      </c>
      <c r="E91" s="38" t="s">
        <v>255</v>
      </c>
      <c r="F91" s="202" t="s">
        <v>342</v>
      </c>
      <c r="G91" s="230">
        <v>46142</v>
      </c>
      <c r="H91" s="202" t="s">
        <v>338</v>
      </c>
      <c r="I91" s="37">
        <v>1</v>
      </c>
      <c r="J91" s="50" t="s">
        <v>1158</v>
      </c>
      <c r="K91" s="40" t="s">
        <v>1072</v>
      </c>
      <c r="L91" s="39" t="s">
        <v>345</v>
      </c>
      <c r="M91" s="41" t="str">
        <f t="shared" si="1"/>
        <v>INT-0030-24</v>
      </c>
      <c r="N91" s="42"/>
      <c r="O91" s="46" t="s">
        <v>991</v>
      </c>
    </row>
    <row r="92" spans="1:15" s="28" customFormat="1" ht="15" x14ac:dyDescent="0.25">
      <c r="A92" s="230">
        <v>45502</v>
      </c>
      <c r="B92" s="35" t="s">
        <v>369</v>
      </c>
      <c r="C92" s="36" t="s">
        <v>143</v>
      </c>
      <c r="D92" s="37" t="s">
        <v>260</v>
      </c>
      <c r="E92" s="38" t="s">
        <v>252</v>
      </c>
      <c r="F92" s="202" t="s">
        <v>343</v>
      </c>
      <c r="G92" s="230">
        <v>46904</v>
      </c>
      <c r="H92" s="202" t="s">
        <v>338</v>
      </c>
      <c r="I92" s="37">
        <v>1</v>
      </c>
      <c r="J92" s="50" t="s">
        <v>1158</v>
      </c>
      <c r="K92" s="40" t="s">
        <v>1072</v>
      </c>
      <c r="L92" s="39" t="s">
        <v>345</v>
      </c>
      <c r="M92" s="41" t="str">
        <f t="shared" si="1"/>
        <v>INT-0030-24</v>
      </c>
      <c r="N92" s="42"/>
      <c r="O92" s="46" t="s">
        <v>991</v>
      </c>
    </row>
    <row r="93" spans="1:15" s="28" customFormat="1" ht="15" x14ac:dyDescent="0.25">
      <c r="A93" s="230">
        <v>45502</v>
      </c>
      <c r="B93" s="35" t="s">
        <v>369</v>
      </c>
      <c r="C93" s="36" t="s">
        <v>143</v>
      </c>
      <c r="D93" s="37" t="s">
        <v>267</v>
      </c>
      <c r="E93" s="38" t="s">
        <v>253</v>
      </c>
      <c r="F93" s="202" t="s">
        <v>344</v>
      </c>
      <c r="G93" s="230">
        <v>46081</v>
      </c>
      <c r="H93" s="202" t="s">
        <v>338</v>
      </c>
      <c r="I93" s="37">
        <v>1</v>
      </c>
      <c r="J93" s="50" t="s">
        <v>1158</v>
      </c>
      <c r="K93" s="40" t="s">
        <v>1072</v>
      </c>
      <c r="L93" s="39" t="s">
        <v>345</v>
      </c>
      <c r="M93" s="41" t="str">
        <f t="shared" si="1"/>
        <v>INT-0030-24</v>
      </c>
      <c r="N93" s="42"/>
      <c r="O93" s="46" t="s">
        <v>991</v>
      </c>
    </row>
    <row r="94" spans="1:15" s="28" customFormat="1" ht="15" x14ac:dyDescent="0.25">
      <c r="A94" s="230">
        <v>45503</v>
      </c>
      <c r="B94" s="35" t="s">
        <v>370</v>
      </c>
      <c r="C94" s="36" t="s">
        <v>143</v>
      </c>
      <c r="D94" s="37" t="s">
        <v>346</v>
      </c>
      <c r="E94" s="38" t="s">
        <v>347</v>
      </c>
      <c r="F94" s="202" t="s">
        <v>348</v>
      </c>
      <c r="G94" s="230">
        <v>45867</v>
      </c>
      <c r="H94" s="202" t="s">
        <v>349</v>
      </c>
      <c r="I94" s="37">
        <v>3</v>
      </c>
      <c r="J94" s="50" t="s">
        <v>1158</v>
      </c>
      <c r="K94" s="40" t="s">
        <v>1089</v>
      </c>
      <c r="L94" s="39"/>
      <c r="M94" s="41" t="str">
        <f t="shared" si="1"/>
        <v>INT-0031-24</v>
      </c>
      <c r="N94" s="42"/>
      <c r="O94" s="46" t="s">
        <v>990</v>
      </c>
    </row>
    <row r="95" spans="1:15" s="28" customFormat="1" ht="15" x14ac:dyDescent="0.25">
      <c r="A95" s="230">
        <v>45503</v>
      </c>
      <c r="B95" s="35" t="s">
        <v>370</v>
      </c>
      <c r="C95" s="36" t="s">
        <v>143</v>
      </c>
      <c r="D95" s="37" t="s">
        <v>181</v>
      </c>
      <c r="E95" s="38" t="s">
        <v>182</v>
      </c>
      <c r="F95" s="202" t="s">
        <v>350</v>
      </c>
      <c r="G95" s="230">
        <v>46524</v>
      </c>
      <c r="H95" s="202" t="s">
        <v>351</v>
      </c>
      <c r="I95" s="37">
        <v>8</v>
      </c>
      <c r="J95" s="50"/>
      <c r="K95" s="40"/>
      <c r="L95" s="39"/>
      <c r="M95" s="41" t="str">
        <f t="shared" si="1"/>
        <v>INT-0031-24</v>
      </c>
      <c r="N95" s="42"/>
      <c r="O95" s="46" t="s">
        <v>991</v>
      </c>
    </row>
    <row r="96" spans="1:15" s="28" customFormat="1" ht="15" x14ac:dyDescent="0.25">
      <c r="A96" s="230">
        <v>45503</v>
      </c>
      <c r="B96" s="35" t="s">
        <v>370</v>
      </c>
      <c r="C96" s="36" t="s">
        <v>143</v>
      </c>
      <c r="D96" s="37" t="s">
        <v>181</v>
      </c>
      <c r="E96" s="38" t="s">
        <v>182</v>
      </c>
      <c r="F96" s="202" t="s">
        <v>352</v>
      </c>
      <c r="G96" s="230">
        <v>46524</v>
      </c>
      <c r="H96" s="202" t="s">
        <v>353</v>
      </c>
      <c r="I96" s="37">
        <v>25</v>
      </c>
      <c r="J96" s="50"/>
      <c r="K96" s="40"/>
      <c r="L96" s="39"/>
      <c r="M96" s="41" t="str">
        <f t="shared" si="1"/>
        <v>INT-0031-24</v>
      </c>
      <c r="N96" s="42"/>
      <c r="O96" s="46" t="s">
        <v>991</v>
      </c>
    </row>
    <row r="97" spans="1:15" s="28" customFormat="1" ht="15" x14ac:dyDescent="0.25">
      <c r="A97" s="230">
        <v>45503</v>
      </c>
      <c r="B97" s="35" t="s">
        <v>370</v>
      </c>
      <c r="C97" s="36" t="s">
        <v>143</v>
      </c>
      <c r="D97" s="37" t="s">
        <v>354</v>
      </c>
      <c r="E97" s="38" t="s">
        <v>355</v>
      </c>
      <c r="F97" s="202" t="s">
        <v>356</v>
      </c>
      <c r="G97" s="230">
        <v>46514</v>
      </c>
      <c r="H97" s="202" t="s">
        <v>357</v>
      </c>
      <c r="I97" s="37">
        <v>1</v>
      </c>
      <c r="J97" s="50"/>
      <c r="K97" s="40"/>
      <c r="L97" s="39"/>
      <c r="M97" s="41" t="str">
        <f t="shared" si="1"/>
        <v>INT-0031-24</v>
      </c>
      <c r="N97" s="42"/>
      <c r="O97" s="46" t="s">
        <v>991</v>
      </c>
    </row>
    <row r="98" spans="1:15" s="28" customFormat="1" ht="15" x14ac:dyDescent="0.25">
      <c r="A98" s="230">
        <v>45503</v>
      </c>
      <c r="B98" s="35" t="s">
        <v>370</v>
      </c>
      <c r="C98" s="36" t="s">
        <v>143</v>
      </c>
      <c r="D98" s="37" t="s">
        <v>181</v>
      </c>
      <c r="E98" s="38" t="s">
        <v>182</v>
      </c>
      <c r="F98" s="202" t="s">
        <v>358</v>
      </c>
      <c r="G98" s="230">
        <v>46524</v>
      </c>
      <c r="H98" s="202" t="s">
        <v>359</v>
      </c>
      <c r="I98" s="37">
        <v>10</v>
      </c>
      <c r="J98" s="50"/>
      <c r="K98" s="40"/>
      <c r="L98" s="39"/>
      <c r="M98" s="41" t="str">
        <f t="shared" si="1"/>
        <v>INT-0031-24</v>
      </c>
      <c r="N98" s="42"/>
      <c r="O98" s="46" t="s">
        <v>991</v>
      </c>
    </row>
    <row r="99" spans="1:15" s="28" customFormat="1" ht="15" x14ac:dyDescent="0.25">
      <c r="A99" s="230">
        <v>45503</v>
      </c>
      <c r="B99" s="35" t="s">
        <v>371</v>
      </c>
      <c r="C99" s="36" t="s">
        <v>216</v>
      </c>
      <c r="D99" s="37" t="s">
        <v>360</v>
      </c>
      <c r="E99" s="38" t="s">
        <v>361</v>
      </c>
      <c r="F99" s="202" t="s">
        <v>362</v>
      </c>
      <c r="G99" s="230">
        <v>46295</v>
      </c>
      <c r="H99" s="202" t="s">
        <v>363</v>
      </c>
      <c r="I99" s="37">
        <v>69</v>
      </c>
      <c r="J99" s="50" t="s">
        <v>439</v>
      </c>
      <c r="K99" s="40" t="s">
        <v>1073</v>
      </c>
      <c r="L99" s="39" t="s">
        <v>1159</v>
      </c>
      <c r="M99" s="41" t="str">
        <f t="shared" si="1"/>
        <v>INT-0032-24</v>
      </c>
      <c r="N99" s="42"/>
      <c r="O99" s="46" t="s">
        <v>991</v>
      </c>
    </row>
    <row r="100" spans="1:15" s="28" customFormat="1" ht="15" x14ac:dyDescent="0.25">
      <c r="A100" s="230">
        <v>45504</v>
      </c>
      <c r="B100" s="35" t="s">
        <v>372</v>
      </c>
      <c r="C100" s="47" t="s">
        <v>1066</v>
      </c>
      <c r="D100" s="48" t="s">
        <v>1292</v>
      </c>
      <c r="E100" s="38" t="s">
        <v>1293</v>
      </c>
      <c r="F100" s="205" t="s">
        <v>1294</v>
      </c>
      <c r="G100" s="233">
        <v>45504</v>
      </c>
      <c r="H100" s="205" t="s">
        <v>1291</v>
      </c>
      <c r="I100" s="37"/>
      <c r="J100" s="50" t="s">
        <v>1158</v>
      </c>
      <c r="K100" s="40" t="s">
        <v>1073</v>
      </c>
      <c r="L100" s="39" t="s">
        <v>367</v>
      </c>
      <c r="M100" s="41" t="str">
        <f t="shared" si="1"/>
        <v>INT-0033-24</v>
      </c>
      <c r="N100" s="42"/>
      <c r="O100" s="46"/>
    </row>
    <row r="101" spans="1:15" s="28" customFormat="1" ht="15" x14ac:dyDescent="0.25">
      <c r="A101" s="230">
        <v>45504</v>
      </c>
      <c r="B101" s="35" t="s">
        <v>372</v>
      </c>
      <c r="C101" s="47" t="s">
        <v>1066</v>
      </c>
      <c r="D101" s="37" t="s">
        <v>34</v>
      </c>
      <c r="E101" s="38" t="s">
        <v>35</v>
      </c>
      <c r="F101" s="202">
        <v>21501</v>
      </c>
      <c r="G101" s="230">
        <v>45535</v>
      </c>
      <c r="H101" s="279" t="s">
        <v>1290</v>
      </c>
      <c r="I101" s="48"/>
      <c r="J101" s="50" t="s">
        <v>1158</v>
      </c>
      <c r="K101" s="40" t="s">
        <v>1073</v>
      </c>
      <c r="L101" s="40"/>
      <c r="M101" s="41" t="str">
        <f>HYPERLINK("P:\7. LONG HAU\7. CAC THEO DOI TRONG QUA TRINH\4. DEVIATION- INCIDENTS\THEO DÕI NỘI BỘ (NGOÀI BBSC)\"&amp;YEAR(A101)&amp;"\"&amp;B101,B101)</f>
        <v>INT-0033-24</v>
      </c>
      <c r="N101" s="49"/>
      <c r="O101" s="301"/>
    </row>
    <row r="102" spans="1:15" s="28" customFormat="1" ht="15" x14ac:dyDescent="0.25">
      <c r="A102" s="230">
        <v>45504</v>
      </c>
      <c r="B102" s="35" t="s">
        <v>372</v>
      </c>
      <c r="C102" s="47" t="s">
        <v>1066</v>
      </c>
      <c r="D102" s="48" t="s">
        <v>28</v>
      </c>
      <c r="E102" s="38" t="s">
        <v>29</v>
      </c>
      <c r="F102" s="205" t="s">
        <v>1295</v>
      </c>
      <c r="G102" s="233">
        <v>45504</v>
      </c>
      <c r="H102" s="205" t="s">
        <v>1296</v>
      </c>
      <c r="I102" s="48"/>
      <c r="J102" s="50" t="s">
        <v>1158</v>
      </c>
      <c r="K102" s="40" t="s">
        <v>1073</v>
      </c>
      <c r="L102" s="40"/>
      <c r="M102" s="41" t="str">
        <f>HYPERLINK("P:\7. LONG HAU\7. CAC THEO DOI TRONG QUA TRINH\4. DEVIATION- INCIDENTS\THEO DÕI NỘI BỘ (NGOÀI BBSC)\"&amp;YEAR(A102)&amp;"\"&amp;B102,B102)</f>
        <v>INT-0033-24</v>
      </c>
      <c r="N102" s="49"/>
      <c r="O102" s="301"/>
    </row>
    <row r="103" spans="1:15" s="28" customFormat="1" ht="15" x14ac:dyDescent="0.25">
      <c r="A103" s="230">
        <v>45504</v>
      </c>
      <c r="B103" s="35" t="s">
        <v>372</v>
      </c>
      <c r="C103" s="47" t="s">
        <v>1066</v>
      </c>
      <c r="D103" s="48" t="s">
        <v>239</v>
      </c>
      <c r="E103" s="38" t="s">
        <v>240</v>
      </c>
      <c r="F103" s="205" t="s">
        <v>241</v>
      </c>
      <c r="G103" s="233">
        <v>45535</v>
      </c>
      <c r="H103" s="205" t="s">
        <v>1297</v>
      </c>
      <c r="I103" s="48"/>
      <c r="J103" s="50" t="s">
        <v>1158</v>
      </c>
      <c r="K103" s="40" t="s">
        <v>1073</v>
      </c>
      <c r="L103" s="40"/>
      <c r="M103" s="41" t="str">
        <f>HYPERLINK("P:\7. LONG HAU\7. CAC THEO DOI TRONG QUA TRINH\4. DEVIATION- INCIDENTS\THEO DÕI NỘI BỘ (NGOÀI BBSC)\"&amp;YEAR(A103)&amp;"\"&amp;B103,B103)</f>
        <v>INT-0033-24</v>
      </c>
      <c r="N103" s="49"/>
      <c r="O103" s="301"/>
    </row>
    <row r="104" spans="1:15" s="28" customFormat="1" ht="15" x14ac:dyDescent="0.25">
      <c r="A104" s="230">
        <v>45504</v>
      </c>
      <c r="B104" s="35" t="s">
        <v>372</v>
      </c>
      <c r="C104" s="47" t="s">
        <v>1066</v>
      </c>
      <c r="D104" s="48" t="s">
        <v>1292</v>
      </c>
      <c r="E104" s="38" t="s">
        <v>1293</v>
      </c>
      <c r="F104" s="205" t="s">
        <v>1298</v>
      </c>
      <c r="G104" s="233">
        <v>45504</v>
      </c>
      <c r="H104" s="205" t="s">
        <v>1299</v>
      </c>
      <c r="I104" s="48"/>
      <c r="J104" s="50" t="s">
        <v>1158</v>
      </c>
      <c r="K104" s="40" t="s">
        <v>1073</v>
      </c>
      <c r="L104" s="40"/>
      <c r="M104" s="41" t="str">
        <f>HYPERLINK("P:\7. LONG HAU\7. CAC THEO DOI TRONG QUA TRINH\4. DEVIATION- INCIDENTS\THEO DÕI NỘI BỘ (NGOÀI BBSC)\"&amp;YEAR(A104)&amp;"\"&amp;B104,B104)</f>
        <v>INT-0033-24</v>
      </c>
      <c r="N104" s="49"/>
      <c r="O104" s="301"/>
    </row>
    <row r="105" spans="1:15" s="28" customFormat="1" ht="38.25" x14ac:dyDescent="0.25">
      <c r="A105" s="230">
        <v>45504</v>
      </c>
      <c r="B105" s="35" t="s">
        <v>373</v>
      </c>
      <c r="C105" s="36" t="s">
        <v>216</v>
      </c>
      <c r="D105" s="37" t="s">
        <v>36</v>
      </c>
      <c r="E105" s="38" t="s">
        <v>37</v>
      </c>
      <c r="F105" s="202" t="s">
        <v>364</v>
      </c>
      <c r="G105" s="230">
        <v>46022</v>
      </c>
      <c r="H105" s="202" t="s">
        <v>365</v>
      </c>
      <c r="I105" s="37">
        <v>1</v>
      </c>
      <c r="J105" s="50" t="s">
        <v>429</v>
      </c>
      <c r="K105" s="40"/>
      <c r="L105" s="39" t="s">
        <v>367</v>
      </c>
      <c r="M105" s="41" t="str">
        <f t="shared" si="1"/>
        <v>INT-0034-24</v>
      </c>
      <c r="N105" s="42"/>
      <c r="O105" s="46"/>
    </row>
    <row r="106" spans="1:15" s="28" customFormat="1" ht="15" x14ac:dyDescent="0.25">
      <c r="A106" s="230">
        <v>45509</v>
      </c>
      <c r="B106" s="35" t="s">
        <v>374</v>
      </c>
      <c r="C106" s="36" t="s">
        <v>216</v>
      </c>
      <c r="D106" s="37" t="s">
        <v>47</v>
      </c>
      <c r="E106" s="38" t="s">
        <v>48</v>
      </c>
      <c r="F106" s="202" t="s">
        <v>95</v>
      </c>
      <c r="G106" s="230">
        <v>45565</v>
      </c>
      <c r="H106" s="202" t="s">
        <v>375</v>
      </c>
      <c r="I106" s="37">
        <v>64</v>
      </c>
      <c r="J106" s="50" t="s">
        <v>380</v>
      </c>
      <c r="K106" s="40" t="s">
        <v>366</v>
      </c>
      <c r="L106" s="39" t="s">
        <v>367</v>
      </c>
      <c r="M106" s="41" t="str">
        <f t="shared" si="1"/>
        <v>INT-0035-24</v>
      </c>
      <c r="N106" s="42"/>
      <c r="O106" s="46"/>
    </row>
    <row r="107" spans="1:15" s="28" customFormat="1" ht="15" x14ac:dyDescent="0.25">
      <c r="A107" s="230">
        <v>45509</v>
      </c>
      <c r="B107" s="35" t="s">
        <v>374</v>
      </c>
      <c r="C107" s="36" t="s">
        <v>216</v>
      </c>
      <c r="D107" s="37" t="s">
        <v>376</v>
      </c>
      <c r="E107" s="38" t="s">
        <v>377</v>
      </c>
      <c r="F107" s="202" t="s">
        <v>379</v>
      </c>
      <c r="G107" s="230">
        <v>45535</v>
      </c>
      <c r="H107" s="202" t="s">
        <v>378</v>
      </c>
      <c r="I107" s="37">
        <v>5</v>
      </c>
      <c r="J107" s="50" t="s">
        <v>380</v>
      </c>
      <c r="K107" s="40" t="s">
        <v>366</v>
      </c>
      <c r="L107" s="39" t="s">
        <v>367</v>
      </c>
      <c r="M107" s="41" t="str">
        <f t="shared" si="1"/>
        <v>INT-0035-24</v>
      </c>
      <c r="N107" s="42"/>
      <c r="O107" s="46"/>
    </row>
    <row r="108" spans="1:15" s="28" customFormat="1" ht="51" x14ac:dyDescent="0.25">
      <c r="A108" s="230">
        <v>45510</v>
      </c>
      <c r="B108" s="35" t="s">
        <v>381</v>
      </c>
      <c r="C108" s="36" t="s">
        <v>5</v>
      </c>
      <c r="D108" s="37" t="s">
        <v>1144</v>
      </c>
      <c r="E108" s="38"/>
      <c r="F108" s="202"/>
      <c r="G108" s="230"/>
      <c r="H108" s="279" t="s">
        <v>382</v>
      </c>
      <c r="I108" s="37"/>
      <c r="J108" s="50" t="s">
        <v>380</v>
      </c>
      <c r="K108" s="40" t="s">
        <v>305</v>
      </c>
      <c r="L108" s="39"/>
      <c r="M108" s="41" t="str">
        <f t="shared" si="1"/>
        <v>INT-0036-24</v>
      </c>
      <c r="N108" s="42"/>
      <c r="O108" s="46"/>
    </row>
    <row r="109" spans="1:15" s="28" customFormat="1" ht="15" x14ac:dyDescent="0.25">
      <c r="A109" s="230">
        <v>45510</v>
      </c>
      <c r="B109" s="35" t="s">
        <v>384</v>
      </c>
      <c r="C109" s="36" t="s">
        <v>11</v>
      </c>
      <c r="D109" s="37" t="s">
        <v>385</v>
      </c>
      <c r="E109" s="38" t="s">
        <v>387</v>
      </c>
      <c r="F109" s="202" t="s">
        <v>388</v>
      </c>
      <c r="G109" s="230">
        <v>45508</v>
      </c>
      <c r="H109" s="202" t="s">
        <v>386</v>
      </c>
      <c r="I109" s="37">
        <v>186</v>
      </c>
      <c r="J109" s="50" t="s">
        <v>389</v>
      </c>
      <c r="K109" s="40" t="s">
        <v>305</v>
      </c>
      <c r="L109" s="39"/>
      <c r="M109" s="41" t="str">
        <f t="shared" si="1"/>
        <v>INT-0037-24</v>
      </c>
      <c r="N109" s="42"/>
      <c r="O109" s="46"/>
    </row>
    <row r="110" spans="1:15" s="28" customFormat="1" ht="25.5" x14ac:dyDescent="0.25">
      <c r="A110" s="230">
        <v>45513</v>
      </c>
      <c r="B110" s="35" t="s">
        <v>390</v>
      </c>
      <c r="C110" s="36" t="s">
        <v>5</v>
      </c>
      <c r="D110" s="37" t="s">
        <v>245</v>
      </c>
      <c r="E110" s="38" t="s">
        <v>246</v>
      </c>
      <c r="F110" s="202" t="s">
        <v>247</v>
      </c>
      <c r="G110" s="230">
        <v>46053</v>
      </c>
      <c r="H110" s="202" t="s">
        <v>391</v>
      </c>
      <c r="I110" s="37">
        <v>28</v>
      </c>
      <c r="J110" s="50" t="s">
        <v>440</v>
      </c>
      <c r="K110" s="40" t="s">
        <v>305</v>
      </c>
      <c r="L110" s="39" t="s">
        <v>392</v>
      </c>
      <c r="M110" s="41" t="str">
        <f t="shared" si="1"/>
        <v>INT-0038-24</v>
      </c>
      <c r="N110" s="42"/>
      <c r="O110" s="46"/>
    </row>
    <row r="111" spans="1:15" s="28" customFormat="1" ht="15" x14ac:dyDescent="0.25">
      <c r="A111" s="230">
        <v>45516</v>
      </c>
      <c r="B111" s="35" t="s">
        <v>398</v>
      </c>
      <c r="C111" s="36" t="s">
        <v>5</v>
      </c>
      <c r="D111" s="37" t="s">
        <v>405</v>
      </c>
      <c r="E111" s="38" t="s">
        <v>406</v>
      </c>
      <c r="F111" s="202" t="s">
        <v>407</v>
      </c>
      <c r="G111" s="230">
        <v>46136</v>
      </c>
      <c r="H111" s="202" t="s">
        <v>408</v>
      </c>
      <c r="I111" s="37">
        <v>1</v>
      </c>
      <c r="J111" s="50" t="s">
        <v>409</v>
      </c>
      <c r="K111" s="40" t="s">
        <v>410</v>
      </c>
      <c r="L111" s="39" t="s">
        <v>411</v>
      </c>
      <c r="M111" s="41" t="str">
        <f t="shared" si="1"/>
        <v>INT-0039-24</v>
      </c>
      <c r="N111" s="42"/>
      <c r="O111" s="46"/>
    </row>
    <row r="112" spans="1:15" s="28" customFormat="1" ht="15" x14ac:dyDescent="0.25">
      <c r="A112" s="230">
        <v>45516</v>
      </c>
      <c r="B112" s="35" t="s">
        <v>399</v>
      </c>
      <c r="C112" s="36" t="s">
        <v>5</v>
      </c>
      <c r="D112" s="37" t="s">
        <v>400</v>
      </c>
      <c r="E112" s="38" t="s">
        <v>401</v>
      </c>
      <c r="F112" s="202" t="s">
        <v>402</v>
      </c>
      <c r="G112" s="230">
        <v>45536</v>
      </c>
      <c r="H112" s="202" t="s">
        <v>403</v>
      </c>
      <c r="I112" s="37">
        <v>56</v>
      </c>
      <c r="J112" s="50"/>
      <c r="K112" s="40" t="s">
        <v>305</v>
      </c>
      <c r="L112" s="39" t="s">
        <v>404</v>
      </c>
      <c r="M112" s="41" t="str">
        <f t="shared" si="1"/>
        <v>INT-0040-24</v>
      </c>
      <c r="N112" s="42"/>
      <c r="O112" s="46"/>
    </row>
    <row r="113" spans="1:15" s="28" customFormat="1" ht="15" x14ac:dyDescent="0.25">
      <c r="A113" s="230">
        <v>45517</v>
      </c>
      <c r="B113" s="35" t="s">
        <v>412</v>
      </c>
      <c r="C113" s="36" t="s">
        <v>216</v>
      </c>
      <c r="D113" s="37" t="s">
        <v>414</v>
      </c>
      <c r="E113" s="38" t="s">
        <v>415</v>
      </c>
      <c r="F113" s="202" t="s">
        <v>416</v>
      </c>
      <c r="G113" s="230">
        <v>46356</v>
      </c>
      <c r="H113" s="202" t="s">
        <v>417</v>
      </c>
      <c r="I113" s="37">
        <v>4</v>
      </c>
      <c r="J113" s="50" t="s">
        <v>418</v>
      </c>
      <c r="K113" s="40" t="s">
        <v>410</v>
      </c>
      <c r="L113" s="39"/>
      <c r="M113" s="41" t="str">
        <f t="shared" si="1"/>
        <v>INT-0041-24</v>
      </c>
      <c r="N113" s="42"/>
      <c r="O113" s="46"/>
    </row>
    <row r="114" spans="1:15" s="28" customFormat="1" ht="153" x14ac:dyDescent="0.25">
      <c r="A114" s="230">
        <v>45519</v>
      </c>
      <c r="B114" s="35" t="s">
        <v>419</v>
      </c>
      <c r="C114" s="36" t="s">
        <v>1066</v>
      </c>
      <c r="D114" s="37" t="s">
        <v>1144</v>
      </c>
      <c r="E114" s="38"/>
      <c r="F114" s="202"/>
      <c r="G114" s="230"/>
      <c r="H114" s="279" t="s">
        <v>420</v>
      </c>
      <c r="I114" s="37"/>
      <c r="J114" s="50"/>
      <c r="K114" s="40" t="s">
        <v>410</v>
      </c>
      <c r="L114" s="39" t="s">
        <v>421</v>
      </c>
      <c r="M114" s="41" t="str">
        <f t="shared" si="1"/>
        <v>INT-0042-24</v>
      </c>
      <c r="N114" s="42"/>
      <c r="O114" s="46"/>
    </row>
    <row r="115" spans="1:15" s="28" customFormat="1" ht="15" x14ac:dyDescent="0.25">
      <c r="A115" s="230">
        <v>45519</v>
      </c>
      <c r="B115" s="35" t="s">
        <v>422</v>
      </c>
      <c r="C115" s="36" t="s">
        <v>5</v>
      </c>
      <c r="D115" s="37" t="s">
        <v>423</v>
      </c>
      <c r="E115" s="38" t="s">
        <v>424</v>
      </c>
      <c r="F115" s="202" t="s">
        <v>425</v>
      </c>
      <c r="G115" s="230">
        <v>45716</v>
      </c>
      <c r="H115" s="202" t="s">
        <v>426</v>
      </c>
      <c r="I115" s="37">
        <v>13</v>
      </c>
      <c r="J115" s="50" t="s">
        <v>427</v>
      </c>
      <c r="K115" s="40" t="s">
        <v>410</v>
      </c>
      <c r="L115" s="39" t="s">
        <v>428</v>
      </c>
      <c r="M115" s="41" t="str">
        <f t="shared" si="1"/>
        <v>INT-0043-24</v>
      </c>
      <c r="N115" s="42"/>
      <c r="O115" s="46"/>
    </row>
    <row r="116" spans="1:15" s="28" customFormat="1" ht="15" x14ac:dyDescent="0.25">
      <c r="A116" s="230">
        <v>45524</v>
      </c>
      <c r="B116" s="35" t="s">
        <v>430</v>
      </c>
      <c r="C116" s="47" t="s">
        <v>547</v>
      </c>
      <c r="D116" s="37" t="s">
        <v>537</v>
      </c>
      <c r="E116" s="38" t="s">
        <v>431</v>
      </c>
      <c r="F116" s="202" t="s">
        <v>838</v>
      </c>
      <c r="G116" s="230" t="s">
        <v>838</v>
      </c>
      <c r="H116" s="202" t="s">
        <v>838</v>
      </c>
      <c r="I116" s="37" t="s">
        <v>838</v>
      </c>
      <c r="J116" s="50" t="s">
        <v>536</v>
      </c>
      <c r="K116" s="40" t="s">
        <v>1072</v>
      </c>
      <c r="L116" s="39"/>
      <c r="M116" s="41" t="str">
        <f t="shared" si="1"/>
        <v>INT-0044-24</v>
      </c>
      <c r="N116" s="42"/>
      <c r="O116" s="46"/>
    </row>
    <row r="117" spans="1:15" s="28" customFormat="1" ht="15" x14ac:dyDescent="0.25">
      <c r="A117" s="230">
        <v>45532</v>
      </c>
      <c r="B117" s="35" t="s">
        <v>436</v>
      </c>
      <c r="C117" s="36" t="s">
        <v>1066</v>
      </c>
      <c r="D117" s="37" t="s">
        <v>432</v>
      </c>
      <c r="E117" s="38" t="s">
        <v>433</v>
      </c>
      <c r="F117" s="202" t="s">
        <v>435</v>
      </c>
      <c r="G117" s="230">
        <v>45587</v>
      </c>
      <c r="H117" s="202" t="s">
        <v>434</v>
      </c>
      <c r="I117" s="37">
        <v>1</v>
      </c>
      <c r="J117" s="50" t="s">
        <v>418</v>
      </c>
      <c r="K117" s="40" t="s">
        <v>410</v>
      </c>
      <c r="L117" s="39"/>
      <c r="M117" s="41" t="str">
        <f t="shared" si="1"/>
        <v>INT-0045-24</v>
      </c>
      <c r="N117" s="42"/>
      <c r="O117" s="46"/>
    </row>
    <row r="118" spans="1:15" s="28" customFormat="1" ht="165.75" x14ac:dyDescent="0.25">
      <c r="A118" s="230">
        <v>45532</v>
      </c>
      <c r="B118" s="35" t="s">
        <v>437</v>
      </c>
      <c r="C118" s="36" t="s">
        <v>1066</v>
      </c>
      <c r="D118" s="37" t="s">
        <v>1144</v>
      </c>
      <c r="E118" s="38"/>
      <c r="F118" s="202"/>
      <c r="G118" s="230"/>
      <c r="H118" s="279" t="s">
        <v>441</v>
      </c>
      <c r="I118" s="37"/>
      <c r="J118" s="50"/>
      <c r="K118" s="40" t="s">
        <v>438</v>
      </c>
      <c r="L118" s="39"/>
      <c r="M118" s="41" t="str">
        <f t="shared" si="1"/>
        <v>INT-0046-24</v>
      </c>
      <c r="N118" s="42"/>
      <c r="O118" s="46"/>
    </row>
    <row r="119" spans="1:15" s="28" customFormat="1" ht="89.25" x14ac:dyDescent="0.25">
      <c r="A119" s="230">
        <v>45534</v>
      </c>
      <c r="B119" s="35" t="s">
        <v>443</v>
      </c>
      <c r="C119" s="36" t="s">
        <v>5</v>
      </c>
      <c r="D119" s="37" t="s">
        <v>1144</v>
      </c>
      <c r="E119" s="38"/>
      <c r="F119" s="202"/>
      <c r="G119" s="230"/>
      <c r="H119" s="279" t="s">
        <v>445</v>
      </c>
      <c r="I119" s="37"/>
      <c r="J119" s="50" t="s">
        <v>418</v>
      </c>
      <c r="K119" s="40" t="s">
        <v>410</v>
      </c>
      <c r="L119" s="39" t="s">
        <v>444</v>
      </c>
      <c r="M119" s="41" t="str">
        <f t="shared" si="1"/>
        <v>INT-0047-24</v>
      </c>
      <c r="N119" s="42"/>
      <c r="O119" s="46"/>
    </row>
    <row r="120" spans="1:15" s="28" customFormat="1" ht="15" x14ac:dyDescent="0.25">
      <c r="A120" s="230">
        <v>45534</v>
      </c>
      <c r="B120" s="35" t="s">
        <v>446</v>
      </c>
      <c r="C120" s="36" t="s">
        <v>1066</v>
      </c>
      <c r="D120" s="37" t="s">
        <v>34</v>
      </c>
      <c r="E120" s="38" t="s">
        <v>35</v>
      </c>
      <c r="F120" s="202" t="s">
        <v>321</v>
      </c>
      <c r="G120" s="230">
        <v>45535</v>
      </c>
      <c r="H120" s="204"/>
      <c r="I120" s="37">
        <v>84</v>
      </c>
      <c r="J120" s="50" t="s">
        <v>447</v>
      </c>
      <c r="K120" s="40" t="s">
        <v>410</v>
      </c>
      <c r="L120" s="39"/>
      <c r="M120" s="41" t="str">
        <f t="shared" si="1"/>
        <v>INT-0048-24</v>
      </c>
      <c r="N120" s="42"/>
      <c r="O120" s="46"/>
    </row>
    <row r="121" spans="1:15" s="28" customFormat="1" ht="25.5" x14ac:dyDescent="0.25">
      <c r="A121" s="230">
        <v>45534</v>
      </c>
      <c r="B121" s="35" t="s">
        <v>446</v>
      </c>
      <c r="C121" s="36" t="s">
        <v>1066</v>
      </c>
      <c r="D121" s="37" t="s">
        <v>39</v>
      </c>
      <c r="E121" s="38" t="s">
        <v>40</v>
      </c>
      <c r="F121" s="202" t="s">
        <v>75</v>
      </c>
      <c r="G121" s="230">
        <v>45535</v>
      </c>
      <c r="H121" s="204"/>
      <c r="I121" s="37">
        <v>28</v>
      </c>
      <c r="J121" s="50" t="s">
        <v>448</v>
      </c>
      <c r="K121" s="40" t="s">
        <v>410</v>
      </c>
      <c r="L121" s="39"/>
      <c r="M121" s="41" t="str">
        <f t="shared" si="1"/>
        <v>INT-0048-24</v>
      </c>
      <c r="N121" s="42"/>
      <c r="O121" s="46"/>
    </row>
    <row r="122" spans="1:15" s="28" customFormat="1" ht="204" x14ac:dyDescent="0.25">
      <c r="A122" s="230">
        <v>45539</v>
      </c>
      <c r="B122" s="35" t="s">
        <v>446</v>
      </c>
      <c r="C122" s="36" t="s">
        <v>1066</v>
      </c>
      <c r="D122" s="37" t="s">
        <v>1144</v>
      </c>
      <c r="E122" s="38"/>
      <c r="F122" s="202"/>
      <c r="G122" s="230"/>
      <c r="H122" s="279" t="s">
        <v>2414</v>
      </c>
      <c r="I122" s="37"/>
      <c r="J122" s="50"/>
      <c r="K122" s="40" t="s">
        <v>410</v>
      </c>
      <c r="L122" s="39"/>
      <c r="M122" s="41" t="str">
        <f t="shared" si="1"/>
        <v>INT-0048-24</v>
      </c>
      <c r="N122" s="42"/>
      <c r="O122" s="46"/>
    </row>
    <row r="123" spans="1:15" s="28" customFormat="1" ht="15" x14ac:dyDescent="0.25">
      <c r="A123" s="230">
        <v>45540</v>
      </c>
      <c r="B123" s="35" t="s">
        <v>449</v>
      </c>
      <c r="C123" s="36" t="s">
        <v>1066</v>
      </c>
      <c r="D123" s="37" t="s">
        <v>450</v>
      </c>
      <c r="E123" s="38" t="s">
        <v>451</v>
      </c>
      <c r="F123" s="202" t="s">
        <v>452</v>
      </c>
      <c r="G123" s="230">
        <v>45553</v>
      </c>
      <c r="H123" s="202" t="s">
        <v>453</v>
      </c>
      <c r="I123" s="37">
        <v>1</v>
      </c>
      <c r="J123" s="50" t="s">
        <v>418</v>
      </c>
      <c r="K123" s="40" t="s">
        <v>410</v>
      </c>
      <c r="L123" s="39"/>
      <c r="M123" s="41" t="str">
        <f t="shared" si="1"/>
        <v>INT-0049-24</v>
      </c>
      <c r="N123" s="42"/>
      <c r="O123" s="46"/>
    </row>
    <row r="124" spans="1:15" s="28" customFormat="1" ht="15" x14ac:dyDescent="0.25">
      <c r="A124" s="230">
        <v>45548</v>
      </c>
      <c r="B124" s="35" t="s">
        <v>454</v>
      </c>
      <c r="C124" s="36" t="s">
        <v>1066</v>
      </c>
      <c r="D124" s="37" t="s">
        <v>28</v>
      </c>
      <c r="E124" s="38" t="s">
        <v>29</v>
      </c>
      <c r="F124" s="202" t="s">
        <v>464</v>
      </c>
      <c r="G124" s="230">
        <v>45716</v>
      </c>
      <c r="H124" s="202" t="s">
        <v>455</v>
      </c>
      <c r="I124" s="37" t="s">
        <v>456</v>
      </c>
      <c r="J124" s="50"/>
      <c r="K124" s="40" t="s">
        <v>410</v>
      </c>
      <c r="L124" s="39"/>
      <c r="M124" s="41" t="str">
        <f t="shared" si="1"/>
        <v>INT-0050-24</v>
      </c>
      <c r="N124" s="42"/>
      <c r="O124" s="46"/>
    </row>
    <row r="125" spans="1:15" s="28" customFormat="1" ht="15" x14ac:dyDescent="0.25">
      <c r="A125" s="230">
        <v>45548</v>
      </c>
      <c r="B125" s="35" t="s">
        <v>454</v>
      </c>
      <c r="C125" s="36" t="s">
        <v>1066</v>
      </c>
      <c r="D125" s="37" t="s">
        <v>28</v>
      </c>
      <c r="E125" s="38" t="s">
        <v>29</v>
      </c>
      <c r="F125" s="202" t="s">
        <v>465</v>
      </c>
      <c r="G125" s="230">
        <v>45716</v>
      </c>
      <c r="H125" s="202" t="s">
        <v>457</v>
      </c>
      <c r="I125" s="37" t="s">
        <v>458</v>
      </c>
      <c r="J125" s="50"/>
      <c r="K125" s="40" t="s">
        <v>410</v>
      </c>
      <c r="L125" s="39"/>
      <c r="M125" s="41" t="str">
        <f t="shared" si="1"/>
        <v>INT-0050-24</v>
      </c>
      <c r="N125" s="42"/>
      <c r="O125" s="46"/>
    </row>
    <row r="126" spans="1:15" s="28" customFormat="1" ht="38.25" x14ac:dyDescent="0.25">
      <c r="A126" s="230">
        <v>45548</v>
      </c>
      <c r="B126" s="35" t="s">
        <v>454</v>
      </c>
      <c r="C126" s="36" t="s">
        <v>1066</v>
      </c>
      <c r="D126" s="37" t="s">
        <v>28</v>
      </c>
      <c r="E126" s="38" t="s">
        <v>29</v>
      </c>
      <c r="F126" s="202" t="s">
        <v>466</v>
      </c>
      <c r="G126" s="230">
        <v>45657</v>
      </c>
      <c r="H126" s="202" t="s">
        <v>459</v>
      </c>
      <c r="I126" s="37" t="s">
        <v>460</v>
      </c>
      <c r="J126" s="50"/>
      <c r="K126" s="40" t="s">
        <v>410</v>
      </c>
      <c r="L126" s="51" t="s">
        <v>469</v>
      </c>
      <c r="M126" s="41" t="str">
        <f t="shared" si="1"/>
        <v>INT-0050-24</v>
      </c>
      <c r="N126" s="42"/>
      <c r="O126" s="46"/>
    </row>
    <row r="127" spans="1:15" s="28" customFormat="1" ht="15" x14ac:dyDescent="0.25">
      <c r="A127" s="230">
        <v>45548</v>
      </c>
      <c r="B127" s="35" t="s">
        <v>454</v>
      </c>
      <c r="C127" s="36" t="s">
        <v>1066</v>
      </c>
      <c r="D127" s="37" t="s">
        <v>28</v>
      </c>
      <c r="E127" s="38" t="s">
        <v>29</v>
      </c>
      <c r="F127" s="202" t="s">
        <v>467</v>
      </c>
      <c r="G127" s="230">
        <v>45657</v>
      </c>
      <c r="H127" s="202" t="s">
        <v>461</v>
      </c>
      <c r="I127" s="37" t="s">
        <v>462</v>
      </c>
      <c r="J127" s="50"/>
      <c r="K127" s="40" t="s">
        <v>410</v>
      </c>
      <c r="L127" s="39"/>
      <c r="M127" s="41" t="str">
        <f t="shared" si="1"/>
        <v>INT-0050-24</v>
      </c>
      <c r="N127" s="42"/>
      <c r="O127" s="46"/>
    </row>
    <row r="128" spans="1:15" s="28" customFormat="1" ht="15" x14ac:dyDescent="0.25">
      <c r="A128" s="230">
        <v>45548</v>
      </c>
      <c r="B128" s="35" t="s">
        <v>454</v>
      </c>
      <c r="C128" s="36" t="s">
        <v>1066</v>
      </c>
      <c r="D128" s="37" t="s">
        <v>34</v>
      </c>
      <c r="E128" s="38" t="s">
        <v>35</v>
      </c>
      <c r="F128" s="202" t="s">
        <v>468</v>
      </c>
      <c r="G128" s="230">
        <v>45716</v>
      </c>
      <c r="H128" s="202" t="s">
        <v>463</v>
      </c>
      <c r="I128" s="37" t="s">
        <v>462</v>
      </c>
      <c r="J128" s="50"/>
      <c r="K128" s="40" t="s">
        <v>410</v>
      </c>
      <c r="L128" s="39"/>
      <c r="M128" s="41" t="str">
        <f t="shared" si="1"/>
        <v>INT-0050-24</v>
      </c>
      <c r="N128" s="42"/>
      <c r="O128" s="46"/>
    </row>
    <row r="129" spans="1:15" s="28" customFormat="1" ht="15" x14ac:dyDescent="0.25">
      <c r="A129" s="230">
        <v>45552</v>
      </c>
      <c r="B129" s="35" t="s">
        <v>470</v>
      </c>
      <c r="C129" s="36" t="s">
        <v>5</v>
      </c>
      <c r="D129" s="37" t="s">
        <v>471</v>
      </c>
      <c r="E129" s="38" t="s">
        <v>472</v>
      </c>
      <c r="F129" s="202" t="s">
        <v>473</v>
      </c>
      <c r="G129" s="230">
        <v>45571</v>
      </c>
      <c r="H129" s="202" t="s">
        <v>474</v>
      </c>
      <c r="I129" s="37">
        <v>164000</v>
      </c>
      <c r="J129" s="50" t="s">
        <v>497</v>
      </c>
      <c r="K129" s="40" t="s">
        <v>305</v>
      </c>
      <c r="L129" s="39"/>
      <c r="M129" s="41" t="str">
        <f t="shared" si="1"/>
        <v>INT-0051-24</v>
      </c>
      <c r="N129" s="42"/>
      <c r="O129" s="46"/>
    </row>
    <row r="130" spans="1:15" s="28" customFormat="1" ht="15" x14ac:dyDescent="0.25">
      <c r="A130" s="230">
        <v>45552</v>
      </c>
      <c r="B130" s="35" t="s">
        <v>470</v>
      </c>
      <c r="C130" s="36" t="s">
        <v>5</v>
      </c>
      <c r="D130" s="37" t="s">
        <v>475</v>
      </c>
      <c r="E130" s="38" t="s">
        <v>476</v>
      </c>
      <c r="F130" s="202" t="s">
        <v>477</v>
      </c>
      <c r="G130" s="230">
        <v>45559</v>
      </c>
      <c r="H130" s="202" t="s">
        <v>478</v>
      </c>
      <c r="I130" s="37">
        <v>53000</v>
      </c>
      <c r="J130" s="50" t="s">
        <v>497</v>
      </c>
      <c r="K130" s="40" t="s">
        <v>305</v>
      </c>
      <c r="L130" s="39"/>
      <c r="M130" s="41" t="str">
        <f t="shared" si="1"/>
        <v>INT-0051-24</v>
      </c>
      <c r="N130" s="42"/>
      <c r="O130" s="46"/>
    </row>
    <row r="131" spans="1:15" s="28" customFormat="1" ht="15" x14ac:dyDescent="0.25">
      <c r="A131" s="230">
        <v>45552</v>
      </c>
      <c r="B131" s="35" t="s">
        <v>470</v>
      </c>
      <c r="C131" s="36" t="s">
        <v>5</v>
      </c>
      <c r="D131" s="37" t="s">
        <v>479</v>
      </c>
      <c r="E131" s="38" t="s">
        <v>480</v>
      </c>
      <c r="F131" s="202" t="s">
        <v>481</v>
      </c>
      <c r="G131" s="230">
        <v>45613</v>
      </c>
      <c r="H131" s="202" t="s">
        <v>482</v>
      </c>
      <c r="I131" s="37">
        <v>20000</v>
      </c>
      <c r="J131" s="50" t="s">
        <v>497</v>
      </c>
      <c r="K131" s="40" t="s">
        <v>305</v>
      </c>
      <c r="L131" s="39"/>
      <c r="M131" s="41" t="str">
        <f t="shared" si="1"/>
        <v>INT-0051-24</v>
      </c>
      <c r="N131" s="42"/>
      <c r="O131" s="46"/>
    </row>
    <row r="132" spans="1:15" s="28" customFormat="1" ht="15" x14ac:dyDescent="0.25">
      <c r="A132" s="230">
        <v>45552</v>
      </c>
      <c r="B132" s="35" t="s">
        <v>470</v>
      </c>
      <c r="C132" s="36" t="s">
        <v>5</v>
      </c>
      <c r="D132" s="37" t="s">
        <v>483</v>
      </c>
      <c r="E132" s="38" t="s">
        <v>484</v>
      </c>
      <c r="F132" s="202" t="s">
        <v>485</v>
      </c>
      <c r="G132" s="230">
        <v>45716</v>
      </c>
      <c r="H132" s="202" t="s">
        <v>486</v>
      </c>
      <c r="I132" s="37">
        <v>33000</v>
      </c>
      <c r="J132" s="50" t="s">
        <v>497</v>
      </c>
      <c r="K132" s="40" t="s">
        <v>305</v>
      </c>
      <c r="L132" s="39"/>
      <c r="M132" s="41" t="str">
        <f t="shared" si="1"/>
        <v>INT-0051-24</v>
      </c>
      <c r="N132" s="42"/>
      <c r="O132" s="46"/>
    </row>
    <row r="133" spans="1:15" s="28" customFormat="1" ht="15" x14ac:dyDescent="0.25">
      <c r="A133" s="230">
        <v>45552</v>
      </c>
      <c r="B133" s="35" t="s">
        <v>470</v>
      </c>
      <c r="C133" s="36" t="s">
        <v>5</v>
      </c>
      <c r="D133" s="37" t="s">
        <v>483</v>
      </c>
      <c r="E133" s="38" t="s">
        <v>484</v>
      </c>
      <c r="F133" s="202" t="s">
        <v>487</v>
      </c>
      <c r="G133" s="230">
        <v>45961</v>
      </c>
      <c r="H133" s="202" t="s">
        <v>488</v>
      </c>
      <c r="I133" s="37">
        <v>20000</v>
      </c>
      <c r="J133" s="50" t="s">
        <v>497</v>
      </c>
      <c r="K133" s="40" t="s">
        <v>305</v>
      </c>
      <c r="L133" s="39"/>
      <c r="M133" s="41" t="str">
        <f t="shared" si="1"/>
        <v>INT-0051-24</v>
      </c>
      <c r="N133" s="42"/>
      <c r="O133" s="46"/>
    </row>
    <row r="134" spans="1:15" s="28" customFormat="1" ht="15" x14ac:dyDescent="0.25">
      <c r="A134" s="230">
        <v>45552</v>
      </c>
      <c r="B134" s="35" t="s">
        <v>470</v>
      </c>
      <c r="C134" s="36" t="s">
        <v>5</v>
      </c>
      <c r="D134" s="37" t="s">
        <v>489</v>
      </c>
      <c r="E134" s="38" t="s">
        <v>490</v>
      </c>
      <c r="F134" s="202" t="s">
        <v>491</v>
      </c>
      <c r="G134" s="230">
        <v>45578</v>
      </c>
      <c r="H134" s="202" t="s">
        <v>492</v>
      </c>
      <c r="I134" s="37">
        <v>8000</v>
      </c>
      <c r="J134" s="50" t="s">
        <v>497</v>
      </c>
      <c r="K134" s="40" t="s">
        <v>366</v>
      </c>
      <c r="L134" s="39" t="s">
        <v>560</v>
      </c>
      <c r="M134" s="41" t="str">
        <f t="shared" ref="M134:M197" si="2">HYPERLINK("P:\7. LONG HAU\7. CAC THEO DOI TRONG QUA TRINH\4. DEVIATION- INCIDENTS\THEO DÕI NỘI BỘ (NGOÀI BBSC)\"&amp;YEAR(A134)&amp;"\"&amp;B134,B134)</f>
        <v>INT-0051-24</v>
      </c>
      <c r="N134" s="42"/>
      <c r="O134" s="46"/>
    </row>
    <row r="135" spans="1:15" s="28" customFormat="1" ht="15" x14ac:dyDescent="0.25">
      <c r="A135" s="230">
        <v>45552</v>
      </c>
      <c r="B135" s="35" t="s">
        <v>470</v>
      </c>
      <c r="C135" s="36" t="s">
        <v>5</v>
      </c>
      <c r="D135" s="37" t="s">
        <v>493</v>
      </c>
      <c r="E135" s="38" t="s">
        <v>494</v>
      </c>
      <c r="F135" s="202" t="s">
        <v>495</v>
      </c>
      <c r="G135" s="230">
        <v>45557</v>
      </c>
      <c r="H135" s="202" t="s">
        <v>496</v>
      </c>
      <c r="I135" s="37">
        <v>3000</v>
      </c>
      <c r="J135" s="50" t="s">
        <v>497</v>
      </c>
      <c r="K135" s="40" t="s">
        <v>305</v>
      </c>
      <c r="L135" s="39"/>
      <c r="M135" s="41" t="str">
        <f t="shared" si="2"/>
        <v>INT-0051-24</v>
      </c>
      <c r="N135" s="42"/>
      <c r="O135" s="46"/>
    </row>
    <row r="136" spans="1:15" s="28" customFormat="1" ht="25.5" x14ac:dyDescent="0.25">
      <c r="A136" s="230">
        <v>45553</v>
      </c>
      <c r="B136" s="35" t="s">
        <v>498</v>
      </c>
      <c r="C136" s="36" t="s">
        <v>5</v>
      </c>
      <c r="D136" s="37"/>
      <c r="E136" s="38"/>
      <c r="F136" s="202"/>
      <c r="G136" s="230"/>
      <c r="H136" s="202"/>
      <c r="I136" s="37">
        <v>3</v>
      </c>
      <c r="J136" s="50" t="s">
        <v>499</v>
      </c>
      <c r="K136" s="40" t="s">
        <v>410</v>
      </c>
      <c r="L136" s="39"/>
      <c r="M136" s="41" t="str">
        <f t="shared" si="2"/>
        <v>INT-0052-24</v>
      </c>
      <c r="N136" s="42"/>
      <c r="O136" s="46"/>
    </row>
    <row r="137" spans="1:15" s="28" customFormat="1" ht="25.5" x14ac:dyDescent="0.25">
      <c r="A137" s="230">
        <v>45553</v>
      </c>
      <c r="B137" s="35" t="s">
        <v>500</v>
      </c>
      <c r="C137" s="36" t="s">
        <v>504</v>
      </c>
      <c r="D137" s="37" t="s">
        <v>501</v>
      </c>
      <c r="E137" s="38" t="s">
        <v>502</v>
      </c>
      <c r="F137" s="202" t="s">
        <v>503</v>
      </c>
      <c r="G137" s="230">
        <v>45535</v>
      </c>
      <c r="H137" s="202" t="s">
        <v>506</v>
      </c>
      <c r="I137" s="37">
        <v>17</v>
      </c>
      <c r="J137" s="50" t="s">
        <v>439</v>
      </c>
      <c r="K137" s="40" t="s">
        <v>305</v>
      </c>
      <c r="L137" s="39"/>
      <c r="M137" s="41" t="str">
        <f t="shared" si="2"/>
        <v>INT-0053-24</v>
      </c>
      <c r="N137" s="42"/>
      <c r="O137" s="46"/>
    </row>
    <row r="138" spans="1:15" s="28" customFormat="1" ht="25.5" x14ac:dyDescent="0.25">
      <c r="A138" s="230">
        <v>45553</v>
      </c>
      <c r="B138" s="35" t="s">
        <v>500</v>
      </c>
      <c r="C138" s="36" t="s">
        <v>504</v>
      </c>
      <c r="D138" s="37" t="s">
        <v>501</v>
      </c>
      <c r="E138" s="38" t="s">
        <v>502</v>
      </c>
      <c r="F138" s="202" t="s">
        <v>503</v>
      </c>
      <c r="G138" s="230">
        <v>45535</v>
      </c>
      <c r="H138" s="202" t="s">
        <v>505</v>
      </c>
      <c r="I138" s="37">
        <v>5</v>
      </c>
      <c r="J138" s="50" t="s">
        <v>439</v>
      </c>
      <c r="K138" s="40" t="s">
        <v>305</v>
      </c>
      <c r="L138" s="39"/>
      <c r="M138" s="41" t="str">
        <f t="shared" si="2"/>
        <v>INT-0053-24</v>
      </c>
      <c r="N138" s="42"/>
      <c r="O138" s="46"/>
    </row>
    <row r="139" spans="1:15" s="28" customFormat="1" ht="25.5" x14ac:dyDescent="0.25">
      <c r="A139" s="230">
        <v>45553</v>
      </c>
      <c r="B139" s="35" t="s">
        <v>500</v>
      </c>
      <c r="C139" s="36" t="s">
        <v>504</v>
      </c>
      <c r="D139" s="37" t="s">
        <v>501</v>
      </c>
      <c r="E139" s="38" t="s">
        <v>502</v>
      </c>
      <c r="F139" s="202" t="s">
        <v>503</v>
      </c>
      <c r="G139" s="230">
        <v>45535</v>
      </c>
      <c r="H139" s="202" t="s">
        <v>507</v>
      </c>
      <c r="I139" s="37">
        <v>20</v>
      </c>
      <c r="J139" s="50" t="s">
        <v>439</v>
      </c>
      <c r="K139" s="40" t="s">
        <v>305</v>
      </c>
      <c r="L139" s="39"/>
      <c r="M139" s="41" t="str">
        <f t="shared" si="2"/>
        <v>INT-0053-24</v>
      </c>
      <c r="N139" s="42"/>
      <c r="O139" s="46"/>
    </row>
    <row r="140" spans="1:15" s="28" customFormat="1" ht="25.5" x14ac:dyDescent="0.25">
      <c r="A140" s="230">
        <v>45553</v>
      </c>
      <c r="B140" s="35" t="s">
        <v>500</v>
      </c>
      <c r="C140" s="36" t="s">
        <v>504</v>
      </c>
      <c r="D140" s="37" t="s">
        <v>501</v>
      </c>
      <c r="E140" s="38" t="s">
        <v>502</v>
      </c>
      <c r="F140" s="202" t="s">
        <v>503</v>
      </c>
      <c r="G140" s="230">
        <v>45535</v>
      </c>
      <c r="H140" s="202" t="s">
        <v>508</v>
      </c>
      <c r="I140" s="37">
        <v>24</v>
      </c>
      <c r="J140" s="50" t="s">
        <v>439</v>
      </c>
      <c r="K140" s="40" t="s">
        <v>305</v>
      </c>
      <c r="L140" s="39"/>
      <c r="M140" s="41" t="str">
        <f t="shared" si="2"/>
        <v>INT-0053-24</v>
      </c>
      <c r="N140" s="42"/>
      <c r="O140" s="46"/>
    </row>
    <row r="141" spans="1:15" s="28" customFormat="1" ht="15" x14ac:dyDescent="0.25">
      <c r="A141" s="230">
        <v>45553</v>
      </c>
      <c r="B141" s="35" t="s">
        <v>509</v>
      </c>
      <c r="C141" s="36" t="s">
        <v>5</v>
      </c>
      <c r="D141" s="37" t="s">
        <v>510</v>
      </c>
      <c r="E141" s="38" t="s">
        <v>511</v>
      </c>
      <c r="F141" s="202" t="s">
        <v>512</v>
      </c>
      <c r="G141" s="230">
        <v>45478</v>
      </c>
      <c r="H141" s="202" t="s">
        <v>513</v>
      </c>
      <c r="I141" s="37">
        <v>2000</v>
      </c>
      <c r="J141" s="50" t="s">
        <v>517</v>
      </c>
      <c r="K141" s="40" t="s">
        <v>410</v>
      </c>
      <c r="L141" s="39"/>
      <c r="M141" s="41" t="str">
        <f t="shared" si="2"/>
        <v>INT-0054-24</v>
      </c>
      <c r="N141" s="42"/>
      <c r="O141" s="46"/>
    </row>
    <row r="142" spans="1:15" s="28" customFormat="1" ht="15" x14ac:dyDescent="0.25">
      <c r="A142" s="230">
        <v>45553</v>
      </c>
      <c r="B142" s="35" t="s">
        <v>509</v>
      </c>
      <c r="C142" s="36" t="s">
        <v>5</v>
      </c>
      <c r="D142" s="37" t="s">
        <v>514</v>
      </c>
      <c r="E142" s="38" t="s">
        <v>515</v>
      </c>
      <c r="F142" s="202" t="s">
        <v>516</v>
      </c>
      <c r="G142" s="230">
        <v>45478</v>
      </c>
      <c r="H142" s="202" t="s">
        <v>513</v>
      </c>
      <c r="I142" s="37">
        <v>3000</v>
      </c>
      <c r="J142" s="50" t="s">
        <v>517</v>
      </c>
      <c r="K142" s="40" t="s">
        <v>410</v>
      </c>
      <c r="L142" s="39"/>
      <c r="M142" s="41" t="str">
        <f t="shared" si="2"/>
        <v>INT-0054-24</v>
      </c>
      <c r="N142" s="42"/>
      <c r="O142" s="46"/>
    </row>
    <row r="143" spans="1:15" s="28" customFormat="1" ht="306" x14ac:dyDescent="0.25">
      <c r="A143" s="230">
        <v>45553</v>
      </c>
      <c r="B143" s="35" t="s">
        <v>518</v>
      </c>
      <c r="C143" s="36" t="s">
        <v>5</v>
      </c>
      <c r="D143" s="37" t="s">
        <v>1144</v>
      </c>
      <c r="E143" s="38"/>
      <c r="F143" s="202"/>
      <c r="G143" s="230"/>
      <c r="H143" s="279" t="s">
        <v>519</v>
      </c>
      <c r="I143" s="37"/>
      <c r="J143" s="50"/>
      <c r="K143" s="40" t="s">
        <v>305</v>
      </c>
      <c r="L143" s="39"/>
      <c r="M143" s="41" t="str">
        <f t="shared" si="2"/>
        <v>INT-0055-24</v>
      </c>
      <c r="N143" s="42"/>
      <c r="O143" s="46"/>
    </row>
    <row r="144" spans="1:15" s="28" customFormat="1" ht="15" x14ac:dyDescent="0.25">
      <c r="A144" s="230">
        <v>45554</v>
      </c>
      <c r="B144" s="35" t="s">
        <v>520</v>
      </c>
      <c r="C144" s="36" t="s">
        <v>5</v>
      </c>
      <c r="D144" s="37" t="s">
        <v>28</v>
      </c>
      <c r="E144" s="38" t="s">
        <v>29</v>
      </c>
      <c r="F144" s="202" t="s">
        <v>465</v>
      </c>
      <c r="G144" s="230">
        <v>45716</v>
      </c>
      <c r="H144" s="202" t="s">
        <v>521</v>
      </c>
      <c r="I144" s="37">
        <v>2000</v>
      </c>
      <c r="J144" s="50" t="s">
        <v>497</v>
      </c>
      <c r="K144" s="40" t="s">
        <v>305</v>
      </c>
      <c r="L144" s="39"/>
      <c r="M144" s="41" t="str">
        <f t="shared" si="2"/>
        <v>INT-0056-24</v>
      </c>
      <c r="N144" s="42"/>
      <c r="O144" s="46"/>
    </row>
    <row r="145" spans="1:15" s="28" customFormat="1" ht="15" x14ac:dyDescent="0.25">
      <c r="A145" s="230">
        <v>45554</v>
      </c>
      <c r="B145" s="35" t="s">
        <v>520</v>
      </c>
      <c r="C145" s="36" t="s">
        <v>5</v>
      </c>
      <c r="D145" s="37" t="s">
        <v>42</v>
      </c>
      <c r="E145" s="38" t="s">
        <v>43</v>
      </c>
      <c r="F145" s="202" t="s">
        <v>522</v>
      </c>
      <c r="G145" s="230">
        <v>45747</v>
      </c>
      <c r="H145" s="202" t="s">
        <v>523</v>
      </c>
      <c r="I145" s="37">
        <v>2000</v>
      </c>
      <c r="J145" s="50" t="s">
        <v>497</v>
      </c>
      <c r="K145" s="40" t="s">
        <v>305</v>
      </c>
      <c r="L145" s="39"/>
      <c r="M145" s="41" t="str">
        <f t="shared" si="2"/>
        <v>INT-0056-24</v>
      </c>
      <c r="N145" s="42"/>
      <c r="O145" s="46"/>
    </row>
    <row r="146" spans="1:15" s="28" customFormat="1" ht="15" x14ac:dyDescent="0.25">
      <c r="A146" s="230">
        <v>45554</v>
      </c>
      <c r="B146" s="35" t="s">
        <v>520</v>
      </c>
      <c r="C146" s="36" t="s">
        <v>5</v>
      </c>
      <c r="D146" s="37" t="s">
        <v>28</v>
      </c>
      <c r="E146" s="38" t="s">
        <v>29</v>
      </c>
      <c r="F146" s="202" t="s">
        <v>524</v>
      </c>
      <c r="G146" s="230">
        <v>45688</v>
      </c>
      <c r="H146" s="202" t="s">
        <v>525</v>
      </c>
      <c r="I146" s="37">
        <v>7000</v>
      </c>
      <c r="J146" s="50" t="s">
        <v>497</v>
      </c>
      <c r="K146" s="40" t="s">
        <v>305</v>
      </c>
      <c r="L146" s="39"/>
      <c r="M146" s="41" t="str">
        <f t="shared" si="2"/>
        <v>INT-0056-24</v>
      </c>
      <c r="N146" s="42"/>
      <c r="O146" s="46"/>
    </row>
    <row r="147" spans="1:15" s="28" customFormat="1" ht="38.25" x14ac:dyDescent="0.25">
      <c r="A147" s="230">
        <v>45555</v>
      </c>
      <c r="B147" s="35" t="s">
        <v>526</v>
      </c>
      <c r="C147" s="36" t="s">
        <v>1066</v>
      </c>
      <c r="D147" s="37" t="s">
        <v>1144</v>
      </c>
      <c r="E147" s="38"/>
      <c r="F147" s="202"/>
      <c r="G147" s="230"/>
      <c r="H147" s="279" t="s">
        <v>527</v>
      </c>
      <c r="I147" s="37"/>
      <c r="J147" s="50"/>
      <c r="K147" s="40" t="s">
        <v>305</v>
      </c>
      <c r="L147" s="39"/>
      <c r="M147" s="41" t="str">
        <f t="shared" si="2"/>
        <v>INT-0057-24</v>
      </c>
      <c r="N147" s="42"/>
      <c r="O147" s="46"/>
    </row>
    <row r="148" spans="1:15" s="28" customFormat="1" ht="15" x14ac:dyDescent="0.25">
      <c r="A148" s="230">
        <v>45558</v>
      </c>
      <c r="B148" s="35" t="s">
        <v>528</v>
      </c>
      <c r="C148" s="36" t="s">
        <v>5</v>
      </c>
      <c r="D148" s="37" t="s">
        <v>529</v>
      </c>
      <c r="E148" s="38" t="s">
        <v>531</v>
      </c>
      <c r="F148" s="202" t="s">
        <v>533</v>
      </c>
      <c r="G148" s="230">
        <v>45322</v>
      </c>
      <c r="H148" s="202" t="s">
        <v>535</v>
      </c>
      <c r="I148" s="37">
        <v>1</v>
      </c>
      <c r="J148" s="50"/>
      <c r="K148" s="40" t="s">
        <v>305</v>
      </c>
      <c r="L148" s="39"/>
      <c r="M148" s="41" t="str">
        <f t="shared" si="2"/>
        <v>INT-0058-24</v>
      </c>
      <c r="N148" s="42"/>
      <c r="O148" s="46"/>
    </row>
    <row r="149" spans="1:15" s="28" customFormat="1" ht="15" x14ac:dyDescent="0.25">
      <c r="A149" s="230">
        <v>45558</v>
      </c>
      <c r="B149" s="35" t="s">
        <v>528</v>
      </c>
      <c r="C149" s="36" t="s">
        <v>5</v>
      </c>
      <c r="D149" s="37" t="s">
        <v>530</v>
      </c>
      <c r="E149" s="38" t="s">
        <v>532</v>
      </c>
      <c r="F149" s="202" t="s">
        <v>534</v>
      </c>
      <c r="G149" s="230">
        <v>45351</v>
      </c>
      <c r="H149" s="202" t="s">
        <v>535</v>
      </c>
      <c r="I149" s="37">
        <v>1</v>
      </c>
      <c r="J149" s="50"/>
      <c r="K149" s="40" t="s">
        <v>305</v>
      </c>
      <c r="L149" s="39"/>
      <c r="M149" s="41" t="str">
        <f t="shared" si="2"/>
        <v>INT-0058-24</v>
      </c>
      <c r="N149" s="42"/>
      <c r="O149" s="46"/>
    </row>
    <row r="150" spans="1:15" s="28" customFormat="1" ht="15" x14ac:dyDescent="0.25">
      <c r="A150" s="230">
        <v>45558</v>
      </c>
      <c r="B150" s="35" t="s">
        <v>538</v>
      </c>
      <c r="C150" s="36" t="s">
        <v>5</v>
      </c>
      <c r="D150" s="37"/>
      <c r="E150" s="38" t="s">
        <v>539</v>
      </c>
      <c r="F150" s="202" t="s">
        <v>540</v>
      </c>
      <c r="G150" s="230"/>
      <c r="H150" s="202"/>
      <c r="I150" s="37">
        <v>6</v>
      </c>
      <c r="J150" s="50"/>
      <c r="K150" s="40" t="s">
        <v>305</v>
      </c>
      <c r="L150" s="39"/>
      <c r="M150" s="41" t="str">
        <f t="shared" si="2"/>
        <v>INT-0059-24</v>
      </c>
      <c r="N150" s="42"/>
      <c r="O150" s="46"/>
    </row>
    <row r="151" spans="1:15" s="28" customFormat="1" ht="15" x14ac:dyDescent="0.25">
      <c r="A151" s="230">
        <v>45560</v>
      </c>
      <c r="B151" s="35" t="s">
        <v>543</v>
      </c>
      <c r="C151" s="47" t="s">
        <v>547</v>
      </c>
      <c r="D151" s="37" t="s">
        <v>537</v>
      </c>
      <c r="E151" s="38" t="s">
        <v>546</v>
      </c>
      <c r="F151" s="202" t="s">
        <v>545</v>
      </c>
      <c r="G151" s="230">
        <v>46348</v>
      </c>
      <c r="H151" s="202" t="s">
        <v>544</v>
      </c>
      <c r="I151" s="37">
        <v>1</v>
      </c>
      <c r="J151" s="257" t="s">
        <v>716</v>
      </c>
      <c r="K151" s="40" t="s">
        <v>1072</v>
      </c>
      <c r="L151" s="39"/>
      <c r="M151" s="41" t="str">
        <f t="shared" si="2"/>
        <v>INT-0060-24</v>
      </c>
      <c r="N151" s="42"/>
      <c r="O151" s="46"/>
    </row>
    <row r="152" spans="1:15" s="28" customFormat="1" ht="15" x14ac:dyDescent="0.25">
      <c r="A152" s="230">
        <v>45560</v>
      </c>
      <c r="B152" s="35" t="s">
        <v>548</v>
      </c>
      <c r="C152" s="36" t="s">
        <v>216</v>
      </c>
      <c r="D152" s="37" t="s">
        <v>558</v>
      </c>
      <c r="E152" s="38" t="s">
        <v>552</v>
      </c>
      <c r="F152" s="202" t="s">
        <v>556</v>
      </c>
      <c r="G152" s="230">
        <v>45504</v>
      </c>
      <c r="H152" s="202" t="s">
        <v>554</v>
      </c>
      <c r="I152" s="37">
        <v>3</v>
      </c>
      <c r="J152" s="50" t="s">
        <v>550</v>
      </c>
      <c r="K152" s="40" t="s">
        <v>305</v>
      </c>
      <c r="L152" s="39"/>
      <c r="M152" s="41" t="str">
        <f t="shared" si="2"/>
        <v>INT-0061-24</v>
      </c>
      <c r="N152" s="42"/>
      <c r="O152" s="46"/>
    </row>
    <row r="153" spans="1:15" s="28" customFormat="1" ht="15" x14ac:dyDescent="0.25">
      <c r="A153" s="230">
        <v>45560</v>
      </c>
      <c r="B153" s="35" t="s">
        <v>549</v>
      </c>
      <c r="C153" s="36" t="s">
        <v>216</v>
      </c>
      <c r="D153" s="37" t="s">
        <v>559</v>
      </c>
      <c r="E153" s="38" t="s">
        <v>553</v>
      </c>
      <c r="F153" s="202" t="s">
        <v>557</v>
      </c>
      <c r="G153" s="230">
        <v>45322</v>
      </c>
      <c r="H153" s="202" t="s">
        <v>555</v>
      </c>
      <c r="I153" s="37">
        <v>2</v>
      </c>
      <c r="J153" s="50" t="s">
        <v>551</v>
      </c>
      <c r="K153" s="40" t="s">
        <v>305</v>
      </c>
      <c r="L153" s="39"/>
      <c r="M153" s="41" t="str">
        <f t="shared" si="2"/>
        <v>INT-0062-24</v>
      </c>
      <c r="N153" s="42"/>
      <c r="O153" s="46"/>
    </row>
    <row r="154" spans="1:15" s="28" customFormat="1" ht="15" x14ac:dyDescent="0.25">
      <c r="A154" s="230">
        <v>45561</v>
      </c>
      <c r="B154" s="35" t="s">
        <v>561</v>
      </c>
      <c r="C154" s="36" t="s">
        <v>216</v>
      </c>
      <c r="D154" s="37" t="s">
        <v>39</v>
      </c>
      <c r="E154" s="38" t="s">
        <v>40</v>
      </c>
      <c r="F154" s="202" t="s">
        <v>204</v>
      </c>
      <c r="G154" s="230">
        <v>45565</v>
      </c>
      <c r="H154" s="202" t="s">
        <v>563</v>
      </c>
      <c r="I154" s="37">
        <v>1</v>
      </c>
      <c r="J154" s="50" t="s">
        <v>562</v>
      </c>
      <c r="K154" s="40" t="s">
        <v>410</v>
      </c>
      <c r="L154" s="39"/>
      <c r="M154" s="41" t="str">
        <f t="shared" si="2"/>
        <v>INT-0063-24</v>
      </c>
      <c r="N154" s="42"/>
      <c r="O154" s="46"/>
    </row>
    <row r="155" spans="1:15" s="28" customFormat="1" ht="15" x14ac:dyDescent="0.25">
      <c r="A155" s="230">
        <v>45561</v>
      </c>
      <c r="B155" s="35" t="s">
        <v>561</v>
      </c>
      <c r="C155" s="36" t="s">
        <v>216</v>
      </c>
      <c r="D155" s="37" t="s">
        <v>36</v>
      </c>
      <c r="E155" s="38" t="s">
        <v>37</v>
      </c>
      <c r="F155" s="202" t="s">
        <v>564</v>
      </c>
      <c r="G155" s="230">
        <v>45565</v>
      </c>
      <c r="H155" s="202" t="s">
        <v>565</v>
      </c>
      <c r="I155" s="37">
        <v>2</v>
      </c>
      <c r="J155" s="50" t="s">
        <v>562</v>
      </c>
      <c r="K155" s="40" t="s">
        <v>410</v>
      </c>
      <c r="L155" s="39"/>
      <c r="M155" s="41" t="str">
        <f t="shared" si="2"/>
        <v>INT-0063-24</v>
      </c>
      <c r="N155" s="42"/>
      <c r="O155" s="46"/>
    </row>
    <row r="156" spans="1:15" s="28" customFormat="1" ht="25.5" x14ac:dyDescent="0.25">
      <c r="A156" s="230">
        <v>45561</v>
      </c>
      <c r="B156" s="35" t="s">
        <v>561</v>
      </c>
      <c r="C156" s="36" t="s">
        <v>216</v>
      </c>
      <c r="D156" s="37" t="s">
        <v>44</v>
      </c>
      <c r="E156" s="38" t="s">
        <v>45</v>
      </c>
      <c r="F156" s="202" t="s">
        <v>46</v>
      </c>
      <c r="G156" s="230">
        <v>45565</v>
      </c>
      <c r="H156" s="202" t="s">
        <v>566</v>
      </c>
      <c r="I156" s="37">
        <v>2</v>
      </c>
      <c r="J156" s="50" t="s">
        <v>562</v>
      </c>
      <c r="K156" s="40" t="s">
        <v>410</v>
      </c>
      <c r="L156" s="39"/>
      <c r="M156" s="41" t="str">
        <f t="shared" si="2"/>
        <v>INT-0063-24</v>
      </c>
      <c r="N156" s="42"/>
      <c r="O156" s="46"/>
    </row>
    <row r="157" spans="1:15" s="28" customFormat="1" ht="15" x14ac:dyDescent="0.25">
      <c r="A157" s="230">
        <v>45561</v>
      </c>
      <c r="B157" s="35" t="s">
        <v>561</v>
      </c>
      <c r="C157" s="36" t="s">
        <v>216</v>
      </c>
      <c r="D157" s="37" t="s">
        <v>39</v>
      </c>
      <c r="E157" s="38" t="s">
        <v>40</v>
      </c>
      <c r="F157" s="202" t="s">
        <v>567</v>
      </c>
      <c r="G157" s="230">
        <v>45626</v>
      </c>
      <c r="H157" s="202" t="s">
        <v>568</v>
      </c>
      <c r="I157" s="37">
        <v>21</v>
      </c>
      <c r="J157" s="50" t="s">
        <v>562</v>
      </c>
      <c r="K157" s="40" t="s">
        <v>410</v>
      </c>
      <c r="L157" s="39"/>
      <c r="M157" s="41" t="str">
        <f t="shared" si="2"/>
        <v>INT-0063-24</v>
      </c>
      <c r="N157" s="42"/>
      <c r="O157" s="46"/>
    </row>
    <row r="158" spans="1:15" s="28" customFormat="1" ht="15" x14ac:dyDescent="0.25">
      <c r="A158" s="230">
        <v>45566</v>
      </c>
      <c r="B158" s="35" t="s">
        <v>570</v>
      </c>
      <c r="C158" s="47" t="s">
        <v>547</v>
      </c>
      <c r="D158" s="37" t="s">
        <v>537</v>
      </c>
      <c r="E158" s="38" t="s">
        <v>303</v>
      </c>
      <c r="F158" s="202" t="s">
        <v>304</v>
      </c>
      <c r="G158" s="230">
        <v>46124</v>
      </c>
      <c r="H158" s="202" t="s">
        <v>569</v>
      </c>
      <c r="I158" s="37">
        <v>0.66600000000000004</v>
      </c>
      <c r="J158" s="257" t="s">
        <v>716</v>
      </c>
      <c r="K158" s="40" t="s">
        <v>1072</v>
      </c>
      <c r="L158" s="39"/>
      <c r="M158" s="41" t="str">
        <f t="shared" si="2"/>
        <v>INT-0064-24</v>
      </c>
      <c r="N158" s="42"/>
      <c r="O158" s="46"/>
    </row>
    <row r="159" spans="1:15" s="28" customFormat="1" ht="25.5" x14ac:dyDescent="0.25">
      <c r="A159" s="230">
        <v>45566</v>
      </c>
      <c r="B159" s="35" t="s">
        <v>570</v>
      </c>
      <c r="C159" s="36" t="s">
        <v>5</v>
      </c>
      <c r="D159" s="37" t="s">
        <v>572</v>
      </c>
      <c r="E159" s="38" t="s">
        <v>573</v>
      </c>
      <c r="F159" s="202" t="s">
        <v>574</v>
      </c>
      <c r="G159" s="230">
        <v>45710</v>
      </c>
      <c r="H159" s="202" t="s">
        <v>575</v>
      </c>
      <c r="I159" s="37">
        <v>65</v>
      </c>
      <c r="J159" s="50" t="s">
        <v>660</v>
      </c>
      <c r="K159" s="40" t="s">
        <v>305</v>
      </c>
      <c r="L159" s="39"/>
      <c r="M159" s="41" t="str">
        <f t="shared" si="2"/>
        <v>INT-0064-24</v>
      </c>
      <c r="N159" s="42"/>
      <c r="O159" s="46"/>
    </row>
    <row r="160" spans="1:15" s="28" customFormat="1" ht="15" x14ac:dyDescent="0.25">
      <c r="A160" s="230">
        <v>45566</v>
      </c>
      <c r="B160" s="35" t="s">
        <v>571</v>
      </c>
      <c r="C160" s="36" t="s">
        <v>1066</v>
      </c>
      <c r="D160" s="37" t="s">
        <v>47</v>
      </c>
      <c r="E160" s="38" t="s">
        <v>48</v>
      </c>
      <c r="F160" s="202" t="s">
        <v>95</v>
      </c>
      <c r="G160" s="230">
        <v>45565</v>
      </c>
      <c r="H160" s="202" t="s">
        <v>578</v>
      </c>
      <c r="I160" s="37">
        <v>43</v>
      </c>
      <c r="J160" s="50" t="s">
        <v>562</v>
      </c>
      <c r="K160" s="40" t="s">
        <v>410</v>
      </c>
      <c r="L160" s="39"/>
      <c r="M160" s="41" t="str">
        <f t="shared" si="2"/>
        <v>INT-0065-24</v>
      </c>
      <c r="N160" s="42"/>
      <c r="O160" s="46"/>
    </row>
    <row r="161" spans="1:15" s="28" customFormat="1" ht="15" x14ac:dyDescent="0.25">
      <c r="A161" s="230">
        <v>45566</v>
      </c>
      <c r="B161" s="35" t="s">
        <v>571</v>
      </c>
      <c r="C161" s="36" t="s">
        <v>1066</v>
      </c>
      <c r="D161" s="37" t="s">
        <v>39</v>
      </c>
      <c r="E161" s="38" t="s">
        <v>40</v>
      </c>
      <c r="F161" s="202" t="s">
        <v>204</v>
      </c>
      <c r="G161" s="230">
        <v>45565</v>
      </c>
      <c r="H161" s="202" t="s">
        <v>579</v>
      </c>
      <c r="I161" s="37">
        <v>20</v>
      </c>
      <c r="J161" s="50" t="s">
        <v>562</v>
      </c>
      <c r="K161" s="40" t="s">
        <v>410</v>
      </c>
      <c r="L161" s="39"/>
      <c r="M161" s="41" t="str">
        <f t="shared" si="2"/>
        <v>INT-0065-24</v>
      </c>
      <c r="N161" s="42"/>
      <c r="O161" s="46"/>
    </row>
    <row r="162" spans="1:15" s="28" customFormat="1" ht="15" x14ac:dyDescent="0.25">
      <c r="A162" s="230">
        <v>45566</v>
      </c>
      <c r="B162" s="35" t="s">
        <v>571</v>
      </c>
      <c r="C162" s="36" t="s">
        <v>1066</v>
      </c>
      <c r="D162" s="37" t="s">
        <v>36</v>
      </c>
      <c r="E162" s="38" t="s">
        <v>37</v>
      </c>
      <c r="F162" s="202" t="s">
        <v>564</v>
      </c>
      <c r="G162" s="230">
        <v>45565</v>
      </c>
      <c r="H162" s="202" t="s">
        <v>580</v>
      </c>
      <c r="I162" s="37">
        <v>37</v>
      </c>
      <c r="J162" s="50" t="s">
        <v>562</v>
      </c>
      <c r="K162" s="40" t="s">
        <v>410</v>
      </c>
      <c r="L162" s="39"/>
      <c r="M162" s="41" t="str">
        <f t="shared" si="2"/>
        <v>INT-0065-24</v>
      </c>
      <c r="N162" s="42"/>
      <c r="O162" s="46"/>
    </row>
    <row r="163" spans="1:15" s="28" customFormat="1" ht="25.5" x14ac:dyDescent="0.25">
      <c r="A163" s="230">
        <v>45566</v>
      </c>
      <c r="B163" s="35" t="s">
        <v>571</v>
      </c>
      <c r="C163" s="36" t="s">
        <v>1066</v>
      </c>
      <c r="D163" s="37" t="s">
        <v>44</v>
      </c>
      <c r="E163" s="38" t="s">
        <v>45</v>
      </c>
      <c r="F163" s="202" t="s">
        <v>46</v>
      </c>
      <c r="G163" s="230">
        <v>45565</v>
      </c>
      <c r="H163" s="202" t="s">
        <v>581</v>
      </c>
      <c r="I163" s="37">
        <v>13</v>
      </c>
      <c r="J163" s="50" t="s">
        <v>562</v>
      </c>
      <c r="K163" s="40" t="s">
        <v>410</v>
      </c>
      <c r="L163" s="39"/>
      <c r="M163" s="41" t="str">
        <f t="shared" si="2"/>
        <v>INT-0065-24</v>
      </c>
      <c r="N163" s="42"/>
      <c r="O163" s="46"/>
    </row>
    <row r="164" spans="1:15" s="28" customFormat="1" ht="15" x14ac:dyDescent="0.25">
      <c r="A164" s="230">
        <v>45566</v>
      </c>
      <c r="B164" s="35" t="s">
        <v>571</v>
      </c>
      <c r="C164" s="36" t="s">
        <v>1066</v>
      </c>
      <c r="D164" s="37" t="s">
        <v>39</v>
      </c>
      <c r="E164" s="38" t="s">
        <v>40</v>
      </c>
      <c r="F164" s="202" t="s">
        <v>567</v>
      </c>
      <c r="G164" s="230">
        <v>45626</v>
      </c>
      <c r="H164" s="202" t="s">
        <v>582</v>
      </c>
      <c r="I164" s="37">
        <v>43</v>
      </c>
      <c r="J164" s="50" t="s">
        <v>562</v>
      </c>
      <c r="K164" s="40" t="s">
        <v>410</v>
      </c>
      <c r="L164" s="39"/>
      <c r="M164" s="41" t="str">
        <f t="shared" si="2"/>
        <v>INT-0065-24</v>
      </c>
      <c r="N164" s="42"/>
      <c r="O164" s="46"/>
    </row>
    <row r="165" spans="1:15" s="28" customFormat="1" ht="15" x14ac:dyDescent="0.25">
      <c r="A165" s="230">
        <v>45566</v>
      </c>
      <c r="B165" s="35" t="s">
        <v>571</v>
      </c>
      <c r="C165" s="36" t="s">
        <v>1066</v>
      </c>
      <c r="D165" s="37" t="s">
        <v>39</v>
      </c>
      <c r="E165" s="38" t="s">
        <v>40</v>
      </c>
      <c r="F165" s="202" t="s">
        <v>567</v>
      </c>
      <c r="G165" s="230">
        <v>45626</v>
      </c>
      <c r="H165" s="202" t="s">
        <v>583</v>
      </c>
      <c r="I165" s="37">
        <v>16</v>
      </c>
      <c r="J165" s="50" t="s">
        <v>562</v>
      </c>
      <c r="K165" s="40" t="s">
        <v>410</v>
      </c>
      <c r="L165" s="39"/>
      <c r="M165" s="41" t="str">
        <f t="shared" si="2"/>
        <v>INT-0065-24</v>
      </c>
      <c r="N165" s="42"/>
      <c r="O165" s="46"/>
    </row>
    <row r="166" spans="1:15" s="28" customFormat="1" ht="15" x14ac:dyDescent="0.25">
      <c r="A166" s="230">
        <v>45567</v>
      </c>
      <c r="B166" s="35" t="s">
        <v>584</v>
      </c>
      <c r="C166" s="36" t="s">
        <v>288</v>
      </c>
      <c r="D166" s="37" t="s">
        <v>586</v>
      </c>
      <c r="E166" s="38" t="s">
        <v>585</v>
      </c>
      <c r="F166" s="202" t="s">
        <v>587</v>
      </c>
      <c r="G166" s="230">
        <v>45548</v>
      </c>
      <c r="H166" s="202" t="s">
        <v>588</v>
      </c>
      <c r="I166" s="37">
        <v>1</v>
      </c>
      <c r="J166" s="50" t="s">
        <v>589</v>
      </c>
      <c r="K166" s="40" t="s">
        <v>438</v>
      </c>
      <c r="L166" s="39"/>
      <c r="M166" s="41" t="str">
        <f t="shared" si="2"/>
        <v>INT-0067-24</v>
      </c>
      <c r="N166" s="42"/>
      <c r="O166" s="46"/>
    </row>
    <row r="167" spans="1:15" s="28" customFormat="1" ht="15" x14ac:dyDescent="0.25">
      <c r="A167" s="230">
        <v>45568</v>
      </c>
      <c r="B167" s="35" t="s">
        <v>590</v>
      </c>
      <c r="C167" s="36" t="s">
        <v>1066</v>
      </c>
      <c r="D167" s="37" t="s">
        <v>591</v>
      </c>
      <c r="E167" s="38" t="s">
        <v>592</v>
      </c>
      <c r="F167" s="202" t="s">
        <v>593</v>
      </c>
      <c r="G167" s="230">
        <v>46006</v>
      </c>
      <c r="H167" s="202" t="s">
        <v>594</v>
      </c>
      <c r="I167" s="37">
        <v>19</v>
      </c>
      <c r="J167" s="50" t="s">
        <v>595</v>
      </c>
      <c r="K167" s="40"/>
      <c r="L167" s="39"/>
      <c r="M167" s="41" t="str">
        <f t="shared" si="2"/>
        <v>INT-0068-24</v>
      </c>
      <c r="N167" s="42"/>
      <c r="O167" s="46"/>
    </row>
    <row r="168" spans="1:15" s="28" customFormat="1" ht="15" x14ac:dyDescent="0.25">
      <c r="A168" s="230">
        <v>45572</v>
      </c>
      <c r="B168" s="35" t="s">
        <v>602</v>
      </c>
      <c r="C168" s="36" t="s">
        <v>1066</v>
      </c>
      <c r="D168" s="37" t="s">
        <v>596</v>
      </c>
      <c r="E168" s="38" t="s">
        <v>597</v>
      </c>
      <c r="F168" s="202" t="s">
        <v>598</v>
      </c>
      <c r="G168" s="230">
        <v>45961</v>
      </c>
      <c r="H168" s="202" t="s">
        <v>599</v>
      </c>
      <c r="I168" s="37">
        <v>0.2</v>
      </c>
      <c r="J168" s="50" t="s">
        <v>601</v>
      </c>
      <c r="K168" s="40" t="s">
        <v>600</v>
      </c>
      <c r="L168" s="39" t="s">
        <v>659</v>
      </c>
      <c r="M168" s="41" t="str">
        <f t="shared" si="2"/>
        <v>INT-0069-24</v>
      </c>
      <c r="N168" s="42"/>
      <c r="O168" s="46"/>
    </row>
    <row r="169" spans="1:15" s="28" customFormat="1" ht="15" x14ac:dyDescent="0.25">
      <c r="A169" s="230">
        <v>45573</v>
      </c>
      <c r="B169" s="35" t="s">
        <v>603</v>
      </c>
      <c r="C169" s="36" t="s">
        <v>5</v>
      </c>
      <c r="D169" s="37" t="s">
        <v>669</v>
      </c>
      <c r="E169" s="38" t="s">
        <v>670</v>
      </c>
      <c r="F169" s="202" t="s">
        <v>671</v>
      </c>
      <c r="G169" s="230">
        <v>46215</v>
      </c>
      <c r="H169" s="202" t="s">
        <v>672</v>
      </c>
      <c r="I169" s="37">
        <v>43</v>
      </c>
      <c r="J169" s="50" t="s">
        <v>673</v>
      </c>
      <c r="K169" s="40" t="s">
        <v>410</v>
      </c>
      <c r="L169" s="39" t="s">
        <v>674</v>
      </c>
      <c r="M169" s="41" t="str">
        <f t="shared" si="2"/>
        <v>INT-0070-24</v>
      </c>
      <c r="N169" s="42"/>
      <c r="O169" s="46"/>
    </row>
    <row r="170" spans="1:15" s="28" customFormat="1" ht="15" x14ac:dyDescent="0.25">
      <c r="A170" s="230">
        <v>45573</v>
      </c>
      <c r="B170" s="35" t="s">
        <v>626</v>
      </c>
      <c r="C170" s="36" t="s">
        <v>1066</v>
      </c>
      <c r="D170" s="37" t="s">
        <v>28</v>
      </c>
      <c r="E170" s="38" t="s">
        <v>29</v>
      </c>
      <c r="F170" s="202" t="s">
        <v>524</v>
      </c>
      <c r="G170" s="230">
        <v>45688</v>
      </c>
      <c r="H170" s="202" t="s">
        <v>604</v>
      </c>
      <c r="I170" s="37">
        <v>95</v>
      </c>
      <c r="J170" s="50" t="s">
        <v>625</v>
      </c>
      <c r="K170" s="40" t="s">
        <v>438</v>
      </c>
      <c r="L170" s="39"/>
      <c r="M170" s="41" t="str">
        <f t="shared" si="2"/>
        <v>INT-0071-24</v>
      </c>
      <c r="N170" s="42"/>
      <c r="O170" s="46"/>
    </row>
    <row r="171" spans="1:15" s="28" customFormat="1" ht="15" x14ac:dyDescent="0.25">
      <c r="A171" s="230">
        <v>45573</v>
      </c>
      <c r="B171" s="35" t="s">
        <v>626</v>
      </c>
      <c r="C171" s="36" t="s">
        <v>1066</v>
      </c>
      <c r="D171" s="37" t="s">
        <v>92</v>
      </c>
      <c r="E171" s="38" t="s">
        <v>93</v>
      </c>
      <c r="F171" s="202" t="s">
        <v>605</v>
      </c>
      <c r="G171" s="230">
        <v>46265</v>
      </c>
      <c r="H171" s="202" t="s">
        <v>606</v>
      </c>
      <c r="I171" s="37">
        <v>3</v>
      </c>
      <c r="J171" s="50" t="s">
        <v>625</v>
      </c>
      <c r="K171" s="40" t="s">
        <v>438</v>
      </c>
      <c r="L171" s="39"/>
      <c r="M171" s="41" t="str">
        <f t="shared" si="2"/>
        <v>INT-0071-24</v>
      </c>
      <c r="N171" s="42"/>
      <c r="O171" s="46"/>
    </row>
    <row r="172" spans="1:15" s="28" customFormat="1" ht="15" x14ac:dyDescent="0.25">
      <c r="A172" s="230">
        <v>45573</v>
      </c>
      <c r="B172" s="35" t="s">
        <v>626</v>
      </c>
      <c r="C172" s="36" t="s">
        <v>1066</v>
      </c>
      <c r="D172" s="37" t="s">
        <v>92</v>
      </c>
      <c r="E172" s="38" t="s">
        <v>93</v>
      </c>
      <c r="F172" s="202" t="s">
        <v>607</v>
      </c>
      <c r="G172" s="230">
        <v>46477</v>
      </c>
      <c r="H172" s="202" t="s">
        <v>608</v>
      </c>
      <c r="I172" s="37">
        <v>2</v>
      </c>
      <c r="J172" s="50" t="s">
        <v>625</v>
      </c>
      <c r="K172" s="40" t="s">
        <v>438</v>
      </c>
      <c r="L172" s="39"/>
      <c r="M172" s="41" t="str">
        <f t="shared" si="2"/>
        <v>INT-0071-24</v>
      </c>
      <c r="N172" s="42"/>
      <c r="O172" s="46"/>
    </row>
    <row r="173" spans="1:15" s="28" customFormat="1" ht="15" x14ac:dyDescent="0.25">
      <c r="A173" s="230">
        <v>45573</v>
      </c>
      <c r="B173" s="35" t="s">
        <v>626</v>
      </c>
      <c r="C173" s="36" t="s">
        <v>1066</v>
      </c>
      <c r="D173" s="37" t="s">
        <v>28</v>
      </c>
      <c r="E173" s="38" t="s">
        <v>29</v>
      </c>
      <c r="F173" s="202" t="s">
        <v>464</v>
      </c>
      <c r="G173" s="230">
        <v>45716</v>
      </c>
      <c r="H173" s="202" t="s">
        <v>609</v>
      </c>
      <c r="I173" s="37">
        <v>11</v>
      </c>
      <c r="J173" s="50" t="s">
        <v>625</v>
      </c>
      <c r="K173" s="40" t="s">
        <v>438</v>
      </c>
      <c r="L173" s="39"/>
      <c r="M173" s="41" t="str">
        <f t="shared" si="2"/>
        <v>INT-0071-24</v>
      </c>
      <c r="N173" s="42"/>
      <c r="O173" s="46"/>
    </row>
    <row r="174" spans="1:15" s="28" customFormat="1" ht="15" x14ac:dyDescent="0.25">
      <c r="A174" s="230">
        <v>45573</v>
      </c>
      <c r="B174" s="35" t="s">
        <v>626</v>
      </c>
      <c r="C174" s="36" t="s">
        <v>1066</v>
      </c>
      <c r="D174" s="37" t="s">
        <v>34</v>
      </c>
      <c r="E174" s="38" t="s">
        <v>35</v>
      </c>
      <c r="F174" s="202" t="s">
        <v>610</v>
      </c>
      <c r="G174" s="230">
        <v>45747</v>
      </c>
      <c r="H174" s="202" t="s">
        <v>611</v>
      </c>
      <c r="I174" s="37">
        <v>1</v>
      </c>
      <c r="J174" s="50" t="s">
        <v>625</v>
      </c>
      <c r="K174" s="40" t="s">
        <v>438</v>
      </c>
      <c r="L174" s="39"/>
      <c r="M174" s="41" t="str">
        <f t="shared" si="2"/>
        <v>INT-0071-24</v>
      </c>
      <c r="N174" s="42"/>
      <c r="O174" s="46"/>
    </row>
    <row r="175" spans="1:15" s="28" customFormat="1" ht="15" x14ac:dyDescent="0.25">
      <c r="A175" s="230">
        <v>45573</v>
      </c>
      <c r="B175" s="35" t="s">
        <v>626</v>
      </c>
      <c r="C175" s="36" t="s">
        <v>1066</v>
      </c>
      <c r="D175" s="37" t="s">
        <v>34</v>
      </c>
      <c r="E175" s="38" t="s">
        <v>35</v>
      </c>
      <c r="F175" s="202" t="s">
        <v>612</v>
      </c>
      <c r="G175" s="230">
        <v>45808</v>
      </c>
      <c r="H175" s="202" t="s">
        <v>613</v>
      </c>
      <c r="I175" s="37">
        <v>1</v>
      </c>
      <c r="J175" s="50" t="s">
        <v>625</v>
      </c>
      <c r="K175" s="40" t="s">
        <v>438</v>
      </c>
      <c r="L175" s="39"/>
      <c r="M175" s="41" t="str">
        <f t="shared" si="2"/>
        <v>INT-0071-24</v>
      </c>
      <c r="N175" s="42"/>
      <c r="O175" s="46"/>
    </row>
    <row r="176" spans="1:15" s="28" customFormat="1" ht="15" x14ac:dyDescent="0.25">
      <c r="A176" s="230">
        <v>45573</v>
      </c>
      <c r="B176" s="35" t="s">
        <v>626</v>
      </c>
      <c r="C176" s="36" t="s">
        <v>1066</v>
      </c>
      <c r="D176" s="37" t="s">
        <v>39</v>
      </c>
      <c r="E176" s="38" t="s">
        <v>40</v>
      </c>
      <c r="F176" s="202" t="s">
        <v>614</v>
      </c>
      <c r="G176" s="230">
        <v>45991</v>
      </c>
      <c r="H176" s="202" t="s">
        <v>615</v>
      </c>
      <c r="I176" s="37">
        <v>2</v>
      </c>
      <c r="J176" s="50" t="s">
        <v>625</v>
      </c>
      <c r="K176" s="40" t="s">
        <v>438</v>
      </c>
      <c r="L176" s="39"/>
      <c r="M176" s="41" t="str">
        <f t="shared" si="2"/>
        <v>INT-0071-24</v>
      </c>
      <c r="N176" s="42"/>
      <c r="O176" s="46"/>
    </row>
    <row r="177" spans="1:15" s="28" customFormat="1" ht="15" x14ac:dyDescent="0.25">
      <c r="A177" s="230">
        <v>45573</v>
      </c>
      <c r="B177" s="35" t="s">
        <v>626</v>
      </c>
      <c r="C177" s="36" t="s">
        <v>1066</v>
      </c>
      <c r="D177" s="37" t="s">
        <v>34</v>
      </c>
      <c r="E177" s="38" t="s">
        <v>35</v>
      </c>
      <c r="F177" s="202" t="s">
        <v>616</v>
      </c>
      <c r="G177" s="230">
        <v>45747</v>
      </c>
      <c r="H177" s="202" t="s">
        <v>617</v>
      </c>
      <c r="I177" s="37">
        <v>1</v>
      </c>
      <c r="J177" s="50" t="s">
        <v>625</v>
      </c>
      <c r="K177" s="40" t="s">
        <v>438</v>
      </c>
      <c r="L177" s="39"/>
      <c r="M177" s="41" t="str">
        <f t="shared" si="2"/>
        <v>INT-0071-24</v>
      </c>
      <c r="N177" s="42"/>
      <c r="O177" s="46"/>
    </row>
    <row r="178" spans="1:15" s="28" customFormat="1" ht="15" x14ac:dyDescent="0.25">
      <c r="A178" s="230">
        <v>45573</v>
      </c>
      <c r="B178" s="35" t="s">
        <v>626</v>
      </c>
      <c r="C178" s="36" t="s">
        <v>1066</v>
      </c>
      <c r="D178" s="37" t="s">
        <v>42</v>
      </c>
      <c r="E178" s="38" t="s">
        <v>43</v>
      </c>
      <c r="F178" s="202" t="s">
        <v>522</v>
      </c>
      <c r="G178" s="230">
        <v>45747</v>
      </c>
      <c r="H178" s="202" t="s">
        <v>618</v>
      </c>
      <c r="I178" s="37">
        <v>2</v>
      </c>
      <c r="J178" s="50" t="s">
        <v>625</v>
      </c>
      <c r="K178" s="40" t="s">
        <v>438</v>
      </c>
      <c r="L178" s="39"/>
      <c r="M178" s="41" t="str">
        <f t="shared" si="2"/>
        <v>INT-0071-24</v>
      </c>
      <c r="N178" s="42"/>
      <c r="O178" s="46"/>
    </row>
    <row r="179" spans="1:15" s="28" customFormat="1" ht="15" x14ac:dyDescent="0.25">
      <c r="A179" s="230">
        <v>45573</v>
      </c>
      <c r="B179" s="35" t="s">
        <v>626</v>
      </c>
      <c r="C179" s="36" t="s">
        <v>1066</v>
      </c>
      <c r="D179" s="37" t="s">
        <v>47</v>
      </c>
      <c r="E179" s="38" t="s">
        <v>48</v>
      </c>
      <c r="F179" s="202" t="s">
        <v>619</v>
      </c>
      <c r="G179" s="230">
        <v>46112</v>
      </c>
      <c r="H179" s="202" t="s">
        <v>620</v>
      </c>
      <c r="I179" s="37">
        <v>1</v>
      </c>
      <c r="J179" s="50" t="s">
        <v>625</v>
      </c>
      <c r="K179" s="40" t="s">
        <v>438</v>
      </c>
      <c r="L179" s="39"/>
      <c r="M179" s="41" t="str">
        <f t="shared" si="2"/>
        <v>INT-0071-24</v>
      </c>
      <c r="N179" s="42"/>
      <c r="O179" s="46"/>
    </row>
    <row r="180" spans="1:15" s="28" customFormat="1" ht="15" x14ac:dyDescent="0.25">
      <c r="A180" s="230">
        <v>45573</v>
      </c>
      <c r="B180" s="35" t="s">
        <v>626</v>
      </c>
      <c r="C180" s="36" t="s">
        <v>1066</v>
      </c>
      <c r="D180" s="37" t="s">
        <v>28</v>
      </c>
      <c r="E180" s="38" t="s">
        <v>29</v>
      </c>
      <c r="F180" s="202" t="s">
        <v>621</v>
      </c>
      <c r="G180" s="230">
        <v>45688</v>
      </c>
      <c r="H180" s="202" t="s">
        <v>622</v>
      </c>
      <c r="I180" s="37">
        <v>2</v>
      </c>
      <c r="J180" s="50" t="s">
        <v>625</v>
      </c>
      <c r="K180" s="40" t="s">
        <v>438</v>
      </c>
      <c r="L180" s="39"/>
      <c r="M180" s="41" t="str">
        <f t="shared" si="2"/>
        <v>INT-0071-24</v>
      </c>
      <c r="N180" s="42"/>
      <c r="O180" s="46"/>
    </row>
    <row r="181" spans="1:15" s="28" customFormat="1" ht="15" x14ac:dyDescent="0.25">
      <c r="A181" s="230">
        <v>45573</v>
      </c>
      <c r="B181" s="35" t="s">
        <v>626</v>
      </c>
      <c r="C181" s="36" t="s">
        <v>1066</v>
      </c>
      <c r="D181" s="37" t="s">
        <v>47</v>
      </c>
      <c r="E181" s="38" t="s">
        <v>48</v>
      </c>
      <c r="F181" s="202" t="s">
        <v>623</v>
      </c>
      <c r="G181" s="230">
        <v>46173</v>
      </c>
      <c r="H181" s="202" t="s">
        <v>624</v>
      </c>
      <c r="I181" s="37">
        <v>1</v>
      </c>
      <c r="J181" s="50" t="s">
        <v>625</v>
      </c>
      <c r="K181" s="40" t="s">
        <v>438</v>
      </c>
      <c r="L181" s="39"/>
      <c r="M181" s="41" t="str">
        <f t="shared" si="2"/>
        <v>INT-0071-24</v>
      </c>
      <c r="N181" s="42"/>
      <c r="O181" s="46"/>
    </row>
    <row r="182" spans="1:15" s="28" customFormat="1" ht="25.5" x14ac:dyDescent="0.25">
      <c r="A182" s="230">
        <v>45575</v>
      </c>
      <c r="B182" s="35" t="s">
        <v>626</v>
      </c>
      <c r="C182" s="36" t="s">
        <v>1066</v>
      </c>
      <c r="D182" s="37" t="s">
        <v>245</v>
      </c>
      <c r="E182" s="38" t="s">
        <v>246</v>
      </c>
      <c r="F182" s="202" t="s">
        <v>247</v>
      </c>
      <c r="G182" s="230">
        <v>46053</v>
      </c>
      <c r="H182" s="202" t="s">
        <v>628</v>
      </c>
      <c r="I182" s="37">
        <v>4</v>
      </c>
      <c r="J182" s="50" t="s">
        <v>627</v>
      </c>
      <c r="K182" s="40" t="s">
        <v>438</v>
      </c>
      <c r="L182" s="39"/>
      <c r="M182" s="41" t="str">
        <f t="shared" si="2"/>
        <v>INT-0071-24</v>
      </c>
      <c r="N182" s="42"/>
      <c r="O182" s="46"/>
    </row>
    <row r="183" spans="1:15" s="28" customFormat="1" ht="15" x14ac:dyDescent="0.25">
      <c r="A183" s="230">
        <v>45575</v>
      </c>
      <c r="B183" s="35" t="s">
        <v>626</v>
      </c>
      <c r="C183" s="36" t="s">
        <v>1066</v>
      </c>
      <c r="D183" s="37" t="s">
        <v>28</v>
      </c>
      <c r="E183" s="38" t="s">
        <v>29</v>
      </c>
      <c r="F183" s="202" t="s">
        <v>466</v>
      </c>
      <c r="G183" s="230">
        <v>45657</v>
      </c>
      <c r="H183" s="202" t="s">
        <v>629</v>
      </c>
      <c r="I183" s="37">
        <v>1</v>
      </c>
      <c r="J183" s="50" t="s">
        <v>627</v>
      </c>
      <c r="K183" s="40" t="s">
        <v>438</v>
      </c>
      <c r="L183" s="39"/>
      <c r="M183" s="41" t="str">
        <f t="shared" si="2"/>
        <v>INT-0071-24</v>
      </c>
      <c r="N183" s="42"/>
      <c r="O183" s="46"/>
    </row>
    <row r="184" spans="1:15" s="28" customFormat="1" ht="15" x14ac:dyDescent="0.25">
      <c r="A184" s="230">
        <v>45575</v>
      </c>
      <c r="B184" s="35" t="s">
        <v>626</v>
      </c>
      <c r="C184" s="36" t="s">
        <v>1066</v>
      </c>
      <c r="D184" s="37" t="s">
        <v>39</v>
      </c>
      <c r="E184" s="38" t="s">
        <v>40</v>
      </c>
      <c r="F184" s="202" t="s">
        <v>204</v>
      </c>
      <c r="G184" s="230">
        <v>45565</v>
      </c>
      <c r="H184" s="202" t="s">
        <v>630</v>
      </c>
      <c r="I184" s="37">
        <v>3</v>
      </c>
      <c r="J184" s="50" t="s">
        <v>627</v>
      </c>
      <c r="K184" s="40" t="s">
        <v>438</v>
      </c>
      <c r="L184" s="39"/>
      <c r="M184" s="41" t="str">
        <f t="shared" si="2"/>
        <v>INT-0071-24</v>
      </c>
      <c r="N184" s="42"/>
      <c r="O184" s="46"/>
    </row>
    <row r="185" spans="1:15" s="28" customFormat="1" ht="25.5" x14ac:dyDescent="0.25">
      <c r="A185" s="230">
        <v>45575</v>
      </c>
      <c r="B185" s="35" t="s">
        <v>626</v>
      </c>
      <c r="C185" s="36" t="s">
        <v>1066</v>
      </c>
      <c r="D185" s="37" t="s">
        <v>631</v>
      </c>
      <c r="E185" s="38" t="s">
        <v>632</v>
      </c>
      <c r="F185" s="202" t="s">
        <v>633</v>
      </c>
      <c r="G185" s="230">
        <v>46158</v>
      </c>
      <c r="H185" s="202" t="s">
        <v>634</v>
      </c>
      <c r="I185" s="37">
        <v>3</v>
      </c>
      <c r="J185" s="50" t="s">
        <v>627</v>
      </c>
      <c r="K185" s="40" t="s">
        <v>635</v>
      </c>
      <c r="L185" s="39" t="s">
        <v>668</v>
      </c>
      <c r="M185" s="41" t="str">
        <f t="shared" si="2"/>
        <v>INT-0071-24</v>
      </c>
      <c r="N185" s="42"/>
      <c r="O185" s="46"/>
    </row>
    <row r="186" spans="1:15" s="28" customFormat="1" ht="15" x14ac:dyDescent="0.25">
      <c r="A186" s="230">
        <v>45575</v>
      </c>
      <c r="B186" s="35" t="s">
        <v>626</v>
      </c>
      <c r="C186" s="36" t="s">
        <v>1066</v>
      </c>
      <c r="D186" s="37" t="s">
        <v>47</v>
      </c>
      <c r="E186" s="38" t="s">
        <v>48</v>
      </c>
      <c r="F186" s="202" t="s">
        <v>203</v>
      </c>
      <c r="G186" s="230">
        <v>45688</v>
      </c>
      <c r="H186" s="202" t="s">
        <v>636</v>
      </c>
      <c r="I186" s="37">
        <v>17</v>
      </c>
      <c r="J186" s="50" t="s">
        <v>627</v>
      </c>
      <c r="K186" s="40" t="s">
        <v>438</v>
      </c>
      <c r="L186" s="39"/>
      <c r="M186" s="41" t="str">
        <f t="shared" si="2"/>
        <v>INT-0071-24</v>
      </c>
      <c r="N186" s="42"/>
      <c r="O186" s="46"/>
    </row>
    <row r="187" spans="1:15" s="28" customFormat="1" ht="15" x14ac:dyDescent="0.25">
      <c r="A187" s="230">
        <v>45575</v>
      </c>
      <c r="B187" s="35" t="s">
        <v>626</v>
      </c>
      <c r="C187" s="36" t="s">
        <v>1066</v>
      </c>
      <c r="D187" s="37" t="s">
        <v>34</v>
      </c>
      <c r="E187" s="38" t="s">
        <v>35</v>
      </c>
      <c r="F187" s="202" t="s">
        <v>637</v>
      </c>
      <c r="G187" s="230">
        <v>45716</v>
      </c>
      <c r="H187" s="202" t="s">
        <v>638</v>
      </c>
      <c r="I187" s="37">
        <v>56</v>
      </c>
      <c r="J187" s="50" t="s">
        <v>627</v>
      </c>
      <c r="K187" s="40" t="s">
        <v>438</v>
      </c>
      <c r="L187" s="39"/>
      <c r="M187" s="41" t="str">
        <f t="shared" si="2"/>
        <v>INT-0071-24</v>
      </c>
      <c r="N187" s="42"/>
      <c r="O187" s="46"/>
    </row>
    <row r="188" spans="1:15" s="28" customFormat="1" ht="15" x14ac:dyDescent="0.25">
      <c r="A188" s="230">
        <v>45575</v>
      </c>
      <c r="B188" s="35" t="s">
        <v>626</v>
      </c>
      <c r="C188" s="36" t="s">
        <v>1066</v>
      </c>
      <c r="D188" s="37" t="s">
        <v>39</v>
      </c>
      <c r="E188" s="38" t="s">
        <v>40</v>
      </c>
      <c r="F188" s="202" t="s">
        <v>639</v>
      </c>
      <c r="G188" s="230">
        <v>45716</v>
      </c>
      <c r="H188" s="202" t="s">
        <v>640</v>
      </c>
      <c r="I188" s="37">
        <v>95</v>
      </c>
      <c r="J188" s="50" t="s">
        <v>627</v>
      </c>
      <c r="K188" s="40" t="s">
        <v>438</v>
      </c>
      <c r="L188" s="39"/>
      <c r="M188" s="41" t="str">
        <f t="shared" si="2"/>
        <v>INT-0071-24</v>
      </c>
      <c r="N188" s="42"/>
      <c r="O188" s="46"/>
    </row>
    <row r="189" spans="1:15" s="28" customFormat="1" ht="25.5" x14ac:dyDescent="0.25">
      <c r="A189" s="230">
        <v>45551</v>
      </c>
      <c r="B189" s="35" t="s">
        <v>641</v>
      </c>
      <c r="C189" s="36" t="s">
        <v>646</v>
      </c>
      <c r="D189" s="37" t="s">
        <v>645</v>
      </c>
      <c r="E189" s="38" t="s">
        <v>642</v>
      </c>
      <c r="F189" s="202" t="s">
        <v>643</v>
      </c>
      <c r="G189" s="230">
        <v>45950</v>
      </c>
      <c r="H189" s="202" t="s">
        <v>644</v>
      </c>
      <c r="I189" s="37">
        <v>1</v>
      </c>
      <c r="J189" s="50" t="s">
        <v>647</v>
      </c>
      <c r="K189" s="40" t="s">
        <v>438</v>
      </c>
      <c r="L189" s="39"/>
      <c r="M189" s="41" t="str">
        <f t="shared" si="2"/>
        <v>INT-0072-24</v>
      </c>
      <c r="N189" s="42"/>
      <c r="O189" s="46"/>
    </row>
    <row r="190" spans="1:15" s="28" customFormat="1" ht="25.5" x14ac:dyDescent="0.25">
      <c r="A190" s="230">
        <v>45575</v>
      </c>
      <c r="B190" s="35" t="s">
        <v>648</v>
      </c>
      <c r="C190" s="36" t="s">
        <v>216</v>
      </c>
      <c r="D190" s="37" t="s">
        <v>649</v>
      </c>
      <c r="E190" s="38" t="s">
        <v>650</v>
      </c>
      <c r="F190" s="202" t="s">
        <v>651</v>
      </c>
      <c r="G190" s="230">
        <v>46581</v>
      </c>
      <c r="H190" s="202" t="s">
        <v>652</v>
      </c>
      <c r="I190" s="37">
        <v>1000</v>
      </c>
      <c r="J190" s="50" t="s">
        <v>1287</v>
      </c>
      <c r="K190" s="40" t="s">
        <v>410</v>
      </c>
      <c r="L190" s="39"/>
      <c r="M190" s="41" t="str">
        <f t="shared" si="2"/>
        <v>INT-0073-24</v>
      </c>
      <c r="N190" s="42"/>
      <c r="O190" s="46"/>
    </row>
    <row r="191" spans="1:15" s="28" customFormat="1" ht="15" x14ac:dyDescent="0.25">
      <c r="A191" s="230">
        <v>45576</v>
      </c>
      <c r="B191" s="35" t="s">
        <v>653</v>
      </c>
      <c r="C191" s="36" t="s">
        <v>216</v>
      </c>
      <c r="D191" s="37" t="s">
        <v>654</v>
      </c>
      <c r="E191" s="38" t="s">
        <v>655</v>
      </c>
      <c r="F191" s="202" t="s">
        <v>656</v>
      </c>
      <c r="G191" s="230">
        <v>46494</v>
      </c>
      <c r="H191" s="202" t="s">
        <v>657</v>
      </c>
      <c r="I191" s="37">
        <v>1000</v>
      </c>
      <c r="J191" s="50" t="s">
        <v>658</v>
      </c>
      <c r="K191" s="40" t="s">
        <v>410</v>
      </c>
      <c r="L191" s="39" t="s">
        <v>661</v>
      </c>
      <c r="M191" s="41" t="str">
        <f t="shared" si="2"/>
        <v>INT-0074-24</v>
      </c>
      <c r="N191" s="42"/>
      <c r="O191" s="46"/>
    </row>
    <row r="192" spans="1:15" s="28" customFormat="1" ht="25.5" x14ac:dyDescent="0.25">
      <c r="A192" s="230">
        <v>45580</v>
      </c>
      <c r="B192" s="35" t="s">
        <v>662</v>
      </c>
      <c r="C192" s="36" t="s">
        <v>288</v>
      </c>
      <c r="D192" s="37"/>
      <c r="E192" s="38" t="s">
        <v>663</v>
      </c>
      <c r="F192" s="202" t="s">
        <v>664</v>
      </c>
      <c r="G192" s="230">
        <v>46538</v>
      </c>
      <c r="H192" s="279" t="s">
        <v>665</v>
      </c>
      <c r="I192" s="37">
        <f>1890+1290+1433</f>
        <v>4613</v>
      </c>
      <c r="J192" s="50" t="s">
        <v>666</v>
      </c>
      <c r="K192" s="40" t="s">
        <v>667</v>
      </c>
      <c r="L192" s="39"/>
      <c r="M192" s="41" t="str">
        <f t="shared" si="2"/>
        <v>INT-0075-24</v>
      </c>
      <c r="N192" s="42"/>
      <c r="O192" s="46"/>
    </row>
    <row r="193" spans="1:15" s="28" customFormat="1" ht="15" x14ac:dyDescent="0.25">
      <c r="A193" s="230">
        <v>45582</v>
      </c>
      <c r="B193" s="35" t="s">
        <v>675</v>
      </c>
      <c r="C193" s="36" t="s">
        <v>1066</v>
      </c>
      <c r="D193" s="37" t="s">
        <v>36</v>
      </c>
      <c r="E193" s="38" t="s">
        <v>37</v>
      </c>
      <c r="F193" s="202" t="s">
        <v>677</v>
      </c>
      <c r="G193" s="230">
        <v>45716</v>
      </c>
      <c r="H193" s="202" t="s">
        <v>676</v>
      </c>
      <c r="I193" s="37">
        <v>16</v>
      </c>
      <c r="J193" s="50" t="s">
        <v>447</v>
      </c>
      <c r="K193" s="40" t="s">
        <v>410</v>
      </c>
      <c r="L193" s="39"/>
      <c r="M193" s="41" t="str">
        <f t="shared" si="2"/>
        <v>INT-0076-24</v>
      </c>
      <c r="N193" s="42"/>
      <c r="O193" s="46"/>
    </row>
    <row r="194" spans="1:15" s="28" customFormat="1" ht="15" x14ac:dyDescent="0.25">
      <c r="A194" s="230">
        <v>45582</v>
      </c>
      <c r="B194" s="35" t="s">
        <v>678</v>
      </c>
      <c r="C194" s="36" t="s">
        <v>288</v>
      </c>
      <c r="D194" s="37"/>
      <c r="E194" s="38" t="s">
        <v>679</v>
      </c>
      <c r="F194" s="202"/>
      <c r="G194" s="230"/>
      <c r="H194" s="202"/>
      <c r="I194" s="37"/>
      <c r="J194" s="50"/>
      <c r="K194" s="40"/>
      <c r="L194" s="39"/>
      <c r="M194" s="41" t="str">
        <f t="shared" si="2"/>
        <v>INT-0077-24</v>
      </c>
      <c r="N194" s="42"/>
      <c r="O194" s="46"/>
    </row>
    <row r="195" spans="1:15" s="28" customFormat="1" ht="15" x14ac:dyDescent="0.25">
      <c r="A195" s="230">
        <v>45582</v>
      </c>
      <c r="B195" s="35" t="s">
        <v>680</v>
      </c>
      <c r="C195" s="47" t="s">
        <v>547</v>
      </c>
      <c r="D195" s="37" t="s">
        <v>537</v>
      </c>
      <c r="E195" s="38" t="s">
        <v>1320</v>
      </c>
      <c r="F195" s="202" t="s">
        <v>838</v>
      </c>
      <c r="G195" s="230" t="s">
        <v>838</v>
      </c>
      <c r="H195" s="202" t="s">
        <v>838</v>
      </c>
      <c r="I195" s="37" t="s">
        <v>838</v>
      </c>
      <c r="J195" s="50" t="s">
        <v>840</v>
      </c>
      <c r="K195" s="40" t="s">
        <v>1072</v>
      </c>
      <c r="L195" s="39"/>
      <c r="M195" s="41" t="str">
        <f t="shared" si="2"/>
        <v>INT-0078-24</v>
      </c>
      <c r="N195" s="42"/>
      <c r="O195" s="46"/>
    </row>
    <row r="196" spans="1:15" s="28" customFormat="1" ht="15" x14ac:dyDescent="0.25">
      <c r="A196" s="230">
        <v>45582</v>
      </c>
      <c r="B196" s="35" t="s">
        <v>681</v>
      </c>
      <c r="C196" s="36" t="s">
        <v>1066</v>
      </c>
      <c r="D196" s="37" t="s">
        <v>682</v>
      </c>
      <c r="E196" s="38" t="s">
        <v>683</v>
      </c>
      <c r="F196" s="202" t="s">
        <v>684</v>
      </c>
      <c r="G196" s="230">
        <v>45888</v>
      </c>
      <c r="H196" s="202" t="s">
        <v>685</v>
      </c>
      <c r="I196" s="37">
        <v>1000</v>
      </c>
      <c r="J196" s="50" t="s">
        <v>686</v>
      </c>
      <c r="K196" s="40" t="s">
        <v>410</v>
      </c>
      <c r="L196" s="39"/>
      <c r="M196" s="41" t="str">
        <f t="shared" si="2"/>
        <v>INT-0079-24</v>
      </c>
      <c r="N196" s="42"/>
      <c r="O196" s="46"/>
    </row>
    <row r="197" spans="1:15" s="28" customFormat="1" ht="15" x14ac:dyDescent="0.25">
      <c r="A197" s="230">
        <v>45583</v>
      </c>
      <c r="B197" s="35" t="s">
        <v>687</v>
      </c>
      <c r="C197" s="36" t="s">
        <v>1066</v>
      </c>
      <c r="D197" s="37"/>
      <c r="E197" s="38"/>
      <c r="F197" s="202"/>
      <c r="G197" s="230"/>
      <c r="H197" s="202"/>
      <c r="I197" s="37"/>
      <c r="J197" s="50"/>
      <c r="K197" s="40"/>
      <c r="L197" s="39"/>
      <c r="M197" s="41" t="str">
        <f t="shared" si="2"/>
        <v>INT-0080-24</v>
      </c>
      <c r="N197" s="42"/>
      <c r="O197" s="46"/>
    </row>
    <row r="198" spans="1:15" s="28" customFormat="1" ht="15" x14ac:dyDescent="0.25">
      <c r="A198" s="230">
        <v>45586</v>
      </c>
      <c r="B198" s="35" t="s">
        <v>688</v>
      </c>
      <c r="C198" s="36" t="s">
        <v>646</v>
      </c>
      <c r="D198" s="37" t="s">
        <v>689</v>
      </c>
      <c r="E198" s="38" t="s">
        <v>690</v>
      </c>
      <c r="F198" s="202" t="s">
        <v>692</v>
      </c>
      <c r="G198" s="230">
        <v>46283</v>
      </c>
      <c r="H198" s="202" t="s">
        <v>691</v>
      </c>
      <c r="I198" s="37">
        <v>2</v>
      </c>
      <c r="J198" s="50" t="s">
        <v>693</v>
      </c>
      <c r="K198" s="40" t="s">
        <v>438</v>
      </c>
      <c r="L198" s="39"/>
      <c r="M198" s="41" t="str">
        <f t="shared" ref="M198:M261" si="3">HYPERLINK("P:\7. LONG HAU\7. CAC THEO DOI TRONG QUA TRINH\4. DEVIATION- INCIDENTS\THEO DÕI NỘI BỘ (NGOÀI BBSC)\"&amp;YEAR(A198)&amp;"\"&amp;B198,B198)</f>
        <v>INT-0081-24</v>
      </c>
      <c r="N198" s="42"/>
      <c r="O198" s="46"/>
    </row>
    <row r="199" spans="1:15" s="28" customFormat="1" ht="15" x14ac:dyDescent="0.25">
      <c r="A199" s="230">
        <v>45586</v>
      </c>
      <c r="B199" s="35" t="s">
        <v>694</v>
      </c>
      <c r="C199" s="47" t="s">
        <v>547</v>
      </c>
      <c r="D199" s="37" t="s">
        <v>537</v>
      </c>
      <c r="E199" s="38" t="s">
        <v>303</v>
      </c>
      <c r="F199" s="202" t="s">
        <v>304</v>
      </c>
      <c r="G199" s="230">
        <v>46124</v>
      </c>
      <c r="H199" s="202" t="s">
        <v>695</v>
      </c>
      <c r="I199" s="37" t="s">
        <v>696</v>
      </c>
      <c r="J199" s="257" t="s">
        <v>716</v>
      </c>
      <c r="K199" s="40" t="s">
        <v>1072</v>
      </c>
      <c r="L199" s="39"/>
      <c r="M199" s="41" t="str">
        <f t="shared" si="3"/>
        <v>INT-0082-24</v>
      </c>
      <c r="N199" s="42"/>
      <c r="O199" s="46"/>
    </row>
    <row r="200" spans="1:15" s="28" customFormat="1" ht="25.5" x14ac:dyDescent="0.25">
      <c r="A200" s="230">
        <v>45586</v>
      </c>
      <c r="B200" s="35" t="s">
        <v>697</v>
      </c>
      <c r="C200" s="36" t="s">
        <v>288</v>
      </c>
      <c r="D200" s="37" t="s">
        <v>698</v>
      </c>
      <c r="E200" s="38" t="s">
        <v>699</v>
      </c>
      <c r="F200" s="202" t="s">
        <v>700</v>
      </c>
      <c r="G200" s="230">
        <v>46514</v>
      </c>
      <c r="H200" s="202" t="s">
        <v>701</v>
      </c>
      <c r="I200" s="37">
        <v>1</v>
      </c>
      <c r="J200" s="50" t="s">
        <v>702</v>
      </c>
      <c r="K200" s="40" t="s">
        <v>703</v>
      </c>
      <c r="L200" s="39"/>
      <c r="M200" s="41" t="str">
        <f t="shared" si="3"/>
        <v>INT-0083-24</v>
      </c>
      <c r="N200" s="42"/>
      <c r="O200" s="46"/>
    </row>
    <row r="201" spans="1:15" s="28" customFormat="1" ht="15" x14ac:dyDescent="0.25">
      <c r="A201" s="230">
        <v>45588</v>
      </c>
      <c r="B201" s="35" t="s">
        <v>704</v>
      </c>
      <c r="C201" s="36" t="s">
        <v>5</v>
      </c>
      <c r="D201" s="37" t="s">
        <v>39</v>
      </c>
      <c r="E201" s="38" t="s">
        <v>40</v>
      </c>
      <c r="F201" s="202" t="s">
        <v>567</v>
      </c>
      <c r="G201" s="230">
        <v>45626</v>
      </c>
      <c r="H201" s="202" t="s">
        <v>705</v>
      </c>
      <c r="I201" s="37">
        <v>2</v>
      </c>
      <c r="J201" s="50" t="s">
        <v>706</v>
      </c>
      <c r="K201" s="40" t="s">
        <v>366</v>
      </c>
      <c r="L201" s="39"/>
      <c r="M201" s="41" t="str">
        <f t="shared" si="3"/>
        <v>INT-0084-24</v>
      </c>
      <c r="N201" s="42"/>
      <c r="O201" s="46"/>
    </row>
    <row r="202" spans="1:15" s="28" customFormat="1" ht="15" x14ac:dyDescent="0.25">
      <c r="A202" s="230">
        <v>45593</v>
      </c>
      <c r="B202" s="35" t="s">
        <v>707</v>
      </c>
      <c r="C202" s="36" t="s">
        <v>646</v>
      </c>
      <c r="D202" s="37" t="s">
        <v>709</v>
      </c>
      <c r="E202" s="38" t="s">
        <v>710</v>
      </c>
      <c r="F202" s="202" t="s">
        <v>711</v>
      </c>
      <c r="G202" s="230">
        <v>45657</v>
      </c>
      <c r="H202" s="202" t="s">
        <v>708</v>
      </c>
      <c r="I202" s="37">
        <v>1</v>
      </c>
      <c r="J202" s="50" t="s">
        <v>712</v>
      </c>
      <c r="K202" s="40" t="s">
        <v>438</v>
      </c>
      <c r="L202" s="39"/>
      <c r="M202" s="41" t="str">
        <f t="shared" si="3"/>
        <v>INT-0085-24</v>
      </c>
      <c r="N202" s="42"/>
      <c r="O202" s="46"/>
    </row>
    <row r="203" spans="1:15" s="28" customFormat="1" ht="15" x14ac:dyDescent="0.25">
      <c r="A203" s="230">
        <v>45594</v>
      </c>
      <c r="B203" s="35" t="s">
        <v>713</v>
      </c>
      <c r="C203" s="47" t="s">
        <v>547</v>
      </c>
      <c r="D203" s="37" t="s">
        <v>537</v>
      </c>
      <c r="E203" s="38" t="s">
        <v>303</v>
      </c>
      <c r="F203" s="202" t="s">
        <v>714</v>
      </c>
      <c r="G203" s="230">
        <v>46249</v>
      </c>
      <c r="H203" s="202" t="s">
        <v>715</v>
      </c>
      <c r="I203" s="37">
        <v>1</v>
      </c>
      <c r="J203" s="257" t="s">
        <v>716</v>
      </c>
      <c r="K203" s="40" t="s">
        <v>1072</v>
      </c>
      <c r="L203" s="39"/>
      <c r="M203" s="41" t="str">
        <f t="shared" si="3"/>
        <v>INT-0086-24</v>
      </c>
      <c r="N203" s="42"/>
      <c r="O203" s="46"/>
    </row>
    <row r="204" spans="1:15" s="28" customFormat="1" ht="15" x14ac:dyDescent="0.25">
      <c r="A204" s="230">
        <v>45596</v>
      </c>
      <c r="B204" s="35" t="s">
        <v>717</v>
      </c>
      <c r="C204" s="36" t="s">
        <v>504</v>
      </c>
      <c r="D204" s="37" t="s">
        <v>42</v>
      </c>
      <c r="E204" s="38" t="s">
        <v>43</v>
      </c>
      <c r="F204" s="202" t="s">
        <v>746</v>
      </c>
      <c r="G204" s="230">
        <v>45688</v>
      </c>
      <c r="H204" s="202" t="s">
        <v>784</v>
      </c>
      <c r="I204" s="37">
        <v>5</v>
      </c>
      <c r="J204" s="50" t="s">
        <v>718</v>
      </c>
      <c r="K204" s="40" t="s">
        <v>438</v>
      </c>
      <c r="L204" s="39"/>
      <c r="M204" s="41" t="str">
        <f t="shared" si="3"/>
        <v>INT-0087-24</v>
      </c>
      <c r="N204" s="42"/>
      <c r="O204" s="46"/>
    </row>
    <row r="205" spans="1:15" s="28" customFormat="1" ht="15" x14ac:dyDescent="0.25">
      <c r="A205" s="230">
        <v>45596</v>
      </c>
      <c r="B205" s="35" t="s">
        <v>717</v>
      </c>
      <c r="C205" s="36" t="s">
        <v>504</v>
      </c>
      <c r="D205" s="37" t="s">
        <v>28</v>
      </c>
      <c r="E205" s="38" t="s">
        <v>29</v>
      </c>
      <c r="F205" s="202" t="s">
        <v>785</v>
      </c>
      <c r="G205" s="230">
        <v>45688</v>
      </c>
      <c r="H205" s="202" t="s">
        <v>786</v>
      </c>
      <c r="I205" s="37">
        <v>9</v>
      </c>
      <c r="J205" s="50" t="s">
        <v>718</v>
      </c>
      <c r="K205" s="40" t="s">
        <v>438</v>
      </c>
      <c r="L205" s="39"/>
      <c r="M205" s="41" t="str">
        <f t="shared" si="3"/>
        <v>INT-0087-24</v>
      </c>
      <c r="N205" s="42"/>
      <c r="O205" s="46"/>
    </row>
    <row r="206" spans="1:15" s="28" customFormat="1" ht="15" x14ac:dyDescent="0.25">
      <c r="A206" s="230">
        <v>45596</v>
      </c>
      <c r="B206" s="35" t="s">
        <v>717</v>
      </c>
      <c r="C206" s="36" t="s">
        <v>504</v>
      </c>
      <c r="D206" s="37" t="s">
        <v>92</v>
      </c>
      <c r="E206" s="38" t="s">
        <v>93</v>
      </c>
      <c r="F206" s="202" t="s">
        <v>750</v>
      </c>
      <c r="G206" s="230">
        <v>45626</v>
      </c>
      <c r="H206" s="202" t="s">
        <v>787</v>
      </c>
      <c r="I206" s="37">
        <v>1</v>
      </c>
      <c r="J206" s="50" t="s">
        <v>718</v>
      </c>
      <c r="K206" s="40" t="s">
        <v>438</v>
      </c>
      <c r="L206" s="39"/>
      <c r="M206" s="41" t="str">
        <f t="shared" si="3"/>
        <v>INT-0087-24</v>
      </c>
      <c r="N206" s="42"/>
      <c r="O206" s="46"/>
    </row>
    <row r="207" spans="1:15" s="28" customFormat="1" ht="15" x14ac:dyDescent="0.25">
      <c r="A207" s="230">
        <v>45596</v>
      </c>
      <c r="B207" s="35" t="s">
        <v>717</v>
      </c>
      <c r="C207" s="36" t="s">
        <v>504</v>
      </c>
      <c r="D207" s="37" t="s">
        <v>47</v>
      </c>
      <c r="E207" s="38" t="s">
        <v>48</v>
      </c>
      <c r="F207" s="202" t="s">
        <v>203</v>
      </c>
      <c r="G207" s="230">
        <v>45688</v>
      </c>
      <c r="H207" s="202" t="s">
        <v>788</v>
      </c>
      <c r="I207" s="37">
        <v>11</v>
      </c>
      <c r="J207" s="50" t="s">
        <v>718</v>
      </c>
      <c r="K207" s="40" t="s">
        <v>438</v>
      </c>
      <c r="L207" s="39"/>
      <c r="M207" s="41" t="str">
        <f t="shared" si="3"/>
        <v>INT-0087-24</v>
      </c>
      <c r="N207" s="42"/>
      <c r="O207" s="46"/>
    </row>
    <row r="208" spans="1:15" s="28" customFormat="1" ht="15" x14ac:dyDescent="0.25">
      <c r="A208" s="230">
        <v>45596</v>
      </c>
      <c r="B208" s="35" t="s">
        <v>717</v>
      </c>
      <c r="C208" s="36" t="s">
        <v>504</v>
      </c>
      <c r="D208" s="37" t="s">
        <v>34</v>
      </c>
      <c r="E208" s="38" t="s">
        <v>35</v>
      </c>
      <c r="F208" s="202" t="s">
        <v>468</v>
      </c>
      <c r="G208" s="230">
        <v>45716</v>
      </c>
      <c r="H208" s="202" t="s">
        <v>789</v>
      </c>
      <c r="I208" s="37">
        <v>10</v>
      </c>
      <c r="J208" s="50" t="s">
        <v>718</v>
      </c>
      <c r="K208" s="40" t="s">
        <v>438</v>
      </c>
      <c r="L208" s="39"/>
      <c r="M208" s="41" t="str">
        <f t="shared" si="3"/>
        <v>INT-0087-24</v>
      </c>
      <c r="N208" s="42"/>
      <c r="O208" s="46"/>
    </row>
    <row r="209" spans="1:15" s="28" customFormat="1" ht="15" x14ac:dyDescent="0.25">
      <c r="A209" s="230">
        <v>45596</v>
      </c>
      <c r="B209" s="35" t="s">
        <v>717</v>
      </c>
      <c r="C209" s="36" t="s">
        <v>504</v>
      </c>
      <c r="D209" s="37" t="s">
        <v>36</v>
      </c>
      <c r="E209" s="38" t="s">
        <v>37</v>
      </c>
      <c r="F209" s="202" t="s">
        <v>748</v>
      </c>
      <c r="G209" s="230">
        <v>45716</v>
      </c>
      <c r="H209" s="202" t="s">
        <v>790</v>
      </c>
      <c r="I209" s="37">
        <v>19</v>
      </c>
      <c r="J209" s="50" t="s">
        <v>718</v>
      </c>
      <c r="K209" s="40" t="s">
        <v>438</v>
      </c>
      <c r="L209" s="39"/>
      <c r="M209" s="41" t="str">
        <f t="shared" si="3"/>
        <v>INT-0087-24</v>
      </c>
      <c r="N209" s="42"/>
      <c r="O209" s="46"/>
    </row>
    <row r="210" spans="1:15" s="28" customFormat="1" ht="15" x14ac:dyDescent="0.25">
      <c r="A210" s="230">
        <v>45596</v>
      </c>
      <c r="B210" s="35" t="s">
        <v>717</v>
      </c>
      <c r="C210" s="36" t="s">
        <v>504</v>
      </c>
      <c r="D210" s="37" t="s">
        <v>42</v>
      </c>
      <c r="E210" s="38" t="s">
        <v>43</v>
      </c>
      <c r="F210" s="202" t="s">
        <v>202</v>
      </c>
      <c r="G210" s="230">
        <v>45688</v>
      </c>
      <c r="H210" s="202" t="s">
        <v>791</v>
      </c>
      <c r="I210" s="37">
        <v>7</v>
      </c>
      <c r="J210" s="50" t="s">
        <v>718</v>
      </c>
      <c r="K210" s="40" t="s">
        <v>438</v>
      </c>
      <c r="L210" s="39"/>
      <c r="M210" s="41" t="str">
        <f t="shared" si="3"/>
        <v>INT-0087-24</v>
      </c>
      <c r="N210" s="42"/>
      <c r="O210" s="46"/>
    </row>
    <row r="211" spans="1:15" s="28" customFormat="1" ht="15" x14ac:dyDescent="0.25">
      <c r="A211" s="230">
        <v>45596</v>
      </c>
      <c r="B211" s="35" t="s">
        <v>717</v>
      </c>
      <c r="C211" s="36" t="s">
        <v>504</v>
      </c>
      <c r="D211" s="37" t="s">
        <v>42</v>
      </c>
      <c r="E211" s="38" t="s">
        <v>43</v>
      </c>
      <c r="F211" s="202" t="s">
        <v>749</v>
      </c>
      <c r="G211" s="230">
        <v>45688</v>
      </c>
      <c r="H211" s="202" t="s">
        <v>792</v>
      </c>
      <c r="I211" s="37">
        <v>12</v>
      </c>
      <c r="J211" s="50" t="s">
        <v>718</v>
      </c>
      <c r="K211" s="40" t="s">
        <v>438</v>
      </c>
      <c r="L211" s="39"/>
      <c r="M211" s="41" t="str">
        <f t="shared" si="3"/>
        <v>INT-0087-24</v>
      </c>
      <c r="N211" s="42"/>
      <c r="O211" s="46"/>
    </row>
    <row r="212" spans="1:15" s="28" customFormat="1" ht="15" x14ac:dyDescent="0.25">
      <c r="A212" s="230">
        <v>45596</v>
      </c>
      <c r="B212" s="35" t="s">
        <v>717</v>
      </c>
      <c r="C212" s="36" t="s">
        <v>504</v>
      </c>
      <c r="D212" s="37" t="s">
        <v>34</v>
      </c>
      <c r="E212" s="38" t="s">
        <v>35</v>
      </c>
      <c r="F212" s="202" t="s">
        <v>637</v>
      </c>
      <c r="G212" s="230">
        <v>45716</v>
      </c>
      <c r="H212" s="202" t="s">
        <v>793</v>
      </c>
      <c r="I212" s="37">
        <v>18</v>
      </c>
      <c r="J212" s="50" t="s">
        <v>718</v>
      </c>
      <c r="K212" s="40" t="s">
        <v>438</v>
      </c>
      <c r="L212" s="39"/>
      <c r="M212" s="41" t="str">
        <f t="shared" si="3"/>
        <v>INT-0087-24</v>
      </c>
      <c r="N212" s="42"/>
      <c r="O212" s="46"/>
    </row>
    <row r="213" spans="1:15" s="28" customFormat="1" ht="15" x14ac:dyDescent="0.25">
      <c r="A213" s="230">
        <v>45596</v>
      </c>
      <c r="B213" s="35" t="s">
        <v>717</v>
      </c>
      <c r="C213" s="36" t="s">
        <v>504</v>
      </c>
      <c r="D213" s="37" t="s">
        <v>28</v>
      </c>
      <c r="E213" s="38" t="s">
        <v>29</v>
      </c>
      <c r="F213" s="202" t="s">
        <v>464</v>
      </c>
      <c r="G213" s="230">
        <v>45716</v>
      </c>
      <c r="H213" s="202" t="s">
        <v>794</v>
      </c>
      <c r="I213" s="37">
        <v>46</v>
      </c>
      <c r="J213" s="50" t="s">
        <v>718</v>
      </c>
      <c r="K213" s="40" t="s">
        <v>438</v>
      </c>
      <c r="L213" s="39"/>
      <c r="M213" s="41" t="str">
        <f t="shared" si="3"/>
        <v>INT-0087-24</v>
      </c>
      <c r="N213" s="42"/>
      <c r="O213" s="46"/>
    </row>
    <row r="214" spans="1:15" s="28" customFormat="1" ht="15" x14ac:dyDescent="0.25">
      <c r="A214" s="230">
        <v>45596</v>
      </c>
      <c r="B214" s="35" t="s">
        <v>717</v>
      </c>
      <c r="C214" s="36" t="s">
        <v>504</v>
      </c>
      <c r="D214" s="37" t="s">
        <v>28</v>
      </c>
      <c r="E214" s="38" t="s">
        <v>29</v>
      </c>
      <c r="F214" s="202" t="s">
        <v>465</v>
      </c>
      <c r="G214" s="230">
        <v>45716</v>
      </c>
      <c r="H214" s="202" t="s">
        <v>795</v>
      </c>
      <c r="I214" s="37">
        <v>9</v>
      </c>
      <c r="J214" s="50" t="s">
        <v>718</v>
      </c>
      <c r="K214" s="40" t="s">
        <v>438</v>
      </c>
      <c r="L214" s="39"/>
      <c r="M214" s="41" t="str">
        <f t="shared" si="3"/>
        <v>INT-0087-24</v>
      </c>
      <c r="N214" s="42"/>
      <c r="O214" s="46"/>
    </row>
    <row r="215" spans="1:15" s="28" customFormat="1" ht="15" x14ac:dyDescent="0.25">
      <c r="A215" s="230">
        <v>45596</v>
      </c>
      <c r="B215" s="35" t="s">
        <v>717</v>
      </c>
      <c r="C215" s="36" t="s">
        <v>504</v>
      </c>
      <c r="D215" s="37" t="s">
        <v>28</v>
      </c>
      <c r="E215" s="38" t="s">
        <v>29</v>
      </c>
      <c r="F215" s="202" t="s">
        <v>621</v>
      </c>
      <c r="G215" s="230">
        <v>45688</v>
      </c>
      <c r="H215" s="202" t="s">
        <v>796</v>
      </c>
      <c r="I215" s="37">
        <v>42</v>
      </c>
      <c r="J215" s="50" t="s">
        <v>718</v>
      </c>
      <c r="K215" s="40" t="s">
        <v>438</v>
      </c>
      <c r="L215" s="39"/>
      <c r="M215" s="41" t="str">
        <f t="shared" si="3"/>
        <v>INT-0087-24</v>
      </c>
      <c r="N215" s="42"/>
      <c r="O215" s="46"/>
    </row>
    <row r="216" spans="1:15" s="28" customFormat="1" ht="15" x14ac:dyDescent="0.25">
      <c r="A216" s="230">
        <v>45596</v>
      </c>
      <c r="B216" s="35" t="s">
        <v>717</v>
      </c>
      <c r="C216" s="36" t="s">
        <v>504</v>
      </c>
      <c r="D216" s="37" t="s">
        <v>28</v>
      </c>
      <c r="E216" s="38" t="s">
        <v>29</v>
      </c>
      <c r="F216" s="202" t="s">
        <v>524</v>
      </c>
      <c r="G216" s="230">
        <v>45688</v>
      </c>
      <c r="H216" s="202" t="s">
        <v>797</v>
      </c>
      <c r="I216" s="37">
        <v>168</v>
      </c>
      <c r="J216" s="50" t="s">
        <v>718</v>
      </c>
      <c r="K216" s="40" t="s">
        <v>438</v>
      </c>
      <c r="L216" s="39"/>
      <c r="M216" s="41" t="str">
        <f t="shared" si="3"/>
        <v>INT-0087-24</v>
      </c>
      <c r="N216" s="42"/>
      <c r="O216" s="46"/>
    </row>
    <row r="217" spans="1:15" s="28" customFormat="1" ht="15" x14ac:dyDescent="0.25">
      <c r="A217" s="230">
        <v>45596</v>
      </c>
      <c r="B217" s="35" t="s">
        <v>717</v>
      </c>
      <c r="C217" s="36" t="s">
        <v>504</v>
      </c>
      <c r="D217" s="37" t="s">
        <v>34</v>
      </c>
      <c r="E217" s="38" t="s">
        <v>35</v>
      </c>
      <c r="F217" s="202" t="s">
        <v>616</v>
      </c>
      <c r="G217" s="230">
        <v>45747</v>
      </c>
      <c r="H217" s="202" t="s">
        <v>798</v>
      </c>
      <c r="I217" s="37">
        <v>49</v>
      </c>
      <c r="J217" s="50" t="s">
        <v>718</v>
      </c>
      <c r="K217" s="40" t="s">
        <v>438</v>
      </c>
      <c r="L217" s="39"/>
      <c r="M217" s="41" t="str">
        <f t="shared" si="3"/>
        <v>INT-0087-24</v>
      </c>
      <c r="N217" s="42"/>
      <c r="O217" s="46"/>
    </row>
    <row r="218" spans="1:15" s="28" customFormat="1" ht="15" x14ac:dyDescent="0.25">
      <c r="A218" s="230">
        <v>45596</v>
      </c>
      <c r="B218" s="35" t="s">
        <v>717</v>
      </c>
      <c r="C218" s="36" t="s">
        <v>504</v>
      </c>
      <c r="D218" s="37" t="s">
        <v>34</v>
      </c>
      <c r="E218" s="38" t="s">
        <v>35</v>
      </c>
      <c r="F218" s="202" t="s">
        <v>610</v>
      </c>
      <c r="G218" s="230">
        <v>45747</v>
      </c>
      <c r="H218" s="202" t="s">
        <v>799</v>
      </c>
      <c r="I218" s="37">
        <v>115</v>
      </c>
      <c r="J218" s="50" t="s">
        <v>718</v>
      </c>
      <c r="K218" s="40" t="s">
        <v>438</v>
      </c>
      <c r="L218" s="39"/>
      <c r="M218" s="41" t="str">
        <f t="shared" si="3"/>
        <v>INT-0087-24</v>
      </c>
      <c r="N218" s="42"/>
      <c r="O218" s="46"/>
    </row>
    <row r="219" spans="1:15" s="28" customFormat="1" ht="15" x14ac:dyDescent="0.25">
      <c r="A219" s="230">
        <v>45596</v>
      </c>
      <c r="B219" s="35" t="s">
        <v>717</v>
      </c>
      <c r="C219" s="36" t="s">
        <v>504</v>
      </c>
      <c r="D219" s="37" t="s">
        <v>42</v>
      </c>
      <c r="E219" s="38" t="s">
        <v>43</v>
      </c>
      <c r="F219" s="202" t="s">
        <v>522</v>
      </c>
      <c r="G219" s="230">
        <v>45747</v>
      </c>
      <c r="H219" s="202" t="s">
        <v>800</v>
      </c>
      <c r="I219" s="37">
        <v>247</v>
      </c>
      <c r="J219" s="50" t="s">
        <v>718</v>
      </c>
      <c r="K219" s="40" t="s">
        <v>438</v>
      </c>
      <c r="L219" s="39"/>
      <c r="M219" s="41" t="str">
        <f t="shared" si="3"/>
        <v>INT-0087-24</v>
      </c>
      <c r="N219" s="42"/>
      <c r="O219" s="46"/>
    </row>
    <row r="220" spans="1:15" s="28" customFormat="1" ht="25.5" x14ac:dyDescent="0.25">
      <c r="A220" s="230">
        <v>45596</v>
      </c>
      <c r="B220" s="35" t="s">
        <v>719</v>
      </c>
      <c r="C220" s="36" t="s">
        <v>143</v>
      </c>
      <c r="D220" s="37" t="s">
        <v>720</v>
      </c>
      <c r="E220" s="38" t="s">
        <v>721</v>
      </c>
      <c r="F220" s="202" t="s">
        <v>722</v>
      </c>
      <c r="G220" s="230">
        <v>46070</v>
      </c>
      <c r="H220" s="202" t="s">
        <v>723</v>
      </c>
      <c r="I220" s="37">
        <v>1</v>
      </c>
      <c r="J220" s="50" t="s">
        <v>724</v>
      </c>
      <c r="K220" s="40" t="s">
        <v>725</v>
      </c>
      <c r="L220" s="39"/>
      <c r="M220" s="41" t="str">
        <f t="shared" si="3"/>
        <v>INT-0088-24</v>
      </c>
      <c r="N220" s="42"/>
      <c r="O220" s="46"/>
    </row>
    <row r="221" spans="1:15" s="28" customFormat="1" ht="15" x14ac:dyDescent="0.25">
      <c r="A221" s="230">
        <v>45597</v>
      </c>
      <c r="B221" s="35" t="s">
        <v>726</v>
      </c>
      <c r="C221" s="36" t="s">
        <v>504</v>
      </c>
      <c r="D221" s="37" t="s">
        <v>28</v>
      </c>
      <c r="E221" s="38" t="s">
        <v>29</v>
      </c>
      <c r="F221" s="202" t="s">
        <v>465</v>
      </c>
      <c r="G221" s="230">
        <v>45716</v>
      </c>
      <c r="H221" s="202" t="s">
        <v>727</v>
      </c>
      <c r="I221" s="37">
        <v>37</v>
      </c>
      <c r="J221" s="50" t="s">
        <v>731</v>
      </c>
      <c r="K221" s="40" t="s">
        <v>732</v>
      </c>
      <c r="L221" s="39"/>
      <c r="M221" s="41" t="str">
        <f t="shared" si="3"/>
        <v>INT-0089-24</v>
      </c>
      <c r="N221" s="42"/>
      <c r="O221" s="46"/>
    </row>
    <row r="222" spans="1:15" s="28" customFormat="1" ht="15" x14ac:dyDescent="0.25">
      <c r="A222" s="230">
        <v>45597</v>
      </c>
      <c r="B222" s="35" t="s">
        <v>726</v>
      </c>
      <c r="C222" s="36" t="s">
        <v>504</v>
      </c>
      <c r="D222" s="37" t="s">
        <v>28</v>
      </c>
      <c r="E222" s="38" t="s">
        <v>29</v>
      </c>
      <c r="F222" s="202" t="s">
        <v>464</v>
      </c>
      <c r="G222" s="230">
        <v>45716</v>
      </c>
      <c r="H222" s="202" t="s">
        <v>728</v>
      </c>
      <c r="I222" s="37">
        <v>10</v>
      </c>
      <c r="J222" s="50" t="s">
        <v>731</v>
      </c>
      <c r="K222" s="40" t="s">
        <v>732</v>
      </c>
      <c r="L222" s="39"/>
      <c r="M222" s="41" t="str">
        <f t="shared" si="3"/>
        <v>INT-0089-24</v>
      </c>
      <c r="N222" s="42"/>
      <c r="O222" s="46"/>
    </row>
    <row r="223" spans="1:15" s="28" customFormat="1" ht="15" x14ac:dyDescent="0.25">
      <c r="A223" s="230">
        <v>45597</v>
      </c>
      <c r="B223" s="35" t="s">
        <v>726</v>
      </c>
      <c r="C223" s="36" t="s">
        <v>504</v>
      </c>
      <c r="D223" s="37" t="s">
        <v>34</v>
      </c>
      <c r="E223" s="38" t="s">
        <v>35</v>
      </c>
      <c r="F223" s="202" t="s">
        <v>468</v>
      </c>
      <c r="G223" s="230">
        <v>45716</v>
      </c>
      <c r="H223" s="202" t="s">
        <v>729</v>
      </c>
      <c r="I223" s="37">
        <v>3</v>
      </c>
      <c r="J223" s="50" t="s">
        <v>731</v>
      </c>
      <c r="K223" s="40" t="s">
        <v>732</v>
      </c>
      <c r="L223" s="39"/>
      <c r="M223" s="41" t="str">
        <f t="shared" si="3"/>
        <v>INT-0089-24</v>
      </c>
      <c r="N223" s="42"/>
      <c r="O223" s="46"/>
    </row>
    <row r="224" spans="1:15" s="28" customFormat="1" ht="15" x14ac:dyDescent="0.25">
      <c r="A224" s="230">
        <v>45597</v>
      </c>
      <c r="B224" s="35" t="s">
        <v>726</v>
      </c>
      <c r="C224" s="36" t="s">
        <v>504</v>
      </c>
      <c r="D224" s="37" t="s">
        <v>34</v>
      </c>
      <c r="E224" s="38" t="s">
        <v>35</v>
      </c>
      <c r="F224" s="202" t="s">
        <v>616</v>
      </c>
      <c r="G224" s="230">
        <v>45747</v>
      </c>
      <c r="H224" s="202" t="s">
        <v>730</v>
      </c>
      <c r="I224" s="37">
        <v>3</v>
      </c>
      <c r="J224" s="50" t="s">
        <v>731</v>
      </c>
      <c r="K224" s="40" t="s">
        <v>732</v>
      </c>
      <c r="L224" s="39"/>
      <c r="M224" s="41" t="str">
        <f t="shared" si="3"/>
        <v>INT-0089-24</v>
      </c>
      <c r="N224" s="42"/>
      <c r="O224" s="46"/>
    </row>
    <row r="225" spans="1:15" s="28" customFormat="1" ht="15" x14ac:dyDescent="0.25">
      <c r="A225" s="230">
        <v>45604</v>
      </c>
      <c r="B225" s="35" t="s">
        <v>733</v>
      </c>
      <c r="C225" s="36" t="s">
        <v>143</v>
      </c>
      <c r="D225" s="37" t="s">
        <v>42</v>
      </c>
      <c r="E225" s="38" t="s">
        <v>43</v>
      </c>
      <c r="F225" s="202" t="s">
        <v>202</v>
      </c>
      <c r="G225" s="230">
        <v>45688</v>
      </c>
      <c r="H225" s="202" t="s">
        <v>736</v>
      </c>
      <c r="I225" s="37">
        <v>14</v>
      </c>
      <c r="J225" s="50" t="s">
        <v>734</v>
      </c>
      <c r="K225" s="40" t="s">
        <v>735</v>
      </c>
      <c r="L225" s="39"/>
      <c r="M225" s="41" t="str">
        <f t="shared" si="3"/>
        <v>INT-0090-24</v>
      </c>
      <c r="N225" s="42"/>
      <c r="O225" s="46"/>
    </row>
    <row r="226" spans="1:15" s="28" customFormat="1" ht="15" x14ac:dyDescent="0.25">
      <c r="A226" s="230">
        <v>45604</v>
      </c>
      <c r="B226" s="35" t="s">
        <v>733</v>
      </c>
      <c r="C226" s="36" t="s">
        <v>143</v>
      </c>
      <c r="D226" s="37" t="s">
        <v>42</v>
      </c>
      <c r="E226" s="38" t="s">
        <v>43</v>
      </c>
      <c r="F226" s="202" t="s">
        <v>746</v>
      </c>
      <c r="G226" s="230">
        <v>45688</v>
      </c>
      <c r="H226" s="202" t="s">
        <v>737</v>
      </c>
      <c r="I226" s="37">
        <v>17</v>
      </c>
      <c r="J226" s="50" t="s">
        <v>734</v>
      </c>
      <c r="K226" s="40" t="s">
        <v>735</v>
      </c>
      <c r="L226" s="39"/>
      <c r="M226" s="41" t="str">
        <f t="shared" si="3"/>
        <v>INT-0090-24</v>
      </c>
      <c r="N226" s="42"/>
      <c r="O226" s="46"/>
    </row>
    <row r="227" spans="1:15" s="28" customFormat="1" ht="15" x14ac:dyDescent="0.25">
      <c r="A227" s="230">
        <v>45604</v>
      </c>
      <c r="B227" s="35" t="s">
        <v>733</v>
      </c>
      <c r="C227" s="36" t="s">
        <v>143</v>
      </c>
      <c r="D227" s="37" t="s">
        <v>92</v>
      </c>
      <c r="E227" s="38" t="s">
        <v>93</v>
      </c>
      <c r="F227" s="202" t="s">
        <v>747</v>
      </c>
      <c r="G227" s="230">
        <v>45596</v>
      </c>
      <c r="H227" s="202" t="s">
        <v>738</v>
      </c>
      <c r="I227" s="37">
        <v>1</v>
      </c>
      <c r="J227" s="50" t="s">
        <v>734</v>
      </c>
      <c r="K227" s="40" t="s">
        <v>735</v>
      </c>
      <c r="L227" s="39"/>
      <c r="M227" s="41" t="str">
        <f t="shared" si="3"/>
        <v>INT-0090-24</v>
      </c>
      <c r="N227" s="42"/>
      <c r="O227" s="46"/>
    </row>
    <row r="228" spans="1:15" s="28" customFormat="1" ht="15" x14ac:dyDescent="0.25">
      <c r="A228" s="230">
        <v>45604</v>
      </c>
      <c r="B228" s="35" t="s">
        <v>733</v>
      </c>
      <c r="C228" s="36" t="s">
        <v>143</v>
      </c>
      <c r="D228" s="37" t="s">
        <v>34</v>
      </c>
      <c r="E228" s="38" t="s">
        <v>35</v>
      </c>
      <c r="F228" s="202" t="s">
        <v>637</v>
      </c>
      <c r="G228" s="230">
        <v>45716</v>
      </c>
      <c r="H228" s="202" t="s">
        <v>739</v>
      </c>
      <c r="I228" s="37">
        <v>6</v>
      </c>
      <c r="J228" s="50" t="s">
        <v>734</v>
      </c>
      <c r="K228" s="40" t="s">
        <v>735</v>
      </c>
      <c r="L228" s="39"/>
      <c r="M228" s="41" t="str">
        <f t="shared" si="3"/>
        <v>INT-0090-24</v>
      </c>
      <c r="N228" s="42"/>
      <c r="O228" s="46"/>
    </row>
    <row r="229" spans="1:15" s="28" customFormat="1" ht="15" x14ac:dyDescent="0.25">
      <c r="A229" s="230">
        <v>45604</v>
      </c>
      <c r="B229" s="35" t="s">
        <v>733</v>
      </c>
      <c r="C229" s="36" t="s">
        <v>143</v>
      </c>
      <c r="D229" s="37" t="s">
        <v>47</v>
      </c>
      <c r="E229" s="38" t="s">
        <v>48</v>
      </c>
      <c r="F229" s="202" t="s">
        <v>203</v>
      </c>
      <c r="G229" s="230">
        <v>45688</v>
      </c>
      <c r="H229" s="202" t="s">
        <v>740</v>
      </c>
      <c r="I229" s="37">
        <v>10</v>
      </c>
      <c r="J229" s="50" t="s">
        <v>734</v>
      </c>
      <c r="K229" s="40" t="s">
        <v>735</v>
      </c>
      <c r="L229" s="39"/>
      <c r="M229" s="41" t="str">
        <f t="shared" si="3"/>
        <v>INT-0090-24</v>
      </c>
      <c r="N229" s="42"/>
      <c r="O229" s="46"/>
    </row>
    <row r="230" spans="1:15" s="28" customFormat="1" ht="15" x14ac:dyDescent="0.25">
      <c r="A230" s="230">
        <v>45604</v>
      </c>
      <c r="B230" s="35" t="s">
        <v>733</v>
      </c>
      <c r="C230" s="36" t="s">
        <v>143</v>
      </c>
      <c r="D230" s="37" t="s">
        <v>34</v>
      </c>
      <c r="E230" s="38" t="s">
        <v>35</v>
      </c>
      <c r="F230" s="202" t="s">
        <v>468</v>
      </c>
      <c r="G230" s="230">
        <v>45716</v>
      </c>
      <c r="H230" s="202" t="s">
        <v>741</v>
      </c>
      <c r="I230" s="37">
        <v>30</v>
      </c>
      <c r="J230" s="50" t="s">
        <v>734</v>
      </c>
      <c r="K230" s="40" t="s">
        <v>735</v>
      </c>
      <c r="L230" s="39"/>
      <c r="M230" s="41" t="str">
        <f t="shared" si="3"/>
        <v>INT-0090-24</v>
      </c>
      <c r="N230" s="42"/>
      <c r="O230" s="46"/>
    </row>
    <row r="231" spans="1:15" s="28" customFormat="1" ht="15" x14ac:dyDescent="0.25">
      <c r="A231" s="230">
        <v>45604</v>
      </c>
      <c r="B231" s="35" t="s">
        <v>733</v>
      </c>
      <c r="C231" s="36" t="s">
        <v>143</v>
      </c>
      <c r="D231" s="37" t="s">
        <v>36</v>
      </c>
      <c r="E231" s="38" t="s">
        <v>37</v>
      </c>
      <c r="F231" s="202" t="s">
        <v>748</v>
      </c>
      <c r="G231" s="230">
        <v>45716</v>
      </c>
      <c r="H231" s="202" t="s">
        <v>742</v>
      </c>
      <c r="I231" s="37">
        <v>20</v>
      </c>
      <c r="J231" s="50" t="s">
        <v>734</v>
      </c>
      <c r="K231" s="40" t="s">
        <v>735</v>
      </c>
      <c r="L231" s="39"/>
      <c r="M231" s="41" t="str">
        <f t="shared" si="3"/>
        <v>INT-0090-24</v>
      </c>
      <c r="N231" s="42"/>
      <c r="O231" s="46"/>
    </row>
    <row r="232" spans="1:15" s="28" customFormat="1" ht="15" x14ac:dyDescent="0.25">
      <c r="A232" s="230">
        <v>45604</v>
      </c>
      <c r="B232" s="35" t="s">
        <v>733</v>
      </c>
      <c r="C232" s="36" t="s">
        <v>143</v>
      </c>
      <c r="D232" s="37" t="s">
        <v>42</v>
      </c>
      <c r="E232" s="38" t="s">
        <v>43</v>
      </c>
      <c r="F232" s="202" t="s">
        <v>749</v>
      </c>
      <c r="G232" s="230">
        <v>45688</v>
      </c>
      <c r="H232" s="202" t="s">
        <v>743</v>
      </c>
      <c r="I232" s="37">
        <v>67</v>
      </c>
      <c r="J232" s="50" t="s">
        <v>734</v>
      </c>
      <c r="K232" s="40" t="s">
        <v>735</v>
      </c>
      <c r="L232" s="39"/>
      <c r="M232" s="41" t="str">
        <f t="shared" si="3"/>
        <v>INT-0090-24</v>
      </c>
      <c r="N232" s="42"/>
      <c r="O232" s="46"/>
    </row>
    <row r="233" spans="1:15" s="28" customFormat="1" ht="15" x14ac:dyDescent="0.25">
      <c r="A233" s="230">
        <v>45604</v>
      </c>
      <c r="B233" s="35" t="s">
        <v>733</v>
      </c>
      <c r="C233" s="36" t="s">
        <v>143</v>
      </c>
      <c r="D233" s="37" t="s">
        <v>92</v>
      </c>
      <c r="E233" s="38" t="s">
        <v>93</v>
      </c>
      <c r="F233" s="202" t="s">
        <v>750</v>
      </c>
      <c r="G233" s="230">
        <v>45626</v>
      </c>
      <c r="H233" s="202" t="s">
        <v>744</v>
      </c>
      <c r="I233" s="37">
        <v>8</v>
      </c>
      <c r="J233" s="50" t="s">
        <v>734</v>
      </c>
      <c r="K233" s="40" t="s">
        <v>735</v>
      </c>
      <c r="L233" s="39"/>
      <c r="M233" s="41" t="str">
        <f t="shared" si="3"/>
        <v>INT-0090-24</v>
      </c>
      <c r="N233" s="42"/>
      <c r="O233" s="46"/>
    </row>
    <row r="234" spans="1:15" s="28" customFormat="1" ht="15" x14ac:dyDescent="0.25">
      <c r="A234" s="230">
        <v>45604</v>
      </c>
      <c r="B234" s="35" t="s">
        <v>733</v>
      </c>
      <c r="C234" s="36" t="s">
        <v>143</v>
      </c>
      <c r="D234" s="37" t="s">
        <v>39</v>
      </c>
      <c r="E234" s="38" t="s">
        <v>40</v>
      </c>
      <c r="F234" s="202" t="s">
        <v>639</v>
      </c>
      <c r="G234" s="230">
        <v>45716</v>
      </c>
      <c r="H234" s="202" t="s">
        <v>745</v>
      </c>
      <c r="I234" s="37">
        <v>31</v>
      </c>
      <c r="J234" s="50" t="s">
        <v>734</v>
      </c>
      <c r="K234" s="40" t="s">
        <v>735</v>
      </c>
      <c r="L234" s="39"/>
      <c r="M234" s="41" t="str">
        <f t="shared" si="3"/>
        <v>INT-0090-24</v>
      </c>
      <c r="N234" s="42"/>
      <c r="O234" s="46"/>
    </row>
    <row r="235" spans="1:15" s="28" customFormat="1" ht="15" x14ac:dyDescent="0.25">
      <c r="A235" s="230">
        <v>45604</v>
      </c>
      <c r="B235" s="35" t="s">
        <v>751</v>
      </c>
      <c r="C235" s="36" t="s">
        <v>143</v>
      </c>
      <c r="D235" s="37" t="s">
        <v>752</v>
      </c>
      <c r="E235" s="38" t="s">
        <v>758</v>
      </c>
      <c r="F235" s="202" t="s">
        <v>754</v>
      </c>
      <c r="G235" s="230">
        <v>46493</v>
      </c>
      <c r="H235" s="202" t="s">
        <v>756</v>
      </c>
      <c r="I235" s="37">
        <v>1</v>
      </c>
      <c r="J235" s="50" t="s">
        <v>562</v>
      </c>
      <c r="K235" s="40" t="s">
        <v>735</v>
      </c>
      <c r="L235" s="39"/>
      <c r="M235" s="41" t="str">
        <f t="shared" si="3"/>
        <v>INT-0091-24</v>
      </c>
      <c r="N235" s="42"/>
      <c r="O235" s="46"/>
    </row>
    <row r="236" spans="1:15" s="28" customFormat="1" ht="15" x14ac:dyDescent="0.25">
      <c r="A236" s="230">
        <v>45604</v>
      </c>
      <c r="B236" s="35" t="s">
        <v>751</v>
      </c>
      <c r="C236" s="36" t="s">
        <v>143</v>
      </c>
      <c r="D236" s="37" t="s">
        <v>753</v>
      </c>
      <c r="E236" s="38" t="s">
        <v>759</v>
      </c>
      <c r="F236" s="202" t="s">
        <v>755</v>
      </c>
      <c r="G236" s="230">
        <v>45965</v>
      </c>
      <c r="H236" s="202" t="s">
        <v>757</v>
      </c>
      <c r="I236" s="37">
        <v>1</v>
      </c>
      <c r="J236" s="50" t="s">
        <v>562</v>
      </c>
      <c r="K236" s="40" t="s">
        <v>735</v>
      </c>
      <c r="L236" s="39"/>
      <c r="M236" s="41" t="str">
        <f t="shared" si="3"/>
        <v>INT-0091-24</v>
      </c>
      <c r="N236" s="42"/>
      <c r="O236" s="46"/>
    </row>
    <row r="237" spans="1:15" s="28" customFormat="1" ht="15" x14ac:dyDescent="0.25">
      <c r="A237" s="230">
        <v>45607</v>
      </c>
      <c r="B237" s="35" t="s">
        <v>760</v>
      </c>
      <c r="C237" s="47" t="s">
        <v>547</v>
      </c>
      <c r="D237" s="37" t="s">
        <v>537</v>
      </c>
      <c r="E237" s="38" t="s">
        <v>844</v>
      </c>
      <c r="F237" s="202" t="s">
        <v>838</v>
      </c>
      <c r="G237" s="230" t="s">
        <v>838</v>
      </c>
      <c r="H237" s="202" t="s">
        <v>838</v>
      </c>
      <c r="I237" s="37" t="s">
        <v>838</v>
      </c>
      <c r="J237" s="50" t="s">
        <v>840</v>
      </c>
      <c r="K237" s="40" t="s">
        <v>1072</v>
      </c>
      <c r="L237" s="39"/>
      <c r="M237" s="41" t="str">
        <f t="shared" si="3"/>
        <v>INT-0092-24</v>
      </c>
      <c r="N237" s="42"/>
      <c r="O237" s="46"/>
    </row>
    <row r="238" spans="1:15" s="28" customFormat="1" ht="25.5" x14ac:dyDescent="0.25">
      <c r="A238" s="230">
        <v>45608</v>
      </c>
      <c r="B238" s="35" t="s">
        <v>761</v>
      </c>
      <c r="C238" s="36" t="s">
        <v>216</v>
      </c>
      <c r="D238" s="37" t="s">
        <v>762</v>
      </c>
      <c r="E238" s="38" t="s">
        <v>763</v>
      </c>
      <c r="F238" s="202" t="s">
        <v>764</v>
      </c>
      <c r="G238" s="230">
        <v>46784</v>
      </c>
      <c r="H238" s="202" t="s">
        <v>765</v>
      </c>
      <c r="I238" s="37">
        <v>3</v>
      </c>
      <c r="J238" s="50" t="s">
        <v>766</v>
      </c>
      <c r="K238" s="40" t="s">
        <v>410</v>
      </c>
      <c r="L238" s="39"/>
      <c r="M238" s="41" t="str">
        <f t="shared" si="3"/>
        <v>INT-0093-24</v>
      </c>
      <c r="N238" s="42"/>
      <c r="O238" s="46"/>
    </row>
    <row r="239" spans="1:15" s="28" customFormat="1" ht="15" x14ac:dyDescent="0.25">
      <c r="A239" s="230">
        <v>45610</v>
      </c>
      <c r="B239" s="35" t="s">
        <v>767</v>
      </c>
      <c r="C239" s="36" t="s">
        <v>216</v>
      </c>
      <c r="D239" s="37" t="s">
        <v>720</v>
      </c>
      <c r="E239" s="38" t="s">
        <v>721</v>
      </c>
      <c r="F239" s="202" t="s">
        <v>768</v>
      </c>
      <c r="G239" s="230">
        <v>46185</v>
      </c>
      <c r="H239" s="202" t="s">
        <v>769</v>
      </c>
      <c r="I239" s="37">
        <v>1</v>
      </c>
      <c r="J239" s="50" t="s">
        <v>562</v>
      </c>
      <c r="K239" s="40" t="s">
        <v>735</v>
      </c>
      <c r="L239" s="39"/>
      <c r="M239" s="41" t="str">
        <f t="shared" si="3"/>
        <v>INT-0094-24</v>
      </c>
      <c r="N239" s="42"/>
      <c r="O239" s="46"/>
    </row>
    <row r="240" spans="1:15" s="28" customFormat="1" ht="15" x14ac:dyDescent="0.25">
      <c r="A240" s="230">
        <v>45611</v>
      </c>
      <c r="B240" s="35" t="s">
        <v>770</v>
      </c>
      <c r="C240" s="36" t="s">
        <v>216</v>
      </c>
      <c r="D240" s="37" t="s">
        <v>36</v>
      </c>
      <c r="E240" s="38" t="s">
        <v>37</v>
      </c>
      <c r="F240" s="202" t="s">
        <v>677</v>
      </c>
      <c r="G240" s="230">
        <v>45716</v>
      </c>
      <c r="H240" s="202" t="s">
        <v>771</v>
      </c>
      <c r="I240" s="39">
        <v>1</v>
      </c>
      <c r="J240" s="50" t="s">
        <v>562</v>
      </c>
      <c r="K240" s="40" t="s">
        <v>735</v>
      </c>
      <c r="L240" s="39"/>
      <c r="M240" s="41" t="str">
        <f t="shared" si="3"/>
        <v>INT-0095-24</v>
      </c>
      <c r="N240" s="42"/>
      <c r="O240" s="46"/>
    </row>
    <row r="241" spans="1:15" s="28" customFormat="1" ht="15" x14ac:dyDescent="0.25">
      <c r="A241" s="230">
        <v>45611</v>
      </c>
      <c r="B241" s="35" t="s">
        <v>772</v>
      </c>
      <c r="C241" s="36" t="s">
        <v>78</v>
      </c>
      <c r="D241" s="37" t="s">
        <v>773</v>
      </c>
      <c r="E241" s="38" t="s">
        <v>774</v>
      </c>
      <c r="F241" s="202" t="s">
        <v>775</v>
      </c>
      <c r="G241" s="230">
        <v>46568</v>
      </c>
      <c r="H241" s="202" t="s">
        <v>776</v>
      </c>
      <c r="I241" s="37">
        <v>768</v>
      </c>
      <c r="J241" s="50" t="s">
        <v>777</v>
      </c>
      <c r="K241" s="40" t="s">
        <v>703</v>
      </c>
      <c r="L241" s="39"/>
      <c r="M241" s="41" t="str">
        <f t="shared" si="3"/>
        <v>INT-0096-24</v>
      </c>
      <c r="N241" s="42"/>
      <c r="O241" s="46"/>
    </row>
    <row r="242" spans="1:15" s="28" customFormat="1" ht="25.5" x14ac:dyDescent="0.25">
      <c r="A242" s="230">
        <v>45611</v>
      </c>
      <c r="B242" s="35" t="s">
        <v>778</v>
      </c>
      <c r="C242" s="36" t="s">
        <v>78</v>
      </c>
      <c r="D242" s="37" t="s">
        <v>779</v>
      </c>
      <c r="E242" s="38" t="s">
        <v>780</v>
      </c>
      <c r="F242" s="202" t="s">
        <v>781</v>
      </c>
      <c r="G242" s="230">
        <v>46082</v>
      </c>
      <c r="H242" s="202" t="s">
        <v>782</v>
      </c>
      <c r="I242" s="37">
        <v>40</v>
      </c>
      <c r="J242" s="50" t="s">
        <v>783</v>
      </c>
      <c r="K242" s="40" t="s">
        <v>703</v>
      </c>
      <c r="L242" s="39"/>
      <c r="M242" s="41" t="str">
        <f t="shared" si="3"/>
        <v>INT-0097-24</v>
      </c>
      <c r="N242" s="42"/>
      <c r="O242" s="46"/>
    </row>
    <row r="243" spans="1:15" s="28" customFormat="1" ht="15" x14ac:dyDescent="0.25">
      <c r="A243" s="230">
        <v>45618</v>
      </c>
      <c r="B243" s="35" t="s">
        <v>801</v>
      </c>
      <c r="C243" s="36" t="s">
        <v>1066</v>
      </c>
      <c r="D243" s="37" t="s">
        <v>591</v>
      </c>
      <c r="E243" s="38" t="s">
        <v>592</v>
      </c>
      <c r="F243" s="202" t="s">
        <v>593</v>
      </c>
      <c r="G243" s="230">
        <v>46006</v>
      </c>
      <c r="H243" s="202" t="s">
        <v>802</v>
      </c>
      <c r="I243" s="37">
        <v>14</v>
      </c>
      <c r="J243" s="50" t="s">
        <v>803</v>
      </c>
      <c r="K243" s="40" t="s">
        <v>410</v>
      </c>
      <c r="L243" s="39"/>
      <c r="M243" s="41" t="str">
        <f t="shared" si="3"/>
        <v>INT-0098-24</v>
      </c>
      <c r="N243" s="42"/>
      <c r="O243" s="46"/>
    </row>
    <row r="244" spans="1:15" s="28" customFormat="1" ht="15" x14ac:dyDescent="0.25">
      <c r="A244" s="230">
        <v>45625</v>
      </c>
      <c r="B244" s="35" t="s">
        <v>804</v>
      </c>
      <c r="C244" s="36" t="s">
        <v>1066</v>
      </c>
      <c r="D244" s="37" t="s">
        <v>28</v>
      </c>
      <c r="E244" s="38" t="s">
        <v>29</v>
      </c>
      <c r="F244" s="202" t="s">
        <v>467</v>
      </c>
      <c r="G244" s="230">
        <v>45657</v>
      </c>
      <c r="H244" s="202" t="s">
        <v>805</v>
      </c>
      <c r="I244" s="37">
        <v>2</v>
      </c>
      <c r="J244" s="50" t="s">
        <v>810</v>
      </c>
      <c r="K244" s="40" t="s">
        <v>735</v>
      </c>
      <c r="L244" s="39"/>
      <c r="M244" s="41" t="str">
        <f t="shared" si="3"/>
        <v>INT-0099-24</v>
      </c>
      <c r="N244" s="42"/>
      <c r="O244" s="46"/>
    </row>
    <row r="245" spans="1:15" s="28" customFormat="1" ht="15" x14ac:dyDescent="0.25">
      <c r="A245" s="230">
        <v>45625</v>
      </c>
      <c r="B245" s="35" t="s">
        <v>804</v>
      </c>
      <c r="C245" s="36" t="s">
        <v>1066</v>
      </c>
      <c r="D245" s="37" t="s">
        <v>47</v>
      </c>
      <c r="E245" s="38" t="s">
        <v>48</v>
      </c>
      <c r="F245" s="202" t="s">
        <v>203</v>
      </c>
      <c r="G245" s="230">
        <v>45688</v>
      </c>
      <c r="H245" s="202" t="s">
        <v>806</v>
      </c>
      <c r="I245" s="37">
        <v>3</v>
      </c>
      <c r="J245" s="50" t="s">
        <v>810</v>
      </c>
      <c r="K245" s="40" t="s">
        <v>735</v>
      </c>
      <c r="L245" s="39"/>
      <c r="M245" s="41" t="str">
        <f t="shared" si="3"/>
        <v>INT-0099-24</v>
      </c>
      <c r="N245" s="42"/>
      <c r="O245" s="46"/>
    </row>
    <row r="246" spans="1:15" s="28" customFormat="1" ht="15" x14ac:dyDescent="0.25">
      <c r="A246" s="230">
        <v>45625</v>
      </c>
      <c r="B246" s="35" t="s">
        <v>804</v>
      </c>
      <c r="C246" s="36" t="s">
        <v>1066</v>
      </c>
      <c r="D246" s="37" t="s">
        <v>34</v>
      </c>
      <c r="E246" s="38" t="s">
        <v>35</v>
      </c>
      <c r="F246" s="202" t="s">
        <v>637</v>
      </c>
      <c r="G246" s="230">
        <v>45716</v>
      </c>
      <c r="H246" s="202" t="s">
        <v>807</v>
      </c>
      <c r="I246" s="37">
        <v>15</v>
      </c>
      <c r="J246" s="50" t="s">
        <v>810</v>
      </c>
      <c r="K246" s="40" t="s">
        <v>735</v>
      </c>
      <c r="L246" s="39"/>
      <c r="M246" s="41" t="str">
        <f t="shared" si="3"/>
        <v>INT-0099-24</v>
      </c>
      <c r="N246" s="42"/>
      <c r="O246" s="46"/>
    </row>
    <row r="247" spans="1:15" s="28" customFormat="1" ht="15" x14ac:dyDescent="0.25">
      <c r="A247" s="230">
        <v>45625</v>
      </c>
      <c r="B247" s="35" t="s">
        <v>804</v>
      </c>
      <c r="C247" s="36" t="s">
        <v>1066</v>
      </c>
      <c r="D247" s="37" t="s">
        <v>42</v>
      </c>
      <c r="E247" s="38" t="s">
        <v>43</v>
      </c>
      <c r="F247" s="202" t="s">
        <v>749</v>
      </c>
      <c r="G247" s="230">
        <v>45688</v>
      </c>
      <c r="H247" s="202" t="s">
        <v>808</v>
      </c>
      <c r="I247" s="37">
        <v>9</v>
      </c>
      <c r="J247" s="50" t="s">
        <v>810</v>
      </c>
      <c r="K247" s="40" t="s">
        <v>735</v>
      </c>
      <c r="L247" s="39"/>
      <c r="M247" s="41" t="str">
        <f t="shared" si="3"/>
        <v>INT-0099-24</v>
      </c>
      <c r="N247" s="42"/>
      <c r="O247" s="46"/>
    </row>
    <row r="248" spans="1:15" s="28" customFormat="1" ht="15" x14ac:dyDescent="0.25">
      <c r="A248" s="230">
        <v>45625</v>
      </c>
      <c r="B248" s="35" t="s">
        <v>804</v>
      </c>
      <c r="C248" s="36" t="s">
        <v>1066</v>
      </c>
      <c r="D248" s="37" t="s">
        <v>42</v>
      </c>
      <c r="E248" s="38" t="s">
        <v>43</v>
      </c>
      <c r="F248" s="202" t="s">
        <v>202</v>
      </c>
      <c r="G248" s="230">
        <v>45688</v>
      </c>
      <c r="H248" s="202" t="s">
        <v>809</v>
      </c>
      <c r="I248" s="37">
        <v>7</v>
      </c>
      <c r="J248" s="50" t="s">
        <v>810</v>
      </c>
      <c r="K248" s="40" t="s">
        <v>735</v>
      </c>
      <c r="L248" s="39"/>
      <c r="M248" s="41" t="str">
        <f t="shared" si="3"/>
        <v>INT-0099-24</v>
      </c>
      <c r="N248" s="42"/>
      <c r="O248" s="46"/>
    </row>
    <row r="249" spans="1:15" s="28" customFormat="1" ht="15" x14ac:dyDescent="0.25">
      <c r="A249" s="230">
        <v>45628</v>
      </c>
      <c r="B249" s="35" t="s">
        <v>811</v>
      </c>
      <c r="C249" s="36" t="s">
        <v>1066</v>
      </c>
      <c r="D249" s="37" t="s">
        <v>47</v>
      </c>
      <c r="E249" s="38" t="s">
        <v>48</v>
      </c>
      <c r="F249" s="202" t="s">
        <v>812</v>
      </c>
      <c r="G249" s="230">
        <v>46173</v>
      </c>
      <c r="H249" s="202" t="s">
        <v>813</v>
      </c>
      <c r="I249" s="37">
        <v>1000</v>
      </c>
      <c r="J249" s="50" t="s">
        <v>810</v>
      </c>
      <c r="K249" s="40" t="s">
        <v>438</v>
      </c>
      <c r="L249" s="39"/>
      <c r="M249" s="41" t="str">
        <f t="shared" si="3"/>
        <v>INT-0100-24</v>
      </c>
      <c r="N249" s="42"/>
      <c r="O249" s="46"/>
    </row>
    <row r="250" spans="1:15" s="28" customFormat="1" ht="15" x14ac:dyDescent="0.25">
      <c r="A250" s="230">
        <v>45628</v>
      </c>
      <c r="B250" s="35" t="s">
        <v>811</v>
      </c>
      <c r="C250" s="36" t="s">
        <v>1066</v>
      </c>
      <c r="D250" s="37" t="s">
        <v>28</v>
      </c>
      <c r="E250" s="38" t="s">
        <v>29</v>
      </c>
      <c r="F250" s="202" t="s">
        <v>465</v>
      </c>
      <c r="G250" s="230">
        <v>45716</v>
      </c>
      <c r="H250" s="202" t="s">
        <v>814</v>
      </c>
      <c r="I250" s="37" t="s">
        <v>815</v>
      </c>
      <c r="J250" s="50" t="s">
        <v>810</v>
      </c>
      <c r="K250" s="40" t="s">
        <v>438</v>
      </c>
      <c r="L250" s="39"/>
      <c r="M250" s="41" t="str">
        <f t="shared" si="3"/>
        <v>INT-0100-24</v>
      </c>
      <c r="N250" s="42"/>
      <c r="O250" s="46"/>
    </row>
    <row r="251" spans="1:15" s="28" customFormat="1" ht="15" x14ac:dyDescent="0.25">
      <c r="A251" s="230">
        <v>45628</v>
      </c>
      <c r="B251" s="35" t="s">
        <v>811</v>
      </c>
      <c r="C251" s="36" t="s">
        <v>1066</v>
      </c>
      <c r="D251" s="37" t="s">
        <v>28</v>
      </c>
      <c r="E251" s="38" t="s">
        <v>29</v>
      </c>
      <c r="F251" s="202" t="s">
        <v>464</v>
      </c>
      <c r="G251" s="230">
        <v>45716</v>
      </c>
      <c r="H251" s="202" t="s">
        <v>816</v>
      </c>
      <c r="I251" s="37">
        <v>6000</v>
      </c>
      <c r="J251" s="50" t="s">
        <v>810</v>
      </c>
      <c r="K251" s="40" t="s">
        <v>438</v>
      </c>
      <c r="L251" s="39"/>
      <c r="M251" s="41" t="str">
        <f t="shared" si="3"/>
        <v>INT-0100-24</v>
      </c>
      <c r="N251" s="42"/>
      <c r="O251" s="46"/>
    </row>
    <row r="252" spans="1:15" s="28" customFormat="1" ht="15" x14ac:dyDescent="0.25">
      <c r="A252" s="230">
        <v>45628</v>
      </c>
      <c r="B252" s="35" t="s">
        <v>811</v>
      </c>
      <c r="C252" s="36" t="s">
        <v>1066</v>
      </c>
      <c r="D252" s="37" t="s">
        <v>34</v>
      </c>
      <c r="E252" s="38" t="s">
        <v>35</v>
      </c>
      <c r="F252" s="202" t="s">
        <v>612</v>
      </c>
      <c r="G252" s="230">
        <v>45808</v>
      </c>
      <c r="H252" s="202" t="s">
        <v>817</v>
      </c>
      <c r="I252" s="37">
        <v>1000</v>
      </c>
      <c r="J252" s="50" t="s">
        <v>810</v>
      </c>
      <c r="K252" s="40" t="s">
        <v>438</v>
      </c>
      <c r="L252" s="39"/>
      <c r="M252" s="41" t="str">
        <f t="shared" si="3"/>
        <v>INT-0100-24</v>
      </c>
      <c r="N252" s="42"/>
      <c r="O252" s="46"/>
    </row>
    <row r="253" spans="1:15" s="28" customFormat="1" ht="15" x14ac:dyDescent="0.25">
      <c r="A253" s="230">
        <v>45628</v>
      </c>
      <c r="B253" s="35" t="s">
        <v>811</v>
      </c>
      <c r="C253" s="36" t="s">
        <v>1066</v>
      </c>
      <c r="D253" s="37" t="s">
        <v>28</v>
      </c>
      <c r="E253" s="38" t="s">
        <v>29</v>
      </c>
      <c r="F253" s="202" t="s">
        <v>524</v>
      </c>
      <c r="G253" s="230">
        <v>45688</v>
      </c>
      <c r="H253" s="202" t="s">
        <v>818</v>
      </c>
      <c r="I253" s="37">
        <v>2000</v>
      </c>
      <c r="J253" s="50" t="s">
        <v>810</v>
      </c>
      <c r="K253" s="40" t="s">
        <v>438</v>
      </c>
      <c r="L253" s="39"/>
      <c r="M253" s="41" t="str">
        <f t="shared" si="3"/>
        <v>INT-0100-24</v>
      </c>
      <c r="N253" s="42"/>
      <c r="O253" s="46"/>
    </row>
    <row r="254" spans="1:15" s="28" customFormat="1" ht="15" x14ac:dyDescent="0.25">
      <c r="A254" s="230">
        <v>45628</v>
      </c>
      <c r="B254" s="35" t="s">
        <v>811</v>
      </c>
      <c r="C254" s="36" t="s">
        <v>1066</v>
      </c>
      <c r="D254" s="37" t="s">
        <v>28</v>
      </c>
      <c r="E254" s="38" t="s">
        <v>29</v>
      </c>
      <c r="F254" s="202" t="s">
        <v>621</v>
      </c>
      <c r="G254" s="230">
        <v>45688</v>
      </c>
      <c r="H254" s="202" t="s">
        <v>819</v>
      </c>
      <c r="I254" s="37">
        <v>6000</v>
      </c>
      <c r="J254" s="50" t="s">
        <v>810</v>
      </c>
      <c r="K254" s="40" t="s">
        <v>438</v>
      </c>
      <c r="L254" s="39"/>
      <c r="M254" s="41" t="str">
        <f t="shared" si="3"/>
        <v>INT-0100-24</v>
      </c>
      <c r="N254" s="42"/>
      <c r="O254" s="46"/>
    </row>
    <row r="255" spans="1:15" s="28" customFormat="1" ht="15" x14ac:dyDescent="0.25">
      <c r="A255" s="230">
        <v>45628</v>
      </c>
      <c r="B255" s="35" t="s">
        <v>811</v>
      </c>
      <c r="C255" s="36" t="s">
        <v>1066</v>
      </c>
      <c r="D255" s="37" t="s">
        <v>34</v>
      </c>
      <c r="E255" s="38" t="s">
        <v>35</v>
      </c>
      <c r="F255" s="202" t="s">
        <v>610</v>
      </c>
      <c r="G255" s="230">
        <v>45747</v>
      </c>
      <c r="H255" s="202" t="s">
        <v>820</v>
      </c>
      <c r="I255" s="37">
        <v>45000</v>
      </c>
      <c r="J255" s="50" t="s">
        <v>810</v>
      </c>
      <c r="K255" s="40" t="s">
        <v>438</v>
      </c>
      <c r="L255" s="39"/>
      <c r="M255" s="41" t="str">
        <f t="shared" si="3"/>
        <v>INT-0100-24</v>
      </c>
      <c r="N255" s="42"/>
      <c r="O255" s="46"/>
    </row>
    <row r="256" spans="1:15" s="28" customFormat="1" ht="15" x14ac:dyDescent="0.25">
      <c r="A256" s="230">
        <v>45628</v>
      </c>
      <c r="B256" s="35" t="s">
        <v>811</v>
      </c>
      <c r="C256" s="36" t="s">
        <v>1066</v>
      </c>
      <c r="D256" s="37" t="s">
        <v>36</v>
      </c>
      <c r="E256" s="38" t="s">
        <v>37</v>
      </c>
      <c r="F256" s="202" t="s">
        <v>821</v>
      </c>
      <c r="G256" s="230">
        <v>45777</v>
      </c>
      <c r="H256" s="202" t="s">
        <v>822</v>
      </c>
      <c r="I256" s="37">
        <v>16000</v>
      </c>
      <c r="J256" s="50" t="s">
        <v>810</v>
      </c>
      <c r="K256" s="40" t="s">
        <v>438</v>
      </c>
      <c r="L256" s="39"/>
      <c r="M256" s="41" t="str">
        <f t="shared" si="3"/>
        <v>INT-0100-24</v>
      </c>
      <c r="N256" s="42"/>
      <c r="O256" s="46"/>
    </row>
    <row r="257" spans="1:15" s="28" customFormat="1" ht="15" x14ac:dyDescent="0.25">
      <c r="A257" s="230">
        <v>45628</v>
      </c>
      <c r="B257" s="35" t="s">
        <v>811</v>
      </c>
      <c r="C257" s="36" t="s">
        <v>1066</v>
      </c>
      <c r="D257" s="37" t="s">
        <v>34</v>
      </c>
      <c r="E257" s="38" t="s">
        <v>35</v>
      </c>
      <c r="F257" s="202" t="s">
        <v>616</v>
      </c>
      <c r="G257" s="230">
        <v>45747</v>
      </c>
      <c r="H257" s="202" t="s">
        <v>823</v>
      </c>
      <c r="I257" s="37">
        <v>8000</v>
      </c>
      <c r="J257" s="50" t="s">
        <v>810</v>
      </c>
      <c r="K257" s="40" t="s">
        <v>438</v>
      </c>
      <c r="L257" s="39"/>
      <c r="M257" s="41" t="str">
        <f t="shared" si="3"/>
        <v>INT-0100-24</v>
      </c>
      <c r="N257" s="42"/>
      <c r="O257" s="46"/>
    </row>
    <row r="258" spans="1:15" s="28" customFormat="1" ht="15" x14ac:dyDescent="0.25">
      <c r="A258" s="230">
        <v>45628</v>
      </c>
      <c r="B258" s="35" t="s">
        <v>811</v>
      </c>
      <c r="C258" s="36" t="s">
        <v>1066</v>
      </c>
      <c r="D258" s="37" t="s">
        <v>42</v>
      </c>
      <c r="E258" s="38" t="s">
        <v>43</v>
      </c>
      <c r="F258" s="202" t="s">
        <v>522</v>
      </c>
      <c r="G258" s="230">
        <v>45747</v>
      </c>
      <c r="H258" s="202" t="s">
        <v>824</v>
      </c>
      <c r="I258" s="37">
        <v>52000</v>
      </c>
      <c r="J258" s="50" t="s">
        <v>810</v>
      </c>
      <c r="K258" s="40" t="s">
        <v>438</v>
      </c>
      <c r="L258" s="39"/>
      <c r="M258" s="41" t="str">
        <f t="shared" si="3"/>
        <v>INT-0100-24</v>
      </c>
      <c r="N258" s="42"/>
      <c r="O258" s="46"/>
    </row>
    <row r="259" spans="1:15" s="28" customFormat="1" ht="15" x14ac:dyDescent="0.25">
      <c r="A259" s="230">
        <v>45628</v>
      </c>
      <c r="B259" s="35" t="s">
        <v>811</v>
      </c>
      <c r="C259" s="36" t="s">
        <v>1066</v>
      </c>
      <c r="D259" s="37" t="s">
        <v>42</v>
      </c>
      <c r="E259" s="38" t="s">
        <v>43</v>
      </c>
      <c r="F259" s="202" t="s">
        <v>825</v>
      </c>
      <c r="G259" s="230">
        <v>45777</v>
      </c>
      <c r="H259" s="202" t="s">
        <v>826</v>
      </c>
      <c r="I259" s="37">
        <v>101000</v>
      </c>
      <c r="J259" s="50" t="s">
        <v>810</v>
      </c>
      <c r="K259" s="40" t="s">
        <v>438</v>
      </c>
      <c r="L259" s="39"/>
      <c r="M259" s="41" t="str">
        <f t="shared" si="3"/>
        <v>INT-0100-24</v>
      </c>
      <c r="N259" s="42"/>
      <c r="O259" s="46"/>
    </row>
    <row r="260" spans="1:15" s="28" customFormat="1" ht="15" x14ac:dyDescent="0.25">
      <c r="A260" s="230">
        <v>45628</v>
      </c>
      <c r="B260" s="35" t="s">
        <v>827</v>
      </c>
      <c r="C260" s="36" t="s">
        <v>1066</v>
      </c>
      <c r="D260" s="37" t="s">
        <v>42</v>
      </c>
      <c r="E260" s="38" t="s">
        <v>43</v>
      </c>
      <c r="F260" s="202" t="s">
        <v>746</v>
      </c>
      <c r="G260" s="230">
        <v>45688</v>
      </c>
      <c r="H260" s="202" t="s">
        <v>828</v>
      </c>
      <c r="I260" s="37">
        <v>16</v>
      </c>
      <c r="J260" s="50" t="s">
        <v>810</v>
      </c>
      <c r="K260" s="40" t="s">
        <v>735</v>
      </c>
      <c r="L260" s="39"/>
      <c r="M260" s="41" t="str">
        <f t="shared" si="3"/>
        <v>INT-0101-24</v>
      </c>
      <c r="N260" s="42"/>
      <c r="O260" s="46"/>
    </row>
    <row r="261" spans="1:15" s="28" customFormat="1" ht="15" x14ac:dyDescent="0.25">
      <c r="A261" s="230">
        <v>45628</v>
      </c>
      <c r="B261" s="35" t="s">
        <v>827</v>
      </c>
      <c r="C261" s="36" t="s">
        <v>1066</v>
      </c>
      <c r="D261" s="37" t="s">
        <v>92</v>
      </c>
      <c r="E261" s="38" t="s">
        <v>93</v>
      </c>
      <c r="F261" s="202" t="s">
        <v>750</v>
      </c>
      <c r="G261" s="230">
        <v>45626</v>
      </c>
      <c r="H261" s="202" t="s">
        <v>829</v>
      </c>
      <c r="I261" s="37">
        <v>1</v>
      </c>
      <c r="J261" s="50" t="s">
        <v>810</v>
      </c>
      <c r="K261" s="40" t="s">
        <v>735</v>
      </c>
      <c r="L261" s="39"/>
      <c r="M261" s="41" t="str">
        <f t="shared" si="3"/>
        <v>INT-0101-24</v>
      </c>
      <c r="N261" s="42"/>
      <c r="O261" s="46"/>
    </row>
    <row r="262" spans="1:15" s="28" customFormat="1" ht="15" x14ac:dyDescent="0.25">
      <c r="A262" s="230">
        <v>45628</v>
      </c>
      <c r="B262" s="35" t="s">
        <v>827</v>
      </c>
      <c r="C262" s="36" t="s">
        <v>1066</v>
      </c>
      <c r="D262" s="37" t="s">
        <v>39</v>
      </c>
      <c r="E262" s="38" t="s">
        <v>40</v>
      </c>
      <c r="F262" s="202" t="s">
        <v>567</v>
      </c>
      <c r="G262" s="230">
        <v>45626</v>
      </c>
      <c r="H262" s="202" t="s">
        <v>830</v>
      </c>
      <c r="I262" s="37">
        <v>10</v>
      </c>
      <c r="J262" s="50" t="s">
        <v>810</v>
      </c>
      <c r="K262" s="40" t="s">
        <v>735</v>
      </c>
      <c r="L262" s="39"/>
      <c r="M262" s="41" t="str">
        <f t="shared" ref="M262:M321" si="4">HYPERLINK("P:\7. LONG HAU\7. CAC THEO DOI TRONG QUA TRINH\4. DEVIATION- INCIDENTS\THEO DÕI NỘI BỘ (NGOÀI BBSC)\"&amp;YEAR(A262)&amp;"\"&amp;B262,B262)</f>
        <v>INT-0101-24</v>
      </c>
      <c r="N262" s="42"/>
      <c r="O262" s="46"/>
    </row>
    <row r="263" spans="1:15" s="28" customFormat="1" ht="15" x14ac:dyDescent="0.25">
      <c r="A263" s="230">
        <v>45628</v>
      </c>
      <c r="B263" s="35" t="s">
        <v>827</v>
      </c>
      <c r="C263" s="36" t="s">
        <v>1066</v>
      </c>
      <c r="D263" s="37" t="s">
        <v>28</v>
      </c>
      <c r="E263" s="38" t="s">
        <v>29</v>
      </c>
      <c r="F263" s="202" t="s">
        <v>467</v>
      </c>
      <c r="G263" s="230">
        <v>45657</v>
      </c>
      <c r="H263" s="202" t="s">
        <v>831</v>
      </c>
      <c r="I263" s="37">
        <v>5</v>
      </c>
      <c r="J263" s="50" t="s">
        <v>810</v>
      </c>
      <c r="K263" s="40" t="s">
        <v>735</v>
      </c>
      <c r="L263" s="39"/>
      <c r="M263" s="41" t="str">
        <f t="shared" si="4"/>
        <v>INT-0101-24</v>
      </c>
      <c r="N263" s="42"/>
      <c r="O263" s="46"/>
    </row>
    <row r="264" spans="1:15" s="28" customFormat="1" ht="15" x14ac:dyDescent="0.25">
      <c r="A264" s="230">
        <v>45628</v>
      </c>
      <c r="B264" s="35" t="s">
        <v>832</v>
      </c>
      <c r="C264" s="36" t="s">
        <v>5</v>
      </c>
      <c r="D264" s="37" t="s">
        <v>833</v>
      </c>
      <c r="E264" s="38" t="s">
        <v>834</v>
      </c>
      <c r="F264" s="202" t="s">
        <v>835</v>
      </c>
      <c r="G264" s="230">
        <v>45657</v>
      </c>
      <c r="H264" s="202" t="s">
        <v>836</v>
      </c>
      <c r="I264" s="37">
        <v>648</v>
      </c>
      <c r="J264" s="50" t="s">
        <v>837</v>
      </c>
      <c r="K264" s="40" t="s">
        <v>438</v>
      </c>
      <c r="L264" s="39"/>
      <c r="M264" s="41" t="str">
        <f t="shared" si="4"/>
        <v>INT-0102-24</v>
      </c>
      <c r="N264" s="42"/>
      <c r="O264" s="46"/>
    </row>
    <row r="265" spans="1:15" ht="15" x14ac:dyDescent="0.25">
      <c r="A265" s="230">
        <v>45629</v>
      </c>
      <c r="B265" s="35" t="s">
        <v>841</v>
      </c>
      <c r="C265" s="47" t="s">
        <v>547</v>
      </c>
      <c r="D265" s="37" t="s">
        <v>537</v>
      </c>
      <c r="E265" s="38" t="s">
        <v>843</v>
      </c>
      <c r="F265" s="202" t="s">
        <v>839</v>
      </c>
      <c r="G265" s="230" t="s">
        <v>839</v>
      </c>
      <c r="H265" s="202" t="s">
        <v>839</v>
      </c>
      <c r="I265" s="37" t="s">
        <v>839</v>
      </c>
      <c r="J265" s="50" t="s">
        <v>840</v>
      </c>
      <c r="K265" s="40" t="s">
        <v>1072</v>
      </c>
      <c r="L265" s="40" t="s">
        <v>1321</v>
      </c>
      <c r="M265" s="41" t="str">
        <f t="shared" si="4"/>
        <v>INT-0103-24</v>
      </c>
      <c r="N265" s="42"/>
      <c r="O265" s="46"/>
    </row>
    <row r="266" spans="1:15" ht="28.5" x14ac:dyDescent="0.25">
      <c r="A266" s="230">
        <v>45631</v>
      </c>
      <c r="B266" s="35" t="s">
        <v>845</v>
      </c>
      <c r="C266" s="47" t="s">
        <v>235</v>
      </c>
      <c r="D266" s="37" t="s">
        <v>537</v>
      </c>
      <c r="E266" s="38" t="s">
        <v>303</v>
      </c>
      <c r="F266" s="205" t="s">
        <v>847</v>
      </c>
      <c r="G266" s="233">
        <v>46569</v>
      </c>
      <c r="H266" s="205"/>
      <c r="I266" s="48">
        <v>6</v>
      </c>
      <c r="J266" s="165"/>
      <c r="K266" s="40" t="s">
        <v>846</v>
      </c>
      <c r="L266" s="40"/>
      <c r="M266" s="41" t="str">
        <f t="shared" si="4"/>
        <v>INT-0104-24</v>
      </c>
      <c r="N266" s="49"/>
      <c r="O266" s="46"/>
    </row>
    <row r="267" spans="1:15" ht="25.5" x14ac:dyDescent="0.25">
      <c r="A267" s="233">
        <v>45635</v>
      </c>
      <c r="B267" s="35" t="s">
        <v>848</v>
      </c>
      <c r="C267" s="47" t="s">
        <v>216</v>
      </c>
      <c r="D267" s="48" t="s">
        <v>849</v>
      </c>
      <c r="E267" s="38" t="s">
        <v>850</v>
      </c>
      <c r="F267" s="205" t="s">
        <v>851</v>
      </c>
      <c r="G267" s="233">
        <v>46387</v>
      </c>
      <c r="H267" s="280" t="s">
        <v>852</v>
      </c>
      <c r="I267" s="48">
        <v>4</v>
      </c>
      <c r="J267" s="165" t="s">
        <v>853</v>
      </c>
      <c r="K267" s="40" t="s">
        <v>854</v>
      </c>
      <c r="L267" s="40"/>
      <c r="M267" s="41" t="str">
        <f t="shared" si="4"/>
        <v>INT-0105-24</v>
      </c>
      <c r="N267" s="49"/>
      <c r="O267" s="46"/>
    </row>
    <row r="268" spans="1:15" ht="15" x14ac:dyDescent="0.25">
      <c r="A268" s="233">
        <v>45635</v>
      </c>
      <c r="B268" s="35" t="s">
        <v>855</v>
      </c>
      <c r="C268" s="47" t="s">
        <v>547</v>
      </c>
      <c r="D268" s="37" t="s">
        <v>537</v>
      </c>
      <c r="E268" s="38" t="s">
        <v>843</v>
      </c>
      <c r="F268" s="205" t="s">
        <v>838</v>
      </c>
      <c r="G268" s="233" t="s">
        <v>838</v>
      </c>
      <c r="H268" s="280" t="s">
        <v>838</v>
      </c>
      <c r="I268" s="48" t="s">
        <v>838</v>
      </c>
      <c r="J268" s="50" t="s">
        <v>840</v>
      </c>
      <c r="K268" s="40" t="s">
        <v>1072</v>
      </c>
      <c r="L268" s="40"/>
      <c r="M268" s="41" t="str">
        <f t="shared" si="4"/>
        <v>INT-0106-24</v>
      </c>
      <c r="N268" s="49"/>
      <c r="O268" s="46"/>
    </row>
    <row r="269" spans="1:15" ht="28.5" x14ac:dyDescent="0.25">
      <c r="A269" s="233">
        <v>45639</v>
      </c>
      <c r="B269" s="35" t="s">
        <v>856</v>
      </c>
      <c r="C269" s="47" t="s">
        <v>235</v>
      </c>
      <c r="D269" s="37" t="s">
        <v>862</v>
      </c>
      <c r="E269" s="38" t="s">
        <v>863</v>
      </c>
      <c r="F269" s="205" t="s">
        <v>864</v>
      </c>
      <c r="G269" s="233">
        <v>45890</v>
      </c>
      <c r="H269" s="205" t="s">
        <v>865</v>
      </c>
      <c r="I269" s="48">
        <v>1</v>
      </c>
      <c r="J269" s="50" t="s">
        <v>866</v>
      </c>
      <c r="K269" s="40" t="s">
        <v>735</v>
      </c>
      <c r="L269" s="40"/>
      <c r="M269" s="41" t="str">
        <f t="shared" si="4"/>
        <v>INT-0107-24</v>
      </c>
      <c r="N269" s="49"/>
      <c r="O269" s="46"/>
    </row>
    <row r="270" spans="1:15" ht="15" x14ac:dyDescent="0.25">
      <c r="A270" s="233">
        <v>45639</v>
      </c>
      <c r="B270" s="35" t="s">
        <v>857</v>
      </c>
      <c r="C270" s="47" t="s">
        <v>216</v>
      </c>
      <c r="D270" s="37" t="s">
        <v>1144</v>
      </c>
      <c r="E270" s="38" t="s">
        <v>35</v>
      </c>
      <c r="F270" s="205" t="s">
        <v>860</v>
      </c>
      <c r="G270" s="233">
        <v>46234</v>
      </c>
      <c r="H270" s="205" t="s">
        <v>859</v>
      </c>
      <c r="I270" s="48">
        <v>1</v>
      </c>
      <c r="J270" s="50"/>
      <c r="K270" s="40"/>
      <c r="L270" s="40"/>
      <c r="M270" s="41" t="str">
        <f t="shared" si="4"/>
        <v>INT-0108-24</v>
      </c>
      <c r="N270" s="49"/>
      <c r="O270" s="46"/>
    </row>
    <row r="271" spans="1:15" ht="15" x14ac:dyDescent="0.25">
      <c r="A271" s="233">
        <v>45639</v>
      </c>
      <c r="B271" s="35" t="s">
        <v>858</v>
      </c>
      <c r="C271" s="47" t="s">
        <v>288</v>
      </c>
      <c r="D271" s="37" t="s">
        <v>1300</v>
      </c>
      <c r="E271" s="38" t="s">
        <v>861</v>
      </c>
      <c r="F271" s="205" t="s">
        <v>891</v>
      </c>
      <c r="G271" s="233">
        <v>46531</v>
      </c>
      <c r="H271" s="205" t="s">
        <v>892</v>
      </c>
      <c r="I271" s="48">
        <v>42</v>
      </c>
      <c r="J271" s="50"/>
      <c r="K271" s="40" t="s">
        <v>893</v>
      </c>
      <c r="L271" s="40"/>
      <c r="M271" s="41" t="str">
        <f t="shared" si="4"/>
        <v>INT-0109-24</v>
      </c>
      <c r="N271" s="49"/>
      <c r="O271" s="46"/>
    </row>
    <row r="272" spans="1:15" ht="28.5" x14ac:dyDescent="0.25">
      <c r="A272" s="233">
        <v>45643</v>
      </c>
      <c r="B272" s="35" t="s">
        <v>867</v>
      </c>
      <c r="C272" s="47" t="s">
        <v>235</v>
      </c>
      <c r="D272" s="37" t="s">
        <v>537</v>
      </c>
      <c r="E272" s="38" t="s">
        <v>868</v>
      </c>
      <c r="F272" s="205" t="s">
        <v>869</v>
      </c>
      <c r="G272" s="233">
        <v>47197</v>
      </c>
      <c r="H272" s="205"/>
      <c r="I272" s="48">
        <v>1</v>
      </c>
      <c r="J272" s="50"/>
      <c r="K272" s="40" t="s">
        <v>846</v>
      </c>
      <c r="L272" s="40"/>
      <c r="M272" s="41" t="str">
        <f t="shared" si="4"/>
        <v>INT-0110-24</v>
      </c>
      <c r="N272" s="49"/>
      <c r="O272" s="46"/>
    </row>
    <row r="273" spans="1:15" ht="28.5" x14ac:dyDescent="0.25">
      <c r="A273" s="233">
        <v>45643</v>
      </c>
      <c r="B273" s="35" t="s">
        <v>867</v>
      </c>
      <c r="C273" s="47" t="s">
        <v>235</v>
      </c>
      <c r="D273" s="37" t="s">
        <v>537</v>
      </c>
      <c r="E273" s="38" t="s">
        <v>303</v>
      </c>
      <c r="F273" s="205"/>
      <c r="G273" s="233"/>
      <c r="H273" s="205"/>
      <c r="I273" s="48">
        <v>3</v>
      </c>
      <c r="J273" s="50" t="s">
        <v>870</v>
      </c>
      <c r="K273" s="40" t="s">
        <v>846</v>
      </c>
      <c r="L273" s="40"/>
      <c r="M273" s="41" t="str">
        <f t="shared" si="4"/>
        <v>INT-0110-24</v>
      </c>
      <c r="N273" s="49"/>
      <c r="O273" s="46"/>
    </row>
    <row r="274" spans="1:15" ht="15" x14ac:dyDescent="0.25">
      <c r="A274" s="233">
        <v>45644</v>
      </c>
      <c r="B274" s="35" t="s">
        <v>871</v>
      </c>
      <c r="C274" s="36" t="s">
        <v>5</v>
      </c>
      <c r="D274" s="37" t="s">
        <v>872</v>
      </c>
      <c r="E274" s="38" t="s">
        <v>873</v>
      </c>
      <c r="F274" s="205" t="s">
        <v>874</v>
      </c>
      <c r="G274" s="233">
        <v>45679</v>
      </c>
      <c r="H274" s="205" t="s">
        <v>875</v>
      </c>
      <c r="I274" s="48">
        <v>157</v>
      </c>
      <c r="J274" s="50" t="s">
        <v>876</v>
      </c>
      <c r="K274" s="40" t="s">
        <v>438</v>
      </c>
      <c r="L274" s="40"/>
      <c r="M274" s="41" t="str">
        <f t="shared" si="4"/>
        <v>INT-0111-24</v>
      </c>
      <c r="N274" s="49"/>
      <c r="O274" s="46"/>
    </row>
    <row r="275" spans="1:15" ht="15" x14ac:dyDescent="0.25">
      <c r="A275" s="233">
        <v>45644</v>
      </c>
      <c r="B275" s="35" t="s">
        <v>877</v>
      </c>
      <c r="C275" s="36" t="s">
        <v>5</v>
      </c>
      <c r="D275" s="37" t="s">
        <v>878</v>
      </c>
      <c r="E275" s="38" t="s">
        <v>879</v>
      </c>
      <c r="F275" s="205" t="s">
        <v>880</v>
      </c>
      <c r="G275" s="233">
        <v>45627</v>
      </c>
      <c r="H275" s="205" t="s">
        <v>881</v>
      </c>
      <c r="I275" s="48">
        <v>3</v>
      </c>
      <c r="J275" s="50" t="s">
        <v>876</v>
      </c>
      <c r="K275" s="40" t="s">
        <v>438</v>
      </c>
      <c r="L275" s="40"/>
      <c r="M275" s="41" t="str">
        <f t="shared" si="4"/>
        <v>INT-0112-24</v>
      </c>
      <c r="N275" s="49"/>
      <c r="O275" s="46"/>
    </row>
    <row r="276" spans="1:15" ht="15" x14ac:dyDescent="0.25">
      <c r="A276" s="233">
        <v>45644</v>
      </c>
      <c r="B276" s="35" t="s">
        <v>877</v>
      </c>
      <c r="C276" s="36" t="s">
        <v>5</v>
      </c>
      <c r="D276" s="37" t="s">
        <v>882</v>
      </c>
      <c r="E276" s="38" t="s">
        <v>883</v>
      </c>
      <c r="F276" s="205" t="s">
        <v>884</v>
      </c>
      <c r="G276" s="233">
        <v>45658</v>
      </c>
      <c r="H276" s="205" t="s">
        <v>885</v>
      </c>
      <c r="I276" s="48">
        <v>96</v>
      </c>
      <c r="J276" s="50" t="s">
        <v>876</v>
      </c>
      <c r="K276" s="40" t="s">
        <v>438</v>
      </c>
      <c r="L276" s="40"/>
      <c r="M276" s="41" t="str">
        <f t="shared" si="4"/>
        <v>INT-0112-24</v>
      </c>
      <c r="N276" s="49"/>
      <c r="O276" s="46"/>
    </row>
    <row r="277" spans="1:15" ht="25.5" x14ac:dyDescent="0.25">
      <c r="A277" s="233">
        <v>45644</v>
      </c>
      <c r="B277" s="35" t="s">
        <v>886</v>
      </c>
      <c r="C277" s="36" t="s">
        <v>216</v>
      </c>
      <c r="D277" s="37" t="s">
        <v>79</v>
      </c>
      <c r="E277" s="38" t="s">
        <v>80</v>
      </c>
      <c r="F277" s="205" t="s">
        <v>887</v>
      </c>
      <c r="G277" s="233">
        <v>46423</v>
      </c>
      <c r="H277" s="205" t="s">
        <v>888</v>
      </c>
      <c r="I277" s="48">
        <v>1</v>
      </c>
      <c r="J277" s="50" t="s">
        <v>889</v>
      </c>
      <c r="K277" s="40" t="s">
        <v>890</v>
      </c>
      <c r="L277" s="40"/>
      <c r="M277" s="41" t="str">
        <f t="shared" si="4"/>
        <v>INT-0113-24</v>
      </c>
      <c r="N277" s="49"/>
      <c r="O277" s="46"/>
    </row>
    <row r="278" spans="1:15" ht="15" x14ac:dyDescent="0.25">
      <c r="A278" s="233">
        <v>45644</v>
      </c>
      <c r="B278" s="35" t="s">
        <v>894</v>
      </c>
      <c r="C278" s="36" t="s">
        <v>216</v>
      </c>
      <c r="D278" s="37" t="s">
        <v>1144</v>
      </c>
      <c r="E278" s="38"/>
      <c r="F278" s="205"/>
      <c r="G278" s="233"/>
      <c r="H278" s="205"/>
      <c r="I278" s="48"/>
      <c r="J278" s="50"/>
      <c r="K278" s="40"/>
      <c r="L278" s="40"/>
      <c r="M278" s="41" t="str">
        <f t="shared" si="4"/>
        <v>INT-0114-24</v>
      </c>
      <c r="N278" s="49"/>
      <c r="O278" s="46"/>
    </row>
    <row r="279" spans="1:15" ht="15" x14ac:dyDescent="0.25">
      <c r="A279" s="233">
        <v>45646</v>
      </c>
      <c r="B279" s="35" t="s">
        <v>895</v>
      </c>
      <c r="C279" s="36" t="s">
        <v>143</v>
      </c>
      <c r="D279" s="37" t="s">
        <v>896</v>
      </c>
      <c r="E279" s="38" t="s">
        <v>898</v>
      </c>
      <c r="F279" s="205" t="s">
        <v>897</v>
      </c>
      <c r="G279" s="233">
        <v>46477</v>
      </c>
      <c r="H279" s="205" t="s">
        <v>899</v>
      </c>
      <c r="I279" s="48">
        <v>2</v>
      </c>
      <c r="J279" s="50"/>
      <c r="K279" s="40" t="s">
        <v>438</v>
      </c>
      <c r="L279" s="40"/>
      <c r="M279" s="41" t="str">
        <f t="shared" si="4"/>
        <v>INT-0115-24</v>
      </c>
      <c r="N279" s="49"/>
      <c r="O279" s="46"/>
    </row>
    <row r="280" spans="1:15" ht="15" x14ac:dyDescent="0.25">
      <c r="A280" s="233">
        <v>45650</v>
      </c>
      <c r="B280" s="35" t="s">
        <v>900</v>
      </c>
      <c r="C280" s="47" t="s">
        <v>547</v>
      </c>
      <c r="D280" s="37" t="s">
        <v>537</v>
      </c>
      <c r="E280" s="38" t="s">
        <v>303</v>
      </c>
      <c r="F280" s="205" t="s">
        <v>901</v>
      </c>
      <c r="G280" s="233">
        <v>46426</v>
      </c>
      <c r="H280" s="205">
        <v>163844</v>
      </c>
      <c r="I280" s="48">
        <v>1</v>
      </c>
      <c r="J280" s="257" t="s">
        <v>716</v>
      </c>
      <c r="K280" s="40" t="s">
        <v>1072</v>
      </c>
      <c r="L280" s="40"/>
      <c r="M280" s="41" t="str">
        <f t="shared" si="4"/>
        <v>INT-0116-24</v>
      </c>
      <c r="N280" s="49"/>
      <c r="O280" s="46"/>
    </row>
    <row r="281" spans="1:15" ht="25.5" x14ac:dyDescent="0.25">
      <c r="A281" s="233">
        <v>45650</v>
      </c>
      <c r="B281" s="35" t="s">
        <v>902</v>
      </c>
      <c r="C281" s="36" t="s">
        <v>1066</v>
      </c>
      <c r="D281" s="48" t="s">
        <v>34</v>
      </c>
      <c r="E281" s="38" t="s">
        <v>35</v>
      </c>
      <c r="F281" s="205" t="s">
        <v>903</v>
      </c>
      <c r="G281" s="233">
        <v>46112</v>
      </c>
      <c r="H281" s="205">
        <v>163900</v>
      </c>
      <c r="I281" s="40">
        <v>5</v>
      </c>
      <c r="J281" s="165" t="s">
        <v>908</v>
      </c>
      <c r="K281" s="40" t="s">
        <v>410</v>
      </c>
      <c r="L281" s="40"/>
      <c r="M281" s="41" t="str">
        <f t="shared" si="4"/>
        <v>INT-0117-24</v>
      </c>
      <c r="N281" s="49"/>
      <c r="O281" s="46"/>
    </row>
    <row r="282" spans="1:15" ht="25.5" x14ac:dyDescent="0.25">
      <c r="A282" s="233">
        <v>45650</v>
      </c>
      <c r="B282" s="35" t="s">
        <v>902</v>
      </c>
      <c r="C282" s="36" t="s">
        <v>1066</v>
      </c>
      <c r="D282" s="48" t="s">
        <v>39</v>
      </c>
      <c r="E282" s="38" t="s">
        <v>40</v>
      </c>
      <c r="F282" s="205" t="s">
        <v>614</v>
      </c>
      <c r="G282" s="233">
        <v>45991</v>
      </c>
      <c r="H282" s="205">
        <v>163926</v>
      </c>
      <c r="I282" s="40">
        <v>3</v>
      </c>
      <c r="J282" s="165" t="s">
        <v>908</v>
      </c>
      <c r="K282" s="40" t="s">
        <v>410</v>
      </c>
      <c r="L282" s="40"/>
      <c r="M282" s="41" t="str">
        <f t="shared" si="4"/>
        <v>INT-0117-24</v>
      </c>
      <c r="N282" s="49"/>
      <c r="O282" s="46"/>
    </row>
    <row r="283" spans="1:15" ht="25.5" x14ac:dyDescent="0.25">
      <c r="A283" s="233">
        <v>45650</v>
      </c>
      <c r="B283" s="35" t="s">
        <v>902</v>
      </c>
      <c r="C283" s="36" t="s">
        <v>1066</v>
      </c>
      <c r="D283" s="48" t="s">
        <v>42</v>
      </c>
      <c r="E283" s="38" t="s">
        <v>43</v>
      </c>
      <c r="F283" s="205" t="s">
        <v>904</v>
      </c>
      <c r="G283" s="233">
        <v>46022</v>
      </c>
      <c r="H283" s="205">
        <v>163924</v>
      </c>
      <c r="I283" s="40">
        <v>2</v>
      </c>
      <c r="J283" s="165" t="s">
        <v>908</v>
      </c>
      <c r="K283" s="40" t="s">
        <v>410</v>
      </c>
      <c r="L283" s="40"/>
      <c r="M283" s="41" t="str">
        <f t="shared" si="4"/>
        <v>INT-0117-24</v>
      </c>
      <c r="N283" s="49"/>
      <c r="O283" s="46"/>
    </row>
    <row r="284" spans="1:15" ht="25.5" x14ac:dyDescent="0.25">
      <c r="A284" s="233">
        <v>45650</v>
      </c>
      <c r="B284" s="35" t="s">
        <v>902</v>
      </c>
      <c r="C284" s="36" t="s">
        <v>1066</v>
      </c>
      <c r="D284" s="48" t="s">
        <v>92</v>
      </c>
      <c r="E284" s="38" t="s">
        <v>93</v>
      </c>
      <c r="F284" s="205" t="s">
        <v>607</v>
      </c>
      <c r="G284" s="233">
        <v>46477</v>
      </c>
      <c r="H284" s="205">
        <v>163925</v>
      </c>
      <c r="I284" s="40">
        <v>10</v>
      </c>
      <c r="J284" s="165" t="s">
        <v>908</v>
      </c>
      <c r="K284" s="40" t="s">
        <v>410</v>
      </c>
      <c r="L284" s="40"/>
      <c r="M284" s="41" t="str">
        <f t="shared" si="4"/>
        <v>INT-0117-24</v>
      </c>
      <c r="N284" s="49"/>
      <c r="O284" s="46"/>
    </row>
    <row r="285" spans="1:15" ht="25.5" x14ac:dyDescent="0.25">
      <c r="A285" s="233">
        <v>45650</v>
      </c>
      <c r="B285" s="35" t="s">
        <v>902</v>
      </c>
      <c r="C285" s="36" t="s">
        <v>1066</v>
      </c>
      <c r="D285" s="48" t="s">
        <v>414</v>
      </c>
      <c r="E285" s="38" t="s">
        <v>415</v>
      </c>
      <c r="F285" s="205" t="s">
        <v>416</v>
      </c>
      <c r="G285" s="233">
        <v>46356</v>
      </c>
      <c r="H285" s="205">
        <v>163928</v>
      </c>
      <c r="I285" s="40">
        <v>1</v>
      </c>
      <c r="J285" s="165" t="s">
        <v>908</v>
      </c>
      <c r="K285" s="40" t="s">
        <v>410</v>
      </c>
      <c r="L285" s="40"/>
      <c r="M285" s="41" t="str">
        <f t="shared" si="4"/>
        <v>INT-0117-24</v>
      </c>
      <c r="N285" s="49"/>
      <c r="O285" s="46"/>
    </row>
    <row r="286" spans="1:15" ht="25.5" x14ac:dyDescent="0.25">
      <c r="A286" s="233">
        <v>45650</v>
      </c>
      <c r="B286" s="35" t="s">
        <v>902</v>
      </c>
      <c r="C286" s="36" t="s">
        <v>1066</v>
      </c>
      <c r="D286" s="48" t="s">
        <v>905</v>
      </c>
      <c r="E286" s="38" t="s">
        <v>906</v>
      </c>
      <c r="F286" s="205" t="s">
        <v>907</v>
      </c>
      <c r="G286" s="233">
        <v>46081</v>
      </c>
      <c r="H286" s="205">
        <v>163927</v>
      </c>
      <c r="I286" s="40">
        <v>2</v>
      </c>
      <c r="J286" s="165" t="s">
        <v>908</v>
      </c>
      <c r="K286" s="40" t="s">
        <v>410</v>
      </c>
      <c r="L286" s="40"/>
      <c r="M286" s="41" t="str">
        <f t="shared" si="4"/>
        <v>INT-0117-24</v>
      </c>
      <c r="N286" s="49"/>
      <c r="O286" s="46"/>
    </row>
    <row r="287" spans="1:15" ht="15" x14ac:dyDescent="0.25">
      <c r="A287" s="233">
        <v>45652</v>
      </c>
      <c r="B287" s="35" t="s">
        <v>909</v>
      </c>
      <c r="C287" s="36" t="s">
        <v>1066</v>
      </c>
      <c r="D287" s="48" t="s">
        <v>414</v>
      </c>
      <c r="E287" s="38" t="s">
        <v>415</v>
      </c>
      <c r="F287" s="205" t="s">
        <v>910</v>
      </c>
      <c r="G287" s="233">
        <v>45961</v>
      </c>
      <c r="H287" s="205" t="s">
        <v>911</v>
      </c>
      <c r="I287" s="48">
        <v>4</v>
      </c>
      <c r="J287" s="165"/>
      <c r="K287" s="40" t="s">
        <v>912</v>
      </c>
      <c r="L287" s="40"/>
      <c r="M287" s="41" t="str">
        <f t="shared" si="4"/>
        <v>INT-0118-24</v>
      </c>
      <c r="N287" s="49"/>
      <c r="O287" s="46"/>
    </row>
    <row r="288" spans="1:15" ht="15" x14ac:dyDescent="0.25">
      <c r="A288" s="233">
        <v>45653</v>
      </c>
      <c r="B288" s="35" t="s">
        <v>913</v>
      </c>
      <c r="C288" s="36" t="s">
        <v>1066</v>
      </c>
      <c r="D288" s="48" t="s">
        <v>591</v>
      </c>
      <c r="E288" s="38" t="s">
        <v>914</v>
      </c>
      <c r="F288" s="205" t="s">
        <v>593</v>
      </c>
      <c r="G288" s="233">
        <v>46006</v>
      </c>
      <c r="H288" s="205" t="s">
        <v>915</v>
      </c>
      <c r="I288" s="48">
        <v>14</v>
      </c>
      <c r="J288" s="165" t="s">
        <v>418</v>
      </c>
      <c r="K288" s="40" t="s">
        <v>410</v>
      </c>
      <c r="L288" s="40"/>
      <c r="M288" s="41" t="str">
        <f t="shared" si="4"/>
        <v>INT-0119-24</v>
      </c>
      <c r="N288" s="49"/>
      <c r="O288" s="46"/>
    </row>
    <row r="289" spans="1:15" ht="15" x14ac:dyDescent="0.25">
      <c r="A289" s="233">
        <v>45653</v>
      </c>
      <c r="B289" s="35" t="s">
        <v>916</v>
      </c>
      <c r="C289" s="47" t="s">
        <v>504</v>
      </c>
      <c r="D289" s="37" t="s">
        <v>1144</v>
      </c>
      <c r="E289" s="38"/>
      <c r="F289" s="205"/>
      <c r="G289" s="233"/>
      <c r="H289" s="205"/>
      <c r="I289" s="48"/>
      <c r="J289" s="165"/>
      <c r="K289" s="40" t="s">
        <v>438</v>
      </c>
      <c r="L289" s="40"/>
      <c r="M289" s="41" t="str">
        <f t="shared" si="4"/>
        <v>INT-0120-24</v>
      </c>
      <c r="N289" s="49"/>
      <c r="O289" s="46"/>
    </row>
    <row r="290" spans="1:15" ht="25.5" x14ac:dyDescent="0.25">
      <c r="A290" s="233">
        <v>45656</v>
      </c>
      <c r="B290" s="35" t="s">
        <v>917</v>
      </c>
      <c r="C290" s="47" t="s">
        <v>504</v>
      </c>
      <c r="D290" s="48" t="s">
        <v>28</v>
      </c>
      <c r="E290" s="38" t="s">
        <v>29</v>
      </c>
      <c r="F290" s="205" t="s">
        <v>524</v>
      </c>
      <c r="G290" s="233">
        <v>45688</v>
      </c>
      <c r="H290" s="205" t="s">
        <v>918</v>
      </c>
      <c r="I290" s="48">
        <v>6</v>
      </c>
      <c r="J290" s="165" t="s">
        <v>923</v>
      </c>
      <c r="K290" s="40" t="s">
        <v>438</v>
      </c>
      <c r="L290" s="40"/>
      <c r="M290" s="41" t="str">
        <f t="shared" si="4"/>
        <v>INT-0121-24</v>
      </c>
      <c r="N290" s="49"/>
      <c r="O290" s="46"/>
    </row>
    <row r="291" spans="1:15" ht="25.5" x14ac:dyDescent="0.25">
      <c r="A291" s="233">
        <v>45656</v>
      </c>
      <c r="B291" s="35" t="s">
        <v>917</v>
      </c>
      <c r="C291" s="47" t="s">
        <v>504</v>
      </c>
      <c r="D291" s="48" t="s">
        <v>28</v>
      </c>
      <c r="E291" s="38" t="s">
        <v>29</v>
      </c>
      <c r="F291" s="205" t="s">
        <v>465</v>
      </c>
      <c r="G291" s="233">
        <v>45716</v>
      </c>
      <c r="H291" s="205" t="s">
        <v>919</v>
      </c>
      <c r="I291" s="48">
        <v>35</v>
      </c>
      <c r="J291" s="165" t="s">
        <v>923</v>
      </c>
      <c r="K291" s="40" t="s">
        <v>438</v>
      </c>
      <c r="L291" s="40"/>
      <c r="M291" s="41" t="str">
        <f t="shared" si="4"/>
        <v>INT-0121-24</v>
      </c>
      <c r="N291" s="49"/>
      <c r="O291" s="46"/>
    </row>
    <row r="292" spans="1:15" ht="25.5" x14ac:dyDescent="0.25">
      <c r="A292" s="233">
        <v>45656</v>
      </c>
      <c r="B292" s="35" t="s">
        <v>917</v>
      </c>
      <c r="C292" s="47" t="s">
        <v>504</v>
      </c>
      <c r="D292" s="48" t="s">
        <v>36</v>
      </c>
      <c r="E292" s="38" t="s">
        <v>37</v>
      </c>
      <c r="F292" s="205" t="s">
        <v>920</v>
      </c>
      <c r="G292" s="233">
        <v>45716</v>
      </c>
      <c r="H292" s="205" t="s">
        <v>921</v>
      </c>
      <c r="I292" s="48">
        <v>1</v>
      </c>
      <c r="J292" s="165" t="s">
        <v>923</v>
      </c>
      <c r="K292" s="40" t="s">
        <v>438</v>
      </c>
      <c r="L292" s="40"/>
      <c r="M292" s="41" t="str">
        <f t="shared" si="4"/>
        <v>INT-0121-24</v>
      </c>
      <c r="N292" s="49"/>
      <c r="O292" s="46"/>
    </row>
    <row r="293" spans="1:15" ht="25.5" x14ac:dyDescent="0.25">
      <c r="A293" s="233">
        <v>45656</v>
      </c>
      <c r="B293" s="35" t="s">
        <v>917</v>
      </c>
      <c r="C293" s="47" t="s">
        <v>504</v>
      </c>
      <c r="D293" s="48" t="s">
        <v>42</v>
      </c>
      <c r="E293" s="38" t="s">
        <v>43</v>
      </c>
      <c r="F293" s="205" t="s">
        <v>522</v>
      </c>
      <c r="G293" s="233">
        <v>45747</v>
      </c>
      <c r="H293" s="205" t="s">
        <v>922</v>
      </c>
      <c r="I293" s="48">
        <v>2</v>
      </c>
      <c r="J293" s="165" t="s">
        <v>923</v>
      </c>
      <c r="K293" s="40" t="s">
        <v>438</v>
      </c>
      <c r="L293" s="40"/>
      <c r="M293" s="41" t="str">
        <f t="shared" si="4"/>
        <v>INT-0121-24</v>
      </c>
      <c r="N293" s="49"/>
      <c r="O293" s="46"/>
    </row>
    <row r="294" spans="1:15" ht="15" x14ac:dyDescent="0.25">
      <c r="A294" s="233">
        <v>45656</v>
      </c>
      <c r="B294" s="35" t="s">
        <v>924</v>
      </c>
      <c r="C294" s="36" t="s">
        <v>216</v>
      </c>
      <c r="D294" s="48" t="s">
        <v>925</v>
      </c>
      <c r="E294" s="38" t="s">
        <v>926</v>
      </c>
      <c r="F294" s="205" t="s">
        <v>927</v>
      </c>
      <c r="G294" s="233">
        <v>46295</v>
      </c>
      <c r="H294" s="205" t="s">
        <v>928</v>
      </c>
      <c r="I294" s="48">
        <v>1</v>
      </c>
      <c r="J294" s="165" t="s">
        <v>418</v>
      </c>
      <c r="K294" s="40" t="s">
        <v>410</v>
      </c>
      <c r="L294" s="40"/>
      <c r="M294" s="41" t="str">
        <f t="shared" si="4"/>
        <v>INT-0122-24</v>
      </c>
      <c r="N294" s="49"/>
      <c r="O294" s="46"/>
    </row>
    <row r="295" spans="1:15" ht="25.5" x14ac:dyDescent="0.25">
      <c r="A295" s="233">
        <v>45657</v>
      </c>
      <c r="B295" s="35" t="s">
        <v>929</v>
      </c>
      <c r="C295" s="36" t="s">
        <v>1066</v>
      </c>
      <c r="D295" s="48"/>
      <c r="E295" s="38"/>
      <c r="F295" s="205"/>
      <c r="G295" s="233"/>
      <c r="H295" s="205"/>
      <c r="I295" s="48"/>
      <c r="J295" s="165" t="s">
        <v>930</v>
      </c>
      <c r="K295" s="40"/>
      <c r="L295" s="40" t="s">
        <v>931</v>
      </c>
      <c r="M295" s="41" t="str">
        <f t="shared" si="4"/>
        <v>INT-0123-24</v>
      </c>
      <c r="N295" s="49"/>
      <c r="O295" s="46"/>
    </row>
    <row r="296" spans="1:15" ht="15" x14ac:dyDescent="0.25">
      <c r="A296" s="233">
        <v>45659</v>
      </c>
      <c r="B296" s="35" t="s">
        <v>932</v>
      </c>
      <c r="C296" s="36" t="s">
        <v>1066</v>
      </c>
      <c r="D296" s="48" t="s">
        <v>42</v>
      </c>
      <c r="E296" s="38" t="s">
        <v>43</v>
      </c>
      <c r="F296" s="205" t="s">
        <v>522</v>
      </c>
      <c r="G296" s="233">
        <v>45747</v>
      </c>
      <c r="H296" s="205" t="s">
        <v>933</v>
      </c>
      <c r="I296" s="48">
        <v>6</v>
      </c>
      <c r="J296" s="165" t="s">
        <v>944</v>
      </c>
      <c r="K296" s="40" t="s">
        <v>438</v>
      </c>
      <c r="L296" s="40"/>
      <c r="M296" s="41" t="str">
        <f t="shared" si="4"/>
        <v>INT-0001-25</v>
      </c>
      <c r="N296" s="49"/>
      <c r="O296" s="46"/>
    </row>
    <row r="297" spans="1:15" ht="15" x14ac:dyDescent="0.25">
      <c r="A297" s="233">
        <v>45659</v>
      </c>
      <c r="B297" s="35" t="s">
        <v>932</v>
      </c>
      <c r="C297" s="36" t="s">
        <v>1066</v>
      </c>
      <c r="D297" s="48" t="s">
        <v>42</v>
      </c>
      <c r="E297" s="38" t="s">
        <v>43</v>
      </c>
      <c r="F297" s="205" t="s">
        <v>825</v>
      </c>
      <c r="G297" s="233">
        <v>45777</v>
      </c>
      <c r="H297" s="205" t="s">
        <v>934</v>
      </c>
      <c r="I297" s="48">
        <v>7</v>
      </c>
      <c r="J297" s="165" t="s">
        <v>944</v>
      </c>
      <c r="K297" s="40" t="s">
        <v>438</v>
      </c>
      <c r="L297" s="40"/>
      <c r="M297" s="41" t="str">
        <f t="shared" si="4"/>
        <v>INT-0001-25</v>
      </c>
      <c r="N297" s="49"/>
      <c r="O297" s="46"/>
    </row>
    <row r="298" spans="1:15" ht="15" x14ac:dyDescent="0.25">
      <c r="A298" s="233">
        <v>45659</v>
      </c>
      <c r="B298" s="35" t="s">
        <v>932</v>
      </c>
      <c r="C298" s="36" t="s">
        <v>1066</v>
      </c>
      <c r="D298" s="48" t="s">
        <v>36</v>
      </c>
      <c r="E298" s="38" t="s">
        <v>37</v>
      </c>
      <c r="F298" s="205" t="s">
        <v>941</v>
      </c>
      <c r="G298" s="233">
        <v>45838</v>
      </c>
      <c r="H298" s="205" t="s">
        <v>935</v>
      </c>
      <c r="I298" s="48">
        <v>33</v>
      </c>
      <c r="J298" s="165" t="s">
        <v>944</v>
      </c>
      <c r="K298" s="40" t="s">
        <v>438</v>
      </c>
      <c r="L298" s="40"/>
      <c r="M298" s="41" t="str">
        <f t="shared" si="4"/>
        <v>INT-0001-25</v>
      </c>
      <c r="N298" s="49"/>
      <c r="O298" s="46"/>
    </row>
    <row r="299" spans="1:15" ht="15" x14ac:dyDescent="0.25">
      <c r="A299" s="233">
        <v>45659</v>
      </c>
      <c r="B299" s="35" t="s">
        <v>932</v>
      </c>
      <c r="C299" s="36" t="s">
        <v>1066</v>
      </c>
      <c r="D299" s="48" t="s">
        <v>36</v>
      </c>
      <c r="E299" s="38" t="s">
        <v>37</v>
      </c>
      <c r="F299" s="205" t="s">
        <v>942</v>
      </c>
      <c r="G299" s="233">
        <v>45808</v>
      </c>
      <c r="H299" s="205" t="s">
        <v>936</v>
      </c>
      <c r="I299" s="48">
        <v>25</v>
      </c>
      <c r="J299" s="165" t="s">
        <v>944</v>
      </c>
      <c r="K299" s="40" t="s">
        <v>438</v>
      </c>
      <c r="L299" s="40"/>
      <c r="M299" s="41" t="str">
        <f t="shared" si="4"/>
        <v>INT-0001-25</v>
      </c>
      <c r="N299" s="49"/>
      <c r="O299" s="46"/>
    </row>
    <row r="300" spans="1:15" ht="15" x14ac:dyDescent="0.25">
      <c r="A300" s="233">
        <v>45659</v>
      </c>
      <c r="B300" s="35" t="s">
        <v>932</v>
      </c>
      <c r="C300" s="36" t="s">
        <v>1066</v>
      </c>
      <c r="D300" s="48" t="s">
        <v>36</v>
      </c>
      <c r="E300" s="38" t="s">
        <v>37</v>
      </c>
      <c r="F300" s="205" t="s">
        <v>821</v>
      </c>
      <c r="G300" s="233">
        <v>45777</v>
      </c>
      <c r="H300" s="205" t="s">
        <v>937</v>
      </c>
      <c r="I300" s="48">
        <v>8</v>
      </c>
      <c r="J300" s="165" t="s">
        <v>944</v>
      </c>
      <c r="K300" s="40" t="s">
        <v>438</v>
      </c>
      <c r="L300" s="40"/>
      <c r="M300" s="41" t="str">
        <f t="shared" si="4"/>
        <v>INT-0001-25</v>
      </c>
      <c r="N300" s="49"/>
      <c r="O300" s="46"/>
    </row>
    <row r="301" spans="1:15" ht="15" x14ac:dyDescent="0.25">
      <c r="A301" s="233">
        <v>45659</v>
      </c>
      <c r="B301" s="35" t="s">
        <v>932</v>
      </c>
      <c r="C301" s="36" t="s">
        <v>1066</v>
      </c>
      <c r="D301" s="48" t="s">
        <v>28</v>
      </c>
      <c r="E301" s="38" t="s">
        <v>29</v>
      </c>
      <c r="F301" s="205" t="s">
        <v>943</v>
      </c>
      <c r="G301" s="233">
        <v>45838</v>
      </c>
      <c r="H301" s="205" t="s">
        <v>938</v>
      </c>
      <c r="I301" s="48">
        <v>133</v>
      </c>
      <c r="J301" s="165" t="s">
        <v>944</v>
      </c>
      <c r="K301" s="40" t="s">
        <v>438</v>
      </c>
      <c r="L301" s="40"/>
      <c r="M301" s="41" t="str">
        <f t="shared" si="4"/>
        <v>INT-0001-25</v>
      </c>
      <c r="N301" s="49"/>
      <c r="O301" s="46"/>
    </row>
    <row r="302" spans="1:15" ht="15" x14ac:dyDescent="0.25">
      <c r="A302" s="233">
        <v>45659</v>
      </c>
      <c r="B302" s="35" t="s">
        <v>932</v>
      </c>
      <c r="C302" s="36" t="s">
        <v>1066</v>
      </c>
      <c r="D302" s="48" t="s">
        <v>34</v>
      </c>
      <c r="E302" s="38" t="s">
        <v>35</v>
      </c>
      <c r="F302" s="205" t="s">
        <v>612</v>
      </c>
      <c r="G302" s="233">
        <v>45808</v>
      </c>
      <c r="H302" s="205" t="s">
        <v>939</v>
      </c>
      <c r="I302" s="48">
        <v>103</v>
      </c>
      <c r="J302" s="165" t="s">
        <v>944</v>
      </c>
      <c r="K302" s="40" t="s">
        <v>438</v>
      </c>
      <c r="L302" s="40"/>
      <c r="M302" s="41" t="str">
        <f t="shared" si="4"/>
        <v>INT-0001-25</v>
      </c>
      <c r="N302" s="49"/>
      <c r="O302" s="46"/>
    </row>
    <row r="303" spans="1:15" ht="15" x14ac:dyDescent="0.25">
      <c r="A303" s="233">
        <v>45659</v>
      </c>
      <c r="B303" s="35" t="s">
        <v>932</v>
      </c>
      <c r="C303" s="36" t="s">
        <v>1066</v>
      </c>
      <c r="D303" s="48" t="s">
        <v>34</v>
      </c>
      <c r="E303" s="38" t="s">
        <v>35</v>
      </c>
      <c r="F303" s="205" t="s">
        <v>610</v>
      </c>
      <c r="G303" s="233">
        <v>45747</v>
      </c>
      <c r="H303" s="205" t="s">
        <v>940</v>
      </c>
      <c r="I303" s="48">
        <v>17</v>
      </c>
      <c r="J303" s="165" t="s">
        <v>944</v>
      </c>
      <c r="K303" s="40" t="s">
        <v>438</v>
      </c>
      <c r="L303" s="40"/>
      <c r="M303" s="41" t="str">
        <f t="shared" si="4"/>
        <v>INT-0001-25</v>
      </c>
      <c r="N303" s="49"/>
      <c r="O303" s="46"/>
    </row>
    <row r="304" spans="1:15" ht="15" x14ac:dyDescent="0.25">
      <c r="A304" s="233">
        <v>45660</v>
      </c>
      <c r="B304" s="35" t="s">
        <v>945</v>
      </c>
      <c r="C304" s="47" t="s">
        <v>5</v>
      </c>
      <c r="D304" s="48" t="s">
        <v>946</v>
      </c>
      <c r="E304" s="38" t="s">
        <v>947</v>
      </c>
      <c r="F304" s="205" t="s">
        <v>948</v>
      </c>
      <c r="G304" s="233">
        <v>45663</v>
      </c>
      <c r="H304" s="205" t="s">
        <v>949</v>
      </c>
      <c r="I304" s="48">
        <v>3</v>
      </c>
      <c r="J304" s="165" t="s">
        <v>954</v>
      </c>
      <c r="K304" s="40" t="s">
        <v>438</v>
      </c>
      <c r="L304" s="40"/>
      <c r="M304" s="41" t="str">
        <f t="shared" si="4"/>
        <v>INT-0002-25</v>
      </c>
      <c r="N304" s="49"/>
      <c r="O304" s="46"/>
    </row>
    <row r="305" spans="1:15" ht="15" x14ac:dyDescent="0.25">
      <c r="A305" s="233">
        <v>45660</v>
      </c>
      <c r="B305" s="35" t="s">
        <v>945</v>
      </c>
      <c r="C305" s="47" t="s">
        <v>5</v>
      </c>
      <c r="D305" s="48" t="s">
        <v>882</v>
      </c>
      <c r="E305" s="38" t="s">
        <v>883</v>
      </c>
      <c r="F305" s="205" t="s">
        <v>884</v>
      </c>
      <c r="G305" s="233">
        <v>45658</v>
      </c>
      <c r="H305" s="205" t="s">
        <v>950</v>
      </c>
      <c r="I305" s="48">
        <v>160</v>
      </c>
      <c r="J305" s="165" t="s">
        <v>954</v>
      </c>
      <c r="K305" s="40" t="s">
        <v>438</v>
      </c>
      <c r="L305" s="40"/>
      <c r="M305" s="41" t="str">
        <f t="shared" si="4"/>
        <v>INT-0002-25</v>
      </c>
      <c r="N305" s="49"/>
      <c r="O305" s="46"/>
    </row>
    <row r="306" spans="1:15" ht="15" x14ac:dyDescent="0.25">
      <c r="A306" s="233">
        <v>45660</v>
      </c>
      <c r="B306" s="35" t="s">
        <v>945</v>
      </c>
      <c r="C306" s="47" t="s">
        <v>5</v>
      </c>
      <c r="D306" s="48" t="s">
        <v>946</v>
      </c>
      <c r="E306" s="38" t="s">
        <v>947</v>
      </c>
      <c r="F306" s="205" t="s">
        <v>951</v>
      </c>
      <c r="G306" s="233">
        <v>45663</v>
      </c>
      <c r="H306" s="205" t="s">
        <v>952</v>
      </c>
      <c r="I306" s="48">
        <v>4</v>
      </c>
      <c r="J306" s="165" t="s">
        <v>954</v>
      </c>
      <c r="K306" s="40" t="s">
        <v>438</v>
      </c>
      <c r="L306" s="40"/>
      <c r="M306" s="41" t="str">
        <f t="shared" si="4"/>
        <v>INT-0002-25</v>
      </c>
      <c r="N306" s="49"/>
      <c r="O306" s="46"/>
    </row>
    <row r="307" spans="1:15" ht="15" x14ac:dyDescent="0.25">
      <c r="A307" s="233">
        <v>45660</v>
      </c>
      <c r="B307" s="35" t="s">
        <v>945</v>
      </c>
      <c r="C307" s="47" t="s">
        <v>5</v>
      </c>
      <c r="D307" s="48" t="s">
        <v>872</v>
      </c>
      <c r="E307" s="38" t="s">
        <v>873</v>
      </c>
      <c r="F307" s="205" t="s">
        <v>874</v>
      </c>
      <c r="G307" s="233">
        <v>45679</v>
      </c>
      <c r="H307" s="205" t="s">
        <v>953</v>
      </c>
      <c r="I307" s="48">
        <v>149</v>
      </c>
      <c r="J307" s="165" t="s">
        <v>954</v>
      </c>
      <c r="K307" s="40" t="s">
        <v>438</v>
      </c>
      <c r="L307" s="40"/>
      <c r="M307" s="41" t="str">
        <f t="shared" si="4"/>
        <v>INT-0002-25</v>
      </c>
      <c r="N307" s="49"/>
      <c r="O307" s="46"/>
    </row>
    <row r="308" spans="1:15" ht="15" x14ac:dyDescent="0.25">
      <c r="A308" s="233">
        <v>45660</v>
      </c>
      <c r="B308" s="35" t="s">
        <v>955</v>
      </c>
      <c r="C308" s="47" t="s">
        <v>5</v>
      </c>
      <c r="D308" s="48" t="s">
        <v>957</v>
      </c>
      <c r="E308" s="38" t="s">
        <v>956</v>
      </c>
      <c r="F308" s="205" t="s">
        <v>959</v>
      </c>
      <c r="G308" s="233">
        <v>46119</v>
      </c>
      <c r="H308" s="205" t="s">
        <v>958</v>
      </c>
      <c r="I308" s="48">
        <v>1</v>
      </c>
      <c r="J308" s="165" t="s">
        <v>517</v>
      </c>
      <c r="K308" s="40" t="s">
        <v>960</v>
      </c>
      <c r="L308" s="40"/>
      <c r="M308" s="41" t="str">
        <f t="shared" si="4"/>
        <v>INT-0003-25</v>
      </c>
      <c r="N308" s="40" t="s">
        <v>988</v>
      </c>
      <c r="O308" s="46"/>
    </row>
    <row r="309" spans="1:15" ht="28.5" x14ac:dyDescent="0.25">
      <c r="A309" s="233">
        <v>45663</v>
      </c>
      <c r="B309" s="35" t="s">
        <v>966</v>
      </c>
      <c r="C309" s="47" t="s">
        <v>235</v>
      </c>
      <c r="D309" s="48" t="s">
        <v>961</v>
      </c>
      <c r="E309" s="38" t="s">
        <v>962</v>
      </c>
      <c r="F309" s="205" t="s">
        <v>963</v>
      </c>
      <c r="G309" s="233">
        <v>46795</v>
      </c>
      <c r="H309" s="205" t="s">
        <v>964</v>
      </c>
      <c r="I309" s="48">
        <v>2</v>
      </c>
      <c r="J309" s="165" t="s">
        <v>965</v>
      </c>
      <c r="K309" s="40" t="s">
        <v>1071</v>
      </c>
      <c r="L309" s="40"/>
      <c r="M309" s="41" t="str">
        <f t="shared" si="4"/>
        <v>INT-0004-25</v>
      </c>
      <c r="N309" s="49"/>
      <c r="O309" s="46"/>
    </row>
    <row r="310" spans="1:15" ht="15" x14ac:dyDescent="0.25">
      <c r="A310" s="233">
        <v>45670</v>
      </c>
      <c r="B310" s="35" t="s">
        <v>967</v>
      </c>
      <c r="C310" s="47" t="s">
        <v>5</v>
      </c>
      <c r="D310" s="37" t="s">
        <v>39</v>
      </c>
      <c r="E310" s="38" t="s">
        <v>40</v>
      </c>
      <c r="F310" s="205" t="s">
        <v>973</v>
      </c>
      <c r="G310" s="233">
        <v>45991</v>
      </c>
      <c r="H310" s="205" t="s">
        <v>970</v>
      </c>
      <c r="I310" s="48">
        <v>50</v>
      </c>
      <c r="J310" s="165" t="s">
        <v>976</v>
      </c>
      <c r="K310" s="40" t="s">
        <v>410</v>
      </c>
      <c r="L310" s="40"/>
      <c r="M310" s="41" t="str">
        <f t="shared" si="4"/>
        <v>INT-0005-25</v>
      </c>
      <c r="N310" s="49"/>
      <c r="O310" s="46"/>
    </row>
    <row r="311" spans="1:15" ht="15" x14ac:dyDescent="0.25">
      <c r="A311" s="233">
        <v>45670</v>
      </c>
      <c r="B311" s="35" t="s">
        <v>967</v>
      </c>
      <c r="C311" s="47" t="s">
        <v>5</v>
      </c>
      <c r="D311" s="37" t="s">
        <v>968</v>
      </c>
      <c r="E311" s="38" t="s">
        <v>969</v>
      </c>
      <c r="F311" s="205" t="s">
        <v>974</v>
      </c>
      <c r="G311" s="233">
        <v>45961</v>
      </c>
      <c r="H311" s="205" t="s">
        <v>971</v>
      </c>
      <c r="I311" s="48">
        <v>50</v>
      </c>
      <c r="J311" s="165" t="s">
        <v>976</v>
      </c>
      <c r="K311" s="40" t="s">
        <v>410</v>
      </c>
      <c r="L311" s="40"/>
      <c r="M311" s="41" t="str">
        <f t="shared" si="4"/>
        <v>INT-0005-25</v>
      </c>
      <c r="N311" s="49"/>
      <c r="O311" s="46"/>
    </row>
    <row r="312" spans="1:15" ht="15" x14ac:dyDescent="0.25">
      <c r="A312" s="233">
        <v>45670</v>
      </c>
      <c r="B312" s="35" t="s">
        <v>967</v>
      </c>
      <c r="C312" s="47" t="s">
        <v>5</v>
      </c>
      <c r="D312" s="37" t="s">
        <v>31</v>
      </c>
      <c r="E312" s="38" t="s">
        <v>32</v>
      </c>
      <c r="F312" s="205" t="s">
        <v>975</v>
      </c>
      <c r="G312" s="233">
        <v>46022</v>
      </c>
      <c r="H312" s="205" t="s">
        <v>972</v>
      </c>
      <c r="I312" s="48">
        <v>15</v>
      </c>
      <c r="J312" s="165" t="s">
        <v>976</v>
      </c>
      <c r="K312" s="40" t="s">
        <v>410</v>
      </c>
      <c r="L312" s="40"/>
      <c r="M312" s="41" t="str">
        <f t="shared" si="4"/>
        <v>INT-0005-25</v>
      </c>
      <c r="N312" s="49"/>
      <c r="O312" s="46"/>
    </row>
    <row r="313" spans="1:15" ht="15" x14ac:dyDescent="0.25">
      <c r="A313" s="233">
        <v>45670</v>
      </c>
      <c r="B313" s="35" t="s">
        <v>977</v>
      </c>
      <c r="C313" s="47" t="s">
        <v>5</v>
      </c>
      <c r="D313" s="48" t="s">
        <v>34</v>
      </c>
      <c r="E313" s="38" t="s">
        <v>35</v>
      </c>
      <c r="F313" s="205" t="s">
        <v>468</v>
      </c>
      <c r="G313" s="233">
        <v>45716</v>
      </c>
      <c r="H313" s="205" t="s">
        <v>978</v>
      </c>
      <c r="I313" s="48">
        <v>2</v>
      </c>
      <c r="J313" s="165" t="s">
        <v>976</v>
      </c>
      <c r="K313" s="40" t="s">
        <v>410</v>
      </c>
      <c r="L313" s="40" t="s">
        <v>981</v>
      </c>
      <c r="M313" s="41" t="str">
        <f t="shared" si="4"/>
        <v>INT-0006-25</v>
      </c>
      <c r="N313" s="49"/>
      <c r="O313" s="46"/>
    </row>
    <row r="314" spans="1:15" ht="15" x14ac:dyDescent="0.25">
      <c r="A314" s="233">
        <v>45670</v>
      </c>
      <c r="B314" s="35" t="s">
        <v>977</v>
      </c>
      <c r="C314" s="47" t="s">
        <v>5</v>
      </c>
      <c r="D314" s="48" t="s">
        <v>34</v>
      </c>
      <c r="E314" s="38" t="s">
        <v>35</v>
      </c>
      <c r="F314" s="205" t="s">
        <v>612</v>
      </c>
      <c r="G314" s="233">
        <v>45808</v>
      </c>
      <c r="H314" s="205" t="s">
        <v>979</v>
      </c>
      <c r="I314" s="48">
        <v>3</v>
      </c>
      <c r="J314" s="165" t="s">
        <v>976</v>
      </c>
      <c r="K314" s="40" t="s">
        <v>410</v>
      </c>
      <c r="L314" s="40" t="s">
        <v>981</v>
      </c>
      <c r="M314" s="41" t="str">
        <f t="shared" si="4"/>
        <v>INT-0006-25</v>
      </c>
      <c r="N314" s="49"/>
      <c r="O314" s="46"/>
    </row>
    <row r="315" spans="1:15" ht="15" x14ac:dyDescent="0.25">
      <c r="A315" s="233">
        <v>45670</v>
      </c>
      <c r="B315" s="35" t="s">
        <v>977</v>
      </c>
      <c r="C315" s="47" t="s">
        <v>5</v>
      </c>
      <c r="D315" s="48" t="s">
        <v>34</v>
      </c>
      <c r="E315" s="38" t="s">
        <v>35</v>
      </c>
      <c r="F315" s="205" t="s">
        <v>637</v>
      </c>
      <c r="G315" s="233">
        <v>45716</v>
      </c>
      <c r="H315" s="205" t="s">
        <v>980</v>
      </c>
      <c r="I315" s="48">
        <v>5</v>
      </c>
      <c r="J315" s="165" t="s">
        <v>976</v>
      </c>
      <c r="K315" s="40" t="s">
        <v>410</v>
      </c>
      <c r="L315" s="40" t="s">
        <v>981</v>
      </c>
      <c r="M315" s="41" t="str">
        <f t="shared" si="4"/>
        <v>INT-0006-25</v>
      </c>
      <c r="N315" s="49"/>
      <c r="O315" s="46"/>
    </row>
    <row r="316" spans="1:15" ht="15" x14ac:dyDescent="0.25">
      <c r="A316" s="233">
        <v>45672</v>
      </c>
      <c r="B316" s="35" t="s">
        <v>977</v>
      </c>
      <c r="C316" s="47" t="s">
        <v>5</v>
      </c>
      <c r="D316" s="48" t="s">
        <v>36</v>
      </c>
      <c r="E316" s="38" t="s">
        <v>37</v>
      </c>
      <c r="F316" s="205" t="s">
        <v>748</v>
      </c>
      <c r="G316" s="233">
        <v>45716</v>
      </c>
      <c r="H316" s="205" t="s">
        <v>982</v>
      </c>
      <c r="I316" s="48">
        <v>1</v>
      </c>
      <c r="J316" s="165" t="s">
        <v>976</v>
      </c>
      <c r="K316" s="40" t="s">
        <v>410</v>
      </c>
      <c r="L316" s="40" t="s">
        <v>984</v>
      </c>
      <c r="M316" s="41" t="str">
        <f t="shared" si="4"/>
        <v>INT-0006-25</v>
      </c>
      <c r="N316" s="49"/>
      <c r="O316" s="46"/>
    </row>
    <row r="317" spans="1:15" ht="15" x14ac:dyDescent="0.25">
      <c r="A317" s="233">
        <v>45672</v>
      </c>
      <c r="B317" s="35" t="s">
        <v>977</v>
      </c>
      <c r="C317" s="47" t="s">
        <v>5</v>
      </c>
      <c r="D317" s="48" t="s">
        <v>42</v>
      </c>
      <c r="E317" s="38" t="s">
        <v>43</v>
      </c>
      <c r="F317" s="205" t="s">
        <v>749</v>
      </c>
      <c r="G317" s="233">
        <v>45688</v>
      </c>
      <c r="H317" s="205" t="s">
        <v>983</v>
      </c>
      <c r="I317" s="48">
        <v>1</v>
      </c>
      <c r="J317" s="165" t="s">
        <v>976</v>
      </c>
      <c r="K317" s="40" t="s">
        <v>410</v>
      </c>
      <c r="L317" s="40" t="s">
        <v>984</v>
      </c>
      <c r="M317" s="41" t="str">
        <f t="shared" si="4"/>
        <v>INT-0006-25</v>
      </c>
      <c r="N317" s="49"/>
      <c r="O317" s="46"/>
    </row>
    <row r="318" spans="1:15" ht="15" x14ac:dyDescent="0.25">
      <c r="A318" s="233">
        <v>45672</v>
      </c>
      <c r="B318" s="35" t="s">
        <v>985</v>
      </c>
      <c r="C318" s="47" t="s">
        <v>547</v>
      </c>
      <c r="D318" s="37" t="s">
        <v>537</v>
      </c>
      <c r="E318" s="38" t="s">
        <v>303</v>
      </c>
      <c r="F318" s="205" t="s">
        <v>901</v>
      </c>
      <c r="G318" s="233">
        <v>46426</v>
      </c>
      <c r="H318" s="205" t="s">
        <v>986</v>
      </c>
      <c r="I318" s="48">
        <v>1</v>
      </c>
      <c r="J318" s="257" t="s">
        <v>716</v>
      </c>
      <c r="K318" s="40" t="s">
        <v>1072</v>
      </c>
      <c r="L318" s="40" t="s">
        <v>987</v>
      </c>
      <c r="M318" s="41" t="str">
        <f t="shared" si="4"/>
        <v>INT-0007-25</v>
      </c>
      <c r="N318" s="49"/>
      <c r="O318" s="46"/>
    </row>
    <row r="319" spans="1:15" ht="15" x14ac:dyDescent="0.25">
      <c r="A319" s="233">
        <v>45674</v>
      </c>
      <c r="B319" s="35" t="s">
        <v>992</v>
      </c>
      <c r="C319" s="36" t="s">
        <v>1066</v>
      </c>
      <c r="D319" s="48" t="s">
        <v>36</v>
      </c>
      <c r="E319" s="38" t="s">
        <v>37</v>
      </c>
      <c r="F319" s="205" t="s">
        <v>941</v>
      </c>
      <c r="G319" s="233">
        <v>45838</v>
      </c>
      <c r="H319" s="205" t="s">
        <v>993</v>
      </c>
      <c r="I319" s="48">
        <v>4</v>
      </c>
      <c r="J319" s="165" t="s">
        <v>1015</v>
      </c>
      <c r="K319" s="40" t="s">
        <v>410</v>
      </c>
      <c r="L319" s="40" t="s">
        <v>1016</v>
      </c>
      <c r="M319" s="41" t="str">
        <f t="shared" si="4"/>
        <v>INT-0008-25</v>
      </c>
      <c r="N319" s="49"/>
      <c r="O319" s="301"/>
    </row>
    <row r="320" spans="1:15" ht="15" x14ac:dyDescent="0.25">
      <c r="A320" s="233">
        <v>45674</v>
      </c>
      <c r="B320" s="35" t="s">
        <v>992</v>
      </c>
      <c r="C320" s="36" t="s">
        <v>1066</v>
      </c>
      <c r="D320" s="48" t="s">
        <v>42</v>
      </c>
      <c r="E320" s="38" t="s">
        <v>43</v>
      </c>
      <c r="F320" s="205" t="s">
        <v>825</v>
      </c>
      <c r="G320" s="233">
        <v>45777</v>
      </c>
      <c r="H320" s="205" t="s">
        <v>994</v>
      </c>
      <c r="I320" s="48">
        <v>4</v>
      </c>
      <c r="J320" s="165" t="s">
        <v>1015</v>
      </c>
      <c r="K320" s="40" t="s">
        <v>410</v>
      </c>
      <c r="L320" s="40" t="s">
        <v>1017</v>
      </c>
      <c r="M320" s="41" t="str">
        <f t="shared" si="4"/>
        <v>INT-0008-25</v>
      </c>
      <c r="N320" s="49"/>
      <c r="O320" s="301"/>
    </row>
    <row r="321" spans="1:15" ht="15" x14ac:dyDescent="0.25">
      <c r="A321" s="233">
        <v>45674</v>
      </c>
      <c r="B321" s="35" t="s">
        <v>992</v>
      </c>
      <c r="C321" s="36" t="s">
        <v>1066</v>
      </c>
      <c r="D321" s="48" t="s">
        <v>968</v>
      </c>
      <c r="E321" s="38" t="s">
        <v>969</v>
      </c>
      <c r="F321" s="205" t="s">
        <v>995</v>
      </c>
      <c r="G321" s="233">
        <v>45808</v>
      </c>
      <c r="H321" s="205" t="s">
        <v>996</v>
      </c>
      <c r="I321" s="48">
        <v>3</v>
      </c>
      <c r="J321" s="165" t="s">
        <v>1015</v>
      </c>
      <c r="K321" s="40" t="s">
        <v>410</v>
      </c>
      <c r="L321" s="40" t="s">
        <v>1017</v>
      </c>
      <c r="M321" s="41" t="str">
        <f t="shared" si="4"/>
        <v>INT-0008-25</v>
      </c>
      <c r="N321" s="49"/>
      <c r="O321" s="301"/>
    </row>
    <row r="322" spans="1:15" ht="15" x14ac:dyDescent="0.25">
      <c r="A322" s="233">
        <v>45674</v>
      </c>
      <c r="B322" s="35" t="s">
        <v>992</v>
      </c>
      <c r="C322" s="36" t="s">
        <v>1066</v>
      </c>
      <c r="D322" s="48" t="s">
        <v>34</v>
      </c>
      <c r="E322" s="38" t="s">
        <v>35</v>
      </c>
      <c r="F322" s="205" t="s">
        <v>616</v>
      </c>
      <c r="G322" s="233">
        <v>45747</v>
      </c>
      <c r="H322" s="205" t="s">
        <v>997</v>
      </c>
      <c r="I322" s="48">
        <v>4</v>
      </c>
      <c r="J322" s="165" t="s">
        <v>1015</v>
      </c>
      <c r="K322" s="40" t="s">
        <v>410</v>
      </c>
      <c r="L322" s="40" t="s">
        <v>1017</v>
      </c>
      <c r="M322" s="41" t="str">
        <f t="shared" ref="M322:M385" si="5">HYPERLINK("P:\7. LONG HAU\7. CAC THEO DOI TRONG QUA TRINH\4. DEVIATION- INCIDENTS\THEO DÕI NỘI BỘ (NGOÀI BBSC)\"&amp;YEAR(A322)&amp;"\"&amp;B322,B322)</f>
        <v>INT-0008-25</v>
      </c>
      <c r="N322" s="49"/>
      <c r="O322" s="301"/>
    </row>
    <row r="323" spans="1:15" ht="15" x14ac:dyDescent="0.25">
      <c r="A323" s="233">
        <v>45674</v>
      </c>
      <c r="B323" s="35" t="s">
        <v>992</v>
      </c>
      <c r="C323" s="36" t="s">
        <v>1066</v>
      </c>
      <c r="D323" s="48" t="s">
        <v>39</v>
      </c>
      <c r="E323" s="38" t="s">
        <v>40</v>
      </c>
      <c r="F323" s="205" t="s">
        <v>614</v>
      </c>
      <c r="G323" s="233">
        <v>45991</v>
      </c>
      <c r="H323" s="205" t="s">
        <v>998</v>
      </c>
      <c r="I323" s="48">
        <v>4</v>
      </c>
      <c r="J323" s="165" t="s">
        <v>1015</v>
      </c>
      <c r="K323" s="40" t="s">
        <v>410</v>
      </c>
      <c r="L323" s="40" t="s">
        <v>1017</v>
      </c>
      <c r="M323" s="41" t="str">
        <f t="shared" si="5"/>
        <v>INT-0008-25</v>
      </c>
      <c r="N323" s="49"/>
      <c r="O323" s="301"/>
    </row>
    <row r="324" spans="1:15" ht="15" x14ac:dyDescent="0.25">
      <c r="A324" s="233">
        <v>45674</v>
      </c>
      <c r="B324" s="35" t="s">
        <v>992</v>
      </c>
      <c r="C324" s="36" t="s">
        <v>1066</v>
      </c>
      <c r="D324" s="48" t="s">
        <v>36</v>
      </c>
      <c r="E324" s="38" t="s">
        <v>37</v>
      </c>
      <c r="F324" s="205" t="s">
        <v>941</v>
      </c>
      <c r="G324" s="233">
        <v>45838</v>
      </c>
      <c r="H324" s="205" t="s">
        <v>999</v>
      </c>
      <c r="I324" s="48">
        <v>8</v>
      </c>
      <c r="J324" s="165" t="s">
        <v>1015</v>
      </c>
      <c r="K324" s="40" t="s">
        <v>410</v>
      </c>
      <c r="L324" s="40" t="s">
        <v>1018</v>
      </c>
      <c r="M324" s="41" t="str">
        <f t="shared" si="5"/>
        <v>INT-0008-25</v>
      </c>
      <c r="N324" s="49"/>
      <c r="O324" s="301"/>
    </row>
    <row r="325" spans="1:15" ht="15" x14ac:dyDescent="0.25">
      <c r="A325" s="233">
        <v>45674</v>
      </c>
      <c r="B325" s="35" t="s">
        <v>992</v>
      </c>
      <c r="C325" s="36" t="s">
        <v>1066</v>
      </c>
      <c r="D325" s="48" t="s">
        <v>36</v>
      </c>
      <c r="E325" s="38" t="s">
        <v>37</v>
      </c>
      <c r="F325" s="205" t="s">
        <v>941</v>
      </c>
      <c r="G325" s="233">
        <v>45838</v>
      </c>
      <c r="H325" s="205" t="s">
        <v>1000</v>
      </c>
      <c r="I325" s="48">
        <v>3</v>
      </c>
      <c r="J325" s="165" t="s">
        <v>1015</v>
      </c>
      <c r="K325" s="40" t="s">
        <v>410</v>
      </c>
      <c r="L325" s="40" t="s">
        <v>1019</v>
      </c>
      <c r="M325" s="41" t="str">
        <f t="shared" si="5"/>
        <v>INT-0008-25</v>
      </c>
      <c r="N325" s="49"/>
      <c r="O325" s="301"/>
    </row>
    <row r="326" spans="1:15" ht="15" x14ac:dyDescent="0.25">
      <c r="A326" s="233">
        <v>45674</v>
      </c>
      <c r="B326" s="35" t="s">
        <v>992</v>
      </c>
      <c r="C326" s="36" t="s">
        <v>1066</v>
      </c>
      <c r="D326" s="48" t="s">
        <v>42</v>
      </c>
      <c r="E326" s="38" t="s">
        <v>43</v>
      </c>
      <c r="F326" s="205" t="s">
        <v>825</v>
      </c>
      <c r="G326" s="233">
        <v>45777</v>
      </c>
      <c r="H326" s="205" t="s">
        <v>1001</v>
      </c>
      <c r="I326" s="48">
        <v>3</v>
      </c>
      <c r="J326" s="165" t="s">
        <v>1015</v>
      </c>
      <c r="K326" s="40" t="s">
        <v>410</v>
      </c>
      <c r="L326" s="40" t="s">
        <v>1019</v>
      </c>
      <c r="M326" s="41" t="str">
        <f t="shared" si="5"/>
        <v>INT-0008-25</v>
      </c>
      <c r="N326" s="49"/>
      <c r="O326" s="301"/>
    </row>
    <row r="327" spans="1:15" ht="15" x14ac:dyDescent="0.25">
      <c r="A327" s="233">
        <v>45674</v>
      </c>
      <c r="B327" s="35" t="s">
        <v>992</v>
      </c>
      <c r="C327" s="36" t="s">
        <v>1066</v>
      </c>
      <c r="D327" s="48" t="s">
        <v>239</v>
      </c>
      <c r="E327" s="38" t="s">
        <v>240</v>
      </c>
      <c r="F327" s="205" t="s">
        <v>1002</v>
      </c>
      <c r="G327" s="233">
        <v>46022</v>
      </c>
      <c r="H327" s="205" t="s">
        <v>1003</v>
      </c>
      <c r="I327" s="48">
        <v>1</v>
      </c>
      <c r="J327" s="165" t="s">
        <v>1015</v>
      </c>
      <c r="K327" s="40" t="s">
        <v>410</v>
      </c>
      <c r="L327" s="40" t="s">
        <v>1019</v>
      </c>
      <c r="M327" s="41" t="str">
        <f t="shared" si="5"/>
        <v>INT-0008-25</v>
      </c>
      <c r="N327" s="49"/>
      <c r="O327" s="301"/>
    </row>
    <row r="328" spans="1:15" ht="15" x14ac:dyDescent="0.25">
      <c r="A328" s="233">
        <v>45674</v>
      </c>
      <c r="B328" s="35" t="s">
        <v>992</v>
      </c>
      <c r="C328" s="36" t="s">
        <v>1066</v>
      </c>
      <c r="D328" s="48" t="s">
        <v>31</v>
      </c>
      <c r="E328" s="38" t="s">
        <v>32</v>
      </c>
      <c r="F328" s="205" t="s">
        <v>1004</v>
      </c>
      <c r="G328" s="233">
        <v>45930</v>
      </c>
      <c r="H328" s="205" t="s">
        <v>1005</v>
      </c>
      <c r="I328" s="48">
        <v>2</v>
      </c>
      <c r="J328" s="165" t="s">
        <v>1015</v>
      </c>
      <c r="K328" s="40" t="s">
        <v>410</v>
      </c>
      <c r="L328" s="40" t="s">
        <v>1019</v>
      </c>
      <c r="M328" s="41" t="str">
        <f t="shared" si="5"/>
        <v>INT-0008-25</v>
      </c>
      <c r="N328" s="49"/>
      <c r="O328" s="301"/>
    </row>
    <row r="329" spans="1:15" ht="15" x14ac:dyDescent="0.25">
      <c r="A329" s="233">
        <v>45674</v>
      </c>
      <c r="B329" s="35" t="s">
        <v>992</v>
      </c>
      <c r="C329" s="36" t="s">
        <v>1066</v>
      </c>
      <c r="D329" s="48" t="s">
        <v>1006</v>
      </c>
      <c r="E329" s="38" t="s">
        <v>1007</v>
      </c>
      <c r="F329" s="205" t="s">
        <v>1008</v>
      </c>
      <c r="G329" s="233">
        <v>45900</v>
      </c>
      <c r="H329" s="205" t="s">
        <v>1009</v>
      </c>
      <c r="I329" s="48">
        <v>2</v>
      </c>
      <c r="J329" s="165" t="s">
        <v>1015</v>
      </c>
      <c r="K329" s="40" t="s">
        <v>410</v>
      </c>
      <c r="L329" s="40" t="s">
        <v>1019</v>
      </c>
      <c r="M329" s="41" t="str">
        <f t="shared" si="5"/>
        <v>INT-0008-25</v>
      </c>
      <c r="N329" s="49"/>
      <c r="O329" s="301"/>
    </row>
    <row r="330" spans="1:15" ht="15" x14ac:dyDescent="0.25">
      <c r="A330" s="233">
        <v>45674</v>
      </c>
      <c r="B330" s="35" t="s">
        <v>992</v>
      </c>
      <c r="C330" s="36" t="s">
        <v>1066</v>
      </c>
      <c r="D330" s="48" t="s">
        <v>28</v>
      </c>
      <c r="E330" s="38" t="s">
        <v>29</v>
      </c>
      <c r="F330" s="205" t="s">
        <v>943</v>
      </c>
      <c r="G330" s="233">
        <v>45838</v>
      </c>
      <c r="H330" s="205" t="s">
        <v>1010</v>
      </c>
      <c r="I330" s="48">
        <v>2</v>
      </c>
      <c r="J330" s="165" t="s">
        <v>1015</v>
      </c>
      <c r="K330" s="40" t="s">
        <v>410</v>
      </c>
      <c r="L330" s="40" t="s">
        <v>1019</v>
      </c>
      <c r="M330" s="41" t="str">
        <f t="shared" si="5"/>
        <v>INT-0008-25</v>
      </c>
      <c r="N330" s="49"/>
      <c r="O330" s="301"/>
    </row>
    <row r="331" spans="1:15" ht="15" x14ac:dyDescent="0.25">
      <c r="A331" s="233">
        <v>45674</v>
      </c>
      <c r="B331" s="35" t="s">
        <v>992</v>
      </c>
      <c r="C331" s="36" t="s">
        <v>1066</v>
      </c>
      <c r="D331" s="48" t="s">
        <v>34</v>
      </c>
      <c r="E331" s="38" t="s">
        <v>35</v>
      </c>
      <c r="F331" s="205" t="s">
        <v>1011</v>
      </c>
      <c r="G331" s="233">
        <v>45869</v>
      </c>
      <c r="H331" s="205" t="s">
        <v>1012</v>
      </c>
      <c r="I331" s="48">
        <v>3</v>
      </c>
      <c r="J331" s="165" t="s">
        <v>1015</v>
      </c>
      <c r="K331" s="40" t="s">
        <v>410</v>
      </c>
      <c r="L331" s="40" t="s">
        <v>1019</v>
      </c>
      <c r="M331" s="41" t="str">
        <f t="shared" si="5"/>
        <v>INT-0008-25</v>
      </c>
      <c r="N331" s="49"/>
      <c r="O331" s="301"/>
    </row>
    <row r="332" spans="1:15" ht="15" x14ac:dyDescent="0.25">
      <c r="A332" s="233">
        <v>45674</v>
      </c>
      <c r="B332" s="35" t="s">
        <v>992</v>
      </c>
      <c r="C332" s="36" t="s">
        <v>1066</v>
      </c>
      <c r="D332" s="48" t="s">
        <v>39</v>
      </c>
      <c r="E332" s="38" t="s">
        <v>40</v>
      </c>
      <c r="F332" s="205" t="s">
        <v>614</v>
      </c>
      <c r="G332" s="233">
        <v>45991</v>
      </c>
      <c r="H332" s="205" t="s">
        <v>1013</v>
      </c>
      <c r="I332" s="48">
        <v>2</v>
      </c>
      <c r="J332" s="165" t="s">
        <v>1015</v>
      </c>
      <c r="K332" s="40" t="s">
        <v>410</v>
      </c>
      <c r="L332" s="40" t="s">
        <v>1019</v>
      </c>
      <c r="M332" s="41" t="str">
        <f t="shared" si="5"/>
        <v>INT-0008-25</v>
      </c>
      <c r="N332" s="49"/>
      <c r="O332" s="301"/>
    </row>
    <row r="333" spans="1:15" ht="15" x14ac:dyDescent="0.25">
      <c r="A333" s="233">
        <v>45674</v>
      </c>
      <c r="B333" s="35" t="s">
        <v>992</v>
      </c>
      <c r="C333" s="36" t="s">
        <v>1066</v>
      </c>
      <c r="D333" s="48" t="s">
        <v>968</v>
      </c>
      <c r="E333" s="38" t="s">
        <v>969</v>
      </c>
      <c r="F333" s="205" t="s">
        <v>974</v>
      </c>
      <c r="G333" s="233">
        <v>45961</v>
      </c>
      <c r="H333" s="205" t="s">
        <v>1014</v>
      </c>
      <c r="I333" s="48">
        <v>1</v>
      </c>
      <c r="J333" s="165" t="s">
        <v>1015</v>
      </c>
      <c r="K333" s="40" t="s">
        <v>410</v>
      </c>
      <c r="L333" s="40" t="s">
        <v>1019</v>
      </c>
      <c r="M333" s="41" t="str">
        <f t="shared" si="5"/>
        <v>INT-0008-25</v>
      </c>
      <c r="N333" s="49"/>
      <c r="O333" s="301"/>
    </row>
    <row r="334" spans="1:15" ht="15" x14ac:dyDescent="0.25">
      <c r="A334" s="233">
        <v>45674</v>
      </c>
      <c r="B334" s="35" t="s">
        <v>992</v>
      </c>
      <c r="C334" s="36" t="s">
        <v>1066</v>
      </c>
      <c r="D334" s="48" t="s">
        <v>47</v>
      </c>
      <c r="E334" s="38" t="s">
        <v>48</v>
      </c>
      <c r="F334" s="205" t="s">
        <v>619</v>
      </c>
      <c r="G334" s="233">
        <v>46112</v>
      </c>
      <c r="H334" s="205" t="s">
        <v>1022</v>
      </c>
      <c r="I334" s="48">
        <v>3</v>
      </c>
      <c r="J334" s="165" t="s">
        <v>1024</v>
      </c>
      <c r="K334" s="40" t="s">
        <v>410</v>
      </c>
      <c r="L334" s="40" t="s">
        <v>1025</v>
      </c>
      <c r="M334" s="41" t="str">
        <f t="shared" si="5"/>
        <v>INT-0008-25</v>
      </c>
      <c r="N334" s="49"/>
      <c r="O334" s="301"/>
    </row>
    <row r="335" spans="1:15" ht="15" x14ac:dyDescent="0.25">
      <c r="A335" s="233">
        <v>45674</v>
      </c>
      <c r="B335" s="35" t="s">
        <v>992</v>
      </c>
      <c r="C335" s="36" t="s">
        <v>1066</v>
      </c>
      <c r="D335" s="48" t="s">
        <v>47</v>
      </c>
      <c r="E335" s="38" t="s">
        <v>48</v>
      </c>
      <c r="F335" s="205" t="s">
        <v>619</v>
      </c>
      <c r="G335" s="233">
        <v>46112</v>
      </c>
      <c r="H335" s="205" t="s">
        <v>1023</v>
      </c>
      <c r="I335" s="48">
        <v>3</v>
      </c>
      <c r="J335" s="165" t="s">
        <v>1024</v>
      </c>
      <c r="K335" s="40" t="s">
        <v>410</v>
      </c>
      <c r="L335" s="40" t="s">
        <v>1026</v>
      </c>
      <c r="M335" s="41" t="str">
        <f t="shared" si="5"/>
        <v>INT-0008-25</v>
      </c>
      <c r="N335" s="49"/>
      <c r="O335" s="301"/>
    </row>
    <row r="336" spans="1:15" ht="15" x14ac:dyDescent="0.25">
      <c r="A336" s="233">
        <v>45677</v>
      </c>
      <c r="B336" s="35" t="s">
        <v>1021</v>
      </c>
      <c r="C336" s="47" t="s">
        <v>547</v>
      </c>
      <c r="D336" s="48" t="s">
        <v>537</v>
      </c>
      <c r="E336" s="38" t="s">
        <v>1020</v>
      </c>
      <c r="F336" s="202" t="s">
        <v>839</v>
      </c>
      <c r="G336" s="230" t="s">
        <v>839</v>
      </c>
      <c r="H336" s="202" t="s">
        <v>839</v>
      </c>
      <c r="I336" s="37" t="s">
        <v>839</v>
      </c>
      <c r="J336" s="50" t="s">
        <v>840</v>
      </c>
      <c r="K336" s="40" t="s">
        <v>1072</v>
      </c>
      <c r="L336" s="40" t="s">
        <v>1152</v>
      </c>
      <c r="M336" s="41" t="str">
        <f t="shared" si="5"/>
        <v>INT-0009-25</v>
      </c>
      <c r="N336" s="49"/>
      <c r="O336" s="301"/>
    </row>
    <row r="337" spans="1:15" ht="15" x14ac:dyDescent="0.25">
      <c r="A337" s="233">
        <v>45678</v>
      </c>
      <c r="B337" s="35" t="s">
        <v>1027</v>
      </c>
      <c r="C337" s="47" t="s">
        <v>5</v>
      </c>
      <c r="D337" s="48" t="s">
        <v>1028</v>
      </c>
      <c r="E337" s="38" t="s">
        <v>1029</v>
      </c>
      <c r="F337" s="205" t="s">
        <v>1030</v>
      </c>
      <c r="G337" s="233">
        <v>45731</v>
      </c>
      <c r="H337" s="205" t="s">
        <v>1031</v>
      </c>
      <c r="I337" s="48">
        <v>2</v>
      </c>
      <c r="J337" s="165" t="s">
        <v>1040</v>
      </c>
      <c r="K337" s="40" t="s">
        <v>438</v>
      </c>
      <c r="L337" s="40"/>
      <c r="M337" s="41" t="str">
        <f t="shared" si="5"/>
        <v>INT-0010-25</v>
      </c>
      <c r="N337" s="49"/>
      <c r="O337" s="301"/>
    </row>
    <row r="338" spans="1:15" ht="15" x14ac:dyDescent="0.25">
      <c r="A338" s="233">
        <v>45678</v>
      </c>
      <c r="B338" s="35" t="s">
        <v>1027</v>
      </c>
      <c r="C338" s="47" t="s">
        <v>5</v>
      </c>
      <c r="D338" s="48" t="s">
        <v>1032</v>
      </c>
      <c r="E338" s="38" t="s">
        <v>1033</v>
      </c>
      <c r="F338" s="205" t="s">
        <v>1034</v>
      </c>
      <c r="G338" s="233">
        <v>45692</v>
      </c>
      <c r="H338" s="205" t="s">
        <v>1035</v>
      </c>
      <c r="I338" s="48">
        <v>240</v>
      </c>
      <c r="J338" s="165" t="s">
        <v>1040</v>
      </c>
      <c r="K338" s="40" t="s">
        <v>438</v>
      </c>
      <c r="L338" s="40"/>
      <c r="M338" s="41" t="str">
        <f t="shared" si="5"/>
        <v>INT-0010-25</v>
      </c>
      <c r="N338" s="49"/>
      <c r="O338" s="301"/>
    </row>
    <row r="339" spans="1:15" ht="15" x14ac:dyDescent="0.25">
      <c r="A339" s="233">
        <v>45678</v>
      </c>
      <c r="B339" s="35" t="s">
        <v>1027</v>
      </c>
      <c r="C339" s="47" t="s">
        <v>5</v>
      </c>
      <c r="D339" s="48" t="s">
        <v>1032</v>
      </c>
      <c r="E339" s="38" t="s">
        <v>1033</v>
      </c>
      <c r="F339" s="205" t="s">
        <v>1034</v>
      </c>
      <c r="G339" s="233">
        <v>45692</v>
      </c>
      <c r="H339" s="205" t="s">
        <v>1101</v>
      </c>
      <c r="I339" s="48">
        <v>47</v>
      </c>
      <c r="J339" s="165" t="s">
        <v>1040</v>
      </c>
      <c r="K339" s="40" t="s">
        <v>438</v>
      </c>
      <c r="L339" s="40"/>
      <c r="M339" s="41" t="str">
        <f t="shared" si="5"/>
        <v>INT-0010-25</v>
      </c>
      <c r="N339" s="49"/>
      <c r="O339" s="301"/>
    </row>
    <row r="340" spans="1:15" ht="15" x14ac:dyDescent="0.25">
      <c r="A340" s="233">
        <v>45678</v>
      </c>
      <c r="B340" s="35" t="s">
        <v>1027</v>
      </c>
      <c r="C340" s="47" t="s">
        <v>5</v>
      </c>
      <c r="D340" s="48" t="s">
        <v>1036</v>
      </c>
      <c r="E340" s="38" t="s">
        <v>1037</v>
      </c>
      <c r="F340" s="205" t="s">
        <v>1038</v>
      </c>
      <c r="G340" s="233">
        <v>45716</v>
      </c>
      <c r="H340" s="205" t="s">
        <v>1039</v>
      </c>
      <c r="I340" s="48">
        <v>171</v>
      </c>
      <c r="J340" s="165" t="s">
        <v>1040</v>
      </c>
      <c r="K340" s="40" t="s">
        <v>438</v>
      </c>
      <c r="L340" s="40"/>
      <c r="M340" s="41" t="str">
        <f t="shared" si="5"/>
        <v>INT-0010-25</v>
      </c>
      <c r="N340" s="49"/>
      <c r="O340" s="301"/>
    </row>
    <row r="341" spans="1:15" ht="15" x14ac:dyDescent="0.25">
      <c r="A341" s="233">
        <v>45678</v>
      </c>
      <c r="B341" s="35" t="s">
        <v>1041</v>
      </c>
      <c r="C341" s="47" t="s">
        <v>216</v>
      </c>
      <c r="D341" s="48" t="s">
        <v>968</v>
      </c>
      <c r="E341" s="38" t="s">
        <v>969</v>
      </c>
      <c r="F341" s="205" t="s">
        <v>995</v>
      </c>
      <c r="G341" s="233">
        <v>45808</v>
      </c>
      <c r="H341" s="205" t="s">
        <v>1042</v>
      </c>
      <c r="I341" s="48">
        <v>5</v>
      </c>
      <c r="J341" s="165" t="s">
        <v>1043</v>
      </c>
      <c r="K341" s="40" t="s">
        <v>410</v>
      </c>
      <c r="L341" s="40"/>
      <c r="M341" s="41" t="str">
        <f t="shared" si="5"/>
        <v>INT-0011-25</v>
      </c>
      <c r="N341" s="49"/>
      <c r="O341" s="301"/>
    </row>
    <row r="342" spans="1:15" ht="15" x14ac:dyDescent="0.25">
      <c r="A342" s="233">
        <v>45679</v>
      </c>
      <c r="B342" s="35" t="s">
        <v>1049</v>
      </c>
      <c r="C342" s="47" t="s">
        <v>504</v>
      </c>
      <c r="D342" s="48" t="s">
        <v>28</v>
      </c>
      <c r="E342" s="38" t="s">
        <v>29</v>
      </c>
      <c r="F342" s="205" t="s">
        <v>524</v>
      </c>
      <c r="G342" s="233">
        <v>45688</v>
      </c>
      <c r="H342" s="205" t="s">
        <v>1044</v>
      </c>
      <c r="I342" s="48">
        <v>2</v>
      </c>
      <c r="J342" s="165" t="s">
        <v>1043</v>
      </c>
      <c r="K342" s="40" t="s">
        <v>438</v>
      </c>
      <c r="L342" s="40"/>
      <c r="M342" s="41" t="str">
        <f t="shared" si="5"/>
        <v>INT-0012-25</v>
      </c>
      <c r="N342" s="49"/>
      <c r="O342" s="301"/>
    </row>
    <row r="343" spans="1:15" ht="15" x14ac:dyDescent="0.25">
      <c r="A343" s="233">
        <v>45679</v>
      </c>
      <c r="B343" s="35" t="s">
        <v>1049</v>
      </c>
      <c r="C343" s="47" t="s">
        <v>504</v>
      </c>
      <c r="D343" s="48" t="s">
        <v>34</v>
      </c>
      <c r="E343" s="38" t="s">
        <v>35</v>
      </c>
      <c r="F343" s="205" t="s">
        <v>610</v>
      </c>
      <c r="G343" s="233">
        <v>45747</v>
      </c>
      <c r="H343" s="205" t="s">
        <v>1045</v>
      </c>
      <c r="I343" s="48">
        <v>8</v>
      </c>
      <c r="J343" s="165" t="s">
        <v>1043</v>
      </c>
      <c r="K343" s="40" t="s">
        <v>438</v>
      </c>
      <c r="L343" s="40"/>
      <c r="M343" s="41" t="str">
        <f t="shared" si="5"/>
        <v>INT-0012-25</v>
      </c>
      <c r="N343" s="49"/>
      <c r="O343" s="301"/>
    </row>
    <row r="344" spans="1:15" ht="15" x14ac:dyDescent="0.25">
      <c r="A344" s="233">
        <v>45679</v>
      </c>
      <c r="B344" s="35" t="s">
        <v>1049</v>
      </c>
      <c r="C344" s="47" t="s">
        <v>504</v>
      </c>
      <c r="D344" s="48" t="s">
        <v>28</v>
      </c>
      <c r="E344" s="38" t="s">
        <v>29</v>
      </c>
      <c r="F344" s="205" t="s">
        <v>465</v>
      </c>
      <c r="G344" s="233">
        <v>45716</v>
      </c>
      <c r="H344" s="205" t="s">
        <v>1046</v>
      </c>
      <c r="I344" s="48">
        <v>12</v>
      </c>
      <c r="J344" s="165" t="s">
        <v>1043</v>
      </c>
      <c r="K344" s="40" t="s">
        <v>438</v>
      </c>
      <c r="L344" s="40"/>
      <c r="M344" s="41" t="str">
        <f t="shared" si="5"/>
        <v>INT-0012-25</v>
      </c>
      <c r="N344" s="49"/>
      <c r="O344" s="301"/>
    </row>
    <row r="345" spans="1:15" ht="15" x14ac:dyDescent="0.25">
      <c r="A345" s="233">
        <v>45679</v>
      </c>
      <c r="B345" s="35" t="s">
        <v>1049</v>
      </c>
      <c r="C345" s="47" t="s">
        <v>504</v>
      </c>
      <c r="D345" s="48" t="s">
        <v>42</v>
      </c>
      <c r="E345" s="38" t="s">
        <v>43</v>
      </c>
      <c r="F345" s="205" t="s">
        <v>825</v>
      </c>
      <c r="G345" s="233">
        <v>45777</v>
      </c>
      <c r="H345" s="205" t="s">
        <v>1047</v>
      </c>
      <c r="I345" s="48">
        <v>3</v>
      </c>
      <c r="J345" s="165" t="s">
        <v>1043</v>
      </c>
      <c r="K345" s="40" t="s">
        <v>438</v>
      </c>
      <c r="L345" s="40"/>
      <c r="M345" s="41" t="str">
        <f t="shared" si="5"/>
        <v>INT-0012-25</v>
      </c>
      <c r="N345" s="49"/>
      <c r="O345" s="301"/>
    </row>
    <row r="346" spans="1:15" ht="15" x14ac:dyDescent="0.25">
      <c r="A346" s="233">
        <v>45679</v>
      </c>
      <c r="B346" s="35" t="s">
        <v>1049</v>
      </c>
      <c r="C346" s="47" t="s">
        <v>504</v>
      </c>
      <c r="D346" s="48" t="s">
        <v>42</v>
      </c>
      <c r="E346" s="38" t="s">
        <v>43</v>
      </c>
      <c r="F346" s="205" t="s">
        <v>522</v>
      </c>
      <c r="G346" s="233">
        <v>45747</v>
      </c>
      <c r="H346" s="205" t="s">
        <v>1048</v>
      </c>
      <c r="I346" s="48">
        <v>28</v>
      </c>
      <c r="J346" s="165" t="s">
        <v>1043</v>
      </c>
      <c r="K346" s="40" t="s">
        <v>438</v>
      </c>
      <c r="L346" s="40"/>
      <c r="M346" s="41" t="str">
        <f t="shared" si="5"/>
        <v>INT-0012-25</v>
      </c>
      <c r="N346" s="49"/>
      <c r="O346" s="301"/>
    </row>
    <row r="347" spans="1:15" ht="15" x14ac:dyDescent="0.25">
      <c r="A347" s="233">
        <v>45679</v>
      </c>
      <c r="B347" s="35" t="s">
        <v>1050</v>
      </c>
      <c r="C347" s="36" t="s">
        <v>1066</v>
      </c>
      <c r="D347" s="48" t="s">
        <v>36</v>
      </c>
      <c r="E347" s="38" t="s">
        <v>37</v>
      </c>
      <c r="F347" s="205" t="s">
        <v>941</v>
      </c>
      <c r="G347" s="233">
        <v>45838</v>
      </c>
      <c r="H347" s="205" t="s">
        <v>1055</v>
      </c>
      <c r="I347" s="48">
        <v>5</v>
      </c>
      <c r="J347" s="165" t="s">
        <v>1043</v>
      </c>
      <c r="K347" s="40" t="s">
        <v>410</v>
      </c>
      <c r="L347" s="40"/>
      <c r="M347" s="41" t="str">
        <f t="shared" si="5"/>
        <v>INT-0013-25</v>
      </c>
      <c r="N347" s="49"/>
      <c r="O347" s="301"/>
    </row>
    <row r="348" spans="1:15" ht="15" x14ac:dyDescent="0.25">
      <c r="A348" s="233">
        <v>45679</v>
      </c>
      <c r="B348" s="35" t="s">
        <v>1050</v>
      </c>
      <c r="C348" s="36" t="s">
        <v>1066</v>
      </c>
      <c r="D348" s="48" t="s">
        <v>28</v>
      </c>
      <c r="E348" s="38" t="s">
        <v>29</v>
      </c>
      <c r="F348" s="205" t="s">
        <v>943</v>
      </c>
      <c r="G348" s="233">
        <v>45838</v>
      </c>
      <c r="H348" s="205" t="s">
        <v>1054</v>
      </c>
      <c r="I348" s="48">
        <v>4</v>
      </c>
      <c r="J348" s="165" t="s">
        <v>1043</v>
      </c>
      <c r="K348" s="40" t="s">
        <v>410</v>
      </c>
      <c r="L348" s="40"/>
      <c r="M348" s="41" t="str">
        <f t="shared" si="5"/>
        <v>INT-0013-25</v>
      </c>
      <c r="N348" s="49"/>
      <c r="O348" s="301"/>
    </row>
    <row r="349" spans="1:15" ht="15" x14ac:dyDescent="0.25">
      <c r="A349" s="233">
        <v>45679</v>
      </c>
      <c r="B349" s="35" t="s">
        <v>1050</v>
      </c>
      <c r="C349" s="36" t="s">
        <v>1066</v>
      </c>
      <c r="D349" s="48" t="s">
        <v>968</v>
      </c>
      <c r="E349" s="38" t="s">
        <v>969</v>
      </c>
      <c r="F349" s="205" t="s">
        <v>974</v>
      </c>
      <c r="G349" s="233">
        <v>45961</v>
      </c>
      <c r="H349" s="205" t="s">
        <v>1053</v>
      </c>
      <c r="I349" s="48">
        <v>3</v>
      </c>
      <c r="J349" s="165" t="s">
        <v>1043</v>
      </c>
      <c r="K349" s="40" t="s">
        <v>410</v>
      </c>
      <c r="L349" s="40"/>
      <c r="M349" s="41" t="str">
        <f t="shared" si="5"/>
        <v>INT-0013-25</v>
      </c>
      <c r="N349" s="49"/>
      <c r="O349" s="301"/>
    </row>
    <row r="350" spans="1:15" ht="15" x14ac:dyDescent="0.25">
      <c r="A350" s="233">
        <v>45679</v>
      </c>
      <c r="B350" s="35" t="s">
        <v>1050</v>
      </c>
      <c r="C350" s="36" t="s">
        <v>1066</v>
      </c>
      <c r="D350" s="48" t="s">
        <v>39</v>
      </c>
      <c r="E350" s="38" t="s">
        <v>40</v>
      </c>
      <c r="F350" s="205" t="s">
        <v>614</v>
      </c>
      <c r="G350" s="233">
        <v>45991</v>
      </c>
      <c r="H350" s="205" t="s">
        <v>1052</v>
      </c>
      <c r="I350" s="48">
        <v>4</v>
      </c>
      <c r="J350" s="165" t="s">
        <v>1043</v>
      </c>
      <c r="K350" s="40" t="s">
        <v>410</v>
      </c>
      <c r="L350" s="40"/>
      <c r="M350" s="41" t="str">
        <f t="shared" si="5"/>
        <v>INT-0013-25</v>
      </c>
      <c r="N350" s="49"/>
      <c r="O350" s="301"/>
    </row>
    <row r="351" spans="1:15" ht="15" x14ac:dyDescent="0.25">
      <c r="A351" s="233">
        <v>45679</v>
      </c>
      <c r="B351" s="35" t="s">
        <v>1050</v>
      </c>
      <c r="C351" s="36" t="s">
        <v>1066</v>
      </c>
      <c r="D351" s="48" t="s">
        <v>42</v>
      </c>
      <c r="E351" s="38" t="s">
        <v>43</v>
      </c>
      <c r="F351" s="205" t="s">
        <v>825</v>
      </c>
      <c r="G351" s="233">
        <v>45777</v>
      </c>
      <c r="H351" s="205" t="s">
        <v>1051</v>
      </c>
      <c r="I351" s="48">
        <v>4</v>
      </c>
      <c r="J351" s="165" t="s">
        <v>1043</v>
      </c>
      <c r="K351" s="40" t="s">
        <v>410</v>
      </c>
      <c r="L351" s="40"/>
      <c r="M351" s="41" t="str">
        <f t="shared" si="5"/>
        <v>INT-0013-25</v>
      </c>
      <c r="N351" s="49"/>
      <c r="O351" s="301"/>
    </row>
    <row r="352" spans="1:15" ht="15" x14ac:dyDescent="0.25">
      <c r="A352" s="233">
        <v>45679</v>
      </c>
      <c r="B352" s="35" t="s">
        <v>1056</v>
      </c>
      <c r="C352" s="36" t="s">
        <v>1066</v>
      </c>
      <c r="D352" s="48" t="s">
        <v>28</v>
      </c>
      <c r="E352" s="38" t="s">
        <v>29</v>
      </c>
      <c r="F352" s="205" t="s">
        <v>464</v>
      </c>
      <c r="G352" s="233">
        <v>45716</v>
      </c>
      <c r="H352" s="205" t="s">
        <v>1057</v>
      </c>
      <c r="I352" s="48">
        <v>2</v>
      </c>
      <c r="J352" s="165" t="s">
        <v>1043</v>
      </c>
      <c r="K352" s="40" t="s">
        <v>438</v>
      </c>
      <c r="L352" s="40"/>
      <c r="M352" s="41" t="str">
        <f t="shared" si="5"/>
        <v>INT-0014-25</v>
      </c>
      <c r="N352" s="49"/>
      <c r="O352" s="301"/>
    </row>
    <row r="353" spans="1:15" ht="15" x14ac:dyDescent="0.25">
      <c r="A353" s="233">
        <v>45679</v>
      </c>
      <c r="B353" s="35" t="s">
        <v>1056</v>
      </c>
      <c r="C353" s="36" t="s">
        <v>1066</v>
      </c>
      <c r="D353" s="48" t="s">
        <v>42</v>
      </c>
      <c r="E353" s="38" t="s">
        <v>43</v>
      </c>
      <c r="F353" s="205" t="s">
        <v>746</v>
      </c>
      <c r="G353" s="233">
        <v>45688</v>
      </c>
      <c r="H353" s="205" t="s">
        <v>1058</v>
      </c>
      <c r="I353" s="48">
        <v>1</v>
      </c>
      <c r="J353" s="165" t="s">
        <v>1043</v>
      </c>
      <c r="K353" s="40" t="s">
        <v>438</v>
      </c>
      <c r="L353" s="40"/>
      <c r="M353" s="41" t="str">
        <f t="shared" si="5"/>
        <v>INT-0014-25</v>
      </c>
      <c r="N353" s="49"/>
      <c r="O353" s="301"/>
    </row>
    <row r="354" spans="1:15" ht="15" x14ac:dyDescent="0.25">
      <c r="A354" s="233">
        <v>45679</v>
      </c>
      <c r="B354" s="35" t="s">
        <v>1056</v>
      </c>
      <c r="C354" s="36" t="s">
        <v>1066</v>
      </c>
      <c r="D354" s="48" t="s">
        <v>36</v>
      </c>
      <c r="E354" s="38" t="s">
        <v>37</v>
      </c>
      <c r="F354" s="205" t="s">
        <v>677</v>
      </c>
      <c r="G354" s="233">
        <v>45716</v>
      </c>
      <c r="H354" s="205" t="s">
        <v>1059</v>
      </c>
      <c r="I354" s="48">
        <v>2</v>
      </c>
      <c r="J354" s="165" t="s">
        <v>1043</v>
      </c>
      <c r="K354" s="40" t="s">
        <v>438</v>
      </c>
      <c r="L354" s="40"/>
      <c r="M354" s="41" t="str">
        <f t="shared" si="5"/>
        <v>INT-0014-25</v>
      </c>
      <c r="N354" s="49"/>
      <c r="O354" s="301"/>
    </row>
    <row r="355" spans="1:15" ht="15" x14ac:dyDescent="0.25">
      <c r="A355" s="233">
        <v>45679</v>
      </c>
      <c r="B355" s="35" t="s">
        <v>1056</v>
      </c>
      <c r="C355" s="36" t="s">
        <v>1066</v>
      </c>
      <c r="D355" s="48" t="s">
        <v>39</v>
      </c>
      <c r="E355" s="38" t="s">
        <v>40</v>
      </c>
      <c r="F355" s="205" t="s">
        <v>639</v>
      </c>
      <c r="G355" s="233">
        <v>45716</v>
      </c>
      <c r="H355" s="205" t="s">
        <v>1060</v>
      </c>
      <c r="I355" s="48">
        <v>6</v>
      </c>
      <c r="J355" s="165" t="s">
        <v>1043</v>
      </c>
      <c r="K355" s="40" t="s">
        <v>438</v>
      </c>
      <c r="L355" s="40"/>
      <c r="M355" s="41" t="str">
        <f t="shared" si="5"/>
        <v>INT-0014-25</v>
      </c>
      <c r="N355" s="49"/>
      <c r="O355" s="301"/>
    </row>
    <row r="356" spans="1:15" ht="15" x14ac:dyDescent="0.25">
      <c r="A356" s="233">
        <v>45679</v>
      </c>
      <c r="B356" s="35" t="s">
        <v>1056</v>
      </c>
      <c r="C356" s="36" t="s">
        <v>1066</v>
      </c>
      <c r="D356" s="48" t="s">
        <v>36</v>
      </c>
      <c r="E356" s="38" t="s">
        <v>37</v>
      </c>
      <c r="F356" s="205" t="s">
        <v>748</v>
      </c>
      <c r="G356" s="233">
        <v>45716</v>
      </c>
      <c r="H356" s="205" t="s">
        <v>1061</v>
      </c>
      <c r="I356" s="48">
        <v>2</v>
      </c>
      <c r="J356" s="165" t="s">
        <v>1043</v>
      </c>
      <c r="K356" s="40" t="s">
        <v>438</v>
      </c>
      <c r="L356" s="40"/>
      <c r="M356" s="41" t="str">
        <f t="shared" si="5"/>
        <v>INT-0014-25</v>
      </c>
      <c r="N356" s="49"/>
      <c r="O356" s="301"/>
    </row>
    <row r="357" spans="1:15" ht="15" x14ac:dyDescent="0.25">
      <c r="A357" s="233">
        <v>45679</v>
      </c>
      <c r="B357" s="35" t="s">
        <v>1056</v>
      </c>
      <c r="C357" s="36" t="s">
        <v>1066</v>
      </c>
      <c r="D357" s="48" t="s">
        <v>34</v>
      </c>
      <c r="E357" s="38" t="s">
        <v>35</v>
      </c>
      <c r="F357" s="205" t="s">
        <v>637</v>
      </c>
      <c r="G357" s="233">
        <v>45716</v>
      </c>
      <c r="H357" s="205" t="s">
        <v>1062</v>
      </c>
      <c r="I357" s="48">
        <v>10</v>
      </c>
      <c r="J357" s="165" t="s">
        <v>1043</v>
      </c>
      <c r="K357" s="40" t="s">
        <v>438</v>
      </c>
      <c r="L357" s="40"/>
      <c r="M357" s="41" t="str">
        <f t="shared" si="5"/>
        <v>INT-0014-25</v>
      </c>
      <c r="N357" s="49"/>
      <c r="O357" s="301"/>
    </row>
    <row r="358" spans="1:15" ht="15" x14ac:dyDescent="0.25">
      <c r="A358" s="233">
        <v>45679</v>
      </c>
      <c r="B358" s="35" t="s">
        <v>1056</v>
      </c>
      <c r="C358" s="36" t="s">
        <v>1066</v>
      </c>
      <c r="D358" s="48" t="s">
        <v>34</v>
      </c>
      <c r="E358" s="38" t="s">
        <v>35</v>
      </c>
      <c r="F358" s="205" t="s">
        <v>468</v>
      </c>
      <c r="G358" s="233">
        <v>45716</v>
      </c>
      <c r="H358" s="205" t="s">
        <v>1063</v>
      </c>
      <c r="I358" s="48">
        <v>1</v>
      </c>
      <c r="J358" s="165" t="s">
        <v>1043</v>
      </c>
      <c r="K358" s="40" t="s">
        <v>438</v>
      </c>
      <c r="L358" s="40"/>
      <c r="M358" s="41" t="str">
        <f t="shared" si="5"/>
        <v>INT-0014-25</v>
      </c>
      <c r="N358" s="49"/>
      <c r="O358" s="301"/>
    </row>
    <row r="359" spans="1:15" ht="15" x14ac:dyDescent="0.25">
      <c r="A359" s="233">
        <v>45679</v>
      </c>
      <c r="B359" s="35" t="s">
        <v>1078</v>
      </c>
      <c r="C359" s="36" t="s">
        <v>1066</v>
      </c>
      <c r="D359" s="48" t="s">
        <v>42</v>
      </c>
      <c r="E359" s="38" t="s">
        <v>43</v>
      </c>
      <c r="F359" s="205" t="s">
        <v>1080</v>
      </c>
      <c r="G359" s="233">
        <v>45869</v>
      </c>
      <c r="H359" s="205" t="s">
        <v>1079</v>
      </c>
      <c r="I359" s="48">
        <v>89</v>
      </c>
      <c r="J359" s="165" t="s">
        <v>1043</v>
      </c>
      <c r="K359" s="40" t="s">
        <v>1072</v>
      </c>
      <c r="L359" s="40"/>
      <c r="M359" s="41" t="str">
        <f t="shared" si="5"/>
        <v>INT-0015-25</v>
      </c>
      <c r="N359" s="49"/>
      <c r="O359" s="301"/>
    </row>
    <row r="360" spans="1:15" ht="15" x14ac:dyDescent="0.25">
      <c r="A360" s="233">
        <v>45679</v>
      </c>
      <c r="B360" s="35" t="s">
        <v>1078</v>
      </c>
      <c r="C360" s="36" t="s">
        <v>1066</v>
      </c>
      <c r="D360" s="48" t="s">
        <v>42</v>
      </c>
      <c r="E360" s="38" t="s">
        <v>43</v>
      </c>
      <c r="F360" s="205" t="s">
        <v>1081</v>
      </c>
      <c r="G360" s="233">
        <v>46055</v>
      </c>
      <c r="H360" s="205" t="s">
        <v>1082</v>
      </c>
      <c r="I360" s="48">
        <v>1</v>
      </c>
      <c r="J360" s="165" t="s">
        <v>1043</v>
      </c>
      <c r="K360" s="40" t="s">
        <v>1072</v>
      </c>
      <c r="L360" s="40"/>
      <c r="M360" s="41" t="str">
        <f t="shared" si="5"/>
        <v>INT-0015-25</v>
      </c>
      <c r="N360" s="49"/>
      <c r="O360" s="301"/>
    </row>
    <row r="361" spans="1:15" ht="15" x14ac:dyDescent="0.25">
      <c r="A361" s="233">
        <v>45679</v>
      </c>
      <c r="B361" s="35" t="s">
        <v>1078</v>
      </c>
      <c r="C361" s="36" t="s">
        <v>1066</v>
      </c>
      <c r="D361" s="48" t="s">
        <v>47</v>
      </c>
      <c r="E361" s="38" t="s">
        <v>48</v>
      </c>
      <c r="F361" s="205" t="s">
        <v>812</v>
      </c>
      <c r="G361" s="233">
        <v>46173</v>
      </c>
      <c r="H361" s="205" t="s">
        <v>1083</v>
      </c>
      <c r="I361" s="48">
        <v>1</v>
      </c>
      <c r="J361" s="165" t="s">
        <v>1043</v>
      </c>
      <c r="K361" s="40" t="s">
        <v>1072</v>
      </c>
      <c r="L361" s="40"/>
      <c r="M361" s="41" t="str">
        <f t="shared" si="5"/>
        <v>INT-0015-25</v>
      </c>
      <c r="N361" s="49"/>
      <c r="O361" s="301"/>
    </row>
    <row r="362" spans="1:15" ht="15" x14ac:dyDescent="0.25">
      <c r="A362" s="233">
        <v>45679</v>
      </c>
      <c r="B362" s="35" t="s">
        <v>1078</v>
      </c>
      <c r="C362" s="36" t="s">
        <v>1066</v>
      </c>
      <c r="D362" s="48" t="s">
        <v>42</v>
      </c>
      <c r="E362" s="38" t="s">
        <v>43</v>
      </c>
      <c r="F362" s="205" t="s">
        <v>825</v>
      </c>
      <c r="G362" s="233">
        <v>45777</v>
      </c>
      <c r="H362" s="205" t="s">
        <v>1084</v>
      </c>
      <c r="I362" s="48">
        <v>1</v>
      </c>
      <c r="J362" s="165" t="s">
        <v>1043</v>
      </c>
      <c r="K362" s="40" t="s">
        <v>1072</v>
      </c>
      <c r="L362" s="40"/>
      <c r="M362" s="41" t="str">
        <f t="shared" si="5"/>
        <v>INT-0015-25</v>
      </c>
      <c r="N362" s="49"/>
      <c r="O362" s="301"/>
    </row>
    <row r="363" spans="1:15" ht="15" x14ac:dyDescent="0.25">
      <c r="A363" s="233">
        <v>45679</v>
      </c>
      <c r="B363" s="35" t="s">
        <v>1078</v>
      </c>
      <c r="C363" s="36" t="s">
        <v>1066</v>
      </c>
      <c r="D363" s="48" t="s">
        <v>28</v>
      </c>
      <c r="E363" s="38" t="s">
        <v>29</v>
      </c>
      <c r="F363" s="205" t="s">
        <v>943</v>
      </c>
      <c r="G363" s="233">
        <v>45838</v>
      </c>
      <c r="H363" s="205" t="s">
        <v>1085</v>
      </c>
      <c r="I363" s="48">
        <v>35</v>
      </c>
      <c r="J363" s="165" t="s">
        <v>1043</v>
      </c>
      <c r="K363" s="40" t="s">
        <v>1072</v>
      </c>
      <c r="L363" s="40"/>
      <c r="M363" s="41" t="str">
        <f t="shared" si="5"/>
        <v>INT-0015-25</v>
      </c>
      <c r="N363" s="49"/>
      <c r="O363" s="301"/>
    </row>
    <row r="364" spans="1:15" ht="15" x14ac:dyDescent="0.25">
      <c r="A364" s="233">
        <v>45679</v>
      </c>
      <c r="B364" s="35" t="s">
        <v>1078</v>
      </c>
      <c r="C364" s="36" t="s">
        <v>1066</v>
      </c>
      <c r="D364" s="48" t="s">
        <v>36</v>
      </c>
      <c r="E364" s="38" t="s">
        <v>37</v>
      </c>
      <c r="F364" s="205" t="s">
        <v>941</v>
      </c>
      <c r="G364" s="233">
        <v>45838</v>
      </c>
      <c r="H364" s="205" t="s">
        <v>1086</v>
      </c>
      <c r="I364" s="48">
        <v>7</v>
      </c>
      <c r="J364" s="165" t="s">
        <v>1043</v>
      </c>
      <c r="K364" s="40" t="s">
        <v>1072</v>
      </c>
      <c r="L364" s="40"/>
      <c r="M364" s="41" t="str">
        <f t="shared" si="5"/>
        <v>INT-0015-25</v>
      </c>
      <c r="N364" s="49"/>
      <c r="O364" s="301"/>
    </row>
    <row r="365" spans="1:15" ht="15" x14ac:dyDescent="0.25">
      <c r="A365" s="233">
        <v>45679</v>
      </c>
      <c r="B365" s="35" t="s">
        <v>1078</v>
      </c>
      <c r="C365" s="36" t="s">
        <v>1066</v>
      </c>
      <c r="D365" s="48" t="s">
        <v>34</v>
      </c>
      <c r="E365" s="38" t="s">
        <v>35</v>
      </c>
      <c r="F365" s="205" t="s">
        <v>612</v>
      </c>
      <c r="G365" s="233">
        <v>45808</v>
      </c>
      <c r="H365" s="205" t="s">
        <v>1087</v>
      </c>
      <c r="I365" s="48">
        <v>9</v>
      </c>
      <c r="J365" s="165" t="s">
        <v>1043</v>
      </c>
      <c r="K365" s="40" t="s">
        <v>1072</v>
      </c>
      <c r="L365" s="40"/>
      <c r="M365" s="41" t="str">
        <f t="shared" si="5"/>
        <v>INT-0015-25</v>
      </c>
      <c r="N365" s="49"/>
      <c r="O365" s="301"/>
    </row>
    <row r="366" spans="1:15" ht="15" x14ac:dyDescent="0.25">
      <c r="A366" s="233">
        <v>45679</v>
      </c>
      <c r="B366" s="35" t="s">
        <v>1078</v>
      </c>
      <c r="C366" s="36" t="s">
        <v>1066</v>
      </c>
      <c r="D366" s="48" t="s">
        <v>34</v>
      </c>
      <c r="E366" s="38" t="s">
        <v>35</v>
      </c>
      <c r="F366" s="205" t="s">
        <v>1011</v>
      </c>
      <c r="G366" s="233">
        <v>45869</v>
      </c>
      <c r="H366" s="205" t="s">
        <v>1088</v>
      </c>
      <c r="I366" s="48">
        <v>40</v>
      </c>
      <c r="J366" s="165" t="s">
        <v>1043</v>
      </c>
      <c r="K366" s="40" t="s">
        <v>1072</v>
      </c>
      <c r="L366" s="40"/>
      <c r="M366" s="41" t="str">
        <f t="shared" si="5"/>
        <v>INT-0015-25</v>
      </c>
      <c r="N366" s="49"/>
      <c r="O366" s="301"/>
    </row>
    <row r="367" spans="1:15" ht="15" x14ac:dyDescent="0.25">
      <c r="A367" s="233">
        <v>45679</v>
      </c>
      <c r="B367" s="35" t="s">
        <v>1093</v>
      </c>
      <c r="C367" s="47" t="s">
        <v>1066</v>
      </c>
      <c r="D367" s="48" t="s">
        <v>34</v>
      </c>
      <c r="E367" s="38" t="s">
        <v>35</v>
      </c>
      <c r="F367" s="205" t="s">
        <v>1094</v>
      </c>
      <c r="G367" s="233">
        <v>46022</v>
      </c>
      <c r="H367" s="205" t="s">
        <v>1095</v>
      </c>
      <c r="I367" s="48">
        <v>7</v>
      </c>
      <c r="J367" s="165" t="s">
        <v>1043</v>
      </c>
      <c r="K367" s="40" t="s">
        <v>1073</v>
      </c>
      <c r="L367" s="40"/>
      <c r="M367" s="41" t="str">
        <f t="shared" si="5"/>
        <v>INT-0016-25</v>
      </c>
      <c r="N367" s="49"/>
      <c r="O367" s="301"/>
    </row>
    <row r="368" spans="1:15" ht="15" x14ac:dyDescent="0.25">
      <c r="A368" s="233">
        <v>45679</v>
      </c>
      <c r="B368" s="35" t="s">
        <v>1093</v>
      </c>
      <c r="C368" s="47" t="s">
        <v>1066</v>
      </c>
      <c r="D368" s="48" t="s">
        <v>39</v>
      </c>
      <c r="E368" s="38" t="s">
        <v>40</v>
      </c>
      <c r="F368" s="205" t="s">
        <v>614</v>
      </c>
      <c r="G368" s="233">
        <v>45991</v>
      </c>
      <c r="H368" s="205" t="s">
        <v>1096</v>
      </c>
      <c r="I368" s="48">
        <v>9</v>
      </c>
      <c r="J368" s="165" t="s">
        <v>1043</v>
      </c>
      <c r="K368" s="40" t="s">
        <v>1073</v>
      </c>
      <c r="L368" s="40"/>
      <c r="M368" s="41" t="str">
        <f t="shared" si="5"/>
        <v>INT-0016-25</v>
      </c>
      <c r="N368" s="49"/>
      <c r="O368" s="301"/>
    </row>
    <row r="369" spans="1:15" ht="15" x14ac:dyDescent="0.25">
      <c r="A369" s="233">
        <v>45679</v>
      </c>
      <c r="B369" s="35" t="s">
        <v>1093</v>
      </c>
      <c r="C369" s="47" t="s">
        <v>1066</v>
      </c>
      <c r="D369" s="48" t="s">
        <v>36</v>
      </c>
      <c r="E369" s="38" t="s">
        <v>37</v>
      </c>
      <c r="F369" s="205" t="s">
        <v>941</v>
      </c>
      <c r="G369" s="233">
        <v>45838</v>
      </c>
      <c r="H369" s="205" t="s">
        <v>1097</v>
      </c>
      <c r="I369" s="48">
        <v>23</v>
      </c>
      <c r="J369" s="165" t="s">
        <v>1043</v>
      </c>
      <c r="K369" s="40" t="s">
        <v>1073</v>
      </c>
      <c r="L369" s="40"/>
      <c r="M369" s="41" t="str">
        <f t="shared" si="5"/>
        <v>INT-0016-25</v>
      </c>
      <c r="N369" s="49"/>
      <c r="O369" s="301"/>
    </row>
    <row r="370" spans="1:15" ht="15" x14ac:dyDescent="0.25">
      <c r="A370" s="233">
        <v>45679</v>
      </c>
      <c r="B370" s="35" t="s">
        <v>1093</v>
      </c>
      <c r="C370" s="47" t="s">
        <v>1066</v>
      </c>
      <c r="D370" s="48" t="s">
        <v>34</v>
      </c>
      <c r="E370" s="38" t="s">
        <v>35</v>
      </c>
      <c r="F370" s="205" t="s">
        <v>616</v>
      </c>
      <c r="G370" s="233">
        <v>45747</v>
      </c>
      <c r="H370" s="205" t="s">
        <v>1098</v>
      </c>
      <c r="I370" s="48">
        <v>19</v>
      </c>
      <c r="J370" s="165" t="s">
        <v>1043</v>
      </c>
      <c r="K370" s="40" t="s">
        <v>1073</v>
      </c>
      <c r="L370" s="40"/>
      <c r="M370" s="41" t="str">
        <f t="shared" si="5"/>
        <v>INT-0016-25</v>
      </c>
      <c r="N370" s="49"/>
      <c r="O370" s="301"/>
    </row>
    <row r="371" spans="1:15" ht="15" x14ac:dyDescent="0.25">
      <c r="A371" s="233">
        <v>45679</v>
      </c>
      <c r="B371" s="35" t="s">
        <v>1093</v>
      </c>
      <c r="C371" s="47" t="s">
        <v>1066</v>
      </c>
      <c r="D371" s="48" t="s">
        <v>39</v>
      </c>
      <c r="E371" s="38" t="s">
        <v>40</v>
      </c>
      <c r="F371" s="205" t="s">
        <v>614</v>
      </c>
      <c r="G371" s="233">
        <v>45991</v>
      </c>
      <c r="H371" s="205" t="s">
        <v>1099</v>
      </c>
      <c r="I371" s="48">
        <v>8</v>
      </c>
      <c r="J371" s="165" t="s">
        <v>1043</v>
      </c>
      <c r="K371" s="40" t="s">
        <v>1073</v>
      </c>
      <c r="L371" s="40"/>
      <c r="M371" s="41" t="str">
        <f t="shared" si="5"/>
        <v>INT-0016-25</v>
      </c>
      <c r="N371" s="49"/>
      <c r="O371" s="301"/>
    </row>
    <row r="372" spans="1:15" ht="15" x14ac:dyDescent="0.25">
      <c r="A372" s="233">
        <v>45679</v>
      </c>
      <c r="B372" s="35" t="s">
        <v>1093</v>
      </c>
      <c r="C372" s="47" t="s">
        <v>1066</v>
      </c>
      <c r="D372" s="48" t="s">
        <v>1133</v>
      </c>
      <c r="E372" s="38" t="s">
        <v>1134</v>
      </c>
      <c r="F372" s="205" t="s">
        <v>1135</v>
      </c>
      <c r="G372" s="233">
        <v>46142</v>
      </c>
      <c r="H372" s="205" t="s">
        <v>1136</v>
      </c>
      <c r="I372" s="48">
        <v>3</v>
      </c>
      <c r="J372" s="165" t="s">
        <v>1139</v>
      </c>
      <c r="K372" s="40" t="s">
        <v>1073</v>
      </c>
      <c r="L372" s="40"/>
      <c r="M372" s="41" t="str">
        <f t="shared" si="5"/>
        <v>INT-0016-25</v>
      </c>
      <c r="N372" s="49"/>
      <c r="O372" s="301"/>
    </row>
    <row r="373" spans="1:15" ht="15" x14ac:dyDescent="0.25">
      <c r="A373" s="233">
        <v>45679</v>
      </c>
      <c r="B373" s="35" t="s">
        <v>1093</v>
      </c>
      <c r="C373" s="47" t="s">
        <v>1066</v>
      </c>
      <c r="D373" s="48" t="s">
        <v>47</v>
      </c>
      <c r="E373" s="38" t="s">
        <v>48</v>
      </c>
      <c r="F373" s="205" t="s">
        <v>619</v>
      </c>
      <c r="G373" s="233">
        <v>46112</v>
      </c>
      <c r="H373" s="205" t="s">
        <v>1137</v>
      </c>
      <c r="I373" s="48">
        <v>11</v>
      </c>
      <c r="J373" s="165" t="s">
        <v>1139</v>
      </c>
      <c r="K373" s="40" t="s">
        <v>1073</v>
      </c>
      <c r="L373" s="40"/>
      <c r="M373" s="41" t="str">
        <f t="shared" si="5"/>
        <v>INT-0016-25</v>
      </c>
      <c r="N373" s="49"/>
      <c r="O373" s="301"/>
    </row>
    <row r="374" spans="1:15" ht="25.5" x14ac:dyDescent="0.25">
      <c r="A374" s="233">
        <v>45679</v>
      </c>
      <c r="B374" s="35" t="s">
        <v>1093</v>
      </c>
      <c r="C374" s="47" t="s">
        <v>1066</v>
      </c>
      <c r="D374" s="48" t="s">
        <v>44</v>
      </c>
      <c r="E374" s="38" t="s">
        <v>45</v>
      </c>
      <c r="F374" s="205" t="s">
        <v>205</v>
      </c>
      <c r="G374" s="233">
        <v>46295</v>
      </c>
      <c r="H374" s="205" t="s">
        <v>1138</v>
      </c>
      <c r="I374" s="48">
        <v>28</v>
      </c>
      <c r="J374" s="165" t="s">
        <v>1139</v>
      </c>
      <c r="K374" s="40" t="s">
        <v>1073</v>
      </c>
      <c r="L374" s="40"/>
      <c r="M374" s="41" t="str">
        <f t="shared" si="5"/>
        <v>INT-0016-25</v>
      </c>
      <c r="N374" s="49"/>
      <c r="O374" s="301"/>
    </row>
    <row r="375" spans="1:15" ht="15" x14ac:dyDescent="0.25">
      <c r="A375" s="233">
        <v>45679</v>
      </c>
      <c r="B375" s="35" t="s">
        <v>1093</v>
      </c>
      <c r="C375" s="47" t="s">
        <v>1066</v>
      </c>
      <c r="D375" s="48" t="s">
        <v>968</v>
      </c>
      <c r="E375" s="38" t="s">
        <v>969</v>
      </c>
      <c r="F375" s="205" t="s">
        <v>995</v>
      </c>
      <c r="G375" s="233">
        <v>45808</v>
      </c>
      <c r="H375" s="205" t="s">
        <v>1100</v>
      </c>
      <c r="I375" s="48">
        <v>10</v>
      </c>
      <c r="J375" s="165" t="s">
        <v>1043</v>
      </c>
      <c r="K375" s="40" t="s">
        <v>1073</v>
      </c>
      <c r="L375" s="40"/>
      <c r="M375" s="41" t="str">
        <f t="shared" si="5"/>
        <v>INT-0016-25</v>
      </c>
      <c r="N375" s="49"/>
      <c r="O375" s="301"/>
    </row>
    <row r="376" spans="1:15" ht="15" x14ac:dyDescent="0.25">
      <c r="A376" s="233">
        <v>45681</v>
      </c>
      <c r="B376" s="35" t="s">
        <v>1102</v>
      </c>
      <c r="C376" s="47" t="s">
        <v>1103</v>
      </c>
      <c r="D376" s="48" t="s">
        <v>1104</v>
      </c>
      <c r="E376" s="38" t="s">
        <v>1105</v>
      </c>
      <c r="F376" s="205" t="s">
        <v>1106</v>
      </c>
      <c r="G376" s="233">
        <v>45719</v>
      </c>
      <c r="H376" s="205" t="s">
        <v>1107</v>
      </c>
      <c r="I376" s="48">
        <v>140</v>
      </c>
      <c r="J376" s="165" t="s">
        <v>1114</v>
      </c>
      <c r="K376" s="40" t="s">
        <v>1072</v>
      </c>
      <c r="L376" s="40"/>
      <c r="M376" s="41" t="str">
        <f t="shared" si="5"/>
        <v>INT-0017-25</v>
      </c>
      <c r="N376" s="49"/>
      <c r="O376" s="301"/>
    </row>
    <row r="377" spans="1:15" ht="15" x14ac:dyDescent="0.25">
      <c r="A377" s="233">
        <v>45681</v>
      </c>
      <c r="B377" s="35" t="s">
        <v>1102</v>
      </c>
      <c r="C377" s="47" t="s">
        <v>1103</v>
      </c>
      <c r="D377" s="48" t="s">
        <v>1036</v>
      </c>
      <c r="E377" s="38" t="s">
        <v>1037</v>
      </c>
      <c r="F377" s="205" t="s">
        <v>1108</v>
      </c>
      <c r="G377" s="233">
        <v>45739</v>
      </c>
      <c r="H377" s="205" t="s">
        <v>1109</v>
      </c>
      <c r="I377" s="48">
        <v>551</v>
      </c>
      <c r="J377" s="165" t="s">
        <v>1114</v>
      </c>
      <c r="K377" s="40" t="s">
        <v>1072</v>
      </c>
      <c r="L377" s="40"/>
      <c r="M377" s="41" t="str">
        <f t="shared" si="5"/>
        <v>INT-0017-25</v>
      </c>
      <c r="N377" s="49"/>
      <c r="O377" s="301"/>
    </row>
    <row r="378" spans="1:15" ht="15" x14ac:dyDescent="0.25">
      <c r="A378" s="233">
        <v>45681</v>
      </c>
      <c r="B378" s="35" t="s">
        <v>1102</v>
      </c>
      <c r="C378" s="47" t="s">
        <v>1103</v>
      </c>
      <c r="D378" s="48" t="s">
        <v>1110</v>
      </c>
      <c r="E378" s="38" t="s">
        <v>1111</v>
      </c>
      <c r="F378" s="205" t="s">
        <v>1112</v>
      </c>
      <c r="G378" s="233">
        <v>45704</v>
      </c>
      <c r="H378" s="205" t="s">
        <v>1113</v>
      </c>
      <c r="I378" s="48">
        <v>162</v>
      </c>
      <c r="J378" s="165" t="s">
        <v>1114</v>
      </c>
      <c r="K378" s="40" t="s">
        <v>1072</v>
      </c>
      <c r="L378" s="40"/>
      <c r="M378" s="41" t="str">
        <f t="shared" si="5"/>
        <v>INT-0017-25</v>
      </c>
      <c r="N378" s="49"/>
      <c r="O378" s="301"/>
    </row>
    <row r="379" spans="1:15" ht="15" x14ac:dyDescent="0.25">
      <c r="A379" s="233">
        <v>45681</v>
      </c>
      <c r="B379" s="35" t="s">
        <v>1115</v>
      </c>
      <c r="C379" s="47" t="s">
        <v>1066</v>
      </c>
      <c r="D379" s="48" t="s">
        <v>28</v>
      </c>
      <c r="E379" s="38" t="s">
        <v>29</v>
      </c>
      <c r="F379" s="205" t="s">
        <v>524</v>
      </c>
      <c r="G379" s="233">
        <v>45688</v>
      </c>
      <c r="H379" s="205" t="s">
        <v>1116</v>
      </c>
      <c r="I379" s="48">
        <v>180</v>
      </c>
      <c r="J379" s="165" t="s">
        <v>1121</v>
      </c>
      <c r="K379" s="40" t="s">
        <v>1072</v>
      </c>
      <c r="L379" s="40"/>
      <c r="M379" s="41" t="str">
        <f t="shared" si="5"/>
        <v>INT-0018-25</v>
      </c>
      <c r="N379" s="49"/>
      <c r="O379" s="301"/>
    </row>
    <row r="380" spans="1:15" ht="15" x14ac:dyDescent="0.25">
      <c r="A380" s="233">
        <v>45681</v>
      </c>
      <c r="B380" s="35" t="s">
        <v>1115</v>
      </c>
      <c r="C380" s="47" t="s">
        <v>1066</v>
      </c>
      <c r="D380" s="48" t="s">
        <v>42</v>
      </c>
      <c r="E380" s="38" t="s">
        <v>43</v>
      </c>
      <c r="F380" s="205" t="s">
        <v>522</v>
      </c>
      <c r="G380" s="233">
        <v>45747</v>
      </c>
      <c r="H380" s="205" t="s">
        <v>1117</v>
      </c>
      <c r="I380" s="48">
        <v>72</v>
      </c>
      <c r="J380" s="165" t="s">
        <v>1121</v>
      </c>
      <c r="K380" s="40" t="s">
        <v>1072</v>
      </c>
      <c r="L380" s="40"/>
      <c r="M380" s="41" t="str">
        <f t="shared" si="5"/>
        <v>INT-0018-25</v>
      </c>
      <c r="N380" s="49"/>
      <c r="O380" s="301"/>
    </row>
    <row r="381" spans="1:15" ht="15" x14ac:dyDescent="0.25">
      <c r="A381" s="233">
        <v>45681</v>
      </c>
      <c r="B381" s="35" t="s">
        <v>1115</v>
      </c>
      <c r="C381" s="47" t="s">
        <v>1066</v>
      </c>
      <c r="D381" s="48" t="s">
        <v>42</v>
      </c>
      <c r="E381" s="38" t="s">
        <v>43</v>
      </c>
      <c r="F381" s="205" t="s">
        <v>749</v>
      </c>
      <c r="G381" s="233">
        <v>45688</v>
      </c>
      <c r="H381" s="205" t="s">
        <v>1118</v>
      </c>
      <c r="I381" s="48">
        <v>112</v>
      </c>
      <c r="J381" s="165" t="s">
        <v>1121</v>
      </c>
      <c r="K381" s="40" t="s">
        <v>1072</v>
      </c>
      <c r="L381" s="40"/>
      <c r="M381" s="41" t="str">
        <f t="shared" si="5"/>
        <v>INT-0018-25</v>
      </c>
      <c r="N381" s="49"/>
      <c r="O381" s="301"/>
    </row>
    <row r="382" spans="1:15" ht="15" x14ac:dyDescent="0.25">
      <c r="A382" s="233">
        <v>45681</v>
      </c>
      <c r="B382" s="35" t="s">
        <v>1115</v>
      </c>
      <c r="C382" s="47" t="s">
        <v>1066</v>
      </c>
      <c r="D382" s="48" t="s">
        <v>39</v>
      </c>
      <c r="E382" s="38" t="s">
        <v>40</v>
      </c>
      <c r="F382" s="205" t="s">
        <v>639</v>
      </c>
      <c r="G382" s="233">
        <v>45716</v>
      </c>
      <c r="H382" s="205" t="s">
        <v>1119</v>
      </c>
      <c r="I382" s="48">
        <v>392</v>
      </c>
      <c r="J382" s="165" t="s">
        <v>1121</v>
      </c>
      <c r="K382" s="40" t="s">
        <v>1072</v>
      </c>
      <c r="L382" s="40"/>
      <c r="M382" s="41" t="str">
        <f t="shared" si="5"/>
        <v>INT-0018-25</v>
      </c>
      <c r="N382" s="49"/>
      <c r="O382" s="301"/>
    </row>
    <row r="383" spans="1:15" ht="15" x14ac:dyDescent="0.25">
      <c r="A383" s="233">
        <v>45681</v>
      </c>
      <c r="B383" s="35" t="s">
        <v>1115</v>
      </c>
      <c r="C383" s="47" t="s">
        <v>1066</v>
      </c>
      <c r="D383" s="48" t="s">
        <v>28</v>
      </c>
      <c r="E383" s="38" t="s">
        <v>29</v>
      </c>
      <c r="F383" s="205" t="s">
        <v>464</v>
      </c>
      <c r="G383" s="233">
        <v>45716</v>
      </c>
      <c r="H383" s="205" t="s">
        <v>1120</v>
      </c>
      <c r="I383" s="48">
        <v>890</v>
      </c>
      <c r="J383" s="165" t="s">
        <v>1121</v>
      </c>
      <c r="K383" s="40" t="s">
        <v>1072</v>
      </c>
      <c r="L383" s="40"/>
      <c r="M383" s="41" t="str">
        <f t="shared" si="5"/>
        <v>INT-0018-25</v>
      </c>
      <c r="N383" s="49"/>
      <c r="O383" s="301"/>
    </row>
    <row r="384" spans="1:15" ht="15" x14ac:dyDescent="0.25">
      <c r="A384" s="233">
        <v>45681</v>
      </c>
      <c r="B384" s="35" t="s">
        <v>1122</v>
      </c>
      <c r="C384" s="47" t="s">
        <v>1066</v>
      </c>
      <c r="D384" s="48" t="s">
        <v>968</v>
      </c>
      <c r="E384" s="38" t="s">
        <v>969</v>
      </c>
      <c r="F384" s="205" t="s">
        <v>974</v>
      </c>
      <c r="G384" s="233">
        <v>45961</v>
      </c>
      <c r="H384" s="205" t="s">
        <v>1123</v>
      </c>
      <c r="I384" s="48">
        <v>4</v>
      </c>
      <c r="J384" s="165" t="s">
        <v>1043</v>
      </c>
      <c r="K384" s="40" t="s">
        <v>1073</v>
      </c>
      <c r="L384" s="40"/>
      <c r="M384" s="41" t="str">
        <f t="shared" si="5"/>
        <v>INT-0019-25</v>
      </c>
      <c r="N384" s="49"/>
      <c r="O384" s="301"/>
    </row>
    <row r="385" spans="1:15" ht="15" x14ac:dyDescent="0.25">
      <c r="A385" s="233">
        <v>45681</v>
      </c>
      <c r="B385" s="35" t="s">
        <v>1122</v>
      </c>
      <c r="C385" s="47" t="s">
        <v>1066</v>
      </c>
      <c r="D385" s="48" t="s">
        <v>39</v>
      </c>
      <c r="E385" s="38" t="s">
        <v>40</v>
      </c>
      <c r="F385" s="205" t="s">
        <v>614</v>
      </c>
      <c r="G385" s="233">
        <v>45991</v>
      </c>
      <c r="H385" s="205" t="s">
        <v>1124</v>
      </c>
      <c r="I385" s="48">
        <v>10</v>
      </c>
      <c r="J385" s="165" t="s">
        <v>1043</v>
      </c>
      <c r="K385" s="40" t="s">
        <v>1073</v>
      </c>
      <c r="L385" s="40"/>
      <c r="M385" s="41" t="str">
        <f t="shared" si="5"/>
        <v>INT-0019-25</v>
      </c>
      <c r="N385" s="49"/>
      <c r="O385" s="301"/>
    </row>
    <row r="386" spans="1:15" ht="15" x14ac:dyDescent="0.25">
      <c r="A386" s="233">
        <v>45681</v>
      </c>
      <c r="B386" s="35" t="s">
        <v>1122</v>
      </c>
      <c r="C386" s="47" t="s">
        <v>1066</v>
      </c>
      <c r="D386" s="48" t="s">
        <v>34</v>
      </c>
      <c r="E386" s="38" t="s">
        <v>35</v>
      </c>
      <c r="F386" s="205" t="s">
        <v>612</v>
      </c>
      <c r="G386" s="233">
        <v>45808</v>
      </c>
      <c r="H386" s="205" t="s">
        <v>1125</v>
      </c>
      <c r="I386" s="48">
        <v>5</v>
      </c>
      <c r="J386" s="165" t="s">
        <v>1043</v>
      </c>
      <c r="K386" s="40" t="s">
        <v>1073</v>
      </c>
      <c r="L386" s="40"/>
      <c r="M386" s="41" t="str">
        <f t="shared" ref="M386:M394" si="6">HYPERLINK("P:\7. LONG HAU\7. CAC THEO DOI TRONG QUA TRINH\4. DEVIATION- INCIDENTS\THEO DÕI NỘI BỘ (NGOÀI BBSC)\"&amp;YEAR(A386)&amp;"\"&amp;B386,B386)</f>
        <v>INT-0019-25</v>
      </c>
      <c r="N386" s="49"/>
      <c r="O386" s="301"/>
    </row>
    <row r="387" spans="1:15" ht="15" x14ac:dyDescent="0.25">
      <c r="A387" s="233">
        <v>45681</v>
      </c>
      <c r="B387" s="35" t="s">
        <v>1122</v>
      </c>
      <c r="C387" s="47" t="s">
        <v>1066</v>
      </c>
      <c r="D387" s="48" t="s">
        <v>36</v>
      </c>
      <c r="E387" s="38" t="s">
        <v>37</v>
      </c>
      <c r="F387" s="205" t="s">
        <v>941</v>
      </c>
      <c r="G387" s="233">
        <v>45838</v>
      </c>
      <c r="H387" s="205" t="s">
        <v>1126</v>
      </c>
      <c r="I387" s="48">
        <v>13</v>
      </c>
      <c r="J387" s="165" t="s">
        <v>1043</v>
      </c>
      <c r="K387" s="40" t="s">
        <v>1073</v>
      </c>
      <c r="L387" s="40"/>
      <c r="M387" s="41" t="str">
        <f t="shared" si="6"/>
        <v>INT-0019-25</v>
      </c>
      <c r="N387" s="49"/>
      <c r="O387" s="301"/>
    </row>
    <row r="388" spans="1:15" ht="15" x14ac:dyDescent="0.25">
      <c r="A388" s="233">
        <v>45681</v>
      </c>
      <c r="B388" s="35" t="s">
        <v>1122</v>
      </c>
      <c r="C388" s="47" t="s">
        <v>1066</v>
      </c>
      <c r="D388" s="48" t="s">
        <v>42</v>
      </c>
      <c r="E388" s="38" t="s">
        <v>43</v>
      </c>
      <c r="F388" s="205" t="s">
        <v>825</v>
      </c>
      <c r="G388" s="233">
        <v>45777</v>
      </c>
      <c r="H388" s="205" t="s">
        <v>1127</v>
      </c>
      <c r="I388" s="48">
        <v>11</v>
      </c>
      <c r="J388" s="165" t="s">
        <v>1043</v>
      </c>
      <c r="K388" s="40" t="s">
        <v>1073</v>
      </c>
      <c r="L388" s="40"/>
      <c r="M388" s="41" t="str">
        <f t="shared" si="6"/>
        <v>INT-0019-25</v>
      </c>
      <c r="N388" s="49"/>
      <c r="O388" s="301"/>
    </row>
    <row r="389" spans="1:15" ht="15" x14ac:dyDescent="0.25">
      <c r="A389" s="233">
        <v>45681</v>
      </c>
      <c r="B389" s="35" t="s">
        <v>1122</v>
      </c>
      <c r="C389" s="47" t="s">
        <v>1066</v>
      </c>
      <c r="D389" s="48" t="s">
        <v>34</v>
      </c>
      <c r="E389" s="38" t="s">
        <v>35</v>
      </c>
      <c r="F389" s="205" t="s">
        <v>1011</v>
      </c>
      <c r="G389" s="233">
        <v>45869</v>
      </c>
      <c r="H389" s="205" t="s">
        <v>1128</v>
      </c>
      <c r="I389" s="48">
        <v>24</v>
      </c>
      <c r="J389" s="165" t="s">
        <v>1043</v>
      </c>
      <c r="K389" s="40" t="s">
        <v>1073</v>
      </c>
      <c r="L389" s="40"/>
      <c r="M389" s="41" t="str">
        <f t="shared" si="6"/>
        <v>INT-0019-25</v>
      </c>
      <c r="N389" s="49"/>
      <c r="O389" s="301"/>
    </row>
    <row r="390" spans="1:15" ht="15" x14ac:dyDescent="0.25">
      <c r="A390" s="233">
        <v>45681</v>
      </c>
      <c r="B390" s="35" t="s">
        <v>1122</v>
      </c>
      <c r="C390" s="47" t="s">
        <v>1066</v>
      </c>
      <c r="D390" s="48" t="s">
        <v>39</v>
      </c>
      <c r="E390" s="38" t="s">
        <v>40</v>
      </c>
      <c r="F390" s="205" t="s">
        <v>614</v>
      </c>
      <c r="G390" s="233">
        <v>45991</v>
      </c>
      <c r="H390" s="205" t="s">
        <v>1129</v>
      </c>
      <c r="I390" s="48">
        <v>19</v>
      </c>
      <c r="J390" s="165" t="s">
        <v>1043</v>
      </c>
      <c r="K390" s="40" t="s">
        <v>1073</v>
      </c>
      <c r="L390" s="40"/>
      <c r="M390" s="41" t="str">
        <f t="shared" si="6"/>
        <v>INT-0019-25</v>
      </c>
      <c r="N390" s="49"/>
      <c r="O390" s="301"/>
    </row>
    <row r="391" spans="1:15" ht="15" x14ac:dyDescent="0.25">
      <c r="A391" s="233">
        <v>45681</v>
      </c>
      <c r="B391" s="35" t="s">
        <v>1122</v>
      </c>
      <c r="C391" s="47" t="s">
        <v>1066</v>
      </c>
      <c r="D391" s="48" t="s">
        <v>968</v>
      </c>
      <c r="E391" s="38" t="s">
        <v>969</v>
      </c>
      <c r="F391" s="205" t="s">
        <v>974</v>
      </c>
      <c r="G391" s="233">
        <v>45961</v>
      </c>
      <c r="H391" s="205" t="s">
        <v>1130</v>
      </c>
      <c r="I391" s="48">
        <v>11</v>
      </c>
      <c r="J391" s="165" t="s">
        <v>1043</v>
      </c>
      <c r="K391" s="40" t="s">
        <v>1073</v>
      </c>
      <c r="L391" s="40"/>
      <c r="M391" s="41" t="str">
        <f t="shared" si="6"/>
        <v>INT-0019-25</v>
      </c>
      <c r="N391" s="49"/>
      <c r="O391" s="301"/>
    </row>
    <row r="392" spans="1:15" ht="15" x14ac:dyDescent="0.25">
      <c r="A392" s="233">
        <v>45681</v>
      </c>
      <c r="B392" s="35" t="s">
        <v>1122</v>
      </c>
      <c r="C392" s="47" t="s">
        <v>1066</v>
      </c>
      <c r="D392" s="48" t="s">
        <v>36</v>
      </c>
      <c r="E392" s="38" t="s">
        <v>37</v>
      </c>
      <c r="F392" s="205" t="s">
        <v>941</v>
      </c>
      <c r="G392" s="233">
        <v>45838</v>
      </c>
      <c r="H392" s="205" t="s">
        <v>1131</v>
      </c>
      <c r="I392" s="48">
        <v>23</v>
      </c>
      <c r="J392" s="165" t="s">
        <v>1043</v>
      </c>
      <c r="K392" s="40" t="s">
        <v>1073</v>
      </c>
      <c r="L392" s="40"/>
      <c r="M392" s="41" t="str">
        <f t="shared" si="6"/>
        <v>INT-0019-25</v>
      </c>
      <c r="N392" s="49"/>
      <c r="O392" s="301"/>
    </row>
    <row r="393" spans="1:15" ht="15" x14ac:dyDescent="0.25">
      <c r="A393" s="233">
        <v>45681</v>
      </c>
      <c r="B393" s="35" t="s">
        <v>1122</v>
      </c>
      <c r="C393" s="47" t="s">
        <v>1066</v>
      </c>
      <c r="D393" s="48" t="s">
        <v>42</v>
      </c>
      <c r="E393" s="38" t="s">
        <v>43</v>
      </c>
      <c r="F393" s="205" t="s">
        <v>825</v>
      </c>
      <c r="G393" s="233">
        <v>45777</v>
      </c>
      <c r="H393" s="205" t="s">
        <v>1132</v>
      </c>
      <c r="I393" s="48">
        <v>10</v>
      </c>
      <c r="J393" s="165" t="s">
        <v>1043</v>
      </c>
      <c r="K393" s="40" t="s">
        <v>1073</v>
      </c>
      <c r="L393" s="40"/>
      <c r="M393" s="41" t="str">
        <f t="shared" si="6"/>
        <v>INT-0019-25</v>
      </c>
      <c r="N393" s="49"/>
      <c r="O393" s="301"/>
    </row>
    <row r="394" spans="1:15" ht="15" x14ac:dyDescent="0.25">
      <c r="A394" s="233">
        <v>45692</v>
      </c>
      <c r="B394" s="35" t="s">
        <v>1140</v>
      </c>
      <c r="C394" s="47" t="s">
        <v>1066</v>
      </c>
      <c r="D394" s="48" t="s">
        <v>28</v>
      </c>
      <c r="E394" s="38" t="s">
        <v>29</v>
      </c>
      <c r="F394" s="205" t="s">
        <v>465</v>
      </c>
      <c r="G394" s="233">
        <v>45716</v>
      </c>
      <c r="H394" s="205" t="s">
        <v>1141</v>
      </c>
      <c r="I394" s="48">
        <v>2</v>
      </c>
      <c r="J394" s="165" t="s">
        <v>1043</v>
      </c>
      <c r="K394" s="40" t="s">
        <v>1072</v>
      </c>
      <c r="L394" s="40"/>
      <c r="M394" s="41" t="str">
        <f t="shared" si="6"/>
        <v>INT-0020-25</v>
      </c>
      <c r="N394" s="49"/>
      <c r="O394" s="301"/>
    </row>
    <row r="395" spans="1:15" ht="15" x14ac:dyDescent="0.25">
      <c r="A395" s="233">
        <v>45692</v>
      </c>
      <c r="B395" s="35" t="s">
        <v>1140</v>
      </c>
      <c r="C395" s="47" t="s">
        <v>1066</v>
      </c>
      <c r="D395" s="48" t="s">
        <v>34</v>
      </c>
      <c r="E395" s="38" t="s">
        <v>35</v>
      </c>
      <c r="F395" s="205">
        <v>30655</v>
      </c>
      <c r="G395" s="233">
        <v>45747</v>
      </c>
      <c r="H395" s="281" t="s">
        <v>1155</v>
      </c>
      <c r="I395" s="48">
        <v>1</v>
      </c>
      <c r="J395" s="165" t="s">
        <v>1043</v>
      </c>
      <c r="K395" s="40" t="s">
        <v>1072</v>
      </c>
      <c r="L395" s="40"/>
      <c r="M395" s="41" t="str">
        <f>HYPERLINK("P:\7. LONG HAU\7. CAC THEO DOI TRONG QUA TRINH\4. DEVIATION- INCIDENTS\THEO DÕI NỘI BỘ (NGOÀI BBSC)\"&amp;YEAR(A395)&amp;"\"&amp;B395,B395)</f>
        <v>INT-0020-25</v>
      </c>
      <c r="N395" s="49"/>
      <c r="O395" s="301"/>
    </row>
    <row r="396" spans="1:15" ht="15" x14ac:dyDescent="0.25">
      <c r="A396" s="233">
        <v>45692</v>
      </c>
      <c r="B396" s="35" t="s">
        <v>1140</v>
      </c>
      <c r="C396" s="47" t="s">
        <v>1066</v>
      </c>
      <c r="D396" s="48" t="s">
        <v>34</v>
      </c>
      <c r="E396" s="38" t="s">
        <v>35</v>
      </c>
      <c r="F396" s="205">
        <v>30656</v>
      </c>
      <c r="G396" s="233">
        <v>45747</v>
      </c>
      <c r="H396" s="281" t="s">
        <v>1156</v>
      </c>
      <c r="I396" s="48">
        <v>2</v>
      </c>
      <c r="J396" s="165" t="s">
        <v>1043</v>
      </c>
      <c r="K396" s="40" t="s">
        <v>1072</v>
      </c>
      <c r="L396" s="40"/>
      <c r="M396" s="41" t="str">
        <f t="shared" ref="M396:M402" si="7">HYPERLINK("P:\7. LONG HAU\7. CAC THEO DOI TRONG QUA TRINH\4. DEVIATION- INCIDENTS\THEO DÕI NỘI BỘ (NGOÀI BBSC)\"&amp;YEAR(A396)&amp;"\"&amp;B396,B396)</f>
        <v>INT-0020-25</v>
      </c>
      <c r="N396" s="49"/>
      <c r="O396" s="301"/>
    </row>
    <row r="397" spans="1:15" ht="15" x14ac:dyDescent="0.25">
      <c r="A397" s="233">
        <v>45692</v>
      </c>
      <c r="B397" s="35" t="s">
        <v>1140</v>
      </c>
      <c r="C397" s="47" t="s">
        <v>1066</v>
      </c>
      <c r="D397" s="48" t="s">
        <v>42</v>
      </c>
      <c r="E397" s="38" t="s">
        <v>43</v>
      </c>
      <c r="F397" s="205">
        <v>30590</v>
      </c>
      <c r="G397" s="233">
        <v>45747</v>
      </c>
      <c r="H397" s="281" t="s">
        <v>1157</v>
      </c>
      <c r="I397" s="48">
        <v>8</v>
      </c>
      <c r="J397" s="165" t="s">
        <v>1043</v>
      </c>
      <c r="K397" s="40" t="s">
        <v>1072</v>
      </c>
      <c r="L397" s="40"/>
      <c r="M397" s="41" t="str">
        <f t="shared" si="7"/>
        <v>INT-0020-25</v>
      </c>
      <c r="N397" s="49"/>
      <c r="O397" s="301" t="s">
        <v>1147</v>
      </c>
    </row>
    <row r="398" spans="1:15" ht="40.5" customHeight="1" x14ac:dyDescent="0.25">
      <c r="A398" s="233">
        <v>45692</v>
      </c>
      <c r="B398" s="35" t="s">
        <v>1140</v>
      </c>
      <c r="C398" s="47" t="s">
        <v>1066</v>
      </c>
      <c r="D398" s="48" t="s">
        <v>1144</v>
      </c>
      <c r="E398" s="38"/>
      <c r="F398" s="205"/>
      <c r="G398" s="233"/>
      <c r="H398" s="282" t="s">
        <v>1170</v>
      </c>
      <c r="I398" s="48"/>
      <c r="J398" s="165" t="s">
        <v>1165</v>
      </c>
      <c r="K398" s="40" t="s">
        <v>1072</v>
      </c>
      <c r="L398" s="40"/>
      <c r="M398" s="41" t="str">
        <f>HYPERLINK("P:\7. LONG HAU\7. CAC THEO DOI TRONG QUA TRINH\4. DEVIATION- INCIDENTS\THEO DÕI NỘI BỘ (NGOÀI BBSC)\"&amp;YEAR(A398)&amp;"\"&amp;B398,B398)</f>
        <v>INT-0020-25</v>
      </c>
      <c r="N398" s="49"/>
      <c r="O398" s="301"/>
    </row>
    <row r="399" spans="1:15" ht="54" customHeight="1" x14ac:dyDescent="0.25">
      <c r="A399" s="233">
        <v>45692</v>
      </c>
      <c r="B399" s="35" t="s">
        <v>1142</v>
      </c>
      <c r="C399" s="47" t="s">
        <v>1066</v>
      </c>
      <c r="D399" s="48" t="s">
        <v>1144</v>
      </c>
      <c r="E399" s="38"/>
      <c r="F399" s="205"/>
      <c r="G399" s="233"/>
      <c r="H399" s="280" t="s">
        <v>1169</v>
      </c>
      <c r="I399" s="48"/>
      <c r="J399" s="165" t="s">
        <v>1145</v>
      </c>
      <c r="K399" s="40" t="s">
        <v>1073</v>
      </c>
      <c r="L399" s="40"/>
      <c r="M399" s="41" t="str">
        <f t="shared" si="7"/>
        <v>INT-0021-25</v>
      </c>
      <c r="N399" s="49"/>
      <c r="O399" s="301" t="s">
        <v>1146</v>
      </c>
    </row>
    <row r="400" spans="1:15" ht="15" x14ac:dyDescent="0.25">
      <c r="A400" s="233">
        <v>45692</v>
      </c>
      <c r="B400" s="35" t="s">
        <v>1143</v>
      </c>
      <c r="C400" s="47" t="s">
        <v>547</v>
      </c>
      <c r="D400" s="48" t="s">
        <v>537</v>
      </c>
      <c r="E400" s="38" t="s">
        <v>1020</v>
      </c>
      <c r="F400" s="202" t="s">
        <v>838</v>
      </c>
      <c r="G400" s="230" t="s">
        <v>838</v>
      </c>
      <c r="H400" s="202" t="s">
        <v>838</v>
      </c>
      <c r="I400" s="37" t="s">
        <v>838</v>
      </c>
      <c r="J400" s="50" t="s">
        <v>840</v>
      </c>
      <c r="K400" s="40" t="s">
        <v>1072</v>
      </c>
      <c r="L400" s="40"/>
      <c r="M400" s="41" t="str">
        <f t="shared" si="7"/>
        <v>INT-0022-25</v>
      </c>
      <c r="N400" s="49"/>
      <c r="O400" s="301"/>
    </row>
    <row r="401" spans="1:15" ht="15" x14ac:dyDescent="0.25">
      <c r="A401" s="233">
        <v>45693</v>
      </c>
      <c r="B401" s="35" t="s">
        <v>1148</v>
      </c>
      <c r="C401" s="47" t="s">
        <v>1066</v>
      </c>
      <c r="D401" s="48" t="s">
        <v>28</v>
      </c>
      <c r="E401" s="38" t="s">
        <v>29</v>
      </c>
      <c r="F401" s="205" t="s">
        <v>524</v>
      </c>
      <c r="G401" s="233">
        <v>45688</v>
      </c>
      <c r="H401" s="205" t="s">
        <v>1149</v>
      </c>
      <c r="I401" s="48">
        <v>7</v>
      </c>
      <c r="J401" s="165" t="s">
        <v>1151</v>
      </c>
      <c r="K401" s="40" t="s">
        <v>1072</v>
      </c>
      <c r="L401" s="40"/>
      <c r="M401" s="41" t="str">
        <f t="shared" si="7"/>
        <v>INT-0023-25</v>
      </c>
      <c r="N401" s="49"/>
      <c r="O401" s="301"/>
    </row>
    <row r="402" spans="1:15" ht="15" x14ac:dyDescent="0.25">
      <c r="A402" s="233">
        <v>45693</v>
      </c>
      <c r="B402" s="35" t="s">
        <v>1148</v>
      </c>
      <c r="C402" s="47" t="s">
        <v>1066</v>
      </c>
      <c r="D402" s="48" t="s">
        <v>28</v>
      </c>
      <c r="E402" s="38" t="s">
        <v>29</v>
      </c>
      <c r="F402" s="205" t="s">
        <v>465</v>
      </c>
      <c r="G402" s="233">
        <v>45716</v>
      </c>
      <c r="H402" s="205" t="s">
        <v>1150</v>
      </c>
      <c r="I402" s="48">
        <v>16</v>
      </c>
      <c r="J402" s="165" t="s">
        <v>1151</v>
      </c>
      <c r="K402" s="40" t="s">
        <v>1072</v>
      </c>
      <c r="L402" s="40"/>
      <c r="M402" s="41" t="str">
        <f t="shared" si="7"/>
        <v>INT-0023-25</v>
      </c>
      <c r="N402" s="49"/>
      <c r="O402" s="301"/>
    </row>
    <row r="403" spans="1:15" ht="15" x14ac:dyDescent="0.25">
      <c r="A403" s="233">
        <v>45694</v>
      </c>
      <c r="B403" s="35" t="s">
        <v>1153</v>
      </c>
      <c r="C403" s="47" t="s">
        <v>547</v>
      </c>
      <c r="D403" s="48" t="s">
        <v>537</v>
      </c>
      <c r="E403" s="38" t="s">
        <v>1154</v>
      </c>
      <c r="F403" s="202" t="s">
        <v>838</v>
      </c>
      <c r="G403" s="230" t="s">
        <v>838</v>
      </c>
      <c r="H403" s="202" t="s">
        <v>838</v>
      </c>
      <c r="I403" s="37" t="s">
        <v>838</v>
      </c>
      <c r="J403" s="50" t="s">
        <v>840</v>
      </c>
      <c r="K403" s="40" t="s">
        <v>1072</v>
      </c>
      <c r="L403" s="40"/>
      <c r="M403" s="41" t="str">
        <f t="shared" ref="M403:M409" si="8">HYPERLINK("P:\7. LONG HAU\7. CAC THEO DOI TRONG QUA TRINH\4. DEVIATION- INCIDENTS\THEO DÕI NỘI BỘ (NGOÀI BBSC)\"&amp;YEAR(A403)&amp;"\"&amp;B403,B403)</f>
        <v>INT-0024-25</v>
      </c>
      <c r="N403" s="49"/>
      <c r="O403" s="301"/>
    </row>
    <row r="404" spans="1:15" ht="25.5" x14ac:dyDescent="0.25">
      <c r="A404" s="234">
        <v>45694</v>
      </c>
      <c r="B404" s="35" t="s">
        <v>1160</v>
      </c>
      <c r="C404" s="52" t="s">
        <v>1068</v>
      </c>
      <c r="D404" s="53" t="s">
        <v>1161</v>
      </c>
      <c r="E404" s="54" t="s">
        <v>1162</v>
      </c>
      <c r="F404" s="206" t="s">
        <v>1163</v>
      </c>
      <c r="G404" s="234">
        <v>46022</v>
      </c>
      <c r="H404" s="206"/>
      <c r="I404" s="53">
        <v>840</v>
      </c>
      <c r="J404" s="165" t="s">
        <v>1164</v>
      </c>
      <c r="K404" s="40" t="s">
        <v>1071</v>
      </c>
      <c r="L404" s="55"/>
      <c r="M404" s="41" t="str">
        <f t="shared" si="8"/>
        <v>INT-0025-25</v>
      </c>
      <c r="N404" s="56"/>
      <c r="O404" s="303"/>
    </row>
    <row r="405" spans="1:15" ht="15" x14ac:dyDescent="0.25">
      <c r="A405" s="234">
        <v>45695</v>
      </c>
      <c r="B405" s="57" t="s">
        <v>1166</v>
      </c>
      <c r="C405" s="52" t="s">
        <v>1068</v>
      </c>
      <c r="D405" s="53" t="s">
        <v>1175</v>
      </c>
      <c r="E405" s="54" t="s">
        <v>1167</v>
      </c>
      <c r="F405" s="206" t="s">
        <v>1168</v>
      </c>
      <c r="G405" s="234">
        <v>46143</v>
      </c>
      <c r="H405" s="206"/>
      <c r="I405" s="53">
        <v>100</v>
      </c>
      <c r="J405" s="258" t="s">
        <v>1174</v>
      </c>
      <c r="K405" s="40" t="s">
        <v>1071</v>
      </c>
      <c r="L405" s="55"/>
      <c r="M405" s="41" t="str">
        <f t="shared" si="8"/>
        <v>INT-0026-25</v>
      </c>
      <c r="N405" s="56"/>
      <c r="O405" s="303"/>
    </row>
    <row r="406" spans="1:15" ht="15" x14ac:dyDescent="0.25">
      <c r="A406" s="304">
        <v>45700</v>
      </c>
      <c r="B406" s="57" t="s">
        <v>1171</v>
      </c>
      <c r="C406" s="52" t="s">
        <v>1068</v>
      </c>
      <c r="D406" s="53" t="s">
        <v>1177</v>
      </c>
      <c r="E406" s="38" t="s">
        <v>1172</v>
      </c>
      <c r="F406" s="206" t="s">
        <v>1173</v>
      </c>
      <c r="G406" s="234">
        <v>46203</v>
      </c>
      <c r="H406" s="206"/>
      <c r="I406" s="53">
        <v>66</v>
      </c>
      <c r="J406" s="259" t="s">
        <v>1176</v>
      </c>
      <c r="K406" s="55" t="s">
        <v>1071</v>
      </c>
      <c r="L406" s="55"/>
      <c r="M406" s="41" t="str">
        <f t="shared" si="8"/>
        <v>INT-0027-25</v>
      </c>
      <c r="N406" s="56"/>
      <c r="O406" s="303"/>
    </row>
    <row r="407" spans="1:15" ht="15" x14ac:dyDescent="0.25">
      <c r="A407" s="233">
        <v>45700</v>
      </c>
      <c r="B407" s="35" t="s">
        <v>1178</v>
      </c>
      <c r="C407" s="47" t="s">
        <v>1065</v>
      </c>
      <c r="D407" s="48" t="s">
        <v>47</v>
      </c>
      <c r="E407" s="38" t="s">
        <v>48</v>
      </c>
      <c r="F407" s="205" t="s">
        <v>619</v>
      </c>
      <c r="G407" s="233">
        <v>46112</v>
      </c>
      <c r="H407" s="205" t="s">
        <v>1183</v>
      </c>
      <c r="I407" s="48">
        <v>2</v>
      </c>
      <c r="J407" s="165" t="s">
        <v>1216</v>
      </c>
      <c r="K407" s="40" t="s">
        <v>1071</v>
      </c>
      <c r="L407" s="40"/>
      <c r="M407" s="41" t="str">
        <f t="shared" si="8"/>
        <v>INT-0028-25</v>
      </c>
      <c r="N407" s="49"/>
      <c r="O407" s="301"/>
    </row>
    <row r="408" spans="1:15" ht="25.5" x14ac:dyDescent="0.25">
      <c r="A408" s="233">
        <v>45700</v>
      </c>
      <c r="B408" s="35" t="s">
        <v>1178</v>
      </c>
      <c r="C408" s="47" t="s">
        <v>1065</v>
      </c>
      <c r="D408" s="48" t="s">
        <v>44</v>
      </c>
      <c r="E408" s="38" t="s">
        <v>45</v>
      </c>
      <c r="F408" s="205" t="s">
        <v>1179</v>
      </c>
      <c r="G408" s="233">
        <v>46326</v>
      </c>
      <c r="H408" s="205" t="s">
        <v>1184</v>
      </c>
      <c r="I408" s="48">
        <v>1</v>
      </c>
      <c r="J408" s="165" t="s">
        <v>1216</v>
      </c>
      <c r="K408" s="40" t="s">
        <v>1071</v>
      </c>
      <c r="L408" s="40"/>
      <c r="M408" s="41" t="str">
        <f t="shared" si="8"/>
        <v>INT-0028-25</v>
      </c>
      <c r="N408" s="49"/>
      <c r="O408" s="301"/>
    </row>
    <row r="409" spans="1:15" ht="15" x14ac:dyDescent="0.25">
      <c r="A409" s="233">
        <v>45700</v>
      </c>
      <c r="B409" s="35" t="s">
        <v>1178</v>
      </c>
      <c r="C409" s="47" t="s">
        <v>1065</v>
      </c>
      <c r="D409" s="48" t="s">
        <v>1180</v>
      </c>
      <c r="E409" s="38" t="s">
        <v>1181</v>
      </c>
      <c r="F409" s="205" t="s">
        <v>1182</v>
      </c>
      <c r="G409" s="233">
        <v>46656</v>
      </c>
      <c r="H409" s="205" t="s">
        <v>1185</v>
      </c>
      <c r="I409" s="48">
        <v>5</v>
      </c>
      <c r="J409" s="165" t="s">
        <v>1216</v>
      </c>
      <c r="K409" s="40" t="s">
        <v>1071</v>
      </c>
      <c r="L409" s="40"/>
      <c r="M409" s="41" t="str">
        <f t="shared" si="8"/>
        <v>INT-0028-25</v>
      </c>
      <c r="N409" s="49"/>
      <c r="O409" s="301"/>
    </row>
    <row r="410" spans="1:15" ht="15" x14ac:dyDescent="0.25">
      <c r="A410" s="233">
        <v>45705</v>
      </c>
      <c r="B410" s="35" t="s">
        <v>1186</v>
      </c>
      <c r="C410" s="47" t="s">
        <v>1066</v>
      </c>
      <c r="D410" s="48" t="s">
        <v>1188</v>
      </c>
      <c r="E410" s="38" t="s">
        <v>1189</v>
      </c>
      <c r="F410" s="205" t="s">
        <v>1191</v>
      </c>
      <c r="G410" s="233">
        <v>46095</v>
      </c>
      <c r="H410" s="205" t="s">
        <v>1190</v>
      </c>
      <c r="I410" s="48">
        <v>1</v>
      </c>
      <c r="J410" s="50" t="s">
        <v>724</v>
      </c>
      <c r="K410" s="40" t="s">
        <v>1089</v>
      </c>
      <c r="L410" s="40"/>
      <c r="M410" s="41" t="str">
        <f t="shared" ref="M410:M416" si="9">HYPERLINK("P:\7. LONG HAU\7. CAC THEO DOI TRONG QUA TRINH\4. DEVIATION- INCIDENTS\THEO DÕI NỘI BỘ (NGOÀI BBSC)\"&amp;YEAR(A410)&amp;"\"&amp;B410,B410)</f>
        <v>INT-0029-25</v>
      </c>
      <c r="N410" s="49"/>
      <c r="O410" s="301"/>
    </row>
    <row r="411" spans="1:15" ht="15" x14ac:dyDescent="0.25">
      <c r="A411" s="233">
        <v>45705</v>
      </c>
      <c r="B411" s="35" t="s">
        <v>1186</v>
      </c>
      <c r="C411" s="47" t="s">
        <v>1066</v>
      </c>
      <c r="D411" s="48" t="s">
        <v>1192</v>
      </c>
      <c r="E411" s="38" t="s">
        <v>1193</v>
      </c>
      <c r="F411" s="205" t="s">
        <v>1194</v>
      </c>
      <c r="G411" s="233">
        <v>46183</v>
      </c>
      <c r="H411" s="205" t="s">
        <v>1190</v>
      </c>
      <c r="I411" s="48">
        <v>1</v>
      </c>
      <c r="J411" s="50" t="s">
        <v>724</v>
      </c>
      <c r="K411" s="40" t="s">
        <v>1089</v>
      </c>
      <c r="L411" s="40"/>
      <c r="M411" s="41" t="str">
        <f t="shared" si="9"/>
        <v>INT-0029-25</v>
      </c>
      <c r="N411" s="49"/>
      <c r="O411" s="301"/>
    </row>
    <row r="412" spans="1:15" ht="15" x14ac:dyDescent="0.25">
      <c r="A412" s="233">
        <v>45705</v>
      </c>
      <c r="B412" s="35" t="s">
        <v>1187</v>
      </c>
      <c r="C412" s="47" t="s">
        <v>1066</v>
      </c>
      <c r="D412" s="48" t="s">
        <v>1195</v>
      </c>
      <c r="E412" s="38" t="s">
        <v>1196</v>
      </c>
      <c r="F412" s="205" t="s">
        <v>1197</v>
      </c>
      <c r="G412" s="233">
        <v>46112</v>
      </c>
      <c r="H412" s="205" t="s">
        <v>1198</v>
      </c>
      <c r="I412" s="48">
        <v>1</v>
      </c>
      <c r="J412" s="165" t="s">
        <v>1209</v>
      </c>
      <c r="K412" s="40" t="s">
        <v>1072</v>
      </c>
      <c r="L412" s="40"/>
      <c r="M412" s="41" t="str">
        <f t="shared" si="9"/>
        <v>INT-0030-25</v>
      </c>
      <c r="N412" s="49"/>
      <c r="O412" s="301"/>
    </row>
    <row r="413" spans="1:15" ht="15" x14ac:dyDescent="0.25">
      <c r="A413" s="233">
        <v>45705</v>
      </c>
      <c r="B413" s="35" t="s">
        <v>1187</v>
      </c>
      <c r="C413" s="47" t="s">
        <v>1066</v>
      </c>
      <c r="D413" s="48" t="s">
        <v>1199</v>
      </c>
      <c r="E413" s="38" t="s">
        <v>1200</v>
      </c>
      <c r="F413" s="205" t="s">
        <v>1201</v>
      </c>
      <c r="G413" s="233">
        <v>46965</v>
      </c>
      <c r="H413" s="205" t="s">
        <v>1198</v>
      </c>
      <c r="I413" s="48">
        <v>1</v>
      </c>
      <c r="J413" s="165" t="s">
        <v>1209</v>
      </c>
      <c r="K413" s="40" t="s">
        <v>1072</v>
      </c>
      <c r="L413" s="40"/>
      <c r="M413" s="41" t="str">
        <f t="shared" si="9"/>
        <v>INT-0030-25</v>
      </c>
      <c r="N413" s="49"/>
      <c r="O413" s="301"/>
    </row>
    <row r="414" spans="1:15" ht="15" x14ac:dyDescent="0.25">
      <c r="A414" s="233">
        <v>45705</v>
      </c>
      <c r="B414" s="35" t="s">
        <v>1187</v>
      </c>
      <c r="C414" s="47" t="s">
        <v>1066</v>
      </c>
      <c r="D414" s="48" t="s">
        <v>260</v>
      </c>
      <c r="E414" s="38" t="s">
        <v>252</v>
      </c>
      <c r="F414" s="205" t="s">
        <v>1202</v>
      </c>
      <c r="G414" s="233">
        <v>45626</v>
      </c>
      <c r="H414" s="205" t="s">
        <v>1198</v>
      </c>
      <c r="I414" s="48">
        <v>1</v>
      </c>
      <c r="J414" s="165" t="s">
        <v>1209</v>
      </c>
      <c r="K414" s="40" t="s">
        <v>1072</v>
      </c>
      <c r="L414" s="40"/>
      <c r="M414" s="41" t="str">
        <f t="shared" si="9"/>
        <v>INT-0030-25</v>
      </c>
      <c r="N414" s="49"/>
      <c r="O414" s="301"/>
    </row>
    <row r="415" spans="1:15" ht="15" x14ac:dyDescent="0.25">
      <c r="A415" s="233">
        <v>45705</v>
      </c>
      <c r="B415" s="35" t="s">
        <v>1187</v>
      </c>
      <c r="C415" s="47" t="s">
        <v>1066</v>
      </c>
      <c r="D415" s="48" t="s">
        <v>1203</v>
      </c>
      <c r="E415" s="38" t="s">
        <v>1204</v>
      </c>
      <c r="F415" s="205" t="s">
        <v>1205</v>
      </c>
      <c r="G415" s="233">
        <v>47149</v>
      </c>
      <c r="H415" s="205" t="s">
        <v>1198</v>
      </c>
      <c r="I415" s="48">
        <v>1</v>
      </c>
      <c r="J415" s="165" t="s">
        <v>1209</v>
      </c>
      <c r="K415" s="40" t="s">
        <v>1072</v>
      </c>
      <c r="L415" s="40"/>
      <c r="M415" s="41" t="str">
        <f t="shared" si="9"/>
        <v>INT-0030-25</v>
      </c>
      <c r="N415" s="49"/>
      <c r="O415" s="301"/>
    </row>
    <row r="416" spans="1:15" ht="15" x14ac:dyDescent="0.25">
      <c r="A416" s="233">
        <v>45705</v>
      </c>
      <c r="B416" s="35" t="s">
        <v>1187</v>
      </c>
      <c r="C416" s="47" t="s">
        <v>1066</v>
      </c>
      <c r="D416" s="48" t="s">
        <v>1206</v>
      </c>
      <c r="E416" s="38" t="s">
        <v>1207</v>
      </c>
      <c r="F416" s="205" t="s">
        <v>1208</v>
      </c>
      <c r="G416" s="233">
        <v>46295</v>
      </c>
      <c r="H416" s="205" t="s">
        <v>1198</v>
      </c>
      <c r="I416" s="48">
        <v>1</v>
      </c>
      <c r="J416" s="165" t="s">
        <v>1209</v>
      </c>
      <c r="K416" s="40" t="s">
        <v>1072</v>
      </c>
      <c r="L416" s="40"/>
      <c r="M416" s="41" t="str">
        <f t="shared" si="9"/>
        <v>INT-0030-25</v>
      </c>
      <c r="N416" s="49"/>
      <c r="O416" s="301"/>
    </row>
    <row r="417" spans="1:15" ht="15" x14ac:dyDescent="0.25">
      <c r="A417" s="233">
        <v>45706</v>
      </c>
      <c r="B417" s="35" t="s">
        <v>1210</v>
      </c>
      <c r="C417" s="47" t="s">
        <v>1066</v>
      </c>
      <c r="D417" s="48" t="s">
        <v>36</v>
      </c>
      <c r="E417" s="38" t="s">
        <v>37</v>
      </c>
      <c r="F417" s="205" t="s">
        <v>748</v>
      </c>
      <c r="G417" s="233">
        <v>45716</v>
      </c>
      <c r="H417" s="205" t="s">
        <v>1211</v>
      </c>
      <c r="I417" s="48">
        <v>9</v>
      </c>
      <c r="J417" s="165" t="s">
        <v>1043</v>
      </c>
      <c r="K417" s="40" t="s">
        <v>1073</v>
      </c>
      <c r="L417" s="40"/>
      <c r="M417" s="41" t="str">
        <f t="shared" ref="M417:M423" si="10">HYPERLINK("P:\7. LONG HAU\7. CAC THEO DOI TRONG QUA TRINH\4. DEVIATION- INCIDENTS\THEO DÕI NỘI BỘ (NGOÀI BBSC)\"&amp;YEAR(A417)&amp;"\"&amp;B417,B417)</f>
        <v>INT-0031-25</v>
      </c>
      <c r="N417" s="49"/>
      <c r="O417" s="301"/>
    </row>
    <row r="418" spans="1:15" ht="15" x14ac:dyDescent="0.25">
      <c r="A418" s="233">
        <v>45706</v>
      </c>
      <c r="B418" s="35" t="s">
        <v>1210</v>
      </c>
      <c r="C418" s="47" t="s">
        <v>1066</v>
      </c>
      <c r="D418" s="48" t="s">
        <v>1212</v>
      </c>
      <c r="E418" s="38" t="s">
        <v>1213</v>
      </c>
      <c r="F418" s="205" t="s">
        <v>1214</v>
      </c>
      <c r="G418" s="233">
        <v>46053</v>
      </c>
      <c r="H418" s="205" t="s">
        <v>1215</v>
      </c>
      <c r="I418" s="48">
        <v>3</v>
      </c>
      <c r="J418" s="165" t="s">
        <v>1043</v>
      </c>
      <c r="K418" s="40" t="s">
        <v>1073</v>
      </c>
      <c r="L418" s="40"/>
      <c r="M418" s="41" t="str">
        <f t="shared" si="10"/>
        <v>INT-0031-25</v>
      </c>
      <c r="N418" s="49"/>
      <c r="O418" s="301"/>
    </row>
    <row r="419" spans="1:15" ht="25.5" x14ac:dyDescent="0.25">
      <c r="A419" s="233">
        <v>45706</v>
      </c>
      <c r="B419" s="35" t="s">
        <v>1217</v>
      </c>
      <c r="C419" s="47" t="s">
        <v>1068</v>
      </c>
      <c r="D419" s="48" t="s">
        <v>1218</v>
      </c>
      <c r="E419" s="38" t="s">
        <v>1219</v>
      </c>
      <c r="F419" s="205" t="s">
        <v>1220</v>
      </c>
      <c r="G419" s="233">
        <v>46967</v>
      </c>
      <c r="H419" s="205" t="s">
        <v>1221</v>
      </c>
      <c r="I419" s="48">
        <v>3</v>
      </c>
      <c r="J419" s="165" t="s">
        <v>1223</v>
      </c>
      <c r="K419" s="40" t="s">
        <v>1071</v>
      </c>
      <c r="L419" s="40"/>
      <c r="M419" s="41" t="str">
        <f t="shared" si="10"/>
        <v>INT-0032-25</v>
      </c>
      <c r="N419" s="49"/>
      <c r="O419" s="301"/>
    </row>
    <row r="420" spans="1:15" ht="25.5" x14ac:dyDescent="0.25">
      <c r="A420" s="233">
        <v>45706</v>
      </c>
      <c r="B420" s="35" t="s">
        <v>1217</v>
      </c>
      <c r="C420" s="47" t="s">
        <v>1068</v>
      </c>
      <c r="D420" s="48" t="s">
        <v>1218</v>
      </c>
      <c r="E420" s="38" t="s">
        <v>1219</v>
      </c>
      <c r="F420" s="205" t="s">
        <v>1220</v>
      </c>
      <c r="G420" s="233">
        <v>46967</v>
      </c>
      <c r="H420" s="205" t="s">
        <v>1222</v>
      </c>
      <c r="I420" s="48">
        <v>1</v>
      </c>
      <c r="J420" s="165" t="s">
        <v>1223</v>
      </c>
      <c r="K420" s="40" t="s">
        <v>1071</v>
      </c>
      <c r="L420" s="40"/>
      <c r="M420" s="41" t="str">
        <f t="shared" si="10"/>
        <v>INT-0032-25</v>
      </c>
      <c r="N420" s="49"/>
      <c r="O420" s="301"/>
    </row>
    <row r="421" spans="1:15" ht="15" x14ac:dyDescent="0.25">
      <c r="A421" s="235">
        <v>45707</v>
      </c>
      <c r="B421" s="58" t="s">
        <v>1224</v>
      </c>
      <c r="C421" s="59" t="s">
        <v>1066</v>
      </c>
      <c r="D421" s="60" t="s">
        <v>42</v>
      </c>
      <c r="E421" s="61" t="s">
        <v>43</v>
      </c>
      <c r="F421" s="207" t="s">
        <v>746</v>
      </c>
      <c r="G421" s="235">
        <v>45688</v>
      </c>
      <c r="H421" s="207" t="s">
        <v>1225</v>
      </c>
      <c r="I421" s="60">
        <v>6</v>
      </c>
      <c r="J421" s="165" t="s">
        <v>589</v>
      </c>
      <c r="K421" s="62" t="s">
        <v>1072</v>
      </c>
      <c r="L421" s="62"/>
      <c r="M421" s="41" t="str">
        <f t="shared" si="10"/>
        <v>INT-0033-25</v>
      </c>
      <c r="N421" s="63"/>
      <c r="O421" s="305"/>
    </row>
    <row r="422" spans="1:15" ht="116.25" customHeight="1" x14ac:dyDescent="0.25">
      <c r="A422" s="235">
        <v>45707</v>
      </c>
      <c r="B422" s="35" t="s">
        <v>1224</v>
      </c>
      <c r="C422" s="47" t="s">
        <v>1066</v>
      </c>
      <c r="D422" s="48" t="s">
        <v>28</v>
      </c>
      <c r="E422" s="38" t="s">
        <v>29</v>
      </c>
      <c r="F422" s="205" t="s">
        <v>621</v>
      </c>
      <c r="G422" s="233">
        <v>45688</v>
      </c>
      <c r="H422" s="205" t="s">
        <v>1226</v>
      </c>
      <c r="I422" s="48">
        <v>1</v>
      </c>
      <c r="J422" s="165" t="s">
        <v>589</v>
      </c>
      <c r="K422" s="40" t="s">
        <v>1072</v>
      </c>
      <c r="L422" s="40"/>
      <c r="M422" s="41" t="str">
        <f t="shared" si="10"/>
        <v>INT-0033-25</v>
      </c>
      <c r="N422" s="49"/>
      <c r="O422" s="301"/>
    </row>
    <row r="423" spans="1:15" ht="242.25" x14ac:dyDescent="0.25">
      <c r="A423" s="235">
        <v>45707</v>
      </c>
      <c r="B423" s="35" t="s">
        <v>1227</v>
      </c>
      <c r="C423" s="47" t="s">
        <v>1066</v>
      </c>
      <c r="D423" s="48" t="s">
        <v>1144</v>
      </c>
      <c r="E423" s="38" t="s">
        <v>1245</v>
      </c>
      <c r="F423" s="205"/>
      <c r="G423" s="233"/>
      <c r="H423" s="280" t="s">
        <v>1228</v>
      </c>
      <c r="I423" s="48"/>
      <c r="J423" s="165" t="s">
        <v>1043</v>
      </c>
      <c r="K423" s="40" t="s">
        <v>1073</v>
      </c>
      <c r="L423" s="40"/>
      <c r="M423" s="41" t="str">
        <f t="shared" si="10"/>
        <v>INT-0034-25</v>
      </c>
      <c r="N423" s="49"/>
      <c r="O423" s="301"/>
    </row>
    <row r="424" spans="1:15" ht="38.25" x14ac:dyDescent="0.25">
      <c r="A424" s="236">
        <v>45708</v>
      </c>
      <c r="B424" s="64" t="s">
        <v>1229</v>
      </c>
      <c r="C424" s="65" t="s">
        <v>1066</v>
      </c>
      <c r="D424" s="66" t="s">
        <v>1230</v>
      </c>
      <c r="E424" s="67" t="s">
        <v>1231</v>
      </c>
      <c r="F424" s="208" t="s">
        <v>1232</v>
      </c>
      <c r="G424" s="236">
        <v>46259</v>
      </c>
      <c r="H424" s="205" t="s">
        <v>1233</v>
      </c>
      <c r="I424" s="66">
        <v>2</v>
      </c>
      <c r="J424" s="165" t="s">
        <v>1234</v>
      </c>
      <c r="K424" s="68" t="s">
        <v>1073</v>
      </c>
      <c r="L424" s="40" t="s">
        <v>1235</v>
      </c>
      <c r="M424" s="41" t="str">
        <f>HYPERLINK("P:\7. LONG HAU\7. CAC THEO DOI TRONG QUA TRINH\4. DEVIATION- INCIDENTS\THEO DÕI NỘI BỘ (NGOÀI BBSC)\"&amp;YEAR(A424)&amp;"\"&amp;B424,B424)</f>
        <v>INT-0035-25</v>
      </c>
      <c r="N424" s="69"/>
      <c r="O424" s="306"/>
    </row>
    <row r="425" spans="1:15" ht="25.5" x14ac:dyDescent="0.25">
      <c r="A425" s="236">
        <v>45712</v>
      </c>
      <c r="B425" s="35" t="s">
        <v>1243</v>
      </c>
      <c r="C425" s="65" t="s">
        <v>1236</v>
      </c>
      <c r="D425" s="66" t="s">
        <v>1238</v>
      </c>
      <c r="E425" s="67" t="s">
        <v>1239</v>
      </c>
      <c r="F425" s="208" t="s">
        <v>1240</v>
      </c>
      <c r="G425" s="236">
        <v>46599</v>
      </c>
      <c r="H425" s="205" t="s">
        <v>1241</v>
      </c>
      <c r="I425" s="66">
        <v>1</v>
      </c>
      <c r="J425" s="165" t="s">
        <v>1242</v>
      </c>
      <c r="K425" s="68" t="s">
        <v>1074</v>
      </c>
      <c r="L425" s="40" t="s">
        <v>1244</v>
      </c>
      <c r="M425" s="41" t="str">
        <f>HYPERLINK("P:\7. LONG HAU\7. CAC THEO DOI TRONG QUA TRINH\4. DEVIATION- INCIDENTS\THEO DÕI NỘI BỘ (NGOÀI BBSC)\"&amp;YEAR(A425)&amp;"\"&amp;B425,B425)</f>
        <v>INT-0036-25</v>
      </c>
      <c r="N425" s="69"/>
      <c r="O425" s="306"/>
    </row>
    <row r="426" spans="1:15" ht="15" x14ac:dyDescent="0.25">
      <c r="A426" s="236">
        <v>45712</v>
      </c>
      <c r="B426" s="35" t="s">
        <v>1249</v>
      </c>
      <c r="C426" s="65" t="s">
        <v>1066</v>
      </c>
      <c r="D426" s="66" t="s">
        <v>905</v>
      </c>
      <c r="E426" s="67" t="s">
        <v>906</v>
      </c>
      <c r="F426" s="208" t="s">
        <v>907</v>
      </c>
      <c r="G426" s="236">
        <v>46081</v>
      </c>
      <c r="H426" s="208" t="s">
        <v>1246</v>
      </c>
      <c r="I426" s="66">
        <v>7</v>
      </c>
      <c r="J426" s="165" t="s">
        <v>1248</v>
      </c>
      <c r="K426" s="68" t="s">
        <v>1073</v>
      </c>
      <c r="L426" s="68"/>
      <c r="M426" s="70" t="str">
        <f>HYPERLINK("P:\7. LONG HAU\7. CAC THEO DOI TRONG QUA TRINH\4. DEVIATION- INCIDENTS\THEO DÕI NỘI BỘ (NGOÀI BBSC)\"&amp;YEAR(A426)&amp;"\"&amp;B426,B426)</f>
        <v>INT-0037-25</v>
      </c>
      <c r="N426" s="69"/>
      <c r="O426" s="306"/>
    </row>
    <row r="427" spans="1:15" ht="15" x14ac:dyDescent="0.25">
      <c r="A427" s="236">
        <v>45712</v>
      </c>
      <c r="B427" s="35" t="s">
        <v>1249</v>
      </c>
      <c r="C427" s="47" t="s">
        <v>1066</v>
      </c>
      <c r="D427" s="48" t="s">
        <v>968</v>
      </c>
      <c r="E427" s="38" t="s">
        <v>969</v>
      </c>
      <c r="F427" s="205" t="s">
        <v>974</v>
      </c>
      <c r="G427" s="233">
        <v>45961</v>
      </c>
      <c r="H427" s="205" t="s">
        <v>1247</v>
      </c>
      <c r="I427" s="48">
        <v>10</v>
      </c>
      <c r="J427" s="165" t="s">
        <v>1248</v>
      </c>
      <c r="K427" s="40" t="s">
        <v>1073</v>
      </c>
      <c r="L427" s="40"/>
      <c r="M427" s="70" t="str">
        <f>HYPERLINK("P:\7. LONG HAU\7. CAC THEO DOI TRONG QUA TRINH\4. DEVIATION- INCIDENTS\THEO DÕI NỘI BỘ (NGOÀI BBSC)\"&amp;YEAR(A427)&amp;"\"&amp;B427,B427)</f>
        <v>INT-0037-25</v>
      </c>
      <c r="N427" s="49"/>
      <c r="O427" s="301"/>
    </row>
    <row r="428" spans="1:15" ht="15" x14ac:dyDescent="0.25">
      <c r="A428" s="236">
        <v>45712</v>
      </c>
      <c r="B428" s="35" t="s">
        <v>1249</v>
      </c>
      <c r="C428" s="47" t="s">
        <v>1066</v>
      </c>
      <c r="D428" s="48" t="s">
        <v>92</v>
      </c>
      <c r="E428" s="38" t="s">
        <v>93</v>
      </c>
      <c r="F428" s="205" t="s">
        <v>1253</v>
      </c>
      <c r="G428" s="233">
        <v>46173</v>
      </c>
      <c r="H428" s="205" t="s">
        <v>1254</v>
      </c>
      <c r="I428" s="48">
        <v>6</v>
      </c>
      <c r="J428" s="165" t="s">
        <v>1262</v>
      </c>
      <c r="K428" s="40" t="s">
        <v>1073</v>
      </c>
      <c r="L428" s="40"/>
      <c r="M428" s="70" t="str">
        <f t="shared" ref="M428:M432" si="11">HYPERLINK("P:\7. LONG HAU\7. CAC THEO DOI TRONG QUA TRINH\4. DEVIATION- INCIDENTS\THEO DÕI NỘI BỘ (NGOÀI BBSC)\"&amp;YEAR(A428)&amp;"\"&amp;B428,B428)</f>
        <v>INT-0037-25</v>
      </c>
      <c r="N428" s="49"/>
      <c r="O428" s="301"/>
    </row>
    <row r="429" spans="1:15" ht="15" x14ac:dyDescent="0.25">
      <c r="A429" s="236">
        <v>45712</v>
      </c>
      <c r="B429" s="35" t="s">
        <v>1249</v>
      </c>
      <c r="C429" s="47" t="s">
        <v>1066</v>
      </c>
      <c r="D429" s="48" t="s">
        <v>1255</v>
      </c>
      <c r="E429" s="38" t="s">
        <v>1256</v>
      </c>
      <c r="F429" s="205" t="s">
        <v>1257</v>
      </c>
      <c r="G429" s="233">
        <v>46053</v>
      </c>
      <c r="H429" s="205" t="s">
        <v>1258</v>
      </c>
      <c r="I429" s="48">
        <v>5</v>
      </c>
      <c r="J429" s="165" t="s">
        <v>1248</v>
      </c>
      <c r="K429" s="40" t="s">
        <v>1073</v>
      </c>
      <c r="L429" s="40"/>
      <c r="M429" s="70" t="str">
        <f t="shared" si="11"/>
        <v>INT-0037-25</v>
      </c>
      <c r="N429" s="49"/>
      <c r="O429" s="301"/>
    </row>
    <row r="430" spans="1:15" ht="15" x14ac:dyDescent="0.25">
      <c r="A430" s="236">
        <v>45712</v>
      </c>
      <c r="B430" s="35" t="s">
        <v>1249</v>
      </c>
      <c r="C430" s="47" t="s">
        <v>1066</v>
      </c>
      <c r="D430" s="48" t="s">
        <v>39</v>
      </c>
      <c r="E430" s="38" t="s">
        <v>40</v>
      </c>
      <c r="F430" s="205" t="s">
        <v>614</v>
      </c>
      <c r="G430" s="233">
        <v>45991</v>
      </c>
      <c r="H430" s="205" t="s">
        <v>1259</v>
      </c>
      <c r="I430" s="48">
        <v>9</v>
      </c>
      <c r="J430" s="165" t="s">
        <v>1248</v>
      </c>
      <c r="K430" s="40" t="s">
        <v>1073</v>
      </c>
      <c r="L430" s="40"/>
      <c r="M430" s="70" t="str">
        <f t="shared" si="11"/>
        <v>INT-0037-25</v>
      </c>
      <c r="N430" s="49"/>
      <c r="O430" s="301"/>
    </row>
    <row r="431" spans="1:15" ht="25.5" x14ac:dyDescent="0.25">
      <c r="A431" s="236">
        <v>45712</v>
      </c>
      <c r="B431" s="35" t="s">
        <v>1249</v>
      </c>
      <c r="C431" s="47" t="s">
        <v>1066</v>
      </c>
      <c r="D431" s="48" t="s">
        <v>44</v>
      </c>
      <c r="E431" s="38" t="s">
        <v>45</v>
      </c>
      <c r="F431" s="205" t="s">
        <v>1179</v>
      </c>
      <c r="G431" s="233">
        <v>46326</v>
      </c>
      <c r="H431" s="205" t="s">
        <v>1260</v>
      </c>
      <c r="I431" s="48">
        <v>29</v>
      </c>
      <c r="J431" s="165" t="s">
        <v>1262</v>
      </c>
      <c r="K431" s="40" t="s">
        <v>1073</v>
      </c>
      <c r="L431" s="40"/>
      <c r="M431" s="70" t="str">
        <f t="shared" si="11"/>
        <v>INT-0037-25</v>
      </c>
      <c r="N431" s="49"/>
      <c r="O431" s="301"/>
    </row>
    <row r="432" spans="1:15" ht="15" x14ac:dyDescent="0.25">
      <c r="A432" s="236">
        <v>45712</v>
      </c>
      <c r="B432" s="35" t="s">
        <v>1249</v>
      </c>
      <c r="C432" s="47" t="s">
        <v>1066</v>
      </c>
      <c r="D432" s="48" t="s">
        <v>968</v>
      </c>
      <c r="E432" s="38" t="s">
        <v>969</v>
      </c>
      <c r="F432" s="205" t="s">
        <v>974</v>
      </c>
      <c r="G432" s="233">
        <v>45961</v>
      </c>
      <c r="H432" s="205" t="s">
        <v>1261</v>
      </c>
      <c r="I432" s="48">
        <v>10</v>
      </c>
      <c r="J432" s="165" t="s">
        <v>1248</v>
      </c>
      <c r="K432" s="40" t="s">
        <v>1073</v>
      </c>
      <c r="L432" s="40"/>
      <c r="M432" s="70" t="str">
        <f t="shared" si="11"/>
        <v>INT-0037-25</v>
      </c>
      <c r="N432" s="49"/>
      <c r="O432" s="301"/>
    </row>
    <row r="433" spans="1:15" ht="15" x14ac:dyDescent="0.25">
      <c r="A433" s="236">
        <v>45712</v>
      </c>
      <c r="B433" s="35" t="s">
        <v>1250</v>
      </c>
      <c r="C433" s="47" t="s">
        <v>1066</v>
      </c>
      <c r="D433" s="48" t="s">
        <v>42</v>
      </c>
      <c r="E433" s="38" t="s">
        <v>43</v>
      </c>
      <c r="F433" s="205" t="s">
        <v>825</v>
      </c>
      <c r="G433" s="233">
        <v>45777</v>
      </c>
      <c r="H433" s="205" t="s">
        <v>1251</v>
      </c>
      <c r="I433" s="48">
        <v>2</v>
      </c>
      <c r="J433" s="165" t="s">
        <v>1165</v>
      </c>
      <c r="K433" s="40" t="s">
        <v>1072</v>
      </c>
      <c r="L433" s="40"/>
      <c r="M433" s="70" t="str">
        <f t="shared" ref="M433:M439" si="12">HYPERLINK("P:\7. LONG HAU\7. CAC THEO DOI TRONG QUA TRINH\4. DEVIATION- INCIDENTS\THEO DÕI NỘI BỘ (NGOÀI BBSC)\"&amp;YEAR(A433)&amp;"\"&amp;B433,B433)</f>
        <v>INT-0038-25</v>
      </c>
      <c r="N433" s="49"/>
      <c r="O433" s="301"/>
    </row>
    <row r="434" spans="1:15" ht="15" x14ac:dyDescent="0.25">
      <c r="A434" s="236">
        <v>45712</v>
      </c>
      <c r="B434" s="35" t="s">
        <v>1250</v>
      </c>
      <c r="C434" s="47" t="s">
        <v>1066</v>
      </c>
      <c r="D434" s="48" t="s">
        <v>36</v>
      </c>
      <c r="E434" s="38" t="s">
        <v>37</v>
      </c>
      <c r="F434" s="205" t="s">
        <v>941</v>
      </c>
      <c r="G434" s="233">
        <v>45838</v>
      </c>
      <c r="H434" s="205" t="s">
        <v>1252</v>
      </c>
      <c r="I434" s="48">
        <v>10</v>
      </c>
      <c r="J434" s="165" t="s">
        <v>1165</v>
      </c>
      <c r="K434" s="40" t="s">
        <v>1072</v>
      </c>
      <c r="L434" s="40"/>
      <c r="M434" s="70" t="str">
        <f t="shared" si="12"/>
        <v>INT-0038-25</v>
      </c>
      <c r="N434" s="49"/>
      <c r="O434" s="301"/>
    </row>
    <row r="435" spans="1:15" ht="165.75" x14ac:dyDescent="0.25">
      <c r="A435" s="237">
        <v>45713</v>
      </c>
      <c r="B435" s="71" t="s">
        <v>1263</v>
      </c>
      <c r="C435" s="47" t="s">
        <v>1066</v>
      </c>
      <c r="D435" s="72" t="s">
        <v>1264</v>
      </c>
      <c r="E435" s="73" t="s">
        <v>1265</v>
      </c>
      <c r="F435" s="209" t="s">
        <v>1266</v>
      </c>
      <c r="G435" s="237">
        <v>46569</v>
      </c>
      <c r="H435" s="280" t="s">
        <v>1346</v>
      </c>
      <c r="I435" s="72"/>
      <c r="J435" s="165" t="s">
        <v>1569</v>
      </c>
      <c r="K435" s="74" t="s">
        <v>1073</v>
      </c>
      <c r="L435" s="74" t="s">
        <v>1267</v>
      </c>
      <c r="M435" s="70" t="str">
        <f t="shared" si="12"/>
        <v>INT-0039-25</v>
      </c>
      <c r="N435" s="75"/>
      <c r="O435" s="307"/>
    </row>
    <row r="436" spans="1:15" ht="15" x14ac:dyDescent="0.25">
      <c r="A436" s="237">
        <v>45721</v>
      </c>
      <c r="B436" s="71" t="s">
        <v>1269</v>
      </c>
      <c r="C436" s="76" t="s">
        <v>1066</v>
      </c>
      <c r="D436" s="72" t="s">
        <v>1192</v>
      </c>
      <c r="E436" s="73" t="s">
        <v>1193</v>
      </c>
      <c r="F436" s="209" t="s">
        <v>1270</v>
      </c>
      <c r="G436" s="237">
        <v>45772</v>
      </c>
      <c r="H436" s="209" t="s">
        <v>1271</v>
      </c>
      <c r="I436" s="72">
        <v>1</v>
      </c>
      <c r="J436" s="50" t="s">
        <v>1569</v>
      </c>
      <c r="K436" s="74" t="s">
        <v>1089</v>
      </c>
      <c r="L436" s="74"/>
      <c r="M436" s="70" t="str">
        <f t="shared" si="12"/>
        <v>INT-0040-25</v>
      </c>
      <c r="N436" s="75"/>
      <c r="O436" s="307"/>
    </row>
    <row r="437" spans="1:15" ht="15" x14ac:dyDescent="0.25">
      <c r="A437" s="237">
        <v>45722</v>
      </c>
      <c r="B437" s="71" t="s">
        <v>1272</v>
      </c>
      <c r="C437" s="76" t="s">
        <v>1066</v>
      </c>
      <c r="D437" s="72" t="s">
        <v>1255</v>
      </c>
      <c r="E437" s="73" t="s">
        <v>1256</v>
      </c>
      <c r="F437" s="209" t="s">
        <v>1273</v>
      </c>
      <c r="G437" s="237">
        <v>45747</v>
      </c>
      <c r="H437" s="209" t="s">
        <v>1274</v>
      </c>
      <c r="I437" s="72">
        <v>7</v>
      </c>
      <c r="J437" s="165" t="s">
        <v>1569</v>
      </c>
      <c r="K437" s="40" t="s">
        <v>1073</v>
      </c>
      <c r="L437" s="74"/>
      <c r="M437" s="70" t="str">
        <f t="shared" si="12"/>
        <v>INT-0041-25</v>
      </c>
      <c r="N437" s="75"/>
      <c r="O437" s="307"/>
    </row>
    <row r="438" spans="1:15" ht="15" x14ac:dyDescent="0.25">
      <c r="A438" s="237">
        <v>45726</v>
      </c>
      <c r="B438" s="71" t="s">
        <v>1275</v>
      </c>
      <c r="C438" s="76" t="s">
        <v>547</v>
      </c>
      <c r="D438" s="72" t="s">
        <v>1276</v>
      </c>
      <c r="E438" s="73" t="s">
        <v>303</v>
      </c>
      <c r="F438" s="209" t="s">
        <v>1277</v>
      </c>
      <c r="G438" s="237">
        <v>46147</v>
      </c>
      <c r="H438" s="209" t="s">
        <v>1278</v>
      </c>
      <c r="I438" s="72">
        <v>1</v>
      </c>
      <c r="J438" s="260" t="s">
        <v>1569</v>
      </c>
      <c r="K438" s="74" t="s">
        <v>1072</v>
      </c>
      <c r="L438" s="74"/>
      <c r="M438" s="70" t="str">
        <f t="shared" si="12"/>
        <v>INT-0042-25</v>
      </c>
      <c r="N438" s="75"/>
      <c r="O438" s="307"/>
    </row>
    <row r="439" spans="1:15" ht="15" x14ac:dyDescent="0.25">
      <c r="A439" s="237">
        <v>45726</v>
      </c>
      <c r="B439" s="71" t="s">
        <v>1275</v>
      </c>
      <c r="C439" s="76" t="s">
        <v>547</v>
      </c>
      <c r="D439" s="72" t="s">
        <v>1276</v>
      </c>
      <c r="E439" s="73" t="s">
        <v>303</v>
      </c>
      <c r="F439" s="209" t="s">
        <v>901</v>
      </c>
      <c r="G439" s="237">
        <v>46426</v>
      </c>
      <c r="H439" s="209" t="s">
        <v>1279</v>
      </c>
      <c r="I439" s="72">
        <v>1</v>
      </c>
      <c r="J439" s="260" t="s">
        <v>1569</v>
      </c>
      <c r="K439" s="74" t="s">
        <v>1072</v>
      </c>
      <c r="L439" s="74"/>
      <c r="M439" s="70" t="str">
        <f t="shared" si="12"/>
        <v>INT-0042-25</v>
      </c>
      <c r="N439" s="75"/>
      <c r="O439" s="307"/>
    </row>
    <row r="440" spans="1:15" ht="15" x14ac:dyDescent="0.25">
      <c r="A440" s="233">
        <v>45727</v>
      </c>
      <c r="B440" s="35" t="s">
        <v>1280</v>
      </c>
      <c r="C440" s="47" t="s">
        <v>1066</v>
      </c>
      <c r="D440" s="48" t="s">
        <v>1281</v>
      </c>
      <c r="E440" s="38" t="s">
        <v>1282</v>
      </c>
      <c r="F440" s="205" t="s">
        <v>1283</v>
      </c>
      <c r="G440" s="233">
        <v>45738</v>
      </c>
      <c r="H440" s="205" t="s">
        <v>1284</v>
      </c>
      <c r="I440" s="48">
        <v>5</v>
      </c>
      <c r="J440" s="165" t="s">
        <v>1569</v>
      </c>
      <c r="K440" s="40" t="s">
        <v>1072</v>
      </c>
      <c r="L440" s="40" t="s">
        <v>1479</v>
      </c>
      <c r="M440" s="70" t="str">
        <f t="shared" ref="M440:M445" si="13">HYPERLINK("P:\7. LONG HAU\7. CAC THEO DOI TRONG QUA TRINH\4. DEVIATION- INCIDENTS\THEO DÕI NỘI BỘ (NGOÀI BBSC)\"&amp;YEAR(A440)&amp;"\"&amp;B440,B440)</f>
        <v>INT-0043-25</v>
      </c>
      <c r="N440" s="49"/>
      <c r="O440" s="301"/>
    </row>
    <row r="441" spans="1:15" ht="76.5" x14ac:dyDescent="0.25">
      <c r="A441" s="233">
        <v>45727</v>
      </c>
      <c r="B441" s="35" t="s">
        <v>1285</v>
      </c>
      <c r="C441" s="47" t="s">
        <v>1066</v>
      </c>
      <c r="D441" s="48" t="s">
        <v>1144</v>
      </c>
      <c r="E441" s="38"/>
      <c r="F441" s="205"/>
      <c r="G441" s="233"/>
      <c r="H441" s="280" t="s">
        <v>1286</v>
      </c>
      <c r="I441" s="48"/>
      <c r="J441" s="165" t="s">
        <v>1569</v>
      </c>
      <c r="K441" s="40" t="s">
        <v>1072</v>
      </c>
      <c r="L441" s="40"/>
      <c r="M441" s="70" t="str">
        <f t="shared" si="13"/>
        <v>INT-0044-25</v>
      </c>
      <c r="N441" s="49"/>
      <c r="O441" s="301"/>
    </row>
    <row r="442" spans="1:15" ht="15" x14ac:dyDescent="0.25">
      <c r="A442" s="238">
        <v>45728</v>
      </c>
      <c r="B442" s="77" t="s">
        <v>1288</v>
      </c>
      <c r="C442" s="78" t="s">
        <v>547</v>
      </c>
      <c r="D442" s="79" t="s">
        <v>1276</v>
      </c>
      <c r="E442" s="80" t="s">
        <v>303</v>
      </c>
      <c r="F442" s="210" t="s">
        <v>901</v>
      </c>
      <c r="G442" s="238">
        <v>46426</v>
      </c>
      <c r="H442" s="210" t="s">
        <v>1289</v>
      </c>
      <c r="I442" s="79">
        <v>1</v>
      </c>
      <c r="J442" s="257" t="s">
        <v>1569</v>
      </c>
      <c r="K442" s="40" t="s">
        <v>1072</v>
      </c>
      <c r="L442" s="81"/>
      <c r="M442" s="70" t="str">
        <f t="shared" si="13"/>
        <v>INT-0045-25</v>
      </c>
      <c r="N442" s="82"/>
      <c r="O442" s="308"/>
    </row>
    <row r="443" spans="1:15" ht="25.5" x14ac:dyDescent="0.25">
      <c r="A443" s="239">
        <v>45733</v>
      </c>
      <c r="B443" s="83" t="s">
        <v>1302</v>
      </c>
      <c r="C443" s="84" t="s">
        <v>1236</v>
      </c>
      <c r="D443" s="85" t="s">
        <v>1303</v>
      </c>
      <c r="E443" s="86" t="s">
        <v>1304</v>
      </c>
      <c r="F443" s="211" t="s">
        <v>1305</v>
      </c>
      <c r="G443" s="239">
        <v>46701</v>
      </c>
      <c r="H443" s="211" t="s">
        <v>1306</v>
      </c>
      <c r="I443" s="85">
        <v>1</v>
      </c>
      <c r="J443" s="261" t="s">
        <v>1569</v>
      </c>
      <c r="K443" s="40" t="s">
        <v>1071</v>
      </c>
      <c r="L443" s="40" t="s">
        <v>1307</v>
      </c>
      <c r="M443" s="70" t="str">
        <f t="shared" si="13"/>
        <v>INT-0046-25</v>
      </c>
      <c r="N443" s="87"/>
      <c r="O443" s="309"/>
    </row>
    <row r="444" spans="1:15" ht="15" x14ac:dyDescent="0.25">
      <c r="A444" s="239">
        <v>45734</v>
      </c>
      <c r="B444" s="83" t="s">
        <v>1308</v>
      </c>
      <c r="C444" s="84" t="s">
        <v>1066</v>
      </c>
      <c r="D444" s="85" t="s">
        <v>1309</v>
      </c>
      <c r="E444" s="86" t="s">
        <v>1310</v>
      </c>
      <c r="F444" s="211" t="s">
        <v>1311</v>
      </c>
      <c r="G444" s="239">
        <v>45784</v>
      </c>
      <c r="H444" s="211" t="s">
        <v>1312</v>
      </c>
      <c r="I444" s="85">
        <v>1</v>
      </c>
      <c r="J444" s="50" t="s">
        <v>1569</v>
      </c>
      <c r="K444" s="88" t="s">
        <v>1089</v>
      </c>
      <c r="L444" s="88"/>
      <c r="M444" s="70" t="str">
        <f t="shared" si="13"/>
        <v>INT-0047-25</v>
      </c>
      <c r="N444" s="87"/>
      <c r="O444" s="309"/>
    </row>
    <row r="445" spans="1:15" ht="25.5" x14ac:dyDescent="0.25">
      <c r="A445" s="239">
        <v>45734</v>
      </c>
      <c r="B445" s="83" t="s">
        <v>1313</v>
      </c>
      <c r="C445" s="84" t="s">
        <v>1236</v>
      </c>
      <c r="D445" s="85" t="s">
        <v>1314</v>
      </c>
      <c r="E445" s="86" t="s">
        <v>1315</v>
      </c>
      <c r="F445" s="211" t="s">
        <v>1316</v>
      </c>
      <c r="G445" s="239">
        <v>46766</v>
      </c>
      <c r="H445" s="280" t="s">
        <v>1317</v>
      </c>
      <c r="I445" s="40" t="s">
        <v>1318</v>
      </c>
      <c r="J445" s="165" t="s">
        <v>1569</v>
      </c>
      <c r="K445" s="88" t="s">
        <v>1071</v>
      </c>
      <c r="L445" s="40" t="s">
        <v>1319</v>
      </c>
      <c r="M445" s="70" t="str">
        <f t="shared" si="13"/>
        <v>INT-0048-25</v>
      </c>
      <c r="N445" s="87"/>
      <c r="O445" s="309"/>
    </row>
    <row r="446" spans="1:15" ht="25.5" x14ac:dyDescent="0.25">
      <c r="A446" s="233">
        <v>45737</v>
      </c>
      <c r="B446" s="35" t="s">
        <v>1322</v>
      </c>
      <c r="C446" s="47" t="s">
        <v>1236</v>
      </c>
      <c r="D446" s="48"/>
      <c r="E446" s="38" t="s">
        <v>1323</v>
      </c>
      <c r="F446" s="205" t="s">
        <v>1324</v>
      </c>
      <c r="G446" s="233">
        <v>46806</v>
      </c>
      <c r="H446" s="205" t="s">
        <v>1325</v>
      </c>
      <c r="I446" s="48">
        <v>78</v>
      </c>
      <c r="J446" s="165" t="s">
        <v>1569</v>
      </c>
      <c r="K446" s="40" t="s">
        <v>1071</v>
      </c>
      <c r="L446" s="40"/>
      <c r="M446" s="70" t="str">
        <f t="shared" ref="M446:M452" si="14">HYPERLINK("P:\7. LONG HAU\7. CAC THEO DOI TRONG QUA TRINH\4. DEVIATION- INCIDENTS\THEO DÕI NỘI BỘ (NGOÀI BBSC)\"&amp;YEAR(A446)&amp;"\"&amp;B446,B446)</f>
        <v>INT-0049-25</v>
      </c>
      <c r="N446" s="49"/>
      <c r="O446" s="301"/>
    </row>
    <row r="447" spans="1:15" ht="15" x14ac:dyDescent="0.25">
      <c r="A447" s="233">
        <v>45737</v>
      </c>
      <c r="B447" s="35" t="s">
        <v>1326</v>
      </c>
      <c r="C447" s="47" t="s">
        <v>1066</v>
      </c>
      <c r="D447" s="48" t="s">
        <v>239</v>
      </c>
      <c r="E447" s="38" t="s">
        <v>240</v>
      </c>
      <c r="F447" s="205" t="s">
        <v>1002</v>
      </c>
      <c r="G447" s="233">
        <v>46022</v>
      </c>
      <c r="H447" s="205" t="s">
        <v>1327</v>
      </c>
      <c r="I447" s="48">
        <v>2</v>
      </c>
      <c r="J447" s="165" t="s">
        <v>1569</v>
      </c>
      <c r="K447" s="40" t="s">
        <v>1073</v>
      </c>
      <c r="L447" s="40"/>
      <c r="M447" s="70" t="str">
        <f t="shared" si="14"/>
        <v>INT-0050-25</v>
      </c>
      <c r="N447" s="49"/>
      <c r="O447" s="301"/>
    </row>
    <row r="448" spans="1:15" ht="15" x14ac:dyDescent="0.25">
      <c r="A448" s="233">
        <v>45737</v>
      </c>
      <c r="B448" s="35" t="s">
        <v>1326</v>
      </c>
      <c r="C448" s="47" t="s">
        <v>1066</v>
      </c>
      <c r="D448" s="48" t="s">
        <v>1006</v>
      </c>
      <c r="E448" s="38" t="s">
        <v>1007</v>
      </c>
      <c r="F448" s="205" t="s">
        <v>1328</v>
      </c>
      <c r="G448" s="233">
        <v>46081</v>
      </c>
      <c r="H448" s="205" t="s">
        <v>1329</v>
      </c>
      <c r="I448" s="48">
        <v>2</v>
      </c>
      <c r="J448" s="165" t="s">
        <v>1569</v>
      </c>
      <c r="K448" s="40" t="s">
        <v>1073</v>
      </c>
      <c r="L448" s="40"/>
      <c r="M448" s="70" t="str">
        <f t="shared" si="14"/>
        <v>INT-0050-25</v>
      </c>
      <c r="N448" s="49"/>
      <c r="O448" s="301"/>
    </row>
    <row r="449" spans="1:15" ht="89.25" x14ac:dyDescent="0.25">
      <c r="A449" s="240">
        <v>45741</v>
      </c>
      <c r="B449" s="89" t="s">
        <v>1330</v>
      </c>
      <c r="C449" s="90" t="s">
        <v>1066</v>
      </c>
      <c r="D449" s="91" t="s">
        <v>1144</v>
      </c>
      <c r="E449" s="92"/>
      <c r="F449" s="212"/>
      <c r="G449" s="240"/>
      <c r="H449" s="283" t="s">
        <v>1345</v>
      </c>
      <c r="I449" s="91"/>
      <c r="J449" s="262" t="s">
        <v>1569</v>
      </c>
      <c r="K449" s="93" t="s">
        <v>1073</v>
      </c>
      <c r="L449" s="93"/>
      <c r="M449" s="70" t="str">
        <f t="shared" si="14"/>
        <v>INT-0051-25</v>
      </c>
      <c r="N449" s="94"/>
      <c r="O449" s="310"/>
    </row>
    <row r="450" spans="1:15" ht="15" x14ac:dyDescent="0.25">
      <c r="A450" s="240">
        <v>45741</v>
      </c>
      <c r="B450" s="89" t="s">
        <v>1331</v>
      </c>
      <c r="C450" s="90" t="s">
        <v>547</v>
      </c>
      <c r="D450" s="91" t="s">
        <v>1333</v>
      </c>
      <c r="E450" s="92" t="s">
        <v>1334</v>
      </c>
      <c r="F450" s="212" t="s">
        <v>1335</v>
      </c>
      <c r="G450" s="240">
        <v>46466</v>
      </c>
      <c r="H450" s="205" t="s">
        <v>1344</v>
      </c>
      <c r="I450" s="91">
        <v>1</v>
      </c>
      <c r="J450" s="165" t="s">
        <v>1569</v>
      </c>
      <c r="K450" s="40" t="s">
        <v>1072</v>
      </c>
      <c r="L450" s="93"/>
      <c r="M450" s="70" t="str">
        <f t="shared" si="14"/>
        <v>INT-0052-25</v>
      </c>
      <c r="N450" s="94"/>
      <c r="O450" s="310"/>
    </row>
    <row r="451" spans="1:15" ht="15" x14ac:dyDescent="0.25">
      <c r="A451" s="240">
        <v>45741</v>
      </c>
      <c r="B451" s="35" t="s">
        <v>1331</v>
      </c>
      <c r="C451" s="90" t="s">
        <v>547</v>
      </c>
      <c r="D451" s="48" t="s">
        <v>1276</v>
      </c>
      <c r="E451" s="38" t="s">
        <v>303</v>
      </c>
      <c r="F451" s="205" t="s">
        <v>901</v>
      </c>
      <c r="G451" s="233">
        <v>46426</v>
      </c>
      <c r="H451" s="205" t="s">
        <v>1343</v>
      </c>
      <c r="I451" s="48">
        <v>1</v>
      </c>
      <c r="J451" s="165" t="s">
        <v>1569</v>
      </c>
      <c r="K451" s="40" t="s">
        <v>1072</v>
      </c>
      <c r="L451" s="40"/>
      <c r="M451" s="70" t="str">
        <f t="shared" si="14"/>
        <v>INT-0052-25</v>
      </c>
      <c r="N451" s="49"/>
      <c r="O451" s="301"/>
    </row>
    <row r="452" spans="1:15" ht="15" x14ac:dyDescent="0.25">
      <c r="A452" s="240">
        <v>45741</v>
      </c>
      <c r="B452" s="35" t="s">
        <v>1331</v>
      </c>
      <c r="C452" s="90" t="s">
        <v>547</v>
      </c>
      <c r="D452" s="48" t="s">
        <v>1339</v>
      </c>
      <c r="E452" s="38" t="s">
        <v>1340</v>
      </c>
      <c r="F452" s="205" t="s">
        <v>1341</v>
      </c>
      <c r="G452" s="233">
        <v>46347</v>
      </c>
      <c r="H452" s="212" t="s">
        <v>1342</v>
      </c>
      <c r="I452" s="48">
        <v>1</v>
      </c>
      <c r="J452" s="165" t="s">
        <v>1569</v>
      </c>
      <c r="K452" s="40" t="s">
        <v>1072</v>
      </c>
      <c r="L452" s="40"/>
      <c r="M452" s="70" t="str">
        <f t="shared" si="14"/>
        <v>INT-0052-25</v>
      </c>
      <c r="N452" s="49"/>
      <c r="O452" s="301"/>
    </row>
    <row r="453" spans="1:15" ht="15" x14ac:dyDescent="0.25">
      <c r="A453" s="233">
        <v>45743</v>
      </c>
      <c r="B453" s="35" t="s">
        <v>1347</v>
      </c>
      <c r="C453" s="47" t="s">
        <v>1236</v>
      </c>
      <c r="D453" s="48" t="s">
        <v>1348</v>
      </c>
      <c r="E453" s="38" t="s">
        <v>1349</v>
      </c>
      <c r="F453" s="205" t="s">
        <v>1350</v>
      </c>
      <c r="G453" s="233">
        <v>46568</v>
      </c>
      <c r="H453" s="205" t="s">
        <v>1351</v>
      </c>
      <c r="I453" s="48">
        <v>1</v>
      </c>
      <c r="J453" s="165" t="s">
        <v>1569</v>
      </c>
      <c r="K453" s="40" t="s">
        <v>1071</v>
      </c>
      <c r="L453" s="40"/>
      <c r="M453" s="70" t="str">
        <f t="shared" ref="M453:M459" si="15">HYPERLINK("P:\7. LONG HAU\7. CAC THEO DOI TRONG QUA TRINH\4. DEVIATION- INCIDENTS\THEO DÕI NỘI BỘ (NGOÀI BBSC)\"&amp;YEAR(A453)&amp;"\"&amp;B453,B453)</f>
        <v>INT-0053-25</v>
      </c>
      <c r="N453" s="49"/>
      <c r="O453" s="301"/>
    </row>
    <row r="454" spans="1:15" ht="165.75" x14ac:dyDescent="0.25">
      <c r="A454" s="233">
        <v>45743</v>
      </c>
      <c r="B454" s="35" t="s">
        <v>1352</v>
      </c>
      <c r="C454" s="47" t="s">
        <v>1066</v>
      </c>
      <c r="D454" s="48" t="s">
        <v>1144</v>
      </c>
      <c r="E454" s="38"/>
      <c r="F454" s="205"/>
      <c r="G454" s="233"/>
      <c r="H454" s="280" t="s">
        <v>1353</v>
      </c>
      <c r="I454" s="48"/>
      <c r="J454" s="165" t="s">
        <v>1569</v>
      </c>
      <c r="K454" s="40" t="s">
        <v>1072</v>
      </c>
      <c r="L454" s="40"/>
      <c r="M454" s="70" t="str">
        <f t="shared" si="15"/>
        <v>INT-0054-25</v>
      </c>
      <c r="N454" s="49"/>
      <c r="O454" s="301"/>
    </row>
    <row r="455" spans="1:15" ht="15" x14ac:dyDescent="0.25">
      <c r="A455" s="241">
        <v>45748</v>
      </c>
      <c r="B455" s="95" t="s">
        <v>1354</v>
      </c>
      <c r="C455" s="47" t="s">
        <v>1066</v>
      </c>
      <c r="D455" s="96" t="s">
        <v>1355</v>
      </c>
      <c r="E455" s="97" t="s">
        <v>1356</v>
      </c>
      <c r="F455" s="213" t="s">
        <v>1357</v>
      </c>
      <c r="G455" s="241">
        <v>45747</v>
      </c>
      <c r="H455" s="213" t="s">
        <v>1358</v>
      </c>
      <c r="I455" s="96">
        <v>15</v>
      </c>
      <c r="J455" s="165" t="s">
        <v>1569</v>
      </c>
      <c r="K455" s="40" t="s">
        <v>1072</v>
      </c>
      <c r="L455" s="98"/>
      <c r="M455" s="70" t="str">
        <f t="shared" si="15"/>
        <v>INT-0055-25</v>
      </c>
      <c r="N455" s="99"/>
      <c r="O455" s="311"/>
    </row>
    <row r="456" spans="1:15" ht="102" x14ac:dyDescent="0.25">
      <c r="A456" s="241">
        <v>45749</v>
      </c>
      <c r="B456" s="95" t="s">
        <v>1359</v>
      </c>
      <c r="C456" s="100" t="s">
        <v>1066</v>
      </c>
      <c r="D456" s="96" t="s">
        <v>1144</v>
      </c>
      <c r="E456" s="97"/>
      <c r="F456" s="213"/>
      <c r="G456" s="241"/>
      <c r="H456" s="284" t="s">
        <v>1360</v>
      </c>
      <c r="I456" s="96"/>
      <c r="J456" s="263" t="s">
        <v>1569</v>
      </c>
      <c r="K456" s="98" t="s">
        <v>1073</v>
      </c>
      <c r="L456" s="98"/>
      <c r="M456" s="70" t="str">
        <f t="shared" si="15"/>
        <v>INT-0056-25</v>
      </c>
      <c r="N456" s="99"/>
      <c r="O456" s="311"/>
    </row>
    <row r="457" spans="1:15" ht="15" x14ac:dyDescent="0.25">
      <c r="A457" s="233">
        <v>45750</v>
      </c>
      <c r="B457" s="35" t="s">
        <v>1366</v>
      </c>
      <c r="C457" s="100" t="s">
        <v>1066</v>
      </c>
      <c r="D457" s="48" t="s">
        <v>1361</v>
      </c>
      <c r="E457" s="38" t="s">
        <v>1362</v>
      </c>
      <c r="F457" s="205" t="s">
        <v>1363</v>
      </c>
      <c r="G457" s="233">
        <v>45960</v>
      </c>
      <c r="H457" s="205" t="s">
        <v>1364</v>
      </c>
      <c r="I457" s="48">
        <v>84</v>
      </c>
      <c r="J457" s="165" t="s">
        <v>1698</v>
      </c>
      <c r="K457" s="40" t="s">
        <v>1072</v>
      </c>
      <c r="L457" s="40"/>
      <c r="M457" s="70" t="str">
        <f t="shared" si="15"/>
        <v>INT-0057-25</v>
      </c>
      <c r="N457" s="49"/>
      <c r="O457" s="301"/>
    </row>
    <row r="458" spans="1:15" ht="15" x14ac:dyDescent="0.25">
      <c r="A458" s="233">
        <v>45750</v>
      </c>
      <c r="B458" s="35" t="s">
        <v>1366</v>
      </c>
      <c r="C458" s="100" t="s">
        <v>1066</v>
      </c>
      <c r="D458" s="48" t="s">
        <v>1361</v>
      </c>
      <c r="E458" s="38" t="s">
        <v>1362</v>
      </c>
      <c r="F458" s="205" t="s">
        <v>1363</v>
      </c>
      <c r="G458" s="233">
        <v>45961</v>
      </c>
      <c r="H458" s="205" t="s">
        <v>1365</v>
      </c>
      <c r="I458" s="48">
        <v>23</v>
      </c>
      <c r="J458" s="165" t="s">
        <v>1698</v>
      </c>
      <c r="K458" s="40" t="s">
        <v>1072</v>
      </c>
      <c r="L458" s="40"/>
      <c r="M458" s="70" t="str">
        <f t="shared" si="15"/>
        <v>INT-0057-25</v>
      </c>
      <c r="N458" s="49"/>
      <c r="O458" s="301"/>
    </row>
    <row r="459" spans="1:15" ht="15" x14ac:dyDescent="0.25">
      <c r="A459" s="233">
        <v>45750</v>
      </c>
      <c r="B459" s="35" t="s">
        <v>1366</v>
      </c>
      <c r="C459" s="100" t="s">
        <v>1066</v>
      </c>
      <c r="D459" s="48" t="s">
        <v>1361</v>
      </c>
      <c r="E459" s="38" t="s">
        <v>1362</v>
      </c>
      <c r="F459" s="205" t="s">
        <v>1363</v>
      </c>
      <c r="G459" s="233">
        <v>45961</v>
      </c>
      <c r="H459" s="205" t="s">
        <v>1365</v>
      </c>
      <c r="I459" s="48">
        <v>1</v>
      </c>
      <c r="J459" s="165" t="s">
        <v>1698</v>
      </c>
      <c r="K459" s="40" t="s">
        <v>1072</v>
      </c>
      <c r="L459" s="40"/>
      <c r="M459" s="70" t="str">
        <f t="shared" si="15"/>
        <v>INT-0057-25</v>
      </c>
      <c r="N459" s="49"/>
      <c r="O459" s="301"/>
    </row>
    <row r="460" spans="1:15" ht="15" x14ac:dyDescent="0.25">
      <c r="A460" s="233">
        <v>45750</v>
      </c>
      <c r="B460" s="35" t="s">
        <v>1366</v>
      </c>
      <c r="C460" s="100" t="s">
        <v>1066</v>
      </c>
      <c r="D460" s="96" t="s">
        <v>1361</v>
      </c>
      <c r="E460" s="97" t="s">
        <v>1362</v>
      </c>
      <c r="F460" s="213" t="s">
        <v>1363</v>
      </c>
      <c r="G460" s="241">
        <v>45961</v>
      </c>
      <c r="H460" s="213" t="s">
        <v>1405</v>
      </c>
      <c r="I460" s="96">
        <v>50</v>
      </c>
      <c r="J460" s="165" t="s">
        <v>1698</v>
      </c>
      <c r="K460" s="40" t="s">
        <v>1072</v>
      </c>
      <c r="L460" s="98"/>
      <c r="M460" s="70" t="str">
        <f t="shared" ref="M460:M465" si="16">HYPERLINK("P:\7. LONG HAU\7. CAC THEO DOI TRONG QUA TRINH\4. DEVIATION- INCIDENTS\THEO DÕI NỘI BỘ (NGOÀI BBSC)\"&amp;YEAR(A460)&amp;"\"&amp;B460,B460)</f>
        <v>INT-0057-25</v>
      </c>
      <c r="N460" s="99"/>
      <c r="O460" s="311"/>
    </row>
    <row r="461" spans="1:15" ht="15" x14ac:dyDescent="0.25">
      <c r="A461" s="233">
        <v>45750</v>
      </c>
      <c r="B461" s="35" t="s">
        <v>1366</v>
      </c>
      <c r="C461" s="100" t="s">
        <v>1066</v>
      </c>
      <c r="D461" s="96" t="s">
        <v>1361</v>
      </c>
      <c r="E461" s="97" t="s">
        <v>1362</v>
      </c>
      <c r="F461" s="213" t="s">
        <v>1363</v>
      </c>
      <c r="G461" s="241">
        <v>45961</v>
      </c>
      <c r="H461" s="213" t="s">
        <v>1367</v>
      </c>
      <c r="I461" s="96">
        <v>40</v>
      </c>
      <c r="J461" s="165" t="s">
        <v>1698</v>
      </c>
      <c r="K461" s="40" t="s">
        <v>1072</v>
      </c>
      <c r="L461" s="98"/>
      <c r="M461" s="70" t="str">
        <f t="shared" si="16"/>
        <v>INT-0057-25</v>
      </c>
      <c r="N461" s="99"/>
      <c r="O461" s="311"/>
    </row>
    <row r="462" spans="1:15" ht="15" x14ac:dyDescent="0.25">
      <c r="A462" s="241">
        <v>45758</v>
      </c>
      <c r="B462" s="95" t="s">
        <v>1368</v>
      </c>
      <c r="C462" s="100" t="s">
        <v>1066</v>
      </c>
      <c r="D462" s="96" t="s">
        <v>957</v>
      </c>
      <c r="E462" s="97" t="s">
        <v>1369</v>
      </c>
      <c r="F462" s="213" t="s">
        <v>1370</v>
      </c>
      <c r="G462" s="241">
        <v>46172</v>
      </c>
      <c r="H462" s="213" t="s">
        <v>1371</v>
      </c>
      <c r="I462" s="96">
        <v>1</v>
      </c>
      <c r="J462" s="165" t="s">
        <v>1569</v>
      </c>
      <c r="K462" s="98"/>
      <c r="L462" s="98"/>
      <c r="M462" s="70" t="str">
        <f t="shared" si="16"/>
        <v>INT-0058-25</v>
      </c>
      <c r="N462" s="99"/>
      <c r="O462" s="311"/>
    </row>
    <row r="463" spans="1:15" ht="15" x14ac:dyDescent="0.25">
      <c r="A463" s="233">
        <v>45758</v>
      </c>
      <c r="B463" s="35" t="s">
        <v>1368</v>
      </c>
      <c r="C463" s="47" t="s">
        <v>1066</v>
      </c>
      <c r="D463" s="48" t="s">
        <v>1374</v>
      </c>
      <c r="E463" s="38" t="s">
        <v>1373</v>
      </c>
      <c r="F463" s="205" t="s">
        <v>1372</v>
      </c>
      <c r="G463" s="233">
        <v>46119</v>
      </c>
      <c r="H463" s="205" t="s">
        <v>1371</v>
      </c>
      <c r="I463" s="48">
        <v>1</v>
      </c>
      <c r="J463" s="165" t="s">
        <v>1569</v>
      </c>
      <c r="K463" s="40"/>
      <c r="L463" s="40"/>
      <c r="M463" s="70" t="str">
        <f t="shared" si="16"/>
        <v>INT-0058-25</v>
      </c>
      <c r="N463" s="49"/>
      <c r="O463" s="301"/>
    </row>
    <row r="464" spans="1:15" ht="15" x14ac:dyDescent="0.25">
      <c r="A464" s="233">
        <v>45758</v>
      </c>
      <c r="B464" s="35" t="s">
        <v>1375</v>
      </c>
      <c r="C464" s="47" t="s">
        <v>1066</v>
      </c>
      <c r="D464" s="48" t="s">
        <v>34</v>
      </c>
      <c r="E464" s="38" t="s">
        <v>35</v>
      </c>
      <c r="F464" s="205" t="s">
        <v>1094</v>
      </c>
      <c r="G464" s="233">
        <v>46022</v>
      </c>
      <c r="H464" s="205" t="s">
        <v>1376</v>
      </c>
      <c r="I464" s="48">
        <v>1</v>
      </c>
      <c r="J464" s="165" t="s">
        <v>1569</v>
      </c>
      <c r="K464" s="40" t="s">
        <v>1073</v>
      </c>
      <c r="L464" s="40"/>
      <c r="M464" s="70" t="str">
        <f t="shared" si="16"/>
        <v>INT-0059-25</v>
      </c>
      <c r="N464" s="49"/>
      <c r="O464" s="301"/>
    </row>
    <row r="465" spans="1:15" ht="25.5" x14ac:dyDescent="0.25">
      <c r="A465" s="241">
        <v>45761</v>
      </c>
      <c r="B465" s="95" t="s">
        <v>1377</v>
      </c>
      <c r="C465" s="100" t="s">
        <v>1066</v>
      </c>
      <c r="D465" s="96" t="s">
        <v>44</v>
      </c>
      <c r="E465" s="97" t="s">
        <v>45</v>
      </c>
      <c r="F465" s="213" t="s">
        <v>96</v>
      </c>
      <c r="G465" s="241">
        <v>45900</v>
      </c>
      <c r="H465" s="213" t="s">
        <v>1379</v>
      </c>
      <c r="I465" s="96">
        <v>18</v>
      </c>
      <c r="J465" s="165" t="s">
        <v>1569</v>
      </c>
      <c r="K465" s="98" t="s">
        <v>1073</v>
      </c>
      <c r="L465" s="98"/>
      <c r="M465" s="70" t="str">
        <f t="shared" si="16"/>
        <v>INT-0060-25</v>
      </c>
      <c r="N465" s="99"/>
      <c r="O465" s="311"/>
    </row>
    <row r="466" spans="1:15" ht="25.5" x14ac:dyDescent="0.25">
      <c r="A466" s="241">
        <v>45761</v>
      </c>
      <c r="B466" s="95" t="s">
        <v>1377</v>
      </c>
      <c r="C466" s="100" t="s">
        <v>1066</v>
      </c>
      <c r="D466" s="96" t="s">
        <v>44</v>
      </c>
      <c r="E466" s="97" t="s">
        <v>45</v>
      </c>
      <c r="F466" s="213" t="s">
        <v>97</v>
      </c>
      <c r="G466" s="241">
        <v>45900</v>
      </c>
      <c r="H466" s="213" t="s">
        <v>1380</v>
      </c>
      <c r="I466" s="96">
        <v>14</v>
      </c>
      <c r="J466" s="165" t="s">
        <v>1569</v>
      </c>
      <c r="K466" s="98" t="s">
        <v>1073</v>
      </c>
      <c r="L466" s="98"/>
      <c r="M466" s="70" t="str">
        <f t="shared" ref="M466:M467" si="17">HYPERLINK("P:\7. LONG HAU\7. CAC THEO DOI TRONG QUA TRINH\4. DEVIATION- INCIDENTS\THEO DÕI NỘI BỘ (NGOÀI BBSC)\"&amp;YEAR(A466)&amp;"\"&amp;B466,B466)</f>
        <v>INT-0060-25</v>
      </c>
      <c r="N466" s="99"/>
      <c r="O466" s="311"/>
    </row>
    <row r="467" spans="1:15" ht="15" x14ac:dyDescent="0.25">
      <c r="A467" s="241">
        <v>45761</v>
      </c>
      <c r="B467" s="95" t="s">
        <v>1377</v>
      </c>
      <c r="C467" s="100" t="s">
        <v>1066</v>
      </c>
      <c r="D467" s="96" t="s">
        <v>1133</v>
      </c>
      <c r="E467" s="97" t="s">
        <v>1134</v>
      </c>
      <c r="F467" s="213" t="s">
        <v>1378</v>
      </c>
      <c r="G467" s="241">
        <v>45930</v>
      </c>
      <c r="H467" s="213" t="s">
        <v>1381</v>
      </c>
      <c r="I467" s="96">
        <v>66</v>
      </c>
      <c r="J467" s="165" t="s">
        <v>1569</v>
      </c>
      <c r="K467" s="98" t="s">
        <v>1073</v>
      </c>
      <c r="L467" s="98"/>
      <c r="M467" s="70" t="str">
        <f t="shared" si="17"/>
        <v>INT-0060-25</v>
      </c>
      <c r="N467" s="99"/>
      <c r="O467" s="311"/>
    </row>
    <row r="468" spans="1:15" ht="15" x14ac:dyDescent="0.25">
      <c r="A468" s="241">
        <v>45764</v>
      </c>
      <c r="B468" s="95" t="s">
        <v>1382</v>
      </c>
      <c r="C468" s="100" t="s">
        <v>1066</v>
      </c>
      <c r="D468" s="96" t="s">
        <v>1383</v>
      </c>
      <c r="E468" s="97" t="s">
        <v>1384</v>
      </c>
      <c r="F468" s="213" t="s">
        <v>1385</v>
      </c>
      <c r="G468" s="241">
        <v>46277</v>
      </c>
      <c r="H468" s="213" t="s">
        <v>1386</v>
      </c>
      <c r="I468" s="96">
        <v>1</v>
      </c>
      <c r="J468" s="165" t="s">
        <v>1569</v>
      </c>
      <c r="K468" s="98"/>
      <c r="L468" s="98"/>
      <c r="M468" s="70" t="str">
        <f t="shared" ref="M468:M472" si="18">HYPERLINK("P:\7. LONG HAU\7. CAC THEO DOI TRONG QUA TRINH\4. DEVIATION- INCIDENTS\THEO DÕI NỘI BỘ (NGOÀI BBSC)\"&amp;YEAR(A468)&amp;"\"&amp;B468,B468)</f>
        <v>INT-0061-25</v>
      </c>
      <c r="N468" s="99"/>
      <c r="O468" s="311"/>
    </row>
    <row r="469" spans="1:15" ht="25.5" x14ac:dyDescent="0.25">
      <c r="A469" s="241">
        <v>45764</v>
      </c>
      <c r="B469" s="95" t="s">
        <v>1387</v>
      </c>
      <c r="C469" s="100" t="s">
        <v>1066</v>
      </c>
      <c r="D469" s="96" t="s">
        <v>501</v>
      </c>
      <c r="E469" s="97" t="s">
        <v>502</v>
      </c>
      <c r="F469" s="213" t="s">
        <v>503</v>
      </c>
      <c r="G469" s="241">
        <v>45535</v>
      </c>
      <c r="H469" s="213" t="s">
        <v>507</v>
      </c>
      <c r="I469" s="96">
        <v>20</v>
      </c>
      <c r="J469" s="165" t="s">
        <v>1569</v>
      </c>
      <c r="K469" s="98"/>
      <c r="L469" s="98"/>
      <c r="M469" s="70" t="str">
        <f t="shared" si="18"/>
        <v>INT-0062-25</v>
      </c>
      <c r="N469" s="99"/>
      <c r="O469" s="311"/>
    </row>
    <row r="470" spans="1:15" ht="15" x14ac:dyDescent="0.25">
      <c r="A470" s="233">
        <v>45764</v>
      </c>
      <c r="B470" s="35" t="s">
        <v>1388</v>
      </c>
      <c r="C470" s="47" t="s">
        <v>1236</v>
      </c>
      <c r="D470" s="48" t="s">
        <v>1389</v>
      </c>
      <c r="E470" s="38" t="s">
        <v>1390</v>
      </c>
      <c r="F470" s="205" t="s">
        <v>1391</v>
      </c>
      <c r="G470" s="233">
        <v>46438</v>
      </c>
      <c r="H470" s="205" t="s">
        <v>839</v>
      </c>
      <c r="I470" s="48">
        <v>1</v>
      </c>
      <c r="J470" s="165" t="s">
        <v>1569</v>
      </c>
      <c r="K470" s="40" t="s">
        <v>1074</v>
      </c>
      <c r="L470" s="40"/>
      <c r="M470" s="70" t="str">
        <f t="shared" si="18"/>
        <v>INT-0063-25</v>
      </c>
      <c r="N470" s="49"/>
      <c r="O470" s="301"/>
    </row>
    <row r="471" spans="1:15" ht="15" x14ac:dyDescent="0.25">
      <c r="A471" s="242">
        <v>45765</v>
      </c>
      <c r="B471" s="101" t="s">
        <v>1392</v>
      </c>
      <c r="C471" s="102" t="s">
        <v>1066</v>
      </c>
      <c r="D471" s="103" t="s">
        <v>39</v>
      </c>
      <c r="E471" s="104" t="s">
        <v>40</v>
      </c>
      <c r="F471" s="214" t="s">
        <v>1393</v>
      </c>
      <c r="G471" s="242">
        <v>46295</v>
      </c>
      <c r="H471" s="214" t="s">
        <v>1395</v>
      </c>
      <c r="I471" s="103">
        <v>10</v>
      </c>
      <c r="J471" s="264" t="s">
        <v>1569</v>
      </c>
      <c r="K471" s="105"/>
      <c r="L471" s="105"/>
      <c r="M471" s="70" t="str">
        <f t="shared" si="18"/>
        <v>INT-0064-25</v>
      </c>
      <c r="N471" s="106"/>
      <c r="O471" s="312"/>
    </row>
    <row r="472" spans="1:15" ht="15" x14ac:dyDescent="0.25">
      <c r="A472" s="242">
        <v>45765</v>
      </c>
      <c r="B472" s="101" t="s">
        <v>1392</v>
      </c>
      <c r="C472" s="102" t="s">
        <v>1066</v>
      </c>
      <c r="D472" s="103" t="s">
        <v>34</v>
      </c>
      <c r="E472" s="104" t="s">
        <v>35</v>
      </c>
      <c r="F472" s="214" t="s">
        <v>1394</v>
      </c>
      <c r="G472" s="242">
        <v>46234</v>
      </c>
      <c r="H472" s="214" t="s">
        <v>1396</v>
      </c>
      <c r="I472" s="103">
        <v>10</v>
      </c>
      <c r="J472" s="264" t="s">
        <v>1569</v>
      </c>
      <c r="K472" s="105"/>
      <c r="L472" s="105"/>
      <c r="M472" s="70" t="str">
        <f t="shared" si="18"/>
        <v>INT-0064-25</v>
      </c>
      <c r="N472" s="106"/>
      <c r="O472" s="312"/>
    </row>
    <row r="473" spans="1:15" ht="15" x14ac:dyDescent="0.25">
      <c r="A473" s="233">
        <v>45768</v>
      </c>
      <c r="B473" s="35" t="s">
        <v>1397</v>
      </c>
      <c r="C473" s="47" t="s">
        <v>1066</v>
      </c>
      <c r="D473" s="48" t="s">
        <v>1400</v>
      </c>
      <c r="E473" s="38" t="s">
        <v>1398</v>
      </c>
      <c r="F473" s="205" t="s">
        <v>1402</v>
      </c>
      <c r="G473" s="233">
        <v>46326</v>
      </c>
      <c r="H473" s="205" t="s">
        <v>1406</v>
      </c>
      <c r="I473" s="48">
        <v>1</v>
      </c>
      <c r="J473" s="165" t="s">
        <v>1694</v>
      </c>
      <c r="K473" s="40" t="s">
        <v>1072</v>
      </c>
      <c r="L473" s="40" t="s">
        <v>1694</v>
      </c>
      <c r="M473" s="70" t="str">
        <f t="shared" ref="M473:M478" si="19">HYPERLINK("P:\7. LONG HAU\7. CAC THEO DOI TRONG QUA TRINH\4. DEVIATION- INCIDENTS\THEO DÕI NỘI BỘ (NGOÀI BBSC)\"&amp;YEAR(A473)&amp;"\"&amp;B473,B473)</f>
        <v>INT-0065-25</v>
      </c>
      <c r="N473" s="49"/>
      <c r="O473" s="301"/>
    </row>
    <row r="474" spans="1:15" ht="15" x14ac:dyDescent="0.25">
      <c r="A474" s="233">
        <v>45768</v>
      </c>
      <c r="B474" s="35" t="s">
        <v>1397</v>
      </c>
      <c r="C474" s="47" t="s">
        <v>1103</v>
      </c>
      <c r="D474" s="48" t="s">
        <v>1401</v>
      </c>
      <c r="E474" s="38" t="s">
        <v>1399</v>
      </c>
      <c r="F474" s="205" t="s">
        <v>1403</v>
      </c>
      <c r="G474" s="233">
        <v>46769</v>
      </c>
      <c r="H474" s="205" t="s">
        <v>1407</v>
      </c>
      <c r="I474" s="48">
        <v>3</v>
      </c>
      <c r="J474" s="165" t="s">
        <v>1695</v>
      </c>
      <c r="K474" s="40" t="s">
        <v>1072</v>
      </c>
      <c r="L474" s="40" t="s">
        <v>1695</v>
      </c>
      <c r="M474" s="70" t="str">
        <f t="shared" si="19"/>
        <v>INT-0065-25</v>
      </c>
      <c r="N474" s="49"/>
      <c r="O474" s="301"/>
    </row>
    <row r="475" spans="1:15" ht="25.5" x14ac:dyDescent="0.25">
      <c r="A475" s="233">
        <v>45768</v>
      </c>
      <c r="B475" s="35" t="s">
        <v>1397</v>
      </c>
      <c r="C475" s="47" t="s">
        <v>1066</v>
      </c>
      <c r="D475" s="48" t="s">
        <v>1401</v>
      </c>
      <c r="E475" s="38" t="s">
        <v>1399</v>
      </c>
      <c r="F475" s="205" t="s">
        <v>1403</v>
      </c>
      <c r="G475" s="233">
        <v>46769</v>
      </c>
      <c r="H475" s="205" t="s">
        <v>1408</v>
      </c>
      <c r="I475" s="48">
        <v>1</v>
      </c>
      <c r="J475" s="165" t="s">
        <v>1697</v>
      </c>
      <c r="K475" s="40" t="s">
        <v>1089</v>
      </c>
      <c r="L475" s="40" t="s">
        <v>1696</v>
      </c>
      <c r="M475" s="70" t="str">
        <f t="shared" si="19"/>
        <v>INT-0065-25</v>
      </c>
      <c r="N475" s="49"/>
      <c r="O475" s="301"/>
    </row>
    <row r="476" spans="1:15" ht="15" x14ac:dyDescent="0.25">
      <c r="A476" s="233">
        <v>45768</v>
      </c>
      <c r="B476" s="35" t="s">
        <v>1397</v>
      </c>
      <c r="C476" s="47" t="s">
        <v>1066</v>
      </c>
      <c r="D476" s="48" t="s">
        <v>1292</v>
      </c>
      <c r="E476" s="38" t="s">
        <v>1293</v>
      </c>
      <c r="F476" s="205" t="s">
        <v>1404</v>
      </c>
      <c r="G476" s="233">
        <v>45930</v>
      </c>
      <c r="H476" s="205" t="s">
        <v>1409</v>
      </c>
      <c r="I476" s="48">
        <v>78</v>
      </c>
      <c r="J476" s="165" t="s">
        <v>1569</v>
      </c>
      <c r="K476" s="40"/>
      <c r="L476" s="40"/>
      <c r="M476" s="70" t="str">
        <f t="shared" si="19"/>
        <v>INT-0065-25</v>
      </c>
      <c r="N476" s="49"/>
      <c r="O476" s="301"/>
    </row>
    <row r="477" spans="1:15" ht="15" x14ac:dyDescent="0.25">
      <c r="A477" s="233">
        <v>45768</v>
      </c>
      <c r="B477" s="35" t="s">
        <v>1397</v>
      </c>
      <c r="C477" s="47" t="s">
        <v>1066</v>
      </c>
      <c r="D477" s="48" t="s">
        <v>1292</v>
      </c>
      <c r="E477" s="38" t="s">
        <v>1293</v>
      </c>
      <c r="F477" s="205" t="s">
        <v>1404</v>
      </c>
      <c r="G477" s="233">
        <v>45930</v>
      </c>
      <c r="H477" s="205" t="s">
        <v>1410</v>
      </c>
      <c r="I477" s="48">
        <v>35</v>
      </c>
      <c r="J477" s="165" t="s">
        <v>1569</v>
      </c>
      <c r="K477" s="40"/>
      <c r="L477" s="40"/>
      <c r="M477" s="70" t="str">
        <f t="shared" si="19"/>
        <v>INT-0065-25</v>
      </c>
      <c r="N477" s="49"/>
      <c r="O477" s="301"/>
    </row>
    <row r="478" spans="1:15" ht="15" x14ac:dyDescent="0.25">
      <c r="A478" s="233">
        <v>45768</v>
      </c>
      <c r="B478" s="35" t="s">
        <v>1397</v>
      </c>
      <c r="C478" s="47" t="s">
        <v>1066</v>
      </c>
      <c r="D478" s="48" t="s">
        <v>1292</v>
      </c>
      <c r="E478" s="38" t="s">
        <v>1293</v>
      </c>
      <c r="F478" s="205" t="s">
        <v>1404</v>
      </c>
      <c r="G478" s="233">
        <v>45930</v>
      </c>
      <c r="H478" s="205" t="s">
        <v>1411</v>
      </c>
      <c r="I478" s="48">
        <v>33</v>
      </c>
      <c r="J478" s="165" t="s">
        <v>1569</v>
      </c>
      <c r="K478" s="40"/>
      <c r="L478" s="40"/>
      <c r="M478" s="70" t="str">
        <f t="shared" si="19"/>
        <v>INT-0065-25</v>
      </c>
      <c r="N478" s="49"/>
      <c r="O478" s="301"/>
    </row>
    <row r="479" spans="1:15" ht="15" x14ac:dyDescent="0.25">
      <c r="A479" s="242">
        <v>45769</v>
      </c>
      <c r="B479" s="101" t="s">
        <v>1419</v>
      </c>
      <c r="C479" s="102" t="s">
        <v>1066</v>
      </c>
      <c r="D479" s="103" t="s">
        <v>1412</v>
      </c>
      <c r="E479" s="104" t="s">
        <v>1413</v>
      </c>
      <c r="F479" s="214" t="s">
        <v>1416</v>
      </c>
      <c r="G479" s="242">
        <v>45764</v>
      </c>
      <c r="H479" s="214" t="s">
        <v>1418</v>
      </c>
      <c r="I479" s="103">
        <v>1</v>
      </c>
      <c r="J479" s="264" t="s">
        <v>1569</v>
      </c>
      <c r="K479" s="105"/>
      <c r="L479" s="105"/>
      <c r="M479" s="70" t="str">
        <f t="shared" ref="M479:M480" si="20">HYPERLINK("P:\7. LONG HAU\7. CAC THEO DOI TRONG QUA TRINH\4. DEVIATION- INCIDENTS\THEO DÕI NỘI BỘ (NGOÀI BBSC)\"&amp;YEAR(A479)&amp;"\"&amp;B479,B479)</f>
        <v>INT-0066-25</v>
      </c>
      <c r="N479" s="106"/>
      <c r="O479" s="312"/>
    </row>
    <row r="480" spans="1:15" ht="15" x14ac:dyDescent="0.25">
      <c r="A480" s="242">
        <v>45769</v>
      </c>
      <c r="B480" s="101" t="s">
        <v>1419</v>
      </c>
      <c r="C480" s="102" t="s">
        <v>1066</v>
      </c>
      <c r="D480" s="103" t="s">
        <v>1414</v>
      </c>
      <c r="E480" s="104" t="s">
        <v>1415</v>
      </c>
      <c r="F480" s="214" t="s">
        <v>1417</v>
      </c>
      <c r="G480" s="242">
        <v>46275</v>
      </c>
      <c r="H480" s="214" t="s">
        <v>1418</v>
      </c>
      <c r="I480" s="103">
        <v>1</v>
      </c>
      <c r="J480" s="264" t="s">
        <v>1569</v>
      </c>
      <c r="K480" s="105"/>
      <c r="L480" s="105"/>
      <c r="M480" s="70" t="str">
        <f t="shared" si="20"/>
        <v>INT-0066-25</v>
      </c>
      <c r="N480" s="106"/>
      <c r="O480" s="312"/>
    </row>
    <row r="481" spans="1:15" ht="25.5" x14ac:dyDescent="0.25">
      <c r="A481" s="242">
        <v>45770</v>
      </c>
      <c r="B481" s="101" t="s">
        <v>1420</v>
      </c>
      <c r="C481" s="102" t="s">
        <v>1066</v>
      </c>
      <c r="D481" s="103" t="s">
        <v>44</v>
      </c>
      <c r="E481" s="104" t="s">
        <v>45</v>
      </c>
      <c r="F481" s="214" t="s">
        <v>96</v>
      </c>
      <c r="G481" s="242">
        <v>45900</v>
      </c>
      <c r="H481" s="214" t="s">
        <v>1421</v>
      </c>
      <c r="I481" s="103">
        <v>1</v>
      </c>
      <c r="J481" s="264" t="s">
        <v>1569</v>
      </c>
      <c r="K481" s="105"/>
      <c r="L481" s="105"/>
      <c r="M481" s="70" t="str">
        <f>HYPERLINK("P:\7. LONG HAU\7. CAC THEO DOI TRONG QUA TRINH\4. DEVIATION- INCIDENTS\THEO DÕI NỘI BỘ (NGOÀI BBSC)\"&amp;YEAR(A481)&amp;"\"&amp;B481,B481)</f>
        <v>INT-0067-25</v>
      </c>
      <c r="N481" s="106"/>
      <c r="O481" s="312"/>
    </row>
    <row r="482" spans="1:15" ht="25.5" x14ac:dyDescent="0.25">
      <c r="A482" s="242">
        <v>45770</v>
      </c>
      <c r="B482" s="101" t="s">
        <v>1420</v>
      </c>
      <c r="C482" s="102" t="s">
        <v>1066</v>
      </c>
      <c r="D482" s="103" t="s">
        <v>44</v>
      </c>
      <c r="E482" s="104" t="s">
        <v>45</v>
      </c>
      <c r="F482" s="214" t="s">
        <v>97</v>
      </c>
      <c r="G482" s="242">
        <v>45900</v>
      </c>
      <c r="H482" s="214" t="s">
        <v>1422</v>
      </c>
      <c r="I482" s="103">
        <v>5</v>
      </c>
      <c r="J482" s="264" t="s">
        <v>1569</v>
      </c>
      <c r="K482" s="105"/>
      <c r="L482" s="105"/>
      <c r="M482" s="70" t="str">
        <f t="shared" ref="M482:M483" si="21">HYPERLINK("P:\7. LONG HAU\7. CAC THEO DOI TRONG QUA TRINH\4. DEVIATION- INCIDENTS\THEO DÕI NỘI BỘ (NGOÀI BBSC)\"&amp;YEAR(A482)&amp;"\"&amp;B482,B482)</f>
        <v>INT-0067-25</v>
      </c>
      <c r="N482" s="106"/>
      <c r="O482" s="312"/>
    </row>
    <row r="483" spans="1:15" ht="15" x14ac:dyDescent="0.25">
      <c r="A483" s="242">
        <v>45770</v>
      </c>
      <c r="B483" s="101" t="s">
        <v>1420</v>
      </c>
      <c r="C483" s="102" t="s">
        <v>1066</v>
      </c>
      <c r="D483" s="103" t="s">
        <v>968</v>
      </c>
      <c r="E483" s="104" t="s">
        <v>969</v>
      </c>
      <c r="F483" s="214" t="s">
        <v>995</v>
      </c>
      <c r="G483" s="242">
        <v>45808</v>
      </c>
      <c r="H483" s="214" t="s">
        <v>1423</v>
      </c>
      <c r="I483" s="103">
        <v>2</v>
      </c>
      <c r="J483" s="264" t="s">
        <v>1569</v>
      </c>
      <c r="K483" s="105"/>
      <c r="L483" s="105"/>
      <c r="M483" s="70" t="str">
        <f t="shared" si="21"/>
        <v>INT-0067-25</v>
      </c>
      <c r="N483" s="106"/>
      <c r="O483" s="312"/>
    </row>
    <row r="484" spans="1:15" ht="25.5" x14ac:dyDescent="0.25">
      <c r="A484" s="242">
        <v>45770</v>
      </c>
      <c r="B484" s="101" t="s">
        <v>1424</v>
      </c>
      <c r="C484" s="102" t="s">
        <v>1066</v>
      </c>
      <c r="D484" s="103" t="s">
        <v>44</v>
      </c>
      <c r="E484" s="104" t="s">
        <v>45</v>
      </c>
      <c r="F484" s="214" t="s">
        <v>1425</v>
      </c>
      <c r="G484" s="242">
        <v>46446</v>
      </c>
      <c r="H484" s="214" t="s">
        <v>1430</v>
      </c>
      <c r="I484" s="103">
        <v>2</v>
      </c>
      <c r="J484" s="264" t="s">
        <v>1569</v>
      </c>
      <c r="K484" s="105"/>
      <c r="L484" s="105"/>
      <c r="M484" s="70" t="str">
        <f>HYPERLINK("P:\7. LONG HAU\7. CAC THEO DOI TRONG QUA TRINH\4. DEVIATION- INCIDENTS\THEO DÕI NỘI BỘ (NGOÀI BBSC)\"&amp;YEAR(A484)&amp;"\"&amp;B484,B484)</f>
        <v>INT-0068-25</v>
      </c>
      <c r="N484" s="106"/>
      <c r="O484" s="312"/>
    </row>
    <row r="485" spans="1:15" ht="15" x14ac:dyDescent="0.25">
      <c r="A485" s="242">
        <v>45770</v>
      </c>
      <c r="B485" s="101" t="s">
        <v>1424</v>
      </c>
      <c r="C485" s="102" t="s">
        <v>1066</v>
      </c>
      <c r="D485" s="103" t="s">
        <v>34</v>
      </c>
      <c r="E485" s="104" t="s">
        <v>35</v>
      </c>
      <c r="F485" s="214" t="s">
        <v>612</v>
      </c>
      <c r="G485" s="242">
        <v>45808</v>
      </c>
      <c r="H485" s="214" t="s">
        <v>1431</v>
      </c>
      <c r="I485" s="103">
        <v>4</v>
      </c>
      <c r="J485" s="264" t="s">
        <v>1569</v>
      </c>
      <c r="K485" s="105"/>
      <c r="L485" s="105"/>
      <c r="M485" s="70" t="str">
        <f t="shared" ref="M485:M493" si="22">HYPERLINK("P:\7. LONG HAU\7. CAC THEO DOI TRONG QUA TRINH\4. DEVIATION- INCIDENTS\THEO DÕI NỘI BỘ (NGOÀI BBSC)\"&amp;YEAR(A485)&amp;"\"&amp;B485,B485)</f>
        <v>INT-0068-25</v>
      </c>
      <c r="N485" s="106"/>
      <c r="O485" s="312"/>
    </row>
    <row r="486" spans="1:15" ht="15" x14ac:dyDescent="0.25">
      <c r="A486" s="242">
        <v>45770</v>
      </c>
      <c r="B486" s="101" t="s">
        <v>1424</v>
      </c>
      <c r="C486" s="102" t="s">
        <v>1066</v>
      </c>
      <c r="D486" s="103" t="s">
        <v>34</v>
      </c>
      <c r="E486" s="104" t="s">
        <v>35</v>
      </c>
      <c r="F486" s="214" t="s">
        <v>1426</v>
      </c>
      <c r="G486" s="242">
        <v>46203</v>
      </c>
      <c r="H486" s="214" t="s">
        <v>1432</v>
      </c>
      <c r="I486" s="103">
        <v>1</v>
      </c>
      <c r="J486" s="264" t="s">
        <v>1569</v>
      </c>
      <c r="K486" s="105"/>
      <c r="L486" s="105"/>
      <c r="M486" s="70" t="str">
        <f t="shared" si="22"/>
        <v>INT-0068-25</v>
      </c>
      <c r="N486" s="106"/>
      <c r="O486" s="312"/>
    </row>
    <row r="487" spans="1:15" ht="15" x14ac:dyDescent="0.25">
      <c r="A487" s="242">
        <v>45770</v>
      </c>
      <c r="B487" s="101" t="s">
        <v>1424</v>
      </c>
      <c r="C487" s="102" t="s">
        <v>1066</v>
      </c>
      <c r="D487" s="103" t="s">
        <v>34</v>
      </c>
      <c r="E487" s="104" t="s">
        <v>35</v>
      </c>
      <c r="F487" s="214" t="s">
        <v>1011</v>
      </c>
      <c r="G487" s="242">
        <v>45869</v>
      </c>
      <c r="H487" s="214" t="s">
        <v>1433</v>
      </c>
      <c r="I487" s="103">
        <v>68</v>
      </c>
      <c r="J487" s="264" t="s">
        <v>1569</v>
      </c>
      <c r="K487" s="105"/>
      <c r="L487" s="105"/>
      <c r="M487" s="70" t="str">
        <f t="shared" si="22"/>
        <v>INT-0068-25</v>
      </c>
      <c r="N487" s="106"/>
      <c r="O487" s="312"/>
    </row>
    <row r="488" spans="1:15" ht="15" x14ac:dyDescent="0.25">
      <c r="A488" s="242">
        <v>45770</v>
      </c>
      <c r="B488" s="101" t="s">
        <v>1424</v>
      </c>
      <c r="C488" s="102" t="s">
        <v>1066</v>
      </c>
      <c r="D488" s="103" t="s">
        <v>42</v>
      </c>
      <c r="E488" s="104" t="s">
        <v>43</v>
      </c>
      <c r="F488" s="214" t="s">
        <v>1427</v>
      </c>
      <c r="G488" s="242">
        <v>46081</v>
      </c>
      <c r="H488" s="214" t="s">
        <v>1434</v>
      </c>
      <c r="I488" s="103">
        <v>1</v>
      </c>
      <c r="J488" s="264" t="s">
        <v>1569</v>
      </c>
      <c r="K488" s="105"/>
      <c r="L488" s="105"/>
      <c r="M488" s="70" t="str">
        <f t="shared" si="22"/>
        <v>INT-0068-25</v>
      </c>
      <c r="N488" s="106"/>
      <c r="O488" s="312"/>
    </row>
    <row r="489" spans="1:15" ht="15" x14ac:dyDescent="0.25">
      <c r="A489" s="242">
        <v>45770</v>
      </c>
      <c r="B489" s="101" t="s">
        <v>1424</v>
      </c>
      <c r="C489" s="102" t="s">
        <v>1066</v>
      </c>
      <c r="D489" s="103" t="s">
        <v>42</v>
      </c>
      <c r="E489" s="104" t="s">
        <v>43</v>
      </c>
      <c r="F489" s="214" t="s">
        <v>1080</v>
      </c>
      <c r="G489" s="242">
        <v>45869</v>
      </c>
      <c r="H489" s="214" t="s">
        <v>1435</v>
      </c>
      <c r="I489" s="103">
        <v>2</v>
      </c>
      <c r="J489" s="264" t="s">
        <v>1569</v>
      </c>
      <c r="K489" s="105"/>
      <c r="L489" s="105"/>
      <c r="M489" s="70" t="str">
        <f t="shared" si="22"/>
        <v>INT-0068-25</v>
      </c>
      <c r="N489" s="106"/>
      <c r="O489" s="312"/>
    </row>
    <row r="490" spans="1:15" ht="15" x14ac:dyDescent="0.25">
      <c r="A490" s="242">
        <v>45770</v>
      </c>
      <c r="B490" s="101" t="s">
        <v>1424</v>
      </c>
      <c r="C490" s="102" t="s">
        <v>1066</v>
      </c>
      <c r="D490" s="103" t="s">
        <v>36</v>
      </c>
      <c r="E490" s="104" t="s">
        <v>37</v>
      </c>
      <c r="F490" s="214" t="s">
        <v>941</v>
      </c>
      <c r="G490" s="242">
        <v>45838</v>
      </c>
      <c r="H490" s="214" t="s">
        <v>1436</v>
      </c>
      <c r="I490" s="103">
        <v>4</v>
      </c>
      <c r="J490" s="264" t="s">
        <v>1569</v>
      </c>
      <c r="K490" s="105"/>
      <c r="L490" s="105"/>
      <c r="M490" s="70" t="str">
        <f t="shared" si="22"/>
        <v>INT-0068-25</v>
      </c>
      <c r="N490" s="106"/>
      <c r="O490" s="312"/>
    </row>
    <row r="491" spans="1:15" ht="15" x14ac:dyDescent="0.25">
      <c r="A491" s="242">
        <v>45770</v>
      </c>
      <c r="B491" s="101" t="s">
        <v>1424</v>
      </c>
      <c r="C491" s="102" t="s">
        <v>1066</v>
      </c>
      <c r="D491" s="103" t="s">
        <v>28</v>
      </c>
      <c r="E491" s="104" t="s">
        <v>29</v>
      </c>
      <c r="F491" s="214" t="s">
        <v>1428</v>
      </c>
      <c r="G491" s="242">
        <v>46660</v>
      </c>
      <c r="H491" s="214" t="s">
        <v>1437</v>
      </c>
      <c r="I491" s="103">
        <v>2</v>
      </c>
      <c r="J491" s="264" t="s">
        <v>1569</v>
      </c>
      <c r="K491" s="105"/>
      <c r="L491" s="105"/>
      <c r="M491" s="70" t="str">
        <f t="shared" si="22"/>
        <v>INT-0068-25</v>
      </c>
      <c r="N491" s="106"/>
      <c r="O491" s="312"/>
    </row>
    <row r="492" spans="1:15" ht="15" x14ac:dyDescent="0.25">
      <c r="A492" s="242">
        <v>45770</v>
      </c>
      <c r="B492" s="101" t="s">
        <v>1424</v>
      </c>
      <c r="C492" s="102" t="s">
        <v>1066</v>
      </c>
      <c r="D492" s="103" t="s">
        <v>28</v>
      </c>
      <c r="E492" s="104" t="s">
        <v>29</v>
      </c>
      <c r="F492" s="214" t="s">
        <v>1429</v>
      </c>
      <c r="G492" s="242">
        <v>46387</v>
      </c>
      <c r="H492" s="214" t="s">
        <v>1438</v>
      </c>
      <c r="I492" s="103">
        <v>2</v>
      </c>
      <c r="J492" s="264" t="s">
        <v>1569</v>
      </c>
      <c r="K492" s="105"/>
      <c r="L492" s="105"/>
      <c r="M492" s="70" t="str">
        <f t="shared" si="22"/>
        <v>INT-0068-25</v>
      </c>
      <c r="N492" s="106"/>
      <c r="O492" s="312"/>
    </row>
    <row r="493" spans="1:15" ht="15" x14ac:dyDescent="0.25">
      <c r="A493" s="242">
        <v>45770</v>
      </c>
      <c r="B493" s="101" t="s">
        <v>1424</v>
      </c>
      <c r="C493" s="102" t="s">
        <v>1066</v>
      </c>
      <c r="D493" s="103" t="s">
        <v>28</v>
      </c>
      <c r="E493" s="104" t="s">
        <v>29</v>
      </c>
      <c r="F493" s="214" t="s">
        <v>943</v>
      </c>
      <c r="G493" s="242">
        <v>45838</v>
      </c>
      <c r="H493" s="214" t="s">
        <v>1439</v>
      </c>
      <c r="I493" s="103">
        <v>3</v>
      </c>
      <c r="J493" s="264" t="s">
        <v>1569</v>
      </c>
      <c r="K493" s="105"/>
      <c r="L493" s="105"/>
      <c r="M493" s="70" t="str">
        <f t="shared" si="22"/>
        <v>INT-0068-25</v>
      </c>
      <c r="N493" s="106"/>
      <c r="O493" s="312"/>
    </row>
    <row r="494" spans="1:15" ht="15" x14ac:dyDescent="0.25">
      <c r="A494" s="242">
        <v>45771</v>
      </c>
      <c r="B494" s="101" t="s">
        <v>1440</v>
      </c>
      <c r="C494" s="102" t="s">
        <v>1068</v>
      </c>
      <c r="D494" s="103" t="s">
        <v>1441</v>
      </c>
      <c r="E494" s="104" t="s">
        <v>1442</v>
      </c>
      <c r="F494" s="214" t="s">
        <v>1443</v>
      </c>
      <c r="G494" s="242">
        <v>46507</v>
      </c>
      <c r="H494" s="214" t="s">
        <v>1444</v>
      </c>
      <c r="I494" s="103">
        <v>15</v>
      </c>
      <c r="J494" s="165" t="s">
        <v>1569</v>
      </c>
      <c r="K494" s="105" t="s">
        <v>1071</v>
      </c>
      <c r="L494" s="105"/>
      <c r="M494" s="70" t="str">
        <f t="shared" ref="M494:M499" si="23">HYPERLINK("P:\7. LONG HAU\7. CAC THEO DOI TRONG QUA TRINH\4. DEVIATION- INCIDENTS\THEO DÕI NỘI BỘ (NGOÀI BBSC)\"&amp;YEAR(A494)&amp;"\"&amp;B494,B494)</f>
        <v>INT-0069-25</v>
      </c>
      <c r="N494" s="106"/>
      <c r="O494" s="312"/>
    </row>
    <row r="495" spans="1:15" ht="15" x14ac:dyDescent="0.25">
      <c r="A495" s="233">
        <v>45771</v>
      </c>
      <c r="B495" s="35" t="s">
        <v>1445</v>
      </c>
      <c r="C495" s="47" t="s">
        <v>1477</v>
      </c>
      <c r="D495" s="48" t="s">
        <v>1449</v>
      </c>
      <c r="E495" s="38" t="s">
        <v>1446</v>
      </c>
      <c r="F495" s="205" t="s">
        <v>1447</v>
      </c>
      <c r="G495" s="233">
        <v>45869</v>
      </c>
      <c r="H495" s="205" t="s">
        <v>1448</v>
      </c>
      <c r="I495" s="48">
        <v>1</v>
      </c>
      <c r="J495" s="265" t="s">
        <v>1569</v>
      </c>
      <c r="K495" s="40" t="s">
        <v>1071</v>
      </c>
      <c r="L495" s="40" t="s">
        <v>1448</v>
      </c>
      <c r="M495" s="70" t="str">
        <f t="shared" si="23"/>
        <v>INT-0070-25</v>
      </c>
      <c r="N495" s="49" t="s">
        <v>1478</v>
      </c>
      <c r="O495" s="301"/>
    </row>
    <row r="496" spans="1:15" ht="28.5" x14ac:dyDescent="0.25">
      <c r="A496" s="233">
        <v>45772</v>
      </c>
      <c r="B496" s="35" t="s">
        <v>1451</v>
      </c>
      <c r="C496" s="47" t="s">
        <v>1236</v>
      </c>
      <c r="D496" s="48" t="s">
        <v>277</v>
      </c>
      <c r="E496" s="38" t="s">
        <v>278</v>
      </c>
      <c r="F496" s="205" t="s">
        <v>1450</v>
      </c>
      <c r="G496" s="233">
        <v>46721</v>
      </c>
      <c r="H496" s="205" t="s">
        <v>839</v>
      </c>
      <c r="I496" s="48" t="s">
        <v>839</v>
      </c>
      <c r="J496" s="165" t="s">
        <v>1569</v>
      </c>
      <c r="K496" s="40" t="s">
        <v>1071</v>
      </c>
      <c r="L496" s="40" t="s">
        <v>1452</v>
      </c>
      <c r="M496" s="70" t="str">
        <f t="shared" si="23"/>
        <v>INT-0071-25</v>
      </c>
      <c r="N496" s="107" t="s">
        <v>1476</v>
      </c>
      <c r="O496" s="301"/>
    </row>
    <row r="497" spans="1:15" ht="15" x14ac:dyDescent="0.25">
      <c r="A497" s="233">
        <v>45775</v>
      </c>
      <c r="B497" s="35" t="s">
        <v>1453</v>
      </c>
      <c r="C497" s="47" t="s">
        <v>1066</v>
      </c>
      <c r="D497" s="48" t="s">
        <v>709</v>
      </c>
      <c r="E497" s="38" t="s">
        <v>710</v>
      </c>
      <c r="F497" s="205" t="s">
        <v>1454</v>
      </c>
      <c r="G497" s="233">
        <v>45869</v>
      </c>
      <c r="H497" s="205" t="s">
        <v>1455</v>
      </c>
      <c r="I497" s="48">
        <v>12</v>
      </c>
      <c r="J497" s="165" t="s">
        <v>1569</v>
      </c>
      <c r="K497" s="40" t="s">
        <v>1072</v>
      </c>
      <c r="L497" s="40" t="s">
        <v>1475</v>
      </c>
      <c r="M497" s="70" t="str">
        <f t="shared" si="23"/>
        <v>INT-0072-25</v>
      </c>
      <c r="N497" s="49"/>
      <c r="O497" s="301"/>
    </row>
    <row r="498" spans="1:15" ht="15" x14ac:dyDescent="0.25">
      <c r="A498" s="233">
        <v>45775</v>
      </c>
      <c r="B498" s="35" t="s">
        <v>1453</v>
      </c>
      <c r="C498" s="47" t="s">
        <v>1066</v>
      </c>
      <c r="D498" s="48" t="s">
        <v>709</v>
      </c>
      <c r="E498" s="38" t="s">
        <v>710</v>
      </c>
      <c r="F498" s="205" t="s">
        <v>1454</v>
      </c>
      <c r="G498" s="233">
        <v>45869</v>
      </c>
      <c r="H498" s="205" t="s">
        <v>1455</v>
      </c>
      <c r="I498" s="48">
        <v>675</v>
      </c>
      <c r="J498" s="165" t="s">
        <v>1569</v>
      </c>
      <c r="K498" s="40" t="s">
        <v>1072</v>
      </c>
      <c r="L498" s="40"/>
      <c r="M498" s="70" t="str">
        <f t="shared" si="23"/>
        <v>INT-0072-25</v>
      </c>
      <c r="N498" s="49"/>
      <c r="O498" s="301"/>
    </row>
    <row r="499" spans="1:15" ht="15" x14ac:dyDescent="0.25">
      <c r="A499" s="233">
        <v>45775</v>
      </c>
      <c r="B499" s="35" t="s">
        <v>1453</v>
      </c>
      <c r="C499" s="47" t="s">
        <v>1066</v>
      </c>
      <c r="D499" s="48" t="s">
        <v>709</v>
      </c>
      <c r="E499" s="38" t="s">
        <v>710</v>
      </c>
      <c r="F499" s="205" t="s">
        <v>1454</v>
      </c>
      <c r="G499" s="233">
        <v>45869</v>
      </c>
      <c r="H499" s="205" t="s">
        <v>1456</v>
      </c>
      <c r="I499" s="48">
        <v>5</v>
      </c>
      <c r="J499" s="165" t="s">
        <v>1569</v>
      </c>
      <c r="K499" s="40" t="s">
        <v>1072</v>
      </c>
      <c r="L499" s="40" t="s">
        <v>1474</v>
      </c>
      <c r="M499" s="70" t="str">
        <f t="shared" si="23"/>
        <v>INT-0072-25</v>
      </c>
      <c r="N499" s="49"/>
      <c r="O499" s="301"/>
    </row>
    <row r="500" spans="1:15" ht="25.5" x14ac:dyDescent="0.25">
      <c r="A500" s="233">
        <v>45775</v>
      </c>
      <c r="B500" s="35" t="s">
        <v>1453</v>
      </c>
      <c r="C500" s="47" t="s">
        <v>1066</v>
      </c>
      <c r="D500" s="48" t="s">
        <v>709</v>
      </c>
      <c r="E500" s="38" t="s">
        <v>710</v>
      </c>
      <c r="F500" s="205" t="s">
        <v>1454</v>
      </c>
      <c r="G500" s="233">
        <v>45869</v>
      </c>
      <c r="H500" s="205" t="s">
        <v>1457</v>
      </c>
      <c r="I500" s="48">
        <v>14</v>
      </c>
      <c r="J500" s="165" t="s">
        <v>1569</v>
      </c>
      <c r="K500" s="40" t="s">
        <v>1072</v>
      </c>
      <c r="L500" s="40" t="s">
        <v>1548</v>
      </c>
      <c r="M500" s="70" t="str">
        <f>HYPERLINK("P:\7. LONG HAU\7. CAC THEO DOI TRONG QUA TRINH\4. DEVIATION- INCIDENTS\THEO DÕI NỘI BỘ (NGOÀI BBSC)\"&amp;YEAR(A500)&amp;"\"&amp;B500,B500)</f>
        <v>INT-0072-25</v>
      </c>
      <c r="N500" s="49"/>
      <c r="O500" s="301"/>
    </row>
    <row r="501" spans="1:15" ht="15" x14ac:dyDescent="0.25">
      <c r="A501" s="233">
        <v>45775</v>
      </c>
      <c r="B501" s="35" t="s">
        <v>1453</v>
      </c>
      <c r="C501" s="47" t="s">
        <v>1066</v>
      </c>
      <c r="D501" s="48" t="s">
        <v>709</v>
      </c>
      <c r="E501" s="38" t="s">
        <v>710</v>
      </c>
      <c r="F501" s="205" t="s">
        <v>1454</v>
      </c>
      <c r="G501" s="233">
        <v>45869</v>
      </c>
      <c r="H501" s="205" t="s">
        <v>1472</v>
      </c>
      <c r="I501" s="48">
        <v>45</v>
      </c>
      <c r="J501" s="165" t="s">
        <v>1569</v>
      </c>
      <c r="K501" s="40" t="s">
        <v>1072</v>
      </c>
      <c r="L501" s="40"/>
      <c r="M501" s="70" t="str">
        <f>HYPERLINK("P:\7. LONG HAU\7. CAC THEO DOI TRONG QUA TRINH\4. DEVIATION- INCIDENTS\THEO DÕI NỘI BỘ (NGOÀI BBSC)\"&amp;YEAR(A501)&amp;"\"&amp;B501,B501)</f>
        <v>INT-0072-25</v>
      </c>
      <c r="N501" s="49"/>
      <c r="O501" s="301"/>
    </row>
    <row r="502" spans="1:15" ht="25.5" x14ac:dyDescent="0.25">
      <c r="A502" s="243">
        <v>45775</v>
      </c>
      <c r="B502" s="108" t="s">
        <v>1458</v>
      </c>
      <c r="C502" s="109" t="s">
        <v>1066</v>
      </c>
      <c r="D502" s="110" t="s">
        <v>44</v>
      </c>
      <c r="E502" s="111" t="s">
        <v>45</v>
      </c>
      <c r="F502" s="215" t="s">
        <v>96</v>
      </c>
      <c r="G502" s="243">
        <v>45900</v>
      </c>
      <c r="H502" s="215" t="s">
        <v>1459</v>
      </c>
      <c r="I502" s="110">
        <v>2</v>
      </c>
      <c r="J502" s="266" t="s">
        <v>1569</v>
      </c>
      <c r="K502" s="112"/>
      <c r="L502" s="112"/>
      <c r="M502" s="70" t="str">
        <f>HYPERLINK("P:\7. LONG HAU\7. CAC THEO DOI TRONG QUA TRINH\4. DEVIATION- INCIDENTS\THEO DÕI NỘI BỘ (NGOÀI BBSC)\"&amp;YEAR(A502)&amp;"\"&amp;B502,B502)</f>
        <v>INT-0073-25</v>
      </c>
      <c r="N502" s="113"/>
      <c r="O502" s="313"/>
    </row>
    <row r="503" spans="1:15" ht="25.5" x14ac:dyDescent="0.25">
      <c r="A503" s="243">
        <v>45775</v>
      </c>
      <c r="B503" s="108" t="s">
        <v>1458</v>
      </c>
      <c r="C503" s="109" t="s">
        <v>1066</v>
      </c>
      <c r="D503" s="110" t="s">
        <v>44</v>
      </c>
      <c r="E503" s="111" t="s">
        <v>45</v>
      </c>
      <c r="F503" s="215" t="s">
        <v>97</v>
      </c>
      <c r="G503" s="243">
        <v>45900</v>
      </c>
      <c r="H503" s="215" t="s">
        <v>1460</v>
      </c>
      <c r="I503" s="110">
        <v>2</v>
      </c>
      <c r="J503" s="266" t="s">
        <v>1569</v>
      </c>
      <c r="K503" s="112"/>
      <c r="L503" s="112"/>
      <c r="M503" s="70" t="str">
        <f>HYPERLINK("P:\7. LONG HAU\7. CAC THEO DOI TRONG QUA TRINH\4. DEVIATION- INCIDENTS\THEO DÕI NỘI BỘ (NGOÀI BBSC)\"&amp;YEAR(A503)&amp;"\"&amp;B503,B503)</f>
        <v>INT-0073-25</v>
      </c>
      <c r="N503" s="113"/>
      <c r="O503" s="313"/>
    </row>
    <row r="504" spans="1:15" ht="15" x14ac:dyDescent="0.25">
      <c r="A504" s="243">
        <v>45776</v>
      </c>
      <c r="B504" s="108" t="s">
        <v>1461</v>
      </c>
      <c r="C504" s="109" t="s">
        <v>1066</v>
      </c>
      <c r="D504" s="110" t="s">
        <v>28</v>
      </c>
      <c r="E504" s="111" t="s">
        <v>29</v>
      </c>
      <c r="F504" s="215" t="s">
        <v>943</v>
      </c>
      <c r="G504" s="243">
        <v>45838</v>
      </c>
      <c r="H504" s="215" t="s">
        <v>1462</v>
      </c>
      <c r="I504" s="110">
        <v>4</v>
      </c>
      <c r="J504" s="266" t="s">
        <v>1569</v>
      </c>
      <c r="K504" s="112"/>
      <c r="L504" s="112"/>
      <c r="M504" s="70" t="str">
        <f>HYPERLINK("P:\7. LONG HAU\7. CAC THEO DOI TRONG QUA TRINH\4. DEVIATION- INCIDENTS\THEO DÕI NỘI BỘ (NGOÀI BBSC)\"&amp;YEAR(A504)&amp;"\"&amp;B504,B504)</f>
        <v>INT-0074-25</v>
      </c>
      <c r="N504" s="113"/>
      <c r="O504" s="313"/>
    </row>
    <row r="505" spans="1:15" ht="15" x14ac:dyDescent="0.25">
      <c r="A505" s="243">
        <v>45776</v>
      </c>
      <c r="B505" s="108" t="s">
        <v>1461</v>
      </c>
      <c r="C505" s="109" t="s">
        <v>1066</v>
      </c>
      <c r="D505" s="110" t="s">
        <v>34</v>
      </c>
      <c r="E505" s="111" t="s">
        <v>35</v>
      </c>
      <c r="F505" s="215" t="s">
        <v>1011</v>
      </c>
      <c r="G505" s="243">
        <v>45869</v>
      </c>
      <c r="H505" s="215" t="s">
        <v>1463</v>
      </c>
      <c r="I505" s="110">
        <v>51</v>
      </c>
      <c r="J505" s="266" t="s">
        <v>1569</v>
      </c>
      <c r="K505" s="112"/>
      <c r="L505" s="112"/>
      <c r="M505" s="70" t="str">
        <f t="shared" ref="M505:M506" si="24">HYPERLINK("P:\7. LONG HAU\7. CAC THEO DOI TRONG QUA TRINH\4. DEVIATION- INCIDENTS\THEO DÕI NỘI BỘ (NGOÀI BBSC)\"&amp;YEAR(A505)&amp;"\"&amp;B505,B505)</f>
        <v>INT-0074-25</v>
      </c>
      <c r="N505" s="113"/>
      <c r="O505" s="313"/>
    </row>
    <row r="506" spans="1:15" ht="15" x14ac:dyDescent="0.25">
      <c r="A506" s="243">
        <v>45776</v>
      </c>
      <c r="B506" s="108" t="s">
        <v>1461</v>
      </c>
      <c r="C506" s="109" t="s">
        <v>1066</v>
      </c>
      <c r="D506" s="110" t="s">
        <v>36</v>
      </c>
      <c r="E506" s="111" t="s">
        <v>37</v>
      </c>
      <c r="F506" s="215" t="s">
        <v>941</v>
      </c>
      <c r="G506" s="243">
        <v>45838</v>
      </c>
      <c r="H506" s="215" t="s">
        <v>1464</v>
      </c>
      <c r="I506" s="110">
        <v>1</v>
      </c>
      <c r="J506" s="266" t="s">
        <v>1569</v>
      </c>
      <c r="K506" s="112"/>
      <c r="L506" s="112"/>
      <c r="M506" s="70" t="str">
        <f t="shared" si="24"/>
        <v>INT-0074-25</v>
      </c>
      <c r="N506" s="113"/>
      <c r="O506" s="313"/>
    </row>
    <row r="507" spans="1:15" ht="15" x14ac:dyDescent="0.25">
      <c r="A507" s="243">
        <v>45776</v>
      </c>
      <c r="B507" s="108" t="s">
        <v>1465</v>
      </c>
      <c r="C507" s="109" t="s">
        <v>1066</v>
      </c>
      <c r="D507" s="110" t="s">
        <v>1466</v>
      </c>
      <c r="E507" s="111" t="s">
        <v>1467</v>
      </c>
      <c r="F507" s="215" t="s">
        <v>1468</v>
      </c>
      <c r="G507" s="243">
        <v>45808</v>
      </c>
      <c r="H507" s="215" t="s">
        <v>1469</v>
      </c>
      <c r="I507" s="110">
        <v>30</v>
      </c>
      <c r="J507" s="263" t="s">
        <v>1569</v>
      </c>
      <c r="K507" s="112" t="s">
        <v>1073</v>
      </c>
      <c r="L507" s="112"/>
      <c r="M507" s="70" t="str">
        <f t="shared" ref="M507:M515" si="25">HYPERLINK("P:\7. LONG HAU\7. CAC THEO DOI TRONG QUA TRINH\4. DEVIATION- INCIDENTS\THEO DÕI NỘI BỘ (NGOÀI BBSC)\"&amp;YEAR(A507)&amp;"\"&amp;B507,B507)</f>
        <v>INT-0075-25</v>
      </c>
      <c r="N507" s="113"/>
      <c r="O507" s="313"/>
    </row>
    <row r="508" spans="1:15" ht="15" x14ac:dyDescent="0.25">
      <c r="A508" s="243">
        <v>45776</v>
      </c>
      <c r="B508" s="108" t="s">
        <v>1465</v>
      </c>
      <c r="C508" s="109" t="s">
        <v>1066</v>
      </c>
      <c r="D508" s="48" t="s">
        <v>31</v>
      </c>
      <c r="E508" s="38" t="s">
        <v>32</v>
      </c>
      <c r="F508" s="205" t="s">
        <v>1004</v>
      </c>
      <c r="G508" s="233">
        <v>45930</v>
      </c>
      <c r="H508" s="205" t="s">
        <v>1470</v>
      </c>
      <c r="I508" s="48">
        <v>3</v>
      </c>
      <c r="J508" s="263" t="s">
        <v>1569</v>
      </c>
      <c r="K508" s="40" t="s">
        <v>1073</v>
      </c>
      <c r="L508" s="40"/>
      <c r="M508" s="70" t="str">
        <f t="shared" si="25"/>
        <v>INT-0075-25</v>
      </c>
      <c r="N508" s="49"/>
      <c r="O508" s="301"/>
    </row>
    <row r="509" spans="1:15" ht="25.5" x14ac:dyDescent="0.25">
      <c r="A509" s="243">
        <v>45776</v>
      </c>
      <c r="B509" s="108" t="s">
        <v>1465</v>
      </c>
      <c r="C509" s="109" t="s">
        <v>1066</v>
      </c>
      <c r="D509" s="48" t="s">
        <v>44</v>
      </c>
      <c r="E509" s="38" t="s">
        <v>45</v>
      </c>
      <c r="F509" s="205" t="s">
        <v>96</v>
      </c>
      <c r="G509" s="233">
        <v>45900</v>
      </c>
      <c r="H509" s="205" t="s">
        <v>1471</v>
      </c>
      <c r="I509" s="48">
        <v>2</v>
      </c>
      <c r="J509" s="263" t="s">
        <v>1569</v>
      </c>
      <c r="K509" s="40" t="s">
        <v>1073</v>
      </c>
      <c r="L509" s="40"/>
      <c r="M509" s="70" t="str">
        <f t="shared" si="25"/>
        <v>INT-0075-25</v>
      </c>
      <c r="N509" s="49"/>
      <c r="O509" s="301"/>
    </row>
    <row r="510" spans="1:15" ht="25.5" x14ac:dyDescent="0.25">
      <c r="A510" s="244">
        <v>45776</v>
      </c>
      <c r="B510" s="114" t="s">
        <v>1465</v>
      </c>
      <c r="C510" s="115" t="s">
        <v>1066</v>
      </c>
      <c r="D510" s="116" t="s">
        <v>1441</v>
      </c>
      <c r="E510" s="117" t="s">
        <v>1442</v>
      </c>
      <c r="F510" s="216" t="s">
        <v>1443</v>
      </c>
      <c r="G510" s="244">
        <v>46507</v>
      </c>
      <c r="H510" s="216" t="s">
        <v>1706</v>
      </c>
      <c r="I510" s="116">
        <v>108</v>
      </c>
      <c r="J510" s="165" t="s">
        <v>1707</v>
      </c>
      <c r="K510" s="40" t="s">
        <v>1073</v>
      </c>
      <c r="L510" s="118"/>
      <c r="M510" s="70" t="str">
        <f>HYPERLINK("P:\7. LONG HAU\7. CAC THEO DOI TRONG QUA TRINH\4. DEVIATION- INCIDENTS\THEO DÕI NỘI BỘ (NGOÀI BBSC)\"&amp;YEAR(A510)&amp;"\"&amp;B510,B510)</f>
        <v>INT-0075-25</v>
      </c>
      <c r="N510" s="119"/>
      <c r="O510" s="314"/>
    </row>
    <row r="511" spans="1:15" ht="15" x14ac:dyDescent="0.25">
      <c r="A511" s="243">
        <v>45782</v>
      </c>
      <c r="B511" s="108" t="s">
        <v>1473</v>
      </c>
      <c r="C511" s="109" t="s">
        <v>1066</v>
      </c>
      <c r="D511" s="110" t="s">
        <v>1355</v>
      </c>
      <c r="E511" s="111" t="s">
        <v>1356</v>
      </c>
      <c r="F511" s="215" t="s">
        <v>1357</v>
      </c>
      <c r="G511" s="243">
        <v>45747</v>
      </c>
      <c r="H511" s="215" t="s">
        <v>1358</v>
      </c>
      <c r="I511" s="110">
        <v>15</v>
      </c>
      <c r="J511" s="266" t="s">
        <v>1569</v>
      </c>
      <c r="K511" s="112" t="s">
        <v>1089</v>
      </c>
      <c r="L511" s="112"/>
      <c r="M511" s="70" t="str">
        <f t="shared" si="25"/>
        <v>INT-0076-25</v>
      </c>
      <c r="N511" s="113"/>
      <c r="O511" s="313"/>
    </row>
    <row r="512" spans="1:15" ht="28.5" x14ac:dyDescent="0.25">
      <c r="A512" s="245">
        <v>45789</v>
      </c>
      <c r="B512" s="120" t="s">
        <v>1480</v>
      </c>
      <c r="C512" s="121" t="s">
        <v>1066</v>
      </c>
      <c r="D512" s="122" t="s">
        <v>1481</v>
      </c>
      <c r="E512" s="123" t="s">
        <v>1482</v>
      </c>
      <c r="F512" s="217" t="s">
        <v>1483</v>
      </c>
      <c r="G512" s="245">
        <v>45808</v>
      </c>
      <c r="H512" s="205" t="s">
        <v>839</v>
      </c>
      <c r="I512" s="122">
        <v>24000</v>
      </c>
      <c r="J512" s="165" t="s">
        <v>1569</v>
      </c>
      <c r="K512" s="124" t="s">
        <v>1071</v>
      </c>
      <c r="L512" s="124"/>
      <c r="M512" s="70" t="str">
        <f t="shared" si="25"/>
        <v>INT-0077-25</v>
      </c>
      <c r="N512" s="49" t="s">
        <v>1485</v>
      </c>
      <c r="O512" s="315"/>
    </row>
    <row r="513" spans="1:15" ht="15" x14ac:dyDescent="0.25">
      <c r="A513" s="245">
        <v>45791</v>
      </c>
      <c r="B513" s="120" t="s">
        <v>1486</v>
      </c>
      <c r="C513" s="121" t="s">
        <v>1066</v>
      </c>
      <c r="D513" s="122" t="s">
        <v>1264</v>
      </c>
      <c r="E513" s="123" t="s">
        <v>1265</v>
      </c>
      <c r="F513" s="217" t="s">
        <v>1489</v>
      </c>
      <c r="G513" s="245" t="s">
        <v>1492</v>
      </c>
      <c r="H513" s="217" t="s">
        <v>1495</v>
      </c>
      <c r="I513" s="122">
        <v>0.86</v>
      </c>
      <c r="J513" s="267" t="s">
        <v>1569</v>
      </c>
      <c r="K513" s="124"/>
      <c r="L513" s="124"/>
      <c r="M513" s="70" t="str">
        <f t="shared" si="25"/>
        <v>INT-0078-25</v>
      </c>
      <c r="N513" s="125"/>
      <c r="O513" s="315"/>
    </row>
    <row r="514" spans="1:15" ht="15" x14ac:dyDescent="0.25">
      <c r="A514" s="245">
        <v>45791</v>
      </c>
      <c r="B514" s="120" t="s">
        <v>1486</v>
      </c>
      <c r="C514" s="121" t="s">
        <v>1066</v>
      </c>
      <c r="D514" s="122" t="s">
        <v>1264</v>
      </c>
      <c r="E514" s="123" t="s">
        <v>1265</v>
      </c>
      <c r="F514" s="217" t="s">
        <v>1490</v>
      </c>
      <c r="G514" s="245" t="s">
        <v>1493</v>
      </c>
      <c r="H514" s="217" t="s">
        <v>1496</v>
      </c>
      <c r="I514" s="122">
        <v>0.92</v>
      </c>
      <c r="J514" s="267" t="s">
        <v>1569</v>
      </c>
      <c r="K514" s="124"/>
      <c r="L514" s="124"/>
      <c r="M514" s="70" t="str">
        <f t="shared" si="25"/>
        <v>INT-0078-25</v>
      </c>
      <c r="N514" s="125"/>
      <c r="O514" s="315"/>
    </row>
    <row r="515" spans="1:15" ht="15" x14ac:dyDescent="0.25">
      <c r="A515" s="245">
        <v>45791</v>
      </c>
      <c r="B515" s="120" t="s">
        <v>1486</v>
      </c>
      <c r="C515" s="121" t="s">
        <v>1066</v>
      </c>
      <c r="D515" s="122" t="s">
        <v>1487</v>
      </c>
      <c r="E515" s="123" t="s">
        <v>1488</v>
      </c>
      <c r="F515" s="217" t="s">
        <v>1491</v>
      </c>
      <c r="G515" s="245" t="s">
        <v>1494</v>
      </c>
      <c r="H515" s="217" t="s">
        <v>1497</v>
      </c>
      <c r="I515" s="122">
        <v>0.87</v>
      </c>
      <c r="J515" s="267" t="s">
        <v>1569</v>
      </c>
      <c r="K515" s="124"/>
      <c r="L515" s="124"/>
      <c r="M515" s="70" t="str">
        <f t="shared" si="25"/>
        <v>INT-0078-25</v>
      </c>
      <c r="N515" s="125"/>
      <c r="O515" s="315"/>
    </row>
    <row r="516" spans="1:15" ht="15" x14ac:dyDescent="0.25">
      <c r="A516" s="245">
        <v>45792</v>
      </c>
      <c r="B516" s="120" t="s">
        <v>1498</v>
      </c>
      <c r="C516" s="121" t="s">
        <v>547</v>
      </c>
      <c r="D516" s="122" t="s">
        <v>537</v>
      </c>
      <c r="E516" s="38" t="s">
        <v>1499</v>
      </c>
      <c r="F516" s="217" t="s">
        <v>1499</v>
      </c>
      <c r="G516" s="245" t="s">
        <v>1499</v>
      </c>
      <c r="H516" s="217" t="s">
        <v>1499</v>
      </c>
      <c r="I516" s="122" t="s">
        <v>1499</v>
      </c>
      <c r="J516" s="267" t="s">
        <v>1569</v>
      </c>
      <c r="K516" s="124"/>
      <c r="L516" s="124"/>
      <c r="M516" s="70" t="str">
        <f t="shared" ref="M516:M521" si="26">HYPERLINK("P:\7. LONG HAU\7. CAC THEO DOI TRONG QUA TRINH\4. DEVIATION- INCIDENTS\THEO DÕI NỘI BỘ (NGOÀI BBSC)\"&amp;YEAR(A516)&amp;"\"&amp;B516,B516)</f>
        <v>INT-0079-25</v>
      </c>
      <c r="N516" s="125"/>
      <c r="O516" s="315"/>
    </row>
    <row r="517" spans="1:15" ht="15" x14ac:dyDescent="0.25">
      <c r="A517" s="245">
        <v>45793</v>
      </c>
      <c r="B517" s="120" t="s">
        <v>1500</v>
      </c>
      <c r="C517" s="121" t="s">
        <v>547</v>
      </c>
      <c r="D517" s="122" t="s">
        <v>1333</v>
      </c>
      <c r="E517" s="123" t="s">
        <v>1334</v>
      </c>
      <c r="F517" s="217" t="s">
        <v>1335</v>
      </c>
      <c r="G517" s="245">
        <v>46466</v>
      </c>
      <c r="H517" s="205" t="s">
        <v>1501</v>
      </c>
      <c r="I517" s="122">
        <v>1</v>
      </c>
      <c r="J517" s="267" t="s">
        <v>1569</v>
      </c>
      <c r="K517" s="40" t="s">
        <v>1072</v>
      </c>
      <c r="L517" s="124"/>
      <c r="M517" s="70" t="str">
        <f t="shared" si="26"/>
        <v>INT-0080-25</v>
      </c>
      <c r="N517" s="125"/>
      <c r="O517" s="315"/>
    </row>
    <row r="518" spans="1:15" ht="15" x14ac:dyDescent="0.25">
      <c r="A518" s="233">
        <v>45793</v>
      </c>
      <c r="B518" s="35" t="s">
        <v>1502</v>
      </c>
      <c r="C518" s="121" t="s">
        <v>1066</v>
      </c>
      <c r="D518" s="48" t="s">
        <v>1264</v>
      </c>
      <c r="E518" s="38" t="s">
        <v>1265</v>
      </c>
      <c r="F518" s="205" t="s">
        <v>1266</v>
      </c>
      <c r="G518" s="233">
        <v>46569</v>
      </c>
      <c r="H518" s="205" t="s">
        <v>1503</v>
      </c>
      <c r="I518" s="48">
        <v>2.39</v>
      </c>
      <c r="J518" s="165" t="s">
        <v>1569</v>
      </c>
      <c r="K518" s="40" t="s">
        <v>1073</v>
      </c>
      <c r="L518" s="40" t="s">
        <v>1598</v>
      </c>
      <c r="M518" s="70" t="str">
        <f t="shared" si="26"/>
        <v>INT-0081-25</v>
      </c>
      <c r="N518" s="49"/>
      <c r="O518" s="301"/>
    </row>
    <row r="519" spans="1:15" ht="15" x14ac:dyDescent="0.25">
      <c r="A519" s="245">
        <v>45796</v>
      </c>
      <c r="B519" s="120" t="s">
        <v>1504</v>
      </c>
      <c r="C519" s="121" t="s">
        <v>1066</v>
      </c>
      <c r="D519" s="122"/>
      <c r="E519" s="123"/>
      <c r="F519" s="217"/>
      <c r="G519" s="245"/>
      <c r="H519" s="217"/>
      <c r="I519" s="122"/>
      <c r="J519" s="267" t="s">
        <v>1569</v>
      </c>
      <c r="K519" s="124" t="s">
        <v>1072</v>
      </c>
      <c r="L519" s="124"/>
      <c r="M519" s="70" t="str">
        <f t="shared" si="26"/>
        <v>INT-0082-25</v>
      </c>
      <c r="N519" s="125"/>
      <c r="O519" s="315"/>
    </row>
    <row r="520" spans="1:15" ht="15" x14ac:dyDescent="0.25">
      <c r="A520" s="233">
        <v>45797</v>
      </c>
      <c r="B520" s="35" t="s">
        <v>1507</v>
      </c>
      <c r="C520" s="47" t="s">
        <v>547</v>
      </c>
      <c r="D520" s="48" t="s">
        <v>1276</v>
      </c>
      <c r="E520" s="38" t="s">
        <v>303</v>
      </c>
      <c r="F520" s="205" t="s">
        <v>1505</v>
      </c>
      <c r="G520" s="233">
        <v>46656</v>
      </c>
      <c r="H520" s="205" t="s">
        <v>1506</v>
      </c>
      <c r="I520" s="48">
        <v>1</v>
      </c>
      <c r="J520" s="165" t="s">
        <v>1569</v>
      </c>
      <c r="K520" s="124" t="s">
        <v>1072</v>
      </c>
      <c r="L520" s="40"/>
      <c r="M520" s="70" t="str">
        <f t="shared" si="26"/>
        <v>INT-0083-25</v>
      </c>
      <c r="N520" s="49"/>
      <c r="O520" s="301"/>
    </row>
    <row r="521" spans="1:15" ht="15" x14ac:dyDescent="0.25">
      <c r="A521" s="233">
        <v>45797</v>
      </c>
      <c r="B521" s="35" t="s">
        <v>1507</v>
      </c>
      <c r="C521" s="47" t="s">
        <v>547</v>
      </c>
      <c r="D521" s="48" t="s">
        <v>1276</v>
      </c>
      <c r="E521" s="38" t="s">
        <v>303</v>
      </c>
      <c r="F521" s="205" t="s">
        <v>901</v>
      </c>
      <c r="G521" s="233">
        <v>46426</v>
      </c>
      <c r="H521" s="205" t="s">
        <v>1508</v>
      </c>
      <c r="I521" s="48">
        <v>1</v>
      </c>
      <c r="J521" s="165" t="s">
        <v>1569</v>
      </c>
      <c r="K521" s="124" t="s">
        <v>1072</v>
      </c>
      <c r="L521" s="40"/>
      <c r="M521" s="70" t="str">
        <f t="shared" si="26"/>
        <v>INT-0083-25</v>
      </c>
      <c r="N521" s="49"/>
      <c r="O521" s="301"/>
    </row>
    <row r="522" spans="1:15" ht="15" x14ac:dyDescent="0.25">
      <c r="A522" s="245">
        <v>45800</v>
      </c>
      <c r="B522" s="35" t="s">
        <v>1509</v>
      </c>
      <c r="C522" s="121" t="s">
        <v>1066</v>
      </c>
      <c r="D522" s="122" t="s">
        <v>1510</v>
      </c>
      <c r="E522" s="123" t="s">
        <v>1511</v>
      </c>
      <c r="F522" s="217" t="s">
        <v>1512</v>
      </c>
      <c r="G522" s="245">
        <v>46538</v>
      </c>
      <c r="H522" s="217" t="s">
        <v>1513</v>
      </c>
      <c r="I522" s="122">
        <v>2.5</v>
      </c>
      <c r="J522" s="165" t="s">
        <v>1569</v>
      </c>
      <c r="K522" s="40" t="s">
        <v>1073</v>
      </c>
      <c r="L522" s="124"/>
      <c r="M522" s="70" t="str">
        <f t="shared" ref="M522:M527" si="27">HYPERLINK("P:\7. LONG HAU\7. CAC THEO DOI TRONG QUA TRINH\4. DEVIATION- INCIDENTS\THEO DÕI NỘI BỘ (NGOÀI BBSC)\"&amp;YEAR(A522)&amp;"\"&amp;B522,B522)</f>
        <v>INT-0084-25</v>
      </c>
      <c r="N522" s="125"/>
      <c r="O522" s="315"/>
    </row>
    <row r="523" spans="1:15" ht="37.5" customHeight="1" x14ac:dyDescent="0.25">
      <c r="A523" s="233">
        <v>45801</v>
      </c>
      <c r="B523" s="35" t="s">
        <v>1514</v>
      </c>
      <c r="C523" s="47" t="s">
        <v>1066</v>
      </c>
      <c r="D523" s="48" t="s">
        <v>1264</v>
      </c>
      <c r="E523" s="38" t="s">
        <v>1265</v>
      </c>
      <c r="F523" s="205" t="s">
        <v>1266</v>
      </c>
      <c r="G523" s="233">
        <v>46569</v>
      </c>
      <c r="H523" s="205" t="s">
        <v>1515</v>
      </c>
      <c r="I523" s="48">
        <v>3</v>
      </c>
      <c r="J523" s="165" t="s">
        <v>1569</v>
      </c>
      <c r="K523" s="40" t="s">
        <v>1073</v>
      </c>
      <c r="L523" s="40" t="s">
        <v>1598</v>
      </c>
      <c r="M523" s="70" t="str">
        <f t="shared" si="27"/>
        <v>INT-0085-25</v>
      </c>
      <c r="N523" s="49"/>
      <c r="O523" s="301"/>
    </row>
    <row r="524" spans="1:15" ht="15" x14ac:dyDescent="0.25">
      <c r="A524" s="245">
        <v>45802</v>
      </c>
      <c r="B524" s="120" t="s">
        <v>1516</v>
      </c>
      <c r="C524" s="121" t="s">
        <v>1066</v>
      </c>
      <c r="D524" s="122" t="s">
        <v>1517</v>
      </c>
      <c r="E524" s="123" t="s">
        <v>1518</v>
      </c>
      <c r="F524" s="217" t="s">
        <v>839</v>
      </c>
      <c r="G524" s="245" t="s">
        <v>839</v>
      </c>
      <c r="H524" s="217" t="s">
        <v>839</v>
      </c>
      <c r="I524" s="122" t="s">
        <v>839</v>
      </c>
      <c r="J524" s="267" t="s">
        <v>1569</v>
      </c>
      <c r="K524" s="124" t="s">
        <v>1073</v>
      </c>
      <c r="L524" s="124" t="s">
        <v>1598</v>
      </c>
      <c r="M524" s="70" t="str">
        <f t="shared" si="27"/>
        <v>INT-0086-25</v>
      </c>
      <c r="N524" s="125" t="s">
        <v>1519</v>
      </c>
      <c r="O524" s="315"/>
    </row>
    <row r="525" spans="1:15" ht="15" x14ac:dyDescent="0.25">
      <c r="A525" s="245">
        <v>45807</v>
      </c>
      <c r="B525" s="120" t="s">
        <v>1520</v>
      </c>
      <c r="C525" s="121" t="s">
        <v>547</v>
      </c>
      <c r="D525" s="122" t="s">
        <v>1521</v>
      </c>
      <c r="E525" s="123" t="s">
        <v>546</v>
      </c>
      <c r="F525" s="217" t="s">
        <v>1522</v>
      </c>
      <c r="G525" s="245">
        <v>46544</v>
      </c>
      <c r="H525" s="217" t="s">
        <v>1523</v>
      </c>
      <c r="I525" s="122">
        <v>2</v>
      </c>
      <c r="J525" s="165" t="s">
        <v>1569</v>
      </c>
      <c r="K525" s="40" t="s">
        <v>1072</v>
      </c>
      <c r="L525" s="124" t="s">
        <v>1598</v>
      </c>
      <c r="M525" s="70" t="str">
        <f t="shared" si="27"/>
        <v>INT-0087-25</v>
      </c>
      <c r="N525" s="125"/>
      <c r="O525" s="315"/>
    </row>
    <row r="526" spans="1:15" ht="15" x14ac:dyDescent="0.25">
      <c r="A526" s="245">
        <v>45807</v>
      </c>
      <c r="B526" s="35" t="s">
        <v>1524</v>
      </c>
      <c r="C526" s="121" t="s">
        <v>1066</v>
      </c>
      <c r="D526" s="48" t="s">
        <v>1264</v>
      </c>
      <c r="E526" s="38" t="s">
        <v>1265</v>
      </c>
      <c r="F526" s="205" t="s">
        <v>1266</v>
      </c>
      <c r="G526" s="233">
        <v>46569</v>
      </c>
      <c r="H526" s="205" t="s">
        <v>1525</v>
      </c>
      <c r="I526" s="48">
        <v>0.53</v>
      </c>
      <c r="J526" s="165" t="s">
        <v>1569</v>
      </c>
      <c r="K526" s="40" t="s">
        <v>1073</v>
      </c>
      <c r="L526" s="40" t="s">
        <v>1598</v>
      </c>
      <c r="M526" s="70" t="str">
        <f t="shared" si="27"/>
        <v>INT-0088-25</v>
      </c>
      <c r="N526" s="49"/>
      <c r="O526" s="301"/>
    </row>
    <row r="527" spans="1:15" ht="15" x14ac:dyDescent="0.25">
      <c r="A527" s="246">
        <v>45807</v>
      </c>
      <c r="B527" s="126" t="s">
        <v>1524</v>
      </c>
      <c r="C527" s="127" t="s">
        <v>1066</v>
      </c>
      <c r="D527" s="128" t="s">
        <v>1264</v>
      </c>
      <c r="E527" s="129" t="s">
        <v>1265</v>
      </c>
      <c r="F527" s="218" t="s">
        <v>1266</v>
      </c>
      <c r="G527" s="246">
        <v>46569</v>
      </c>
      <c r="H527" s="218" t="s">
        <v>1526</v>
      </c>
      <c r="I527" s="128">
        <v>1.18</v>
      </c>
      <c r="J527" s="268" t="s">
        <v>1569</v>
      </c>
      <c r="K527" s="130" t="s">
        <v>1073</v>
      </c>
      <c r="L527" s="130" t="s">
        <v>1598</v>
      </c>
      <c r="M527" s="70" t="str">
        <f t="shared" si="27"/>
        <v>INT-0088-25</v>
      </c>
      <c r="N527" s="131"/>
      <c r="O527" s="316"/>
    </row>
    <row r="528" spans="1:15" ht="15" x14ac:dyDescent="0.25">
      <c r="A528" s="246">
        <v>45810</v>
      </c>
      <c r="B528" s="126" t="s">
        <v>1527</v>
      </c>
      <c r="C528" s="127" t="s">
        <v>1066</v>
      </c>
      <c r="D528" s="128" t="s">
        <v>1383</v>
      </c>
      <c r="E528" s="129" t="s">
        <v>1384</v>
      </c>
      <c r="F528" s="218" t="s">
        <v>1528</v>
      </c>
      <c r="G528" s="246" t="s">
        <v>1529</v>
      </c>
      <c r="H528" s="218" t="s">
        <v>1530</v>
      </c>
      <c r="I528" s="128">
        <v>1</v>
      </c>
      <c r="J528" s="268" t="s">
        <v>1531</v>
      </c>
      <c r="K528" s="130" t="s">
        <v>1073</v>
      </c>
      <c r="L528" s="130" t="s">
        <v>1598</v>
      </c>
      <c r="M528" s="70" t="str">
        <f t="shared" ref="M528:M534" si="28">HYPERLINK("P:\7. LONG HAU\7. CAC THEO DOI TRONG QUA TRINH\4. DEVIATION- INCIDENTS\THEO DÕI NỘI BỘ (NGOÀI BBSC)\"&amp;YEAR(A528)&amp;"\"&amp;B528,B528)</f>
        <v>INT-0089-25</v>
      </c>
      <c r="N528" s="131"/>
      <c r="O528" s="316"/>
    </row>
    <row r="529" spans="1:15" ht="25.5" x14ac:dyDescent="0.25">
      <c r="A529" s="246">
        <v>45810</v>
      </c>
      <c r="B529" s="126" t="s">
        <v>1532</v>
      </c>
      <c r="C529" s="127" t="s">
        <v>1066</v>
      </c>
      <c r="D529" s="128" t="s">
        <v>44</v>
      </c>
      <c r="E529" s="129" t="s">
        <v>45</v>
      </c>
      <c r="F529" s="218" t="s">
        <v>1540</v>
      </c>
      <c r="G529" s="246" t="s">
        <v>1542</v>
      </c>
      <c r="H529" s="218" t="s">
        <v>1534</v>
      </c>
      <c r="I529" s="128">
        <v>1</v>
      </c>
      <c r="J529" s="268" t="s">
        <v>1547</v>
      </c>
      <c r="K529" s="130" t="s">
        <v>1072</v>
      </c>
      <c r="L529" s="130" t="s">
        <v>1598</v>
      </c>
      <c r="M529" s="70" t="str">
        <f t="shared" si="28"/>
        <v>INT-0090-25</v>
      </c>
      <c r="N529" s="131"/>
      <c r="O529" s="316"/>
    </row>
    <row r="530" spans="1:15" ht="15" x14ac:dyDescent="0.25">
      <c r="A530" s="246">
        <v>45810</v>
      </c>
      <c r="B530" s="126" t="s">
        <v>1532</v>
      </c>
      <c r="C530" s="127" t="s">
        <v>1066</v>
      </c>
      <c r="D530" s="128" t="s">
        <v>414</v>
      </c>
      <c r="E530" s="129" t="s">
        <v>415</v>
      </c>
      <c r="F530" s="218" t="s">
        <v>416</v>
      </c>
      <c r="G530" s="246" t="s">
        <v>1543</v>
      </c>
      <c r="H530" s="218" t="s">
        <v>1535</v>
      </c>
      <c r="I530" s="128">
        <v>28</v>
      </c>
      <c r="J530" s="268" t="s">
        <v>1547</v>
      </c>
      <c r="K530" s="130" t="s">
        <v>1072</v>
      </c>
      <c r="L530" s="130" t="s">
        <v>1598</v>
      </c>
      <c r="M530" s="70" t="str">
        <f t="shared" si="28"/>
        <v>INT-0090-25</v>
      </c>
      <c r="N530" s="131"/>
      <c r="O530" s="316"/>
    </row>
    <row r="531" spans="1:15" ht="25.5" x14ac:dyDescent="0.25">
      <c r="A531" s="246">
        <v>45810</v>
      </c>
      <c r="B531" s="126" t="s">
        <v>1533</v>
      </c>
      <c r="C531" s="127" t="s">
        <v>1066</v>
      </c>
      <c r="D531" s="128" t="s">
        <v>44</v>
      </c>
      <c r="E531" s="129" t="s">
        <v>45</v>
      </c>
      <c r="F531" s="218" t="s">
        <v>96</v>
      </c>
      <c r="G531" s="246" t="s">
        <v>1544</v>
      </c>
      <c r="H531" s="218" t="s">
        <v>1536</v>
      </c>
      <c r="I531" s="128">
        <v>3</v>
      </c>
      <c r="J531" s="268" t="s">
        <v>1531</v>
      </c>
      <c r="K531" s="130" t="s">
        <v>1073</v>
      </c>
      <c r="L531" s="130" t="s">
        <v>1598</v>
      </c>
      <c r="M531" s="70" t="str">
        <f t="shared" si="28"/>
        <v>INT-0091-25</v>
      </c>
      <c r="N531" s="131"/>
      <c r="O531" s="316"/>
    </row>
    <row r="532" spans="1:15" ht="15" x14ac:dyDescent="0.25">
      <c r="A532" s="246">
        <v>45810</v>
      </c>
      <c r="B532" s="126" t="s">
        <v>1533</v>
      </c>
      <c r="C532" s="127" t="s">
        <v>1066</v>
      </c>
      <c r="D532" s="128" t="s">
        <v>1292</v>
      </c>
      <c r="E532" s="129" t="s">
        <v>1293</v>
      </c>
      <c r="F532" s="218" t="s">
        <v>1541</v>
      </c>
      <c r="G532" s="246" t="s">
        <v>1545</v>
      </c>
      <c r="H532" s="218" t="s">
        <v>1537</v>
      </c>
      <c r="I532" s="128">
        <v>218</v>
      </c>
      <c r="J532" s="268" t="s">
        <v>1531</v>
      </c>
      <c r="K532" s="130" t="s">
        <v>1073</v>
      </c>
      <c r="L532" s="130" t="s">
        <v>1598</v>
      </c>
      <c r="M532" s="70" t="str">
        <f t="shared" si="28"/>
        <v>INT-0091-25</v>
      </c>
      <c r="N532" s="131"/>
      <c r="O532" s="316"/>
    </row>
    <row r="533" spans="1:15" ht="15" x14ac:dyDescent="0.25">
      <c r="A533" s="246">
        <v>45810</v>
      </c>
      <c r="B533" s="126" t="s">
        <v>1533</v>
      </c>
      <c r="C533" s="127" t="s">
        <v>1066</v>
      </c>
      <c r="D533" s="128" t="s">
        <v>1133</v>
      </c>
      <c r="E533" s="129" t="s">
        <v>1134</v>
      </c>
      <c r="F533" s="218" t="s">
        <v>1378</v>
      </c>
      <c r="G533" s="246" t="s">
        <v>1546</v>
      </c>
      <c r="H533" s="218" t="s">
        <v>1538</v>
      </c>
      <c r="I533" s="128">
        <v>15</v>
      </c>
      <c r="J533" s="268" t="s">
        <v>1531</v>
      </c>
      <c r="K533" s="130" t="s">
        <v>1073</v>
      </c>
      <c r="L533" s="130" t="s">
        <v>1598</v>
      </c>
      <c r="M533" s="70" t="str">
        <f t="shared" si="28"/>
        <v>INT-0091-25</v>
      </c>
      <c r="N533" s="131"/>
      <c r="O533" s="316"/>
    </row>
    <row r="534" spans="1:15" ht="15" x14ac:dyDescent="0.25">
      <c r="A534" s="246">
        <v>45810</v>
      </c>
      <c r="B534" s="126" t="s">
        <v>1533</v>
      </c>
      <c r="C534" s="127" t="s">
        <v>1066</v>
      </c>
      <c r="D534" s="128" t="s">
        <v>92</v>
      </c>
      <c r="E534" s="129" t="s">
        <v>93</v>
      </c>
      <c r="F534" s="218" t="s">
        <v>98</v>
      </c>
      <c r="G534" s="246" t="s">
        <v>1545</v>
      </c>
      <c r="H534" s="218" t="s">
        <v>1539</v>
      </c>
      <c r="I534" s="128">
        <v>2</v>
      </c>
      <c r="J534" s="268" t="s">
        <v>1531</v>
      </c>
      <c r="K534" s="130" t="s">
        <v>1073</v>
      </c>
      <c r="L534" s="130" t="s">
        <v>1598</v>
      </c>
      <c r="M534" s="70" t="str">
        <f t="shared" si="28"/>
        <v>INT-0091-25</v>
      </c>
      <c r="N534" s="131"/>
      <c r="O534" s="316"/>
    </row>
    <row r="535" spans="1:15" ht="15" x14ac:dyDescent="0.25">
      <c r="A535" s="246">
        <v>45812</v>
      </c>
      <c r="B535" s="126" t="s">
        <v>1549</v>
      </c>
      <c r="C535" s="127" t="s">
        <v>547</v>
      </c>
      <c r="D535" s="128" t="s">
        <v>1276</v>
      </c>
      <c r="E535" s="129" t="s">
        <v>303</v>
      </c>
      <c r="F535" s="218" t="s">
        <v>901</v>
      </c>
      <c r="G535" s="246" t="s">
        <v>1550</v>
      </c>
      <c r="H535" s="218" t="s">
        <v>1551</v>
      </c>
      <c r="I535" s="128">
        <v>1</v>
      </c>
      <c r="J535" s="268" t="s">
        <v>1547</v>
      </c>
      <c r="K535" s="130" t="s">
        <v>1072</v>
      </c>
      <c r="L535" s="130" t="s">
        <v>1598</v>
      </c>
      <c r="M535" s="70" t="str">
        <f>HYPERLINK("P:\7. LONG HAU\7. CAC THEO DOI TRONG QUA TRINH\4. DEVIATION- INCIDENTS\THEO DÕI NỘI BỘ (NGOÀI BBSC)\"&amp;YEAR(A535)&amp;"\"&amp;B535,B535)</f>
        <v>INT-0092-25</v>
      </c>
      <c r="N535" s="131"/>
      <c r="O535" s="316"/>
    </row>
    <row r="536" spans="1:15" ht="15" x14ac:dyDescent="0.25">
      <c r="A536" s="246">
        <v>45813</v>
      </c>
      <c r="B536" s="126" t="s">
        <v>1552</v>
      </c>
      <c r="C536" s="127" t="s">
        <v>1066</v>
      </c>
      <c r="D536" s="128" t="s">
        <v>1309</v>
      </c>
      <c r="E536" s="129" t="s">
        <v>1310</v>
      </c>
      <c r="F536" s="218" t="s">
        <v>1558</v>
      </c>
      <c r="G536" s="246" t="s">
        <v>1561</v>
      </c>
      <c r="H536" s="218" t="s">
        <v>1557</v>
      </c>
      <c r="I536" s="128">
        <v>1</v>
      </c>
      <c r="J536" s="268" t="s">
        <v>1531</v>
      </c>
      <c r="K536" s="130" t="s">
        <v>1073</v>
      </c>
      <c r="L536" s="130" t="s">
        <v>1598</v>
      </c>
      <c r="M536" s="70" t="str">
        <f>HYPERLINK("P:\7. LONG HAU\7. CAC THEO DOI TRONG QUA TRINH\4. DEVIATION- INCIDENTS\THEO DÕI NỘI BỘ (NGOÀI BBSC)\"&amp;YEAR(A536)&amp;"\"&amp;B536,B536)</f>
        <v>INT-0093-25</v>
      </c>
      <c r="N536" s="131"/>
      <c r="O536" s="316"/>
    </row>
    <row r="537" spans="1:15" ht="15" x14ac:dyDescent="0.25">
      <c r="A537" s="246">
        <v>45813</v>
      </c>
      <c r="B537" s="126" t="s">
        <v>1552</v>
      </c>
      <c r="C537" s="127" t="s">
        <v>1066</v>
      </c>
      <c r="D537" s="128" t="s">
        <v>1553</v>
      </c>
      <c r="E537" s="129" t="s">
        <v>1555</v>
      </c>
      <c r="F537" s="218" t="s">
        <v>1559</v>
      </c>
      <c r="G537" s="246" t="s">
        <v>1562</v>
      </c>
      <c r="H537" s="218" t="s">
        <v>1557</v>
      </c>
      <c r="I537" s="128">
        <v>1</v>
      </c>
      <c r="J537" s="268" t="s">
        <v>1531</v>
      </c>
      <c r="K537" s="130" t="s">
        <v>1073</v>
      </c>
      <c r="L537" s="130" t="s">
        <v>1598</v>
      </c>
      <c r="M537" s="70" t="str">
        <f t="shared" ref="M537:M538" si="29">HYPERLINK("P:\7. LONG HAU\7. CAC THEO DOI TRONG QUA TRINH\4. DEVIATION- INCIDENTS\THEO DÕI NỘI BỘ (NGOÀI BBSC)\"&amp;YEAR(A537)&amp;"\"&amp;B537,B537)</f>
        <v>INT-0093-25</v>
      </c>
      <c r="N537" s="131"/>
      <c r="O537" s="316"/>
    </row>
    <row r="538" spans="1:15" ht="15" x14ac:dyDescent="0.25">
      <c r="A538" s="246">
        <v>45813</v>
      </c>
      <c r="B538" s="126" t="s">
        <v>1552</v>
      </c>
      <c r="C538" s="127" t="s">
        <v>1066</v>
      </c>
      <c r="D538" s="128" t="s">
        <v>1554</v>
      </c>
      <c r="E538" s="129" t="s">
        <v>1556</v>
      </c>
      <c r="F538" s="218" t="s">
        <v>1560</v>
      </c>
      <c r="G538" s="246" t="s">
        <v>1563</v>
      </c>
      <c r="H538" s="218" t="s">
        <v>1557</v>
      </c>
      <c r="I538" s="128">
        <v>1</v>
      </c>
      <c r="J538" s="268" t="s">
        <v>1531</v>
      </c>
      <c r="K538" s="130" t="s">
        <v>1073</v>
      </c>
      <c r="L538" s="130" t="s">
        <v>1598</v>
      </c>
      <c r="M538" s="70" t="str">
        <f t="shared" si="29"/>
        <v>INT-0093-25</v>
      </c>
      <c r="N538" s="131"/>
      <c r="O538" s="316"/>
    </row>
    <row r="539" spans="1:15" ht="25.5" x14ac:dyDescent="0.25">
      <c r="A539" s="246">
        <v>45818</v>
      </c>
      <c r="B539" s="126" t="s">
        <v>1564</v>
      </c>
      <c r="C539" s="127" t="s">
        <v>1066</v>
      </c>
      <c r="D539" s="128" t="s">
        <v>44</v>
      </c>
      <c r="E539" s="129" t="s">
        <v>45</v>
      </c>
      <c r="F539" s="218" t="s">
        <v>205</v>
      </c>
      <c r="G539" s="246">
        <v>46295</v>
      </c>
      <c r="H539" s="218" t="s">
        <v>1566</v>
      </c>
      <c r="I539" s="128">
        <v>28</v>
      </c>
      <c r="J539" s="268" t="s">
        <v>1547</v>
      </c>
      <c r="K539" s="130" t="s">
        <v>1565</v>
      </c>
      <c r="L539" s="130" t="s">
        <v>1598</v>
      </c>
      <c r="M539" s="70" t="str">
        <f>HYPERLINK("P:\7. LONG HAU\7. CAC THEO DOI TRONG QUA TRINH\4. DEVIATION- INCIDENTS\THEO DÕI NỘI BỘ (NGOÀI BBSC)\"&amp;YEAR(A539)&amp;"\"&amp;B539,B539)</f>
        <v>INT-0094-25</v>
      </c>
      <c r="N539" s="131"/>
      <c r="O539" s="316"/>
    </row>
    <row r="540" spans="1:15" ht="15" x14ac:dyDescent="0.25">
      <c r="A540" s="233">
        <v>45818</v>
      </c>
      <c r="B540" s="126" t="s">
        <v>1564</v>
      </c>
      <c r="C540" s="47" t="s">
        <v>1066</v>
      </c>
      <c r="D540" s="48" t="s">
        <v>414</v>
      </c>
      <c r="E540" s="38" t="s">
        <v>415</v>
      </c>
      <c r="F540" s="205" t="s">
        <v>416</v>
      </c>
      <c r="G540" s="233">
        <v>46356</v>
      </c>
      <c r="H540" s="205" t="s">
        <v>1567</v>
      </c>
      <c r="I540" s="48">
        <v>1</v>
      </c>
      <c r="J540" s="165" t="s">
        <v>1547</v>
      </c>
      <c r="K540" s="40" t="s">
        <v>1072</v>
      </c>
      <c r="L540" s="40" t="s">
        <v>1598</v>
      </c>
      <c r="M540" s="70" t="str">
        <f>HYPERLINK("P:\7. LONG HAU\7. CAC THEO DOI TRONG QUA TRINH\4. DEVIATION- INCIDENTS\THEO DÕI NỘI BỘ (NGOÀI BBSC)\"&amp;YEAR(A540)&amp;"\"&amp;B540,B540)</f>
        <v>INT-0094-25</v>
      </c>
      <c r="N540" s="49"/>
      <c r="O540" s="301"/>
    </row>
    <row r="541" spans="1:15" ht="15" x14ac:dyDescent="0.25">
      <c r="A541" s="247">
        <v>45824</v>
      </c>
      <c r="B541" s="35" t="s">
        <v>1570</v>
      </c>
      <c r="C541" s="132" t="s">
        <v>1066</v>
      </c>
      <c r="D541" s="133" t="s">
        <v>1264</v>
      </c>
      <c r="E541" s="134" t="s">
        <v>1265</v>
      </c>
      <c r="F541" s="219" t="s">
        <v>1266</v>
      </c>
      <c r="G541" s="247">
        <v>46569</v>
      </c>
      <c r="H541" s="219" t="s">
        <v>1568</v>
      </c>
      <c r="I541" s="133">
        <v>37.89</v>
      </c>
      <c r="J541" s="165" t="s">
        <v>1569</v>
      </c>
      <c r="K541" s="135" t="s">
        <v>1073</v>
      </c>
      <c r="L541" s="135" t="s">
        <v>1598</v>
      </c>
      <c r="M541" s="70" t="str">
        <f>HYPERLINK("P:\7. LONG HAU\7. CAC THEO DOI TRONG QUA TRINH\4. DEVIATION- INCIDENTS\THEO DÕI NỘI BỘ (NGOÀI BBSC)\"&amp;YEAR(A541)&amp;"\"&amp;B541,B541)</f>
        <v>INT-0095-25</v>
      </c>
      <c r="N541" s="136"/>
      <c r="O541" s="317"/>
    </row>
    <row r="542" spans="1:15" ht="15" x14ac:dyDescent="0.25">
      <c r="A542" s="247">
        <v>45824</v>
      </c>
      <c r="B542" s="137" t="s">
        <v>1571</v>
      </c>
      <c r="C542" s="132" t="s">
        <v>1066</v>
      </c>
      <c r="D542" s="133" t="s">
        <v>1264</v>
      </c>
      <c r="E542" s="134" t="s">
        <v>1265</v>
      </c>
      <c r="F542" s="219" t="s">
        <v>1266</v>
      </c>
      <c r="G542" s="247">
        <v>46569</v>
      </c>
      <c r="H542" s="219" t="s">
        <v>1579</v>
      </c>
      <c r="I542" s="133">
        <v>20</v>
      </c>
      <c r="J542" s="269" t="s">
        <v>1569</v>
      </c>
      <c r="K542" s="135" t="s">
        <v>1073</v>
      </c>
      <c r="L542" s="135" t="s">
        <v>1598</v>
      </c>
      <c r="M542" s="70" t="str">
        <f>HYPERLINK("P:\7. LONG HAU\7. CAC THEO DOI TRONG QUA TRINH\4. DEVIATION- INCIDENTS\THEO DÕI NỘI BỘ (NGOÀI BBSC)\"&amp;YEAR(A542)&amp;"\"&amp;B542,B542)</f>
        <v>INT-0096-25</v>
      </c>
      <c r="N542" s="136"/>
      <c r="O542" s="317"/>
    </row>
    <row r="543" spans="1:15" ht="15" x14ac:dyDescent="0.25">
      <c r="A543" s="233">
        <v>45824</v>
      </c>
      <c r="B543" s="35" t="s">
        <v>1571</v>
      </c>
      <c r="C543" s="47" t="s">
        <v>1066</v>
      </c>
      <c r="D543" s="48" t="s">
        <v>1264</v>
      </c>
      <c r="E543" s="38" t="s">
        <v>1265</v>
      </c>
      <c r="F543" s="205" t="s">
        <v>1266</v>
      </c>
      <c r="G543" s="233">
        <v>46569</v>
      </c>
      <c r="H543" s="205" t="s">
        <v>1581</v>
      </c>
      <c r="I543" s="48">
        <v>5</v>
      </c>
      <c r="J543" s="165" t="s">
        <v>1569</v>
      </c>
      <c r="K543" s="40" t="s">
        <v>1073</v>
      </c>
      <c r="L543" s="135" t="s">
        <v>1598</v>
      </c>
      <c r="M543" s="70" t="str">
        <f t="shared" ref="M543:M545" si="30">HYPERLINK("P:\7. LONG HAU\7. CAC THEO DOI TRONG QUA TRINH\4. DEVIATION- INCIDENTS\THEO DÕI NỘI BỘ (NGOÀI BBSC)\"&amp;YEAR(A543)&amp;"\"&amp;B543,B543)</f>
        <v>INT-0096-25</v>
      </c>
      <c r="N543" s="138"/>
      <c r="O543" s="318"/>
    </row>
    <row r="544" spans="1:15" ht="15" x14ac:dyDescent="0.25">
      <c r="A544" s="233">
        <v>45824</v>
      </c>
      <c r="B544" s="35" t="s">
        <v>1571</v>
      </c>
      <c r="C544" s="47" t="s">
        <v>1066</v>
      </c>
      <c r="D544" s="48" t="s">
        <v>1264</v>
      </c>
      <c r="E544" s="38" t="s">
        <v>1265</v>
      </c>
      <c r="F544" s="205" t="s">
        <v>1266</v>
      </c>
      <c r="G544" s="233">
        <v>46569</v>
      </c>
      <c r="H544" s="205" t="s">
        <v>1583</v>
      </c>
      <c r="I544" s="48">
        <v>5.24</v>
      </c>
      <c r="J544" s="165" t="s">
        <v>1569</v>
      </c>
      <c r="K544" s="40" t="s">
        <v>1073</v>
      </c>
      <c r="L544" s="135" t="s">
        <v>1598</v>
      </c>
      <c r="M544" s="70" t="str">
        <f t="shared" si="30"/>
        <v>INT-0096-25</v>
      </c>
      <c r="N544" s="138"/>
      <c r="O544" s="318"/>
    </row>
    <row r="545" spans="1:15" ht="15" x14ac:dyDescent="0.25">
      <c r="A545" s="233">
        <v>45824</v>
      </c>
      <c r="B545" s="35" t="s">
        <v>1571</v>
      </c>
      <c r="C545" s="47" t="s">
        <v>1066</v>
      </c>
      <c r="D545" s="48" t="s">
        <v>1264</v>
      </c>
      <c r="E545" s="38" t="s">
        <v>1265</v>
      </c>
      <c r="F545" s="205" t="s">
        <v>1266</v>
      </c>
      <c r="G545" s="233">
        <v>46569</v>
      </c>
      <c r="H545" s="205" t="s">
        <v>1585</v>
      </c>
      <c r="I545" s="48">
        <v>1</v>
      </c>
      <c r="J545" s="165" t="s">
        <v>1569</v>
      </c>
      <c r="K545" s="40" t="s">
        <v>1073</v>
      </c>
      <c r="L545" s="135" t="s">
        <v>1598</v>
      </c>
      <c r="M545" s="70" t="str">
        <f t="shared" si="30"/>
        <v>INT-0096-25</v>
      </c>
      <c r="N545" s="138"/>
      <c r="O545" s="318"/>
    </row>
    <row r="546" spans="1:15" ht="15" x14ac:dyDescent="0.25">
      <c r="A546" s="247">
        <v>45824</v>
      </c>
      <c r="B546" s="137" t="s">
        <v>1587</v>
      </c>
      <c r="C546" s="132" t="s">
        <v>1066</v>
      </c>
      <c r="D546" s="133" t="s">
        <v>1276</v>
      </c>
      <c r="E546" s="134" t="s">
        <v>303</v>
      </c>
      <c r="F546" s="219" t="s">
        <v>1588</v>
      </c>
      <c r="G546" s="247">
        <v>46774</v>
      </c>
      <c r="H546" s="219" t="s">
        <v>1589</v>
      </c>
      <c r="I546" s="133">
        <v>1</v>
      </c>
      <c r="J546" s="269" t="s">
        <v>1569</v>
      </c>
      <c r="K546" s="40" t="s">
        <v>1073</v>
      </c>
      <c r="L546" s="135"/>
      <c r="M546" s="70" t="str">
        <f>HYPERLINK("P:\7. LONG HAU\7. CAC THEO DOI TRONG QUA TRINH\4. DEVIATION- INCIDENTS\THEO DÕI NỘI BỘ (NGOÀI BBSC)\"&amp;YEAR(A546)&amp;"\"&amp;B546,B546)</f>
        <v>INT-0097-25</v>
      </c>
      <c r="N546" s="136"/>
      <c r="O546" s="317"/>
    </row>
    <row r="547" spans="1:15" ht="15" x14ac:dyDescent="0.25">
      <c r="A547" s="233">
        <v>45825</v>
      </c>
      <c r="B547" s="35" t="s">
        <v>1590</v>
      </c>
      <c r="C547" s="47" t="s">
        <v>1066</v>
      </c>
      <c r="D547" s="48" t="s">
        <v>1591</v>
      </c>
      <c r="E547" s="38" t="s">
        <v>1592</v>
      </c>
      <c r="F547" s="205" t="s">
        <v>1593</v>
      </c>
      <c r="G547" s="233">
        <v>45838</v>
      </c>
      <c r="H547" s="205" t="s">
        <v>1594</v>
      </c>
      <c r="I547" s="48">
        <v>2</v>
      </c>
      <c r="J547" s="165" t="s">
        <v>1597</v>
      </c>
      <c r="K547" s="40" t="s">
        <v>1073</v>
      </c>
      <c r="L547" s="40"/>
      <c r="M547" s="70" t="str">
        <f>HYPERLINK("P:\7. LONG HAU\7. CAC THEO DOI TRONG QUA TRINH\4. DEVIATION- INCIDENTS\THEO DÕI NỘI BỘ (NGOÀI BBSC)\"&amp;YEAR(A547)&amp;"\"&amp;B547,B547)</f>
        <v>INT-0098-25</v>
      </c>
      <c r="N547" s="139"/>
      <c r="O547" s="319" t="s">
        <v>990</v>
      </c>
    </row>
    <row r="548" spans="1:15" ht="15" x14ac:dyDescent="0.25">
      <c r="A548" s="233">
        <v>45825</v>
      </c>
      <c r="B548" s="35" t="s">
        <v>1590</v>
      </c>
      <c r="C548" s="47" t="s">
        <v>1066</v>
      </c>
      <c r="D548" s="48" t="s">
        <v>1591</v>
      </c>
      <c r="E548" s="38" t="s">
        <v>1592</v>
      </c>
      <c r="F548" s="205" t="s">
        <v>1595</v>
      </c>
      <c r="G548" s="233">
        <v>46053</v>
      </c>
      <c r="H548" s="205" t="s">
        <v>1596</v>
      </c>
      <c r="I548" s="48">
        <v>1</v>
      </c>
      <c r="J548" s="165" t="s">
        <v>1597</v>
      </c>
      <c r="K548" s="40" t="s">
        <v>1073</v>
      </c>
      <c r="L548" s="40"/>
      <c r="M548" s="70" t="str">
        <f>HYPERLINK("P:\7. LONG HAU\7. CAC THEO DOI TRONG QUA TRINH\4. DEVIATION- INCIDENTS\THEO DÕI NỘI BỘ (NGOÀI BBSC)\"&amp;YEAR(A548)&amp;"\"&amp;B548,B548)</f>
        <v>INT-0098-25</v>
      </c>
      <c r="N548" s="139"/>
      <c r="O548" s="319" t="s">
        <v>990</v>
      </c>
    </row>
    <row r="549" spans="1:15" ht="15" x14ac:dyDescent="0.25">
      <c r="A549" s="248">
        <v>45825</v>
      </c>
      <c r="B549" s="140" t="s">
        <v>1599</v>
      </c>
      <c r="C549" s="141" t="s">
        <v>1066</v>
      </c>
      <c r="D549" s="142" t="s">
        <v>1600</v>
      </c>
      <c r="E549" s="143" t="s">
        <v>1601</v>
      </c>
      <c r="F549" s="220" t="s">
        <v>1602</v>
      </c>
      <c r="G549" s="248">
        <v>46599</v>
      </c>
      <c r="H549" s="220" t="s">
        <v>1603</v>
      </c>
      <c r="I549" s="142">
        <v>1</v>
      </c>
      <c r="J549" s="165" t="s">
        <v>1604</v>
      </c>
      <c r="K549" s="40" t="s">
        <v>1072</v>
      </c>
      <c r="L549" s="40" t="s">
        <v>1693</v>
      </c>
      <c r="M549" s="70" t="str">
        <f>HYPERLINK("P:\7. LONG HAU\7. CAC THEO DOI TRONG QUA TRINH\4. DEVIATION- INCIDENTS\THEO DÕI NỘI BỘ (NGOÀI BBSC)\"&amp;YEAR(A549)&amp;"\"&amp;B549,B549)</f>
        <v>INT-0099-25</v>
      </c>
      <c r="N549" s="144"/>
      <c r="O549" s="320"/>
    </row>
    <row r="550" spans="1:15" ht="15" x14ac:dyDescent="0.25">
      <c r="A550" s="248">
        <v>45825</v>
      </c>
      <c r="B550" s="140" t="s">
        <v>1605</v>
      </c>
      <c r="C550" s="141" t="s">
        <v>1066</v>
      </c>
      <c r="D550" s="142" t="s">
        <v>1606</v>
      </c>
      <c r="E550" s="143" t="s">
        <v>1607</v>
      </c>
      <c r="F550" s="220" t="s">
        <v>1612</v>
      </c>
      <c r="G550" s="248" t="s">
        <v>1615</v>
      </c>
      <c r="H550" s="220" t="s">
        <v>1617</v>
      </c>
      <c r="I550" s="142">
        <v>849</v>
      </c>
      <c r="J550" s="270" t="s">
        <v>1620</v>
      </c>
      <c r="K550" s="145" t="s">
        <v>1073</v>
      </c>
      <c r="L550" s="145"/>
      <c r="M550" s="70" t="str">
        <f>HYPERLINK("P:\7. LONG HAU\7. CAC THEO DOI TRONG QUA TRINH\4. DEVIATION- INCIDENTS\THEO DÕI NỘI BỘ (NGOÀI BBSC)\"&amp;YEAR(A550)&amp;"\"&amp;B550,B550)</f>
        <v>INT-0100-25</v>
      </c>
      <c r="N550" s="144"/>
      <c r="O550" s="320"/>
    </row>
    <row r="551" spans="1:15" ht="15" x14ac:dyDescent="0.25">
      <c r="A551" s="248">
        <v>45825</v>
      </c>
      <c r="B551" s="140" t="s">
        <v>1605</v>
      </c>
      <c r="C551" s="141" t="s">
        <v>1066</v>
      </c>
      <c r="D551" s="142" t="s">
        <v>1610</v>
      </c>
      <c r="E551" s="143" t="s">
        <v>1611</v>
      </c>
      <c r="F551" s="220" t="s">
        <v>1613</v>
      </c>
      <c r="G551" s="248" t="s">
        <v>1615</v>
      </c>
      <c r="H551" s="220" t="s">
        <v>1618</v>
      </c>
      <c r="I551" s="142">
        <v>179</v>
      </c>
      <c r="J551" s="270" t="s">
        <v>1565</v>
      </c>
      <c r="K551" s="145" t="s">
        <v>1073</v>
      </c>
      <c r="L551" s="145"/>
      <c r="M551" s="70" t="str">
        <f t="shared" ref="M551:M552" si="31">HYPERLINK("P:\7. LONG HAU\7. CAC THEO DOI TRONG QUA TRINH\4. DEVIATION- INCIDENTS\THEO DÕI NỘI BỘ (NGOÀI BBSC)\"&amp;YEAR(A551)&amp;"\"&amp;B551,B551)</f>
        <v>INT-0100-25</v>
      </c>
      <c r="N551" s="144"/>
      <c r="O551" s="320"/>
    </row>
    <row r="552" spans="1:15" ht="15" x14ac:dyDescent="0.25">
      <c r="A552" s="248">
        <v>45825</v>
      </c>
      <c r="B552" s="140" t="s">
        <v>1605</v>
      </c>
      <c r="C552" s="141" t="s">
        <v>1066</v>
      </c>
      <c r="D552" s="142" t="s">
        <v>1608</v>
      </c>
      <c r="E552" s="143" t="s">
        <v>1609</v>
      </c>
      <c r="F552" s="220" t="s">
        <v>1614</v>
      </c>
      <c r="G552" s="248" t="s">
        <v>1616</v>
      </c>
      <c r="H552" s="220" t="s">
        <v>1619</v>
      </c>
      <c r="I552" s="142">
        <v>143</v>
      </c>
      <c r="J552" s="270" t="s">
        <v>1565</v>
      </c>
      <c r="K552" s="145" t="s">
        <v>1073</v>
      </c>
      <c r="L552" s="145"/>
      <c r="M552" s="70" t="str">
        <f t="shared" si="31"/>
        <v>INT-0100-25</v>
      </c>
      <c r="N552" s="144"/>
      <c r="O552" s="320"/>
    </row>
    <row r="553" spans="1:15" ht="25.5" x14ac:dyDescent="0.25">
      <c r="A553" s="248">
        <v>45828</v>
      </c>
      <c r="B553" s="140" t="s">
        <v>1621</v>
      </c>
      <c r="C553" s="141" t="s">
        <v>547</v>
      </c>
      <c r="D553" s="142" t="s">
        <v>537</v>
      </c>
      <c r="E553" s="143" t="s">
        <v>1622</v>
      </c>
      <c r="F553" s="205" t="s">
        <v>1499</v>
      </c>
      <c r="G553" s="248" t="s">
        <v>1499</v>
      </c>
      <c r="H553" s="220" t="s">
        <v>1499</v>
      </c>
      <c r="I553" s="142" t="s">
        <v>1499</v>
      </c>
      <c r="J553" s="270" t="s">
        <v>1623</v>
      </c>
      <c r="K553" s="145" t="s">
        <v>1072</v>
      </c>
      <c r="L553" s="145"/>
      <c r="M553" s="70" t="str">
        <f>HYPERLINK("P:\7. LONG HAU\7. CAC THEO DOI TRONG QUA TRINH\4. DEVIATION- INCIDENTS\THEO DÕI NỘI BỘ (NGOÀI BBSC)\"&amp;YEAR(A553)&amp;"\"&amp;B553,B553)</f>
        <v>INT-0101-25</v>
      </c>
      <c r="N553" s="144"/>
      <c r="O553" s="320"/>
    </row>
    <row r="554" spans="1:15" ht="15" x14ac:dyDescent="0.25">
      <c r="A554" s="248">
        <v>45832</v>
      </c>
      <c r="B554" s="140" t="s">
        <v>1624</v>
      </c>
      <c r="C554" s="141" t="s">
        <v>1066</v>
      </c>
      <c r="D554" s="142" t="s">
        <v>92</v>
      </c>
      <c r="E554" s="143" t="s">
        <v>93</v>
      </c>
      <c r="F554" s="220" t="s">
        <v>1625</v>
      </c>
      <c r="G554" s="248" t="s">
        <v>1616</v>
      </c>
      <c r="H554" s="220" t="s">
        <v>1633</v>
      </c>
      <c r="I554" s="142">
        <v>73</v>
      </c>
      <c r="J554" s="165" t="s">
        <v>1638</v>
      </c>
      <c r="K554" s="145" t="s">
        <v>1073</v>
      </c>
      <c r="L554" s="145"/>
      <c r="M554" s="70" t="str">
        <f>HYPERLINK("P:\7. LONG HAU\7. CAC THEO DOI TRONG QUA TRINH\4. DEVIATION- INCIDENTS\THEO DÕI NỘI BỘ (NGOÀI BBSC)\"&amp;YEAR(A554)&amp;"\"&amp;B554,B554)</f>
        <v>INT-0102-25</v>
      </c>
      <c r="N554" s="146" t="s">
        <v>1662</v>
      </c>
      <c r="O554" s="320"/>
    </row>
    <row r="555" spans="1:15" ht="15" x14ac:dyDescent="0.25">
      <c r="A555" s="248">
        <v>45832</v>
      </c>
      <c r="B555" s="140" t="s">
        <v>1624</v>
      </c>
      <c r="C555" s="141" t="s">
        <v>1066</v>
      </c>
      <c r="D555" s="142" t="s">
        <v>36</v>
      </c>
      <c r="E555" s="143" t="s">
        <v>37</v>
      </c>
      <c r="F555" s="220" t="s">
        <v>1626</v>
      </c>
      <c r="G555" s="248" t="s">
        <v>1543</v>
      </c>
      <c r="H555" s="220" t="s">
        <v>1634</v>
      </c>
      <c r="I555" s="142">
        <v>2</v>
      </c>
      <c r="J555" s="270" t="s">
        <v>1565</v>
      </c>
      <c r="K555" s="145" t="s">
        <v>1072</v>
      </c>
      <c r="L555" s="145"/>
      <c r="M555" s="70" t="str">
        <f t="shared" ref="M555:M558" si="32">HYPERLINK("P:\7. LONG HAU\7. CAC THEO DOI TRONG QUA TRINH\4. DEVIATION- INCIDENTS\THEO DÕI NỘI BỘ (NGOÀI BBSC)\"&amp;YEAR(A555)&amp;"\"&amp;B555,B555)</f>
        <v>INT-0102-25</v>
      </c>
      <c r="N555" s="144"/>
      <c r="O555" s="320"/>
    </row>
    <row r="556" spans="1:15" ht="15" x14ac:dyDescent="0.25">
      <c r="A556" s="248">
        <v>45832</v>
      </c>
      <c r="B556" s="140" t="s">
        <v>1624</v>
      </c>
      <c r="C556" s="141" t="s">
        <v>1066</v>
      </c>
      <c r="D556" s="142" t="s">
        <v>39</v>
      </c>
      <c r="E556" s="143" t="s">
        <v>40</v>
      </c>
      <c r="F556" s="220" t="s">
        <v>1627</v>
      </c>
      <c r="G556" s="248" t="s">
        <v>1630</v>
      </c>
      <c r="H556" s="220" t="s">
        <v>1635</v>
      </c>
      <c r="I556" s="142">
        <v>10</v>
      </c>
      <c r="J556" s="270" t="s">
        <v>1565</v>
      </c>
      <c r="K556" s="145" t="s">
        <v>1072</v>
      </c>
      <c r="L556" s="145"/>
      <c r="M556" s="70" t="str">
        <f t="shared" si="32"/>
        <v>INT-0102-25</v>
      </c>
      <c r="N556" s="144"/>
      <c r="O556" s="320"/>
    </row>
    <row r="557" spans="1:15" ht="15" x14ac:dyDescent="0.25">
      <c r="A557" s="248">
        <v>45832</v>
      </c>
      <c r="B557" s="140" t="s">
        <v>1624</v>
      </c>
      <c r="C557" s="141" t="s">
        <v>1066</v>
      </c>
      <c r="D557" s="142" t="s">
        <v>34</v>
      </c>
      <c r="E557" s="143" t="s">
        <v>35</v>
      </c>
      <c r="F557" s="220" t="s">
        <v>1628</v>
      </c>
      <c r="G557" s="248" t="s">
        <v>1631</v>
      </c>
      <c r="H557" s="220" t="s">
        <v>1636</v>
      </c>
      <c r="I557" s="142">
        <v>3</v>
      </c>
      <c r="J557" s="270" t="s">
        <v>1565</v>
      </c>
      <c r="K557" s="145" t="s">
        <v>1072</v>
      </c>
      <c r="L557" s="145"/>
      <c r="M557" s="70" t="str">
        <f t="shared" si="32"/>
        <v>INT-0102-25</v>
      </c>
      <c r="N557" s="144"/>
      <c r="O557" s="320"/>
    </row>
    <row r="558" spans="1:15" ht="15" x14ac:dyDescent="0.25">
      <c r="A558" s="248">
        <v>45832</v>
      </c>
      <c r="B558" s="140" t="s">
        <v>1624</v>
      </c>
      <c r="C558" s="141" t="s">
        <v>1066</v>
      </c>
      <c r="D558" s="142" t="s">
        <v>92</v>
      </c>
      <c r="E558" s="143" t="s">
        <v>93</v>
      </c>
      <c r="F558" s="220" t="s">
        <v>1629</v>
      </c>
      <c r="G558" s="248" t="s">
        <v>1632</v>
      </c>
      <c r="H558" s="220" t="s">
        <v>1637</v>
      </c>
      <c r="I558" s="142">
        <v>1</v>
      </c>
      <c r="J558" s="270" t="s">
        <v>1565</v>
      </c>
      <c r="K558" s="145" t="s">
        <v>1072</v>
      </c>
      <c r="L558" s="145"/>
      <c r="M558" s="70" t="str">
        <f t="shared" si="32"/>
        <v>INT-0102-25</v>
      </c>
      <c r="N558" s="144"/>
      <c r="O558" s="320"/>
    </row>
    <row r="559" spans="1:15" ht="15" x14ac:dyDescent="0.25">
      <c r="A559" s="249">
        <v>45846</v>
      </c>
      <c r="B559" s="140" t="s">
        <v>1624</v>
      </c>
      <c r="C559" s="147" t="s">
        <v>1066</v>
      </c>
      <c r="D559" s="148" t="s">
        <v>39</v>
      </c>
      <c r="E559" s="149" t="s">
        <v>40</v>
      </c>
      <c r="F559" s="221" t="s">
        <v>1627</v>
      </c>
      <c r="G559" s="249">
        <v>46326</v>
      </c>
      <c r="H559" s="221" t="s">
        <v>1663</v>
      </c>
      <c r="I559" s="148">
        <v>1</v>
      </c>
      <c r="J559" s="271" t="s">
        <v>1565</v>
      </c>
      <c r="K559" s="150" t="s">
        <v>1072</v>
      </c>
      <c r="L559" s="150"/>
      <c r="M559" s="70" t="str">
        <f>HYPERLINK("P:\7. LONG HAU\7. CAC THEO DOI TRONG QUA TRINH\4. DEVIATION- INCIDENTS\THEO DÕI NỘI BỘ (NGOÀI BBSC)\"&amp;YEAR(A559)&amp;"\"&amp;B559,B559)</f>
        <v>INT-0102-25</v>
      </c>
      <c r="N559" s="151"/>
      <c r="O559" s="321"/>
    </row>
    <row r="560" spans="1:15" ht="15" x14ac:dyDescent="0.25">
      <c r="A560" s="248">
        <v>45834</v>
      </c>
      <c r="B560" s="140" t="s">
        <v>1639</v>
      </c>
      <c r="C560" s="141" t="s">
        <v>1066</v>
      </c>
      <c r="D560" s="142"/>
      <c r="E560" s="143" t="s">
        <v>1640</v>
      </c>
      <c r="F560" s="220" t="s">
        <v>1499</v>
      </c>
      <c r="G560" s="248" t="s">
        <v>1499</v>
      </c>
      <c r="H560" s="220" t="s">
        <v>1499</v>
      </c>
      <c r="I560" s="142" t="s">
        <v>1499</v>
      </c>
      <c r="J560" s="270" t="s">
        <v>1565</v>
      </c>
      <c r="K560" s="145" t="s">
        <v>1072</v>
      </c>
      <c r="L560" s="145" t="s">
        <v>1641</v>
      </c>
      <c r="M560" s="70" t="str">
        <f t="shared" ref="M560:M565" si="33">HYPERLINK("P:\7. LONG HAU\7. CAC THEO DOI TRONG QUA TRINH\4. DEVIATION- INCIDENTS\THEO DÕI NỘI BỘ (NGOÀI BBSC)\"&amp;YEAR(A560)&amp;"\"&amp;B560,B560)</f>
        <v>INT-0103-25</v>
      </c>
      <c r="N560" s="144"/>
      <c r="O560" s="320"/>
    </row>
    <row r="561" spans="1:15" ht="15" x14ac:dyDescent="0.25">
      <c r="A561" s="248">
        <v>45838</v>
      </c>
      <c r="B561" s="140" t="s">
        <v>1642</v>
      </c>
      <c r="C561" s="141" t="s">
        <v>1066</v>
      </c>
      <c r="D561" s="142" t="s">
        <v>92</v>
      </c>
      <c r="E561" s="143" t="s">
        <v>93</v>
      </c>
      <c r="F561" s="220" t="s">
        <v>98</v>
      </c>
      <c r="G561" s="248">
        <v>45961</v>
      </c>
      <c r="H561" s="205" t="s">
        <v>1643</v>
      </c>
      <c r="I561" s="142">
        <v>2</v>
      </c>
      <c r="J561" s="165" t="s">
        <v>1645</v>
      </c>
      <c r="K561" s="40" t="s">
        <v>1073</v>
      </c>
      <c r="L561" s="145"/>
      <c r="M561" s="70" t="str">
        <f t="shared" si="33"/>
        <v>INT-0104-25</v>
      </c>
      <c r="N561" s="144"/>
      <c r="O561" s="320"/>
    </row>
    <row r="562" spans="1:15" ht="25.5" x14ac:dyDescent="0.25">
      <c r="A562" s="248">
        <v>45838</v>
      </c>
      <c r="B562" s="35" t="s">
        <v>1642</v>
      </c>
      <c r="C562" s="141" t="s">
        <v>1066</v>
      </c>
      <c r="D562" s="142" t="s">
        <v>44</v>
      </c>
      <c r="E562" s="143" t="s">
        <v>45</v>
      </c>
      <c r="F562" s="220" t="s">
        <v>96</v>
      </c>
      <c r="G562" s="248">
        <v>45900</v>
      </c>
      <c r="H562" s="205" t="s">
        <v>1644</v>
      </c>
      <c r="I562" s="142">
        <v>2</v>
      </c>
      <c r="J562" s="165" t="s">
        <v>1645</v>
      </c>
      <c r="K562" s="40" t="s">
        <v>1073</v>
      </c>
      <c r="L562" s="145"/>
      <c r="M562" s="70" t="str">
        <f t="shared" si="33"/>
        <v>INT-0104-25</v>
      </c>
      <c r="N562" s="144"/>
      <c r="O562" s="320"/>
    </row>
    <row r="563" spans="1:15" ht="15" x14ac:dyDescent="0.25">
      <c r="A563" s="248">
        <v>45838</v>
      </c>
      <c r="B563" s="140" t="s">
        <v>1646</v>
      </c>
      <c r="C563" s="141" t="s">
        <v>1066</v>
      </c>
      <c r="D563" s="142" t="s">
        <v>1647</v>
      </c>
      <c r="E563" s="143" t="s">
        <v>1648</v>
      </c>
      <c r="F563" s="220" t="s">
        <v>1649</v>
      </c>
      <c r="G563" s="248">
        <v>46662</v>
      </c>
      <c r="H563" s="220" t="s">
        <v>1650</v>
      </c>
      <c r="I563" s="142">
        <v>16</v>
      </c>
      <c r="J563" s="165" t="s">
        <v>1651</v>
      </c>
      <c r="K563" s="40" t="s">
        <v>1073</v>
      </c>
      <c r="L563" s="145"/>
      <c r="M563" s="70" t="str">
        <f t="shared" si="33"/>
        <v>INT-0105-25</v>
      </c>
      <c r="N563" s="144"/>
      <c r="O563" s="320"/>
    </row>
    <row r="564" spans="1:15" ht="15" x14ac:dyDescent="0.25">
      <c r="A564" s="248">
        <v>45839</v>
      </c>
      <c r="B564" s="140" t="s">
        <v>1652</v>
      </c>
      <c r="C564" s="141" t="s">
        <v>547</v>
      </c>
      <c r="D564" s="142" t="s">
        <v>1333</v>
      </c>
      <c r="E564" s="143" t="s">
        <v>1334</v>
      </c>
      <c r="F564" s="220" t="s">
        <v>1653</v>
      </c>
      <c r="G564" s="248">
        <v>46361</v>
      </c>
      <c r="H564" s="220" t="s">
        <v>1654</v>
      </c>
      <c r="I564" s="142">
        <v>1</v>
      </c>
      <c r="J564" s="165" t="s">
        <v>840</v>
      </c>
      <c r="K564" s="40" t="s">
        <v>1072</v>
      </c>
      <c r="L564" s="145"/>
      <c r="M564" s="70" t="str">
        <f t="shared" si="33"/>
        <v>INT-0106-25</v>
      </c>
      <c r="N564" s="144"/>
      <c r="O564" s="320"/>
    </row>
    <row r="565" spans="1:15" ht="15" x14ac:dyDescent="0.25">
      <c r="A565" s="233">
        <v>45839</v>
      </c>
      <c r="B565" s="35" t="s">
        <v>1652</v>
      </c>
      <c r="C565" s="47" t="s">
        <v>547</v>
      </c>
      <c r="D565" s="48" t="s">
        <v>1521</v>
      </c>
      <c r="E565" s="38" t="s">
        <v>546</v>
      </c>
      <c r="F565" s="205" t="s">
        <v>1655</v>
      </c>
      <c r="G565" s="233">
        <v>46417</v>
      </c>
      <c r="H565" s="205" t="s">
        <v>1656</v>
      </c>
      <c r="I565" s="48">
        <v>2</v>
      </c>
      <c r="J565" s="165" t="s">
        <v>840</v>
      </c>
      <c r="K565" s="40" t="s">
        <v>1072</v>
      </c>
      <c r="L565" s="40"/>
      <c r="M565" s="70" t="str">
        <f t="shared" si="33"/>
        <v>INT-0106-25</v>
      </c>
      <c r="N565" s="146"/>
      <c r="O565" s="322"/>
    </row>
    <row r="566" spans="1:15" ht="15" x14ac:dyDescent="0.25">
      <c r="A566" s="248">
        <v>45840</v>
      </c>
      <c r="B566" s="35" t="s">
        <v>1657</v>
      </c>
      <c r="C566" s="141"/>
      <c r="D566" s="142" t="s">
        <v>1658</v>
      </c>
      <c r="E566" s="143" t="s">
        <v>1659</v>
      </c>
      <c r="F566" s="220" t="s">
        <v>1660</v>
      </c>
      <c r="G566" s="248">
        <v>45827</v>
      </c>
      <c r="H566" s="220" t="s">
        <v>1661</v>
      </c>
      <c r="I566" s="142">
        <v>1</v>
      </c>
      <c r="J566" s="165" t="s">
        <v>589</v>
      </c>
      <c r="K566" s="40" t="s">
        <v>1072</v>
      </c>
      <c r="L566" s="145"/>
      <c r="M566" s="70" t="str">
        <f t="shared" ref="M566:M571" si="34">HYPERLINK("P:\7. LONG HAU\7. CAC THEO DOI TRONG QUA TRINH\4. DEVIATION- INCIDENTS\THEO DÕI NỘI BỘ (NGOÀI BBSC)\"&amp;YEAR(A566)&amp;"\"&amp;B566,B566)</f>
        <v>INT-0107-25</v>
      </c>
      <c r="N566" s="144"/>
      <c r="O566" s="320"/>
    </row>
    <row r="567" spans="1:15" ht="38.25" x14ac:dyDescent="0.25">
      <c r="A567" s="249">
        <v>45846</v>
      </c>
      <c r="B567" s="152" t="s">
        <v>1664</v>
      </c>
      <c r="C567" s="141" t="s">
        <v>1066</v>
      </c>
      <c r="D567" s="148" t="s">
        <v>1144</v>
      </c>
      <c r="E567" s="149" t="s">
        <v>1499</v>
      </c>
      <c r="F567" s="221" t="s">
        <v>1499</v>
      </c>
      <c r="G567" s="249" t="s">
        <v>1499</v>
      </c>
      <c r="H567" s="221" t="s">
        <v>1499</v>
      </c>
      <c r="I567" s="148" t="s">
        <v>1499</v>
      </c>
      <c r="J567" s="271" t="s">
        <v>1665</v>
      </c>
      <c r="K567" s="150"/>
      <c r="L567" s="150"/>
      <c r="M567" s="70" t="str">
        <f t="shared" si="34"/>
        <v>INT-0108-25</v>
      </c>
      <c r="N567" s="151"/>
      <c r="O567" s="321"/>
    </row>
    <row r="568" spans="1:15" ht="15" x14ac:dyDescent="0.25">
      <c r="A568" s="233">
        <v>45848</v>
      </c>
      <c r="B568" s="35" t="s">
        <v>1666</v>
      </c>
      <c r="C568" s="47" t="s">
        <v>547</v>
      </c>
      <c r="D568" s="48" t="s">
        <v>1521</v>
      </c>
      <c r="E568" s="38" t="s">
        <v>546</v>
      </c>
      <c r="F568" s="205" t="s">
        <v>1522</v>
      </c>
      <c r="G568" s="233">
        <v>46544</v>
      </c>
      <c r="H568" s="205" t="s">
        <v>1677</v>
      </c>
      <c r="I568" s="48">
        <v>2</v>
      </c>
      <c r="J568" s="165" t="s">
        <v>840</v>
      </c>
      <c r="K568" s="40" t="s">
        <v>1072</v>
      </c>
      <c r="L568" s="40"/>
      <c r="M568" s="70" t="str">
        <f t="shared" si="34"/>
        <v>INT-0109-25</v>
      </c>
      <c r="N568" s="146"/>
      <c r="O568" s="322"/>
    </row>
    <row r="569" spans="1:15" ht="15" x14ac:dyDescent="0.25">
      <c r="A569" s="249">
        <v>45852</v>
      </c>
      <c r="B569" s="35" t="s">
        <v>1670</v>
      </c>
      <c r="C569" s="141"/>
      <c r="D569" s="148" t="s">
        <v>92</v>
      </c>
      <c r="E569" s="149" t="s">
        <v>93</v>
      </c>
      <c r="F569" s="221" t="s">
        <v>1667</v>
      </c>
      <c r="G569" s="249">
        <v>46599</v>
      </c>
      <c r="H569" s="221" t="s">
        <v>1668</v>
      </c>
      <c r="I569" s="148">
        <v>4</v>
      </c>
      <c r="J569" s="165" t="s">
        <v>1669</v>
      </c>
      <c r="K569" s="150" t="s">
        <v>1073</v>
      </c>
      <c r="L569" s="150"/>
      <c r="M569" s="70" t="str">
        <f t="shared" si="34"/>
        <v>INT-0110-25</v>
      </c>
      <c r="N569" s="151"/>
      <c r="O569" s="321"/>
    </row>
    <row r="570" spans="1:15" ht="15" x14ac:dyDescent="0.25">
      <c r="A570" s="249">
        <v>45852</v>
      </c>
      <c r="B570" s="35" t="s">
        <v>1671</v>
      </c>
      <c r="C570" s="47" t="s">
        <v>547</v>
      </c>
      <c r="D570" s="48" t="s">
        <v>1276</v>
      </c>
      <c r="E570" s="38" t="s">
        <v>303</v>
      </c>
      <c r="F570" s="205" t="s">
        <v>901</v>
      </c>
      <c r="G570" s="233">
        <v>46426</v>
      </c>
      <c r="H570" s="205" t="s">
        <v>1672</v>
      </c>
      <c r="I570" s="48">
        <v>1</v>
      </c>
      <c r="J570" s="165" t="s">
        <v>840</v>
      </c>
      <c r="K570" s="40" t="s">
        <v>1072</v>
      </c>
      <c r="L570" s="40"/>
      <c r="M570" s="70" t="str">
        <f t="shared" si="34"/>
        <v>INT-0111-25</v>
      </c>
      <c r="N570" s="146"/>
      <c r="O570" s="322"/>
    </row>
    <row r="571" spans="1:15" ht="15" x14ac:dyDescent="0.25">
      <c r="A571" s="249">
        <v>45852</v>
      </c>
      <c r="B571" s="35" t="s">
        <v>1671</v>
      </c>
      <c r="C571" s="47" t="s">
        <v>547</v>
      </c>
      <c r="D571" s="48" t="s">
        <v>1673</v>
      </c>
      <c r="E571" s="38" t="s">
        <v>1674</v>
      </c>
      <c r="F571" s="205" t="s">
        <v>1675</v>
      </c>
      <c r="G571" s="233">
        <v>46541</v>
      </c>
      <c r="H571" s="205" t="s">
        <v>1676</v>
      </c>
      <c r="I571" s="48">
        <v>3</v>
      </c>
      <c r="J571" s="165" t="s">
        <v>840</v>
      </c>
      <c r="K571" s="40" t="s">
        <v>1072</v>
      </c>
      <c r="L571" s="40"/>
      <c r="M571" s="70" t="str">
        <f t="shared" si="34"/>
        <v>INT-0111-25</v>
      </c>
      <c r="N571" s="146"/>
      <c r="O571" s="322"/>
    </row>
    <row r="572" spans="1:15" ht="15" x14ac:dyDescent="0.25">
      <c r="A572" s="250">
        <v>45853</v>
      </c>
      <c r="B572" s="153" t="s">
        <v>1678</v>
      </c>
      <c r="C572" s="154" t="s">
        <v>1066</v>
      </c>
      <c r="D572" s="155" t="s">
        <v>1212</v>
      </c>
      <c r="E572" s="156" t="s">
        <v>1213</v>
      </c>
      <c r="F572" s="222" t="s">
        <v>1679</v>
      </c>
      <c r="G572" s="250" t="s">
        <v>1546</v>
      </c>
      <c r="H572" s="222" t="s">
        <v>1681</v>
      </c>
      <c r="I572" s="155">
        <v>21</v>
      </c>
      <c r="J572" s="272" t="s">
        <v>1686</v>
      </c>
      <c r="K572" s="157" t="s">
        <v>1073</v>
      </c>
      <c r="L572" s="157"/>
      <c r="M572" s="70" t="str">
        <f>HYPERLINK("P:\7. LONG HAU\7. CAC THEO DOI TRONG QUA TRINH\4. DEVIATION- INCIDENTS\THEO DÕI NỘI BỘ (NGOÀI BBSC)\"&amp;YEAR(A572)&amp;"\"&amp;B572,B572)</f>
        <v>INT-0112-25</v>
      </c>
      <c r="N572" s="158"/>
      <c r="O572" s="323"/>
    </row>
    <row r="573" spans="1:15" ht="15" x14ac:dyDescent="0.25">
      <c r="A573" s="250">
        <v>45853</v>
      </c>
      <c r="B573" s="153" t="s">
        <v>1678</v>
      </c>
      <c r="C573" s="154" t="s">
        <v>1066</v>
      </c>
      <c r="D573" s="155" t="s">
        <v>31</v>
      </c>
      <c r="E573" s="156" t="s">
        <v>32</v>
      </c>
      <c r="F573" s="222" t="s">
        <v>1680</v>
      </c>
      <c r="G573" s="250" t="s">
        <v>1546</v>
      </c>
      <c r="H573" s="222" t="s">
        <v>1682</v>
      </c>
      <c r="I573" s="155">
        <v>20</v>
      </c>
      <c r="J573" s="272" t="s">
        <v>1686</v>
      </c>
      <c r="K573" s="157" t="s">
        <v>1073</v>
      </c>
      <c r="L573" s="157"/>
      <c r="M573" s="70" t="str">
        <f t="shared" ref="M573:M576" si="35">HYPERLINK("P:\7. LONG HAU\7. CAC THEO DOI TRONG QUA TRINH\4. DEVIATION- INCIDENTS\THEO DÕI NỘI BỘ (NGOÀI BBSC)\"&amp;YEAR(A573)&amp;"\"&amp;B573,B573)</f>
        <v>INT-0112-25</v>
      </c>
      <c r="N573" s="158"/>
      <c r="O573" s="323"/>
    </row>
    <row r="574" spans="1:15" ht="15" x14ac:dyDescent="0.25">
      <c r="A574" s="250">
        <v>45853</v>
      </c>
      <c r="B574" s="153" t="s">
        <v>1678</v>
      </c>
      <c r="C574" s="154" t="s">
        <v>1066</v>
      </c>
      <c r="D574" s="155" t="s">
        <v>31</v>
      </c>
      <c r="E574" s="156" t="s">
        <v>32</v>
      </c>
      <c r="F574" s="222" t="s">
        <v>1680</v>
      </c>
      <c r="G574" s="250" t="s">
        <v>1546</v>
      </c>
      <c r="H574" s="222" t="s">
        <v>1683</v>
      </c>
      <c r="I574" s="155">
        <v>10</v>
      </c>
      <c r="J574" s="272" t="s">
        <v>1686</v>
      </c>
      <c r="K574" s="157" t="s">
        <v>1073</v>
      </c>
      <c r="L574" s="157"/>
      <c r="M574" s="70" t="str">
        <f t="shared" si="35"/>
        <v>INT-0112-25</v>
      </c>
      <c r="N574" s="158"/>
      <c r="O574" s="323"/>
    </row>
    <row r="575" spans="1:15" ht="15" x14ac:dyDescent="0.25">
      <c r="A575" s="250">
        <v>45853</v>
      </c>
      <c r="B575" s="153" t="s">
        <v>1678</v>
      </c>
      <c r="C575" s="154" t="s">
        <v>1066</v>
      </c>
      <c r="D575" s="155" t="s">
        <v>31</v>
      </c>
      <c r="E575" s="156" t="s">
        <v>32</v>
      </c>
      <c r="F575" s="222" t="s">
        <v>1004</v>
      </c>
      <c r="G575" s="250" t="s">
        <v>1546</v>
      </c>
      <c r="H575" s="222" t="s">
        <v>1684</v>
      </c>
      <c r="I575" s="155">
        <v>11</v>
      </c>
      <c r="J575" s="272" t="s">
        <v>1686</v>
      </c>
      <c r="K575" s="157" t="s">
        <v>1073</v>
      </c>
      <c r="L575" s="157"/>
      <c r="M575" s="70" t="str">
        <f t="shared" si="35"/>
        <v>INT-0112-25</v>
      </c>
      <c r="N575" s="158"/>
      <c r="O575" s="323"/>
    </row>
    <row r="576" spans="1:15" ht="15" x14ac:dyDescent="0.25">
      <c r="A576" s="250">
        <v>45853</v>
      </c>
      <c r="B576" s="153" t="s">
        <v>1678</v>
      </c>
      <c r="C576" s="154" t="s">
        <v>1066</v>
      </c>
      <c r="D576" s="155" t="s">
        <v>31</v>
      </c>
      <c r="E576" s="156" t="s">
        <v>32</v>
      </c>
      <c r="F576" s="222" t="s">
        <v>1004</v>
      </c>
      <c r="G576" s="250" t="s">
        <v>1546</v>
      </c>
      <c r="H576" s="222" t="s">
        <v>1685</v>
      </c>
      <c r="I576" s="155">
        <v>10</v>
      </c>
      <c r="J576" s="272" t="s">
        <v>1686</v>
      </c>
      <c r="K576" s="157" t="s">
        <v>1073</v>
      </c>
      <c r="L576" s="157"/>
      <c r="M576" s="70" t="str">
        <f t="shared" si="35"/>
        <v>INT-0112-25</v>
      </c>
      <c r="N576" s="158"/>
      <c r="O576" s="323"/>
    </row>
    <row r="577" spans="1:15" ht="15" x14ac:dyDescent="0.25">
      <c r="A577" s="250">
        <v>45855</v>
      </c>
      <c r="B577" s="153" t="s">
        <v>1687</v>
      </c>
      <c r="C577" s="154" t="s">
        <v>1066</v>
      </c>
      <c r="D577" s="155" t="s">
        <v>1212</v>
      </c>
      <c r="E577" s="156" t="s">
        <v>1213</v>
      </c>
      <c r="F577" s="222" t="s">
        <v>1214</v>
      </c>
      <c r="G577" s="250">
        <v>46053</v>
      </c>
      <c r="H577" s="222" t="s">
        <v>1688</v>
      </c>
      <c r="I577" s="155">
        <v>4</v>
      </c>
      <c r="J577" s="272" t="s">
        <v>1686</v>
      </c>
      <c r="K577" s="157" t="s">
        <v>1073</v>
      </c>
      <c r="L577" s="157"/>
      <c r="M577" s="70" t="str">
        <f t="shared" ref="M577:M582" si="36">HYPERLINK("P:\7. LONG HAU\7. CAC THEO DOI TRONG QUA TRINH\4. DEVIATION- INCIDENTS\THEO DÕI NỘI BỘ (NGOÀI BBSC)\"&amp;YEAR(A577)&amp;"\"&amp;B577,B577)</f>
        <v>INT-0113-25</v>
      </c>
      <c r="N577" s="158"/>
      <c r="O577" s="323"/>
    </row>
    <row r="578" spans="1:15" ht="111" customHeight="1" x14ac:dyDescent="0.25">
      <c r="A578" s="251">
        <v>45855</v>
      </c>
      <c r="B578" s="159" t="s">
        <v>1687</v>
      </c>
      <c r="C578" s="160" t="s">
        <v>1066</v>
      </c>
      <c r="D578" s="161" t="s">
        <v>1292</v>
      </c>
      <c r="E578" s="162" t="s">
        <v>1293</v>
      </c>
      <c r="F578" s="223" t="s">
        <v>1541</v>
      </c>
      <c r="G578" s="251">
        <v>45961</v>
      </c>
      <c r="H578" s="223" t="s">
        <v>1692</v>
      </c>
      <c r="I578" s="161">
        <v>2</v>
      </c>
      <c r="J578" s="273" t="s">
        <v>1686</v>
      </c>
      <c r="K578" s="163" t="s">
        <v>1073</v>
      </c>
      <c r="L578" s="163"/>
      <c r="M578" s="70" t="str">
        <f t="shared" si="36"/>
        <v>INT-0113-25</v>
      </c>
      <c r="N578" s="164"/>
      <c r="O578" s="324"/>
    </row>
    <row r="579" spans="1:15" ht="102" x14ac:dyDescent="0.25">
      <c r="A579" s="233">
        <v>45855</v>
      </c>
      <c r="B579" s="35" t="s">
        <v>1689</v>
      </c>
      <c r="C579" s="47" t="s">
        <v>1066</v>
      </c>
      <c r="D579" s="48" t="s">
        <v>1691</v>
      </c>
      <c r="E579" s="38" t="s">
        <v>1499</v>
      </c>
      <c r="F579" s="205" t="s">
        <v>1499</v>
      </c>
      <c r="G579" s="233" t="s">
        <v>1499</v>
      </c>
      <c r="H579" s="205" t="s">
        <v>1499</v>
      </c>
      <c r="I579" s="48" t="s">
        <v>1499</v>
      </c>
      <c r="J579" s="165" t="s">
        <v>1690</v>
      </c>
      <c r="K579" s="40"/>
      <c r="L579" s="40"/>
      <c r="M579" s="70" t="str">
        <f t="shared" si="36"/>
        <v>INT-0114-25</v>
      </c>
      <c r="N579" s="146"/>
      <c r="O579" s="322"/>
    </row>
    <row r="580" spans="1:15" ht="15" x14ac:dyDescent="0.25">
      <c r="A580" s="252">
        <v>45860</v>
      </c>
      <c r="B580" s="166" t="s">
        <v>1699</v>
      </c>
      <c r="C580" s="167" t="s">
        <v>1066</v>
      </c>
      <c r="D580" s="168" t="s">
        <v>1691</v>
      </c>
      <c r="E580" s="169" t="s">
        <v>1499</v>
      </c>
      <c r="F580" s="224" t="s">
        <v>1499</v>
      </c>
      <c r="G580" s="252" t="s">
        <v>1499</v>
      </c>
      <c r="H580" s="224" t="s">
        <v>1499</v>
      </c>
      <c r="I580" s="168" t="s">
        <v>1499</v>
      </c>
      <c r="J580" s="274"/>
      <c r="K580" s="170" t="s">
        <v>1073</v>
      </c>
      <c r="L580" s="170"/>
      <c r="M580" s="70" t="str">
        <f t="shared" si="36"/>
        <v>INT-0115-25</v>
      </c>
      <c r="N580" s="171"/>
      <c r="O580" s="325"/>
    </row>
    <row r="581" spans="1:15" ht="25.5" x14ac:dyDescent="0.25">
      <c r="A581" s="233">
        <v>45845</v>
      </c>
      <c r="B581" s="35" t="s">
        <v>1700</v>
      </c>
      <c r="C581" s="47" t="s">
        <v>1066</v>
      </c>
      <c r="D581" s="48" t="s">
        <v>1701</v>
      </c>
      <c r="E581" s="38" t="s">
        <v>1702</v>
      </c>
      <c r="F581" s="205" t="s">
        <v>1703</v>
      </c>
      <c r="G581" s="233">
        <v>46853</v>
      </c>
      <c r="H581" s="281" t="s">
        <v>1704</v>
      </c>
      <c r="I581" s="48">
        <v>30</v>
      </c>
      <c r="J581" s="165" t="s">
        <v>1705</v>
      </c>
      <c r="K581" s="40" t="s">
        <v>1071</v>
      </c>
      <c r="L581" s="40"/>
      <c r="M581" s="70" t="str">
        <f t="shared" si="36"/>
        <v>INT-0116-25</v>
      </c>
      <c r="N581" s="146"/>
      <c r="O581" s="322"/>
    </row>
    <row r="582" spans="1:15" ht="15" x14ac:dyDescent="0.25">
      <c r="A582" s="244">
        <v>45862</v>
      </c>
      <c r="B582" s="114" t="s">
        <v>1708</v>
      </c>
      <c r="C582" s="115" t="s">
        <v>1066</v>
      </c>
      <c r="D582" s="116" t="s">
        <v>39</v>
      </c>
      <c r="E582" s="117" t="s">
        <v>40</v>
      </c>
      <c r="F582" s="216" t="s">
        <v>973</v>
      </c>
      <c r="G582" s="244" t="s">
        <v>1709</v>
      </c>
      <c r="H582" s="216" t="s">
        <v>1712</v>
      </c>
      <c r="I582" s="116">
        <v>1</v>
      </c>
      <c r="J582" s="275" t="s">
        <v>1718</v>
      </c>
      <c r="K582" s="118" t="s">
        <v>1072</v>
      </c>
      <c r="L582" s="118"/>
      <c r="M582" s="70" t="str">
        <f t="shared" si="36"/>
        <v>INT-0117-25</v>
      </c>
      <c r="N582" s="119"/>
      <c r="O582" s="314"/>
    </row>
    <row r="583" spans="1:15" ht="15" x14ac:dyDescent="0.25">
      <c r="A583" s="244">
        <v>45862</v>
      </c>
      <c r="B583" s="114" t="s">
        <v>1708</v>
      </c>
      <c r="C583" s="115" t="s">
        <v>1066</v>
      </c>
      <c r="D583" s="116" t="s">
        <v>31</v>
      </c>
      <c r="E583" s="117" t="s">
        <v>32</v>
      </c>
      <c r="F583" s="216" t="s">
        <v>975</v>
      </c>
      <c r="G583" s="244" t="s">
        <v>1710</v>
      </c>
      <c r="H583" s="216" t="s">
        <v>1713</v>
      </c>
      <c r="I583" s="116">
        <v>2</v>
      </c>
      <c r="J583" s="275" t="s">
        <v>1718</v>
      </c>
      <c r="K583" s="118" t="s">
        <v>1072</v>
      </c>
      <c r="L583" s="118"/>
      <c r="M583" s="70" t="str">
        <f t="shared" ref="M583:M587" si="37">HYPERLINK("P:\7. LONG HAU\7. CAC THEO DOI TRONG QUA TRINH\4. DEVIATION- INCIDENTS\THEO DÕI NỘI BỘ (NGOÀI BBSC)\"&amp;YEAR(A583)&amp;"\"&amp;B583,B583)</f>
        <v>INT-0117-25</v>
      </c>
      <c r="N583" s="119"/>
      <c r="O583" s="314"/>
    </row>
    <row r="584" spans="1:15" ht="15" x14ac:dyDescent="0.25">
      <c r="A584" s="244">
        <v>45862</v>
      </c>
      <c r="B584" s="114" t="s">
        <v>1708</v>
      </c>
      <c r="C584" s="115" t="s">
        <v>1066</v>
      </c>
      <c r="D584" s="116" t="s">
        <v>39</v>
      </c>
      <c r="E584" s="117" t="s">
        <v>40</v>
      </c>
      <c r="F584" s="216" t="s">
        <v>614</v>
      </c>
      <c r="G584" s="244" t="s">
        <v>1709</v>
      </c>
      <c r="H584" s="216" t="s">
        <v>1714</v>
      </c>
      <c r="I584" s="116">
        <v>24</v>
      </c>
      <c r="J584" s="275" t="s">
        <v>1718</v>
      </c>
      <c r="K584" s="118" t="s">
        <v>1072</v>
      </c>
      <c r="L584" s="118"/>
      <c r="M584" s="70" t="str">
        <f t="shared" si="37"/>
        <v>INT-0117-25</v>
      </c>
      <c r="N584" s="119"/>
      <c r="O584" s="314"/>
    </row>
    <row r="585" spans="1:15" ht="15" x14ac:dyDescent="0.25">
      <c r="A585" s="244">
        <v>45862</v>
      </c>
      <c r="B585" s="114" t="s">
        <v>1708</v>
      </c>
      <c r="C585" s="115" t="s">
        <v>1066</v>
      </c>
      <c r="D585" s="116" t="s">
        <v>968</v>
      </c>
      <c r="E585" s="117" t="s">
        <v>969</v>
      </c>
      <c r="F585" s="216" t="s">
        <v>974</v>
      </c>
      <c r="G585" s="244" t="s">
        <v>1545</v>
      </c>
      <c r="H585" s="216" t="s">
        <v>1715</v>
      </c>
      <c r="I585" s="116">
        <v>1</v>
      </c>
      <c r="J585" s="275" t="s">
        <v>1718</v>
      </c>
      <c r="K585" s="118" t="s">
        <v>1072</v>
      </c>
      <c r="L585" s="118"/>
      <c r="M585" s="70" t="str">
        <f t="shared" si="37"/>
        <v>INT-0117-25</v>
      </c>
      <c r="N585" s="119"/>
      <c r="O585" s="314"/>
    </row>
    <row r="586" spans="1:15" ht="15" x14ac:dyDescent="0.25">
      <c r="A586" s="244">
        <v>45862</v>
      </c>
      <c r="B586" s="114" t="s">
        <v>1708</v>
      </c>
      <c r="C586" s="115" t="s">
        <v>1066</v>
      </c>
      <c r="D586" s="116" t="s">
        <v>31</v>
      </c>
      <c r="E586" s="117" t="s">
        <v>32</v>
      </c>
      <c r="F586" s="216" t="s">
        <v>1680</v>
      </c>
      <c r="G586" s="244" t="s">
        <v>1546</v>
      </c>
      <c r="H586" s="216" t="s">
        <v>1716</v>
      </c>
      <c r="I586" s="116">
        <v>24</v>
      </c>
      <c r="J586" s="275" t="s">
        <v>1718</v>
      </c>
      <c r="K586" s="118" t="s">
        <v>1072</v>
      </c>
      <c r="L586" s="118"/>
      <c r="M586" s="70" t="str">
        <f t="shared" si="37"/>
        <v>INT-0117-25</v>
      </c>
      <c r="N586" s="119"/>
      <c r="O586" s="314"/>
    </row>
    <row r="587" spans="1:15" ht="15" x14ac:dyDescent="0.25">
      <c r="A587" s="244">
        <v>45862</v>
      </c>
      <c r="B587" s="114" t="s">
        <v>1708</v>
      </c>
      <c r="C587" s="115" t="s">
        <v>1066</v>
      </c>
      <c r="D587" s="116" t="s">
        <v>42</v>
      </c>
      <c r="E587" s="117" t="s">
        <v>43</v>
      </c>
      <c r="F587" s="216" t="s">
        <v>1080</v>
      </c>
      <c r="G587" s="244" t="s">
        <v>1711</v>
      </c>
      <c r="H587" s="216" t="s">
        <v>1717</v>
      </c>
      <c r="I587" s="116">
        <v>1</v>
      </c>
      <c r="J587" s="275" t="s">
        <v>1718</v>
      </c>
      <c r="K587" s="118" t="s">
        <v>1072</v>
      </c>
      <c r="L587" s="118"/>
      <c r="M587" s="70" t="str">
        <f t="shared" si="37"/>
        <v>INT-0117-25</v>
      </c>
      <c r="N587" s="119"/>
      <c r="O587" s="314"/>
    </row>
    <row r="588" spans="1:15" ht="15" x14ac:dyDescent="0.25">
      <c r="A588" s="244">
        <v>45867</v>
      </c>
      <c r="B588" s="114" t="s">
        <v>1719</v>
      </c>
      <c r="C588" s="115" t="s">
        <v>1066</v>
      </c>
      <c r="D588" s="116" t="s">
        <v>36</v>
      </c>
      <c r="E588" s="117" t="s">
        <v>37</v>
      </c>
      <c r="F588" s="216" t="s">
        <v>364</v>
      </c>
      <c r="G588" s="244">
        <v>46022</v>
      </c>
      <c r="H588" s="216" t="s">
        <v>1720</v>
      </c>
      <c r="I588" s="116">
        <v>87</v>
      </c>
      <c r="J588" s="275" t="s">
        <v>1738</v>
      </c>
      <c r="K588" s="118" t="s">
        <v>1073</v>
      </c>
      <c r="L588" s="118"/>
      <c r="M588" s="70" t="str">
        <f>HYPERLINK("P:\7. LONG HAU\7. CAC THEO DOI TRONG QUA TRINH\4. DEVIATION- INCIDENTS\THEO DÕI NỘI BỘ (NGOÀI BBSC)\"&amp;YEAR(A588)&amp;"\"&amp;B588,B588)</f>
        <v>INT-0118-25</v>
      </c>
      <c r="N588" s="119"/>
      <c r="O588" s="314"/>
    </row>
    <row r="589" spans="1:15" ht="15" x14ac:dyDescent="0.25">
      <c r="A589" s="244">
        <v>45867</v>
      </c>
      <c r="B589" s="114" t="s">
        <v>1719</v>
      </c>
      <c r="C589" s="115" t="s">
        <v>1066</v>
      </c>
      <c r="D589" s="116" t="s">
        <v>31</v>
      </c>
      <c r="E589" s="117" t="s">
        <v>32</v>
      </c>
      <c r="F589" s="216" t="s">
        <v>1004</v>
      </c>
      <c r="G589" s="244">
        <v>45930</v>
      </c>
      <c r="H589" s="216" t="s">
        <v>1721</v>
      </c>
      <c r="I589" s="116">
        <v>1</v>
      </c>
      <c r="J589" s="275" t="s">
        <v>1738</v>
      </c>
      <c r="K589" s="118" t="s">
        <v>1073</v>
      </c>
      <c r="L589" s="118"/>
      <c r="M589" s="70" t="str">
        <f t="shared" ref="M589:M602" si="38">HYPERLINK("P:\7. LONG HAU\7. CAC THEO DOI TRONG QUA TRINH\4. DEVIATION- INCIDENTS\THEO DÕI NỘI BỘ (NGOÀI BBSC)\"&amp;YEAR(A589)&amp;"\"&amp;B589,B589)</f>
        <v>INT-0118-25</v>
      </c>
      <c r="N589" s="119"/>
      <c r="O589" s="314"/>
    </row>
    <row r="590" spans="1:15" ht="15" x14ac:dyDescent="0.25">
      <c r="A590" s="244">
        <v>45867</v>
      </c>
      <c r="B590" s="114" t="s">
        <v>1719</v>
      </c>
      <c r="C590" s="115" t="s">
        <v>1066</v>
      </c>
      <c r="D590" s="116" t="s">
        <v>31</v>
      </c>
      <c r="E590" s="117" t="s">
        <v>32</v>
      </c>
      <c r="F590" s="216" t="s">
        <v>1680</v>
      </c>
      <c r="G590" s="244">
        <v>45930</v>
      </c>
      <c r="H590" s="216" t="s">
        <v>1722</v>
      </c>
      <c r="I590" s="116">
        <v>32</v>
      </c>
      <c r="J590" s="275" t="s">
        <v>1738</v>
      </c>
      <c r="K590" s="118" t="s">
        <v>1073</v>
      </c>
      <c r="L590" s="118"/>
      <c r="M590" s="70" t="str">
        <f t="shared" si="38"/>
        <v>INT-0118-25</v>
      </c>
      <c r="N590" s="119"/>
      <c r="O590" s="314"/>
    </row>
    <row r="591" spans="1:15" ht="15" x14ac:dyDescent="0.25">
      <c r="A591" s="244">
        <v>45867</v>
      </c>
      <c r="B591" s="114" t="s">
        <v>1719</v>
      </c>
      <c r="C591" s="115" t="s">
        <v>1066</v>
      </c>
      <c r="D591" s="116" t="s">
        <v>1292</v>
      </c>
      <c r="E591" s="117" t="s">
        <v>1293</v>
      </c>
      <c r="F591" s="216" t="s">
        <v>1404</v>
      </c>
      <c r="G591" s="244">
        <v>45930</v>
      </c>
      <c r="H591" s="216" t="s">
        <v>1723</v>
      </c>
      <c r="I591" s="116">
        <v>2</v>
      </c>
      <c r="J591" s="275" t="s">
        <v>1738</v>
      </c>
      <c r="K591" s="118" t="s">
        <v>1073</v>
      </c>
      <c r="L591" s="118"/>
      <c r="M591" s="70" t="str">
        <f t="shared" si="38"/>
        <v>INT-0118-25</v>
      </c>
      <c r="N591" s="119"/>
      <c r="O591" s="314"/>
    </row>
    <row r="592" spans="1:15" ht="15" x14ac:dyDescent="0.25">
      <c r="A592" s="244">
        <v>45867</v>
      </c>
      <c r="B592" s="114" t="s">
        <v>1719</v>
      </c>
      <c r="C592" s="115" t="s">
        <v>1066</v>
      </c>
      <c r="D592" s="116" t="s">
        <v>1292</v>
      </c>
      <c r="E592" s="117" t="s">
        <v>1293</v>
      </c>
      <c r="F592" s="216" t="s">
        <v>1724</v>
      </c>
      <c r="G592" s="244">
        <v>45930</v>
      </c>
      <c r="H592" s="216" t="s">
        <v>1725</v>
      </c>
      <c r="I592" s="116">
        <v>1</v>
      </c>
      <c r="J592" s="275" t="s">
        <v>1738</v>
      </c>
      <c r="K592" s="118" t="s">
        <v>1073</v>
      </c>
      <c r="L592" s="118"/>
      <c r="M592" s="70" t="str">
        <f t="shared" si="38"/>
        <v>INT-0118-25</v>
      </c>
      <c r="N592" s="119"/>
      <c r="O592" s="314"/>
    </row>
    <row r="593" spans="1:15" ht="15" x14ac:dyDescent="0.25">
      <c r="A593" s="244">
        <v>45867</v>
      </c>
      <c r="B593" s="114" t="s">
        <v>1719</v>
      </c>
      <c r="C593" s="115" t="s">
        <v>1066</v>
      </c>
      <c r="D593" s="116" t="s">
        <v>1212</v>
      </c>
      <c r="E593" s="117" t="s">
        <v>1213</v>
      </c>
      <c r="F593" s="216" t="s">
        <v>1214</v>
      </c>
      <c r="G593" s="244">
        <v>46053</v>
      </c>
      <c r="H593" s="216" t="s">
        <v>1726</v>
      </c>
      <c r="I593" s="116">
        <v>55</v>
      </c>
      <c r="J593" s="275" t="s">
        <v>1738</v>
      </c>
      <c r="K593" s="118" t="s">
        <v>1073</v>
      </c>
      <c r="L593" s="118"/>
      <c r="M593" s="70" t="str">
        <f t="shared" si="38"/>
        <v>INT-0118-25</v>
      </c>
      <c r="N593" s="119"/>
      <c r="O593" s="314"/>
    </row>
    <row r="594" spans="1:15" ht="15" x14ac:dyDescent="0.25">
      <c r="A594" s="244">
        <v>45867</v>
      </c>
      <c r="B594" s="114" t="s">
        <v>1719</v>
      </c>
      <c r="C594" s="115" t="s">
        <v>1066</v>
      </c>
      <c r="D594" s="116" t="s">
        <v>1255</v>
      </c>
      <c r="E594" s="117" t="s">
        <v>1256</v>
      </c>
      <c r="F594" s="216" t="s">
        <v>1727</v>
      </c>
      <c r="G594" s="244">
        <v>46053</v>
      </c>
      <c r="H594" s="216" t="s">
        <v>1728</v>
      </c>
      <c r="I594" s="116">
        <v>14</v>
      </c>
      <c r="J594" s="275" t="s">
        <v>1738</v>
      </c>
      <c r="K594" s="118" t="s">
        <v>1073</v>
      </c>
      <c r="L594" s="118"/>
      <c r="M594" s="70" t="str">
        <f t="shared" si="38"/>
        <v>INT-0118-25</v>
      </c>
      <c r="N594" s="119"/>
      <c r="O594" s="314"/>
    </row>
    <row r="595" spans="1:15" ht="15" x14ac:dyDescent="0.25">
      <c r="A595" s="244">
        <v>45867</v>
      </c>
      <c r="B595" s="114" t="s">
        <v>1719</v>
      </c>
      <c r="C595" s="115" t="s">
        <v>1066</v>
      </c>
      <c r="D595" s="116" t="s">
        <v>42</v>
      </c>
      <c r="E595" s="117" t="s">
        <v>43</v>
      </c>
      <c r="F595" s="216" t="s">
        <v>1080</v>
      </c>
      <c r="G595" s="244">
        <v>45869</v>
      </c>
      <c r="H595" s="216" t="s">
        <v>1729</v>
      </c>
      <c r="I595" s="116">
        <v>39</v>
      </c>
      <c r="J595" s="275" t="s">
        <v>1738</v>
      </c>
      <c r="K595" s="118" t="s">
        <v>1073</v>
      </c>
      <c r="L595" s="118"/>
      <c r="M595" s="70" t="str">
        <f t="shared" si="38"/>
        <v>INT-0118-25</v>
      </c>
      <c r="N595" s="119"/>
      <c r="O595" s="314"/>
    </row>
    <row r="596" spans="1:15" ht="15" x14ac:dyDescent="0.25">
      <c r="A596" s="244">
        <v>45867</v>
      </c>
      <c r="B596" s="114" t="s">
        <v>1719</v>
      </c>
      <c r="C596" s="115" t="s">
        <v>1066</v>
      </c>
      <c r="D596" s="116" t="s">
        <v>42</v>
      </c>
      <c r="E596" s="117" t="s">
        <v>43</v>
      </c>
      <c r="F596" s="216" t="s">
        <v>904</v>
      </c>
      <c r="G596" s="244">
        <v>46022</v>
      </c>
      <c r="H596" s="216" t="s">
        <v>1730</v>
      </c>
      <c r="I596" s="116">
        <v>8</v>
      </c>
      <c r="J596" s="275" t="s">
        <v>1738</v>
      </c>
      <c r="K596" s="118" t="s">
        <v>1073</v>
      </c>
      <c r="L596" s="118"/>
      <c r="M596" s="70" t="str">
        <f t="shared" si="38"/>
        <v>INT-0118-25</v>
      </c>
      <c r="N596" s="119"/>
      <c r="O596" s="314"/>
    </row>
    <row r="597" spans="1:15" ht="15" x14ac:dyDescent="0.25">
      <c r="A597" s="244">
        <v>45867</v>
      </c>
      <c r="B597" s="114" t="s">
        <v>1719</v>
      </c>
      <c r="C597" s="115" t="s">
        <v>1066</v>
      </c>
      <c r="D597" s="116" t="s">
        <v>47</v>
      </c>
      <c r="E597" s="117" t="s">
        <v>48</v>
      </c>
      <c r="F597" s="216" t="s">
        <v>1731</v>
      </c>
      <c r="G597" s="244">
        <v>46053</v>
      </c>
      <c r="H597" s="216" t="s">
        <v>1732</v>
      </c>
      <c r="I597" s="116">
        <v>9</v>
      </c>
      <c r="J597" s="275" t="s">
        <v>1738</v>
      </c>
      <c r="K597" s="118" t="s">
        <v>1073</v>
      </c>
      <c r="L597" s="118"/>
      <c r="M597" s="70" t="str">
        <f t="shared" si="38"/>
        <v>INT-0118-25</v>
      </c>
      <c r="N597" s="119"/>
      <c r="O597" s="314"/>
    </row>
    <row r="598" spans="1:15" ht="15" x14ac:dyDescent="0.25">
      <c r="A598" s="244">
        <v>45867</v>
      </c>
      <c r="B598" s="114" t="s">
        <v>1719</v>
      </c>
      <c r="C598" s="115" t="s">
        <v>1066</v>
      </c>
      <c r="D598" s="116" t="s">
        <v>34</v>
      </c>
      <c r="E598" s="117" t="s">
        <v>35</v>
      </c>
      <c r="F598" s="216" t="s">
        <v>1011</v>
      </c>
      <c r="G598" s="244">
        <v>45869</v>
      </c>
      <c r="H598" s="216" t="s">
        <v>1733</v>
      </c>
      <c r="I598" s="116">
        <v>12</v>
      </c>
      <c r="J598" s="275" t="s">
        <v>1738</v>
      </c>
      <c r="K598" s="118" t="s">
        <v>1073</v>
      </c>
      <c r="L598" s="118"/>
      <c r="M598" s="70" t="str">
        <f t="shared" si="38"/>
        <v>INT-0118-25</v>
      </c>
      <c r="N598" s="119"/>
      <c r="O598" s="314"/>
    </row>
    <row r="599" spans="1:15" ht="15" x14ac:dyDescent="0.25">
      <c r="A599" s="244">
        <v>45867</v>
      </c>
      <c r="B599" s="114" t="s">
        <v>1719</v>
      </c>
      <c r="C599" s="115" t="s">
        <v>1066</v>
      </c>
      <c r="D599" s="116" t="s">
        <v>34</v>
      </c>
      <c r="E599" s="117" t="s">
        <v>35</v>
      </c>
      <c r="F599" s="216" t="s">
        <v>1094</v>
      </c>
      <c r="G599" s="244">
        <v>46022</v>
      </c>
      <c r="H599" s="216" t="s">
        <v>1734</v>
      </c>
      <c r="I599" s="116">
        <v>12</v>
      </c>
      <c r="J599" s="275" t="s">
        <v>1738</v>
      </c>
      <c r="K599" s="118" t="s">
        <v>1073</v>
      </c>
      <c r="L599" s="118"/>
      <c r="M599" s="70" t="str">
        <f t="shared" si="38"/>
        <v>INT-0118-25</v>
      </c>
      <c r="N599" s="119"/>
      <c r="O599" s="314"/>
    </row>
    <row r="600" spans="1:15" ht="15" x14ac:dyDescent="0.25">
      <c r="A600" s="244">
        <v>45867</v>
      </c>
      <c r="B600" s="114" t="s">
        <v>1719</v>
      </c>
      <c r="C600" s="115" t="s">
        <v>1066</v>
      </c>
      <c r="D600" s="116" t="s">
        <v>39</v>
      </c>
      <c r="E600" s="117" t="s">
        <v>40</v>
      </c>
      <c r="F600" s="216" t="s">
        <v>614</v>
      </c>
      <c r="G600" s="244">
        <v>45991</v>
      </c>
      <c r="H600" s="216" t="s">
        <v>1735</v>
      </c>
      <c r="I600" s="116">
        <v>58</v>
      </c>
      <c r="J600" s="275" t="s">
        <v>1738</v>
      </c>
      <c r="K600" s="118" t="s">
        <v>1073</v>
      </c>
      <c r="L600" s="118"/>
      <c r="M600" s="70" t="str">
        <f t="shared" si="38"/>
        <v>INT-0118-25</v>
      </c>
      <c r="N600" s="119"/>
      <c r="O600" s="314"/>
    </row>
    <row r="601" spans="1:15" ht="15" x14ac:dyDescent="0.25">
      <c r="A601" s="244">
        <v>45867</v>
      </c>
      <c r="B601" s="114" t="s">
        <v>1719</v>
      </c>
      <c r="C601" s="115" t="s">
        <v>1066</v>
      </c>
      <c r="D601" s="116" t="s">
        <v>39</v>
      </c>
      <c r="E601" s="117" t="s">
        <v>40</v>
      </c>
      <c r="F601" s="216" t="s">
        <v>973</v>
      </c>
      <c r="G601" s="244">
        <v>45991</v>
      </c>
      <c r="H601" s="216" t="s">
        <v>1736</v>
      </c>
      <c r="I601" s="116">
        <v>53</v>
      </c>
      <c r="J601" s="275" t="s">
        <v>1738</v>
      </c>
      <c r="K601" s="118" t="s">
        <v>1073</v>
      </c>
      <c r="L601" s="118"/>
      <c r="M601" s="70" t="str">
        <f t="shared" si="38"/>
        <v>INT-0118-25</v>
      </c>
      <c r="N601" s="119"/>
      <c r="O601" s="314"/>
    </row>
    <row r="602" spans="1:15" ht="15" x14ac:dyDescent="0.25">
      <c r="A602" s="244">
        <v>45867</v>
      </c>
      <c r="B602" s="114" t="s">
        <v>1719</v>
      </c>
      <c r="C602" s="115" t="s">
        <v>1066</v>
      </c>
      <c r="D602" s="116" t="s">
        <v>1212</v>
      </c>
      <c r="E602" s="117" t="s">
        <v>1213</v>
      </c>
      <c r="F602" s="216" t="s">
        <v>1679</v>
      </c>
      <c r="G602" s="244">
        <v>45930</v>
      </c>
      <c r="H602" s="216" t="s">
        <v>1737</v>
      </c>
      <c r="I602" s="116">
        <v>43</v>
      </c>
      <c r="J602" s="275" t="s">
        <v>1738</v>
      </c>
      <c r="K602" s="118" t="s">
        <v>1073</v>
      </c>
      <c r="L602" s="118"/>
      <c r="M602" s="70" t="str">
        <f t="shared" si="38"/>
        <v>INT-0118-25</v>
      </c>
      <c r="N602" s="119"/>
      <c r="O602" s="314"/>
    </row>
    <row r="603" spans="1:15" ht="15" x14ac:dyDescent="0.25">
      <c r="A603" s="244">
        <v>45876</v>
      </c>
      <c r="B603" s="114" t="s">
        <v>1739</v>
      </c>
      <c r="C603" s="115" t="s">
        <v>1066</v>
      </c>
      <c r="D603" s="116" t="s">
        <v>239</v>
      </c>
      <c r="E603" s="117" t="s">
        <v>240</v>
      </c>
      <c r="F603" s="216" t="s">
        <v>1002</v>
      </c>
      <c r="G603" s="244" t="s">
        <v>1710</v>
      </c>
      <c r="H603" s="216" t="s">
        <v>1743</v>
      </c>
      <c r="I603" s="116">
        <v>1</v>
      </c>
      <c r="J603" s="275" t="s">
        <v>1718</v>
      </c>
      <c r="K603" s="118" t="s">
        <v>1072</v>
      </c>
      <c r="L603" s="118"/>
      <c r="M603" s="70" t="str">
        <f>HYPERLINK("P:\7. LONG HAU\7. CAC THEO DOI TRONG QUA TRINH\4. DEVIATION- INCIDENTS\THEO DÕI NỘI BỘ (NGOÀI BBSC)\"&amp;YEAR(A603)&amp;"\"&amp;B603,B603)</f>
        <v>INT-0119-25</v>
      </c>
      <c r="N603" s="119"/>
      <c r="O603" s="314"/>
    </row>
    <row r="604" spans="1:15" ht="15" x14ac:dyDescent="0.25">
      <c r="A604" s="244">
        <v>45876</v>
      </c>
      <c r="B604" s="114" t="s">
        <v>1739</v>
      </c>
      <c r="C604" s="115" t="s">
        <v>1066</v>
      </c>
      <c r="D604" s="116" t="s">
        <v>47</v>
      </c>
      <c r="E604" s="117" t="s">
        <v>48</v>
      </c>
      <c r="F604" s="216" t="s">
        <v>1740</v>
      </c>
      <c r="G604" s="244" t="s">
        <v>1741</v>
      </c>
      <c r="H604" s="216" t="s">
        <v>1744</v>
      </c>
      <c r="I604" s="116">
        <v>2</v>
      </c>
      <c r="J604" s="275" t="s">
        <v>1718</v>
      </c>
      <c r="K604" s="118" t="s">
        <v>1072</v>
      </c>
      <c r="L604" s="118"/>
      <c r="M604" s="70" t="str">
        <f t="shared" ref="M604:M605" si="39">HYPERLINK("P:\7. LONG HAU\7. CAC THEO DOI TRONG QUA TRINH\4. DEVIATION- INCIDENTS\THEO DÕI NỘI BỘ (NGOÀI BBSC)\"&amp;YEAR(A604)&amp;"\"&amp;B604,B604)</f>
        <v>INT-0119-25</v>
      </c>
      <c r="N604" s="119"/>
      <c r="O604" s="314"/>
    </row>
    <row r="605" spans="1:15" ht="15" x14ac:dyDescent="0.25">
      <c r="A605" s="244">
        <v>45876</v>
      </c>
      <c r="B605" s="114" t="s">
        <v>1739</v>
      </c>
      <c r="C605" s="115" t="s">
        <v>1066</v>
      </c>
      <c r="D605" s="116" t="s">
        <v>905</v>
      </c>
      <c r="E605" s="117" t="s">
        <v>906</v>
      </c>
      <c r="F605" s="216" t="s">
        <v>907</v>
      </c>
      <c r="G605" s="244" t="s">
        <v>1742</v>
      </c>
      <c r="H605" s="216" t="s">
        <v>1745</v>
      </c>
      <c r="I605" s="116">
        <v>2</v>
      </c>
      <c r="J605" s="275" t="s">
        <v>1718</v>
      </c>
      <c r="K605" s="118" t="s">
        <v>1072</v>
      </c>
      <c r="L605" s="118"/>
      <c r="M605" s="70" t="str">
        <f t="shared" si="39"/>
        <v>INT-0119-25</v>
      </c>
      <c r="N605" s="119"/>
      <c r="O605" s="314"/>
    </row>
    <row r="606" spans="1:15" ht="15" x14ac:dyDescent="0.25">
      <c r="A606" s="244">
        <v>45876</v>
      </c>
      <c r="B606" s="114" t="s">
        <v>1739</v>
      </c>
      <c r="C606" s="115" t="s">
        <v>1066</v>
      </c>
      <c r="D606" s="116" t="s">
        <v>1466</v>
      </c>
      <c r="E606" s="117" t="s">
        <v>1467</v>
      </c>
      <c r="F606" s="216" t="s">
        <v>1468</v>
      </c>
      <c r="G606" s="244">
        <v>45808</v>
      </c>
      <c r="H606" s="216" t="s">
        <v>1783</v>
      </c>
      <c r="I606" s="116">
        <v>23</v>
      </c>
      <c r="J606" s="165" t="s">
        <v>1641</v>
      </c>
      <c r="K606" s="118" t="s">
        <v>1072</v>
      </c>
      <c r="L606" s="118"/>
      <c r="M606" s="70" t="str">
        <f>HYPERLINK("P:\7. LONG HAU\7. CAC THEO DOI TRONG QUA TRINH\4. DEVIATION- INCIDENTS\THEO DÕI NỘI BỘ (NGOÀI BBSC)\"&amp;YEAR(A606)&amp;"\"&amp;B606,B606)</f>
        <v>INT-0119-25</v>
      </c>
      <c r="N606" s="119"/>
      <c r="O606" s="314"/>
    </row>
    <row r="607" spans="1:15" ht="25.5" x14ac:dyDescent="0.25">
      <c r="A607" s="244">
        <v>45876</v>
      </c>
      <c r="B607" s="114" t="s">
        <v>1739</v>
      </c>
      <c r="C607" s="115" t="s">
        <v>1066</v>
      </c>
      <c r="D607" s="116" t="s">
        <v>1746</v>
      </c>
      <c r="E607" s="117" t="s">
        <v>1747</v>
      </c>
      <c r="F607" s="216">
        <v>0</v>
      </c>
      <c r="G607" s="244" t="s">
        <v>1762</v>
      </c>
      <c r="H607" s="216" t="s">
        <v>1768</v>
      </c>
      <c r="I607" s="116">
        <v>1</v>
      </c>
      <c r="J607" s="275">
        <v>0</v>
      </c>
      <c r="K607" s="118" t="s">
        <v>1073</v>
      </c>
      <c r="L607" s="118">
        <v>0</v>
      </c>
      <c r="M607" s="70" t="str">
        <f t="shared" ref="M607:M621" si="40">HYPERLINK("P:\7. LONG HAU\7. CAC THEO DOI TRONG QUA TRINH\4. DEVIATION- INCIDENTS\THEO DÕI NỘI BỘ (NGOÀI BBSC)\"&amp;YEAR(A607)&amp;"\"&amp;B607,B607)</f>
        <v>INT-0119-25</v>
      </c>
      <c r="N607" s="119">
        <v>0</v>
      </c>
      <c r="O607" s="314"/>
    </row>
    <row r="608" spans="1:15" ht="15" x14ac:dyDescent="0.25">
      <c r="A608" s="244">
        <v>45876</v>
      </c>
      <c r="B608" s="114" t="s">
        <v>1739</v>
      </c>
      <c r="C608" s="115" t="s">
        <v>1066</v>
      </c>
      <c r="D608" s="116" t="s">
        <v>92</v>
      </c>
      <c r="E608" s="117" t="s">
        <v>93</v>
      </c>
      <c r="F608" s="216" t="s">
        <v>1752</v>
      </c>
      <c r="G608" s="244" t="s">
        <v>1763</v>
      </c>
      <c r="H608" s="216" t="s">
        <v>1769</v>
      </c>
      <c r="I608" s="116">
        <v>4</v>
      </c>
      <c r="J608" s="275"/>
      <c r="K608" s="118" t="s">
        <v>1073</v>
      </c>
      <c r="L608" s="118"/>
      <c r="M608" s="70" t="str">
        <f t="shared" si="40"/>
        <v>INT-0119-25</v>
      </c>
      <c r="N608" s="119"/>
      <c r="O608" s="314"/>
    </row>
    <row r="609" spans="1:15" ht="15" x14ac:dyDescent="0.25">
      <c r="A609" s="244">
        <v>45876</v>
      </c>
      <c r="B609" s="114" t="s">
        <v>1739</v>
      </c>
      <c r="C609" s="115" t="s">
        <v>1066</v>
      </c>
      <c r="D609" s="116" t="s">
        <v>42</v>
      </c>
      <c r="E609" s="117" t="s">
        <v>43</v>
      </c>
      <c r="F609" s="216" t="s">
        <v>1753</v>
      </c>
      <c r="G609" s="244" t="s">
        <v>1764</v>
      </c>
      <c r="H609" s="216" t="s">
        <v>1770</v>
      </c>
      <c r="I609" s="116">
        <v>1</v>
      </c>
      <c r="J609" s="275"/>
      <c r="K609" s="118" t="s">
        <v>1073</v>
      </c>
      <c r="L609" s="118"/>
      <c r="M609" s="70" t="str">
        <f t="shared" si="40"/>
        <v>INT-0119-25</v>
      </c>
      <c r="N609" s="119"/>
      <c r="O609" s="314"/>
    </row>
    <row r="610" spans="1:15" ht="15" x14ac:dyDescent="0.25">
      <c r="A610" s="244">
        <v>45876</v>
      </c>
      <c r="B610" s="114" t="s">
        <v>1739</v>
      </c>
      <c r="C610" s="115" t="s">
        <v>1066</v>
      </c>
      <c r="D610" s="116" t="s">
        <v>1255</v>
      </c>
      <c r="E610" s="117" t="s">
        <v>1256</v>
      </c>
      <c r="F610" s="216" t="s">
        <v>1754</v>
      </c>
      <c r="G610" s="244" t="s">
        <v>1765</v>
      </c>
      <c r="H610" s="216" t="s">
        <v>1771</v>
      </c>
      <c r="I610" s="116">
        <v>3</v>
      </c>
      <c r="J610" s="275"/>
      <c r="K610" s="118" t="s">
        <v>1073</v>
      </c>
      <c r="L610" s="118"/>
      <c r="M610" s="70" t="str">
        <f t="shared" si="40"/>
        <v>INT-0119-25</v>
      </c>
      <c r="N610" s="119"/>
      <c r="O610" s="314"/>
    </row>
    <row r="611" spans="1:15" ht="15" x14ac:dyDescent="0.25">
      <c r="A611" s="244">
        <v>45876</v>
      </c>
      <c r="B611" s="114" t="s">
        <v>1739</v>
      </c>
      <c r="C611" s="115" t="s">
        <v>1066</v>
      </c>
      <c r="D611" s="116" t="s">
        <v>968</v>
      </c>
      <c r="E611" s="117" t="s">
        <v>969</v>
      </c>
      <c r="F611" s="216" t="s">
        <v>1755</v>
      </c>
      <c r="G611" s="244" t="s">
        <v>1543</v>
      </c>
      <c r="H611" s="216" t="s">
        <v>1772</v>
      </c>
      <c r="I611" s="116">
        <v>1</v>
      </c>
      <c r="J611" s="275"/>
      <c r="K611" s="118" t="s">
        <v>1073</v>
      </c>
      <c r="L611" s="118"/>
      <c r="M611" s="70" t="str">
        <f t="shared" si="40"/>
        <v>INT-0119-25</v>
      </c>
      <c r="N611" s="119"/>
      <c r="O611" s="314"/>
    </row>
    <row r="612" spans="1:15" ht="15" x14ac:dyDescent="0.25">
      <c r="A612" s="244">
        <v>45876</v>
      </c>
      <c r="B612" s="114" t="s">
        <v>1739</v>
      </c>
      <c r="C612" s="115" t="s">
        <v>1066</v>
      </c>
      <c r="D612" s="116" t="s">
        <v>31</v>
      </c>
      <c r="E612" s="117" t="s">
        <v>32</v>
      </c>
      <c r="F612" s="216" t="s">
        <v>1756</v>
      </c>
      <c r="G612" s="244" t="s">
        <v>1766</v>
      </c>
      <c r="H612" s="216" t="s">
        <v>1773</v>
      </c>
      <c r="I612" s="116">
        <v>2</v>
      </c>
      <c r="J612" s="275"/>
      <c r="K612" s="118" t="s">
        <v>1073</v>
      </c>
      <c r="L612" s="118"/>
      <c r="M612" s="70" t="str">
        <f t="shared" si="40"/>
        <v>INT-0119-25</v>
      </c>
      <c r="N612" s="119"/>
      <c r="O612" s="314"/>
    </row>
    <row r="613" spans="1:15" ht="15" x14ac:dyDescent="0.25">
      <c r="A613" s="244">
        <v>45876</v>
      </c>
      <c r="B613" s="114" t="s">
        <v>1739</v>
      </c>
      <c r="C613" s="115" t="s">
        <v>1066</v>
      </c>
      <c r="D613" s="116" t="s">
        <v>39</v>
      </c>
      <c r="E613" s="117" t="s">
        <v>40</v>
      </c>
      <c r="F613" s="216" t="s">
        <v>1757</v>
      </c>
      <c r="G613" s="244" t="s">
        <v>1543</v>
      </c>
      <c r="H613" s="216" t="s">
        <v>1774</v>
      </c>
      <c r="I613" s="116">
        <v>1</v>
      </c>
      <c r="J613" s="275"/>
      <c r="K613" s="118" t="s">
        <v>1073</v>
      </c>
      <c r="L613" s="118"/>
      <c r="M613" s="70" t="str">
        <f t="shared" si="40"/>
        <v>INT-0119-25</v>
      </c>
      <c r="N613" s="119"/>
      <c r="O613" s="314"/>
    </row>
    <row r="614" spans="1:15" ht="25.5" x14ac:dyDescent="0.25">
      <c r="A614" s="244">
        <v>45876</v>
      </c>
      <c r="B614" s="114" t="s">
        <v>1739</v>
      </c>
      <c r="C614" s="115" t="s">
        <v>1066</v>
      </c>
      <c r="D614" s="116" t="s">
        <v>1748</v>
      </c>
      <c r="E614" s="117" t="s">
        <v>1749</v>
      </c>
      <c r="F614" s="216">
        <v>0</v>
      </c>
      <c r="G614" s="244" t="s">
        <v>1762</v>
      </c>
      <c r="H614" s="216" t="s">
        <v>1775</v>
      </c>
      <c r="I614" s="116">
        <v>2</v>
      </c>
      <c r="J614" s="275">
        <v>0</v>
      </c>
      <c r="K614" s="118" t="s">
        <v>1073</v>
      </c>
      <c r="L614" s="118">
        <v>0</v>
      </c>
      <c r="M614" s="70" t="str">
        <f t="shared" si="40"/>
        <v>INT-0119-25</v>
      </c>
      <c r="N614" s="119">
        <v>0</v>
      </c>
      <c r="O614" s="314"/>
    </row>
    <row r="615" spans="1:15" ht="15" x14ac:dyDescent="0.25">
      <c r="A615" s="244">
        <v>45876</v>
      </c>
      <c r="B615" s="114" t="s">
        <v>1739</v>
      </c>
      <c r="C615" s="115" t="s">
        <v>1066</v>
      </c>
      <c r="D615" s="116" t="s">
        <v>36</v>
      </c>
      <c r="E615" s="117" t="s">
        <v>37</v>
      </c>
      <c r="F615" s="216" t="s">
        <v>1626</v>
      </c>
      <c r="G615" s="244" t="s">
        <v>1543</v>
      </c>
      <c r="H615" s="216" t="s">
        <v>1776</v>
      </c>
      <c r="I615" s="116">
        <v>2</v>
      </c>
      <c r="J615" s="275"/>
      <c r="K615" s="118" t="s">
        <v>1073</v>
      </c>
      <c r="L615" s="118"/>
      <c r="M615" s="70" t="str">
        <f t="shared" si="40"/>
        <v>INT-0119-25</v>
      </c>
      <c r="N615" s="119"/>
      <c r="O615" s="314"/>
    </row>
    <row r="616" spans="1:15" ht="15" x14ac:dyDescent="0.25">
      <c r="A616" s="244">
        <v>45876</v>
      </c>
      <c r="B616" s="114" t="s">
        <v>1739</v>
      </c>
      <c r="C616" s="115" t="s">
        <v>1066</v>
      </c>
      <c r="D616" s="116" t="s">
        <v>1750</v>
      </c>
      <c r="E616" s="117" t="s">
        <v>1751</v>
      </c>
      <c r="F616" s="216">
        <v>0</v>
      </c>
      <c r="G616" s="244" t="s">
        <v>1762</v>
      </c>
      <c r="H616" s="216" t="s">
        <v>1777</v>
      </c>
      <c r="I616" s="116">
        <v>1</v>
      </c>
      <c r="J616" s="275">
        <v>0</v>
      </c>
      <c r="K616" s="118" t="s">
        <v>1073</v>
      </c>
      <c r="L616" s="118">
        <v>0</v>
      </c>
      <c r="M616" s="70" t="str">
        <f t="shared" si="40"/>
        <v>INT-0119-25</v>
      </c>
      <c r="N616" s="119">
        <v>0</v>
      </c>
      <c r="O616" s="314"/>
    </row>
    <row r="617" spans="1:15" ht="15" x14ac:dyDescent="0.25">
      <c r="A617" s="244">
        <v>45876</v>
      </c>
      <c r="B617" s="114" t="s">
        <v>1739</v>
      </c>
      <c r="C617" s="115" t="s">
        <v>1066</v>
      </c>
      <c r="D617" s="116" t="s">
        <v>34</v>
      </c>
      <c r="E617" s="117" t="s">
        <v>35</v>
      </c>
      <c r="F617" s="216" t="s">
        <v>1758</v>
      </c>
      <c r="G617" s="244" t="s">
        <v>1764</v>
      </c>
      <c r="H617" s="216" t="s">
        <v>1778</v>
      </c>
      <c r="I617" s="116">
        <v>1</v>
      </c>
      <c r="J617" s="275"/>
      <c r="K617" s="118" t="s">
        <v>1073</v>
      </c>
      <c r="L617" s="118"/>
      <c r="M617" s="70" t="str">
        <f t="shared" si="40"/>
        <v>INT-0119-25</v>
      </c>
      <c r="N617" s="119"/>
      <c r="O617" s="314"/>
    </row>
    <row r="618" spans="1:15" ht="25.5" x14ac:dyDescent="0.25">
      <c r="A618" s="244">
        <v>45876</v>
      </c>
      <c r="B618" s="114" t="s">
        <v>1739</v>
      </c>
      <c r="C618" s="115" t="s">
        <v>1066</v>
      </c>
      <c r="D618" s="116" t="s">
        <v>44</v>
      </c>
      <c r="E618" s="117" t="s">
        <v>45</v>
      </c>
      <c r="F618" s="216" t="s">
        <v>1759</v>
      </c>
      <c r="G618" s="244" t="s">
        <v>1767</v>
      </c>
      <c r="H618" s="216" t="s">
        <v>1779</v>
      </c>
      <c r="I618" s="116">
        <v>25</v>
      </c>
      <c r="J618" s="275"/>
      <c r="K618" s="118" t="s">
        <v>1073</v>
      </c>
      <c r="L618" s="118"/>
      <c r="M618" s="70" t="str">
        <f t="shared" si="40"/>
        <v>INT-0119-25</v>
      </c>
      <c r="N618" s="119"/>
      <c r="O618" s="314"/>
    </row>
    <row r="619" spans="1:15" ht="25.5" x14ac:dyDescent="0.25">
      <c r="A619" s="244">
        <v>45876</v>
      </c>
      <c r="B619" s="114" t="s">
        <v>1739</v>
      </c>
      <c r="C619" s="115" t="s">
        <v>1066</v>
      </c>
      <c r="D619" s="116" t="s">
        <v>44</v>
      </c>
      <c r="E619" s="117" t="s">
        <v>45</v>
      </c>
      <c r="F619" s="216" t="s">
        <v>1760</v>
      </c>
      <c r="G619" s="244" t="s">
        <v>1542</v>
      </c>
      <c r="H619" s="216" t="s">
        <v>1780</v>
      </c>
      <c r="I619" s="116">
        <v>31</v>
      </c>
      <c r="J619" s="275"/>
      <c r="K619" s="118" t="s">
        <v>1073</v>
      </c>
      <c r="L619" s="118"/>
      <c r="M619" s="70" t="str">
        <f t="shared" si="40"/>
        <v>INT-0119-25</v>
      </c>
      <c r="N619" s="119"/>
      <c r="O619" s="314"/>
    </row>
    <row r="620" spans="1:15" ht="15" x14ac:dyDescent="0.25">
      <c r="A620" s="244">
        <v>45876</v>
      </c>
      <c r="B620" s="114" t="s">
        <v>1739</v>
      </c>
      <c r="C620" s="115" t="s">
        <v>1066</v>
      </c>
      <c r="D620" s="116" t="s">
        <v>414</v>
      </c>
      <c r="E620" s="117" t="s">
        <v>415</v>
      </c>
      <c r="F620" s="216" t="s">
        <v>1761</v>
      </c>
      <c r="G620" s="244" t="s">
        <v>1543</v>
      </c>
      <c r="H620" s="216" t="s">
        <v>1781</v>
      </c>
      <c r="I620" s="116">
        <v>18</v>
      </c>
      <c r="J620" s="275"/>
      <c r="K620" s="118" t="s">
        <v>1073</v>
      </c>
      <c r="L620" s="118"/>
      <c r="M620" s="70" t="str">
        <f t="shared" si="40"/>
        <v>INT-0119-25</v>
      </c>
      <c r="N620" s="119"/>
      <c r="O620" s="314"/>
    </row>
    <row r="621" spans="1:15" ht="15" x14ac:dyDescent="0.25">
      <c r="A621" s="244">
        <v>45876</v>
      </c>
      <c r="B621" s="114" t="s">
        <v>1739</v>
      </c>
      <c r="C621" s="115" t="s">
        <v>1066</v>
      </c>
      <c r="D621" s="116" t="s">
        <v>92</v>
      </c>
      <c r="E621" s="117" t="s">
        <v>93</v>
      </c>
      <c r="F621" s="216" t="s">
        <v>1667</v>
      </c>
      <c r="G621" s="244" t="s">
        <v>1763</v>
      </c>
      <c r="H621" s="216" t="s">
        <v>1782</v>
      </c>
      <c r="I621" s="116">
        <v>40</v>
      </c>
      <c r="J621" s="275"/>
      <c r="K621" s="118" t="s">
        <v>1073</v>
      </c>
      <c r="L621" s="118"/>
      <c r="M621" s="70" t="str">
        <f t="shared" si="40"/>
        <v>INT-0119-25</v>
      </c>
      <c r="N621" s="119"/>
      <c r="O621" s="314"/>
    </row>
    <row r="622" spans="1:15" ht="25.5" x14ac:dyDescent="0.25">
      <c r="A622" s="233">
        <v>45876</v>
      </c>
      <c r="B622" s="35" t="s">
        <v>1739</v>
      </c>
      <c r="C622" s="47" t="s">
        <v>1066</v>
      </c>
      <c r="D622" s="48" t="s">
        <v>44</v>
      </c>
      <c r="E622" s="38" t="s">
        <v>45</v>
      </c>
      <c r="F622" s="205" t="s">
        <v>1425</v>
      </c>
      <c r="G622" s="233">
        <v>46446</v>
      </c>
      <c r="H622" s="205" t="s">
        <v>1784</v>
      </c>
      <c r="I622" s="48">
        <v>1</v>
      </c>
      <c r="J622" s="165"/>
      <c r="K622" s="40" t="s">
        <v>1073</v>
      </c>
      <c r="L622" s="40"/>
      <c r="M622" s="70" t="str">
        <f>HYPERLINK("P:\7. LONG HAU\7. CAC THEO DOI TRONG QUA TRINH\4. DEVIATION- INCIDENTS\THEO DÕI NỘI BỘ (NGOÀI BBSC)\"&amp;YEAR(A622)&amp;"\"&amp;B622,B622)</f>
        <v>INT-0119-25</v>
      </c>
      <c r="N622" s="326"/>
      <c r="O622" s="327"/>
    </row>
    <row r="623" spans="1:15" ht="15" x14ac:dyDescent="0.25">
      <c r="A623" s="244">
        <v>45881</v>
      </c>
      <c r="B623" s="114" t="s">
        <v>1785</v>
      </c>
      <c r="C623" s="115" t="s">
        <v>1066</v>
      </c>
      <c r="D623" s="116" t="s">
        <v>1794</v>
      </c>
      <c r="E623" s="117" t="s">
        <v>1795</v>
      </c>
      <c r="F623" s="216" t="s">
        <v>1802</v>
      </c>
      <c r="G623" s="244" t="s">
        <v>1807</v>
      </c>
      <c r="H623" s="216" t="s">
        <v>1788</v>
      </c>
      <c r="I623" s="116">
        <v>10</v>
      </c>
      <c r="J623" s="275"/>
      <c r="K623" s="118" t="s">
        <v>1072</v>
      </c>
      <c r="L623" s="118"/>
      <c r="M623" s="70" t="str">
        <f>HYPERLINK("P:\7. LONG HAU\7. CAC THEO DOI TRONG QUA TRINH\4. DEVIATION- INCIDENTS\THEO DÕI NỘI BỘ (NGOÀI BBSC)\"&amp;YEAR(A623)&amp;"\"&amp;B623,B623)</f>
        <v>INT-0120-25</v>
      </c>
      <c r="N623" s="119"/>
      <c r="O623" s="314"/>
    </row>
    <row r="624" spans="1:15" ht="15" x14ac:dyDescent="0.25">
      <c r="A624" s="244">
        <v>45881</v>
      </c>
      <c r="B624" s="114" t="s">
        <v>1785</v>
      </c>
      <c r="C624" s="115" t="s">
        <v>1066</v>
      </c>
      <c r="D624" s="116" t="s">
        <v>1796</v>
      </c>
      <c r="E624" s="117" t="s">
        <v>1797</v>
      </c>
      <c r="F624" s="216" t="s">
        <v>1803</v>
      </c>
      <c r="G624" s="244" t="s">
        <v>1808</v>
      </c>
      <c r="H624" s="216" t="s">
        <v>1789</v>
      </c>
      <c r="I624" s="116">
        <v>2</v>
      </c>
      <c r="J624" s="275"/>
      <c r="K624" s="118" t="s">
        <v>1072</v>
      </c>
      <c r="L624" s="118"/>
      <c r="M624" s="70" t="str">
        <f>HYPERLINK("P:\7. LONG HAU\7. CAC THEO DOI TRONG QUA TRINH\4. DEVIATION- INCIDENTS\THEO DÕI NỘI BỘ (NGOÀI BBSC)\"&amp;YEAR(A624)&amp;"\"&amp;B624,B624)</f>
        <v>INT-0120-25</v>
      </c>
      <c r="N624" s="119"/>
      <c r="O624" s="314"/>
    </row>
    <row r="625" spans="1:15" ht="25.5" x14ac:dyDescent="0.25">
      <c r="A625" s="244">
        <v>45881</v>
      </c>
      <c r="B625" s="114" t="s">
        <v>1785</v>
      </c>
      <c r="C625" s="115" t="s">
        <v>1066</v>
      </c>
      <c r="D625" s="116" t="s">
        <v>1798</v>
      </c>
      <c r="E625" s="117" t="s">
        <v>1799</v>
      </c>
      <c r="F625" s="216" t="s">
        <v>1804</v>
      </c>
      <c r="G625" s="244" t="s">
        <v>1809</v>
      </c>
      <c r="H625" s="216" t="s">
        <v>1790</v>
      </c>
      <c r="I625" s="116">
        <v>4</v>
      </c>
      <c r="J625" s="275"/>
      <c r="K625" s="118" t="s">
        <v>1072</v>
      </c>
      <c r="L625" s="118"/>
      <c r="M625" s="70" t="str">
        <f t="shared" ref="M625:M626" si="41">HYPERLINK("P:\7. LONG HAU\7. CAC THEO DOI TRONG QUA TRINH\4. DEVIATION- INCIDENTS\THEO DÕI NỘI BỘ (NGOÀI BBSC)\"&amp;YEAR(A625)&amp;"\"&amp;B625,B625)</f>
        <v>INT-0120-25</v>
      </c>
      <c r="N625" s="119"/>
      <c r="O625" s="314"/>
    </row>
    <row r="626" spans="1:15" ht="15" x14ac:dyDescent="0.25">
      <c r="A626" s="244">
        <v>45881</v>
      </c>
      <c r="B626" s="114" t="s">
        <v>1785</v>
      </c>
      <c r="C626" s="115" t="s">
        <v>1066</v>
      </c>
      <c r="D626" s="116" t="s">
        <v>414</v>
      </c>
      <c r="E626" s="117" t="s">
        <v>415</v>
      </c>
      <c r="F626" s="216" t="s">
        <v>1805</v>
      </c>
      <c r="G626" s="244" t="s">
        <v>1765</v>
      </c>
      <c r="H626" s="216" t="s">
        <v>1791</v>
      </c>
      <c r="I626" s="116">
        <v>3</v>
      </c>
      <c r="J626" s="275"/>
      <c r="K626" s="118" t="s">
        <v>1072</v>
      </c>
      <c r="L626" s="118"/>
      <c r="M626" s="70" t="str">
        <f t="shared" si="41"/>
        <v>INT-0120-25</v>
      </c>
      <c r="N626" s="119"/>
      <c r="O626" s="314"/>
    </row>
    <row r="627" spans="1:15" ht="15" x14ac:dyDescent="0.25">
      <c r="A627" s="244">
        <v>45881</v>
      </c>
      <c r="B627" s="114" t="s">
        <v>1785</v>
      </c>
      <c r="C627" s="115" t="s">
        <v>1066</v>
      </c>
      <c r="D627" s="116" t="s">
        <v>1800</v>
      </c>
      <c r="E627" s="117" t="s">
        <v>1801</v>
      </c>
      <c r="F627" s="216" t="s">
        <v>1806</v>
      </c>
      <c r="G627" s="244" t="s">
        <v>1810</v>
      </c>
      <c r="H627" s="216" t="s">
        <v>1792</v>
      </c>
      <c r="I627" s="116">
        <v>2</v>
      </c>
      <c r="J627" s="275"/>
      <c r="K627" s="118" t="s">
        <v>1072</v>
      </c>
      <c r="L627" s="118"/>
      <c r="M627" s="70" t="str">
        <f>HYPERLINK("P:\7. LONG HAU\7. CAC THEO DOI TRONG QUA TRINH\4. DEVIATION- INCIDENTS\THEO DÕI NỘI BỘ (NGOÀI BBSC)\"&amp;YEAR(A627)&amp;"\"&amp;B627,B627)</f>
        <v>INT-0120-25</v>
      </c>
      <c r="N627" s="119"/>
      <c r="O627" s="314"/>
    </row>
    <row r="628" spans="1:15" ht="15" x14ac:dyDescent="0.25">
      <c r="A628" s="244">
        <v>45881</v>
      </c>
      <c r="B628" s="114" t="s">
        <v>1786</v>
      </c>
      <c r="C628" s="115" t="s">
        <v>1066</v>
      </c>
      <c r="D628" s="116" t="s">
        <v>1199</v>
      </c>
      <c r="E628" s="117" t="s">
        <v>1200</v>
      </c>
      <c r="F628" s="216" t="s">
        <v>1793</v>
      </c>
      <c r="G628" s="244">
        <v>47208</v>
      </c>
      <c r="H628" s="216" t="s">
        <v>1787</v>
      </c>
      <c r="I628" s="116">
        <v>1</v>
      </c>
      <c r="J628" s="275"/>
      <c r="K628" s="118" t="s">
        <v>1073</v>
      </c>
      <c r="L628" s="118"/>
      <c r="M628" s="70" t="str">
        <f>HYPERLINK("P:\7. LONG HAU\7. CAC THEO DOI TRONG QUA TRINH\4. DEVIATION- INCIDENTS\THEO DÕI NỘI BỘ (NGOÀI BBSC)\"&amp;YEAR(A628)&amp;"\"&amp;B628,B628)</f>
        <v>INT-0121-25</v>
      </c>
      <c r="N628" s="119"/>
      <c r="O628" s="314"/>
    </row>
    <row r="629" spans="1:15" ht="15" x14ac:dyDescent="0.25">
      <c r="A629" s="244">
        <v>45882</v>
      </c>
      <c r="B629" s="114" t="s">
        <v>1811</v>
      </c>
      <c r="C629" s="115" t="s">
        <v>1066</v>
      </c>
      <c r="D629" s="116" t="s">
        <v>1812</v>
      </c>
      <c r="E629" s="117" t="s">
        <v>1813</v>
      </c>
      <c r="F629" s="216" t="s">
        <v>1818</v>
      </c>
      <c r="G629" s="244" t="s">
        <v>1822</v>
      </c>
      <c r="H629" s="216" t="s">
        <v>1826</v>
      </c>
      <c r="I629" s="116">
        <v>1</v>
      </c>
      <c r="J629" s="275"/>
      <c r="K629" s="118" t="s">
        <v>1073</v>
      </c>
      <c r="L629" s="118"/>
      <c r="M629" s="70" t="str">
        <f>HYPERLINK("P:\7. LONG HAU\7. CAC THEO DOI TRONG QUA TRINH\4. DEVIATION- INCIDENTS\THEO DÕI NỘI BỘ (NGOÀI BBSC)\"&amp;YEAR(A629)&amp;"\"&amp;B629,B629)</f>
        <v>INT-0122-25</v>
      </c>
      <c r="N629" s="119"/>
      <c r="O629" s="314"/>
    </row>
    <row r="630" spans="1:15" ht="15" x14ac:dyDescent="0.25">
      <c r="A630" s="244">
        <v>45882</v>
      </c>
      <c r="B630" s="114" t="s">
        <v>1811</v>
      </c>
      <c r="C630" s="115" t="s">
        <v>1066</v>
      </c>
      <c r="D630" s="116" t="s">
        <v>1814</v>
      </c>
      <c r="E630" s="117" t="s">
        <v>1815</v>
      </c>
      <c r="F630" s="216" t="s">
        <v>1819</v>
      </c>
      <c r="G630" s="244" t="s">
        <v>1823</v>
      </c>
      <c r="H630" s="216" t="s">
        <v>1827</v>
      </c>
      <c r="I630" s="116">
        <v>1</v>
      </c>
      <c r="J630" s="275"/>
      <c r="K630" s="118" t="s">
        <v>1072</v>
      </c>
      <c r="L630" s="118"/>
      <c r="M630" s="70" t="str">
        <f t="shared" ref="M630:M633" si="42">HYPERLINK("P:\7. LONG HAU\7. CAC THEO DOI TRONG QUA TRINH\4. DEVIATION- INCIDENTS\THEO DÕI NỘI BỘ (NGOÀI BBSC)\"&amp;YEAR(A630)&amp;"\"&amp;B630,B630)</f>
        <v>INT-0122-25</v>
      </c>
      <c r="N630" s="119"/>
      <c r="O630" s="314"/>
    </row>
    <row r="631" spans="1:15" ht="15" x14ac:dyDescent="0.25">
      <c r="A631" s="244">
        <v>45882</v>
      </c>
      <c r="B631" s="114" t="s">
        <v>1811</v>
      </c>
      <c r="C631" s="115" t="s">
        <v>1066</v>
      </c>
      <c r="D631" s="116" t="s">
        <v>1816</v>
      </c>
      <c r="E631" s="117" t="s">
        <v>1817</v>
      </c>
      <c r="F631" s="216" t="s">
        <v>1820</v>
      </c>
      <c r="G631" s="244" t="s">
        <v>1823</v>
      </c>
      <c r="H631" s="216" t="s">
        <v>1828</v>
      </c>
      <c r="I631" s="116">
        <v>1</v>
      </c>
      <c r="J631" s="275"/>
      <c r="K631" s="118" t="s">
        <v>1072</v>
      </c>
      <c r="L631" s="118"/>
      <c r="M631" s="70" t="str">
        <f t="shared" si="42"/>
        <v>INT-0122-25</v>
      </c>
      <c r="N631" s="119"/>
      <c r="O631" s="314"/>
    </row>
    <row r="632" spans="1:15" ht="15" x14ac:dyDescent="0.25">
      <c r="A632" s="244">
        <v>45882</v>
      </c>
      <c r="B632" s="114" t="s">
        <v>1811</v>
      </c>
      <c r="C632" s="115" t="s">
        <v>1066</v>
      </c>
      <c r="D632" s="116" t="s">
        <v>529</v>
      </c>
      <c r="E632" s="117" t="s">
        <v>531</v>
      </c>
      <c r="F632" s="216" t="s">
        <v>1821</v>
      </c>
      <c r="G632" s="244" t="s">
        <v>1824</v>
      </c>
      <c r="H632" s="216" t="s">
        <v>1828</v>
      </c>
      <c r="I632" s="116">
        <v>1</v>
      </c>
      <c r="J632" s="275"/>
      <c r="K632" s="118" t="s">
        <v>1072</v>
      </c>
      <c r="L632" s="118"/>
      <c r="M632" s="70" t="str">
        <f t="shared" si="42"/>
        <v>INT-0122-25</v>
      </c>
      <c r="N632" s="119"/>
      <c r="O632" s="314"/>
    </row>
    <row r="633" spans="1:15" ht="15" x14ac:dyDescent="0.25">
      <c r="A633" s="244">
        <v>45882</v>
      </c>
      <c r="B633" s="114" t="s">
        <v>1811</v>
      </c>
      <c r="C633" s="115" t="s">
        <v>1066</v>
      </c>
      <c r="D633" s="116" t="s">
        <v>1199</v>
      </c>
      <c r="E633" s="117" t="s">
        <v>1200</v>
      </c>
      <c r="F633" s="216" t="s">
        <v>1201</v>
      </c>
      <c r="G633" s="244" t="s">
        <v>1825</v>
      </c>
      <c r="H633" s="216" t="s">
        <v>1828</v>
      </c>
      <c r="I633" s="116">
        <v>1</v>
      </c>
      <c r="J633" s="275"/>
      <c r="K633" s="118" t="s">
        <v>1072</v>
      </c>
      <c r="L633" s="118"/>
      <c r="M633" s="70" t="str">
        <f t="shared" si="42"/>
        <v>INT-0122-25</v>
      </c>
      <c r="N633" s="119"/>
      <c r="O633" s="314"/>
    </row>
    <row r="634" spans="1:15" ht="15" x14ac:dyDescent="0.25">
      <c r="A634" s="233">
        <v>45887</v>
      </c>
      <c r="B634" s="35" t="s">
        <v>1829</v>
      </c>
      <c r="C634" s="47" t="s">
        <v>1066</v>
      </c>
      <c r="D634" s="48" t="s">
        <v>1673</v>
      </c>
      <c r="E634" s="38" t="s">
        <v>1674</v>
      </c>
      <c r="F634" s="205" t="s">
        <v>1675</v>
      </c>
      <c r="G634" s="233">
        <v>46541</v>
      </c>
      <c r="H634" s="205" t="s">
        <v>1830</v>
      </c>
      <c r="I634" s="48">
        <v>3</v>
      </c>
      <c r="J634" s="165" t="s">
        <v>840</v>
      </c>
      <c r="K634" s="40" t="s">
        <v>1072</v>
      </c>
      <c r="L634" s="40"/>
      <c r="M634" s="70" t="str">
        <f>HYPERLINK("P:\7. LONG HAU\7. CAC THEO DOI TRONG QUA TRINH\4. DEVIATION- INCIDENTS\THEO DÕI NỘI BỘ (NGOÀI BBSC)\"&amp;YEAR(A634)&amp;"\"&amp;B634,B634)</f>
        <v>INT-0123-25</v>
      </c>
      <c r="N634" s="172"/>
      <c r="O634" s="328"/>
    </row>
    <row r="635" spans="1:15" ht="15" x14ac:dyDescent="0.25">
      <c r="A635" s="233">
        <v>45888</v>
      </c>
      <c r="B635" s="35" t="s">
        <v>1831</v>
      </c>
      <c r="C635" s="47" t="s">
        <v>1066</v>
      </c>
      <c r="D635" s="48" t="s">
        <v>414</v>
      </c>
      <c r="E635" s="38" t="s">
        <v>415</v>
      </c>
      <c r="F635" s="205" t="s">
        <v>416</v>
      </c>
      <c r="G635" s="233">
        <v>46356</v>
      </c>
      <c r="H635" s="205" t="s">
        <v>1832</v>
      </c>
      <c r="I635" s="48">
        <v>10</v>
      </c>
      <c r="J635" s="165" t="s">
        <v>1834</v>
      </c>
      <c r="K635" s="40" t="s">
        <v>1073</v>
      </c>
      <c r="L635" s="40"/>
      <c r="M635" s="70" t="str">
        <f>HYPERLINK("P:\7. LONG HAU\7. CAC THEO DOI TRONG QUA TRINH\4. DEVIATION- INCIDENTS\THEO DÕI NỘI BỘ (NGOÀI BBSC)\"&amp;YEAR(A635)&amp;"\"&amp;B635,B635)</f>
        <v>INT-0124-25</v>
      </c>
      <c r="N635" s="172"/>
      <c r="O635" s="328"/>
    </row>
    <row r="636" spans="1:15" ht="25.5" x14ac:dyDescent="0.25">
      <c r="A636" s="244">
        <v>45888</v>
      </c>
      <c r="B636" s="114" t="s">
        <v>1831</v>
      </c>
      <c r="C636" s="115" t="s">
        <v>1066</v>
      </c>
      <c r="D636" s="116" t="s">
        <v>44</v>
      </c>
      <c r="E636" s="117" t="s">
        <v>45</v>
      </c>
      <c r="F636" s="216" t="s">
        <v>1540</v>
      </c>
      <c r="G636" s="244">
        <v>46660</v>
      </c>
      <c r="H636" s="216" t="s">
        <v>1833</v>
      </c>
      <c r="I636" s="116">
        <v>3</v>
      </c>
      <c r="J636" s="165" t="s">
        <v>1834</v>
      </c>
      <c r="K636" s="40" t="s">
        <v>1073</v>
      </c>
      <c r="L636" s="118"/>
      <c r="M636" s="70" t="str">
        <f>HYPERLINK("P:\7. LONG HAU\7. CAC THEO DOI TRONG QUA TRINH\4. DEVIATION- INCIDENTS\THEO DÕI NỘI BỘ (NGOÀI BBSC)\"&amp;YEAR(A636)&amp;"\"&amp;B636,B636)</f>
        <v>INT-0124-25</v>
      </c>
      <c r="N636" s="119"/>
      <c r="O636" s="314"/>
    </row>
    <row r="637" spans="1:15" ht="15" x14ac:dyDescent="0.25">
      <c r="A637" s="233">
        <v>45890</v>
      </c>
      <c r="B637" s="35" t="s">
        <v>1835</v>
      </c>
      <c r="C637" s="47" t="s">
        <v>1066</v>
      </c>
      <c r="D637" s="48" t="s">
        <v>1466</v>
      </c>
      <c r="E637" s="38" t="s">
        <v>1467</v>
      </c>
      <c r="F637" s="205" t="s">
        <v>1838</v>
      </c>
      <c r="G637" s="233" t="s">
        <v>1842</v>
      </c>
      <c r="H637" s="205" t="s">
        <v>1846</v>
      </c>
      <c r="I637" s="48">
        <v>40</v>
      </c>
      <c r="J637" s="165"/>
      <c r="K637" s="40" t="s">
        <v>1073</v>
      </c>
      <c r="L637" s="40"/>
      <c r="M637" s="70" t="str">
        <f>HYPERLINK("P:\7. LONG HAU\7. CAC THEO DOI TRONG QUA TRINH\4. DEVIATION- INCIDENTS\THEO DÕI NỘI BỘ (NGOÀI BBSC)\"&amp;YEAR(A637)&amp;"\"&amp;B637,B637)</f>
        <v>INT-0125-25</v>
      </c>
      <c r="N637" s="173"/>
      <c r="O637" s="329"/>
    </row>
    <row r="638" spans="1:15" ht="15" x14ac:dyDescent="0.25">
      <c r="A638" s="244">
        <v>45890</v>
      </c>
      <c r="B638" s="114" t="s">
        <v>1835</v>
      </c>
      <c r="C638" s="115" t="s">
        <v>1066</v>
      </c>
      <c r="D638" s="116" t="s">
        <v>47</v>
      </c>
      <c r="E638" s="117" t="s">
        <v>48</v>
      </c>
      <c r="F638" s="216" t="s">
        <v>812</v>
      </c>
      <c r="G638" s="244" t="s">
        <v>1741</v>
      </c>
      <c r="H638" s="216" t="s">
        <v>1847</v>
      </c>
      <c r="I638" s="116">
        <v>32</v>
      </c>
      <c r="J638" s="275" t="s">
        <v>1852</v>
      </c>
      <c r="K638" s="118" t="s">
        <v>1073</v>
      </c>
      <c r="L638" s="118"/>
      <c r="M638" s="70" t="str">
        <f t="shared" ref="M638:M642" si="43">HYPERLINK("P:\7. LONG HAU\7. CAC THEO DOI TRONG QUA TRINH\4. DEVIATION- INCIDENTS\THEO DÕI NỘI BỘ (NGOÀI BBSC)\"&amp;YEAR(A638)&amp;"\"&amp;B638,B638)</f>
        <v>INT-0125-25</v>
      </c>
      <c r="N638" s="119"/>
      <c r="O638" s="314"/>
    </row>
    <row r="639" spans="1:15" ht="15" x14ac:dyDescent="0.25">
      <c r="A639" s="244">
        <v>45890</v>
      </c>
      <c r="B639" s="114" t="s">
        <v>1835</v>
      </c>
      <c r="C639" s="115" t="s">
        <v>1066</v>
      </c>
      <c r="D639" s="116" t="s">
        <v>1836</v>
      </c>
      <c r="E639" s="117" t="s">
        <v>1837</v>
      </c>
      <c r="F639" s="216" t="s">
        <v>1839</v>
      </c>
      <c r="G639" s="244" t="s">
        <v>1843</v>
      </c>
      <c r="H639" s="216" t="s">
        <v>1848</v>
      </c>
      <c r="I639" s="116">
        <v>20</v>
      </c>
      <c r="J639" s="275" t="s">
        <v>1852</v>
      </c>
      <c r="K639" s="118" t="s">
        <v>1073</v>
      </c>
      <c r="L639" s="118"/>
      <c r="M639" s="70" t="str">
        <f t="shared" si="43"/>
        <v>INT-0125-25</v>
      </c>
      <c r="N639" s="119"/>
      <c r="O639" s="314"/>
    </row>
    <row r="640" spans="1:15" ht="15" x14ac:dyDescent="0.25">
      <c r="A640" s="244">
        <v>45890</v>
      </c>
      <c r="B640" s="114" t="s">
        <v>1835</v>
      </c>
      <c r="C640" s="115" t="s">
        <v>1066</v>
      </c>
      <c r="D640" s="116" t="s">
        <v>36</v>
      </c>
      <c r="E640" s="117" t="s">
        <v>37</v>
      </c>
      <c r="F640" s="216" t="s">
        <v>1840</v>
      </c>
      <c r="G640" s="244" t="s">
        <v>1742</v>
      </c>
      <c r="H640" s="216" t="s">
        <v>1849</v>
      </c>
      <c r="I640" s="116">
        <v>48</v>
      </c>
      <c r="J640" s="275" t="s">
        <v>1852</v>
      </c>
      <c r="K640" s="118" t="s">
        <v>1073</v>
      </c>
      <c r="L640" s="118"/>
      <c r="M640" s="70" t="str">
        <f t="shared" si="43"/>
        <v>INT-0125-25</v>
      </c>
      <c r="N640" s="119"/>
      <c r="O640" s="314"/>
    </row>
    <row r="641" spans="1:15" ht="15" x14ac:dyDescent="0.25">
      <c r="A641" s="244">
        <v>45890</v>
      </c>
      <c r="B641" s="114" t="s">
        <v>1835</v>
      </c>
      <c r="C641" s="115" t="s">
        <v>1066</v>
      </c>
      <c r="D641" s="116" t="s">
        <v>1212</v>
      </c>
      <c r="E641" s="117" t="s">
        <v>1213</v>
      </c>
      <c r="F641" s="216" t="s">
        <v>1214</v>
      </c>
      <c r="G641" s="244" t="s">
        <v>1844</v>
      </c>
      <c r="H641" s="216" t="s">
        <v>1850</v>
      </c>
      <c r="I641" s="116">
        <v>140</v>
      </c>
      <c r="J641" s="275" t="s">
        <v>1852</v>
      </c>
      <c r="K641" s="118" t="s">
        <v>1073</v>
      </c>
      <c r="L641" s="118"/>
      <c r="M641" s="70" t="str">
        <f t="shared" si="43"/>
        <v>INT-0125-25</v>
      </c>
      <c r="N641" s="119"/>
      <c r="O641" s="314"/>
    </row>
    <row r="642" spans="1:15" ht="15" x14ac:dyDescent="0.25">
      <c r="A642" s="244">
        <v>45890</v>
      </c>
      <c r="B642" s="114" t="s">
        <v>1835</v>
      </c>
      <c r="C642" s="115" t="s">
        <v>1066</v>
      </c>
      <c r="D642" s="116" t="s">
        <v>36</v>
      </c>
      <c r="E642" s="117" t="s">
        <v>37</v>
      </c>
      <c r="F642" s="216" t="s">
        <v>1841</v>
      </c>
      <c r="G642" s="244" t="s">
        <v>1845</v>
      </c>
      <c r="H642" s="216" t="s">
        <v>1851</v>
      </c>
      <c r="I642" s="116">
        <v>24</v>
      </c>
      <c r="J642" s="275" t="s">
        <v>1852</v>
      </c>
      <c r="K642" s="118" t="s">
        <v>1073</v>
      </c>
      <c r="L642" s="118"/>
      <c r="M642" s="70" t="str">
        <f t="shared" si="43"/>
        <v>INT-0125-25</v>
      </c>
      <c r="N642" s="119"/>
      <c r="O642" s="314"/>
    </row>
    <row r="643" spans="1:15" ht="15" x14ac:dyDescent="0.25">
      <c r="A643" s="244">
        <v>45894</v>
      </c>
      <c r="B643" s="114" t="s">
        <v>1853</v>
      </c>
      <c r="C643" s="115" t="s">
        <v>1066</v>
      </c>
      <c r="D643" s="116" t="s">
        <v>42</v>
      </c>
      <c r="E643" s="117" t="s">
        <v>43</v>
      </c>
      <c r="F643" s="216" t="s">
        <v>904</v>
      </c>
      <c r="G643" s="244" t="s">
        <v>1710</v>
      </c>
      <c r="H643" s="216" t="s">
        <v>1855</v>
      </c>
      <c r="I643" s="116">
        <v>12</v>
      </c>
      <c r="J643" s="275" t="s">
        <v>1852</v>
      </c>
      <c r="K643" s="118" t="s">
        <v>1073</v>
      </c>
      <c r="L643" s="118"/>
      <c r="M643" s="70" t="str">
        <f>HYPERLINK("P:\7. LONG HAU\7. CAC THEO DOI TRONG QUA TRINH\4. DEVIATION- INCIDENTS\THEO DÕI NỘI BỘ (NGOÀI BBSC)\"&amp;YEAR(A643)&amp;"\"&amp;B643,B643)</f>
        <v>INT-0126-25</v>
      </c>
      <c r="N643" s="119"/>
      <c r="O643" s="314"/>
    </row>
    <row r="644" spans="1:15" ht="15" x14ac:dyDescent="0.25">
      <c r="A644" s="244">
        <v>45894</v>
      </c>
      <c r="B644" s="114" t="s">
        <v>1853</v>
      </c>
      <c r="C644" s="115" t="s">
        <v>1066</v>
      </c>
      <c r="D644" s="116" t="s">
        <v>36</v>
      </c>
      <c r="E644" s="117" t="s">
        <v>37</v>
      </c>
      <c r="F644" s="216" t="s">
        <v>364</v>
      </c>
      <c r="G644" s="244" t="s">
        <v>1710</v>
      </c>
      <c r="H644" s="216" t="s">
        <v>1856</v>
      </c>
      <c r="I644" s="116">
        <v>15</v>
      </c>
      <c r="J644" s="275" t="s">
        <v>1852</v>
      </c>
      <c r="K644" s="118" t="s">
        <v>1073</v>
      </c>
      <c r="L644" s="118"/>
      <c r="M644" s="70" t="str">
        <f t="shared" ref="M644:M651" si="44">HYPERLINK("P:\7. LONG HAU\7. CAC THEO DOI TRONG QUA TRINH\4. DEVIATION- INCIDENTS\THEO DÕI NỘI BỘ (NGOÀI BBSC)\"&amp;YEAR(A644)&amp;"\"&amp;B644,B644)</f>
        <v>INT-0126-25</v>
      </c>
      <c r="N644" s="119"/>
      <c r="O644" s="314"/>
    </row>
    <row r="645" spans="1:15" ht="15" x14ac:dyDescent="0.25">
      <c r="A645" s="244">
        <v>45894</v>
      </c>
      <c r="B645" s="114" t="s">
        <v>1853</v>
      </c>
      <c r="C645" s="115" t="s">
        <v>1066</v>
      </c>
      <c r="D645" s="116" t="s">
        <v>47</v>
      </c>
      <c r="E645" s="117" t="s">
        <v>48</v>
      </c>
      <c r="F645" s="216" t="s">
        <v>812</v>
      </c>
      <c r="G645" s="244" t="s">
        <v>1741</v>
      </c>
      <c r="H645" s="216" t="s">
        <v>1857</v>
      </c>
      <c r="I645" s="116">
        <v>9</v>
      </c>
      <c r="J645" s="275" t="s">
        <v>1852</v>
      </c>
      <c r="K645" s="118" t="s">
        <v>1073</v>
      </c>
      <c r="L645" s="118"/>
      <c r="M645" s="70" t="str">
        <f t="shared" si="44"/>
        <v>INT-0126-25</v>
      </c>
      <c r="N645" s="119"/>
      <c r="O645" s="314"/>
    </row>
    <row r="646" spans="1:15" ht="15" x14ac:dyDescent="0.25">
      <c r="A646" s="244">
        <v>45894</v>
      </c>
      <c r="B646" s="114" t="s">
        <v>1853</v>
      </c>
      <c r="C646" s="115" t="s">
        <v>1066</v>
      </c>
      <c r="D646" s="116" t="s">
        <v>34</v>
      </c>
      <c r="E646" s="117" t="s">
        <v>35</v>
      </c>
      <c r="F646" s="216" t="s">
        <v>1094</v>
      </c>
      <c r="G646" s="244" t="s">
        <v>1710</v>
      </c>
      <c r="H646" s="216" t="s">
        <v>1858</v>
      </c>
      <c r="I646" s="116">
        <v>4</v>
      </c>
      <c r="J646" s="275" t="s">
        <v>1852</v>
      </c>
      <c r="K646" s="118" t="s">
        <v>1073</v>
      </c>
      <c r="L646" s="118"/>
      <c r="M646" s="70" t="str">
        <f t="shared" si="44"/>
        <v>INT-0126-25</v>
      </c>
      <c r="N646" s="119"/>
      <c r="O646" s="314"/>
    </row>
    <row r="647" spans="1:15" ht="15" x14ac:dyDescent="0.25">
      <c r="A647" s="244">
        <v>45894</v>
      </c>
      <c r="B647" s="114" t="s">
        <v>1853</v>
      </c>
      <c r="C647" s="115" t="s">
        <v>1066</v>
      </c>
      <c r="D647" s="116" t="s">
        <v>39</v>
      </c>
      <c r="E647" s="117" t="s">
        <v>40</v>
      </c>
      <c r="F647" s="216" t="s">
        <v>614</v>
      </c>
      <c r="G647" s="244" t="s">
        <v>1709</v>
      </c>
      <c r="H647" s="216" t="s">
        <v>1859</v>
      </c>
      <c r="I647" s="116">
        <v>3</v>
      </c>
      <c r="J647" s="275" t="s">
        <v>1852</v>
      </c>
      <c r="K647" s="118" t="s">
        <v>1073</v>
      </c>
      <c r="L647" s="118"/>
      <c r="M647" s="70" t="str">
        <f t="shared" si="44"/>
        <v>INT-0126-25</v>
      </c>
      <c r="N647" s="119"/>
      <c r="O647" s="314"/>
    </row>
    <row r="648" spans="1:15" ht="25.5" x14ac:dyDescent="0.25">
      <c r="A648" s="244">
        <v>45894</v>
      </c>
      <c r="B648" s="114" t="s">
        <v>1853</v>
      </c>
      <c r="C648" s="115" t="s">
        <v>1066</v>
      </c>
      <c r="D648" s="116" t="s">
        <v>44</v>
      </c>
      <c r="E648" s="117" t="s">
        <v>45</v>
      </c>
      <c r="F648" s="216" t="s">
        <v>1854</v>
      </c>
      <c r="G648" s="244" t="s">
        <v>1543</v>
      </c>
      <c r="H648" s="205" t="s">
        <v>1863</v>
      </c>
      <c r="I648" s="116">
        <v>2</v>
      </c>
      <c r="J648" s="275" t="s">
        <v>1862</v>
      </c>
      <c r="K648" s="118" t="s">
        <v>1073</v>
      </c>
      <c r="L648" s="118"/>
      <c r="M648" s="70" t="str">
        <f t="shared" si="44"/>
        <v>INT-0126-25</v>
      </c>
      <c r="N648" s="119"/>
      <c r="O648" s="314"/>
    </row>
    <row r="649" spans="1:15" ht="15" x14ac:dyDescent="0.25">
      <c r="A649" s="244">
        <v>45894</v>
      </c>
      <c r="B649" s="114" t="s">
        <v>1853</v>
      </c>
      <c r="C649" s="115" t="s">
        <v>1066</v>
      </c>
      <c r="D649" s="116" t="s">
        <v>905</v>
      </c>
      <c r="E649" s="117" t="s">
        <v>906</v>
      </c>
      <c r="F649" s="216" t="s">
        <v>907</v>
      </c>
      <c r="G649" s="244" t="s">
        <v>1742</v>
      </c>
      <c r="H649" s="216" t="s">
        <v>1860</v>
      </c>
      <c r="I649" s="116">
        <v>12</v>
      </c>
      <c r="J649" s="275" t="s">
        <v>1852</v>
      </c>
      <c r="K649" s="118" t="s">
        <v>1073</v>
      </c>
      <c r="L649" s="118"/>
      <c r="M649" s="70" t="str">
        <f t="shared" si="44"/>
        <v>INT-0126-25</v>
      </c>
      <c r="N649" s="119"/>
      <c r="O649" s="314"/>
    </row>
    <row r="650" spans="1:15" ht="15" x14ac:dyDescent="0.25">
      <c r="A650" s="244">
        <v>45894</v>
      </c>
      <c r="B650" s="114" t="s">
        <v>1853</v>
      </c>
      <c r="C650" s="115" t="s">
        <v>1066</v>
      </c>
      <c r="D650" s="116" t="s">
        <v>414</v>
      </c>
      <c r="E650" s="117" t="s">
        <v>415</v>
      </c>
      <c r="F650" s="216" t="s">
        <v>416</v>
      </c>
      <c r="G650" s="244" t="s">
        <v>1543</v>
      </c>
      <c r="H650" s="205" t="s">
        <v>1864</v>
      </c>
      <c r="I650" s="116">
        <v>3</v>
      </c>
      <c r="J650" s="275" t="s">
        <v>1862</v>
      </c>
      <c r="K650" s="118" t="s">
        <v>1073</v>
      </c>
      <c r="L650" s="118"/>
      <c r="M650" s="70" t="str">
        <f t="shared" si="44"/>
        <v>INT-0126-25</v>
      </c>
      <c r="N650" s="119"/>
      <c r="O650" s="314"/>
    </row>
    <row r="651" spans="1:15" ht="15" x14ac:dyDescent="0.25">
      <c r="A651" s="244">
        <v>45894</v>
      </c>
      <c r="B651" s="114" t="s">
        <v>1853</v>
      </c>
      <c r="C651" s="115" t="s">
        <v>1066</v>
      </c>
      <c r="D651" s="116" t="s">
        <v>968</v>
      </c>
      <c r="E651" s="117" t="s">
        <v>969</v>
      </c>
      <c r="F651" s="216" t="s">
        <v>974</v>
      </c>
      <c r="G651" s="244" t="s">
        <v>1545</v>
      </c>
      <c r="H651" s="216" t="s">
        <v>1861</v>
      </c>
      <c r="I651" s="116">
        <v>13</v>
      </c>
      <c r="J651" s="275" t="s">
        <v>1852</v>
      </c>
      <c r="K651" s="118" t="s">
        <v>1073</v>
      </c>
      <c r="L651" s="118"/>
      <c r="M651" s="70" t="str">
        <f t="shared" si="44"/>
        <v>INT-0126-25</v>
      </c>
      <c r="N651" s="119"/>
      <c r="O651" s="314"/>
    </row>
    <row r="652" spans="1:15" ht="15" x14ac:dyDescent="0.25">
      <c r="A652" s="233">
        <v>45896</v>
      </c>
      <c r="B652" s="35" t="s">
        <v>1865</v>
      </c>
      <c r="C652" s="47" t="s">
        <v>1066</v>
      </c>
      <c r="D652" s="48" t="s">
        <v>42</v>
      </c>
      <c r="E652" s="38" t="s">
        <v>43</v>
      </c>
      <c r="F652" s="205" t="s">
        <v>1427</v>
      </c>
      <c r="G652" s="233" t="s">
        <v>1742</v>
      </c>
      <c r="H652" s="205" t="s">
        <v>1869</v>
      </c>
      <c r="I652" s="48">
        <v>177</v>
      </c>
      <c r="J652" s="165" t="s">
        <v>1884</v>
      </c>
      <c r="K652" s="40" t="s">
        <v>1072</v>
      </c>
      <c r="L652" s="40"/>
      <c r="M652" s="70" t="str">
        <f t="shared" ref="M652:M666" si="45">HYPERLINK("P:\7. LONG HAU\7. CAC THEO DOI TRONG QUA TRINH\4. DEVIATION- INCIDENTS\THEO DÕI NỘI BỘ (NGOÀI BBSC)\"&amp;YEAR(A652)&amp;"\"&amp;B652,B652)</f>
        <v>INT-0127-25</v>
      </c>
      <c r="N652" s="173"/>
      <c r="O652" s="329"/>
    </row>
    <row r="653" spans="1:15" ht="15" x14ac:dyDescent="0.25">
      <c r="A653" s="233">
        <v>45896</v>
      </c>
      <c r="B653" s="35" t="s">
        <v>1865</v>
      </c>
      <c r="C653" s="47" t="s">
        <v>1066</v>
      </c>
      <c r="D653" s="48" t="s">
        <v>42</v>
      </c>
      <c r="E653" s="38" t="s">
        <v>43</v>
      </c>
      <c r="F653" s="205" t="s">
        <v>904</v>
      </c>
      <c r="G653" s="233" t="s">
        <v>1710</v>
      </c>
      <c r="H653" s="205" t="s">
        <v>1870</v>
      </c>
      <c r="I653" s="48">
        <v>1</v>
      </c>
      <c r="J653" s="165" t="s">
        <v>1884</v>
      </c>
      <c r="K653" s="40" t="s">
        <v>1072</v>
      </c>
      <c r="L653" s="40"/>
      <c r="M653" s="70" t="str">
        <f t="shared" si="45"/>
        <v>INT-0127-25</v>
      </c>
      <c r="N653" s="173"/>
      <c r="O653" s="329"/>
    </row>
    <row r="654" spans="1:15" ht="15" x14ac:dyDescent="0.25">
      <c r="A654" s="233">
        <v>45896</v>
      </c>
      <c r="B654" s="35" t="s">
        <v>1865</v>
      </c>
      <c r="C654" s="47" t="s">
        <v>1066</v>
      </c>
      <c r="D654" s="48" t="s">
        <v>42</v>
      </c>
      <c r="E654" s="38" t="s">
        <v>43</v>
      </c>
      <c r="F654" s="205" t="s">
        <v>1753</v>
      </c>
      <c r="G654" s="233" t="s">
        <v>1764</v>
      </c>
      <c r="H654" s="205" t="s">
        <v>1871</v>
      </c>
      <c r="I654" s="48">
        <v>4</v>
      </c>
      <c r="J654" s="165" t="s">
        <v>1885</v>
      </c>
      <c r="K654" s="40" t="s">
        <v>1073</v>
      </c>
      <c r="L654" s="40"/>
      <c r="M654" s="70" t="str">
        <f t="shared" si="45"/>
        <v>INT-0127-25</v>
      </c>
      <c r="N654" s="173"/>
      <c r="O654" s="329"/>
    </row>
    <row r="655" spans="1:15" ht="15" x14ac:dyDescent="0.25">
      <c r="A655" s="233">
        <v>45896</v>
      </c>
      <c r="B655" s="35" t="s">
        <v>1865</v>
      </c>
      <c r="C655" s="47" t="s">
        <v>1066</v>
      </c>
      <c r="D655" s="48" t="s">
        <v>42</v>
      </c>
      <c r="E655" s="38" t="s">
        <v>43</v>
      </c>
      <c r="F655" s="205" t="s">
        <v>1081</v>
      </c>
      <c r="G655" s="233" t="s">
        <v>1742</v>
      </c>
      <c r="H655" s="205" t="s">
        <v>1872</v>
      </c>
      <c r="I655" s="48">
        <v>93</v>
      </c>
      <c r="J655" s="165" t="s">
        <v>1884</v>
      </c>
      <c r="K655" s="40" t="s">
        <v>1072</v>
      </c>
      <c r="L655" s="40"/>
      <c r="M655" s="70" t="str">
        <f t="shared" si="45"/>
        <v>INT-0127-25</v>
      </c>
      <c r="N655" s="173"/>
      <c r="O655" s="329"/>
    </row>
    <row r="656" spans="1:15" ht="15" x14ac:dyDescent="0.25">
      <c r="A656" s="233">
        <v>45896</v>
      </c>
      <c r="B656" s="35" t="s">
        <v>1865</v>
      </c>
      <c r="C656" s="47" t="s">
        <v>1066</v>
      </c>
      <c r="D656" s="48" t="s">
        <v>1255</v>
      </c>
      <c r="E656" s="38" t="s">
        <v>1256</v>
      </c>
      <c r="F656" s="205" t="s">
        <v>1866</v>
      </c>
      <c r="G656" s="233" t="s">
        <v>1844</v>
      </c>
      <c r="H656" s="205" t="s">
        <v>1873</v>
      </c>
      <c r="I656" s="48">
        <v>35</v>
      </c>
      <c r="J656" s="165" t="s">
        <v>1884</v>
      </c>
      <c r="K656" s="40" t="s">
        <v>1072</v>
      </c>
      <c r="L656" s="40"/>
      <c r="M656" s="70" t="str">
        <f t="shared" si="45"/>
        <v>INT-0127-25</v>
      </c>
      <c r="N656" s="173"/>
      <c r="O656" s="329"/>
    </row>
    <row r="657" spans="1:15" ht="15" x14ac:dyDescent="0.25">
      <c r="A657" s="233">
        <v>45896</v>
      </c>
      <c r="B657" s="35" t="s">
        <v>1865</v>
      </c>
      <c r="C657" s="47" t="s">
        <v>1066</v>
      </c>
      <c r="D657" s="48" t="s">
        <v>1255</v>
      </c>
      <c r="E657" s="38" t="s">
        <v>1256</v>
      </c>
      <c r="F657" s="205" t="s">
        <v>1727</v>
      </c>
      <c r="G657" s="233" t="s">
        <v>1844</v>
      </c>
      <c r="H657" s="205" t="s">
        <v>1874</v>
      </c>
      <c r="I657" s="48">
        <v>76</v>
      </c>
      <c r="J657" s="165" t="s">
        <v>1884</v>
      </c>
      <c r="K657" s="40" t="s">
        <v>1072</v>
      </c>
      <c r="L657" s="40"/>
      <c r="M657" s="70" t="str">
        <f t="shared" si="45"/>
        <v>INT-0127-25</v>
      </c>
      <c r="N657" s="173"/>
      <c r="O657" s="329"/>
    </row>
    <row r="658" spans="1:15" ht="15" x14ac:dyDescent="0.25">
      <c r="A658" s="233">
        <v>45896</v>
      </c>
      <c r="B658" s="35" t="s">
        <v>1865</v>
      </c>
      <c r="C658" s="47" t="s">
        <v>1066</v>
      </c>
      <c r="D658" s="48" t="s">
        <v>34</v>
      </c>
      <c r="E658" s="38" t="s">
        <v>35</v>
      </c>
      <c r="F658" s="205" t="s">
        <v>903</v>
      </c>
      <c r="G658" s="233" t="s">
        <v>1845</v>
      </c>
      <c r="H658" s="205" t="s">
        <v>1875</v>
      </c>
      <c r="I658" s="48">
        <v>84</v>
      </c>
      <c r="J658" s="165" t="s">
        <v>1884</v>
      </c>
      <c r="K658" s="40" t="s">
        <v>1072</v>
      </c>
      <c r="L658" s="40"/>
      <c r="M658" s="70" t="str">
        <f t="shared" si="45"/>
        <v>INT-0127-25</v>
      </c>
      <c r="N658" s="173"/>
      <c r="O658" s="329"/>
    </row>
    <row r="659" spans="1:15" ht="15" x14ac:dyDescent="0.25">
      <c r="A659" s="233">
        <v>45896</v>
      </c>
      <c r="B659" s="35" t="s">
        <v>1865</v>
      </c>
      <c r="C659" s="47" t="s">
        <v>1066</v>
      </c>
      <c r="D659" s="48" t="s">
        <v>39</v>
      </c>
      <c r="E659" s="38" t="s">
        <v>40</v>
      </c>
      <c r="F659" s="205" t="s">
        <v>973</v>
      </c>
      <c r="G659" s="233" t="s">
        <v>1709</v>
      </c>
      <c r="H659" s="205" t="s">
        <v>1876</v>
      </c>
      <c r="I659" s="48">
        <v>3</v>
      </c>
      <c r="J659" s="165" t="s">
        <v>1884</v>
      </c>
      <c r="K659" s="40" t="s">
        <v>1072</v>
      </c>
      <c r="L659" s="40"/>
      <c r="M659" s="70" t="str">
        <f t="shared" si="45"/>
        <v>INT-0127-25</v>
      </c>
      <c r="N659" s="173"/>
      <c r="O659" s="329"/>
    </row>
    <row r="660" spans="1:15" ht="15" x14ac:dyDescent="0.25">
      <c r="A660" s="233">
        <v>45896</v>
      </c>
      <c r="B660" s="35" t="s">
        <v>1865</v>
      </c>
      <c r="C660" s="47" t="s">
        <v>1066</v>
      </c>
      <c r="D660" s="48" t="s">
        <v>39</v>
      </c>
      <c r="E660" s="38" t="s">
        <v>40</v>
      </c>
      <c r="F660" s="205" t="s">
        <v>614</v>
      </c>
      <c r="G660" s="233" t="s">
        <v>1709</v>
      </c>
      <c r="H660" s="205" t="s">
        <v>1877</v>
      </c>
      <c r="I660" s="48">
        <v>5</v>
      </c>
      <c r="J660" s="165" t="s">
        <v>1884</v>
      </c>
      <c r="K660" s="40" t="s">
        <v>1072</v>
      </c>
      <c r="L660" s="40"/>
      <c r="M660" s="70" t="str">
        <f t="shared" si="45"/>
        <v>INT-0127-25</v>
      </c>
      <c r="N660" s="173"/>
      <c r="O660" s="329"/>
    </row>
    <row r="661" spans="1:15" ht="15" x14ac:dyDescent="0.25">
      <c r="A661" s="233">
        <v>45896</v>
      </c>
      <c r="B661" s="35" t="s">
        <v>1865</v>
      </c>
      <c r="C661" s="47" t="s">
        <v>1066</v>
      </c>
      <c r="D661" s="48" t="s">
        <v>39</v>
      </c>
      <c r="E661" s="38" t="s">
        <v>40</v>
      </c>
      <c r="F661" s="205" t="s">
        <v>1867</v>
      </c>
      <c r="G661" s="233" t="s">
        <v>1845</v>
      </c>
      <c r="H661" s="205" t="s">
        <v>1878</v>
      </c>
      <c r="I661" s="48">
        <v>24</v>
      </c>
      <c r="J661" s="165" t="s">
        <v>1884</v>
      </c>
      <c r="K661" s="40" t="s">
        <v>1072</v>
      </c>
      <c r="L661" s="40"/>
      <c r="M661" s="70" t="str">
        <f t="shared" si="45"/>
        <v>INT-0127-25</v>
      </c>
      <c r="N661" s="173"/>
      <c r="O661" s="329"/>
    </row>
    <row r="662" spans="1:15" ht="15" x14ac:dyDescent="0.25">
      <c r="A662" s="233">
        <v>45896</v>
      </c>
      <c r="B662" s="35" t="s">
        <v>1865</v>
      </c>
      <c r="C662" s="47" t="s">
        <v>1066</v>
      </c>
      <c r="D662" s="48" t="s">
        <v>47</v>
      </c>
      <c r="E662" s="38" t="s">
        <v>48</v>
      </c>
      <c r="F662" s="205" t="s">
        <v>619</v>
      </c>
      <c r="G662" s="233" t="s">
        <v>1845</v>
      </c>
      <c r="H662" s="205" t="s">
        <v>1879</v>
      </c>
      <c r="I662" s="48">
        <v>46</v>
      </c>
      <c r="J662" s="165" t="s">
        <v>1884</v>
      </c>
      <c r="K662" s="40" t="s">
        <v>1072</v>
      </c>
      <c r="L662" s="40"/>
      <c r="M662" s="70" t="str">
        <f t="shared" si="45"/>
        <v>INT-0127-25</v>
      </c>
      <c r="N662" s="173"/>
      <c r="O662" s="329"/>
    </row>
    <row r="663" spans="1:15" ht="15" x14ac:dyDescent="0.25">
      <c r="A663" s="233">
        <v>45896</v>
      </c>
      <c r="B663" s="35" t="s">
        <v>1865</v>
      </c>
      <c r="C663" s="47" t="s">
        <v>1066</v>
      </c>
      <c r="D663" s="48" t="s">
        <v>36</v>
      </c>
      <c r="E663" s="38" t="s">
        <v>37</v>
      </c>
      <c r="F663" s="205" t="s">
        <v>1841</v>
      </c>
      <c r="G663" s="233" t="s">
        <v>1845</v>
      </c>
      <c r="H663" s="205" t="s">
        <v>1880</v>
      </c>
      <c r="I663" s="48">
        <v>21</v>
      </c>
      <c r="J663" s="165" t="s">
        <v>1884</v>
      </c>
      <c r="K663" s="40" t="s">
        <v>1072</v>
      </c>
      <c r="L663" s="40"/>
      <c r="M663" s="70" t="str">
        <f t="shared" si="45"/>
        <v>INT-0127-25</v>
      </c>
      <c r="N663" s="173"/>
      <c r="O663" s="329"/>
    </row>
    <row r="664" spans="1:15" ht="15" x14ac:dyDescent="0.25">
      <c r="A664" s="233">
        <v>45896</v>
      </c>
      <c r="B664" s="35" t="s">
        <v>1865</v>
      </c>
      <c r="C664" s="47" t="s">
        <v>1066</v>
      </c>
      <c r="D664" s="48" t="s">
        <v>36</v>
      </c>
      <c r="E664" s="38" t="s">
        <v>37</v>
      </c>
      <c r="F664" s="205" t="s">
        <v>364</v>
      </c>
      <c r="G664" s="233" t="s">
        <v>1710</v>
      </c>
      <c r="H664" s="205" t="s">
        <v>1881</v>
      </c>
      <c r="I664" s="48">
        <v>9</v>
      </c>
      <c r="J664" s="165" t="s">
        <v>1884</v>
      </c>
      <c r="K664" s="40" t="s">
        <v>1072</v>
      </c>
      <c r="L664" s="40"/>
      <c r="M664" s="70" t="str">
        <f t="shared" si="45"/>
        <v>INT-0127-25</v>
      </c>
      <c r="N664" s="173"/>
      <c r="O664" s="329"/>
    </row>
    <row r="665" spans="1:15" ht="15" x14ac:dyDescent="0.25">
      <c r="A665" s="233">
        <v>45896</v>
      </c>
      <c r="B665" s="35" t="s">
        <v>1865</v>
      </c>
      <c r="C665" s="47" t="s">
        <v>1066</v>
      </c>
      <c r="D665" s="48" t="s">
        <v>36</v>
      </c>
      <c r="E665" s="38" t="s">
        <v>37</v>
      </c>
      <c r="F665" s="205" t="s">
        <v>1868</v>
      </c>
      <c r="G665" s="233" t="s">
        <v>1742</v>
      </c>
      <c r="H665" s="205" t="s">
        <v>1882</v>
      </c>
      <c r="I665" s="48">
        <v>49</v>
      </c>
      <c r="J665" s="165" t="s">
        <v>1884</v>
      </c>
      <c r="K665" s="40" t="s">
        <v>1072</v>
      </c>
      <c r="L665" s="40"/>
      <c r="M665" s="70" t="str">
        <f t="shared" si="45"/>
        <v>INT-0127-25</v>
      </c>
      <c r="N665" s="173"/>
      <c r="O665" s="329"/>
    </row>
    <row r="666" spans="1:15" ht="15" x14ac:dyDescent="0.25">
      <c r="A666" s="233">
        <v>45896</v>
      </c>
      <c r="B666" s="35" t="s">
        <v>1865</v>
      </c>
      <c r="C666" s="47" t="s">
        <v>1066</v>
      </c>
      <c r="D666" s="48" t="s">
        <v>36</v>
      </c>
      <c r="E666" s="38" t="s">
        <v>37</v>
      </c>
      <c r="F666" s="205" t="s">
        <v>1840</v>
      </c>
      <c r="G666" s="233" t="s">
        <v>1742</v>
      </c>
      <c r="H666" s="205" t="s">
        <v>1883</v>
      </c>
      <c r="I666" s="48">
        <v>5</v>
      </c>
      <c r="J666" s="165" t="s">
        <v>1884</v>
      </c>
      <c r="K666" s="40" t="s">
        <v>1072</v>
      </c>
      <c r="L666" s="40"/>
      <c r="M666" s="70" t="str">
        <f t="shared" si="45"/>
        <v>INT-0127-25</v>
      </c>
      <c r="N666" s="173"/>
      <c r="O666" s="329"/>
    </row>
    <row r="667" spans="1:15" ht="25.5" x14ac:dyDescent="0.25">
      <c r="A667" s="244">
        <v>45896</v>
      </c>
      <c r="B667" s="114" t="s">
        <v>1886</v>
      </c>
      <c r="C667" s="115" t="s">
        <v>1066</v>
      </c>
      <c r="D667" s="116" t="s">
        <v>1887</v>
      </c>
      <c r="E667" s="117" t="s">
        <v>1888</v>
      </c>
      <c r="F667" s="216">
        <v>0</v>
      </c>
      <c r="G667" s="244">
        <v>36525</v>
      </c>
      <c r="H667" s="216" t="s">
        <v>1889</v>
      </c>
      <c r="I667" s="116">
        <v>1</v>
      </c>
      <c r="J667" s="165" t="s">
        <v>1890</v>
      </c>
      <c r="K667" s="40" t="s">
        <v>1072</v>
      </c>
      <c r="L667" s="118">
        <v>0</v>
      </c>
      <c r="M667" s="70" t="str">
        <f t="shared" ref="M667:M673" si="46">HYPERLINK("P:\7. LONG HAU\7. CAC THEO DOI TRONG QUA TRINH\4. DEVIATION- INCIDENTS\THEO DÕI NỘI BỘ (NGOÀI BBSC)\"&amp;YEAR(A667)&amp;"\"&amp;B667,B667)</f>
        <v>INT-0128-25</v>
      </c>
      <c r="N667" s="119">
        <v>0</v>
      </c>
      <c r="O667" s="314"/>
    </row>
    <row r="668" spans="1:15" ht="15" x14ac:dyDescent="0.25">
      <c r="A668" s="244">
        <v>45897</v>
      </c>
      <c r="B668" s="114" t="s">
        <v>1891</v>
      </c>
      <c r="C668" s="115" t="s">
        <v>1066</v>
      </c>
      <c r="D668" s="116" t="s">
        <v>1292</v>
      </c>
      <c r="E668" s="117" t="s">
        <v>1293</v>
      </c>
      <c r="F668" s="216" t="s">
        <v>1404</v>
      </c>
      <c r="G668" s="244">
        <v>45930</v>
      </c>
      <c r="H668" s="216" t="s">
        <v>1892</v>
      </c>
      <c r="I668" s="116">
        <v>72</v>
      </c>
      <c r="J668" s="165" t="s">
        <v>366</v>
      </c>
      <c r="K668" s="118" t="s">
        <v>1073</v>
      </c>
      <c r="L668" s="118"/>
      <c r="M668" s="70" t="str">
        <f t="shared" si="46"/>
        <v>INT-0129-25</v>
      </c>
      <c r="N668" s="119"/>
      <c r="O668" s="314"/>
    </row>
    <row r="669" spans="1:15" ht="15" x14ac:dyDescent="0.25">
      <c r="A669" s="233">
        <v>45897</v>
      </c>
      <c r="B669" s="35" t="s">
        <v>1891</v>
      </c>
      <c r="C669" s="47" t="s">
        <v>1066</v>
      </c>
      <c r="D669" s="48" t="s">
        <v>1292</v>
      </c>
      <c r="E669" s="38" t="s">
        <v>1293</v>
      </c>
      <c r="F669" s="205" t="s">
        <v>1541</v>
      </c>
      <c r="G669" s="233">
        <v>45961</v>
      </c>
      <c r="H669" s="205" t="s">
        <v>1893</v>
      </c>
      <c r="I669" s="48">
        <v>35</v>
      </c>
      <c r="J669" s="165" t="s">
        <v>366</v>
      </c>
      <c r="K669" s="40" t="s">
        <v>1073</v>
      </c>
      <c r="L669" s="40"/>
      <c r="M669" s="70" t="str">
        <f t="shared" si="46"/>
        <v>INT-0129-25</v>
      </c>
      <c r="N669" s="330"/>
      <c r="O669" s="331"/>
    </row>
    <row r="670" spans="1:15" ht="25.5" x14ac:dyDescent="0.25">
      <c r="A670" s="244">
        <v>45897</v>
      </c>
      <c r="B670" s="114" t="s">
        <v>1894</v>
      </c>
      <c r="C670" s="115" t="s">
        <v>547</v>
      </c>
      <c r="D670" s="116" t="s">
        <v>537</v>
      </c>
      <c r="E670" s="117" t="s">
        <v>1897</v>
      </c>
      <c r="F670" s="205" t="s">
        <v>1499</v>
      </c>
      <c r="G670" s="244" t="s">
        <v>1499</v>
      </c>
      <c r="H670" s="216" t="s">
        <v>1499</v>
      </c>
      <c r="I670" s="116" t="s">
        <v>1499</v>
      </c>
      <c r="J670" s="275" t="s">
        <v>1623</v>
      </c>
      <c r="K670" s="118" t="s">
        <v>1072</v>
      </c>
      <c r="L670" s="118"/>
      <c r="M670" s="70" t="str">
        <f t="shared" si="46"/>
        <v>INT-0130-25</v>
      </c>
      <c r="N670" s="119"/>
      <c r="O670" s="314"/>
    </row>
    <row r="671" spans="1:15" ht="25.5" x14ac:dyDescent="0.25">
      <c r="A671" s="244">
        <v>45897</v>
      </c>
      <c r="B671" s="114" t="s">
        <v>1895</v>
      </c>
      <c r="C671" s="115" t="s">
        <v>547</v>
      </c>
      <c r="D671" s="116" t="s">
        <v>537</v>
      </c>
      <c r="E671" s="117" t="s">
        <v>1896</v>
      </c>
      <c r="F671" s="216" t="s">
        <v>1499</v>
      </c>
      <c r="G671" s="244" t="s">
        <v>1499</v>
      </c>
      <c r="H671" s="216" t="s">
        <v>1499</v>
      </c>
      <c r="I671" s="116" t="s">
        <v>1499</v>
      </c>
      <c r="J671" s="275" t="s">
        <v>1623</v>
      </c>
      <c r="K671" s="118" t="s">
        <v>1072</v>
      </c>
      <c r="L671" s="118"/>
      <c r="M671" s="70" t="str">
        <f t="shared" si="46"/>
        <v>INT-0131-25</v>
      </c>
      <c r="N671" s="119"/>
      <c r="O671" s="314"/>
    </row>
    <row r="672" spans="1:15" ht="15" x14ac:dyDescent="0.25">
      <c r="A672" s="244">
        <v>45898</v>
      </c>
      <c r="B672" s="114" t="s">
        <v>1898</v>
      </c>
      <c r="C672" s="115" t="s">
        <v>1066</v>
      </c>
      <c r="D672" s="116" t="s">
        <v>1899</v>
      </c>
      <c r="E672" s="117" t="s">
        <v>1900</v>
      </c>
      <c r="F672" s="216" t="s">
        <v>1901</v>
      </c>
      <c r="G672" s="244">
        <v>45900</v>
      </c>
      <c r="H672" s="216" t="s">
        <v>1902</v>
      </c>
      <c r="I672" s="116">
        <v>5</v>
      </c>
      <c r="J672" s="165"/>
      <c r="K672" s="40" t="s">
        <v>1072</v>
      </c>
      <c r="L672" s="118"/>
      <c r="M672" s="70" t="str">
        <f t="shared" si="46"/>
        <v>INT-0132-25</v>
      </c>
      <c r="N672" s="119"/>
      <c r="O672" s="314"/>
    </row>
    <row r="673" spans="1:15" ht="15" x14ac:dyDescent="0.25">
      <c r="A673" s="233">
        <v>45898</v>
      </c>
      <c r="B673" s="35" t="s">
        <v>1903</v>
      </c>
      <c r="C673" s="47" t="s">
        <v>1066</v>
      </c>
      <c r="D673" s="48" t="s">
        <v>1255</v>
      </c>
      <c r="E673" s="38" t="s">
        <v>1256</v>
      </c>
      <c r="F673" s="205" t="s">
        <v>1904</v>
      </c>
      <c r="G673" s="233">
        <v>46053</v>
      </c>
      <c r="H673" s="205">
        <v>193070</v>
      </c>
      <c r="I673" s="48">
        <v>56</v>
      </c>
      <c r="J673" s="165" t="s">
        <v>1834</v>
      </c>
      <c r="K673" s="40" t="s">
        <v>1073</v>
      </c>
      <c r="L673" s="40"/>
      <c r="M673" s="70" t="str">
        <f t="shared" si="46"/>
        <v>INT-0133-25</v>
      </c>
      <c r="N673" s="174"/>
      <c r="O673" s="332"/>
    </row>
    <row r="674" spans="1:15" ht="15" x14ac:dyDescent="0.25">
      <c r="A674" s="233">
        <v>45898</v>
      </c>
      <c r="B674" s="35" t="s">
        <v>1903</v>
      </c>
      <c r="C674" s="47" t="s">
        <v>1066</v>
      </c>
      <c r="D674" s="48" t="s">
        <v>1255</v>
      </c>
      <c r="E674" s="38" t="s">
        <v>1256</v>
      </c>
      <c r="F674" s="205" t="s">
        <v>1907</v>
      </c>
      <c r="G674" s="233">
        <v>46053</v>
      </c>
      <c r="H674" s="205">
        <v>193071</v>
      </c>
      <c r="I674" s="48">
        <v>16</v>
      </c>
      <c r="J674" s="165" t="s">
        <v>1834</v>
      </c>
      <c r="K674" s="40" t="s">
        <v>1073</v>
      </c>
      <c r="L674" s="40"/>
      <c r="M674" s="70" t="str">
        <f t="shared" ref="M674:M676" si="47">HYPERLINK("P:\7. LONG HAU\7. CAC THEO DOI TRONG QUA TRINH\4. DEVIATION- INCIDENTS\THEO DÕI NỘI BỘ (NGOÀI BBSC)\"&amp;YEAR(A674)&amp;"\"&amp;B674,B674)</f>
        <v>INT-0133-25</v>
      </c>
      <c r="N674" s="174"/>
      <c r="O674" s="332"/>
    </row>
    <row r="675" spans="1:15" ht="15" x14ac:dyDescent="0.25">
      <c r="A675" s="233">
        <v>45898</v>
      </c>
      <c r="B675" s="35" t="s">
        <v>1903</v>
      </c>
      <c r="C675" s="47" t="s">
        <v>1066</v>
      </c>
      <c r="D675" s="48" t="s">
        <v>1255</v>
      </c>
      <c r="E675" s="38" t="s">
        <v>1256</v>
      </c>
      <c r="F675" s="205" t="s">
        <v>1257</v>
      </c>
      <c r="G675" s="233">
        <v>46053</v>
      </c>
      <c r="H675" s="205">
        <v>193072</v>
      </c>
      <c r="I675" s="48">
        <v>54</v>
      </c>
      <c r="J675" s="165" t="s">
        <v>1834</v>
      </c>
      <c r="K675" s="40" t="s">
        <v>1073</v>
      </c>
      <c r="L675" s="40"/>
      <c r="M675" s="70" t="str">
        <f t="shared" si="47"/>
        <v>INT-0133-25</v>
      </c>
      <c r="N675" s="174"/>
      <c r="O675" s="332"/>
    </row>
    <row r="676" spans="1:15" ht="15" x14ac:dyDescent="0.25">
      <c r="A676" s="233">
        <v>45898</v>
      </c>
      <c r="B676" s="35" t="s">
        <v>1903</v>
      </c>
      <c r="C676" s="47" t="s">
        <v>1066</v>
      </c>
      <c r="D676" s="48" t="s">
        <v>47</v>
      </c>
      <c r="E676" s="38" t="s">
        <v>48</v>
      </c>
      <c r="F676" s="205" t="s">
        <v>1731</v>
      </c>
      <c r="G676" s="233">
        <v>46053</v>
      </c>
      <c r="H676" s="205">
        <v>193073</v>
      </c>
      <c r="I676" s="48">
        <v>17</v>
      </c>
      <c r="J676" s="165" t="s">
        <v>1834</v>
      </c>
      <c r="K676" s="40" t="s">
        <v>1073</v>
      </c>
      <c r="L676" s="40"/>
      <c r="M676" s="70" t="str">
        <f t="shared" si="47"/>
        <v>INT-0133-25</v>
      </c>
      <c r="N676" s="174"/>
      <c r="O676" s="332"/>
    </row>
    <row r="677" spans="1:15" ht="15" x14ac:dyDescent="0.25">
      <c r="A677" s="233">
        <v>45898</v>
      </c>
      <c r="B677" s="35" t="s">
        <v>1903</v>
      </c>
      <c r="C677" s="47" t="s">
        <v>1066</v>
      </c>
      <c r="D677" s="48" t="s">
        <v>1292</v>
      </c>
      <c r="E677" s="38" t="s">
        <v>1293</v>
      </c>
      <c r="F677" s="205" t="s">
        <v>1912</v>
      </c>
      <c r="G677" s="233">
        <v>46081</v>
      </c>
      <c r="H677" s="205" t="s">
        <v>1913</v>
      </c>
      <c r="I677" s="48">
        <v>5</v>
      </c>
      <c r="J677" s="165" t="s">
        <v>1834</v>
      </c>
      <c r="K677" s="40" t="s">
        <v>1073</v>
      </c>
      <c r="L677" s="40"/>
      <c r="M677" s="70" t="str">
        <f t="shared" ref="M677:M684" si="48">HYPERLINK("P:\7. LONG HAU\7. CAC THEO DOI TRONG QUA TRINH\4. DEVIATION- INCIDENTS\THEO DÕI NỘI BỘ (NGOÀI BBSC)\"&amp;YEAR(A677)&amp;"\"&amp;B677,B677)</f>
        <v>INT-0133-25</v>
      </c>
      <c r="N677" s="333"/>
      <c r="O677" s="334"/>
    </row>
    <row r="678" spans="1:15" ht="25.5" x14ac:dyDescent="0.25">
      <c r="A678" s="244">
        <v>45916</v>
      </c>
      <c r="B678" s="35" t="s">
        <v>1914</v>
      </c>
      <c r="C678" s="115" t="s">
        <v>547</v>
      </c>
      <c r="D678" s="116" t="s">
        <v>1276</v>
      </c>
      <c r="E678" s="117" t="s">
        <v>303</v>
      </c>
      <c r="F678" s="216" t="s">
        <v>1505</v>
      </c>
      <c r="G678" s="244">
        <v>46656</v>
      </c>
      <c r="H678" s="216" t="s">
        <v>1915</v>
      </c>
      <c r="I678" s="116">
        <v>1</v>
      </c>
      <c r="J678" s="275" t="s">
        <v>1623</v>
      </c>
      <c r="K678" s="40" t="s">
        <v>1072</v>
      </c>
      <c r="L678" s="118"/>
      <c r="M678" s="70" t="str">
        <f t="shared" si="48"/>
        <v>INT-0134-25</v>
      </c>
      <c r="N678" s="119"/>
      <c r="O678" s="314"/>
    </row>
    <row r="679" spans="1:15" s="31" customFormat="1" ht="37.5" customHeight="1" x14ac:dyDescent="0.25">
      <c r="A679" s="244">
        <v>45916</v>
      </c>
      <c r="B679" s="114" t="s">
        <v>1914</v>
      </c>
      <c r="C679" s="115" t="s">
        <v>547</v>
      </c>
      <c r="D679" s="48" t="s">
        <v>1521</v>
      </c>
      <c r="E679" s="38" t="s">
        <v>546</v>
      </c>
      <c r="F679" s="205" t="s">
        <v>1916</v>
      </c>
      <c r="G679" s="233">
        <v>46508</v>
      </c>
      <c r="H679" s="205" t="s">
        <v>1917</v>
      </c>
      <c r="I679" s="48">
        <v>2</v>
      </c>
      <c r="J679" s="275" t="s">
        <v>1623</v>
      </c>
      <c r="K679" s="40" t="s">
        <v>1072</v>
      </c>
      <c r="L679" s="40"/>
      <c r="M679" s="70" t="str">
        <f t="shared" si="48"/>
        <v>INT-0134-25</v>
      </c>
      <c r="N679" s="333"/>
      <c r="O679" s="334"/>
    </row>
    <row r="680" spans="1:15" s="31" customFormat="1" ht="37.5" customHeight="1" x14ac:dyDescent="0.25">
      <c r="A680" s="335">
        <v>45916</v>
      </c>
      <c r="B680" s="336" t="s">
        <v>1918</v>
      </c>
      <c r="C680" s="115" t="s">
        <v>1066</v>
      </c>
      <c r="D680" s="118" t="s">
        <v>92</v>
      </c>
      <c r="E680" s="117" t="s">
        <v>93</v>
      </c>
      <c r="F680" s="337" t="s">
        <v>605</v>
      </c>
      <c r="G680" s="335">
        <v>46265</v>
      </c>
      <c r="H680" s="337" t="s">
        <v>1920</v>
      </c>
      <c r="I680" s="118">
        <v>6</v>
      </c>
      <c r="J680" s="275" t="s">
        <v>1924</v>
      </c>
      <c r="K680" s="118" t="s">
        <v>1073</v>
      </c>
      <c r="L680" s="118"/>
      <c r="M680" s="338" t="str">
        <f t="shared" si="48"/>
        <v>INT-0135-25</v>
      </c>
      <c r="N680" s="119"/>
      <c r="O680" s="119"/>
    </row>
    <row r="681" spans="1:15" s="31" customFormat="1" ht="37.5" customHeight="1" x14ac:dyDescent="0.25">
      <c r="A681" s="335">
        <v>45916</v>
      </c>
      <c r="B681" s="336" t="s">
        <v>1918</v>
      </c>
      <c r="C681" s="115" t="s">
        <v>1066</v>
      </c>
      <c r="D681" s="118" t="s">
        <v>28</v>
      </c>
      <c r="E681" s="117" t="s">
        <v>29</v>
      </c>
      <c r="F681" s="337" t="s">
        <v>1919</v>
      </c>
      <c r="G681" s="335">
        <v>46234</v>
      </c>
      <c r="H681" s="337" t="s">
        <v>1921</v>
      </c>
      <c r="I681" s="118">
        <v>2</v>
      </c>
      <c r="J681" s="275" t="s">
        <v>1924</v>
      </c>
      <c r="K681" s="118" t="s">
        <v>1073</v>
      </c>
      <c r="L681" s="118"/>
      <c r="M681" s="338" t="str">
        <f t="shared" si="48"/>
        <v>INT-0135-25</v>
      </c>
      <c r="N681" s="119"/>
      <c r="O681" s="119"/>
    </row>
    <row r="682" spans="1:15" s="31" customFormat="1" ht="37.5" customHeight="1" x14ac:dyDescent="0.25">
      <c r="A682" s="335">
        <v>45916</v>
      </c>
      <c r="B682" s="336" t="s">
        <v>1918</v>
      </c>
      <c r="C682" s="115" t="s">
        <v>1066</v>
      </c>
      <c r="D682" s="118" t="s">
        <v>34</v>
      </c>
      <c r="E682" s="117" t="s">
        <v>35</v>
      </c>
      <c r="F682" s="337" t="s">
        <v>1094</v>
      </c>
      <c r="G682" s="335">
        <v>46022</v>
      </c>
      <c r="H682" s="337" t="s">
        <v>1922</v>
      </c>
      <c r="I682" s="118">
        <v>7</v>
      </c>
      <c r="J682" s="275" t="s">
        <v>1924</v>
      </c>
      <c r="K682" s="118" t="s">
        <v>1073</v>
      </c>
      <c r="L682" s="118"/>
      <c r="M682" s="338" t="str">
        <f t="shared" si="48"/>
        <v>INT-0135-25</v>
      </c>
      <c r="N682" s="119"/>
      <c r="O682" s="119"/>
    </row>
    <row r="683" spans="1:15" ht="25.5" x14ac:dyDescent="0.25">
      <c r="A683" s="335">
        <v>45916</v>
      </c>
      <c r="B683" s="336" t="s">
        <v>1918</v>
      </c>
      <c r="C683" s="115" t="s">
        <v>1066</v>
      </c>
      <c r="D683" s="118" t="s">
        <v>44</v>
      </c>
      <c r="E683" s="117" t="s">
        <v>45</v>
      </c>
      <c r="F683" s="337" t="s">
        <v>1179</v>
      </c>
      <c r="G683" s="335">
        <v>46326</v>
      </c>
      <c r="H683" s="337" t="s">
        <v>1923</v>
      </c>
      <c r="I683" s="118">
        <v>1</v>
      </c>
      <c r="J683" s="275" t="s">
        <v>1925</v>
      </c>
      <c r="K683" s="118" t="s">
        <v>1073</v>
      </c>
      <c r="L683" s="118"/>
      <c r="M683" s="338" t="str">
        <f t="shared" si="48"/>
        <v>INT-0135-25</v>
      </c>
      <c r="N683" s="119"/>
      <c r="O683" s="119"/>
    </row>
    <row r="684" spans="1:15" ht="25.5" x14ac:dyDescent="0.25">
      <c r="A684" s="244">
        <v>45916</v>
      </c>
      <c r="B684" s="114" t="s">
        <v>1918</v>
      </c>
      <c r="C684" s="115" t="s">
        <v>1066</v>
      </c>
      <c r="D684" s="116" t="s">
        <v>44</v>
      </c>
      <c r="E684" s="117" t="s">
        <v>45</v>
      </c>
      <c r="F684" s="216" t="s">
        <v>1926</v>
      </c>
      <c r="G684" s="244">
        <v>46326</v>
      </c>
      <c r="H684" s="216" t="s">
        <v>1927</v>
      </c>
      <c r="I684" s="116">
        <v>1</v>
      </c>
      <c r="J684" s="275" t="s">
        <v>1925</v>
      </c>
      <c r="K684" s="40" t="s">
        <v>1073</v>
      </c>
      <c r="L684" s="118"/>
      <c r="M684" s="70" t="str">
        <f t="shared" si="48"/>
        <v>INT-0135-25</v>
      </c>
      <c r="N684" s="119"/>
      <c r="O684" s="314"/>
    </row>
    <row r="685" spans="1:15" ht="15" x14ac:dyDescent="0.25">
      <c r="A685" s="233">
        <v>45916</v>
      </c>
      <c r="B685" s="35" t="s">
        <v>1928</v>
      </c>
      <c r="C685" s="47" t="s">
        <v>1066</v>
      </c>
      <c r="D685" s="48" t="s">
        <v>1929</v>
      </c>
      <c r="E685" s="38" t="s">
        <v>1930</v>
      </c>
      <c r="F685" s="205" t="s">
        <v>1931</v>
      </c>
      <c r="G685" s="233">
        <v>46116</v>
      </c>
      <c r="H685" s="205" t="s">
        <v>1932</v>
      </c>
      <c r="I685" s="48">
        <v>1</v>
      </c>
      <c r="J685" s="165" t="s">
        <v>2109</v>
      </c>
      <c r="K685" s="40" t="s">
        <v>1074</v>
      </c>
      <c r="L685" s="40"/>
      <c r="M685" s="70" t="str">
        <f>HYPERLINK("P:\7. LONG HAU\7. CAC THEO DOI TRONG QUA TRINH\4. DEVIATION- INCIDENTS\THEO DÕI NỘI BỘ (NGOÀI BBSC)\"&amp;YEAR(A685)&amp;"\"&amp;B685,B685)</f>
        <v>INT-0136-25</v>
      </c>
      <c r="N685" s="339"/>
      <c r="O685" s="340"/>
    </row>
    <row r="686" spans="1:15" ht="15" x14ac:dyDescent="0.25">
      <c r="A686" s="233">
        <v>45916</v>
      </c>
      <c r="B686" s="35" t="s">
        <v>1928</v>
      </c>
      <c r="C686" s="47" t="s">
        <v>1066</v>
      </c>
      <c r="D686" s="48" t="s">
        <v>1929</v>
      </c>
      <c r="E686" s="38" t="s">
        <v>1930</v>
      </c>
      <c r="F686" s="205" t="s">
        <v>1933</v>
      </c>
      <c r="G686" s="233">
        <v>46117</v>
      </c>
      <c r="H686" s="205" t="s">
        <v>1934</v>
      </c>
      <c r="I686" s="48">
        <v>807</v>
      </c>
      <c r="J686" s="165" t="s">
        <v>2109</v>
      </c>
      <c r="K686" s="40" t="s">
        <v>1074</v>
      </c>
      <c r="L686" s="40"/>
      <c r="M686" s="70" t="str">
        <f>HYPERLINK("P:\7. LONG HAU\7. CAC THEO DOI TRONG QUA TRINH\4. DEVIATION- INCIDENTS\THEO DÕI NỘI BỘ (NGOÀI BBSC)\"&amp;YEAR(A686)&amp;"\"&amp;B686,B686)</f>
        <v>INT-0136-25</v>
      </c>
      <c r="N686" s="339"/>
      <c r="O686" s="340"/>
    </row>
    <row r="687" spans="1:15" ht="15" x14ac:dyDescent="0.25">
      <c r="A687" s="244">
        <v>45916</v>
      </c>
      <c r="B687" s="114" t="s">
        <v>1936</v>
      </c>
      <c r="C687" s="115" t="s">
        <v>1066</v>
      </c>
      <c r="D687" s="116" t="s">
        <v>1255</v>
      </c>
      <c r="E687" s="117" t="s">
        <v>1256</v>
      </c>
      <c r="F687" s="216" t="s">
        <v>1907</v>
      </c>
      <c r="G687" s="244">
        <v>46053</v>
      </c>
      <c r="H687" s="216" t="s">
        <v>1937</v>
      </c>
      <c r="I687" s="116">
        <v>62</v>
      </c>
      <c r="J687" s="275" t="s">
        <v>1942</v>
      </c>
      <c r="K687" s="118" t="s">
        <v>1073</v>
      </c>
      <c r="L687" s="118"/>
      <c r="M687" s="70" t="str">
        <f>HYPERLINK("P:\7. LONG HAU\7. CAC THEO DOI TRONG QUA TRINH\4. DEVIATION- INCIDENTS\THEO DÕI NỘI BỘ (NGOÀI BBSC)\"&amp;YEAR(A687)&amp;"\"&amp;B687,B687)</f>
        <v>INT-0137-25</v>
      </c>
      <c r="N687" s="119"/>
      <c r="O687" s="314"/>
    </row>
    <row r="688" spans="1:15" ht="15" x14ac:dyDescent="0.25">
      <c r="A688" s="244">
        <v>45916</v>
      </c>
      <c r="B688" s="114" t="s">
        <v>1936</v>
      </c>
      <c r="C688" s="115" t="s">
        <v>1066</v>
      </c>
      <c r="D688" s="116" t="s">
        <v>47</v>
      </c>
      <c r="E688" s="117" t="s">
        <v>48</v>
      </c>
      <c r="F688" s="216" t="s">
        <v>1731</v>
      </c>
      <c r="G688" s="244">
        <v>46053</v>
      </c>
      <c r="H688" s="216" t="s">
        <v>1938</v>
      </c>
      <c r="I688" s="116">
        <v>26</v>
      </c>
      <c r="J688" s="275" t="s">
        <v>1942</v>
      </c>
      <c r="K688" s="118" t="s">
        <v>1073</v>
      </c>
      <c r="L688" s="118"/>
      <c r="M688" s="70" t="str">
        <f t="shared" ref="M688:M690" si="49">HYPERLINK("P:\7. LONG HAU\7. CAC THEO DOI TRONG QUA TRINH\4. DEVIATION- INCIDENTS\THEO DÕI NỘI BỘ (NGOÀI BBSC)\"&amp;YEAR(A688)&amp;"\"&amp;B688,B688)</f>
        <v>INT-0137-25</v>
      </c>
      <c r="N688" s="119"/>
      <c r="O688" s="314"/>
    </row>
    <row r="689" spans="1:15" ht="15" x14ac:dyDescent="0.25">
      <c r="A689" s="244">
        <v>45916</v>
      </c>
      <c r="B689" s="114" t="s">
        <v>1936</v>
      </c>
      <c r="C689" s="115" t="s">
        <v>1066</v>
      </c>
      <c r="D689" s="116" t="s">
        <v>1255</v>
      </c>
      <c r="E689" s="117" t="s">
        <v>1256</v>
      </c>
      <c r="F689" s="216" t="s">
        <v>1904</v>
      </c>
      <c r="G689" s="244">
        <v>46053</v>
      </c>
      <c r="H689" s="216" t="s">
        <v>1939</v>
      </c>
      <c r="I689" s="116">
        <v>2</v>
      </c>
      <c r="J689" s="275" t="s">
        <v>1942</v>
      </c>
      <c r="K689" s="118" t="s">
        <v>1073</v>
      </c>
      <c r="L689" s="118"/>
      <c r="M689" s="70" t="str">
        <f t="shared" si="49"/>
        <v>INT-0137-25</v>
      </c>
      <c r="N689" s="119"/>
      <c r="O689" s="314"/>
    </row>
    <row r="690" spans="1:15" ht="15" x14ac:dyDescent="0.25">
      <c r="A690" s="244">
        <v>45916</v>
      </c>
      <c r="B690" s="114" t="s">
        <v>1936</v>
      </c>
      <c r="C690" s="115" t="s">
        <v>1066</v>
      </c>
      <c r="D690" s="116" t="s">
        <v>1255</v>
      </c>
      <c r="E690" s="117" t="s">
        <v>1256</v>
      </c>
      <c r="F690" s="216" t="s">
        <v>1940</v>
      </c>
      <c r="G690" s="244">
        <v>46053</v>
      </c>
      <c r="H690" s="216" t="s">
        <v>1941</v>
      </c>
      <c r="I690" s="116">
        <v>43</v>
      </c>
      <c r="J690" s="275" t="s">
        <v>1942</v>
      </c>
      <c r="K690" s="118" t="s">
        <v>1073</v>
      </c>
      <c r="L690" s="118"/>
      <c r="M690" s="70" t="str">
        <f t="shared" si="49"/>
        <v>INT-0137-25</v>
      </c>
      <c r="N690" s="119"/>
      <c r="O690" s="314"/>
    </row>
    <row r="691" spans="1:15" ht="15" x14ac:dyDescent="0.25">
      <c r="A691" s="244">
        <v>45916</v>
      </c>
      <c r="B691" s="114" t="s">
        <v>1943</v>
      </c>
      <c r="C691" s="115" t="s">
        <v>1103</v>
      </c>
      <c r="D691" s="116" t="s">
        <v>1944</v>
      </c>
      <c r="E691" s="117" t="s">
        <v>1945</v>
      </c>
      <c r="F691" s="216" t="s">
        <v>1946</v>
      </c>
      <c r="G691" s="244">
        <v>45931</v>
      </c>
      <c r="H691" s="216" t="s">
        <v>1947</v>
      </c>
      <c r="I691" s="116">
        <v>110</v>
      </c>
      <c r="J691" s="165" t="s">
        <v>1948</v>
      </c>
      <c r="K691" s="40" t="s">
        <v>1072</v>
      </c>
      <c r="L691" s="118"/>
      <c r="M691" s="70" t="str">
        <f>HYPERLINK("P:\7. LONG HAU\7. CAC THEO DOI TRONG QUA TRINH\4. DEVIATION- INCIDENTS\THEO DÕI NỘI BỘ (NGOÀI BBSC)\"&amp;YEAR(A691)&amp;"\"&amp;B691,B691)</f>
        <v>INT-0138-25</v>
      </c>
      <c r="N691" s="119"/>
      <c r="O691" s="314"/>
    </row>
    <row r="692" spans="1:15" ht="15" x14ac:dyDescent="0.25">
      <c r="A692" s="244">
        <v>45919</v>
      </c>
      <c r="B692" s="114" t="s">
        <v>1949</v>
      </c>
      <c r="C692" s="115" t="s">
        <v>1066</v>
      </c>
      <c r="D692" s="116" t="s">
        <v>42</v>
      </c>
      <c r="E692" s="117" t="s">
        <v>43</v>
      </c>
      <c r="F692" s="216" t="s">
        <v>1081</v>
      </c>
      <c r="G692" s="244">
        <v>46081</v>
      </c>
      <c r="H692" s="216" t="s">
        <v>1950</v>
      </c>
      <c r="I692" s="116">
        <v>120</v>
      </c>
      <c r="J692" s="275" t="s">
        <v>1935</v>
      </c>
      <c r="K692" s="118" t="s">
        <v>1073</v>
      </c>
      <c r="L692" s="118"/>
      <c r="M692" s="70" t="str">
        <f>HYPERLINK("P:\7. LONG HAU\7. CAC THEO DOI TRONG QUA TRINH\4. DEVIATION- INCIDENTS\THEO DÕI NỘI BỘ (NGOÀI BBSC)\"&amp;YEAR(A692)&amp;"\"&amp;B692,B692)</f>
        <v>INT-0139-25</v>
      </c>
      <c r="N692" s="119"/>
      <c r="O692" s="314"/>
    </row>
    <row r="693" spans="1:15" ht="25.5" x14ac:dyDescent="0.25">
      <c r="A693" s="244">
        <v>45919</v>
      </c>
      <c r="B693" s="114" t="s">
        <v>1949</v>
      </c>
      <c r="C693" s="115" t="s">
        <v>1066</v>
      </c>
      <c r="D693" s="116" t="s">
        <v>39</v>
      </c>
      <c r="E693" s="117" t="s">
        <v>40</v>
      </c>
      <c r="F693" s="216" t="s">
        <v>1867</v>
      </c>
      <c r="G693" s="244">
        <v>46112</v>
      </c>
      <c r="H693" s="216" t="s">
        <v>1951</v>
      </c>
      <c r="I693" s="116">
        <v>85</v>
      </c>
      <c r="J693" s="275" t="s">
        <v>1935</v>
      </c>
      <c r="K693" s="118" t="s">
        <v>1073</v>
      </c>
      <c r="L693" s="40" t="s">
        <v>2107</v>
      </c>
      <c r="M693" s="70" t="str">
        <f t="shared" ref="M693:M714" si="50">HYPERLINK("P:\7. LONG HAU\7. CAC THEO DOI TRONG QUA TRINH\4. DEVIATION- INCIDENTS\THEO DÕI NỘI BỘ (NGOÀI BBSC)\"&amp;YEAR(A693)&amp;"\"&amp;B693,B693)</f>
        <v>INT-0139-25</v>
      </c>
      <c r="N693" s="119"/>
      <c r="O693" s="314"/>
    </row>
    <row r="694" spans="1:15" ht="15" x14ac:dyDescent="0.25">
      <c r="A694" s="244">
        <v>45919</v>
      </c>
      <c r="B694" s="114" t="s">
        <v>1949</v>
      </c>
      <c r="C694" s="115" t="s">
        <v>1066</v>
      </c>
      <c r="D694" s="116" t="s">
        <v>42</v>
      </c>
      <c r="E694" s="117" t="s">
        <v>43</v>
      </c>
      <c r="F694" s="216" t="s">
        <v>1427</v>
      </c>
      <c r="G694" s="244">
        <v>46081</v>
      </c>
      <c r="H694" s="216" t="s">
        <v>1952</v>
      </c>
      <c r="I694" s="116">
        <v>186</v>
      </c>
      <c r="J694" s="275" t="s">
        <v>1935</v>
      </c>
      <c r="K694" s="118" t="s">
        <v>1073</v>
      </c>
      <c r="L694" s="118"/>
      <c r="M694" s="70" t="str">
        <f t="shared" si="50"/>
        <v>INT-0139-25</v>
      </c>
      <c r="N694" s="119"/>
      <c r="O694" s="314"/>
    </row>
    <row r="695" spans="1:15" ht="15" x14ac:dyDescent="0.25">
      <c r="A695" s="244">
        <v>45919</v>
      </c>
      <c r="B695" s="114" t="s">
        <v>1949</v>
      </c>
      <c r="C695" s="115" t="s">
        <v>1066</v>
      </c>
      <c r="D695" s="116" t="s">
        <v>36</v>
      </c>
      <c r="E695" s="117" t="s">
        <v>37</v>
      </c>
      <c r="F695" s="216" t="s">
        <v>1868</v>
      </c>
      <c r="G695" s="244">
        <v>46081</v>
      </c>
      <c r="H695" s="216" t="s">
        <v>1953</v>
      </c>
      <c r="I695" s="116">
        <v>42</v>
      </c>
      <c r="J695" s="275" t="s">
        <v>1935</v>
      </c>
      <c r="K695" s="118" t="s">
        <v>1073</v>
      </c>
      <c r="L695" s="118"/>
      <c r="M695" s="70" t="str">
        <f t="shared" si="50"/>
        <v>INT-0139-25</v>
      </c>
      <c r="N695" s="119"/>
      <c r="O695" s="314"/>
    </row>
    <row r="696" spans="1:15" ht="15" x14ac:dyDescent="0.25">
      <c r="A696" s="244">
        <v>45919</v>
      </c>
      <c r="B696" s="114" t="s">
        <v>1949</v>
      </c>
      <c r="C696" s="115" t="s">
        <v>1066</v>
      </c>
      <c r="D696" s="116" t="s">
        <v>1255</v>
      </c>
      <c r="E696" s="117" t="s">
        <v>1256</v>
      </c>
      <c r="F696" s="216" t="s">
        <v>1727</v>
      </c>
      <c r="G696" s="244">
        <v>46053</v>
      </c>
      <c r="H696" s="216" t="s">
        <v>1954</v>
      </c>
      <c r="I696" s="116">
        <v>86</v>
      </c>
      <c r="J696" s="275" t="s">
        <v>1935</v>
      </c>
      <c r="K696" s="118" t="s">
        <v>1073</v>
      </c>
      <c r="L696" s="118"/>
      <c r="M696" s="70" t="str">
        <f t="shared" si="50"/>
        <v>INT-0139-25</v>
      </c>
      <c r="N696" s="119"/>
      <c r="O696" s="314"/>
    </row>
    <row r="697" spans="1:15" ht="15" x14ac:dyDescent="0.25">
      <c r="A697" s="244">
        <v>45919</v>
      </c>
      <c r="B697" s="114" t="s">
        <v>1949</v>
      </c>
      <c r="C697" s="115" t="s">
        <v>1066</v>
      </c>
      <c r="D697" s="116" t="s">
        <v>36</v>
      </c>
      <c r="E697" s="117" t="s">
        <v>37</v>
      </c>
      <c r="F697" s="216" t="s">
        <v>1955</v>
      </c>
      <c r="G697" s="244">
        <v>46112</v>
      </c>
      <c r="H697" s="216" t="s">
        <v>1956</v>
      </c>
      <c r="I697" s="116">
        <v>8</v>
      </c>
      <c r="J697" s="275" t="s">
        <v>1935</v>
      </c>
      <c r="K697" s="118" t="s">
        <v>1073</v>
      </c>
      <c r="L697" s="118"/>
      <c r="M697" s="70" t="str">
        <f t="shared" si="50"/>
        <v>INT-0139-25</v>
      </c>
      <c r="N697" s="119"/>
      <c r="O697" s="314"/>
    </row>
    <row r="698" spans="1:15" ht="15" x14ac:dyDescent="0.25">
      <c r="A698" s="244">
        <v>45919</v>
      </c>
      <c r="B698" s="114" t="s">
        <v>1949</v>
      </c>
      <c r="C698" s="115" t="s">
        <v>1066</v>
      </c>
      <c r="D698" s="116" t="s">
        <v>1292</v>
      </c>
      <c r="E698" s="117" t="s">
        <v>1293</v>
      </c>
      <c r="F698" s="216" t="s">
        <v>1957</v>
      </c>
      <c r="G698" s="244">
        <v>46081</v>
      </c>
      <c r="H698" s="216" t="s">
        <v>1958</v>
      </c>
      <c r="I698" s="116">
        <v>37</v>
      </c>
      <c r="J698" s="275" t="s">
        <v>1935</v>
      </c>
      <c r="K698" s="118" t="s">
        <v>1073</v>
      </c>
      <c r="L698" s="118"/>
      <c r="M698" s="70" t="str">
        <f t="shared" si="50"/>
        <v>INT-0139-25</v>
      </c>
      <c r="N698" s="119"/>
      <c r="O698" s="314"/>
    </row>
    <row r="699" spans="1:15" ht="15" x14ac:dyDescent="0.25">
      <c r="A699" s="244">
        <v>45919</v>
      </c>
      <c r="B699" s="114" t="s">
        <v>1949</v>
      </c>
      <c r="C699" s="115" t="s">
        <v>1066</v>
      </c>
      <c r="D699" s="116" t="s">
        <v>36</v>
      </c>
      <c r="E699" s="117" t="s">
        <v>37</v>
      </c>
      <c r="F699" s="216" t="s">
        <v>364</v>
      </c>
      <c r="G699" s="244">
        <v>46022</v>
      </c>
      <c r="H699" s="216" t="s">
        <v>1959</v>
      </c>
      <c r="I699" s="116">
        <v>4</v>
      </c>
      <c r="J699" s="275" t="s">
        <v>1935</v>
      </c>
      <c r="K699" s="118" t="s">
        <v>1073</v>
      </c>
      <c r="L699" s="118"/>
      <c r="M699" s="70" t="str">
        <f t="shared" si="50"/>
        <v>INT-0139-25</v>
      </c>
      <c r="N699" s="119"/>
      <c r="O699" s="314"/>
    </row>
    <row r="700" spans="1:15" ht="15" x14ac:dyDescent="0.25">
      <c r="A700" s="244">
        <v>45919</v>
      </c>
      <c r="B700" s="114" t="s">
        <v>1949</v>
      </c>
      <c r="C700" s="115" t="s">
        <v>1066</v>
      </c>
      <c r="D700" s="116" t="s">
        <v>42</v>
      </c>
      <c r="E700" s="117" t="s">
        <v>43</v>
      </c>
      <c r="F700" s="216" t="s">
        <v>1960</v>
      </c>
      <c r="G700" s="244">
        <v>46234</v>
      </c>
      <c r="H700" s="216" t="s">
        <v>1961</v>
      </c>
      <c r="I700" s="116">
        <v>1</v>
      </c>
      <c r="J700" s="275" t="s">
        <v>1935</v>
      </c>
      <c r="K700" s="118" t="s">
        <v>1073</v>
      </c>
      <c r="L700" s="118"/>
      <c r="M700" s="70" t="str">
        <f t="shared" si="50"/>
        <v>INT-0139-25</v>
      </c>
      <c r="N700" s="119"/>
      <c r="O700" s="314"/>
    </row>
    <row r="701" spans="1:15" ht="15" x14ac:dyDescent="0.25">
      <c r="A701" s="244">
        <v>45919</v>
      </c>
      <c r="B701" s="114" t="s">
        <v>1949</v>
      </c>
      <c r="C701" s="115" t="s">
        <v>1066</v>
      </c>
      <c r="D701" s="116" t="s">
        <v>36</v>
      </c>
      <c r="E701" s="117" t="s">
        <v>37</v>
      </c>
      <c r="F701" s="216" t="s">
        <v>1962</v>
      </c>
      <c r="G701" s="244">
        <v>46142</v>
      </c>
      <c r="H701" s="216" t="s">
        <v>1963</v>
      </c>
      <c r="I701" s="116">
        <v>1</v>
      </c>
      <c r="J701" s="275" t="s">
        <v>1935</v>
      </c>
      <c r="K701" s="118" t="s">
        <v>1073</v>
      </c>
      <c r="L701" s="118"/>
      <c r="M701" s="70" t="str">
        <f t="shared" si="50"/>
        <v>INT-0139-25</v>
      </c>
      <c r="N701" s="119"/>
      <c r="O701" s="314"/>
    </row>
    <row r="702" spans="1:15" ht="15" x14ac:dyDescent="0.25">
      <c r="A702" s="244">
        <v>45919</v>
      </c>
      <c r="B702" s="114" t="s">
        <v>1949</v>
      </c>
      <c r="C702" s="115" t="s">
        <v>1066</v>
      </c>
      <c r="D702" s="116" t="s">
        <v>36</v>
      </c>
      <c r="E702" s="117" t="s">
        <v>37</v>
      </c>
      <c r="F702" s="216" t="s">
        <v>1840</v>
      </c>
      <c r="G702" s="244">
        <v>46081</v>
      </c>
      <c r="H702" s="216" t="s">
        <v>1964</v>
      </c>
      <c r="I702" s="116">
        <v>2</v>
      </c>
      <c r="J702" s="275" t="s">
        <v>1935</v>
      </c>
      <c r="K702" s="118" t="s">
        <v>1073</v>
      </c>
      <c r="L702" s="118"/>
      <c r="M702" s="70" t="str">
        <f t="shared" si="50"/>
        <v>INT-0139-25</v>
      </c>
      <c r="N702" s="119"/>
      <c r="O702" s="314"/>
    </row>
    <row r="703" spans="1:15" ht="15" x14ac:dyDescent="0.25">
      <c r="A703" s="244">
        <v>45919</v>
      </c>
      <c r="B703" s="114" t="s">
        <v>1949</v>
      </c>
      <c r="C703" s="115" t="s">
        <v>1066</v>
      </c>
      <c r="D703" s="116" t="s">
        <v>36</v>
      </c>
      <c r="E703" s="117" t="s">
        <v>37</v>
      </c>
      <c r="F703" s="216" t="s">
        <v>1841</v>
      </c>
      <c r="G703" s="244">
        <v>46112</v>
      </c>
      <c r="H703" s="216" t="s">
        <v>1965</v>
      </c>
      <c r="I703" s="116">
        <v>40</v>
      </c>
      <c r="J703" s="275" t="s">
        <v>1935</v>
      </c>
      <c r="K703" s="118" t="s">
        <v>1073</v>
      </c>
      <c r="L703" s="118"/>
      <c r="M703" s="70" t="str">
        <f t="shared" si="50"/>
        <v>INT-0139-25</v>
      </c>
      <c r="N703" s="119"/>
      <c r="O703" s="314"/>
    </row>
    <row r="704" spans="1:15" ht="15" x14ac:dyDescent="0.25">
      <c r="A704" s="244">
        <v>45919</v>
      </c>
      <c r="B704" s="114" t="s">
        <v>1949</v>
      </c>
      <c r="C704" s="115" t="s">
        <v>1066</v>
      </c>
      <c r="D704" s="116" t="s">
        <v>42</v>
      </c>
      <c r="E704" s="117" t="s">
        <v>43</v>
      </c>
      <c r="F704" s="216" t="s">
        <v>904</v>
      </c>
      <c r="G704" s="244">
        <v>46022</v>
      </c>
      <c r="H704" s="216" t="s">
        <v>1966</v>
      </c>
      <c r="I704" s="116">
        <v>1</v>
      </c>
      <c r="J704" s="275" t="s">
        <v>1935</v>
      </c>
      <c r="K704" s="118" t="s">
        <v>1073</v>
      </c>
      <c r="L704" s="118"/>
      <c r="M704" s="70" t="str">
        <f t="shared" si="50"/>
        <v>INT-0139-25</v>
      </c>
      <c r="N704" s="119"/>
      <c r="O704" s="314"/>
    </row>
    <row r="705" spans="1:15" ht="15" x14ac:dyDescent="0.25">
      <c r="A705" s="244">
        <v>45919</v>
      </c>
      <c r="B705" s="114" t="s">
        <v>1949</v>
      </c>
      <c r="C705" s="115" t="s">
        <v>1066</v>
      </c>
      <c r="D705" s="116" t="s">
        <v>47</v>
      </c>
      <c r="E705" s="117" t="s">
        <v>48</v>
      </c>
      <c r="F705" s="216" t="s">
        <v>619</v>
      </c>
      <c r="G705" s="244">
        <v>46112</v>
      </c>
      <c r="H705" s="216" t="s">
        <v>1967</v>
      </c>
      <c r="I705" s="116">
        <v>19</v>
      </c>
      <c r="J705" s="275" t="s">
        <v>1935</v>
      </c>
      <c r="K705" s="118" t="s">
        <v>1073</v>
      </c>
      <c r="L705" s="118"/>
      <c r="M705" s="70" t="str">
        <f t="shared" si="50"/>
        <v>INT-0139-25</v>
      </c>
      <c r="N705" s="119"/>
      <c r="O705" s="314"/>
    </row>
    <row r="706" spans="1:15" ht="15" x14ac:dyDescent="0.25">
      <c r="A706" s="244">
        <v>45919</v>
      </c>
      <c r="B706" s="114" t="s">
        <v>1949</v>
      </c>
      <c r="C706" s="115" t="s">
        <v>1066</v>
      </c>
      <c r="D706" s="116" t="s">
        <v>34</v>
      </c>
      <c r="E706" s="117" t="s">
        <v>35</v>
      </c>
      <c r="F706" s="216" t="s">
        <v>1094</v>
      </c>
      <c r="G706" s="244">
        <v>46022</v>
      </c>
      <c r="H706" s="216" t="s">
        <v>1968</v>
      </c>
      <c r="I706" s="116">
        <v>11</v>
      </c>
      <c r="J706" s="275" t="s">
        <v>1935</v>
      </c>
      <c r="K706" s="118" t="s">
        <v>1073</v>
      </c>
      <c r="L706" s="118"/>
      <c r="M706" s="70" t="str">
        <f t="shared" si="50"/>
        <v>INT-0139-25</v>
      </c>
      <c r="N706" s="119"/>
      <c r="O706" s="314"/>
    </row>
    <row r="707" spans="1:15" ht="15" x14ac:dyDescent="0.25">
      <c r="A707" s="244">
        <v>45919</v>
      </c>
      <c r="B707" s="114" t="s">
        <v>1949</v>
      </c>
      <c r="C707" s="115" t="s">
        <v>1066</v>
      </c>
      <c r="D707" s="116" t="s">
        <v>39</v>
      </c>
      <c r="E707" s="117" t="s">
        <v>40</v>
      </c>
      <c r="F707" s="216" t="s">
        <v>973</v>
      </c>
      <c r="G707" s="244">
        <v>45991</v>
      </c>
      <c r="H707" s="216" t="s">
        <v>1969</v>
      </c>
      <c r="I707" s="116">
        <v>4</v>
      </c>
      <c r="J707" s="275" t="s">
        <v>1935</v>
      </c>
      <c r="K707" s="118" t="s">
        <v>1073</v>
      </c>
      <c r="L707" s="118"/>
      <c r="M707" s="70" t="str">
        <f t="shared" si="50"/>
        <v>INT-0139-25</v>
      </c>
      <c r="N707" s="119"/>
      <c r="O707" s="314"/>
    </row>
    <row r="708" spans="1:15" ht="15" x14ac:dyDescent="0.25">
      <c r="A708" s="244">
        <v>45919</v>
      </c>
      <c r="B708" s="114" t="s">
        <v>1949</v>
      </c>
      <c r="C708" s="115" t="s">
        <v>1066</v>
      </c>
      <c r="D708" s="116" t="s">
        <v>34</v>
      </c>
      <c r="E708" s="117" t="s">
        <v>35</v>
      </c>
      <c r="F708" s="216" t="s">
        <v>1628</v>
      </c>
      <c r="G708" s="244">
        <v>46295</v>
      </c>
      <c r="H708" s="216" t="s">
        <v>1970</v>
      </c>
      <c r="I708" s="116">
        <v>1</v>
      </c>
      <c r="J708" s="275" t="s">
        <v>1935</v>
      </c>
      <c r="K708" s="118" t="s">
        <v>1073</v>
      </c>
      <c r="L708" s="118"/>
      <c r="M708" s="70" t="str">
        <f t="shared" si="50"/>
        <v>INT-0139-25</v>
      </c>
      <c r="N708" s="119"/>
      <c r="O708" s="314"/>
    </row>
    <row r="709" spans="1:15" ht="15" x14ac:dyDescent="0.25">
      <c r="A709" s="244">
        <v>45919</v>
      </c>
      <c r="B709" s="114" t="s">
        <v>1949</v>
      </c>
      <c r="C709" s="115" t="s">
        <v>1066</v>
      </c>
      <c r="D709" s="116" t="s">
        <v>1836</v>
      </c>
      <c r="E709" s="117" t="s">
        <v>1837</v>
      </c>
      <c r="F709" s="216" t="s">
        <v>1839</v>
      </c>
      <c r="G709" s="244">
        <v>46234</v>
      </c>
      <c r="H709" s="216" t="s">
        <v>1971</v>
      </c>
      <c r="I709" s="116">
        <v>9</v>
      </c>
      <c r="J709" s="275" t="s">
        <v>1935</v>
      </c>
      <c r="K709" s="118" t="s">
        <v>1073</v>
      </c>
      <c r="L709" s="118"/>
      <c r="M709" s="70" t="str">
        <f t="shared" si="50"/>
        <v>INT-0139-25</v>
      </c>
      <c r="N709" s="119"/>
      <c r="O709" s="314"/>
    </row>
    <row r="710" spans="1:15" ht="15" x14ac:dyDescent="0.25">
      <c r="A710" s="244">
        <v>45919</v>
      </c>
      <c r="B710" s="114" t="s">
        <v>1949</v>
      </c>
      <c r="C710" s="115" t="s">
        <v>1066</v>
      </c>
      <c r="D710" s="116" t="s">
        <v>34</v>
      </c>
      <c r="E710" s="117" t="s">
        <v>35</v>
      </c>
      <c r="F710" s="216" t="s">
        <v>1972</v>
      </c>
      <c r="G710" s="244">
        <v>46356</v>
      </c>
      <c r="H710" s="216" t="s">
        <v>1973</v>
      </c>
      <c r="I710" s="116">
        <v>1</v>
      </c>
      <c r="J710" s="275" t="s">
        <v>1935</v>
      </c>
      <c r="K710" s="118" t="s">
        <v>1073</v>
      </c>
      <c r="L710" s="118"/>
      <c r="M710" s="70" t="str">
        <f t="shared" si="50"/>
        <v>INT-0139-25</v>
      </c>
      <c r="N710" s="119"/>
      <c r="O710" s="314"/>
    </row>
    <row r="711" spans="1:15" ht="15" x14ac:dyDescent="0.25">
      <c r="A711" s="244">
        <v>45919</v>
      </c>
      <c r="B711" s="114" t="s">
        <v>1949</v>
      </c>
      <c r="C711" s="115" t="s">
        <v>1066</v>
      </c>
      <c r="D711" s="116" t="s">
        <v>34</v>
      </c>
      <c r="E711" s="117" t="s">
        <v>35</v>
      </c>
      <c r="F711" s="216" t="s">
        <v>1974</v>
      </c>
      <c r="G711" s="244">
        <v>46081</v>
      </c>
      <c r="H711" s="216" t="s">
        <v>1975</v>
      </c>
      <c r="I711" s="116">
        <v>2</v>
      </c>
      <c r="J711" s="275" t="s">
        <v>1935</v>
      </c>
      <c r="K711" s="118" t="s">
        <v>1073</v>
      </c>
      <c r="L711" s="118"/>
      <c r="M711" s="70" t="str">
        <f t="shared" si="50"/>
        <v>INT-0139-25</v>
      </c>
      <c r="N711" s="119"/>
      <c r="O711" s="314"/>
    </row>
    <row r="712" spans="1:15" ht="15" x14ac:dyDescent="0.25">
      <c r="A712" s="244">
        <v>45919</v>
      </c>
      <c r="B712" s="114" t="s">
        <v>1949</v>
      </c>
      <c r="C712" s="115" t="s">
        <v>1066</v>
      </c>
      <c r="D712" s="116" t="s">
        <v>39</v>
      </c>
      <c r="E712" s="117" t="s">
        <v>40</v>
      </c>
      <c r="F712" s="216" t="s">
        <v>614</v>
      </c>
      <c r="G712" s="244">
        <v>45991</v>
      </c>
      <c r="H712" s="216" t="s">
        <v>1976</v>
      </c>
      <c r="I712" s="116">
        <v>8</v>
      </c>
      <c r="J712" s="275" t="s">
        <v>1935</v>
      </c>
      <c r="K712" s="118" t="s">
        <v>1073</v>
      </c>
      <c r="L712" s="118"/>
      <c r="M712" s="70" t="str">
        <f t="shared" si="50"/>
        <v>INT-0139-25</v>
      </c>
      <c r="N712" s="119"/>
      <c r="O712" s="314"/>
    </row>
    <row r="713" spans="1:15" ht="15" x14ac:dyDescent="0.25">
      <c r="A713" s="244">
        <v>45919</v>
      </c>
      <c r="B713" s="114" t="s">
        <v>1949</v>
      </c>
      <c r="C713" s="115" t="s">
        <v>1066</v>
      </c>
      <c r="D713" s="116" t="s">
        <v>92</v>
      </c>
      <c r="E713" s="117" t="s">
        <v>93</v>
      </c>
      <c r="F713" s="216" t="s">
        <v>1629</v>
      </c>
      <c r="G713" s="244">
        <v>46538</v>
      </c>
      <c r="H713" s="216" t="s">
        <v>1977</v>
      </c>
      <c r="I713" s="116">
        <v>2</v>
      </c>
      <c r="J713" s="275" t="s">
        <v>1935</v>
      </c>
      <c r="K713" s="118" t="s">
        <v>1073</v>
      </c>
      <c r="L713" s="118"/>
      <c r="M713" s="70" t="str">
        <f t="shared" si="50"/>
        <v>INT-0139-25</v>
      </c>
      <c r="N713" s="119"/>
      <c r="O713" s="314"/>
    </row>
    <row r="714" spans="1:15" ht="15" x14ac:dyDescent="0.25">
      <c r="A714" s="244">
        <v>45919</v>
      </c>
      <c r="B714" s="114" t="s">
        <v>1949</v>
      </c>
      <c r="C714" s="115" t="s">
        <v>1066</v>
      </c>
      <c r="D714" s="116" t="s">
        <v>1255</v>
      </c>
      <c r="E714" s="117" t="s">
        <v>1256</v>
      </c>
      <c r="F714" s="216" t="s">
        <v>1866</v>
      </c>
      <c r="G714" s="244">
        <v>46053</v>
      </c>
      <c r="H714" s="216" t="s">
        <v>1978</v>
      </c>
      <c r="I714" s="116">
        <v>38</v>
      </c>
      <c r="J714" s="275" t="s">
        <v>1935</v>
      </c>
      <c r="K714" s="118" t="s">
        <v>1073</v>
      </c>
      <c r="L714" s="118"/>
      <c r="M714" s="70" t="str">
        <f t="shared" si="50"/>
        <v>INT-0139-25</v>
      </c>
      <c r="N714" s="119"/>
      <c r="O714" s="314"/>
    </row>
    <row r="715" spans="1:15" ht="25.5" x14ac:dyDescent="0.25">
      <c r="A715" s="244">
        <v>45919</v>
      </c>
      <c r="B715" s="114" t="s">
        <v>1979</v>
      </c>
      <c r="C715" s="115" t="s">
        <v>1236</v>
      </c>
      <c r="D715" s="116" t="s">
        <v>2085</v>
      </c>
      <c r="E715" s="117" t="s">
        <v>2086</v>
      </c>
      <c r="F715" s="216" t="s">
        <v>2087</v>
      </c>
      <c r="G715" s="244">
        <v>46539</v>
      </c>
      <c r="H715" s="216" t="s">
        <v>2088</v>
      </c>
      <c r="I715" s="116">
        <v>8</v>
      </c>
      <c r="J715" s="165" t="s">
        <v>2089</v>
      </c>
      <c r="K715" s="40" t="s">
        <v>1072</v>
      </c>
      <c r="L715" s="40" t="s">
        <v>2090</v>
      </c>
      <c r="M715" s="70" t="str">
        <f>HYPERLINK("P:\7. LONG HAU\7. CAC THEO DOI TRONG QUA TRINH\4. DEVIATION- INCIDENTS\THEO DÕI NỘI BỘ (NGOÀI BBSC)\"&amp;YEAR(A715)&amp;"\"&amp;B715,B715)</f>
        <v>INT-0140-25</v>
      </c>
      <c r="N715" s="119"/>
      <c r="O715" s="314"/>
    </row>
    <row r="716" spans="1:15" ht="15" x14ac:dyDescent="0.25">
      <c r="A716" s="244">
        <v>45923</v>
      </c>
      <c r="B716" s="114" t="s">
        <v>1980</v>
      </c>
      <c r="C716" s="115" t="s">
        <v>1066</v>
      </c>
      <c r="D716" s="116" t="s">
        <v>1133</v>
      </c>
      <c r="E716" s="117" t="s">
        <v>1134</v>
      </c>
      <c r="F716" s="216" t="s">
        <v>1981</v>
      </c>
      <c r="G716" s="244" t="s">
        <v>1982</v>
      </c>
      <c r="H716" s="216" t="s">
        <v>1983</v>
      </c>
      <c r="I716" s="116">
        <v>2</v>
      </c>
      <c r="J716" s="275" t="s">
        <v>1984</v>
      </c>
      <c r="K716" s="118" t="s">
        <v>1072</v>
      </c>
      <c r="L716" s="118" t="str">
        <f>'Theo dõi 2024-2026'!$H716&amp;" or "</f>
        <v xml:space="preserve">000195996 or </v>
      </c>
      <c r="M716" s="70" t="str">
        <f>HYPERLINK("P:\7. LONG HAU\7. CAC THEO DOI TRONG QUA TRINH\4. DEVIATION- INCIDENTS\THEO DÕI NỘI BỘ (NGOÀI BBSC)\"&amp;YEAR(A716)&amp;"\"&amp;B716,B716)</f>
        <v>INT-0141-25</v>
      </c>
      <c r="N716" s="119"/>
      <c r="O716" s="314"/>
    </row>
    <row r="717" spans="1:15" ht="15" x14ac:dyDescent="0.25">
      <c r="A717" s="244">
        <v>45923</v>
      </c>
      <c r="B717" s="114" t="s">
        <v>1985</v>
      </c>
      <c r="C717" s="115" t="s">
        <v>1066</v>
      </c>
      <c r="D717" s="116" t="s">
        <v>92</v>
      </c>
      <c r="E717" s="117" t="s">
        <v>93</v>
      </c>
      <c r="F717" s="216" t="s">
        <v>1545</v>
      </c>
      <c r="G717" s="244" t="s">
        <v>98</v>
      </c>
      <c r="H717" s="216" t="s">
        <v>1986</v>
      </c>
      <c r="I717" s="116">
        <v>1</v>
      </c>
      <c r="J717" s="275" t="s">
        <v>1935</v>
      </c>
      <c r="K717" s="118" t="s">
        <v>1073</v>
      </c>
      <c r="L717" s="118" t="str">
        <f>'Theo dõi 2024-2026'!$H717&amp;" or "</f>
        <v xml:space="preserve">000195928 or </v>
      </c>
      <c r="M717" s="70" t="str">
        <f>HYPERLINK("P:\7. LONG HAU\7. CAC THEO DOI TRONG QUA TRINH\4. DEVIATION- INCIDENTS\THEO DÕI NỘI BỘ (NGOÀI BBSC)\"&amp;YEAR(A717)&amp;"\"&amp;B717,B717)</f>
        <v>INT-0142-25</v>
      </c>
      <c r="N717" s="119"/>
      <c r="O717" s="314"/>
    </row>
    <row r="718" spans="1:15" ht="15" x14ac:dyDescent="0.25">
      <c r="A718" s="244">
        <v>45923</v>
      </c>
      <c r="B718" s="114" t="s">
        <v>1985</v>
      </c>
      <c r="C718" s="115" t="s">
        <v>1066</v>
      </c>
      <c r="D718" s="116" t="s">
        <v>31</v>
      </c>
      <c r="E718" s="117" t="s">
        <v>32</v>
      </c>
      <c r="F718" s="216" t="s">
        <v>1546</v>
      </c>
      <c r="G718" s="244" t="s">
        <v>1004</v>
      </c>
      <c r="H718" s="216" t="s">
        <v>1987</v>
      </c>
      <c r="I718" s="116">
        <v>8</v>
      </c>
      <c r="J718" s="275" t="s">
        <v>1935</v>
      </c>
      <c r="K718" s="118" t="s">
        <v>1073</v>
      </c>
      <c r="L718" s="118" t="str">
        <f>'Theo dõi 2024-2026'!$H718&amp;" or "</f>
        <v xml:space="preserve">000195964 or </v>
      </c>
      <c r="M718" s="70" t="str">
        <f t="shared" ref="M718:M732" si="51">HYPERLINK("P:\7. LONG HAU\7. CAC THEO DOI TRONG QUA TRINH\4. DEVIATION- INCIDENTS\THEO DÕI NỘI BỘ (NGOÀI BBSC)\"&amp;YEAR(A718)&amp;"\"&amp;B718,B718)</f>
        <v>INT-0142-25</v>
      </c>
      <c r="N718" s="119"/>
      <c r="O718" s="314"/>
    </row>
    <row r="719" spans="1:15" ht="15" x14ac:dyDescent="0.25">
      <c r="A719" s="244">
        <v>45923</v>
      </c>
      <c r="B719" s="114" t="s">
        <v>1985</v>
      </c>
      <c r="C719" s="115" t="s">
        <v>1066</v>
      </c>
      <c r="D719" s="116" t="s">
        <v>31</v>
      </c>
      <c r="E719" s="117" t="s">
        <v>32</v>
      </c>
      <c r="F719" s="216" t="s">
        <v>1546</v>
      </c>
      <c r="G719" s="244" t="s">
        <v>1004</v>
      </c>
      <c r="H719" s="216" t="s">
        <v>1988</v>
      </c>
      <c r="I719" s="116">
        <v>9</v>
      </c>
      <c r="J719" s="275" t="s">
        <v>1935</v>
      </c>
      <c r="K719" s="118" t="s">
        <v>1073</v>
      </c>
      <c r="L719" s="118" t="str">
        <f>'Theo dõi 2024-2026'!$H719&amp;" or "</f>
        <v xml:space="preserve">000195965 or </v>
      </c>
      <c r="M719" s="70" t="str">
        <f t="shared" si="51"/>
        <v>INT-0142-25</v>
      </c>
      <c r="N719" s="119"/>
      <c r="O719" s="314"/>
    </row>
    <row r="720" spans="1:15" ht="15" x14ac:dyDescent="0.25">
      <c r="A720" s="244">
        <v>45923</v>
      </c>
      <c r="B720" s="114" t="s">
        <v>1985</v>
      </c>
      <c r="C720" s="115" t="s">
        <v>1066</v>
      </c>
      <c r="D720" s="116" t="s">
        <v>31</v>
      </c>
      <c r="E720" s="117" t="s">
        <v>32</v>
      </c>
      <c r="F720" s="216" t="s">
        <v>1546</v>
      </c>
      <c r="G720" s="244" t="s">
        <v>1004</v>
      </c>
      <c r="H720" s="216" t="s">
        <v>1989</v>
      </c>
      <c r="I720" s="116">
        <v>13</v>
      </c>
      <c r="J720" s="275" t="s">
        <v>1935</v>
      </c>
      <c r="K720" s="118" t="s">
        <v>1073</v>
      </c>
      <c r="L720" s="118" t="str">
        <f>'Theo dõi 2024-2026'!$H720&amp;" or "</f>
        <v xml:space="preserve">000195968 or </v>
      </c>
      <c r="M720" s="70" t="str">
        <f t="shared" si="51"/>
        <v>INT-0142-25</v>
      </c>
      <c r="N720" s="119"/>
      <c r="O720" s="314"/>
    </row>
    <row r="721" spans="1:15" ht="15" x14ac:dyDescent="0.25">
      <c r="A721" s="244">
        <v>45923</v>
      </c>
      <c r="B721" s="114" t="s">
        <v>1985</v>
      </c>
      <c r="C721" s="115" t="s">
        <v>1066</v>
      </c>
      <c r="D721" s="116" t="s">
        <v>31</v>
      </c>
      <c r="E721" s="117" t="s">
        <v>32</v>
      </c>
      <c r="F721" s="216" t="s">
        <v>1546</v>
      </c>
      <c r="G721" s="244" t="s">
        <v>1004</v>
      </c>
      <c r="H721" s="216" t="s">
        <v>1990</v>
      </c>
      <c r="I721" s="116">
        <v>3</v>
      </c>
      <c r="J721" s="275" t="s">
        <v>1935</v>
      </c>
      <c r="K721" s="118" t="s">
        <v>1073</v>
      </c>
      <c r="L721" s="118" t="str">
        <f>'Theo dõi 2024-2026'!$H721&amp;" or "</f>
        <v xml:space="preserve">000195969 or </v>
      </c>
      <c r="M721" s="70" t="str">
        <f t="shared" si="51"/>
        <v>INT-0142-25</v>
      </c>
      <c r="N721" s="119"/>
      <c r="O721" s="314"/>
    </row>
    <row r="722" spans="1:15" ht="15" x14ac:dyDescent="0.25">
      <c r="A722" s="244">
        <v>45923</v>
      </c>
      <c r="B722" s="114" t="s">
        <v>1985</v>
      </c>
      <c r="C722" s="115" t="s">
        <v>1066</v>
      </c>
      <c r="D722" s="116" t="s">
        <v>31</v>
      </c>
      <c r="E722" s="117" t="s">
        <v>32</v>
      </c>
      <c r="F722" s="216" t="s">
        <v>1546</v>
      </c>
      <c r="G722" s="244" t="s">
        <v>1004</v>
      </c>
      <c r="H722" s="216" t="s">
        <v>1991</v>
      </c>
      <c r="I722" s="116">
        <v>26</v>
      </c>
      <c r="J722" s="275" t="s">
        <v>1935</v>
      </c>
      <c r="K722" s="118" t="s">
        <v>1073</v>
      </c>
      <c r="L722" s="118" t="str">
        <f>'Theo dõi 2024-2026'!$H722&amp;" or "</f>
        <v xml:space="preserve">000195971 or </v>
      </c>
      <c r="M722" s="70" t="str">
        <f t="shared" si="51"/>
        <v>INT-0142-25</v>
      </c>
      <c r="N722" s="119"/>
      <c r="O722" s="314"/>
    </row>
    <row r="723" spans="1:15" ht="15" x14ac:dyDescent="0.25">
      <c r="A723" s="244">
        <v>45923</v>
      </c>
      <c r="B723" s="114" t="s">
        <v>1985</v>
      </c>
      <c r="C723" s="115" t="s">
        <v>1066</v>
      </c>
      <c r="D723" s="116" t="s">
        <v>31</v>
      </c>
      <c r="E723" s="117" t="s">
        <v>32</v>
      </c>
      <c r="F723" s="216" t="s">
        <v>1546</v>
      </c>
      <c r="G723" s="244" t="s">
        <v>1004</v>
      </c>
      <c r="H723" s="216" t="s">
        <v>1992</v>
      </c>
      <c r="I723" s="116">
        <v>4</v>
      </c>
      <c r="J723" s="275" t="s">
        <v>1935</v>
      </c>
      <c r="K723" s="118" t="s">
        <v>1073</v>
      </c>
      <c r="L723" s="118" t="str">
        <f>'Theo dõi 2024-2026'!$H723&amp;" or "</f>
        <v xml:space="preserve">000195980 or </v>
      </c>
      <c r="M723" s="70" t="str">
        <f t="shared" si="51"/>
        <v>INT-0142-25</v>
      </c>
      <c r="N723" s="119"/>
      <c r="O723" s="314"/>
    </row>
    <row r="724" spans="1:15" ht="15" x14ac:dyDescent="0.25">
      <c r="A724" s="244">
        <v>45923</v>
      </c>
      <c r="B724" s="114" t="s">
        <v>1985</v>
      </c>
      <c r="C724" s="115" t="s">
        <v>1066</v>
      </c>
      <c r="D724" s="116" t="s">
        <v>31</v>
      </c>
      <c r="E724" s="117" t="s">
        <v>32</v>
      </c>
      <c r="F724" s="216" t="s">
        <v>1546</v>
      </c>
      <c r="G724" s="244" t="s">
        <v>1680</v>
      </c>
      <c r="H724" s="216" t="s">
        <v>1993</v>
      </c>
      <c r="I724" s="116">
        <v>28</v>
      </c>
      <c r="J724" s="275" t="s">
        <v>1935</v>
      </c>
      <c r="K724" s="118" t="s">
        <v>1073</v>
      </c>
      <c r="L724" s="118" t="str">
        <f>'Theo dõi 2024-2026'!$H724&amp;" or "</f>
        <v xml:space="preserve">000195930 or </v>
      </c>
      <c r="M724" s="70" t="str">
        <f t="shared" si="51"/>
        <v>INT-0142-25</v>
      </c>
      <c r="N724" s="119"/>
      <c r="O724" s="314"/>
    </row>
    <row r="725" spans="1:15" ht="15" x14ac:dyDescent="0.25">
      <c r="A725" s="244">
        <v>45923</v>
      </c>
      <c r="B725" s="114" t="s">
        <v>1985</v>
      </c>
      <c r="C725" s="115" t="s">
        <v>1066</v>
      </c>
      <c r="D725" s="116" t="s">
        <v>31</v>
      </c>
      <c r="E725" s="117" t="s">
        <v>32</v>
      </c>
      <c r="F725" s="216" t="s">
        <v>1546</v>
      </c>
      <c r="G725" s="244" t="s">
        <v>1680</v>
      </c>
      <c r="H725" s="216" t="s">
        <v>1994</v>
      </c>
      <c r="I725" s="116">
        <v>11</v>
      </c>
      <c r="J725" s="275" t="s">
        <v>1935</v>
      </c>
      <c r="K725" s="118" t="s">
        <v>1073</v>
      </c>
      <c r="L725" s="118" t="str">
        <f>'Theo dõi 2024-2026'!$H725&amp;" or "</f>
        <v xml:space="preserve">000195931 or </v>
      </c>
      <c r="M725" s="70" t="str">
        <f t="shared" si="51"/>
        <v>INT-0142-25</v>
      </c>
      <c r="N725" s="119"/>
      <c r="O725" s="314"/>
    </row>
    <row r="726" spans="1:15" ht="15" x14ac:dyDescent="0.25">
      <c r="A726" s="244">
        <v>45923</v>
      </c>
      <c r="B726" s="114" t="s">
        <v>1985</v>
      </c>
      <c r="C726" s="115" t="s">
        <v>1066</v>
      </c>
      <c r="D726" s="116" t="s">
        <v>31</v>
      </c>
      <c r="E726" s="117" t="s">
        <v>32</v>
      </c>
      <c r="F726" s="216" t="s">
        <v>1546</v>
      </c>
      <c r="G726" s="244" t="s">
        <v>1680</v>
      </c>
      <c r="H726" s="216" t="s">
        <v>1995</v>
      </c>
      <c r="I726" s="116">
        <v>13</v>
      </c>
      <c r="J726" s="275" t="s">
        <v>1935</v>
      </c>
      <c r="K726" s="118" t="s">
        <v>1073</v>
      </c>
      <c r="L726" s="118" t="str">
        <f>'Theo dõi 2024-2026'!$H726&amp;" or "</f>
        <v xml:space="preserve">000195932 or </v>
      </c>
      <c r="M726" s="70" t="str">
        <f t="shared" si="51"/>
        <v>INT-0142-25</v>
      </c>
      <c r="N726" s="119"/>
      <c r="O726" s="314"/>
    </row>
    <row r="727" spans="1:15" ht="15" x14ac:dyDescent="0.25">
      <c r="A727" s="244">
        <v>45923</v>
      </c>
      <c r="B727" s="114" t="s">
        <v>1985</v>
      </c>
      <c r="C727" s="115" t="s">
        <v>1066</v>
      </c>
      <c r="D727" s="116" t="s">
        <v>31</v>
      </c>
      <c r="E727" s="117" t="s">
        <v>32</v>
      </c>
      <c r="F727" s="216" t="s">
        <v>1546</v>
      </c>
      <c r="G727" s="244" t="s">
        <v>1680</v>
      </c>
      <c r="H727" s="216" t="s">
        <v>1996</v>
      </c>
      <c r="I727" s="116">
        <v>10</v>
      </c>
      <c r="J727" s="275" t="s">
        <v>1935</v>
      </c>
      <c r="K727" s="118" t="s">
        <v>1073</v>
      </c>
      <c r="L727" s="118" t="str">
        <f>'Theo dõi 2024-2026'!$H727&amp;" or "</f>
        <v xml:space="preserve">000195933 or </v>
      </c>
      <c r="M727" s="70" t="str">
        <f t="shared" si="51"/>
        <v>INT-0142-25</v>
      </c>
      <c r="N727" s="119"/>
      <c r="O727" s="314"/>
    </row>
    <row r="728" spans="1:15" ht="15" x14ac:dyDescent="0.25">
      <c r="A728" s="244">
        <v>45923</v>
      </c>
      <c r="B728" s="114" t="s">
        <v>1985</v>
      </c>
      <c r="C728" s="115" t="s">
        <v>1066</v>
      </c>
      <c r="D728" s="116" t="s">
        <v>31</v>
      </c>
      <c r="E728" s="117" t="s">
        <v>32</v>
      </c>
      <c r="F728" s="216" t="s">
        <v>1546</v>
      </c>
      <c r="G728" s="244" t="s">
        <v>1680</v>
      </c>
      <c r="H728" s="216" t="s">
        <v>1997</v>
      </c>
      <c r="I728" s="116">
        <v>12</v>
      </c>
      <c r="J728" s="275" t="s">
        <v>1935</v>
      </c>
      <c r="K728" s="118" t="s">
        <v>1073</v>
      </c>
      <c r="L728" s="118" t="str">
        <f>'Theo dõi 2024-2026'!$H728&amp;" or "</f>
        <v xml:space="preserve">000195934 or </v>
      </c>
      <c r="M728" s="70" t="str">
        <f t="shared" si="51"/>
        <v>INT-0142-25</v>
      </c>
      <c r="N728" s="119"/>
      <c r="O728" s="314"/>
    </row>
    <row r="729" spans="1:15" ht="15" x14ac:dyDescent="0.25">
      <c r="A729" s="244">
        <v>45923</v>
      </c>
      <c r="B729" s="114" t="s">
        <v>1985</v>
      </c>
      <c r="C729" s="115" t="s">
        <v>1066</v>
      </c>
      <c r="D729" s="116" t="s">
        <v>31</v>
      </c>
      <c r="E729" s="117" t="s">
        <v>32</v>
      </c>
      <c r="F729" s="216" t="s">
        <v>1546</v>
      </c>
      <c r="G729" s="244" t="s">
        <v>1680</v>
      </c>
      <c r="H729" s="216" t="s">
        <v>1998</v>
      </c>
      <c r="I729" s="116">
        <v>100</v>
      </c>
      <c r="J729" s="275" t="s">
        <v>1935</v>
      </c>
      <c r="K729" s="118" t="s">
        <v>1073</v>
      </c>
      <c r="L729" s="118" t="str">
        <f>'Theo dõi 2024-2026'!$H729&amp;" or "</f>
        <v xml:space="preserve">000195960 or </v>
      </c>
      <c r="M729" s="70" t="str">
        <f t="shared" si="51"/>
        <v>INT-0142-25</v>
      </c>
      <c r="N729" s="119"/>
      <c r="O729" s="314"/>
    </row>
    <row r="730" spans="1:15" ht="15" x14ac:dyDescent="0.25">
      <c r="A730" s="244">
        <v>45923</v>
      </c>
      <c r="B730" s="114" t="s">
        <v>1985</v>
      </c>
      <c r="C730" s="115" t="s">
        <v>1066</v>
      </c>
      <c r="D730" s="116" t="s">
        <v>31</v>
      </c>
      <c r="E730" s="117" t="s">
        <v>32</v>
      </c>
      <c r="F730" s="216" t="s">
        <v>1546</v>
      </c>
      <c r="G730" s="244" t="s">
        <v>1680</v>
      </c>
      <c r="H730" s="216" t="s">
        <v>1999</v>
      </c>
      <c r="I730" s="116">
        <v>24</v>
      </c>
      <c r="J730" s="275" t="s">
        <v>1935</v>
      </c>
      <c r="K730" s="118" t="s">
        <v>1073</v>
      </c>
      <c r="L730" s="118" t="str">
        <f>'Theo dõi 2024-2026'!$H730&amp;" or "</f>
        <v xml:space="preserve">000195962 or </v>
      </c>
      <c r="M730" s="70" t="str">
        <f t="shared" si="51"/>
        <v>INT-0142-25</v>
      </c>
      <c r="N730" s="119"/>
      <c r="O730" s="314"/>
    </row>
    <row r="731" spans="1:15" ht="15" x14ac:dyDescent="0.25">
      <c r="A731" s="244">
        <v>45923</v>
      </c>
      <c r="B731" s="114" t="s">
        <v>1985</v>
      </c>
      <c r="C731" s="115" t="s">
        <v>1066</v>
      </c>
      <c r="D731" s="116" t="s">
        <v>1212</v>
      </c>
      <c r="E731" s="117" t="s">
        <v>1213</v>
      </c>
      <c r="F731" s="216" t="s">
        <v>1546</v>
      </c>
      <c r="G731" s="244" t="s">
        <v>1679</v>
      </c>
      <c r="H731" s="216" t="s">
        <v>2000</v>
      </c>
      <c r="I731" s="116">
        <v>60</v>
      </c>
      <c r="J731" s="275" t="s">
        <v>1935</v>
      </c>
      <c r="K731" s="118" t="s">
        <v>1073</v>
      </c>
      <c r="L731" s="118" t="str">
        <f>'Theo dõi 2024-2026'!$H731&amp;" or "</f>
        <v xml:space="preserve">000195929 or </v>
      </c>
      <c r="M731" s="70" t="str">
        <f t="shared" si="51"/>
        <v>INT-0142-25</v>
      </c>
      <c r="N731" s="119"/>
      <c r="O731" s="314"/>
    </row>
    <row r="732" spans="1:15" ht="15" x14ac:dyDescent="0.25">
      <c r="A732" s="244">
        <v>45923</v>
      </c>
      <c r="B732" s="114" t="s">
        <v>1985</v>
      </c>
      <c r="C732" s="115" t="s">
        <v>1066</v>
      </c>
      <c r="D732" s="116" t="s">
        <v>1292</v>
      </c>
      <c r="E732" s="117" t="s">
        <v>1293</v>
      </c>
      <c r="F732" s="216" t="s">
        <v>1546</v>
      </c>
      <c r="G732" s="244" t="s">
        <v>1404</v>
      </c>
      <c r="H732" s="216" t="s">
        <v>2001</v>
      </c>
      <c r="I732" s="116">
        <v>1</v>
      </c>
      <c r="J732" s="275" t="s">
        <v>1935</v>
      </c>
      <c r="K732" s="118" t="s">
        <v>1073</v>
      </c>
      <c r="L732" s="118" t="str">
        <f>'Theo dõi 2024-2026'!$H732&amp;" or "</f>
        <v xml:space="preserve">000195880 or </v>
      </c>
      <c r="M732" s="70" t="str">
        <f t="shared" si="51"/>
        <v>INT-0142-25</v>
      </c>
      <c r="N732" s="119"/>
      <c r="O732" s="314"/>
    </row>
    <row r="733" spans="1:15" ht="15" x14ac:dyDescent="0.25">
      <c r="A733" s="244">
        <v>45926</v>
      </c>
      <c r="B733" s="114" t="s">
        <v>2002</v>
      </c>
      <c r="C733" s="115" t="s">
        <v>1066</v>
      </c>
      <c r="D733" s="116" t="s">
        <v>1899</v>
      </c>
      <c r="E733" s="117" t="s">
        <v>1900</v>
      </c>
      <c r="F733" s="216" t="s">
        <v>1901</v>
      </c>
      <c r="G733" s="244">
        <v>45900</v>
      </c>
      <c r="H733" s="216" t="s">
        <v>2003</v>
      </c>
      <c r="I733" s="116">
        <v>7</v>
      </c>
      <c r="J733" s="165" t="s">
        <v>2004</v>
      </c>
      <c r="K733" s="40" t="s">
        <v>1072</v>
      </c>
      <c r="L733" s="118"/>
      <c r="M733" s="70" t="str">
        <f>HYPERLINK("P:\7. LONG HAU\7. CAC THEO DOI TRONG QUA TRINH\4. DEVIATION- INCIDENTS\THEO DÕI NỘI BỘ (NGOÀI BBSC)\"&amp;YEAR(A733)&amp;"\"&amp;B733,B733)</f>
        <v>INT-0143-25</v>
      </c>
      <c r="N733" s="119"/>
      <c r="O733" s="314"/>
    </row>
    <row r="734" spans="1:15" ht="15" x14ac:dyDescent="0.25">
      <c r="A734" s="244">
        <v>45929</v>
      </c>
      <c r="B734" s="114" t="s">
        <v>2005</v>
      </c>
      <c r="C734" s="115" t="s">
        <v>1066</v>
      </c>
      <c r="D734" s="116" t="s">
        <v>2006</v>
      </c>
      <c r="E734" s="117" t="s">
        <v>2007</v>
      </c>
      <c r="F734" s="216">
        <v>45961</v>
      </c>
      <c r="G734" s="244" t="s">
        <v>2008</v>
      </c>
      <c r="H734" s="216" t="s">
        <v>2009</v>
      </c>
      <c r="I734" s="116">
        <v>7</v>
      </c>
      <c r="J734" s="275" t="s">
        <v>1935</v>
      </c>
      <c r="K734" s="118" t="s">
        <v>1073</v>
      </c>
      <c r="L734" s="118"/>
      <c r="M734" s="70" t="str">
        <f>HYPERLINK("P:\7. LONG HAU\7. CAC THEO DOI TRONG QUA TRINH\4. DEVIATION- INCIDENTS\THEO DÕI NỘI BỘ (NGOÀI BBSC)\"&amp;YEAR(A734)&amp;"\"&amp;B734,B734)</f>
        <v>INT-0144-25</v>
      </c>
      <c r="N734" s="119"/>
      <c r="O734" s="314"/>
    </row>
    <row r="735" spans="1:15" ht="15" x14ac:dyDescent="0.25">
      <c r="A735" s="244">
        <v>45929</v>
      </c>
      <c r="B735" s="114" t="s">
        <v>2005</v>
      </c>
      <c r="C735" s="115" t="s">
        <v>1066</v>
      </c>
      <c r="D735" s="116" t="s">
        <v>2006</v>
      </c>
      <c r="E735" s="117" t="s">
        <v>2007</v>
      </c>
      <c r="F735" s="216">
        <v>45961</v>
      </c>
      <c r="G735" s="244" t="s">
        <v>2008</v>
      </c>
      <c r="H735" s="216" t="s">
        <v>2010</v>
      </c>
      <c r="I735" s="116">
        <v>4</v>
      </c>
      <c r="J735" s="275" t="s">
        <v>1935</v>
      </c>
      <c r="K735" s="118" t="s">
        <v>1073</v>
      </c>
      <c r="L735" s="118"/>
      <c r="M735" s="70" t="str">
        <f>HYPERLINK("P:\7. LONG HAU\7. CAC THEO DOI TRONG QUA TRINH\4. DEVIATION- INCIDENTS\THEO DÕI NỘI BỘ (NGOÀI BBSC)\"&amp;YEAR(A735)&amp;"\"&amp;B735,B735)</f>
        <v>INT-0144-25</v>
      </c>
      <c r="N735" s="119"/>
      <c r="O735" s="314"/>
    </row>
    <row r="736" spans="1:15" ht="15" x14ac:dyDescent="0.25">
      <c r="A736" s="244">
        <v>45929</v>
      </c>
      <c r="B736" s="114" t="s">
        <v>2005</v>
      </c>
      <c r="C736" s="115" t="s">
        <v>1066</v>
      </c>
      <c r="D736" s="116" t="s">
        <v>2006</v>
      </c>
      <c r="E736" s="117" t="s">
        <v>2007</v>
      </c>
      <c r="F736" s="216">
        <v>45961</v>
      </c>
      <c r="G736" s="244" t="s">
        <v>2008</v>
      </c>
      <c r="H736" s="216" t="s">
        <v>2011</v>
      </c>
      <c r="I736" s="116">
        <v>6</v>
      </c>
      <c r="J736" s="275" t="s">
        <v>1935</v>
      </c>
      <c r="K736" s="118" t="s">
        <v>1073</v>
      </c>
      <c r="L736" s="118"/>
      <c r="M736" s="70" t="str">
        <f t="shared" ref="M736:M739" si="52">HYPERLINK("P:\7. LONG HAU\7. CAC THEO DOI TRONG QUA TRINH\4. DEVIATION- INCIDENTS\THEO DÕI NỘI BỘ (NGOÀI BBSC)\"&amp;YEAR(A736)&amp;"\"&amp;B736,B736)</f>
        <v>INT-0144-25</v>
      </c>
      <c r="N736" s="119"/>
      <c r="O736" s="314"/>
    </row>
    <row r="737" spans="1:15" ht="15" x14ac:dyDescent="0.25">
      <c r="A737" s="244">
        <v>45929</v>
      </c>
      <c r="B737" s="114" t="s">
        <v>2005</v>
      </c>
      <c r="C737" s="115" t="s">
        <v>1066</v>
      </c>
      <c r="D737" s="116" t="s">
        <v>2006</v>
      </c>
      <c r="E737" s="117" t="s">
        <v>2007</v>
      </c>
      <c r="F737" s="216">
        <v>45961</v>
      </c>
      <c r="G737" s="244" t="s">
        <v>2008</v>
      </c>
      <c r="H737" s="216" t="s">
        <v>2012</v>
      </c>
      <c r="I737" s="116">
        <v>5</v>
      </c>
      <c r="J737" s="275" t="s">
        <v>1935</v>
      </c>
      <c r="K737" s="118" t="s">
        <v>1073</v>
      </c>
      <c r="L737" s="118"/>
      <c r="M737" s="70" t="str">
        <f t="shared" si="52"/>
        <v>INT-0144-25</v>
      </c>
      <c r="N737" s="119"/>
      <c r="O737" s="314"/>
    </row>
    <row r="738" spans="1:15" ht="15" x14ac:dyDescent="0.25">
      <c r="A738" s="244">
        <v>45929</v>
      </c>
      <c r="B738" s="114" t="s">
        <v>2005</v>
      </c>
      <c r="C738" s="115" t="s">
        <v>1066</v>
      </c>
      <c r="D738" s="116" t="s">
        <v>2006</v>
      </c>
      <c r="E738" s="117" t="s">
        <v>2007</v>
      </c>
      <c r="F738" s="216">
        <v>45961</v>
      </c>
      <c r="G738" s="244" t="s">
        <v>2008</v>
      </c>
      <c r="H738" s="216" t="s">
        <v>2013</v>
      </c>
      <c r="I738" s="116">
        <v>2</v>
      </c>
      <c r="J738" s="275" t="s">
        <v>1935</v>
      </c>
      <c r="K738" s="118" t="s">
        <v>1073</v>
      </c>
      <c r="L738" s="118"/>
      <c r="M738" s="70" t="str">
        <f t="shared" si="52"/>
        <v>INT-0144-25</v>
      </c>
      <c r="N738" s="119"/>
      <c r="O738" s="314"/>
    </row>
    <row r="739" spans="1:15" ht="15" x14ac:dyDescent="0.25">
      <c r="A739" s="244">
        <v>45929</v>
      </c>
      <c r="B739" s="114" t="s">
        <v>2005</v>
      </c>
      <c r="C739" s="115" t="s">
        <v>1066</v>
      </c>
      <c r="D739" s="116" t="s">
        <v>2006</v>
      </c>
      <c r="E739" s="117" t="s">
        <v>2007</v>
      </c>
      <c r="F739" s="216">
        <v>45961</v>
      </c>
      <c r="G739" s="244" t="s">
        <v>2008</v>
      </c>
      <c r="H739" s="216" t="s">
        <v>2014</v>
      </c>
      <c r="I739" s="116">
        <v>1</v>
      </c>
      <c r="J739" s="275" t="s">
        <v>1935</v>
      </c>
      <c r="K739" s="118" t="s">
        <v>1073</v>
      </c>
      <c r="L739" s="118"/>
      <c r="M739" s="70" t="str">
        <f t="shared" si="52"/>
        <v>INT-0144-25</v>
      </c>
      <c r="N739" s="119"/>
      <c r="O739" s="314"/>
    </row>
    <row r="740" spans="1:15" ht="24.75" customHeight="1" x14ac:dyDescent="0.25">
      <c r="A740" s="244">
        <v>45929</v>
      </c>
      <c r="B740" s="114" t="s">
        <v>2015</v>
      </c>
      <c r="C740" s="115" t="s">
        <v>1236</v>
      </c>
      <c r="D740" s="116" t="s">
        <v>2016</v>
      </c>
      <c r="E740" s="117" t="s">
        <v>2017</v>
      </c>
      <c r="F740" s="216" t="s">
        <v>2018</v>
      </c>
      <c r="G740" s="244">
        <v>46285</v>
      </c>
      <c r="H740" s="216" t="s">
        <v>2019</v>
      </c>
      <c r="I740" s="116">
        <v>30</v>
      </c>
      <c r="J740" s="165" t="s">
        <v>2020</v>
      </c>
      <c r="K740" s="118" t="s">
        <v>1089</v>
      </c>
      <c r="L740" s="118"/>
      <c r="M740" s="70" t="str">
        <f t="shared" ref="M740:M745" si="53">HYPERLINK("P:\7. LONG HAU\7. CAC THEO DOI TRONG QUA TRINH\4. DEVIATION- INCIDENTS\THEO DÕI NỘI BỘ (NGOÀI BBSC)\"&amp;YEAR(A740)&amp;"\"&amp;B740,B740)</f>
        <v>INT-0145-25</v>
      </c>
      <c r="N740" s="119"/>
      <c r="O740" s="314"/>
    </row>
    <row r="741" spans="1:15" ht="15" x14ac:dyDescent="0.25">
      <c r="A741" s="233">
        <v>45931</v>
      </c>
      <c r="B741" s="35" t="s">
        <v>2021</v>
      </c>
      <c r="C741" s="47" t="s">
        <v>1066</v>
      </c>
      <c r="D741" s="48" t="s">
        <v>2022</v>
      </c>
      <c r="E741" s="38" t="s">
        <v>2023</v>
      </c>
      <c r="F741" s="205" t="s">
        <v>2024</v>
      </c>
      <c r="G741" s="233">
        <v>45991</v>
      </c>
      <c r="H741" s="205" t="s">
        <v>2025</v>
      </c>
      <c r="I741" s="48">
        <v>1</v>
      </c>
      <c r="J741" s="165" t="s">
        <v>2026</v>
      </c>
      <c r="K741" s="40" t="s">
        <v>1072</v>
      </c>
      <c r="L741" s="40"/>
      <c r="M741" s="70" t="str">
        <f t="shared" si="53"/>
        <v>INT-0146-25</v>
      </c>
      <c r="N741" s="193"/>
      <c r="O741" s="341"/>
    </row>
    <row r="742" spans="1:15" ht="15" x14ac:dyDescent="0.25">
      <c r="A742" s="253">
        <v>45936</v>
      </c>
      <c r="B742" s="175" t="s">
        <v>2027</v>
      </c>
      <c r="C742" s="176" t="s">
        <v>1066</v>
      </c>
      <c r="D742" s="177" t="s">
        <v>39</v>
      </c>
      <c r="E742" s="178" t="s">
        <v>40</v>
      </c>
      <c r="F742" s="225" t="s">
        <v>2028</v>
      </c>
      <c r="G742" s="253">
        <v>46418</v>
      </c>
      <c r="H742" s="225" t="s">
        <v>2029</v>
      </c>
      <c r="I742" s="177">
        <v>10</v>
      </c>
      <c r="J742" s="165" t="s">
        <v>2030</v>
      </c>
      <c r="K742" s="179" t="s">
        <v>1073</v>
      </c>
      <c r="L742" s="179"/>
      <c r="M742" s="70" t="str">
        <f t="shared" si="53"/>
        <v>INT-0147-25</v>
      </c>
      <c r="N742" s="180"/>
      <c r="O742" s="342"/>
    </row>
    <row r="743" spans="1:15" ht="24.75" customHeight="1" x14ac:dyDescent="0.25">
      <c r="A743" s="233">
        <v>45936</v>
      </c>
      <c r="B743" s="35" t="s">
        <v>2031</v>
      </c>
      <c r="C743" s="47" t="s">
        <v>1236</v>
      </c>
      <c r="D743" s="48" t="s">
        <v>2032</v>
      </c>
      <c r="E743" s="38" t="s">
        <v>2033</v>
      </c>
      <c r="F743" s="205" t="s">
        <v>2034</v>
      </c>
      <c r="G743" s="233">
        <v>46265</v>
      </c>
      <c r="H743" s="205" t="s">
        <v>2037</v>
      </c>
      <c r="I743" s="48">
        <v>1</v>
      </c>
      <c r="J743" s="165" t="s">
        <v>2035</v>
      </c>
      <c r="K743" s="40" t="s">
        <v>1073</v>
      </c>
      <c r="L743" s="40" t="s">
        <v>2036</v>
      </c>
      <c r="M743" s="70" t="str">
        <f t="shared" si="53"/>
        <v>INT-0148-25</v>
      </c>
      <c r="N743" s="193"/>
      <c r="O743" s="341"/>
    </row>
    <row r="744" spans="1:15" ht="15" x14ac:dyDescent="0.25">
      <c r="A744" s="233">
        <v>45936</v>
      </c>
      <c r="B744" s="175" t="s">
        <v>2038</v>
      </c>
      <c r="C744" s="176" t="s">
        <v>1066</v>
      </c>
      <c r="D744" s="177" t="s">
        <v>2039</v>
      </c>
      <c r="E744" s="178" t="s">
        <v>2040</v>
      </c>
      <c r="F744" s="225" t="s">
        <v>2045</v>
      </c>
      <c r="G744" s="253">
        <v>46053</v>
      </c>
      <c r="H744" s="225" t="s">
        <v>2046</v>
      </c>
      <c r="I744" s="177">
        <v>89</v>
      </c>
      <c r="J744" s="165" t="s">
        <v>2026</v>
      </c>
      <c r="K744" s="179" t="s">
        <v>1072</v>
      </c>
      <c r="L744" s="179"/>
      <c r="M744" s="70" t="str">
        <f t="shared" si="53"/>
        <v>INT-0149-25</v>
      </c>
      <c r="N744" s="180"/>
      <c r="O744" s="342"/>
    </row>
    <row r="745" spans="1:15" ht="15" x14ac:dyDescent="0.25">
      <c r="A745" s="253">
        <v>45937</v>
      </c>
      <c r="B745" s="175" t="s">
        <v>2041</v>
      </c>
      <c r="C745" s="176"/>
      <c r="D745" s="177" t="s">
        <v>1591</v>
      </c>
      <c r="E745" s="178" t="s">
        <v>1592</v>
      </c>
      <c r="F745" s="225" t="s">
        <v>2042</v>
      </c>
      <c r="G745" s="253">
        <v>46446</v>
      </c>
      <c r="H745" s="225" t="s">
        <v>2043</v>
      </c>
      <c r="I745" s="177">
        <v>1</v>
      </c>
      <c r="J745" s="165" t="s">
        <v>2044</v>
      </c>
      <c r="K745" s="179" t="s">
        <v>1072</v>
      </c>
      <c r="L745" s="179"/>
      <c r="M745" s="70" t="str">
        <f t="shared" si="53"/>
        <v>INT-0150-25</v>
      </c>
      <c r="N745" s="180"/>
      <c r="O745" s="342"/>
    </row>
    <row r="746" spans="1:15" ht="25.5" x14ac:dyDescent="0.25">
      <c r="A746" s="253"/>
      <c r="B746" s="175" t="s">
        <v>2047</v>
      </c>
      <c r="C746" s="47" t="s">
        <v>1066</v>
      </c>
      <c r="D746" s="177" t="s">
        <v>2048</v>
      </c>
      <c r="E746" s="178" t="s">
        <v>2049</v>
      </c>
      <c r="F746" s="225" t="s">
        <v>2050</v>
      </c>
      <c r="G746" s="253">
        <v>46568</v>
      </c>
      <c r="H746" s="225" t="s">
        <v>2051</v>
      </c>
      <c r="I746" s="177">
        <v>195</v>
      </c>
      <c r="J746" s="165" t="s">
        <v>2052</v>
      </c>
      <c r="K746" s="179" t="s">
        <v>1071</v>
      </c>
      <c r="L746" s="179"/>
      <c r="M746" s="70" t="str">
        <f>HYPERLINK("P:\7. LONG HAU\7. CAC THEO DOI TRONG QUA TRINH\4. DEVIATION- INCIDENTS\THEO DÕI NỘI BỘ (NGOÀI BBSC)\"&amp;YEAR(A746)&amp;"\"&amp;B746,B746)</f>
        <v>INT-0151-25</v>
      </c>
      <c r="N746" s="180"/>
      <c r="O746" s="342"/>
    </row>
    <row r="747" spans="1:15" ht="15" x14ac:dyDescent="0.25">
      <c r="A747" s="253">
        <v>45938</v>
      </c>
      <c r="B747" s="175" t="s">
        <v>2053</v>
      </c>
      <c r="C747" s="176" t="s">
        <v>1066</v>
      </c>
      <c r="D747" s="177" t="s">
        <v>2054</v>
      </c>
      <c r="E747" s="178" t="s">
        <v>2055</v>
      </c>
      <c r="F747" s="225" t="s">
        <v>2056</v>
      </c>
      <c r="G747" s="253">
        <v>45569</v>
      </c>
      <c r="H747" s="225" t="s">
        <v>2057</v>
      </c>
      <c r="I747" s="177">
        <v>1</v>
      </c>
      <c r="J747" s="343" t="s">
        <v>1645</v>
      </c>
      <c r="K747" s="179" t="s">
        <v>1073</v>
      </c>
      <c r="L747" s="179"/>
      <c r="M747" s="70" t="str">
        <f>HYPERLINK("P:\7. LONG HAU\7. CAC THEO DOI TRONG QUA TRINH\4. DEVIATION- INCIDENTS\THEO DÕI NỘI BỘ (NGOÀI BBSC)\"&amp;YEAR(A747)&amp;"\"&amp;B747,B747)</f>
        <v>INT-0152-25</v>
      </c>
      <c r="N747" s="180"/>
      <c r="O747" s="342"/>
    </row>
    <row r="748" spans="1:15" ht="15" x14ac:dyDescent="0.25">
      <c r="A748" s="253">
        <v>45938</v>
      </c>
      <c r="B748" s="175" t="s">
        <v>2053</v>
      </c>
      <c r="C748" s="176" t="s">
        <v>1066</v>
      </c>
      <c r="D748" s="177" t="s">
        <v>2058</v>
      </c>
      <c r="E748" s="178" t="s">
        <v>2059</v>
      </c>
      <c r="F748" s="225" t="s">
        <v>2060</v>
      </c>
      <c r="G748" s="253">
        <v>45625</v>
      </c>
      <c r="H748" s="225" t="s">
        <v>2061</v>
      </c>
      <c r="I748" s="177">
        <v>1</v>
      </c>
      <c r="J748" s="343" t="s">
        <v>1645</v>
      </c>
      <c r="K748" s="179" t="s">
        <v>1073</v>
      </c>
      <c r="L748" s="179"/>
      <c r="M748" s="70" t="str">
        <f t="shared" ref="M748:M749" si="54">HYPERLINK("P:\7. LONG HAU\7. CAC THEO DOI TRONG QUA TRINH\4. DEVIATION- INCIDENTS\THEO DÕI NỘI BỘ (NGOÀI BBSC)\"&amp;YEAR(A748)&amp;"\"&amp;B748,B748)</f>
        <v>INT-0152-25</v>
      </c>
      <c r="N748" s="180"/>
      <c r="O748" s="342"/>
    </row>
    <row r="749" spans="1:15" ht="15" x14ac:dyDescent="0.25">
      <c r="A749" s="253">
        <v>45938</v>
      </c>
      <c r="B749" s="175" t="s">
        <v>2053</v>
      </c>
      <c r="C749" s="176" t="s">
        <v>1066</v>
      </c>
      <c r="D749" s="177" t="s">
        <v>961</v>
      </c>
      <c r="E749" s="178" t="s">
        <v>962</v>
      </c>
      <c r="F749" s="225" t="s">
        <v>2062</v>
      </c>
      <c r="G749" s="253">
        <v>45627</v>
      </c>
      <c r="H749" s="225" t="s">
        <v>2063</v>
      </c>
      <c r="I749" s="177">
        <v>1</v>
      </c>
      <c r="J749" s="343" t="s">
        <v>1645</v>
      </c>
      <c r="K749" s="179" t="s">
        <v>1073</v>
      </c>
      <c r="L749" s="179"/>
      <c r="M749" s="70" t="str">
        <f t="shared" si="54"/>
        <v>INT-0152-25</v>
      </c>
      <c r="N749" s="180"/>
      <c r="O749" s="342"/>
    </row>
    <row r="750" spans="1:15" ht="15" x14ac:dyDescent="0.25">
      <c r="A750" s="253">
        <v>45940</v>
      </c>
      <c r="B750" s="175" t="s">
        <v>2064</v>
      </c>
      <c r="C750" s="176" t="s">
        <v>1066</v>
      </c>
      <c r="D750" s="177" t="s">
        <v>1276</v>
      </c>
      <c r="E750" s="178" t="s">
        <v>303</v>
      </c>
      <c r="F750" s="225" t="s">
        <v>847</v>
      </c>
      <c r="G750" s="253">
        <v>46569</v>
      </c>
      <c r="H750" s="225" t="s">
        <v>2065</v>
      </c>
      <c r="I750" s="177">
        <v>1</v>
      </c>
      <c r="J750" s="165" t="s">
        <v>2068</v>
      </c>
      <c r="K750" s="179" t="s">
        <v>1072</v>
      </c>
      <c r="L750" s="179"/>
      <c r="M750" s="70" t="str">
        <f t="shared" ref="M750:M760" si="55">HYPERLINK("P:\7. LONG HAU\7. CAC THEO DOI TRONG QUA TRINH\4. DEVIATION- INCIDENTS\THEO DÕI NỘI BỘ (NGOÀI BBSC)\"&amp;YEAR(A750)&amp;"\"&amp;B750,B750)</f>
        <v>INT-0153-25</v>
      </c>
      <c r="N750" s="180"/>
      <c r="O750" s="342"/>
    </row>
    <row r="751" spans="1:15" ht="15" x14ac:dyDescent="0.25">
      <c r="A751" s="233">
        <v>45940</v>
      </c>
      <c r="B751" s="35" t="s">
        <v>2064</v>
      </c>
      <c r="C751" s="47" t="s">
        <v>1066</v>
      </c>
      <c r="D751" s="48" t="s">
        <v>1276</v>
      </c>
      <c r="E751" s="38" t="s">
        <v>303</v>
      </c>
      <c r="F751" s="205" t="s">
        <v>1588</v>
      </c>
      <c r="G751" s="233">
        <v>46774</v>
      </c>
      <c r="H751" s="205" t="s">
        <v>2066</v>
      </c>
      <c r="I751" s="48">
        <v>2</v>
      </c>
      <c r="J751" s="165" t="s">
        <v>2068</v>
      </c>
      <c r="K751" s="40" t="s">
        <v>1072</v>
      </c>
      <c r="L751" s="40"/>
      <c r="M751" s="70" t="str">
        <f t="shared" si="55"/>
        <v>INT-0153-25</v>
      </c>
      <c r="N751" s="193"/>
      <c r="O751" s="341"/>
    </row>
    <row r="752" spans="1:15" ht="15" x14ac:dyDescent="0.25">
      <c r="A752" s="233">
        <v>45940</v>
      </c>
      <c r="B752" s="35" t="s">
        <v>2064</v>
      </c>
      <c r="C752" s="47" t="s">
        <v>1066</v>
      </c>
      <c r="D752" s="48" t="s">
        <v>1333</v>
      </c>
      <c r="E752" s="38" t="s">
        <v>1334</v>
      </c>
      <c r="F752" s="205" t="s">
        <v>1335</v>
      </c>
      <c r="G752" s="233">
        <v>46466</v>
      </c>
      <c r="H752" s="205" t="s">
        <v>2067</v>
      </c>
      <c r="I752" s="48">
        <v>1</v>
      </c>
      <c r="J752" s="165" t="s">
        <v>2068</v>
      </c>
      <c r="K752" s="40" t="s">
        <v>1072</v>
      </c>
      <c r="L752" s="40"/>
      <c r="M752" s="70" t="str">
        <f t="shared" si="55"/>
        <v>INT-0153-25</v>
      </c>
      <c r="N752" s="193"/>
      <c r="O752" s="341"/>
    </row>
    <row r="753" spans="1:15" ht="15" x14ac:dyDescent="0.25">
      <c r="A753" s="233">
        <v>45940</v>
      </c>
      <c r="B753" s="35" t="s">
        <v>2064</v>
      </c>
      <c r="C753" s="47" t="s">
        <v>1066</v>
      </c>
      <c r="D753" s="48" t="s">
        <v>2069</v>
      </c>
      <c r="E753" s="38" t="s">
        <v>2070</v>
      </c>
      <c r="F753" s="205" t="s">
        <v>2071</v>
      </c>
      <c r="G753" s="233">
        <v>46477</v>
      </c>
      <c r="H753" s="205" t="s">
        <v>2072</v>
      </c>
      <c r="I753" s="48">
        <v>458</v>
      </c>
      <c r="J753" s="165" t="s">
        <v>2075</v>
      </c>
      <c r="K753" s="40" t="s">
        <v>1072</v>
      </c>
      <c r="L753" s="40"/>
      <c r="M753" s="70" t="str">
        <f t="shared" si="55"/>
        <v>INT-0153-25</v>
      </c>
      <c r="N753" s="193"/>
      <c r="O753" s="341"/>
    </row>
    <row r="754" spans="1:15" ht="15" x14ac:dyDescent="0.25">
      <c r="A754" s="233">
        <v>45940</v>
      </c>
      <c r="B754" s="35" t="s">
        <v>2064</v>
      </c>
      <c r="C754" s="47" t="s">
        <v>1066</v>
      </c>
      <c r="D754" s="48" t="s">
        <v>2069</v>
      </c>
      <c r="E754" s="38" t="s">
        <v>2070</v>
      </c>
      <c r="F754" s="205" t="s">
        <v>2073</v>
      </c>
      <c r="G754" s="233">
        <v>46507</v>
      </c>
      <c r="H754" s="205" t="s">
        <v>2074</v>
      </c>
      <c r="I754" s="48">
        <v>280</v>
      </c>
      <c r="J754" s="165" t="s">
        <v>2075</v>
      </c>
      <c r="K754" s="40" t="s">
        <v>1072</v>
      </c>
      <c r="L754" s="40"/>
      <c r="M754" s="70" t="str">
        <f t="shared" si="55"/>
        <v>INT-0153-25</v>
      </c>
      <c r="N754" s="193"/>
      <c r="O754" s="341"/>
    </row>
    <row r="755" spans="1:15" ht="15" x14ac:dyDescent="0.25">
      <c r="A755" s="253">
        <v>45940</v>
      </c>
      <c r="B755" s="175" t="s">
        <v>2076</v>
      </c>
      <c r="C755" s="176" t="s">
        <v>1066</v>
      </c>
      <c r="D755" s="177" t="s">
        <v>42</v>
      </c>
      <c r="E755" s="178" t="s">
        <v>43</v>
      </c>
      <c r="F755" s="225" t="s">
        <v>904</v>
      </c>
      <c r="G755" s="253">
        <v>46022</v>
      </c>
      <c r="H755" s="225" t="s">
        <v>2077</v>
      </c>
      <c r="I755" s="177">
        <v>7</v>
      </c>
      <c r="J755" s="165" t="s">
        <v>1884</v>
      </c>
      <c r="K755" s="179" t="s">
        <v>1073</v>
      </c>
      <c r="L755" s="179"/>
      <c r="M755" s="70" t="str">
        <f t="shared" si="55"/>
        <v>INT-0154-25</v>
      </c>
      <c r="N755" s="180"/>
      <c r="O755" s="342"/>
    </row>
    <row r="756" spans="1:15" ht="15" x14ac:dyDescent="0.25">
      <c r="A756" s="253">
        <v>45940</v>
      </c>
      <c r="B756" s="175" t="s">
        <v>2076</v>
      </c>
      <c r="C756" s="176" t="s">
        <v>1066</v>
      </c>
      <c r="D756" s="48" t="s">
        <v>36</v>
      </c>
      <c r="E756" s="38" t="s">
        <v>37</v>
      </c>
      <c r="F756" s="205" t="s">
        <v>364</v>
      </c>
      <c r="G756" s="233">
        <v>46022</v>
      </c>
      <c r="H756" s="205" t="s">
        <v>2078</v>
      </c>
      <c r="I756" s="48">
        <v>2</v>
      </c>
      <c r="J756" s="165" t="s">
        <v>1884</v>
      </c>
      <c r="K756" s="179" t="s">
        <v>1073</v>
      </c>
      <c r="L756" s="40"/>
      <c r="M756" s="70" t="str">
        <f t="shared" si="55"/>
        <v>INT-0154-25</v>
      </c>
      <c r="N756" s="193"/>
      <c r="O756" s="341"/>
    </row>
    <row r="757" spans="1:15" ht="15" x14ac:dyDescent="0.25">
      <c r="A757" s="253">
        <v>45940</v>
      </c>
      <c r="B757" s="175" t="s">
        <v>2076</v>
      </c>
      <c r="C757" s="176" t="s">
        <v>1066</v>
      </c>
      <c r="D757" s="48" t="s">
        <v>92</v>
      </c>
      <c r="E757" s="38" t="s">
        <v>93</v>
      </c>
      <c r="F757" s="205" t="s">
        <v>605</v>
      </c>
      <c r="G757" s="233">
        <v>46265</v>
      </c>
      <c r="H757" s="205" t="s">
        <v>2079</v>
      </c>
      <c r="I757" s="48">
        <v>2</v>
      </c>
      <c r="J757" s="165" t="s">
        <v>1884</v>
      </c>
      <c r="K757" s="179" t="s">
        <v>1073</v>
      </c>
      <c r="L757" s="40"/>
      <c r="M757" s="70" t="str">
        <f t="shared" si="55"/>
        <v>INT-0154-25</v>
      </c>
      <c r="N757" s="193"/>
      <c r="O757" s="341"/>
    </row>
    <row r="758" spans="1:15" ht="15" x14ac:dyDescent="0.25">
      <c r="A758" s="253">
        <v>45940</v>
      </c>
      <c r="B758" s="175" t="s">
        <v>2076</v>
      </c>
      <c r="C758" s="176" t="s">
        <v>1066</v>
      </c>
      <c r="D758" s="48" t="s">
        <v>1292</v>
      </c>
      <c r="E758" s="38" t="s">
        <v>1293</v>
      </c>
      <c r="F758" s="205" t="s">
        <v>2080</v>
      </c>
      <c r="G758" s="233">
        <v>46173</v>
      </c>
      <c r="H758" s="205" t="s">
        <v>2081</v>
      </c>
      <c r="I758" s="48">
        <v>4</v>
      </c>
      <c r="J758" s="165" t="s">
        <v>1884</v>
      </c>
      <c r="K758" s="179" t="s">
        <v>1073</v>
      </c>
      <c r="L758" s="40"/>
      <c r="M758" s="70" t="str">
        <f t="shared" si="55"/>
        <v>INT-0154-25</v>
      </c>
      <c r="N758" s="193"/>
      <c r="O758" s="341"/>
    </row>
    <row r="759" spans="1:15" ht="15" x14ac:dyDescent="0.25">
      <c r="A759" s="253">
        <v>45940</v>
      </c>
      <c r="B759" s="175" t="s">
        <v>2076</v>
      </c>
      <c r="C759" s="176" t="s">
        <v>1066</v>
      </c>
      <c r="D759" s="48" t="s">
        <v>905</v>
      </c>
      <c r="E759" s="38" t="s">
        <v>906</v>
      </c>
      <c r="F759" s="205" t="s">
        <v>907</v>
      </c>
      <c r="G759" s="233">
        <v>46081</v>
      </c>
      <c r="H759" s="205" t="s">
        <v>2082</v>
      </c>
      <c r="I759" s="48">
        <v>5</v>
      </c>
      <c r="J759" s="165" t="s">
        <v>1884</v>
      </c>
      <c r="K759" s="179" t="s">
        <v>1073</v>
      </c>
      <c r="L759" s="40"/>
      <c r="M759" s="70" t="str">
        <f t="shared" si="55"/>
        <v>INT-0154-25</v>
      </c>
      <c r="N759" s="193"/>
      <c r="O759" s="341"/>
    </row>
    <row r="760" spans="1:15" ht="15" x14ac:dyDescent="0.25">
      <c r="A760" s="253">
        <v>45940</v>
      </c>
      <c r="B760" s="175" t="s">
        <v>2076</v>
      </c>
      <c r="C760" s="176" t="s">
        <v>1066</v>
      </c>
      <c r="D760" s="48" t="s">
        <v>414</v>
      </c>
      <c r="E760" s="38" t="s">
        <v>415</v>
      </c>
      <c r="F760" s="205" t="s">
        <v>416</v>
      </c>
      <c r="G760" s="233">
        <v>46356</v>
      </c>
      <c r="H760" s="205" t="s">
        <v>2083</v>
      </c>
      <c r="I760" s="48">
        <v>13</v>
      </c>
      <c r="J760" s="165" t="s">
        <v>1884</v>
      </c>
      <c r="K760" s="179" t="s">
        <v>1073</v>
      </c>
      <c r="L760" s="40"/>
      <c r="M760" s="70" t="str">
        <f t="shared" si="55"/>
        <v>INT-0154-25</v>
      </c>
      <c r="N760" s="193"/>
      <c r="O760" s="341"/>
    </row>
    <row r="761" spans="1:15" ht="15" x14ac:dyDescent="0.25">
      <c r="A761" s="253">
        <v>45943</v>
      </c>
      <c r="B761" s="175" t="s">
        <v>2084</v>
      </c>
      <c r="C761" s="176" t="s">
        <v>1066</v>
      </c>
      <c r="D761" s="177" t="s">
        <v>1944</v>
      </c>
      <c r="E761" s="178" t="s">
        <v>1945</v>
      </c>
      <c r="F761" s="225" t="s">
        <v>1946</v>
      </c>
      <c r="G761" s="253">
        <v>45931</v>
      </c>
      <c r="H761" s="225" t="s">
        <v>2091</v>
      </c>
      <c r="I761" s="177">
        <v>4</v>
      </c>
      <c r="J761" s="165" t="s">
        <v>2094</v>
      </c>
      <c r="K761" s="179" t="s">
        <v>1072</v>
      </c>
      <c r="L761" s="179"/>
      <c r="M761" s="70" t="str">
        <f t="shared" ref="M761:M767" si="56">HYPERLINK("P:\7. LONG HAU\7. CAC THEO DOI TRONG QUA TRINH\4. DEVIATION- INCIDENTS\THEO DÕI NỘI BỘ (NGOÀI BBSC)\"&amp;YEAR(A761)&amp;"\"&amp;B761,B761)</f>
        <v>INT-0155-25</v>
      </c>
      <c r="N761" s="180"/>
      <c r="O761" s="342"/>
    </row>
    <row r="762" spans="1:15" ht="15" x14ac:dyDescent="0.25">
      <c r="A762" s="253">
        <v>45943</v>
      </c>
      <c r="B762" s="35" t="s">
        <v>2084</v>
      </c>
      <c r="C762" s="176" t="s">
        <v>1066</v>
      </c>
      <c r="D762" s="48" t="s">
        <v>1944</v>
      </c>
      <c r="E762" s="38" t="s">
        <v>1945</v>
      </c>
      <c r="F762" s="205" t="s">
        <v>2092</v>
      </c>
      <c r="G762" s="233">
        <v>45931</v>
      </c>
      <c r="H762" s="205" t="s">
        <v>2093</v>
      </c>
      <c r="I762" s="48">
        <v>1</v>
      </c>
      <c r="J762" s="165" t="s">
        <v>2094</v>
      </c>
      <c r="K762" s="40" t="s">
        <v>1072</v>
      </c>
      <c r="L762" s="40"/>
      <c r="M762" s="70" t="str">
        <f t="shared" si="56"/>
        <v>INT-0155-25</v>
      </c>
      <c r="N762" s="193"/>
      <c r="O762" s="341"/>
    </row>
    <row r="763" spans="1:15" ht="25.5" x14ac:dyDescent="0.25">
      <c r="A763" s="344">
        <v>45944</v>
      </c>
      <c r="B763" s="345" t="s">
        <v>2095</v>
      </c>
      <c r="C763" s="346" t="s">
        <v>1066</v>
      </c>
      <c r="D763" s="347" t="s">
        <v>44</v>
      </c>
      <c r="E763" s="348" t="s">
        <v>45</v>
      </c>
      <c r="F763" s="349" t="s">
        <v>2096</v>
      </c>
      <c r="G763" s="344">
        <v>46752</v>
      </c>
      <c r="H763" s="349" t="s">
        <v>2097</v>
      </c>
      <c r="I763" s="347">
        <v>1</v>
      </c>
      <c r="J763" s="165" t="s">
        <v>2100</v>
      </c>
      <c r="K763" s="350" t="s">
        <v>1072</v>
      </c>
      <c r="L763" s="350"/>
      <c r="M763" s="70" t="str">
        <f t="shared" si="56"/>
        <v>INT-0156-25</v>
      </c>
      <c r="N763" s="351"/>
      <c r="O763" s="352"/>
    </row>
    <row r="764" spans="1:15" ht="25.5" x14ac:dyDescent="0.25">
      <c r="A764" s="344">
        <v>45944</v>
      </c>
      <c r="B764" s="345" t="s">
        <v>2095</v>
      </c>
      <c r="C764" s="346" t="s">
        <v>1066</v>
      </c>
      <c r="D764" s="48" t="s">
        <v>1133</v>
      </c>
      <c r="E764" s="38" t="s">
        <v>1134</v>
      </c>
      <c r="F764" s="205" t="s">
        <v>1982</v>
      </c>
      <c r="G764" s="233">
        <v>46691</v>
      </c>
      <c r="H764" s="205" t="s">
        <v>2098</v>
      </c>
      <c r="I764" s="48">
        <v>2</v>
      </c>
      <c r="J764" s="165" t="s">
        <v>2100</v>
      </c>
      <c r="K764" s="40" t="s">
        <v>1072</v>
      </c>
      <c r="L764" s="40"/>
      <c r="M764" s="70" t="str">
        <f t="shared" si="56"/>
        <v>INT-0156-25</v>
      </c>
      <c r="N764" s="193"/>
      <c r="O764" s="341"/>
    </row>
    <row r="765" spans="1:15" ht="25.5" x14ac:dyDescent="0.25">
      <c r="A765" s="344">
        <v>45944</v>
      </c>
      <c r="B765" s="345" t="s">
        <v>2095</v>
      </c>
      <c r="C765" s="346" t="s">
        <v>1066</v>
      </c>
      <c r="D765" s="48" t="s">
        <v>39</v>
      </c>
      <c r="E765" s="38" t="s">
        <v>40</v>
      </c>
      <c r="F765" s="205" t="s">
        <v>2028</v>
      </c>
      <c r="G765" s="233">
        <v>46418</v>
      </c>
      <c r="H765" s="205" t="s">
        <v>2099</v>
      </c>
      <c r="I765" s="48">
        <v>10</v>
      </c>
      <c r="J765" s="165" t="s">
        <v>2100</v>
      </c>
      <c r="K765" s="40" t="s">
        <v>1073</v>
      </c>
      <c r="L765" s="40"/>
      <c r="M765" s="70" t="str">
        <f t="shared" si="56"/>
        <v>INT-0156-25</v>
      </c>
      <c r="N765" s="193"/>
      <c r="O765" s="341"/>
    </row>
    <row r="766" spans="1:15" ht="15" x14ac:dyDescent="0.25">
      <c r="A766" s="344">
        <v>45944</v>
      </c>
      <c r="B766" s="345" t="s">
        <v>2101</v>
      </c>
      <c r="C766" s="346" t="s">
        <v>1066</v>
      </c>
      <c r="D766" s="347" t="s">
        <v>414</v>
      </c>
      <c r="E766" s="348" t="s">
        <v>415</v>
      </c>
      <c r="F766" s="349" t="s">
        <v>2102</v>
      </c>
      <c r="G766" s="344">
        <v>46691</v>
      </c>
      <c r="H766" s="349" t="s">
        <v>2103</v>
      </c>
      <c r="I766" s="347">
        <v>1</v>
      </c>
      <c r="J766" s="353" t="s">
        <v>2105</v>
      </c>
      <c r="K766" s="350" t="s">
        <v>1073</v>
      </c>
      <c r="L766" s="350"/>
      <c r="M766" s="70" t="str">
        <f t="shared" si="56"/>
        <v>INT-0157-25</v>
      </c>
      <c r="N766" s="351"/>
      <c r="O766" s="352"/>
    </row>
    <row r="767" spans="1:15" ht="25.5" x14ac:dyDescent="0.25">
      <c r="A767" s="344">
        <v>45944</v>
      </c>
      <c r="B767" s="345" t="s">
        <v>2101</v>
      </c>
      <c r="C767" s="346" t="s">
        <v>1066</v>
      </c>
      <c r="D767" s="347" t="s">
        <v>44</v>
      </c>
      <c r="E767" s="348" t="s">
        <v>45</v>
      </c>
      <c r="F767" s="349" t="s">
        <v>2096</v>
      </c>
      <c r="G767" s="344">
        <v>46752</v>
      </c>
      <c r="H767" s="349" t="s">
        <v>2104</v>
      </c>
      <c r="I767" s="347">
        <v>2</v>
      </c>
      <c r="J767" s="353" t="s">
        <v>2106</v>
      </c>
      <c r="K767" s="350" t="s">
        <v>1073</v>
      </c>
      <c r="L767" s="350"/>
      <c r="M767" s="70" t="str">
        <f t="shared" si="56"/>
        <v>INT-0157-25</v>
      </c>
      <c r="N767" s="351"/>
      <c r="O767" s="352"/>
    </row>
    <row r="768" spans="1:15" ht="15" x14ac:dyDescent="0.25">
      <c r="A768" s="344"/>
      <c r="B768" s="345" t="s">
        <v>2108</v>
      </c>
      <c r="C768" s="346"/>
      <c r="D768" s="347"/>
      <c r="E768" s="348"/>
      <c r="F768" s="349"/>
      <c r="G768" s="344"/>
      <c r="H768" s="349"/>
      <c r="I768" s="347"/>
      <c r="J768" s="353"/>
      <c r="K768" s="350"/>
      <c r="L768" s="350"/>
      <c r="M768" s="70" t="str">
        <f>HYPERLINK("P:\7. LONG HAU\7. CAC THEO DOI TRONG QUA TRINH\4. DEVIATION- INCIDENTS\THEO DÕI NỘI BỘ (NGOÀI BBSC)\"&amp;YEAR(A768)&amp;"\"&amp;B768,B768)</f>
        <v>INT-0158-25</v>
      </c>
      <c r="N768" s="351"/>
      <c r="O768" s="352"/>
    </row>
    <row r="769" spans="1:15" ht="15" x14ac:dyDescent="0.25">
      <c r="A769" s="254">
        <v>45947</v>
      </c>
      <c r="B769" s="181" t="s">
        <v>2110</v>
      </c>
      <c r="C769" s="182" t="s">
        <v>1066</v>
      </c>
      <c r="D769" s="183" t="s">
        <v>1449</v>
      </c>
      <c r="E769" s="184" t="s">
        <v>1446</v>
      </c>
      <c r="F769" s="226" t="s">
        <v>1447</v>
      </c>
      <c r="G769" s="254">
        <v>45869</v>
      </c>
      <c r="H769" s="226" t="s">
        <v>2111</v>
      </c>
      <c r="I769" s="183">
        <v>833</v>
      </c>
      <c r="J769" s="165" t="s">
        <v>1641</v>
      </c>
      <c r="K769" s="185" t="s">
        <v>1072</v>
      </c>
      <c r="L769" s="185"/>
      <c r="M769" s="70" t="str">
        <f>HYPERLINK("P:\7. LONG HAU\7. CAC THEO DOI TRONG QUA TRINH\4. DEVIATION- INCIDENTS\THEO DÕI NỘI BỘ (NGOÀI BBSC)\"&amp;YEAR(A769)&amp;"\"&amp;B769,B769)</f>
        <v>INT-0159-25</v>
      </c>
      <c r="N769" s="186"/>
      <c r="O769" s="354"/>
    </row>
    <row r="770" spans="1:15" ht="15" x14ac:dyDescent="0.25">
      <c r="A770" s="254">
        <v>45950</v>
      </c>
      <c r="B770" s="181" t="s">
        <v>2112</v>
      </c>
      <c r="C770" s="182" t="s">
        <v>1066</v>
      </c>
      <c r="D770" s="183" t="s">
        <v>1276</v>
      </c>
      <c r="E770" s="184" t="s">
        <v>303</v>
      </c>
      <c r="F770" s="226" t="s">
        <v>1505</v>
      </c>
      <c r="G770" s="254" t="s">
        <v>2129</v>
      </c>
      <c r="H770" s="226" t="s">
        <v>2135</v>
      </c>
      <c r="I770" s="183">
        <v>1</v>
      </c>
      <c r="J770" s="276" t="s">
        <v>547</v>
      </c>
      <c r="K770" s="185" t="s">
        <v>1072</v>
      </c>
      <c r="L770" s="185"/>
      <c r="M770" s="70" t="str">
        <f>HYPERLINK("P:\7. LONG HAU\7. CAC THEO DOI TRONG QUA TRINH\4. DEVIATION- INCIDENTS\THEO DÕI NỘI BỘ (NGOÀI BBSC)\"&amp;YEAR(A770)&amp;"\"&amp;B770,B770)</f>
        <v>INT-0160-25</v>
      </c>
      <c r="N770" s="186"/>
      <c r="O770" s="354"/>
    </row>
    <row r="771" spans="1:15" ht="15" x14ac:dyDescent="0.25">
      <c r="A771" s="254">
        <v>45950</v>
      </c>
      <c r="B771" s="181" t="s">
        <v>2112</v>
      </c>
      <c r="C771" s="182" t="s">
        <v>1066</v>
      </c>
      <c r="D771" s="183" t="s">
        <v>2113</v>
      </c>
      <c r="E771" s="184" t="s">
        <v>2114</v>
      </c>
      <c r="F771" s="226" t="s">
        <v>2123</v>
      </c>
      <c r="G771" s="254" t="s">
        <v>1545</v>
      </c>
      <c r="H771" s="226" t="s">
        <v>2136</v>
      </c>
      <c r="I771" s="183">
        <v>3050</v>
      </c>
      <c r="J771" s="276" t="s">
        <v>1718</v>
      </c>
      <c r="K771" s="185" t="s">
        <v>1072</v>
      </c>
      <c r="L771" s="185"/>
      <c r="M771" s="70" t="str">
        <f t="shared" ref="M771:M777" si="57">HYPERLINK("P:\7. LONG HAU\7. CAC THEO DOI TRONG QUA TRINH\4. DEVIATION- INCIDENTS\THEO DÕI NỘI BỘ (NGOÀI BBSC)\"&amp;YEAR(A771)&amp;"\"&amp;B771,B771)</f>
        <v>INT-0160-25</v>
      </c>
      <c r="N771" s="186"/>
      <c r="O771" s="354"/>
    </row>
    <row r="772" spans="1:15" ht="15" x14ac:dyDescent="0.25">
      <c r="A772" s="254">
        <v>45950</v>
      </c>
      <c r="B772" s="181" t="s">
        <v>2112</v>
      </c>
      <c r="C772" s="182" t="s">
        <v>1066</v>
      </c>
      <c r="D772" s="183" t="s">
        <v>346</v>
      </c>
      <c r="E772" s="184" t="s">
        <v>347</v>
      </c>
      <c r="F772" s="226" t="s">
        <v>2124</v>
      </c>
      <c r="G772" s="254" t="s">
        <v>2130</v>
      </c>
      <c r="H772" s="226" t="s">
        <v>2137</v>
      </c>
      <c r="I772" s="183">
        <v>1</v>
      </c>
      <c r="J772" s="276" t="s">
        <v>2143</v>
      </c>
      <c r="K772" s="185" t="s">
        <v>1072</v>
      </c>
      <c r="L772" s="185"/>
      <c r="M772" s="70" t="str">
        <f t="shared" si="57"/>
        <v>INT-0160-25</v>
      </c>
      <c r="N772" s="186"/>
      <c r="O772" s="354"/>
    </row>
    <row r="773" spans="1:15" ht="15" x14ac:dyDescent="0.25">
      <c r="A773" s="254">
        <v>45950</v>
      </c>
      <c r="B773" s="181" t="s">
        <v>2112</v>
      </c>
      <c r="C773" s="182" t="s">
        <v>1066</v>
      </c>
      <c r="D773" s="183" t="s">
        <v>2115</v>
      </c>
      <c r="E773" s="184" t="s">
        <v>2116</v>
      </c>
      <c r="F773" s="226" t="s">
        <v>2125</v>
      </c>
      <c r="G773" s="254" t="s">
        <v>2131</v>
      </c>
      <c r="H773" s="226" t="s">
        <v>2138</v>
      </c>
      <c r="I773" s="183">
        <v>1</v>
      </c>
      <c r="J773" s="276" t="s">
        <v>2143</v>
      </c>
      <c r="K773" s="185" t="s">
        <v>1072</v>
      </c>
      <c r="L773" s="185"/>
      <c r="M773" s="70" t="str">
        <f t="shared" si="57"/>
        <v>INT-0160-25</v>
      </c>
      <c r="N773" s="186"/>
      <c r="O773" s="354"/>
    </row>
    <row r="774" spans="1:15" ht="15" x14ac:dyDescent="0.25">
      <c r="A774" s="254">
        <v>45950</v>
      </c>
      <c r="B774" s="181" t="s">
        <v>2112</v>
      </c>
      <c r="C774" s="182" t="s">
        <v>1066</v>
      </c>
      <c r="D774" s="183" t="s">
        <v>2117</v>
      </c>
      <c r="E774" s="184" t="s">
        <v>2118</v>
      </c>
      <c r="F774" s="226" t="s">
        <v>2126</v>
      </c>
      <c r="G774" s="254" t="s">
        <v>2132</v>
      </c>
      <c r="H774" s="226" t="s">
        <v>2139</v>
      </c>
      <c r="I774" s="183">
        <v>1</v>
      </c>
      <c r="J774" s="276" t="s">
        <v>2143</v>
      </c>
      <c r="K774" s="185" t="s">
        <v>1072</v>
      </c>
      <c r="L774" s="185"/>
      <c r="M774" s="70" t="str">
        <f t="shared" si="57"/>
        <v>INT-0160-25</v>
      </c>
      <c r="N774" s="186"/>
      <c r="O774" s="354"/>
    </row>
    <row r="775" spans="1:15" ht="15" x14ac:dyDescent="0.25">
      <c r="A775" s="254">
        <v>45950</v>
      </c>
      <c r="B775" s="181" t="s">
        <v>2112</v>
      </c>
      <c r="C775" s="182" t="s">
        <v>1066</v>
      </c>
      <c r="D775" s="183" t="s">
        <v>2119</v>
      </c>
      <c r="E775" s="184" t="s">
        <v>2120</v>
      </c>
      <c r="F775" s="226" t="s">
        <v>2127</v>
      </c>
      <c r="G775" s="254" t="s">
        <v>2133</v>
      </c>
      <c r="H775" s="226" t="s">
        <v>2140</v>
      </c>
      <c r="I775" s="183">
        <v>771</v>
      </c>
      <c r="J775" s="276" t="s">
        <v>1718</v>
      </c>
      <c r="K775" s="185" t="s">
        <v>1072</v>
      </c>
      <c r="L775" s="185"/>
      <c r="M775" s="70" t="str">
        <f t="shared" si="57"/>
        <v>INT-0160-25</v>
      </c>
      <c r="N775" s="186"/>
      <c r="O775" s="354"/>
    </row>
    <row r="776" spans="1:15" ht="15" x14ac:dyDescent="0.25">
      <c r="A776" s="254">
        <v>45950</v>
      </c>
      <c r="B776" s="181" t="s">
        <v>2112</v>
      </c>
      <c r="C776" s="182" t="s">
        <v>1066</v>
      </c>
      <c r="D776" s="183" t="s">
        <v>2121</v>
      </c>
      <c r="E776" s="184" t="s">
        <v>2122</v>
      </c>
      <c r="F776" s="226" t="s">
        <v>2128</v>
      </c>
      <c r="G776" s="254" t="s">
        <v>2134</v>
      </c>
      <c r="H776" s="226" t="s">
        <v>2141</v>
      </c>
      <c r="I776" s="183">
        <v>88</v>
      </c>
      <c r="J776" s="276" t="s">
        <v>1718</v>
      </c>
      <c r="K776" s="185" t="s">
        <v>1072</v>
      </c>
      <c r="L776" s="185"/>
      <c r="M776" s="70" t="str">
        <f t="shared" si="57"/>
        <v>INT-0160-25</v>
      </c>
      <c r="N776" s="186"/>
      <c r="O776" s="354"/>
    </row>
    <row r="777" spans="1:15" ht="15" x14ac:dyDescent="0.25">
      <c r="A777" s="254">
        <v>45950</v>
      </c>
      <c r="B777" s="181" t="s">
        <v>2112</v>
      </c>
      <c r="C777" s="182" t="s">
        <v>1066</v>
      </c>
      <c r="D777" s="183" t="s">
        <v>2022</v>
      </c>
      <c r="E777" s="184" t="s">
        <v>2023</v>
      </c>
      <c r="F777" s="226" t="s">
        <v>2024</v>
      </c>
      <c r="G777" s="254" t="s">
        <v>1709</v>
      </c>
      <c r="H777" s="226" t="s">
        <v>2142</v>
      </c>
      <c r="I777" s="183">
        <v>4</v>
      </c>
      <c r="J777" s="276" t="s">
        <v>2143</v>
      </c>
      <c r="K777" s="185" t="s">
        <v>1072</v>
      </c>
      <c r="L777" s="185"/>
      <c r="M777" s="70" t="str">
        <f t="shared" si="57"/>
        <v>INT-0160-25</v>
      </c>
      <c r="N777" s="186"/>
      <c r="O777" s="354"/>
    </row>
    <row r="778" spans="1:15" ht="15" x14ac:dyDescent="0.25">
      <c r="A778" s="254">
        <v>45950</v>
      </c>
      <c r="B778" s="181" t="s">
        <v>2144</v>
      </c>
      <c r="C778" s="182" t="s">
        <v>1066</v>
      </c>
      <c r="D778" s="183" t="s">
        <v>2145</v>
      </c>
      <c r="E778" s="184" t="s">
        <v>2146</v>
      </c>
      <c r="F778" s="226" t="s">
        <v>2147</v>
      </c>
      <c r="G778" s="254">
        <v>46057</v>
      </c>
      <c r="H778" s="226" t="s">
        <v>2148</v>
      </c>
      <c r="I778" s="183">
        <v>1</v>
      </c>
      <c r="J778" s="165" t="s">
        <v>2153</v>
      </c>
      <c r="K778" s="185" t="s">
        <v>1073</v>
      </c>
      <c r="L778" s="185"/>
      <c r="M778" s="70" t="str">
        <f t="shared" ref="M778:M779" si="58">HYPERLINK("P:\7. LONG HAU\7. CAC THEO DOI TRONG QUA TRINH\4. DEVIATION- INCIDENTS\THEO DÕI NỘI BỘ (NGOÀI BBSC)\"&amp;YEAR(A778)&amp;"\"&amp;B778,B778)</f>
        <v>INT-0161-25</v>
      </c>
      <c r="N778" s="186"/>
      <c r="O778" s="354"/>
    </row>
    <row r="779" spans="1:15" ht="15" x14ac:dyDescent="0.25">
      <c r="A779" s="254">
        <v>45950</v>
      </c>
      <c r="B779" s="181" t="s">
        <v>2144</v>
      </c>
      <c r="C779" s="182" t="s">
        <v>1066</v>
      </c>
      <c r="D779" s="183" t="s">
        <v>2149</v>
      </c>
      <c r="E779" s="184" t="s">
        <v>2150</v>
      </c>
      <c r="F779" s="226" t="s">
        <v>2151</v>
      </c>
      <c r="G779" s="254">
        <v>46337</v>
      </c>
      <c r="H779" s="226" t="s">
        <v>2152</v>
      </c>
      <c r="I779" s="183">
        <v>1</v>
      </c>
      <c r="J779" s="276" t="s">
        <v>2153</v>
      </c>
      <c r="K779" s="185" t="s">
        <v>1073</v>
      </c>
      <c r="L779" s="185"/>
      <c r="M779" s="70" t="str">
        <f t="shared" si="58"/>
        <v>INT-0161-25</v>
      </c>
      <c r="N779" s="186"/>
      <c r="O779" s="354"/>
    </row>
    <row r="780" spans="1:15" ht="15" x14ac:dyDescent="0.25">
      <c r="A780" s="254">
        <v>45951</v>
      </c>
      <c r="B780" s="181" t="s">
        <v>2154</v>
      </c>
      <c r="C780" s="182" t="s">
        <v>1066</v>
      </c>
      <c r="D780" s="183" t="s">
        <v>2155</v>
      </c>
      <c r="E780" s="184" t="s">
        <v>2156</v>
      </c>
      <c r="F780" s="226" t="s">
        <v>2157</v>
      </c>
      <c r="G780" s="254">
        <v>45747</v>
      </c>
      <c r="H780" s="226" t="s">
        <v>2158</v>
      </c>
      <c r="I780" s="183">
        <v>2</v>
      </c>
      <c r="J780" s="276" t="s">
        <v>1641</v>
      </c>
      <c r="K780" s="185" t="s">
        <v>1072</v>
      </c>
      <c r="L780" s="185"/>
      <c r="M780" s="70" t="str">
        <f>HYPERLINK("P:\7. LONG HAU\7. CAC THEO DOI TRONG QUA TRINH\4. DEVIATION- INCIDENTS\THEO DÕI NỘI BỘ (NGOÀI BBSC)\"&amp;YEAR(A780)&amp;"\"&amp;B780,B780)</f>
        <v>INT-0162-25</v>
      </c>
      <c r="N780" s="186"/>
      <c r="O780" s="354"/>
    </row>
    <row r="781" spans="1:15" ht="25.5" x14ac:dyDescent="0.25">
      <c r="A781" s="254">
        <v>45951</v>
      </c>
      <c r="B781" s="181" t="s">
        <v>2159</v>
      </c>
      <c r="C781" s="182" t="s">
        <v>1066</v>
      </c>
      <c r="D781" s="183" t="s">
        <v>1144</v>
      </c>
      <c r="E781" s="184" t="s">
        <v>1499</v>
      </c>
      <c r="F781" s="226"/>
      <c r="G781" s="254"/>
      <c r="H781" s="226"/>
      <c r="I781" s="183"/>
      <c r="J781" s="165" t="s">
        <v>2100</v>
      </c>
      <c r="K781" s="185" t="s">
        <v>1072</v>
      </c>
      <c r="L781" s="185"/>
      <c r="M781" s="70" t="str">
        <f>HYPERLINK("P:\7. LONG HAU\7. CAC THEO DOI TRONG QUA TRINH\4. DEVIATION- INCIDENTS\THEO DÕI NỘI BỘ (NGOÀI BBSC)\"&amp;YEAR(A781)&amp;"\"&amp;B781,B781)</f>
        <v>INT-0163-25</v>
      </c>
      <c r="N781" s="186"/>
      <c r="O781" s="354"/>
    </row>
    <row r="782" spans="1:15" ht="15" x14ac:dyDescent="0.25">
      <c r="A782" s="254">
        <v>45951</v>
      </c>
      <c r="B782" s="181" t="s">
        <v>2170</v>
      </c>
      <c r="C782" s="182"/>
      <c r="D782" s="183" t="s">
        <v>2160</v>
      </c>
      <c r="E782" s="184" t="s">
        <v>2161</v>
      </c>
      <c r="F782" s="226" t="s">
        <v>2172</v>
      </c>
      <c r="G782" s="254" t="s">
        <v>2173</v>
      </c>
      <c r="H782" s="226" t="s">
        <v>2184</v>
      </c>
      <c r="I782" s="183">
        <v>1</v>
      </c>
      <c r="J782" s="276" t="s">
        <v>2183</v>
      </c>
      <c r="K782" s="185" t="s">
        <v>1072</v>
      </c>
      <c r="L782" s="185"/>
      <c r="M782" s="70" t="str">
        <f t="shared" ref="M782:M784" si="59">HYPERLINK("P:\7. LONG HAU\7. CAC THEO DOI TRONG QUA TRINH\4. DEVIATION- INCIDENTS\THEO DÕI NỘI BỘ (NGOÀI BBSC)\"&amp;YEAR(A782)&amp;"\"&amp;B782,B782)</f>
        <v>INT-0164-25</v>
      </c>
      <c r="N782" s="186"/>
      <c r="O782" s="354"/>
    </row>
    <row r="783" spans="1:15" ht="15" x14ac:dyDescent="0.25">
      <c r="A783" s="254">
        <v>45951</v>
      </c>
      <c r="B783" s="181" t="s">
        <v>2170</v>
      </c>
      <c r="C783" s="182"/>
      <c r="D783" s="183" t="s">
        <v>2162</v>
      </c>
      <c r="E783" s="184" t="s">
        <v>2163</v>
      </c>
      <c r="F783" s="226" t="s">
        <v>2174</v>
      </c>
      <c r="G783" s="254" t="s">
        <v>2175</v>
      </c>
      <c r="H783" s="226" t="s">
        <v>2185</v>
      </c>
      <c r="I783" s="183">
        <v>2</v>
      </c>
      <c r="J783" s="276" t="s">
        <v>2183</v>
      </c>
      <c r="K783" s="185" t="s">
        <v>1072</v>
      </c>
      <c r="L783" s="185"/>
      <c r="M783" s="70" t="str">
        <f t="shared" si="59"/>
        <v>INT-0164-25</v>
      </c>
      <c r="N783" s="186"/>
      <c r="O783" s="354"/>
    </row>
    <row r="784" spans="1:15" ht="15" x14ac:dyDescent="0.25">
      <c r="A784" s="254">
        <v>45951</v>
      </c>
      <c r="B784" s="181" t="s">
        <v>2170</v>
      </c>
      <c r="C784" s="182"/>
      <c r="D784" s="183" t="s">
        <v>2164</v>
      </c>
      <c r="E784" s="184" t="s">
        <v>2165</v>
      </c>
      <c r="F784" s="226" t="s">
        <v>2176</v>
      </c>
      <c r="G784" s="254" t="s">
        <v>2177</v>
      </c>
      <c r="H784" s="226" t="s">
        <v>2186</v>
      </c>
      <c r="I784" s="183">
        <v>1</v>
      </c>
      <c r="J784" s="276" t="s">
        <v>2183</v>
      </c>
      <c r="K784" s="185" t="s">
        <v>1072</v>
      </c>
      <c r="L784" s="185"/>
      <c r="M784" s="70" t="str">
        <f t="shared" si="59"/>
        <v>INT-0164-25</v>
      </c>
      <c r="N784" s="186"/>
      <c r="O784" s="354"/>
    </row>
    <row r="785" spans="1:15" ht="15" x14ac:dyDescent="0.25">
      <c r="A785" s="254">
        <v>45951</v>
      </c>
      <c r="B785" s="181" t="s">
        <v>2170</v>
      </c>
      <c r="C785" s="182"/>
      <c r="D785" s="183" t="s">
        <v>2166</v>
      </c>
      <c r="E785" s="184" t="s">
        <v>2167</v>
      </c>
      <c r="F785" s="226" t="s">
        <v>2178</v>
      </c>
      <c r="G785" s="254" t="s">
        <v>2179</v>
      </c>
      <c r="H785" s="226" t="s">
        <v>2187</v>
      </c>
      <c r="I785" s="183">
        <v>1</v>
      </c>
      <c r="J785" s="276" t="s">
        <v>2183</v>
      </c>
      <c r="K785" s="185" t="s">
        <v>1072</v>
      </c>
      <c r="L785" s="185"/>
      <c r="M785" s="70" t="str">
        <f t="shared" ref="M785:M786" si="60">HYPERLINK("P:\7. LONG HAU\7. CAC THEO DOI TRONG QUA TRINH\4. DEVIATION- INCIDENTS\THEO DÕI NỘI BỘ (NGOÀI BBSC)\"&amp;YEAR(A785)&amp;"\"&amp;B785,B785)</f>
        <v>INT-0164-25</v>
      </c>
      <c r="N785" s="186"/>
      <c r="O785" s="354"/>
    </row>
    <row r="786" spans="1:15" ht="15" x14ac:dyDescent="0.25">
      <c r="A786" s="254">
        <v>45951</v>
      </c>
      <c r="B786" s="181" t="s">
        <v>2170</v>
      </c>
      <c r="C786" s="182"/>
      <c r="D786" s="183" t="s">
        <v>2166</v>
      </c>
      <c r="E786" s="184" t="s">
        <v>2167</v>
      </c>
      <c r="F786" s="226" t="s">
        <v>2180</v>
      </c>
      <c r="G786" s="254" t="s">
        <v>2181</v>
      </c>
      <c r="H786" s="226" t="s">
        <v>2187</v>
      </c>
      <c r="I786" s="183">
        <v>1</v>
      </c>
      <c r="J786" s="276" t="s">
        <v>2183</v>
      </c>
      <c r="K786" s="185" t="s">
        <v>1072</v>
      </c>
      <c r="L786" s="185"/>
      <c r="M786" s="70" t="str">
        <f t="shared" si="60"/>
        <v>INT-0164-25</v>
      </c>
      <c r="N786" s="186"/>
      <c r="O786" s="354"/>
    </row>
    <row r="787" spans="1:15" ht="15" x14ac:dyDescent="0.25">
      <c r="A787" s="254">
        <v>45951</v>
      </c>
      <c r="B787" s="181" t="s">
        <v>2171</v>
      </c>
      <c r="C787" s="182"/>
      <c r="D787" s="183" t="s">
        <v>2168</v>
      </c>
      <c r="E787" s="184" t="s">
        <v>2169</v>
      </c>
      <c r="F787" s="226">
        <v>7920951</v>
      </c>
      <c r="G787" s="254" t="s">
        <v>2182</v>
      </c>
      <c r="H787" s="226" t="s">
        <v>2188</v>
      </c>
      <c r="I787" s="183">
        <v>1</v>
      </c>
      <c r="J787" s="276" t="s">
        <v>2183</v>
      </c>
      <c r="K787" s="185" t="s">
        <v>1072</v>
      </c>
      <c r="L787" s="185"/>
      <c r="M787" s="70" t="str">
        <f t="shared" ref="M787:M792" si="61">HYPERLINK("P:\7. LONG HAU\7. CAC THEO DOI TRONG QUA TRINH\4. DEVIATION- INCIDENTS\THEO DÕI NỘI BỘ (NGOÀI BBSC)\"&amp;YEAR(A787)&amp;"\"&amp;B787,B787)</f>
        <v>INT-0165-25</v>
      </c>
      <c r="N787" s="186"/>
      <c r="O787" s="354"/>
    </row>
    <row r="788" spans="1:15" ht="15" x14ac:dyDescent="0.25">
      <c r="A788" s="254">
        <v>45953</v>
      </c>
      <c r="B788" s="181" t="s">
        <v>2189</v>
      </c>
      <c r="C788" s="182"/>
      <c r="D788" s="183" t="s">
        <v>1276</v>
      </c>
      <c r="E788" s="184" t="s">
        <v>303</v>
      </c>
      <c r="F788" s="226" t="s">
        <v>1505</v>
      </c>
      <c r="G788" s="254">
        <v>46656</v>
      </c>
      <c r="H788" s="226" t="s">
        <v>2190</v>
      </c>
      <c r="I788" s="183">
        <v>1</v>
      </c>
      <c r="J788" s="165" t="s">
        <v>547</v>
      </c>
      <c r="K788" s="185" t="s">
        <v>1072</v>
      </c>
      <c r="L788" s="185"/>
      <c r="M788" s="70" t="str">
        <f t="shared" si="61"/>
        <v>INT-0166-25</v>
      </c>
      <c r="N788" s="186"/>
      <c r="O788" s="354"/>
    </row>
    <row r="789" spans="1:15" ht="15" x14ac:dyDescent="0.25">
      <c r="A789" s="254">
        <v>45954</v>
      </c>
      <c r="B789" s="181" t="s">
        <v>2191</v>
      </c>
      <c r="C789" s="182" t="s">
        <v>1066</v>
      </c>
      <c r="D789" s="183" t="s">
        <v>47</v>
      </c>
      <c r="E789" s="184" t="s">
        <v>48</v>
      </c>
      <c r="F789" s="226" t="s">
        <v>623</v>
      </c>
      <c r="G789" s="254">
        <v>46173</v>
      </c>
      <c r="H789" s="226" t="s">
        <v>2192</v>
      </c>
      <c r="I789" s="183">
        <v>5</v>
      </c>
      <c r="J789" s="165" t="s">
        <v>2194</v>
      </c>
      <c r="K789" s="185" t="s">
        <v>1073</v>
      </c>
      <c r="L789" s="185"/>
      <c r="M789" s="70" t="str">
        <f t="shared" si="61"/>
        <v>INT-0167-25</v>
      </c>
      <c r="N789" s="186"/>
      <c r="O789" s="354"/>
    </row>
    <row r="790" spans="1:15" ht="25.5" x14ac:dyDescent="0.25">
      <c r="A790" s="233">
        <v>45954</v>
      </c>
      <c r="B790" s="35" t="s">
        <v>2191</v>
      </c>
      <c r="C790" s="47" t="s">
        <v>1066</v>
      </c>
      <c r="D790" s="48" t="s">
        <v>44</v>
      </c>
      <c r="E790" s="38" t="s">
        <v>45</v>
      </c>
      <c r="F790" s="205" t="s">
        <v>1179</v>
      </c>
      <c r="G790" s="233">
        <v>46326</v>
      </c>
      <c r="H790" s="205" t="s">
        <v>2193</v>
      </c>
      <c r="I790" s="48">
        <v>2</v>
      </c>
      <c r="J790" s="165" t="s">
        <v>2194</v>
      </c>
      <c r="K790" s="40" t="s">
        <v>1073</v>
      </c>
      <c r="L790" s="40"/>
      <c r="M790" s="70" t="str">
        <f t="shared" si="61"/>
        <v>INT-0167-25</v>
      </c>
      <c r="N790" s="193"/>
      <c r="O790" s="341"/>
    </row>
    <row r="791" spans="1:15" ht="15" x14ac:dyDescent="0.25">
      <c r="A791" s="233">
        <v>45954</v>
      </c>
      <c r="B791" s="35" t="s">
        <v>2195</v>
      </c>
      <c r="C791" s="47"/>
      <c r="D791" s="48" t="s">
        <v>2196</v>
      </c>
      <c r="E791" s="38" t="s">
        <v>2197</v>
      </c>
      <c r="F791" s="205" t="s">
        <v>2198</v>
      </c>
      <c r="G791" s="233">
        <v>46543</v>
      </c>
      <c r="H791" s="205" t="s">
        <v>2199</v>
      </c>
      <c r="I791" s="48">
        <v>3696</v>
      </c>
      <c r="J791" s="165" t="s">
        <v>2200</v>
      </c>
      <c r="K791" s="40"/>
      <c r="L791" s="40"/>
      <c r="M791" s="70" t="str">
        <f t="shared" si="61"/>
        <v>INT-0168-25</v>
      </c>
      <c r="N791" s="193"/>
      <c r="O791" s="341"/>
    </row>
    <row r="792" spans="1:15" ht="15" x14ac:dyDescent="0.25">
      <c r="A792" s="255">
        <v>45957</v>
      </c>
      <c r="B792" s="187" t="s">
        <v>2201</v>
      </c>
      <c r="C792" s="188" t="s">
        <v>1066</v>
      </c>
      <c r="D792" s="189" t="s">
        <v>2006</v>
      </c>
      <c r="E792" s="190" t="s">
        <v>2007</v>
      </c>
      <c r="F792" s="227" t="s">
        <v>2008</v>
      </c>
      <c r="G792" s="255">
        <v>45961</v>
      </c>
      <c r="H792" s="227" t="s">
        <v>2202</v>
      </c>
      <c r="I792" s="189">
        <v>3</v>
      </c>
      <c r="J792" s="165" t="s">
        <v>1718</v>
      </c>
      <c r="K792" s="191" t="s">
        <v>1073</v>
      </c>
      <c r="L792" s="191"/>
      <c r="M792" s="70" t="str">
        <f t="shared" si="61"/>
        <v>INT-0169-25</v>
      </c>
      <c r="N792" s="192"/>
      <c r="O792" s="355"/>
    </row>
    <row r="793" spans="1:15" ht="15" x14ac:dyDescent="0.25">
      <c r="A793" s="255">
        <v>45957</v>
      </c>
      <c r="B793" s="187" t="s">
        <v>2203</v>
      </c>
      <c r="C793" s="188" t="s">
        <v>547</v>
      </c>
      <c r="D793" s="189" t="s">
        <v>1276</v>
      </c>
      <c r="E793" s="190" t="s">
        <v>303</v>
      </c>
      <c r="F793" s="227" t="s">
        <v>1505</v>
      </c>
      <c r="G793" s="255">
        <v>46656</v>
      </c>
      <c r="H793" s="227" t="s">
        <v>2204</v>
      </c>
      <c r="I793" s="189">
        <v>1</v>
      </c>
      <c r="J793" s="165" t="s">
        <v>547</v>
      </c>
      <c r="K793" s="191" t="s">
        <v>1072</v>
      </c>
      <c r="L793" s="191"/>
      <c r="M793" s="70" t="str">
        <f>HYPERLINK("P:\7. LONG HAU\7. CAC THEO DOI TRONG QUA TRINH\4. DEVIATION- INCIDENTS\THEO DÕI NỘI BỘ (NGOÀI BBSC)\"&amp;YEAR(A793)&amp;"\"&amp;B793,B793)</f>
        <v>INT-0170-25</v>
      </c>
      <c r="N793" s="192"/>
      <c r="O793" s="355"/>
    </row>
    <row r="794" spans="1:15" ht="15" x14ac:dyDescent="0.25">
      <c r="A794" s="255">
        <v>45957</v>
      </c>
      <c r="B794" s="35" t="s">
        <v>2205</v>
      </c>
      <c r="C794" s="47" t="s">
        <v>1066</v>
      </c>
      <c r="D794" s="48" t="s">
        <v>2206</v>
      </c>
      <c r="E794" s="38" t="s">
        <v>2207</v>
      </c>
      <c r="F794" s="205" t="s">
        <v>2208</v>
      </c>
      <c r="G794" s="233">
        <v>45961</v>
      </c>
      <c r="H794" s="205" t="s">
        <v>2209</v>
      </c>
      <c r="I794" s="48">
        <v>133</v>
      </c>
      <c r="J794" s="165" t="s">
        <v>1718</v>
      </c>
      <c r="K794" s="40" t="s">
        <v>1072</v>
      </c>
      <c r="L794" s="40"/>
      <c r="M794" s="70" t="str">
        <f>HYPERLINK("P:\7. LONG HAU\7. CAC THEO DOI TRONG QUA TRINH\4. DEVIATION- INCIDENTS\THEO DÕI NỘI BỘ (NGOÀI BBSC)\"&amp;YEAR(A794)&amp;"\"&amp;B794,B794)</f>
        <v>INT-0171-25</v>
      </c>
      <c r="N794" s="193"/>
      <c r="O794" s="341"/>
    </row>
    <row r="795" spans="1:15" ht="15" x14ac:dyDescent="0.25">
      <c r="A795" s="255">
        <v>45958</v>
      </c>
      <c r="B795" s="187" t="s">
        <v>2210</v>
      </c>
      <c r="C795" s="188" t="s">
        <v>1066</v>
      </c>
      <c r="D795" s="189" t="s">
        <v>2212</v>
      </c>
      <c r="E795" s="190" t="s">
        <v>2213</v>
      </c>
      <c r="F795" s="227" t="s">
        <v>2214</v>
      </c>
      <c r="G795" s="255">
        <v>47361</v>
      </c>
      <c r="H795" s="227" t="s">
        <v>2215</v>
      </c>
      <c r="I795" s="189">
        <v>1</v>
      </c>
      <c r="J795" s="165" t="s">
        <v>2143</v>
      </c>
      <c r="K795" s="191" t="s">
        <v>1072</v>
      </c>
      <c r="L795" s="191"/>
      <c r="M795" s="70" t="str">
        <f>HYPERLINK("P:\7. LONG HAU\7. CAC THEO DOI TRONG QUA TRINH\4. DEVIATION- INCIDENTS\THEO DÕI NỘI BỘ (NGOÀI BBSC)\"&amp;YEAR(A795)&amp;"\"&amp;B795,B795)</f>
        <v>INT-0172-25</v>
      </c>
      <c r="N795" s="192"/>
      <c r="O795" s="355"/>
    </row>
    <row r="796" spans="1:15" ht="15" x14ac:dyDescent="0.25">
      <c r="A796" s="255">
        <v>45958</v>
      </c>
      <c r="B796" s="187" t="s">
        <v>2211</v>
      </c>
      <c r="C796" s="188" t="s">
        <v>1066</v>
      </c>
      <c r="D796" s="189" t="s">
        <v>2006</v>
      </c>
      <c r="E796" s="190" t="s">
        <v>2007</v>
      </c>
      <c r="F796" s="227" t="s">
        <v>2008</v>
      </c>
      <c r="G796" s="255">
        <v>45961</v>
      </c>
      <c r="H796" s="227" t="s">
        <v>2216</v>
      </c>
      <c r="I796" s="189">
        <v>2</v>
      </c>
      <c r="J796" s="165" t="s">
        <v>1718</v>
      </c>
      <c r="K796" s="191" t="s">
        <v>1072</v>
      </c>
      <c r="L796" s="191"/>
      <c r="M796" s="70" t="str">
        <f t="shared" ref="M796:M797" si="62">HYPERLINK("P:\7. LONG HAU\7. CAC THEO DOI TRONG QUA TRINH\4. DEVIATION- INCIDENTS\THEO DÕI NỘI BỘ (NGOÀI BBSC)\"&amp;YEAR(A796)&amp;"\"&amp;B796,B796)</f>
        <v>INT-0173-25</v>
      </c>
      <c r="N796" s="192"/>
      <c r="O796" s="355"/>
    </row>
    <row r="797" spans="1:15" ht="15" x14ac:dyDescent="0.25">
      <c r="A797" s="255">
        <v>45958</v>
      </c>
      <c r="B797" s="187" t="s">
        <v>2211</v>
      </c>
      <c r="C797" s="188" t="s">
        <v>1066</v>
      </c>
      <c r="D797" s="189" t="s">
        <v>2217</v>
      </c>
      <c r="E797" s="190" t="s">
        <v>2218</v>
      </c>
      <c r="F797" s="227" t="s">
        <v>2219</v>
      </c>
      <c r="G797" s="255">
        <v>45900</v>
      </c>
      <c r="H797" s="227" t="s">
        <v>2220</v>
      </c>
      <c r="I797" s="189">
        <v>1</v>
      </c>
      <c r="J797" s="165" t="s">
        <v>1641</v>
      </c>
      <c r="K797" s="191" t="s">
        <v>1072</v>
      </c>
      <c r="L797" s="191"/>
      <c r="M797" s="70" t="str">
        <f t="shared" si="62"/>
        <v>INT-0173-25</v>
      </c>
      <c r="N797" s="192"/>
      <c r="O797" s="355"/>
    </row>
    <row r="798" spans="1:15" ht="15" x14ac:dyDescent="0.25">
      <c r="A798" s="255">
        <v>45959</v>
      </c>
      <c r="B798" s="187" t="s">
        <v>2221</v>
      </c>
      <c r="C798" s="188" t="s">
        <v>1066</v>
      </c>
      <c r="D798" s="189" t="s">
        <v>2222</v>
      </c>
      <c r="E798" s="190" t="s">
        <v>2223</v>
      </c>
      <c r="F798" s="227" t="s">
        <v>2224</v>
      </c>
      <c r="G798" s="255">
        <v>46742</v>
      </c>
      <c r="H798" s="227" t="s">
        <v>2225</v>
      </c>
      <c r="I798" s="189">
        <v>8</v>
      </c>
      <c r="J798" s="165" t="s">
        <v>2236</v>
      </c>
      <c r="K798" s="191" t="s">
        <v>1072</v>
      </c>
      <c r="L798" s="191"/>
      <c r="M798" s="70" t="str">
        <f>HYPERLINK("P:\7. LONG HAU\7. CAC THEO DOI TRONG QUA TRINH\4. DEVIATION- INCIDENTS\THEO DÕI NỘI BỘ (NGOÀI BBSC)\"&amp;YEAR(A798)&amp;"\"&amp;B798,B798)</f>
        <v>INT-0174-25</v>
      </c>
      <c r="N798" s="356" t="s">
        <v>2689</v>
      </c>
      <c r="O798" s="355"/>
    </row>
    <row r="799" spans="1:15" ht="25.5" x14ac:dyDescent="0.25">
      <c r="A799" s="255">
        <v>45959</v>
      </c>
      <c r="B799" s="187" t="s">
        <v>2221</v>
      </c>
      <c r="C799" s="188" t="s">
        <v>1066</v>
      </c>
      <c r="D799" s="189" t="s">
        <v>2226</v>
      </c>
      <c r="E799" s="190" t="s">
        <v>2227</v>
      </c>
      <c r="F799" s="227" t="s">
        <v>2228</v>
      </c>
      <c r="G799" s="255">
        <v>46916</v>
      </c>
      <c r="H799" s="227" t="s">
        <v>2229</v>
      </c>
      <c r="I799" s="189">
        <v>59</v>
      </c>
      <c r="J799" s="277" t="s">
        <v>2236</v>
      </c>
      <c r="K799" s="191" t="s">
        <v>1072</v>
      </c>
      <c r="L799" s="191"/>
      <c r="M799" s="70" t="str">
        <f t="shared" ref="M799:M801" si="63">HYPERLINK("P:\7. LONG HAU\7. CAC THEO DOI TRONG QUA TRINH\4. DEVIATION- INCIDENTS\THEO DÕI NỘI BỘ (NGOÀI BBSC)\"&amp;YEAR(A799)&amp;"\"&amp;B799,B799)</f>
        <v>INT-0174-25</v>
      </c>
      <c r="N799" s="356" t="s">
        <v>2689</v>
      </c>
      <c r="O799" s="355"/>
    </row>
    <row r="800" spans="1:15" ht="15" x14ac:dyDescent="0.25">
      <c r="A800" s="255">
        <v>45959</v>
      </c>
      <c r="B800" s="187" t="s">
        <v>2221</v>
      </c>
      <c r="C800" s="188" t="s">
        <v>1066</v>
      </c>
      <c r="D800" s="189" t="s">
        <v>2230</v>
      </c>
      <c r="E800" s="190" t="s">
        <v>2231</v>
      </c>
      <c r="F800" s="227" t="s">
        <v>2232</v>
      </c>
      <c r="G800" s="255">
        <v>46630</v>
      </c>
      <c r="H800" s="227" t="s">
        <v>2233</v>
      </c>
      <c r="I800" s="189">
        <v>1</v>
      </c>
      <c r="J800" s="165" t="s">
        <v>2237</v>
      </c>
      <c r="K800" s="191" t="s">
        <v>1073</v>
      </c>
      <c r="L800" s="191"/>
      <c r="M800" s="70" t="str">
        <f t="shared" si="63"/>
        <v>INT-0174-25</v>
      </c>
      <c r="N800" s="192"/>
      <c r="O800" s="355"/>
    </row>
    <row r="801" spans="1:15" ht="15" x14ac:dyDescent="0.25">
      <c r="A801" s="255">
        <v>45959</v>
      </c>
      <c r="B801" s="187" t="s">
        <v>2221</v>
      </c>
      <c r="C801" s="188" t="s">
        <v>1066</v>
      </c>
      <c r="D801" s="189" t="s">
        <v>1800</v>
      </c>
      <c r="E801" s="190" t="s">
        <v>1801</v>
      </c>
      <c r="F801" s="227" t="s">
        <v>2234</v>
      </c>
      <c r="G801" s="255">
        <v>47279</v>
      </c>
      <c r="H801" s="227" t="s">
        <v>2235</v>
      </c>
      <c r="I801" s="189">
        <v>4</v>
      </c>
      <c r="J801" s="165" t="s">
        <v>2237</v>
      </c>
      <c r="K801" s="191" t="s">
        <v>1073</v>
      </c>
      <c r="L801" s="191"/>
      <c r="M801" s="70" t="str">
        <f t="shared" si="63"/>
        <v>INT-0174-25</v>
      </c>
      <c r="N801" s="192"/>
      <c r="O801" s="355"/>
    </row>
    <row r="802" spans="1:15" ht="15" x14ac:dyDescent="0.25">
      <c r="A802" s="255">
        <v>45961</v>
      </c>
      <c r="B802" s="187" t="s">
        <v>2238</v>
      </c>
      <c r="C802" s="188" t="s">
        <v>1103</v>
      </c>
      <c r="D802" s="189" t="s">
        <v>2240</v>
      </c>
      <c r="E802" s="190" t="s">
        <v>2241</v>
      </c>
      <c r="F802" s="227" t="s">
        <v>2242</v>
      </c>
      <c r="G802" s="255">
        <v>46548</v>
      </c>
      <c r="H802" s="227" t="s">
        <v>2243</v>
      </c>
      <c r="I802" s="189">
        <v>1</v>
      </c>
      <c r="J802" s="165" t="s">
        <v>1620</v>
      </c>
      <c r="K802" s="191" t="s">
        <v>1073</v>
      </c>
      <c r="L802" s="191"/>
      <c r="M802" s="70" t="str">
        <f>HYPERLINK("P:\7. LONG HAU\7. CAC THEO DOI TRONG QUA TRINH\4. DEVIATION- INCIDENTS\THEO DÕI NỘI BỘ (NGOÀI BBSC)\"&amp;YEAR(A802)&amp;"\"&amp;B802,B802)</f>
        <v>INT-0175-25</v>
      </c>
      <c r="N802" s="192"/>
      <c r="O802" s="355"/>
    </row>
    <row r="803" spans="1:15" ht="15" x14ac:dyDescent="0.25">
      <c r="A803" s="255">
        <v>45961</v>
      </c>
      <c r="B803" s="187" t="s">
        <v>2239</v>
      </c>
      <c r="C803" s="188" t="s">
        <v>1066</v>
      </c>
      <c r="D803" s="189" t="s">
        <v>2206</v>
      </c>
      <c r="E803" s="190" t="s">
        <v>2207</v>
      </c>
      <c r="F803" s="227" t="s">
        <v>2252</v>
      </c>
      <c r="G803" s="255" t="s">
        <v>1545</v>
      </c>
      <c r="H803" s="227" t="s">
        <v>2262</v>
      </c>
      <c r="I803" s="189">
        <v>480</v>
      </c>
      <c r="J803" s="165" t="s">
        <v>1718</v>
      </c>
      <c r="K803" s="191" t="s">
        <v>1072</v>
      </c>
      <c r="L803" s="191"/>
      <c r="M803" s="70" t="str">
        <f>HYPERLINK("P:\7. LONG HAU\7. CAC THEO DOI TRONG QUA TRINH\4. DEVIATION- INCIDENTS\THEO DÕI NỘI BỘ (NGOÀI BBSC)\"&amp;YEAR(A803)&amp;"\"&amp;B803,B803)</f>
        <v>INT-0176-25</v>
      </c>
      <c r="N803" s="192"/>
      <c r="O803" s="355"/>
    </row>
    <row r="804" spans="1:15" ht="15" x14ac:dyDescent="0.25">
      <c r="A804" s="233">
        <v>45961</v>
      </c>
      <c r="B804" s="35" t="s">
        <v>2239</v>
      </c>
      <c r="C804" s="47" t="s">
        <v>1066</v>
      </c>
      <c r="D804" s="48" t="s">
        <v>2206</v>
      </c>
      <c r="E804" s="38" t="s">
        <v>2207</v>
      </c>
      <c r="F804" s="205" t="s">
        <v>2252</v>
      </c>
      <c r="G804" s="233" t="s">
        <v>1545</v>
      </c>
      <c r="H804" s="205" t="s">
        <v>2263</v>
      </c>
      <c r="I804" s="48">
        <v>330</v>
      </c>
      <c r="J804" s="165" t="s">
        <v>1718</v>
      </c>
      <c r="K804" s="40" t="s">
        <v>1072</v>
      </c>
      <c r="L804" s="40"/>
      <c r="M804" s="70" t="str">
        <f t="shared" ref="M804:M817" si="64">HYPERLINK("P:\7. LONG HAU\7. CAC THEO DOI TRONG QUA TRINH\4. DEVIATION- INCIDENTS\THEO DÕI NỘI BỘ (NGOÀI BBSC)\"&amp;YEAR(A804)&amp;"\"&amp;B804,B804)</f>
        <v>INT-0176-25</v>
      </c>
      <c r="N804" s="193"/>
      <c r="O804" s="341"/>
    </row>
    <row r="805" spans="1:15" ht="15" x14ac:dyDescent="0.25">
      <c r="A805" s="233">
        <v>45961</v>
      </c>
      <c r="B805" s="35" t="s">
        <v>2239</v>
      </c>
      <c r="C805" s="47" t="s">
        <v>1066</v>
      </c>
      <c r="D805" s="48" t="s">
        <v>2244</v>
      </c>
      <c r="E805" s="38" t="s">
        <v>2245</v>
      </c>
      <c r="F805" s="205" t="s">
        <v>2253</v>
      </c>
      <c r="G805" s="233" t="s">
        <v>1545</v>
      </c>
      <c r="H805" s="205" t="s">
        <v>2264</v>
      </c>
      <c r="I805" s="48">
        <v>5400</v>
      </c>
      <c r="J805" s="165" t="s">
        <v>1718</v>
      </c>
      <c r="K805" s="40" t="s">
        <v>1072</v>
      </c>
      <c r="L805" s="40"/>
      <c r="M805" s="70" t="str">
        <f t="shared" si="64"/>
        <v>INT-0176-25</v>
      </c>
      <c r="N805" s="193"/>
      <c r="O805" s="341"/>
    </row>
    <row r="806" spans="1:15" ht="15" x14ac:dyDescent="0.25">
      <c r="A806" s="233">
        <v>45961</v>
      </c>
      <c r="B806" s="35" t="s">
        <v>2239</v>
      </c>
      <c r="C806" s="47" t="s">
        <v>1066</v>
      </c>
      <c r="D806" s="48" t="s">
        <v>2244</v>
      </c>
      <c r="E806" s="38" t="s">
        <v>2245</v>
      </c>
      <c r="F806" s="205" t="s">
        <v>2253</v>
      </c>
      <c r="G806" s="233" t="s">
        <v>1545</v>
      </c>
      <c r="H806" s="205" t="s">
        <v>2265</v>
      </c>
      <c r="I806" s="48">
        <v>1188</v>
      </c>
      <c r="J806" s="165" t="s">
        <v>1718</v>
      </c>
      <c r="K806" s="40" t="s">
        <v>1072</v>
      </c>
      <c r="L806" s="40"/>
      <c r="M806" s="70" t="str">
        <f t="shared" si="64"/>
        <v>INT-0176-25</v>
      </c>
      <c r="N806" s="193"/>
      <c r="O806" s="341"/>
    </row>
    <row r="807" spans="1:15" ht="15" x14ac:dyDescent="0.25">
      <c r="A807" s="233">
        <v>45961</v>
      </c>
      <c r="B807" s="35" t="s">
        <v>2239</v>
      </c>
      <c r="C807" s="47" t="s">
        <v>1066</v>
      </c>
      <c r="D807" s="48" t="s">
        <v>2246</v>
      </c>
      <c r="E807" s="38" t="s">
        <v>2247</v>
      </c>
      <c r="F807" s="205" t="s">
        <v>2254</v>
      </c>
      <c r="G807" s="233" t="s">
        <v>1545</v>
      </c>
      <c r="H807" s="205" t="s">
        <v>2266</v>
      </c>
      <c r="I807" s="48">
        <v>383</v>
      </c>
      <c r="J807" s="165" t="s">
        <v>1718</v>
      </c>
      <c r="K807" s="40" t="s">
        <v>1072</v>
      </c>
      <c r="L807" s="40"/>
      <c r="M807" s="70" t="str">
        <f t="shared" si="64"/>
        <v>INT-0176-25</v>
      </c>
      <c r="N807" s="193"/>
      <c r="O807" s="341"/>
    </row>
    <row r="808" spans="1:15" ht="15" x14ac:dyDescent="0.25">
      <c r="A808" s="233">
        <v>45961</v>
      </c>
      <c r="B808" s="35" t="s">
        <v>2239</v>
      </c>
      <c r="C808" s="47" t="s">
        <v>1066</v>
      </c>
      <c r="D808" s="48" t="s">
        <v>2246</v>
      </c>
      <c r="E808" s="38" t="s">
        <v>2247</v>
      </c>
      <c r="F808" s="205" t="s">
        <v>2255</v>
      </c>
      <c r="G808" s="233" t="s">
        <v>1545</v>
      </c>
      <c r="H808" s="205" t="s">
        <v>2267</v>
      </c>
      <c r="I808" s="48">
        <v>80</v>
      </c>
      <c r="J808" s="165" t="s">
        <v>1718</v>
      </c>
      <c r="K808" s="40" t="s">
        <v>1072</v>
      </c>
      <c r="L808" s="40"/>
      <c r="M808" s="70" t="str">
        <f t="shared" si="64"/>
        <v>INT-0176-25</v>
      </c>
      <c r="N808" s="193"/>
      <c r="O808" s="341"/>
    </row>
    <row r="809" spans="1:15" ht="15" x14ac:dyDescent="0.25">
      <c r="A809" s="233">
        <v>45961</v>
      </c>
      <c r="B809" s="35" t="s">
        <v>2239</v>
      </c>
      <c r="C809" s="47" t="s">
        <v>1066</v>
      </c>
      <c r="D809" s="48" t="s">
        <v>2246</v>
      </c>
      <c r="E809" s="38" t="s">
        <v>2247</v>
      </c>
      <c r="F809" s="205" t="s">
        <v>2256</v>
      </c>
      <c r="G809" s="233" t="s">
        <v>1545</v>
      </c>
      <c r="H809" s="205" t="s">
        <v>2268</v>
      </c>
      <c r="I809" s="48">
        <v>489</v>
      </c>
      <c r="J809" s="165" t="s">
        <v>1718</v>
      </c>
      <c r="K809" s="40" t="s">
        <v>1072</v>
      </c>
      <c r="L809" s="40"/>
      <c r="M809" s="70" t="str">
        <f t="shared" si="64"/>
        <v>INT-0176-25</v>
      </c>
      <c r="N809" s="193"/>
      <c r="O809" s="341"/>
    </row>
    <row r="810" spans="1:15" ht="15" x14ac:dyDescent="0.25">
      <c r="A810" s="233">
        <v>45961</v>
      </c>
      <c r="B810" s="35" t="s">
        <v>2239</v>
      </c>
      <c r="C810" s="47" t="s">
        <v>1066</v>
      </c>
      <c r="D810" s="48" t="s">
        <v>2248</v>
      </c>
      <c r="E810" s="38" t="s">
        <v>2249</v>
      </c>
      <c r="F810" s="205" t="s">
        <v>2257</v>
      </c>
      <c r="G810" s="233" t="s">
        <v>1545</v>
      </c>
      <c r="H810" s="205" t="s">
        <v>2269</v>
      </c>
      <c r="I810" s="48">
        <v>478</v>
      </c>
      <c r="J810" s="165" t="s">
        <v>1718</v>
      </c>
      <c r="K810" s="40" t="s">
        <v>1072</v>
      </c>
      <c r="L810" s="40"/>
      <c r="M810" s="70" t="str">
        <f t="shared" si="64"/>
        <v>INT-0176-25</v>
      </c>
      <c r="N810" s="193"/>
      <c r="O810" s="341"/>
    </row>
    <row r="811" spans="1:15" ht="15" x14ac:dyDescent="0.25">
      <c r="A811" s="233">
        <v>45961</v>
      </c>
      <c r="B811" s="35" t="s">
        <v>2239</v>
      </c>
      <c r="C811" s="47" t="s">
        <v>1066</v>
      </c>
      <c r="D811" s="48" t="s">
        <v>2250</v>
      </c>
      <c r="E811" s="38" t="s">
        <v>2251</v>
      </c>
      <c r="F811" s="205" t="s">
        <v>2258</v>
      </c>
      <c r="G811" s="233" t="s">
        <v>1545</v>
      </c>
      <c r="H811" s="205" t="s">
        <v>2270</v>
      </c>
      <c r="I811" s="48">
        <v>15</v>
      </c>
      <c r="J811" s="165" t="s">
        <v>1718</v>
      </c>
      <c r="K811" s="40" t="s">
        <v>1072</v>
      </c>
      <c r="L811" s="40"/>
      <c r="M811" s="70" t="str">
        <f t="shared" si="64"/>
        <v>INT-0176-25</v>
      </c>
      <c r="N811" s="193"/>
      <c r="O811" s="341"/>
    </row>
    <row r="812" spans="1:15" ht="15" x14ac:dyDescent="0.25">
      <c r="A812" s="233">
        <v>45961</v>
      </c>
      <c r="B812" s="35" t="s">
        <v>2239</v>
      </c>
      <c r="C812" s="47" t="s">
        <v>1066</v>
      </c>
      <c r="D812" s="48" t="s">
        <v>2217</v>
      </c>
      <c r="E812" s="38" t="s">
        <v>2218</v>
      </c>
      <c r="F812" s="205" t="s">
        <v>2259</v>
      </c>
      <c r="G812" s="233" t="s">
        <v>1545</v>
      </c>
      <c r="H812" s="205" t="s">
        <v>2271</v>
      </c>
      <c r="I812" s="48">
        <v>768</v>
      </c>
      <c r="J812" s="165" t="s">
        <v>1718</v>
      </c>
      <c r="K812" s="40" t="s">
        <v>1072</v>
      </c>
      <c r="L812" s="40"/>
      <c r="M812" s="70" t="str">
        <f t="shared" si="64"/>
        <v>INT-0176-25</v>
      </c>
      <c r="N812" s="193"/>
      <c r="O812" s="341"/>
    </row>
    <row r="813" spans="1:15" ht="15" x14ac:dyDescent="0.25">
      <c r="A813" s="233">
        <v>45961</v>
      </c>
      <c r="B813" s="35" t="s">
        <v>2239</v>
      </c>
      <c r="C813" s="47" t="s">
        <v>1066</v>
      </c>
      <c r="D813" s="48" t="s">
        <v>2217</v>
      </c>
      <c r="E813" s="38" t="s">
        <v>2218</v>
      </c>
      <c r="F813" s="205" t="s">
        <v>2259</v>
      </c>
      <c r="G813" s="233" t="s">
        <v>1545</v>
      </c>
      <c r="H813" s="205" t="s">
        <v>2272</v>
      </c>
      <c r="I813" s="48">
        <v>768</v>
      </c>
      <c r="J813" s="165" t="s">
        <v>1718</v>
      </c>
      <c r="K813" s="40" t="s">
        <v>1072</v>
      </c>
      <c r="L813" s="40"/>
      <c r="M813" s="70" t="str">
        <f t="shared" si="64"/>
        <v>INT-0176-25</v>
      </c>
      <c r="N813" s="193"/>
      <c r="O813" s="341"/>
    </row>
    <row r="814" spans="1:15" ht="15" x14ac:dyDescent="0.25">
      <c r="A814" s="233">
        <v>45961</v>
      </c>
      <c r="B814" s="35" t="s">
        <v>2239</v>
      </c>
      <c r="C814" s="47" t="s">
        <v>1066</v>
      </c>
      <c r="D814" s="48" t="s">
        <v>2217</v>
      </c>
      <c r="E814" s="38" t="s">
        <v>2218</v>
      </c>
      <c r="F814" s="205" t="s">
        <v>2259</v>
      </c>
      <c r="G814" s="233" t="s">
        <v>1545</v>
      </c>
      <c r="H814" s="205" t="s">
        <v>2273</v>
      </c>
      <c r="I814" s="48">
        <v>27</v>
      </c>
      <c r="J814" s="165" t="s">
        <v>1718</v>
      </c>
      <c r="K814" s="40" t="s">
        <v>1072</v>
      </c>
      <c r="L814" s="40"/>
      <c r="M814" s="70" t="str">
        <f t="shared" si="64"/>
        <v>INT-0176-25</v>
      </c>
      <c r="N814" s="193"/>
      <c r="O814" s="341"/>
    </row>
    <row r="815" spans="1:15" ht="15" x14ac:dyDescent="0.25">
      <c r="A815" s="233">
        <v>45961</v>
      </c>
      <c r="B815" s="35" t="s">
        <v>2239</v>
      </c>
      <c r="C815" s="47" t="s">
        <v>1066</v>
      </c>
      <c r="D815" s="48" t="s">
        <v>2246</v>
      </c>
      <c r="E815" s="38" t="s">
        <v>2247</v>
      </c>
      <c r="F815" s="205" t="s">
        <v>2260</v>
      </c>
      <c r="G815" s="233" t="s">
        <v>1545</v>
      </c>
      <c r="H815" s="205" t="s">
        <v>2274</v>
      </c>
      <c r="I815" s="48">
        <v>595</v>
      </c>
      <c r="J815" s="165" t="s">
        <v>1718</v>
      </c>
      <c r="K815" s="40" t="s">
        <v>1072</v>
      </c>
      <c r="L815" s="40"/>
      <c r="M815" s="70" t="str">
        <f t="shared" si="64"/>
        <v>INT-0176-25</v>
      </c>
      <c r="N815" s="193"/>
      <c r="O815" s="341"/>
    </row>
    <row r="816" spans="1:15" ht="15" x14ac:dyDescent="0.25">
      <c r="A816" s="233">
        <v>45961</v>
      </c>
      <c r="B816" s="35" t="s">
        <v>2239</v>
      </c>
      <c r="C816" s="47" t="s">
        <v>1066</v>
      </c>
      <c r="D816" s="48" t="s">
        <v>2248</v>
      </c>
      <c r="E816" s="38" t="s">
        <v>2249</v>
      </c>
      <c r="F816" s="205" t="s">
        <v>2261</v>
      </c>
      <c r="G816" s="233" t="s">
        <v>1545</v>
      </c>
      <c r="H816" s="205" t="s">
        <v>2275</v>
      </c>
      <c r="I816" s="48">
        <v>840</v>
      </c>
      <c r="J816" s="165" t="s">
        <v>1718</v>
      </c>
      <c r="K816" s="40" t="s">
        <v>1072</v>
      </c>
      <c r="L816" s="40"/>
      <c r="M816" s="70" t="str">
        <f t="shared" si="64"/>
        <v>INT-0176-25</v>
      </c>
      <c r="N816" s="193"/>
      <c r="O816" s="341"/>
    </row>
    <row r="817" spans="1:15" ht="15" x14ac:dyDescent="0.25">
      <c r="A817" s="233">
        <v>45961</v>
      </c>
      <c r="B817" s="35" t="s">
        <v>2239</v>
      </c>
      <c r="C817" s="47" t="s">
        <v>1066</v>
      </c>
      <c r="D817" s="48" t="s">
        <v>2248</v>
      </c>
      <c r="E817" s="38" t="s">
        <v>2249</v>
      </c>
      <c r="F817" s="205" t="s">
        <v>2261</v>
      </c>
      <c r="G817" s="233" t="s">
        <v>1545</v>
      </c>
      <c r="H817" s="205" t="s">
        <v>2276</v>
      </c>
      <c r="I817" s="48">
        <v>224</v>
      </c>
      <c r="J817" s="165" t="s">
        <v>1718</v>
      </c>
      <c r="K817" s="40" t="s">
        <v>1072</v>
      </c>
      <c r="L817" s="40"/>
      <c r="M817" s="70" t="str">
        <f t="shared" si="64"/>
        <v>INT-0176-25</v>
      </c>
      <c r="N817" s="193"/>
      <c r="O817" s="341"/>
    </row>
    <row r="818" spans="1:15" ht="15" x14ac:dyDescent="0.25">
      <c r="A818" s="255">
        <v>45964</v>
      </c>
      <c r="B818" s="187" t="s">
        <v>2277</v>
      </c>
      <c r="C818" s="188" t="s">
        <v>1066</v>
      </c>
      <c r="D818" s="189" t="s">
        <v>2278</v>
      </c>
      <c r="E818" s="190" t="s">
        <v>2279</v>
      </c>
      <c r="F818" s="227" t="s">
        <v>2282</v>
      </c>
      <c r="G818" s="255">
        <v>46422</v>
      </c>
      <c r="H818" s="227" t="s">
        <v>2284</v>
      </c>
      <c r="I818" s="189">
        <v>1</v>
      </c>
      <c r="J818" s="277" t="s">
        <v>2286</v>
      </c>
      <c r="K818" s="191" t="s">
        <v>1073</v>
      </c>
      <c r="L818" s="191"/>
      <c r="M818" s="70" t="str">
        <f t="shared" ref="M818:M823" si="65">HYPERLINK("P:\7. LONG HAU\7. CAC THEO DOI TRONG QUA TRINH\4. DEVIATION- INCIDENTS\THEO DÕI NỘI BỘ (NGOÀI BBSC)\"&amp;YEAR(A818)&amp;"\"&amp;B818,B818)</f>
        <v>INT-0177-25</v>
      </c>
      <c r="N818" s="192"/>
      <c r="O818" s="355"/>
    </row>
    <row r="819" spans="1:15" ht="15" x14ac:dyDescent="0.25">
      <c r="A819" s="255">
        <v>45964</v>
      </c>
      <c r="B819" s="187" t="s">
        <v>2277</v>
      </c>
      <c r="C819" s="188" t="s">
        <v>1066</v>
      </c>
      <c r="D819" s="189" t="s">
        <v>2280</v>
      </c>
      <c r="E819" s="190" t="s">
        <v>2281</v>
      </c>
      <c r="F819" s="227" t="s">
        <v>2283</v>
      </c>
      <c r="G819" s="255">
        <v>46484</v>
      </c>
      <c r="H819" s="227" t="s">
        <v>2285</v>
      </c>
      <c r="I819" s="189">
        <v>1</v>
      </c>
      <c r="J819" s="277" t="s">
        <v>2286</v>
      </c>
      <c r="K819" s="191" t="s">
        <v>1073</v>
      </c>
      <c r="L819" s="191"/>
      <c r="M819" s="70" t="str">
        <f t="shared" si="65"/>
        <v>INT-0177-25</v>
      </c>
      <c r="N819" s="192"/>
      <c r="O819" s="355"/>
    </row>
    <row r="820" spans="1:15" ht="25.5" x14ac:dyDescent="0.25">
      <c r="A820" s="233">
        <v>45964</v>
      </c>
      <c r="B820" s="35" t="s">
        <v>2287</v>
      </c>
      <c r="C820" s="47"/>
      <c r="D820" s="48" t="s">
        <v>34</v>
      </c>
      <c r="E820" s="38" t="s">
        <v>35</v>
      </c>
      <c r="F820" s="205" t="s">
        <v>2288</v>
      </c>
      <c r="G820" s="233">
        <v>46387</v>
      </c>
      <c r="H820" s="205" t="s">
        <v>2289</v>
      </c>
      <c r="I820" s="48">
        <v>5</v>
      </c>
      <c r="J820" s="165" t="s">
        <v>2290</v>
      </c>
      <c r="K820" s="40" t="s">
        <v>1073</v>
      </c>
      <c r="L820" s="40"/>
      <c r="M820" s="70" t="str">
        <f t="shared" si="65"/>
        <v>INT-0178-25</v>
      </c>
      <c r="N820" s="357"/>
      <c r="O820" s="358"/>
    </row>
    <row r="821" spans="1:15" ht="15" x14ac:dyDescent="0.25">
      <c r="A821" s="256">
        <v>45964</v>
      </c>
      <c r="B821" s="194" t="s">
        <v>2291</v>
      </c>
      <c r="C821" s="195" t="s">
        <v>1066</v>
      </c>
      <c r="D821" s="196" t="s">
        <v>31</v>
      </c>
      <c r="E821" s="197" t="s">
        <v>32</v>
      </c>
      <c r="F821" s="205" t="s">
        <v>1680</v>
      </c>
      <c r="G821" s="256">
        <v>45930</v>
      </c>
      <c r="H821" s="205" t="s">
        <v>2295</v>
      </c>
      <c r="I821" s="196">
        <v>29</v>
      </c>
      <c r="J821" s="165" t="s">
        <v>2297</v>
      </c>
      <c r="K821" s="40" t="s">
        <v>1072</v>
      </c>
      <c r="L821" s="198"/>
      <c r="M821" s="70" t="str">
        <f t="shared" si="65"/>
        <v>INT-0179-25</v>
      </c>
      <c r="N821" s="199"/>
      <c r="O821" s="359"/>
    </row>
    <row r="822" spans="1:15" ht="15" x14ac:dyDescent="0.25">
      <c r="A822" s="256">
        <v>45964</v>
      </c>
      <c r="B822" s="194" t="s">
        <v>2291</v>
      </c>
      <c r="C822" s="195" t="s">
        <v>1066</v>
      </c>
      <c r="D822" s="196" t="s">
        <v>31</v>
      </c>
      <c r="E822" s="197" t="s">
        <v>32</v>
      </c>
      <c r="F822" s="228">
        <v>163763</v>
      </c>
      <c r="G822" s="256">
        <v>46022</v>
      </c>
      <c r="H822" s="205" t="s">
        <v>2296</v>
      </c>
      <c r="I822" s="196">
        <v>2</v>
      </c>
      <c r="J822" s="165" t="s">
        <v>2297</v>
      </c>
      <c r="K822" s="40" t="s">
        <v>1072</v>
      </c>
      <c r="L822" s="198"/>
      <c r="M822" s="70" t="str">
        <f t="shared" si="65"/>
        <v>INT-0179-25</v>
      </c>
      <c r="N822" s="199"/>
      <c r="O822" s="359"/>
    </row>
    <row r="823" spans="1:15" ht="25.5" x14ac:dyDescent="0.25">
      <c r="A823" s="256">
        <v>45968</v>
      </c>
      <c r="B823" s="194" t="s">
        <v>2298</v>
      </c>
      <c r="C823" s="195" t="s">
        <v>1066</v>
      </c>
      <c r="D823" s="196" t="s">
        <v>537</v>
      </c>
      <c r="E823" s="197" t="s">
        <v>2299</v>
      </c>
      <c r="F823" s="228" t="s">
        <v>1499</v>
      </c>
      <c r="G823" s="256" t="s">
        <v>1499</v>
      </c>
      <c r="H823" s="228" t="s">
        <v>1499</v>
      </c>
      <c r="I823" s="196" t="s">
        <v>1499</v>
      </c>
      <c r="J823" s="360" t="s">
        <v>1623</v>
      </c>
      <c r="K823" s="198" t="s">
        <v>1072</v>
      </c>
      <c r="L823" s="198"/>
      <c r="M823" s="70" t="str">
        <f t="shared" si="65"/>
        <v>INT-0180-25</v>
      </c>
      <c r="N823" s="199"/>
      <c r="O823" s="359"/>
    </row>
    <row r="824" spans="1:15" ht="15" x14ac:dyDescent="0.25">
      <c r="A824" s="256">
        <v>45979</v>
      </c>
      <c r="B824" s="194" t="s">
        <v>2300</v>
      </c>
      <c r="C824" s="195" t="s">
        <v>1066</v>
      </c>
      <c r="D824" s="196" t="s">
        <v>1673</v>
      </c>
      <c r="E824" s="197" t="s">
        <v>1674</v>
      </c>
      <c r="F824" s="228" t="s">
        <v>1675</v>
      </c>
      <c r="G824" s="256">
        <v>46541</v>
      </c>
      <c r="H824" s="228" t="s">
        <v>2301</v>
      </c>
      <c r="I824" s="196">
        <v>3</v>
      </c>
      <c r="J824" s="360" t="s">
        <v>2304</v>
      </c>
      <c r="K824" s="198" t="s">
        <v>1072</v>
      </c>
      <c r="L824" s="198"/>
      <c r="M824" s="70" t="str">
        <f>HYPERLINK("P:\7. LONG HAU\7. CAC THEO DOI TRONG QUA TRINH\4. DEVIATION- INCIDENTS\THEO DÕI NỘI BỘ (NGOÀI BBSC)\"&amp;YEAR(A824)&amp;"\"&amp;B824,B824)</f>
        <v>INT-0181-25</v>
      </c>
      <c r="N824" s="199"/>
      <c r="O824" s="359"/>
    </row>
    <row r="825" spans="1:15" ht="15" x14ac:dyDescent="0.25">
      <c r="A825" s="256">
        <v>45979</v>
      </c>
      <c r="B825" s="194" t="s">
        <v>2300</v>
      </c>
      <c r="C825" s="195" t="s">
        <v>1066</v>
      </c>
      <c r="D825" s="196" t="s">
        <v>1333</v>
      </c>
      <c r="E825" s="197" t="s">
        <v>1334</v>
      </c>
      <c r="F825" s="228" t="s">
        <v>2302</v>
      </c>
      <c r="G825" s="256">
        <v>46545</v>
      </c>
      <c r="H825" s="228" t="s">
        <v>2303</v>
      </c>
      <c r="I825" s="196">
        <v>1</v>
      </c>
      <c r="J825" s="360" t="s">
        <v>2304</v>
      </c>
      <c r="K825" s="198" t="s">
        <v>1072</v>
      </c>
      <c r="L825" s="198"/>
      <c r="M825" s="70" t="str">
        <f>HYPERLINK("P:\7. LONG HAU\7. CAC THEO DOI TRONG QUA TRINH\4. DEVIATION- INCIDENTS\THEO DÕI NỘI BỘ (NGOÀI BBSC)\"&amp;YEAR(A825)&amp;"\"&amp;B825,B825)</f>
        <v>INT-0181-25</v>
      </c>
      <c r="N825" s="199"/>
      <c r="O825" s="359"/>
    </row>
    <row r="826" spans="1:15" ht="15" x14ac:dyDescent="0.25">
      <c r="A826" s="256">
        <v>45979</v>
      </c>
      <c r="B826" s="194" t="s">
        <v>2305</v>
      </c>
      <c r="C826" s="195" t="s">
        <v>1066</v>
      </c>
      <c r="D826" s="196" t="s">
        <v>39</v>
      </c>
      <c r="E826" s="197" t="s">
        <v>40</v>
      </c>
      <c r="F826" s="228" t="s">
        <v>614</v>
      </c>
      <c r="G826" s="256">
        <v>45991</v>
      </c>
      <c r="H826" s="228" t="s">
        <v>2325</v>
      </c>
      <c r="I826" s="196">
        <v>4</v>
      </c>
      <c r="J826" s="360" t="s">
        <v>2333</v>
      </c>
      <c r="K826" s="198" t="s">
        <v>1072</v>
      </c>
      <c r="L826" s="198"/>
      <c r="M826" s="70" t="str">
        <f>HYPERLINK("P:\7. LONG HAU\7. CAC THEO DOI TRONG QUA TRINH\4. DEVIATION- INCIDENTS\THEO DÕI NỘI BỘ (NGOÀI BBSC)\"&amp;YEAR(A826)&amp;"\"&amp;B826,B826)</f>
        <v>INT-0182-25</v>
      </c>
      <c r="N826" s="199"/>
      <c r="O826" s="359"/>
    </row>
    <row r="827" spans="1:15" ht="15" x14ac:dyDescent="0.25">
      <c r="A827" s="256">
        <v>45979</v>
      </c>
      <c r="B827" s="194" t="s">
        <v>2305</v>
      </c>
      <c r="C827" s="195" t="s">
        <v>1066</v>
      </c>
      <c r="D827" s="196" t="s">
        <v>39</v>
      </c>
      <c r="E827" s="197" t="s">
        <v>40</v>
      </c>
      <c r="F827" s="228" t="s">
        <v>973</v>
      </c>
      <c r="G827" s="256">
        <v>45991</v>
      </c>
      <c r="H827" s="228" t="s">
        <v>2326</v>
      </c>
      <c r="I827" s="196">
        <v>6</v>
      </c>
      <c r="J827" s="360" t="s">
        <v>2333</v>
      </c>
      <c r="K827" s="198" t="s">
        <v>1072</v>
      </c>
      <c r="L827" s="198"/>
      <c r="M827" s="70" t="str">
        <f t="shared" ref="M827:M848" si="66">HYPERLINK("P:\7. LONG HAU\7. CAC THEO DOI TRONG QUA TRINH\4. DEVIATION- INCIDENTS\THEO DÕI NỘI BỘ (NGOÀI BBSC)\"&amp;YEAR(A827)&amp;"\"&amp;B827,B827)</f>
        <v>INT-0182-25</v>
      </c>
      <c r="N827" s="199"/>
      <c r="O827" s="359"/>
    </row>
    <row r="828" spans="1:15" ht="15" x14ac:dyDescent="0.25">
      <c r="A828" s="256">
        <v>45979</v>
      </c>
      <c r="B828" s="194" t="s">
        <v>2305</v>
      </c>
      <c r="C828" s="195" t="s">
        <v>1066</v>
      </c>
      <c r="D828" s="196" t="s">
        <v>36</v>
      </c>
      <c r="E828" s="197" t="s">
        <v>37</v>
      </c>
      <c r="F828" s="228" t="s">
        <v>364</v>
      </c>
      <c r="G828" s="256">
        <v>46022</v>
      </c>
      <c r="H828" s="228" t="s">
        <v>2313</v>
      </c>
      <c r="I828" s="196">
        <v>2</v>
      </c>
      <c r="J828" s="360" t="s">
        <v>2333</v>
      </c>
      <c r="K828" s="198" t="s">
        <v>1072</v>
      </c>
      <c r="L828" s="198"/>
      <c r="M828" s="70" t="str">
        <f t="shared" si="66"/>
        <v>INT-0182-25</v>
      </c>
      <c r="N828" s="199"/>
      <c r="O828" s="359"/>
    </row>
    <row r="829" spans="1:15" ht="15" x14ac:dyDescent="0.25">
      <c r="A829" s="256">
        <v>45979</v>
      </c>
      <c r="B829" s="194" t="s">
        <v>2305</v>
      </c>
      <c r="C829" s="195" t="s">
        <v>1066</v>
      </c>
      <c r="D829" s="196" t="s">
        <v>42</v>
      </c>
      <c r="E829" s="197" t="s">
        <v>43</v>
      </c>
      <c r="F829" s="228" t="s">
        <v>904</v>
      </c>
      <c r="G829" s="256">
        <v>46022</v>
      </c>
      <c r="H829" s="228" t="s">
        <v>2308</v>
      </c>
      <c r="I829" s="196">
        <v>2</v>
      </c>
      <c r="J829" s="360" t="s">
        <v>2333</v>
      </c>
      <c r="K829" s="198" t="s">
        <v>1072</v>
      </c>
      <c r="L829" s="198"/>
      <c r="M829" s="70" t="str">
        <f t="shared" si="66"/>
        <v>INT-0182-25</v>
      </c>
      <c r="N829" s="199"/>
      <c r="O829" s="359"/>
    </row>
    <row r="830" spans="1:15" ht="15" x14ac:dyDescent="0.25">
      <c r="A830" s="256">
        <v>45979</v>
      </c>
      <c r="B830" s="194" t="s">
        <v>2305</v>
      </c>
      <c r="C830" s="195" t="s">
        <v>1066</v>
      </c>
      <c r="D830" s="196" t="s">
        <v>34</v>
      </c>
      <c r="E830" s="197" t="s">
        <v>35</v>
      </c>
      <c r="F830" s="228" t="s">
        <v>1094</v>
      </c>
      <c r="G830" s="256">
        <v>46022</v>
      </c>
      <c r="H830" s="228" t="s">
        <v>2329</v>
      </c>
      <c r="I830" s="196">
        <v>3</v>
      </c>
      <c r="J830" s="360" t="s">
        <v>2333</v>
      </c>
      <c r="K830" s="198" t="s">
        <v>1072</v>
      </c>
      <c r="L830" s="198"/>
      <c r="M830" s="70" t="str">
        <f t="shared" si="66"/>
        <v>INT-0182-25</v>
      </c>
      <c r="N830" s="199"/>
      <c r="O830" s="359"/>
    </row>
    <row r="831" spans="1:15" ht="15" x14ac:dyDescent="0.25">
      <c r="A831" s="256">
        <v>45979</v>
      </c>
      <c r="B831" s="194" t="s">
        <v>2305</v>
      </c>
      <c r="C831" s="195" t="s">
        <v>1066</v>
      </c>
      <c r="D831" s="196" t="s">
        <v>1255</v>
      </c>
      <c r="E831" s="197" t="s">
        <v>1256</v>
      </c>
      <c r="F831" s="228" t="s">
        <v>1907</v>
      </c>
      <c r="G831" s="256">
        <v>46053</v>
      </c>
      <c r="H831" s="228" t="s">
        <v>2315</v>
      </c>
      <c r="I831" s="196">
        <v>4</v>
      </c>
      <c r="J831" s="360" t="s">
        <v>2334</v>
      </c>
      <c r="K831" s="198" t="s">
        <v>1073</v>
      </c>
      <c r="L831" s="198"/>
      <c r="M831" s="70" t="str">
        <f t="shared" si="66"/>
        <v>INT-0182-25</v>
      </c>
      <c r="N831" s="199"/>
      <c r="O831" s="359"/>
    </row>
    <row r="832" spans="1:15" ht="15" x14ac:dyDescent="0.25">
      <c r="A832" s="256">
        <v>45979</v>
      </c>
      <c r="B832" s="194" t="s">
        <v>2305</v>
      </c>
      <c r="C832" s="195" t="s">
        <v>1066</v>
      </c>
      <c r="D832" s="196" t="s">
        <v>1255</v>
      </c>
      <c r="E832" s="197" t="s">
        <v>1256</v>
      </c>
      <c r="F832" s="228" t="s">
        <v>1727</v>
      </c>
      <c r="G832" s="256">
        <v>46053</v>
      </c>
      <c r="H832" s="228" t="s">
        <v>2316</v>
      </c>
      <c r="I832" s="196">
        <v>3</v>
      </c>
      <c r="J832" s="360" t="s">
        <v>2334</v>
      </c>
      <c r="K832" s="198" t="s">
        <v>1073</v>
      </c>
      <c r="L832" s="198"/>
      <c r="M832" s="70" t="str">
        <f t="shared" si="66"/>
        <v>INT-0182-25</v>
      </c>
      <c r="N832" s="199"/>
      <c r="O832" s="359"/>
    </row>
    <row r="833" spans="1:15" ht="15" x14ac:dyDescent="0.25">
      <c r="A833" s="256">
        <v>45979</v>
      </c>
      <c r="B833" s="194" t="s">
        <v>2305</v>
      </c>
      <c r="C833" s="195" t="s">
        <v>1066</v>
      </c>
      <c r="D833" s="196" t="s">
        <v>36</v>
      </c>
      <c r="E833" s="197" t="s">
        <v>37</v>
      </c>
      <c r="F833" s="228" t="s">
        <v>1868</v>
      </c>
      <c r="G833" s="256">
        <v>46081</v>
      </c>
      <c r="H833" s="228" t="s">
        <v>2312</v>
      </c>
      <c r="I833" s="196">
        <v>3</v>
      </c>
      <c r="J833" s="360" t="s">
        <v>2334</v>
      </c>
      <c r="K833" s="198" t="s">
        <v>1073</v>
      </c>
      <c r="L833" s="198"/>
      <c r="M833" s="70" t="str">
        <f t="shared" si="66"/>
        <v>INT-0182-25</v>
      </c>
      <c r="N833" s="199"/>
      <c r="O833" s="359"/>
    </row>
    <row r="834" spans="1:15" ht="15" x14ac:dyDescent="0.25">
      <c r="A834" s="256">
        <v>45979</v>
      </c>
      <c r="B834" s="194" t="s">
        <v>2305</v>
      </c>
      <c r="C834" s="195" t="s">
        <v>1066</v>
      </c>
      <c r="D834" s="196" t="s">
        <v>1292</v>
      </c>
      <c r="E834" s="197" t="s">
        <v>1293</v>
      </c>
      <c r="F834" s="228" t="s">
        <v>1957</v>
      </c>
      <c r="G834" s="256">
        <v>46081</v>
      </c>
      <c r="H834" s="228" t="s">
        <v>2321</v>
      </c>
      <c r="I834" s="196">
        <v>2</v>
      </c>
      <c r="J834" s="360" t="s">
        <v>2334</v>
      </c>
      <c r="K834" s="198" t="s">
        <v>1073</v>
      </c>
      <c r="L834" s="198"/>
      <c r="M834" s="70" t="str">
        <f t="shared" si="66"/>
        <v>INT-0182-25</v>
      </c>
      <c r="N834" s="199"/>
      <c r="O834" s="359"/>
    </row>
    <row r="835" spans="1:15" ht="15" x14ac:dyDescent="0.25">
      <c r="A835" s="256">
        <v>45979</v>
      </c>
      <c r="B835" s="194" t="s">
        <v>2305</v>
      </c>
      <c r="C835" s="195" t="s">
        <v>1066</v>
      </c>
      <c r="D835" s="196" t="s">
        <v>42</v>
      </c>
      <c r="E835" s="197" t="s">
        <v>43</v>
      </c>
      <c r="F835" s="228" t="s">
        <v>1427</v>
      </c>
      <c r="G835" s="256">
        <v>46081</v>
      </c>
      <c r="H835" s="228" t="s">
        <v>2306</v>
      </c>
      <c r="I835" s="196">
        <v>20</v>
      </c>
      <c r="J835" s="360" t="s">
        <v>2334</v>
      </c>
      <c r="K835" s="198" t="s">
        <v>1073</v>
      </c>
      <c r="L835" s="198"/>
      <c r="M835" s="70" t="str">
        <f t="shared" si="66"/>
        <v>INT-0182-25</v>
      </c>
      <c r="N835" s="199"/>
      <c r="O835" s="359"/>
    </row>
    <row r="836" spans="1:15" ht="15" x14ac:dyDescent="0.25">
      <c r="A836" s="256">
        <v>45979</v>
      </c>
      <c r="B836" s="194" t="s">
        <v>2305</v>
      </c>
      <c r="C836" s="195" t="s">
        <v>1066</v>
      </c>
      <c r="D836" s="196" t="s">
        <v>42</v>
      </c>
      <c r="E836" s="197" t="s">
        <v>43</v>
      </c>
      <c r="F836" s="228" t="s">
        <v>1081</v>
      </c>
      <c r="G836" s="256">
        <v>46081</v>
      </c>
      <c r="H836" s="228" t="s">
        <v>2307</v>
      </c>
      <c r="I836" s="196">
        <v>18</v>
      </c>
      <c r="J836" s="360" t="s">
        <v>2334</v>
      </c>
      <c r="K836" s="198" t="s">
        <v>1073</v>
      </c>
      <c r="L836" s="198"/>
      <c r="M836" s="70" t="str">
        <f t="shared" si="66"/>
        <v>INT-0182-25</v>
      </c>
      <c r="N836" s="199"/>
      <c r="O836" s="359"/>
    </row>
    <row r="837" spans="1:15" ht="15" x14ac:dyDescent="0.25">
      <c r="A837" s="256">
        <v>45979</v>
      </c>
      <c r="B837" s="194" t="s">
        <v>2305</v>
      </c>
      <c r="C837" s="195" t="s">
        <v>1066</v>
      </c>
      <c r="D837" s="196" t="s">
        <v>36</v>
      </c>
      <c r="E837" s="197" t="s">
        <v>37</v>
      </c>
      <c r="F837" s="228" t="s">
        <v>1841</v>
      </c>
      <c r="G837" s="256">
        <v>46112</v>
      </c>
      <c r="H837" s="228" t="s">
        <v>2314</v>
      </c>
      <c r="I837" s="196">
        <v>12</v>
      </c>
      <c r="J837" s="360" t="s">
        <v>2334</v>
      </c>
      <c r="K837" s="198" t="s">
        <v>1073</v>
      </c>
      <c r="L837" s="198"/>
      <c r="M837" s="70" t="str">
        <f t="shared" si="66"/>
        <v>INT-0182-25</v>
      </c>
      <c r="N837" s="199"/>
      <c r="O837" s="359"/>
    </row>
    <row r="838" spans="1:15" ht="15" x14ac:dyDescent="0.25">
      <c r="A838" s="256">
        <v>45979</v>
      </c>
      <c r="B838" s="194" t="s">
        <v>2305</v>
      </c>
      <c r="C838" s="195" t="s">
        <v>1066</v>
      </c>
      <c r="D838" s="196" t="s">
        <v>47</v>
      </c>
      <c r="E838" s="197" t="s">
        <v>48</v>
      </c>
      <c r="F838" s="228" t="s">
        <v>619</v>
      </c>
      <c r="G838" s="256">
        <v>46112</v>
      </c>
      <c r="H838" s="228" t="s">
        <v>2323</v>
      </c>
      <c r="I838" s="196">
        <v>7</v>
      </c>
      <c r="J838" s="360" t="s">
        <v>2334</v>
      </c>
      <c r="K838" s="198" t="s">
        <v>1073</v>
      </c>
      <c r="L838" s="198"/>
      <c r="M838" s="70" t="str">
        <f t="shared" si="66"/>
        <v>INT-0182-25</v>
      </c>
      <c r="N838" s="199"/>
      <c r="O838" s="359"/>
    </row>
    <row r="839" spans="1:15" ht="15" x14ac:dyDescent="0.25">
      <c r="A839" s="256">
        <v>45979</v>
      </c>
      <c r="B839" s="194" t="s">
        <v>2305</v>
      </c>
      <c r="C839" s="195" t="s">
        <v>1066</v>
      </c>
      <c r="D839" s="196" t="s">
        <v>34</v>
      </c>
      <c r="E839" s="197" t="s">
        <v>35</v>
      </c>
      <c r="F839" s="228" t="s">
        <v>903</v>
      </c>
      <c r="G839" s="256">
        <v>46112</v>
      </c>
      <c r="H839" s="228" t="s">
        <v>2330</v>
      </c>
      <c r="I839" s="196">
        <v>1</v>
      </c>
      <c r="J839" s="360" t="s">
        <v>2334</v>
      </c>
      <c r="K839" s="198" t="s">
        <v>1073</v>
      </c>
      <c r="L839" s="198"/>
      <c r="M839" s="70" t="str">
        <f t="shared" si="66"/>
        <v>INT-0182-25</v>
      </c>
      <c r="N839" s="199"/>
      <c r="O839" s="359"/>
    </row>
    <row r="840" spans="1:15" ht="15" x14ac:dyDescent="0.25">
      <c r="A840" s="256">
        <v>45979</v>
      </c>
      <c r="B840" s="194" t="s">
        <v>2305</v>
      </c>
      <c r="C840" s="195" t="s">
        <v>1066</v>
      </c>
      <c r="D840" s="196" t="s">
        <v>39</v>
      </c>
      <c r="E840" s="197" t="s">
        <v>40</v>
      </c>
      <c r="F840" s="228" t="s">
        <v>1867</v>
      </c>
      <c r="G840" s="256">
        <v>46112</v>
      </c>
      <c r="H840" s="228" t="s">
        <v>2324</v>
      </c>
      <c r="I840" s="196">
        <v>17</v>
      </c>
      <c r="J840" s="360" t="s">
        <v>2334</v>
      </c>
      <c r="K840" s="198" t="s">
        <v>1073</v>
      </c>
      <c r="L840" s="198"/>
      <c r="M840" s="70" t="str">
        <f t="shared" si="66"/>
        <v>INT-0182-25</v>
      </c>
      <c r="N840" s="199"/>
      <c r="O840" s="359"/>
    </row>
    <row r="841" spans="1:15" ht="15" x14ac:dyDescent="0.25">
      <c r="A841" s="256">
        <v>45979</v>
      </c>
      <c r="B841" s="194" t="s">
        <v>2305</v>
      </c>
      <c r="C841" s="195" t="s">
        <v>1066</v>
      </c>
      <c r="D841" s="196" t="s">
        <v>36</v>
      </c>
      <c r="E841" s="197" t="s">
        <v>37</v>
      </c>
      <c r="F841" s="228" t="s">
        <v>1962</v>
      </c>
      <c r="G841" s="256">
        <v>46142</v>
      </c>
      <c r="H841" s="228" t="s">
        <v>2309</v>
      </c>
      <c r="I841" s="196">
        <v>28</v>
      </c>
      <c r="J841" s="360" t="s">
        <v>2334</v>
      </c>
      <c r="K841" s="198" t="s">
        <v>1073</v>
      </c>
      <c r="L841" s="198"/>
      <c r="M841" s="70" t="str">
        <f t="shared" si="66"/>
        <v>INT-0182-25</v>
      </c>
      <c r="N841" s="199"/>
      <c r="O841" s="359"/>
    </row>
    <row r="842" spans="1:15" ht="15" x14ac:dyDescent="0.25">
      <c r="A842" s="256">
        <v>45979</v>
      </c>
      <c r="B842" s="194" t="s">
        <v>2305</v>
      </c>
      <c r="C842" s="195" t="s">
        <v>1066</v>
      </c>
      <c r="D842" s="196" t="s">
        <v>36</v>
      </c>
      <c r="E842" s="197" t="s">
        <v>37</v>
      </c>
      <c r="F842" s="228" t="s">
        <v>2310</v>
      </c>
      <c r="G842" s="256">
        <v>46142</v>
      </c>
      <c r="H842" s="228" t="s">
        <v>2311</v>
      </c>
      <c r="I842" s="196">
        <v>12</v>
      </c>
      <c r="J842" s="360" t="s">
        <v>2334</v>
      </c>
      <c r="K842" s="198" t="s">
        <v>1073</v>
      </c>
      <c r="L842" s="198"/>
      <c r="M842" s="70" t="str">
        <f t="shared" si="66"/>
        <v>INT-0182-25</v>
      </c>
      <c r="N842" s="199"/>
      <c r="O842" s="359"/>
    </row>
    <row r="843" spans="1:15" ht="15" x14ac:dyDescent="0.25">
      <c r="A843" s="256">
        <v>45979</v>
      </c>
      <c r="B843" s="194" t="s">
        <v>2305</v>
      </c>
      <c r="C843" s="195" t="s">
        <v>1066</v>
      </c>
      <c r="D843" s="196" t="s">
        <v>1292</v>
      </c>
      <c r="E843" s="197" t="s">
        <v>1293</v>
      </c>
      <c r="F843" s="228" t="s">
        <v>2318</v>
      </c>
      <c r="G843" s="256">
        <v>46142</v>
      </c>
      <c r="H843" s="228" t="s">
        <v>2319</v>
      </c>
      <c r="I843" s="196">
        <v>3</v>
      </c>
      <c r="J843" s="360" t="s">
        <v>2334</v>
      </c>
      <c r="K843" s="198" t="s">
        <v>1073</v>
      </c>
      <c r="L843" s="198"/>
      <c r="M843" s="70" t="str">
        <f t="shared" si="66"/>
        <v>INT-0182-25</v>
      </c>
      <c r="N843" s="199"/>
      <c r="O843" s="359"/>
    </row>
    <row r="844" spans="1:15" ht="15" x14ac:dyDescent="0.25">
      <c r="A844" s="256">
        <v>45979</v>
      </c>
      <c r="B844" s="194" t="s">
        <v>2305</v>
      </c>
      <c r="C844" s="195" t="s">
        <v>1066</v>
      </c>
      <c r="D844" s="196" t="s">
        <v>1133</v>
      </c>
      <c r="E844" s="197" t="s">
        <v>1134</v>
      </c>
      <c r="F844" s="228" t="s">
        <v>1135</v>
      </c>
      <c r="G844" s="256">
        <v>46142</v>
      </c>
      <c r="H844" s="228" t="s">
        <v>2317</v>
      </c>
      <c r="I844" s="196">
        <v>184</v>
      </c>
      <c r="J844" s="360" t="s">
        <v>2334</v>
      </c>
      <c r="K844" s="198" t="s">
        <v>1073</v>
      </c>
      <c r="L844" s="198"/>
      <c r="M844" s="70" t="str">
        <f t="shared" si="66"/>
        <v>INT-0182-25</v>
      </c>
      <c r="N844" s="199"/>
      <c r="O844" s="359"/>
    </row>
    <row r="845" spans="1:15" ht="15" x14ac:dyDescent="0.25">
      <c r="A845" s="256">
        <v>45979</v>
      </c>
      <c r="B845" s="194" t="s">
        <v>2305</v>
      </c>
      <c r="C845" s="195" t="s">
        <v>1066</v>
      </c>
      <c r="D845" s="196" t="s">
        <v>34</v>
      </c>
      <c r="E845" s="197" t="s">
        <v>35</v>
      </c>
      <c r="F845" s="228" t="s">
        <v>2327</v>
      </c>
      <c r="G845" s="256">
        <v>46142</v>
      </c>
      <c r="H845" s="228" t="s">
        <v>2328</v>
      </c>
      <c r="I845" s="196">
        <v>9</v>
      </c>
      <c r="J845" s="360" t="s">
        <v>2334</v>
      </c>
      <c r="K845" s="198" t="s">
        <v>1073</v>
      </c>
      <c r="L845" s="198"/>
      <c r="M845" s="70" t="str">
        <f t="shared" si="66"/>
        <v>INT-0182-25</v>
      </c>
      <c r="N845" s="199"/>
      <c r="O845" s="359"/>
    </row>
    <row r="846" spans="1:15" ht="15" x14ac:dyDescent="0.25">
      <c r="A846" s="256">
        <v>45979</v>
      </c>
      <c r="B846" s="194" t="s">
        <v>2305</v>
      </c>
      <c r="C846" s="195" t="s">
        <v>1066</v>
      </c>
      <c r="D846" s="196" t="s">
        <v>34</v>
      </c>
      <c r="E846" s="197" t="s">
        <v>35</v>
      </c>
      <c r="F846" s="228" t="s">
        <v>2331</v>
      </c>
      <c r="G846" s="256">
        <v>46142</v>
      </c>
      <c r="H846" s="228" t="s">
        <v>2332</v>
      </c>
      <c r="I846" s="196">
        <v>2</v>
      </c>
      <c r="J846" s="360" t="s">
        <v>2334</v>
      </c>
      <c r="K846" s="198" t="s">
        <v>1073</v>
      </c>
      <c r="L846" s="198"/>
      <c r="M846" s="70" t="str">
        <f t="shared" si="66"/>
        <v>INT-0182-25</v>
      </c>
      <c r="N846" s="199"/>
      <c r="O846" s="359"/>
    </row>
    <row r="847" spans="1:15" ht="15" x14ac:dyDescent="0.25">
      <c r="A847" s="256">
        <v>45979</v>
      </c>
      <c r="B847" s="194" t="s">
        <v>2305</v>
      </c>
      <c r="C847" s="195" t="s">
        <v>1066</v>
      </c>
      <c r="D847" s="196" t="s">
        <v>1292</v>
      </c>
      <c r="E847" s="197" t="s">
        <v>1293</v>
      </c>
      <c r="F847" s="228" t="s">
        <v>2080</v>
      </c>
      <c r="G847" s="256">
        <v>46173</v>
      </c>
      <c r="H847" s="228" t="s">
        <v>2320</v>
      </c>
      <c r="I847" s="196">
        <v>1</v>
      </c>
      <c r="J847" s="360" t="s">
        <v>2334</v>
      </c>
      <c r="K847" s="198" t="s">
        <v>1073</v>
      </c>
      <c r="L847" s="198"/>
      <c r="M847" s="70" t="str">
        <f t="shared" si="66"/>
        <v>INT-0182-25</v>
      </c>
      <c r="N847" s="199"/>
      <c r="O847" s="359"/>
    </row>
    <row r="848" spans="1:15" ht="15" x14ac:dyDescent="0.25">
      <c r="A848" s="256">
        <v>45979</v>
      </c>
      <c r="B848" s="194" t="s">
        <v>2305</v>
      </c>
      <c r="C848" s="195" t="s">
        <v>1066</v>
      </c>
      <c r="D848" s="196" t="s">
        <v>47</v>
      </c>
      <c r="E848" s="197" t="s">
        <v>48</v>
      </c>
      <c r="F848" s="228" t="s">
        <v>812</v>
      </c>
      <c r="G848" s="256">
        <v>46173</v>
      </c>
      <c r="H848" s="228" t="s">
        <v>2322</v>
      </c>
      <c r="I848" s="196">
        <v>3</v>
      </c>
      <c r="J848" s="360" t="s">
        <v>2334</v>
      </c>
      <c r="K848" s="198" t="s">
        <v>1073</v>
      </c>
      <c r="L848" s="198"/>
      <c r="M848" s="70" t="str">
        <f t="shared" si="66"/>
        <v>INT-0182-25</v>
      </c>
      <c r="N848" s="199"/>
      <c r="O848" s="359"/>
    </row>
    <row r="849" spans="1:15" ht="15" x14ac:dyDescent="0.25">
      <c r="A849" s="256">
        <v>45982</v>
      </c>
      <c r="B849" s="194" t="s">
        <v>2335</v>
      </c>
      <c r="C849" s="195" t="s">
        <v>1066</v>
      </c>
      <c r="D849" s="196" t="s">
        <v>1374</v>
      </c>
      <c r="E849" s="197" t="s">
        <v>1373</v>
      </c>
      <c r="F849" s="228" t="s">
        <v>2336</v>
      </c>
      <c r="G849" s="256">
        <v>46066</v>
      </c>
      <c r="H849" s="228" t="s">
        <v>2337</v>
      </c>
      <c r="I849" s="196">
        <v>1</v>
      </c>
      <c r="J849" s="165" t="s">
        <v>2338</v>
      </c>
      <c r="K849" s="198" t="s">
        <v>1073</v>
      </c>
      <c r="L849" s="198"/>
      <c r="M849" s="70" t="str">
        <f>HYPERLINK("P:\7. LONG HAU\7. CAC THEO DOI TRONG QUA TRINH\4. DEVIATION- INCIDENTS\THEO DÕI NỘI BỘ (NGOÀI BBSC)\"&amp;YEAR(A849)&amp;"\"&amp;B849,B849)</f>
        <v>INT-0183-25</v>
      </c>
      <c r="N849" s="199"/>
      <c r="O849" s="359"/>
    </row>
    <row r="850" spans="1:15" ht="15" x14ac:dyDescent="0.25">
      <c r="A850" s="256">
        <v>45987</v>
      </c>
      <c r="B850" s="194" t="s">
        <v>2339</v>
      </c>
      <c r="C850" s="195" t="s">
        <v>1066</v>
      </c>
      <c r="D850" s="196" t="s">
        <v>2280</v>
      </c>
      <c r="E850" s="197" t="s">
        <v>2281</v>
      </c>
      <c r="F850" s="228" t="s">
        <v>2340</v>
      </c>
      <c r="G850" s="256">
        <v>46396</v>
      </c>
      <c r="H850" s="228" t="s">
        <v>2341</v>
      </c>
      <c r="I850" s="196">
        <v>1</v>
      </c>
      <c r="J850" s="165" t="s">
        <v>2342</v>
      </c>
      <c r="K850" s="40" t="s">
        <v>1073</v>
      </c>
      <c r="L850" s="198"/>
      <c r="M850" s="70" t="str">
        <f>HYPERLINK("P:\7. LONG HAU\7. CAC THEO DOI TRONG QUA TRINH\4. DEVIATION- INCIDENTS\THEO DÕI NỘI BỘ (NGOÀI BBSC)\"&amp;YEAR(A850)&amp;"\"&amp;B850,B850)</f>
        <v>INT-0184-25</v>
      </c>
      <c r="N850" s="199"/>
      <c r="O850" s="359"/>
    </row>
    <row r="851" spans="1:15" ht="15" x14ac:dyDescent="0.25">
      <c r="A851" s="233">
        <v>45989</v>
      </c>
      <c r="B851" s="35" t="s">
        <v>2343</v>
      </c>
      <c r="C851" s="47" t="s">
        <v>547</v>
      </c>
      <c r="D851" s="48" t="s">
        <v>1276</v>
      </c>
      <c r="E851" s="38" t="s">
        <v>303</v>
      </c>
      <c r="F851" s="205" t="s">
        <v>847</v>
      </c>
      <c r="G851" s="233">
        <v>46569</v>
      </c>
      <c r="H851" s="205" t="s">
        <v>2344</v>
      </c>
      <c r="I851" s="48">
        <v>1</v>
      </c>
      <c r="J851" s="165" t="s">
        <v>547</v>
      </c>
      <c r="K851" s="40" t="s">
        <v>1072</v>
      </c>
      <c r="L851" s="40"/>
      <c r="M851" s="70" t="str">
        <f>HYPERLINK("P:\7. LONG HAU\7. CAC THEO DOI TRONG QUA TRINH\4. DEVIATION- INCIDENTS\THEO DÕI NỘI BỘ (NGOÀI BBSC)\"&amp;YEAR(A851)&amp;"\"&amp;B851,B851)</f>
        <v>INT-0185-25</v>
      </c>
      <c r="N851" s="200"/>
      <c r="O851" s="361"/>
    </row>
    <row r="852" spans="1:15" ht="15" x14ac:dyDescent="0.25">
      <c r="A852" s="233">
        <v>45989</v>
      </c>
      <c r="B852" s="35" t="s">
        <v>2343</v>
      </c>
      <c r="C852" s="47" t="s">
        <v>547</v>
      </c>
      <c r="D852" s="48" t="s">
        <v>1276</v>
      </c>
      <c r="E852" s="38" t="s">
        <v>303</v>
      </c>
      <c r="F852" s="205" t="s">
        <v>1588</v>
      </c>
      <c r="G852" s="233">
        <v>46774</v>
      </c>
      <c r="H852" s="205" t="s">
        <v>2345</v>
      </c>
      <c r="I852" s="48">
        <v>1</v>
      </c>
      <c r="J852" s="165" t="s">
        <v>547</v>
      </c>
      <c r="K852" s="40" t="s">
        <v>1072</v>
      </c>
      <c r="L852" s="40"/>
      <c r="M852" s="70" t="str">
        <f t="shared" ref="M852:M853" si="67">HYPERLINK("P:\7. LONG HAU\7. CAC THEO DOI TRONG QUA TRINH\4. DEVIATION- INCIDENTS\THEO DÕI NỘI BỘ (NGOÀI BBSC)\"&amp;YEAR(A852)&amp;"\"&amp;B852,B852)</f>
        <v>INT-0185-25</v>
      </c>
      <c r="N852" s="200"/>
      <c r="O852" s="361"/>
    </row>
    <row r="853" spans="1:15" ht="15" x14ac:dyDescent="0.25">
      <c r="A853" s="233">
        <v>45989</v>
      </c>
      <c r="B853" s="35" t="s">
        <v>2343</v>
      </c>
      <c r="C853" s="47" t="s">
        <v>547</v>
      </c>
      <c r="D853" s="48" t="s">
        <v>1521</v>
      </c>
      <c r="E853" s="38" t="s">
        <v>546</v>
      </c>
      <c r="F853" s="205" t="s">
        <v>1522</v>
      </c>
      <c r="G853" s="233">
        <v>46544</v>
      </c>
      <c r="H853" s="205" t="s">
        <v>2346</v>
      </c>
      <c r="I853" s="48">
        <v>2</v>
      </c>
      <c r="J853" s="165" t="s">
        <v>547</v>
      </c>
      <c r="K853" s="40" t="s">
        <v>1072</v>
      </c>
      <c r="L853" s="40"/>
      <c r="M853" s="70" t="str">
        <f t="shared" si="67"/>
        <v>INT-0185-25</v>
      </c>
      <c r="N853" s="200"/>
      <c r="O853" s="361"/>
    </row>
    <row r="854" spans="1:15" ht="15" x14ac:dyDescent="0.25">
      <c r="A854" s="233">
        <v>45994</v>
      </c>
      <c r="B854" s="35" t="s">
        <v>2347</v>
      </c>
      <c r="C854" s="47" t="s">
        <v>1066</v>
      </c>
      <c r="D854" s="48" t="s">
        <v>34</v>
      </c>
      <c r="E854" s="38" t="s">
        <v>35</v>
      </c>
      <c r="F854" s="205" t="s">
        <v>2348</v>
      </c>
      <c r="G854" s="233">
        <v>40662</v>
      </c>
      <c r="H854" s="205" t="s">
        <v>2349</v>
      </c>
      <c r="I854" s="48">
        <v>50</v>
      </c>
      <c r="J854" s="165" t="s">
        <v>2350</v>
      </c>
      <c r="K854" s="40" t="s">
        <v>1073</v>
      </c>
      <c r="L854" s="40"/>
      <c r="M854" s="70" t="str">
        <f t="shared" ref="M854:M859" si="68">HYPERLINK("P:\7. LONG HAU\7. CAC THEO DOI TRONG QUA TRINH\4. DEVIATION- INCIDENTS\THEO DÕI NỘI BỘ (NGOÀI BBSC)\"&amp;YEAR(A854)&amp;"\"&amp;B854,B854)</f>
        <v>INT-0186-25</v>
      </c>
      <c r="N854" s="200"/>
      <c r="O854" s="361"/>
    </row>
    <row r="855" spans="1:15" ht="15" x14ac:dyDescent="0.25">
      <c r="A855" s="289">
        <v>45996</v>
      </c>
      <c r="B855" s="285" t="s">
        <v>2351</v>
      </c>
      <c r="C855" s="286" t="s">
        <v>1066</v>
      </c>
      <c r="D855" s="287" t="s">
        <v>2352</v>
      </c>
      <c r="E855" s="288" t="s">
        <v>2353</v>
      </c>
      <c r="F855" s="205" t="s">
        <v>2362</v>
      </c>
      <c r="G855" s="289">
        <v>46457</v>
      </c>
      <c r="H855" s="290" t="s">
        <v>2354</v>
      </c>
      <c r="I855" s="287">
        <v>20</v>
      </c>
      <c r="J855" s="165" t="s">
        <v>2364</v>
      </c>
      <c r="K855" s="40" t="s">
        <v>1073</v>
      </c>
      <c r="L855" s="292"/>
      <c r="M855" s="70" t="str">
        <f t="shared" si="68"/>
        <v>INT-0187-25</v>
      </c>
      <c r="N855" s="293"/>
      <c r="O855" s="362"/>
    </row>
    <row r="856" spans="1:15" ht="15" x14ac:dyDescent="0.25">
      <c r="A856" s="289">
        <v>45996</v>
      </c>
      <c r="B856" s="285" t="s">
        <v>2351</v>
      </c>
      <c r="C856" s="286" t="s">
        <v>1066</v>
      </c>
      <c r="D856" s="287" t="s">
        <v>2355</v>
      </c>
      <c r="E856" s="288" t="s">
        <v>2356</v>
      </c>
      <c r="F856" s="205" t="s">
        <v>2363</v>
      </c>
      <c r="G856" s="289">
        <v>46446</v>
      </c>
      <c r="H856" s="290" t="s">
        <v>2357</v>
      </c>
      <c r="I856" s="287">
        <v>18</v>
      </c>
      <c r="J856" s="165" t="s">
        <v>2364</v>
      </c>
      <c r="K856" s="40" t="s">
        <v>1073</v>
      </c>
      <c r="L856" s="292"/>
      <c r="M856" s="70" t="str">
        <f t="shared" si="68"/>
        <v>INT-0187-25</v>
      </c>
      <c r="N856" s="293"/>
      <c r="O856" s="362"/>
    </row>
    <row r="857" spans="1:15" ht="15" x14ac:dyDescent="0.25">
      <c r="A857" s="289">
        <v>46000</v>
      </c>
      <c r="B857" s="285" t="s">
        <v>2358</v>
      </c>
      <c r="C857" s="286" t="s">
        <v>547</v>
      </c>
      <c r="D857" s="287" t="s">
        <v>1521</v>
      </c>
      <c r="E857" s="288" t="s">
        <v>546</v>
      </c>
      <c r="F857" s="290" t="s">
        <v>1341</v>
      </c>
      <c r="G857" s="289">
        <v>9822</v>
      </c>
      <c r="H857" s="290" t="s">
        <v>2360</v>
      </c>
      <c r="I857" s="287">
        <v>1</v>
      </c>
      <c r="J857" s="291" t="s">
        <v>547</v>
      </c>
      <c r="K857" s="292" t="s">
        <v>1072</v>
      </c>
      <c r="L857" s="292"/>
      <c r="M857" s="70" t="str">
        <f t="shared" si="68"/>
        <v>INT-0188-25</v>
      </c>
      <c r="N857" s="293"/>
      <c r="O857" s="362"/>
    </row>
    <row r="858" spans="1:15" ht="15" x14ac:dyDescent="0.25">
      <c r="A858" s="289">
        <v>46000</v>
      </c>
      <c r="B858" s="285" t="s">
        <v>2358</v>
      </c>
      <c r="C858" s="47" t="s">
        <v>547</v>
      </c>
      <c r="D858" s="287" t="s">
        <v>1521</v>
      </c>
      <c r="E858" s="288" t="s">
        <v>546</v>
      </c>
      <c r="F858" s="290" t="s">
        <v>2359</v>
      </c>
      <c r="G858" s="289">
        <v>10112</v>
      </c>
      <c r="H858" s="290" t="s">
        <v>2361</v>
      </c>
      <c r="I858" s="287">
        <v>1</v>
      </c>
      <c r="J858" s="291" t="s">
        <v>547</v>
      </c>
      <c r="K858" s="292" t="s">
        <v>1072</v>
      </c>
      <c r="L858" s="292"/>
      <c r="M858" s="70" t="str">
        <f t="shared" si="68"/>
        <v>INT-0188-25</v>
      </c>
      <c r="N858" s="293"/>
      <c r="O858" s="362"/>
    </row>
    <row r="859" spans="1:15" ht="15" x14ac:dyDescent="0.25">
      <c r="A859" s="289">
        <v>46000</v>
      </c>
      <c r="B859" s="285" t="s">
        <v>2365</v>
      </c>
      <c r="C859" s="286" t="s">
        <v>1066</v>
      </c>
      <c r="D859" s="287" t="s">
        <v>720</v>
      </c>
      <c r="E859" s="38" t="s">
        <v>721</v>
      </c>
      <c r="F859" s="290" t="s">
        <v>2367</v>
      </c>
      <c r="G859" s="289">
        <v>46064</v>
      </c>
      <c r="H859" s="290" t="s">
        <v>2366</v>
      </c>
      <c r="I859" s="287">
        <v>1</v>
      </c>
      <c r="J859" s="165" t="s">
        <v>2364</v>
      </c>
      <c r="K859" s="40" t="s">
        <v>1073</v>
      </c>
      <c r="L859" s="292"/>
      <c r="M859" s="70" t="str">
        <f t="shared" si="68"/>
        <v>INT-0189-25</v>
      </c>
      <c r="N859" s="293"/>
      <c r="O859" s="362"/>
    </row>
    <row r="860" spans="1:15" ht="15" x14ac:dyDescent="0.25">
      <c r="A860" s="289"/>
      <c r="B860" s="285" t="s">
        <v>2368</v>
      </c>
      <c r="C860" s="286"/>
      <c r="D860" s="287" t="s">
        <v>2369</v>
      </c>
      <c r="E860" s="288" t="s">
        <v>2370</v>
      </c>
      <c r="F860" s="290" t="s">
        <v>1710</v>
      </c>
      <c r="G860" s="289" t="s">
        <v>2371</v>
      </c>
      <c r="H860" s="290" t="s">
        <v>2372</v>
      </c>
      <c r="I860" s="287">
        <v>358</v>
      </c>
      <c r="J860" s="165" t="s">
        <v>2373</v>
      </c>
      <c r="K860" s="292" t="s">
        <v>1072</v>
      </c>
      <c r="L860" s="292"/>
      <c r="M860" s="70" t="str">
        <f t="shared" ref="M860:M870" si="69">HYPERLINK("P:\7. LONG HAU\7. CAC THEO DOI TRONG QUA TRINH\4. DEVIATION- INCIDENTS\THEO DÕI NỘI BỘ (NGOÀI BBSC)\"&amp;YEAR(A860)&amp;"\"&amp;B860,B860)</f>
        <v>INT-0190-25</v>
      </c>
      <c r="N860" s="293"/>
      <c r="O860" s="362"/>
    </row>
    <row r="861" spans="1:15" ht="15" x14ac:dyDescent="0.25">
      <c r="A861" s="289">
        <v>46013</v>
      </c>
      <c r="B861" s="285" t="s">
        <v>2374</v>
      </c>
      <c r="C861" s="286" t="s">
        <v>547</v>
      </c>
      <c r="D861" s="287" t="s">
        <v>2375</v>
      </c>
      <c r="E861" s="288" t="s">
        <v>2376</v>
      </c>
      <c r="F861" s="290">
        <v>0</v>
      </c>
      <c r="G861" s="289">
        <v>36525</v>
      </c>
      <c r="H861" s="290" t="s">
        <v>2377</v>
      </c>
      <c r="I861" s="287">
        <v>17</v>
      </c>
      <c r="J861" s="165" t="s">
        <v>2381</v>
      </c>
      <c r="K861" s="40" t="s">
        <v>1072</v>
      </c>
      <c r="L861" s="292"/>
      <c r="M861" s="70" t="str">
        <f t="shared" si="69"/>
        <v>INT-0191-25</v>
      </c>
      <c r="N861" s="293"/>
      <c r="O861" s="362"/>
    </row>
    <row r="862" spans="1:15" ht="15" x14ac:dyDescent="0.25">
      <c r="A862" s="289">
        <v>46013</v>
      </c>
      <c r="B862" s="285" t="s">
        <v>2374</v>
      </c>
      <c r="C862" s="286" t="s">
        <v>547</v>
      </c>
      <c r="D862" s="287" t="s">
        <v>2378</v>
      </c>
      <c r="E862" s="288" t="s">
        <v>2379</v>
      </c>
      <c r="F862" s="290">
        <v>0</v>
      </c>
      <c r="G862" s="289">
        <v>36525</v>
      </c>
      <c r="H862" s="290" t="s">
        <v>2380</v>
      </c>
      <c r="I862" s="287">
        <v>3479</v>
      </c>
      <c r="J862" s="165" t="s">
        <v>2381</v>
      </c>
      <c r="K862" s="40" t="s">
        <v>1072</v>
      </c>
      <c r="L862" s="292"/>
      <c r="M862" s="70" t="str">
        <f t="shared" si="69"/>
        <v>INT-0191-25</v>
      </c>
      <c r="N862" s="293"/>
      <c r="O862" s="362"/>
    </row>
    <row r="863" spans="1:15" ht="15" x14ac:dyDescent="0.25">
      <c r="A863" s="289">
        <v>46014</v>
      </c>
      <c r="B863" s="285" t="s">
        <v>2382</v>
      </c>
      <c r="C863" s="286" t="s">
        <v>1066</v>
      </c>
      <c r="D863" s="287" t="s">
        <v>1133</v>
      </c>
      <c r="E863" s="288" t="s">
        <v>1134</v>
      </c>
      <c r="F863" s="290" t="s">
        <v>2383</v>
      </c>
      <c r="G863" s="289">
        <v>46203</v>
      </c>
      <c r="H863" s="290" t="s">
        <v>2384</v>
      </c>
      <c r="I863" s="287">
        <v>87</v>
      </c>
      <c r="J863" s="165" t="s">
        <v>1645</v>
      </c>
      <c r="K863" s="40" t="s">
        <v>1073</v>
      </c>
      <c r="L863" s="292"/>
      <c r="M863" s="70" t="str">
        <f t="shared" si="69"/>
        <v>INT-0192-25</v>
      </c>
      <c r="N863" s="293"/>
      <c r="O863" s="362"/>
    </row>
    <row r="864" spans="1:15" ht="25.5" x14ac:dyDescent="0.25">
      <c r="A864" s="289">
        <v>46015</v>
      </c>
      <c r="B864" s="285" t="s">
        <v>2385</v>
      </c>
      <c r="C864" s="286" t="s">
        <v>1066</v>
      </c>
      <c r="D864" s="287" t="s">
        <v>2386</v>
      </c>
      <c r="E864" s="288" t="s">
        <v>2387</v>
      </c>
      <c r="F864" s="290" t="s">
        <v>2389</v>
      </c>
      <c r="G864" s="289" t="s">
        <v>2388</v>
      </c>
      <c r="H864" s="290" t="s">
        <v>2390</v>
      </c>
      <c r="I864" s="287">
        <v>5</v>
      </c>
      <c r="J864" s="291" t="s">
        <v>2410</v>
      </c>
      <c r="K864" s="292" t="s">
        <v>1089</v>
      </c>
      <c r="L864" s="292" t="s">
        <v>2420</v>
      </c>
      <c r="M864" s="70" t="str">
        <f t="shared" si="69"/>
        <v>INT-0193-25</v>
      </c>
      <c r="N864" s="293"/>
      <c r="O864" s="362"/>
    </row>
    <row r="865" spans="1:15" ht="25.5" x14ac:dyDescent="0.25">
      <c r="A865" s="289">
        <v>46015</v>
      </c>
      <c r="B865" s="285" t="s">
        <v>2385</v>
      </c>
      <c r="C865" s="286" t="s">
        <v>1066</v>
      </c>
      <c r="D865" s="48" t="s">
        <v>1796</v>
      </c>
      <c r="E865" s="38" t="s">
        <v>1797</v>
      </c>
      <c r="F865" s="205" t="s">
        <v>1803</v>
      </c>
      <c r="G865" s="233" t="s">
        <v>1808</v>
      </c>
      <c r="H865" s="205" t="s">
        <v>2391</v>
      </c>
      <c r="I865" s="48">
        <v>2</v>
      </c>
      <c r="J865" s="291" t="s">
        <v>2410</v>
      </c>
      <c r="K865" s="292" t="s">
        <v>1089</v>
      </c>
      <c r="L865" s="292" t="s">
        <v>2420</v>
      </c>
      <c r="M865" s="70" t="str">
        <f t="shared" si="69"/>
        <v>INT-0193-25</v>
      </c>
      <c r="N865" s="363"/>
      <c r="O865" s="364"/>
    </row>
    <row r="866" spans="1:15" ht="25.5" x14ac:dyDescent="0.25">
      <c r="A866" s="289">
        <v>46015</v>
      </c>
      <c r="B866" s="285" t="s">
        <v>2385</v>
      </c>
      <c r="C866" s="286" t="s">
        <v>1066</v>
      </c>
      <c r="D866" s="48" t="s">
        <v>2392</v>
      </c>
      <c r="E866" s="38" t="s">
        <v>2393</v>
      </c>
      <c r="F866" s="205" t="s">
        <v>2395</v>
      </c>
      <c r="G866" s="233" t="s">
        <v>2394</v>
      </c>
      <c r="H866" s="205" t="s">
        <v>2396</v>
      </c>
      <c r="I866" s="48">
        <v>3</v>
      </c>
      <c r="J866" s="291" t="s">
        <v>2410</v>
      </c>
      <c r="K866" s="292" t="s">
        <v>1089</v>
      </c>
      <c r="L866" s="292" t="s">
        <v>2420</v>
      </c>
      <c r="M866" s="70" t="str">
        <f t="shared" si="69"/>
        <v>INT-0193-25</v>
      </c>
      <c r="N866" s="363"/>
      <c r="O866" s="364"/>
    </row>
    <row r="867" spans="1:15" ht="25.5" x14ac:dyDescent="0.25">
      <c r="A867" s="289">
        <v>46015</v>
      </c>
      <c r="B867" s="285" t="s">
        <v>2385</v>
      </c>
      <c r="C867" s="286" t="s">
        <v>1066</v>
      </c>
      <c r="D867" s="48" t="s">
        <v>2222</v>
      </c>
      <c r="E867" s="38" t="s">
        <v>2223</v>
      </c>
      <c r="F867" s="205" t="s">
        <v>2398</v>
      </c>
      <c r="G867" s="233" t="s">
        <v>2397</v>
      </c>
      <c r="H867" s="205" t="s">
        <v>2399</v>
      </c>
      <c r="I867" s="48">
        <v>3</v>
      </c>
      <c r="J867" s="291" t="s">
        <v>2410</v>
      </c>
      <c r="K867" s="292" t="s">
        <v>1089</v>
      </c>
      <c r="L867" s="292" t="s">
        <v>2420</v>
      </c>
      <c r="M867" s="70" t="str">
        <f t="shared" si="69"/>
        <v>INT-0193-25</v>
      </c>
      <c r="N867" s="363"/>
      <c r="O867" s="364"/>
    </row>
    <row r="868" spans="1:15" ht="25.5" x14ac:dyDescent="0.25">
      <c r="A868" s="289">
        <v>46015</v>
      </c>
      <c r="B868" s="285" t="s">
        <v>2385</v>
      </c>
      <c r="C868" s="286" t="s">
        <v>1066</v>
      </c>
      <c r="D868" s="48" t="s">
        <v>2222</v>
      </c>
      <c r="E868" s="38" t="s">
        <v>2223</v>
      </c>
      <c r="F868" s="205" t="s">
        <v>2224</v>
      </c>
      <c r="G868" s="233" t="s">
        <v>2400</v>
      </c>
      <c r="H868" s="205" t="s">
        <v>2401</v>
      </c>
      <c r="I868" s="48">
        <v>5</v>
      </c>
      <c r="J868" s="291" t="s">
        <v>2410</v>
      </c>
      <c r="K868" s="292" t="s">
        <v>1089</v>
      </c>
      <c r="L868" s="292" t="s">
        <v>2420</v>
      </c>
      <c r="M868" s="70" t="str">
        <f t="shared" si="69"/>
        <v>INT-0193-25</v>
      </c>
      <c r="N868" s="356"/>
      <c r="O868" s="364"/>
    </row>
    <row r="869" spans="1:15" ht="25.5" x14ac:dyDescent="0.25">
      <c r="A869" s="289">
        <v>46015</v>
      </c>
      <c r="B869" s="285" t="s">
        <v>2385</v>
      </c>
      <c r="C869" s="286" t="s">
        <v>1066</v>
      </c>
      <c r="D869" s="48" t="s">
        <v>2402</v>
      </c>
      <c r="E869" s="38" t="s">
        <v>2403</v>
      </c>
      <c r="F869" s="205" t="s">
        <v>2405</v>
      </c>
      <c r="G869" s="233" t="s">
        <v>2404</v>
      </c>
      <c r="H869" s="205" t="s">
        <v>2406</v>
      </c>
      <c r="I869" s="48">
        <v>1</v>
      </c>
      <c r="J869" s="291" t="s">
        <v>2410</v>
      </c>
      <c r="K869" s="292" t="s">
        <v>1089</v>
      </c>
      <c r="L869" s="292" t="s">
        <v>2420</v>
      </c>
      <c r="M869" s="70" t="str">
        <f t="shared" si="69"/>
        <v>INT-0193-25</v>
      </c>
      <c r="N869" s="363"/>
      <c r="O869" s="364"/>
    </row>
    <row r="870" spans="1:15" ht="25.5" x14ac:dyDescent="0.25">
      <c r="A870" s="289">
        <v>46015</v>
      </c>
      <c r="B870" s="285" t="s">
        <v>2385</v>
      </c>
      <c r="C870" s="286" t="s">
        <v>1066</v>
      </c>
      <c r="D870" s="48" t="s">
        <v>2386</v>
      </c>
      <c r="E870" s="38" t="s">
        <v>2387</v>
      </c>
      <c r="F870" s="205" t="s">
        <v>2408</v>
      </c>
      <c r="G870" s="233" t="s">
        <v>2407</v>
      </c>
      <c r="H870" s="205" t="s">
        <v>2409</v>
      </c>
      <c r="I870" s="48">
        <v>2</v>
      </c>
      <c r="J870" s="291" t="s">
        <v>2410</v>
      </c>
      <c r="K870" s="292" t="s">
        <v>1089</v>
      </c>
      <c r="L870" s="292" t="s">
        <v>2420</v>
      </c>
      <c r="M870" s="70" t="str">
        <f t="shared" si="69"/>
        <v>INT-0193-25</v>
      </c>
      <c r="N870" s="363"/>
      <c r="O870" s="364"/>
    </row>
    <row r="871" spans="1:15" ht="15" x14ac:dyDescent="0.25">
      <c r="A871" s="289">
        <v>46016</v>
      </c>
      <c r="B871" s="285" t="s">
        <v>2411</v>
      </c>
      <c r="C871" s="286" t="s">
        <v>1066</v>
      </c>
      <c r="D871" s="287">
        <v>0</v>
      </c>
      <c r="E871" s="38" t="s">
        <v>2419</v>
      </c>
      <c r="F871" s="290">
        <v>0</v>
      </c>
      <c r="G871" s="289">
        <v>0</v>
      </c>
      <c r="H871" s="287">
        <v>0</v>
      </c>
      <c r="I871" s="287">
        <v>0</v>
      </c>
      <c r="J871" s="291" t="s">
        <v>2412</v>
      </c>
      <c r="K871" s="292" t="s">
        <v>1073</v>
      </c>
      <c r="L871" s="292">
        <v>0</v>
      </c>
      <c r="M871" s="70" t="str">
        <f>HYPERLINK("P:\7. LONG HAU\7. CAC THEO DOI TRONG QUA TRINH\4. DEVIATION- INCIDENTS\THEO DÕI NỘI BỘ (NGOÀI BBSC)\"&amp;YEAR(A871)&amp;"\"&amp;B871,B871)</f>
        <v>INT-0194-25</v>
      </c>
      <c r="N871" s="293"/>
      <c r="O871" s="362"/>
    </row>
    <row r="872" spans="1:15" ht="51" x14ac:dyDescent="0.25">
      <c r="A872" s="289">
        <v>46016</v>
      </c>
      <c r="B872" s="285" t="s">
        <v>2413</v>
      </c>
      <c r="C872" s="286" t="s">
        <v>1068</v>
      </c>
      <c r="D872" s="287" t="s">
        <v>283</v>
      </c>
      <c r="E872" s="288" t="s">
        <v>284</v>
      </c>
      <c r="F872" s="290" t="s">
        <v>2415</v>
      </c>
      <c r="G872" s="289">
        <v>46082</v>
      </c>
      <c r="H872" s="290" t="s">
        <v>2418</v>
      </c>
      <c r="I872" s="287">
        <v>30</v>
      </c>
      <c r="J872" s="291" t="s">
        <v>2417</v>
      </c>
      <c r="K872" s="292" t="s">
        <v>1089</v>
      </c>
      <c r="L872" s="292" t="s">
        <v>2416</v>
      </c>
      <c r="M872" s="70" t="str">
        <f>HYPERLINK("P:\7. LONG HAU\7. CAC THEO DOI TRONG QUA TRINH\4. DEVIATION- INCIDENTS\THEO DÕI NỘI BỘ (NGOÀI BBSC)\"&amp;YEAR(A872)&amp;"\"&amp;B872,B872)</f>
        <v>INT-0195-25</v>
      </c>
      <c r="N872" s="293"/>
      <c r="O872" s="362"/>
    </row>
    <row r="873" spans="1:15" ht="25.5" x14ac:dyDescent="0.25">
      <c r="A873" s="289">
        <v>46016</v>
      </c>
      <c r="B873" s="285" t="s">
        <v>2421</v>
      </c>
      <c r="C873" s="286" t="s">
        <v>1066</v>
      </c>
      <c r="D873" s="287" t="s">
        <v>2422</v>
      </c>
      <c r="E873" s="288" t="s">
        <v>2423</v>
      </c>
      <c r="F873" s="290" t="s">
        <v>2443</v>
      </c>
      <c r="G873" s="289">
        <v>46986</v>
      </c>
      <c r="H873" s="290" t="s">
        <v>2456</v>
      </c>
      <c r="I873" s="287">
        <v>7</v>
      </c>
      <c r="J873" s="291" t="s">
        <v>2410</v>
      </c>
      <c r="K873" s="292" t="s">
        <v>1089</v>
      </c>
      <c r="L873" s="292" t="s">
        <v>2420</v>
      </c>
      <c r="M873" s="70" t="str">
        <f>HYPERLINK("P:\7. LONG HAU\7. CAC THEO DOI TRONG QUA TRINH\4. DEVIATION- INCIDENTS\THEO DÕI NỘI BỘ (NGOÀI BBSC)\"&amp;YEAR(A873)&amp;"\"&amp;B873,B873)</f>
        <v>INT-0196-25</v>
      </c>
      <c r="N873" s="293"/>
      <c r="O873" s="362"/>
    </row>
    <row r="874" spans="1:15" ht="25.5" x14ac:dyDescent="0.25">
      <c r="A874" s="289">
        <v>46016</v>
      </c>
      <c r="B874" s="285" t="s">
        <v>2421</v>
      </c>
      <c r="C874" s="286" t="s">
        <v>1066</v>
      </c>
      <c r="D874" s="287" t="s">
        <v>2422</v>
      </c>
      <c r="E874" s="288" t="s">
        <v>2423</v>
      </c>
      <c r="F874" s="290" t="s">
        <v>2444</v>
      </c>
      <c r="G874" s="289">
        <v>47019</v>
      </c>
      <c r="H874" s="290" t="s">
        <v>2457</v>
      </c>
      <c r="I874" s="287">
        <v>6</v>
      </c>
      <c r="J874" s="291" t="s">
        <v>2410</v>
      </c>
      <c r="K874" s="292" t="s">
        <v>1089</v>
      </c>
      <c r="L874" s="292" t="s">
        <v>2420</v>
      </c>
      <c r="M874" s="70" t="str">
        <f t="shared" ref="M874:M888" si="70">HYPERLINK("P:\7. LONG HAU\7. CAC THEO DOI TRONG QUA TRINH\4. DEVIATION- INCIDENTS\THEO DÕI NỘI BỘ (NGOÀI BBSC)\"&amp;YEAR(A874)&amp;"\"&amp;B874,B874)</f>
        <v>INT-0196-25</v>
      </c>
      <c r="N874" s="293"/>
      <c r="O874" s="362"/>
    </row>
    <row r="875" spans="1:15" ht="25.5" x14ac:dyDescent="0.25">
      <c r="A875" s="289">
        <v>46016</v>
      </c>
      <c r="B875" s="285" t="s">
        <v>2421</v>
      </c>
      <c r="C875" s="286" t="s">
        <v>1066</v>
      </c>
      <c r="D875" s="287" t="s">
        <v>2422</v>
      </c>
      <c r="E875" s="288" t="s">
        <v>2423</v>
      </c>
      <c r="F875" s="290" t="s">
        <v>2408</v>
      </c>
      <c r="G875" s="289">
        <v>47001</v>
      </c>
      <c r="H875" s="290" t="s">
        <v>2458</v>
      </c>
      <c r="I875" s="287">
        <v>1</v>
      </c>
      <c r="J875" s="291" t="s">
        <v>2410</v>
      </c>
      <c r="K875" s="292" t="s">
        <v>1089</v>
      </c>
      <c r="L875" s="292" t="s">
        <v>2420</v>
      </c>
      <c r="M875" s="70" t="str">
        <f t="shared" si="70"/>
        <v>INT-0196-25</v>
      </c>
      <c r="N875" s="293"/>
      <c r="O875" s="362"/>
    </row>
    <row r="876" spans="1:15" ht="25.5" x14ac:dyDescent="0.25">
      <c r="A876" s="289">
        <v>46016</v>
      </c>
      <c r="B876" s="285" t="s">
        <v>2421</v>
      </c>
      <c r="C876" s="286" t="s">
        <v>1066</v>
      </c>
      <c r="D876" s="287" t="s">
        <v>2424</v>
      </c>
      <c r="E876" s="288" t="s">
        <v>2425</v>
      </c>
      <c r="F876" s="290" t="s">
        <v>2445</v>
      </c>
      <c r="G876" s="289">
        <v>46973</v>
      </c>
      <c r="H876" s="290" t="s">
        <v>2459</v>
      </c>
      <c r="I876" s="287">
        <v>3</v>
      </c>
      <c r="J876" s="291" t="s">
        <v>2410</v>
      </c>
      <c r="K876" s="292" t="s">
        <v>1089</v>
      </c>
      <c r="L876" s="292" t="s">
        <v>2420</v>
      </c>
      <c r="M876" s="70" t="str">
        <f t="shared" si="70"/>
        <v>INT-0196-25</v>
      </c>
      <c r="N876" s="293"/>
      <c r="O876" s="362"/>
    </row>
    <row r="877" spans="1:15" ht="25.5" x14ac:dyDescent="0.25">
      <c r="A877" s="289">
        <v>46016</v>
      </c>
      <c r="B877" s="285" t="s">
        <v>2421</v>
      </c>
      <c r="C877" s="286" t="s">
        <v>1066</v>
      </c>
      <c r="D877" s="287" t="s">
        <v>2426</v>
      </c>
      <c r="E877" s="288" t="s">
        <v>2427</v>
      </c>
      <c r="F877" s="290" t="s">
        <v>2446</v>
      </c>
      <c r="G877" s="289">
        <v>46985</v>
      </c>
      <c r="H877" s="290" t="s">
        <v>2460</v>
      </c>
      <c r="I877" s="287">
        <v>4</v>
      </c>
      <c r="J877" s="291" t="s">
        <v>2410</v>
      </c>
      <c r="K877" s="292" t="s">
        <v>1089</v>
      </c>
      <c r="L877" s="292" t="s">
        <v>2420</v>
      </c>
      <c r="M877" s="70" t="str">
        <f t="shared" si="70"/>
        <v>INT-0196-25</v>
      </c>
      <c r="N877" s="293"/>
      <c r="O877" s="362"/>
    </row>
    <row r="878" spans="1:15" ht="25.5" x14ac:dyDescent="0.25">
      <c r="A878" s="289">
        <v>46016</v>
      </c>
      <c r="B878" s="285" t="s">
        <v>2421</v>
      </c>
      <c r="C878" s="286" t="s">
        <v>1066</v>
      </c>
      <c r="D878" s="287" t="s">
        <v>2428</v>
      </c>
      <c r="E878" s="288" t="s">
        <v>2429</v>
      </c>
      <c r="F878" s="290" t="s">
        <v>2447</v>
      </c>
      <c r="G878" s="289">
        <v>46943</v>
      </c>
      <c r="H878" s="290" t="s">
        <v>2461</v>
      </c>
      <c r="I878" s="287">
        <v>4</v>
      </c>
      <c r="J878" s="291" t="s">
        <v>2410</v>
      </c>
      <c r="K878" s="292" t="s">
        <v>1089</v>
      </c>
      <c r="L878" s="292" t="s">
        <v>2420</v>
      </c>
      <c r="M878" s="70" t="str">
        <f t="shared" si="70"/>
        <v>INT-0196-25</v>
      </c>
      <c r="N878" s="293"/>
      <c r="O878" s="362"/>
    </row>
    <row r="879" spans="1:15" ht="25.5" x14ac:dyDescent="0.25">
      <c r="A879" s="289">
        <v>46016</v>
      </c>
      <c r="B879" s="285" t="s">
        <v>2421</v>
      </c>
      <c r="C879" s="286" t="s">
        <v>1066</v>
      </c>
      <c r="D879" s="287" t="s">
        <v>2430</v>
      </c>
      <c r="E879" s="288" t="s">
        <v>2431</v>
      </c>
      <c r="F879" s="290" t="s">
        <v>2445</v>
      </c>
      <c r="G879" s="289">
        <v>46980</v>
      </c>
      <c r="H879" s="290" t="s">
        <v>2462</v>
      </c>
      <c r="I879" s="287">
        <v>5</v>
      </c>
      <c r="J879" s="291" t="s">
        <v>2410</v>
      </c>
      <c r="K879" s="292" t="s">
        <v>1089</v>
      </c>
      <c r="L879" s="292" t="s">
        <v>2420</v>
      </c>
      <c r="M879" s="70" t="str">
        <f t="shared" si="70"/>
        <v>INT-0196-25</v>
      </c>
      <c r="N879" s="293"/>
      <c r="O879" s="362"/>
    </row>
    <row r="880" spans="1:15" ht="25.5" x14ac:dyDescent="0.25">
      <c r="A880" s="289">
        <v>46016</v>
      </c>
      <c r="B880" s="285" t="s">
        <v>2421</v>
      </c>
      <c r="C880" s="286" t="s">
        <v>1066</v>
      </c>
      <c r="D880" s="287" t="s">
        <v>2432</v>
      </c>
      <c r="E880" s="288" t="s">
        <v>2433</v>
      </c>
      <c r="F880" s="290" t="s">
        <v>2448</v>
      </c>
      <c r="G880" s="289">
        <v>47015</v>
      </c>
      <c r="H880" s="290" t="s">
        <v>2463</v>
      </c>
      <c r="I880" s="287">
        <v>4</v>
      </c>
      <c r="J880" s="291" t="s">
        <v>2410</v>
      </c>
      <c r="K880" s="292" t="s">
        <v>1089</v>
      </c>
      <c r="L880" s="292" t="s">
        <v>2420</v>
      </c>
      <c r="M880" s="70" t="str">
        <f t="shared" si="70"/>
        <v>INT-0196-25</v>
      </c>
      <c r="N880" s="293"/>
      <c r="O880" s="362"/>
    </row>
    <row r="881" spans="1:15" ht="25.5" x14ac:dyDescent="0.25">
      <c r="A881" s="289">
        <v>46016</v>
      </c>
      <c r="B881" s="285" t="s">
        <v>2421</v>
      </c>
      <c r="C881" s="286" t="s">
        <v>1066</v>
      </c>
      <c r="D881" s="287" t="s">
        <v>2434</v>
      </c>
      <c r="E881" s="288" t="s">
        <v>2435</v>
      </c>
      <c r="F881" s="290" t="s">
        <v>2449</v>
      </c>
      <c r="G881" s="289">
        <v>47373</v>
      </c>
      <c r="H881" s="290" t="s">
        <v>2464</v>
      </c>
      <c r="I881" s="287">
        <v>24</v>
      </c>
      <c r="J881" s="291" t="s">
        <v>2410</v>
      </c>
      <c r="K881" s="292" t="s">
        <v>1089</v>
      </c>
      <c r="L881" s="292" t="s">
        <v>2420</v>
      </c>
      <c r="M881" s="70" t="str">
        <f t="shared" si="70"/>
        <v>INT-0196-25</v>
      </c>
      <c r="N881" s="293"/>
      <c r="O881" s="362"/>
    </row>
    <row r="882" spans="1:15" ht="25.5" x14ac:dyDescent="0.25">
      <c r="A882" s="289">
        <v>46016</v>
      </c>
      <c r="B882" s="285" t="s">
        <v>2421</v>
      </c>
      <c r="C882" s="286" t="s">
        <v>1066</v>
      </c>
      <c r="D882" s="287" t="s">
        <v>2436</v>
      </c>
      <c r="E882" s="288" t="s">
        <v>2437</v>
      </c>
      <c r="F882" s="290" t="s">
        <v>2445</v>
      </c>
      <c r="G882" s="289">
        <v>46970</v>
      </c>
      <c r="H882" s="290" t="s">
        <v>2465</v>
      </c>
      <c r="I882" s="287">
        <v>4</v>
      </c>
      <c r="J882" s="291" t="s">
        <v>2410</v>
      </c>
      <c r="K882" s="292" t="s">
        <v>1089</v>
      </c>
      <c r="L882" s="292" t="s">
        <v>2420</v>
      </c>
      <c r="M882" s="70" t="str">
        <f t="shared" si="70"/>
        <v>INT-0196-25</v>
      </c>
      <c r="N882" s="293"/>
      <c r="O882" s="362"/>
    </row>
    <row r="883" spans="1:15" ht="25.5" x14ac:dyDescent="0.25">
      <c r="A883" s="289">
        <v>46016</v>
      </c>
      <c r="B883" s="285" t="s">
        <v>2421</v>
      </c>
      <c r="C883" s="286" t="s">
        <v>1066</v>
      </c>
      <c r="D883" s="287" t="s">
        <v>2438</v>
      </c>
      <c r="E883" s="288" t="s">
        <v>2439</v>
      </c>
      <c r="F883" s="290" t="s">
        <v>2450</v>
      </c>
      <c r="G883" s="289">
        <v>46958</v>
      </c>
      <c r="H883" s="290" t="s">
        <v>2466</v>
      </c>
      <c r="I883" s="287">
        <v>10</v>
      </c>
      <c r="J883" s="291" t="s">
        <v>2410</v>
      </c>
      <c r="K883" s="292" t="s">
        <v>1089</v>
      </c>
      <c r="L883" s="292" t="s">
        <v>2420</v>
      </c>
      <c r="M883" s="70" t="str">
        <f t="shared" si="70"/>
        <v>INT-0196-25</v>
      </c>
      <c r="N883" s="293"/>
      <c r="O883" s="362"/>
    </row>
    <row r="884" spans="1:15" ht="25.5" x14ac:dyDescent="0.25">
      <c r="A884" s="289">
        <v>46016</v>
      </c>
      <c r="B884" s="285" t="s">
        <v>2421</v>
      </c>
      <c r="C884" s="286" t="s">
        <v>1066</v>
      </c>
      <c r="D884" s="287" t="s">
        <v>2440</v>
      </c>
      <c r="E884" s="288" t="s">
        <v>2441</v>
      </c>
      <c r="F884" s="290" t="s">
        <v>2451</v>
      </c>
      <c r="G884" s="289">
        <v>47231</v>
      </c>
      <c r="H884" s="290" t="s">
        <v>2467</v>
      </c>
      <c r="I884" s="287">
        <v>2</v>
      </c>
      <c r="J884" s="291" t="s">
        <v>2410</v>
      </c>
      <c r="K884" s="292" t="s">
        <v>1089</v>
      </c>
      <c r="L884" s="292" t="s">
        <v>2420</v>
      </c>
      <c r="M884" s="70" t="str">
        <f t="shared" si="70"/>
        <v>INT-0196-25</v>
      </c>
      <c r="N884" s="293"/>
      <c r="O884" s="362"/>
    </row>
    <row r="885" spans="1:15" ht="25.5" x14ac:dyDescent="0.25">
      <c r="A885" s="289">
        <v>46016</v>
      </c>
      <c r="B885" s="35" t="s">
        <v>2421</v>
      </c>
      <c r="C885" s="286" t="s">
        <v>1066</v>
      </c>
      <c r="D885" s="287" t="s">
        <v>2434</v>
      </c>
      <c r="E885" s="288" t="s">
        <v>2435</v>
      </c>
      <c r="F885" s="290" t="s">
        <v>2452</v>
      </c>
      <c r="G885" s="289">
        <v>47372</v>
      </c>
      <c r="H885" s="290" t="s">
        <v>2468</v>
      </c>
      <c r="I885" s="287">
        <v>17</v>
      </c>
      <c r="J885" s="291" t="s">
        <v>2410</v>
      </c>
      <c r="K885" s="292" t="s">
        <v>1089</v>
      </c>
      <c r="L885" s="292" t="s">
        <v>2420</v>
      </c>
      <c r="M885" s="70" t="str">
        <f t="shared" si="70"/>
        <v>INT-0196-25</v>
      </c>
      <c r="N885" s="293"/>
      <c r="O885" s="362"/>
    </row>
    <row r="886" spans="1:15" ht="25.5" x14ac:dyDescent="0.25">
      <c r="A886" s="289">
        <v>46016</v>
      </c>
      <c r="B886" s="285" t="s">
        <v>2421</v>
      </c>
      <c r="C886" s="286" t="s">
        <v>1066</v>
      </c>
      <c r="D886" s="287" t="s">
        <v>1401</v>
      </c>
      <c r="E886" s="288" t="s">
        <v>1399</v>
      </c>
      <c r="F886" s="290" t="s">
        <v>2453</v>
      </c>
      <c r="G886" s="289">
        <v>47005</v>
      </c>
      <c r="H886" s="290" t="s">
        <v>2469</v>
      </c>
      <c r="I886" s="287">
        <v>10</v>
      </c>
      <c r="J886" s="291" t="s">
        <v>2410</v>
      </c>
      <c r="K886" s="292" t="s">
        <v>1089</v>
      </c>
      <c r="L886" s="292" t="s">
        <v>2420</v>
      </c>
      <c r="M886" s="70" t="str">
        <f t="shared" si="70"/>
        <v>INT-0196-25</v>
      </c>
      <c r="N886" s="293"/>
      <c r="O886" s="362"/>
    </row>
    <row r="887" spans="1:15" ht="25.5" x14ac:dyDescent="0.25">
      <c r="A887" s="289">
        <v>46016</v>
      </c>
      <c r="B887" s="285" t="s">
        <v>2421</v>
      </c>
      <c r="C887" s="286" t="s">
        <v>1066</v>
      </c>
      <c r="D887" s="287" t="s">
        <v>2442</v>
      </c>
      <c r="E887" s="288" t="s">
        <v>2441</v>
      </c>
      <c r="F887" s="290" t="s">
        <v>2454</v>
      </c>
      <c r="G887" s="289">
        <v>47287</v>
      </c>
      <c r="H887" s="290" t="s">
        <v>2470</v>
      </c>
      <c r="I887" s="287">
        <v>2</v>
      </c>
      <c r="J887" s="291" t="s">
        <v>2410</v>
      </c>
      <c r="K887" s="292" t="s">
        <v>1089</v>
      </c>
      <c r="L887" s="292" t="s">
        <v>2420</v>
      </c>
      <c r="M887" s="70" t="str">
        <f t="shared" si="70"/>
        <v>INT-0196-25</v>
      </c>
      <c r="N887" s="293"/>
      <c r="O887" s="362"/>
    </row>
    <row r="888" spans="1:15" ht="25.5" x14ac:dyDescent="0.25">
      <c r="A888" s="289">
        <v>46016</v>
      </c>
      <c r="B888" s="285" t="s">
        <v>2421</v>
      </c>
      <c r="C888" s="286" t="s">
        <v>1066</v>
      </c>
      <c r="D888" s="287" t="s">
        <v>2422</v>
      </c>
      <c r="E888" s="288" t="s">
        <v>2423</v>
      </c>
      <c r="F888" s="290" t="s">
        <v>2455</v>
      </c>
      <c r="G888" s="289">
        <v>46886</v>
      </c>
      <c r="H888" s="290" t="s">
        <v>2471</v>
      </c>
      <c r="I888" s="287">
        <v>1</v>
      </c>
      <c r="J888" s="291" t="s">
        <v>2410</v>
      </c>
      <c r="K888" s="292" t="s">
        <v>1089</v>
      </c>
      <c r="L888" s="292" t="s">
        <v>2420</v>
      </c>
      <c r="M888" s="70" t="str">
        <f t="shared" si="70"/>
        <v>INT-0196-25</v>
      </c>
      <c r="N888" s="293"/>
      <c r="O888" s="362"/>
    </row>
    <row r="889" spans="1:15" ht="25.5" x14ac:dyDescent="0.25">
      <c r="A889" s="289">
        <v>46016</v>
      </c>
      <c r="B889" s="285" t="s">
        <v>2421</v>
      </c>
      <c r="C889" s="286" t="s">
        <v>1066</v>
      </c>
      <c r="D889" s="287" t="s">
        <v>2440</v>
      </c>
      <c r="E889" s="288" t="s">
        <v>2441</v>
      </c>
      <c r="F889" s="290" t="s">
        <v>2480</v>
      </c>
      <c r="G889" s="289">
        <v>47186</v>
      </c>
      <c r="H889" s="290" t="s">
        <v>2472</v>
      </c>
      <c r="I889" s="287">
        <v>1</v>
      </c>
      <c r="J889" s="291" t="s">
        <v>2410</v>
      </c>
      <c r="K889" s="292" t="s">
        <v>1089</v>
      </c>
      <c r="L889" s="292" t="s">
        <v>2420</v>
      </c>
      <c r="M889" s="70" t="str">
        <f t="shared" ref="M889:M896" si="71">HYPERLINK("P:\7. LONG HAU\7. CAC THEO DOI TRONG QUA TRINH\4. DEVIATION- INCIDENTS\THEO DÕI NỘI BỘ (NGOÀI BBSC)\"&amp;YEAR(A889)&amp;"\"&amp;B889,B889)</f>
        <v>INT-0196-25</v>
      </c>
      <c r="N889" s="293"/>
      <c r="O889" s="362"/>
    </row>
    <row r="890" spans="1:15" ht="25.5" x14ac:dyDescent="0.25">
      <c r="A890" s="289">
        <v>46016</v>
      </c>
      <c r="B890" s="285" t="s">
        <v>2421</v>
      </c>
      <c r="C890" s="286" t="s">
        <v>1066</v>
      </c>
      <c r="D890" s="287" t="s">
        <v>2222</v>
      </c>
      <c r="E890" s="288" t="s">
        <v>2223</v>
      </c>
      <c r="F890" s="290" t="s">
        <v>2446</v>
      </c>
      <c r="G890" s="289">
        <v>46976</v>
      </c>
      <c r="H890" s="290" t="s">
        <v>2473</v>
      </c>
      <c r="I890" s="287">
        <v>1</v>
      </c>
      <c r="J890" s="291" t="s">
        <v>2410</v>
      </c>
      <c r="K890" s="292" t="s">
        <v>1089</v>
      </c>
      <c r="L890" s="292" t="s">
        <v>2420</v>
      </c>
      <c r="M890" s="70" t="str">
        <f t="shared" si="71"/>
        <v>INT-0196-25</v>
      </c>
      <c r="N890" s="293"/>
      <c r="O890" s="362"/>
    </row>
    <row r="891" spans="1:15" ht="25.5" x14ac:dyDescent="0.25">
      <c r="A891" s="289">
        <v>46016</v>
      </c>
      <c r="B891" s="285" t="s">
        <v>2421</v>
      </c>
      <c r="C891" s="286" t="s">
        <v>1066</v>
      </c>
      <c r="D891" s="287" t="s">
        <v>1796</v>
      </c>
      <c r="E891" s="288" t="s">
        <v>1797</v>
      </c>
      <c r="F891" s="290" t="s">
        <v>2481</v>
      </c>
      <c r="G891" s="289">
        <v>46338</v>
      </c>
      <c r="H891" s="290" t="s">
        <v>2474</v>
      </c>
      <c r="I891" s="287">
        <v>10</v>
      </c>
      <c r="J891" s="291" t="s">
        <v>2410</v>
      </c>
      <c r="K891" s="292" t="s">
        <v>1089</v>
      </c>
      <c r="L891" s="292" t="s">
        <v>2420</v>
      </c>
      <c r="M891" s="70" t="str">
        <f t="shared" si="71"/>
        <v>INT-0196-25</v>
      </c>
      <c r="N891" s="293"/>
      <c r="O891" s="362"/>
    </row>
    <row r="892" spans="1:15" ht="25.5" x14ac:dyDescent="0.25">
      <c r="A892" s="289">
        <v>46016</v>
      </c>
      <c r="B892" s="285" t="s">
        <v>2421</v>
      </c>
      <c r="C892" s="286" t="s">
        <v>1066</v>
      </c>
      <c r="D892" s="287" t="s">
        <v>2442</v>
      </c>
      <c r="E892" s="288" t="s">
        <v>2441</v>
      </c>
      <c r="F892" s="290" t="s">
        <v>2482</v>
      </c>
      <c r="G892" s="289">
        <v>47299</v>
      </c>
      <c r="H892" s="290" t="s">
        <v>2475</v>
      </c>
      <c r="I892" s="287">
        <v>3</v>
      </c>
      <c r="J892" s="291" t="s">
        <v>2410</v>
      </c>
      <c r="K892" s="292" t="s">
        <v>1089</v>
      </c>
      <c r="L892" s="292" t="s">
        <v>2420</v>
      </c>
      <c r="M892" s="70" t="str">
        <f t="shared" si="71"/>
        <v>INT-0196-25</v>
      </c>
      <c r="N892" s="293"/>
      <c r="O892" s="362"/>
    </row>
    <row r="893" spans="1:15" ht="25.5" x14ac:dyDescent="0.25">
      <c r="A893" s="289">
        <v>46016</v>
      </c>
      <c r="B893" s="285" t="s">
        <v>2421</v>
      </c>
      <c r="C893" s="286" t="s">
        <v>1066</v>
      </c>
      <c r="D893" s="287" t="s">
        <v>2440</v>
      </c>
      <c r="E893" s="288" t="s">
        <v>2441</v>
      </c>
      <c r="F893" s="290" t="s">
        <v>2451</v>
      </c>
      <c r="G893" s="289">
        <v>47231</v>
      </c>
      <c r="H893" s="290" t="s">
        <v>2476</v>
      </c>
      <c r="I893" s="287">
        <v>2</v>
      </c>
      <c r="J893" s="291" t="s">
        <v>2410</v>
      </c>
      <c r="K893" s="292" t="s">
        <v>1089</v>
      </c>
      <c r="L893" s="292" t="s">
        <v>2420</v>
      </c>
      <c r="M893" s="70" t="str">
        <f t="shared" si="71"/>
        <v>INT-0196-25</v>
      </c>
      <c r="N893" s="293"/>
      <c r="O893" s="362"/>
    </row>
    <row r="894" spans="1:15" ht="25.5" x14ac:dyDescent="0.25">
      <c r="A894" s="289">
        <v>46016</v>
      </c>
      <c r="B894" s="285" t="s">
        <v>2421</v>
      </c>
      <c r="C894" s="286" t="s">
        <v>1066</v>
      </c>
      <c r="D894" s="287" t="s">
        <v>1796</v>
      </c>
      <c r="E894" s="288" t="s">
        <v>1797</v>
      </c>
      <c r="F894" s="290" t="s">
        <v>2483</v>
      </c>
      <c r="G894" s="289">
        <v>46659</v>
      </c>
      <c r="H894" s="290" t="s">
        <v>2477</v>
      </c>
      <c r="I894" s="287">
        <v>1</v>
      </c>
      <c r="J894" s="291" t="s">
        <v>2410</v>
      </c>
      <c r="K894" s="292" t="s">
        <v>1089</v>
      </c>
      <c r="L894" s="292" t="s">
        <v>2420</v>
      </c>
      <c r="M894" s="70" t="str">
        <f t="shared" si="71"/>
        <v>INT-0196-25</v>
      </c>
      <c r="N894" s="293"/>
      <c r="O894" s="362"/>
    </row>
    <row r="895" spans="1:15" ht="25.5" x14ac:dyDescent="0.25">
      <c r="A895" s="289">
        <v>46016</v>
      </c>
      <c r="B895" s="285" t="s">
        <v>2421</v>
      </c>
      <c r="C895" s="286" t="s">
        <v>1066</v>
      </c>
      <c r="D895" s="287" t="s">
        <v>2440</v>
      </c>
      <c r="E895" s="288" t="s">
        <v>2441</v>
      </c>
      <c r="F895" s="290" t="s">
        <v>1804</v>
      </c>
      <c r="G895" s="289">
        <v>47217</v>
      </c>
      <c r="H895" s="290" t="s">
        <v>2478</v>
      </c>
      <c r="I895" s="287">
        <v>1</v>
      </c>
      <c r="J895" s="291" t="s">
        <v>2410</v>
      </c>
      <c r="K895" s="292" t="s">
        <v>1089</v>
      </c>
      <c r="L895" s="292" t="s">
        <v>2420</v>
      </c>
      <c r="M895" s="70" t="str">
        <f t="shared" si="71"/>
        <v>INT-0196-25</v>
      </c>
      <c r="N895" s="293"/>
      <c r="O895" s="362"/>
    </row>
    <row r="896" spans="1:15" ht="25.5" x14ac:dyDescent="0.25">
      <c r="A896" s="289">
        <v>46016</v>
      </c>
      <c r="B896" s="285" t="s">
        <v>2421</v>
      </c>
      <c r="C896" s="286" t="s">
        <v>1066</v>
      </c>
      <c r="D896" s="287" t="s">
        <v>2442</v>
      </c>
      <c r="E896" s="288" t="s">
        <v>2441</v>
      </c>
      <c r="F896" s="290" t="s">
        <v>2484</v>
      </c>
      <c r="G896" s="289">
        <v>47251</v>
      </c>
      <c r="H896" s="290" t="s">
        <v>2479</v>
      </c>
      <c r="I896" s="287">
        <v>1</v>
      </c>
      <c r="J896" s="291" t="s">
        <v>2410</v>
      </c>
      <c r="K896" s="292" t="s">
        <v>1089</v>
      </c>
      <c r="L896" s="292" t="s">
        <v>2420</v>
      </c>
      <c r="M896" s="70" t="str">
        <f t="shared" si="71"/>
        <v>INT-0196-25</v>
      </c>
      <c r="N896" s="293"/>
      <c r="O896" s="362"/>
    </row>
    <row r="897" spans="1:15" ht="25.5" x14ac:dyDescent="0.25">
      <c r="A897" s="289">
        <v>46017</v>
      </c>
      <c r="B897" s="285" t="s">
        <v>2485</v>
      </c>
      <c r="C897" s="286" t="s">
        <v>1066</v>
      </c>
      <c r="D897" s="287" t="s">
        <v>2486</v>
      </c>
      <c r="E897" s="288" t="s">
        <v>2487</v>
      </c>
      <c r="F897" s="290" t="s">
        <v>2511</v>
      </c>
      <c r="G897" s="289">
        <v>46716</v>
      </c>
      <c r="H897" s="290" t="s">
        <v>2496</v>
      </c>
      <c r="I897" s="287">
        <v>1</v>
      </c>
      <c r="J897" s="291" t="s">
        <v>2410</v>
      </c>
      <c r="K897" s="292" t="s">
        <v>1089</v>
      </c>
      <c r="L897" s="292" t="s">
        <v>2420</v>
      </c>
      <c r="M897" s="70" t="str">
        <f>HYPERLINK("P:\7. LONG HAU\7. CAC THEO DOI TRONG QUA TRINH\4. DEVIATION- INCIDENTS\THEO DÕI NỘI BỘ (NGOÀI BBSC)\"&amp;YEAR(A897)&amp;"\"&amp;B897,B897)</f>
        <v>INT-0197-25</v>
      </c>
      <c r="N897" s="293"/>
      <c r="O897" s="362"/>
    </row>
    <row r="898" spans="1:15" ht="25.5" x14ac:dyDescent="0.25">
      <c r="A898" s="289">
        <v>46017</v>
      </c>
      <c r="B898" s="285" t="s">
        <v>2485</v>
      </c>
      <c r="C898" s="286" t="s">
        <v>1066</v>
      </c>
      <c r="D898" s="287" t="s">
        <v>2486</v>
      </c>
      <c r="E898" s="288" t="s">
        <v>2487</v>
      </c>
      <c r="F898" s="290" t="s">
        <v>2512</v>
      </c>
      <c r="G898" s="289">
        <v>45969</v>
      </c>
      <c r="H898" s="290" t="s">
        <v>2497</v>
      </c>
      <c r="I898" s="287">
        <v>3</v>
      </c>
      <c r="J898" s="291" t="s">
        <v>2410</v>
      </c>
      <c r="K898" s="292" t="s">
        <v>2524</v>
      </c>
      <c r="L898" s="292" t="s">
        <v>2420</v>
      </c>
      <c r="M898" s="70" t="str">
        <f t="shared" ref="M898:M911" si="72">HYPERLINK("P:\7. LONG HAU\7. CAC THEO DOI TRONG QUA TRINH\4. DEVIATION- INCIDENTS\THEO DÕI NỘI BỘ (NGOÀI BBSC)\"&amp;YEAR(A898)&amp;"\"&amp;B898,B898)</f>
        <v>INT-0197-25</v>
      </c>
      <c r="N898" s="293"/>
      <c r="O898" s="362"/>
    </row>
    <row r="899" spans="1:15" ht="25.5" x14ac:dyDescent="0.25">
      <c r="A899" s="289">
        <v>46017</v>
      </c>
      <c r="B899" s="285" t="s">
        <v>2485</v>
      </c>
      <c r="C899" s="286" t="s">
        <v>1066</v>
      </c>
      <c r="D899" s="287" t="s">
        <v>2486</v>
      </c>
      <c r="E899" s="288" t="s">
        <v>2487</v>
      </c>
      <c r="F899" s="290" t="s">
        <v>2513</v>
      </c>
      <c r="G899" s="289">
        <v>45970</v>
      </c>
      <c r="H899" s="290" t="s">
        <v>2498</v>
      </c>
      <c r="I899" s="287">
        <v>2</v>
      </c>
      <c r="J899" s="291" t="s">
        <v>2410</v>
      </c>
      <c r="K899" s="292" t="s">
        <v>1089</v>
      </c>
      <c r="L899" s="292" t="s">
        <v>2420</v>
      </c>
      <c r="M899" s="70" t="str">
        <f t="shared" si="72"/>
        <v>INT-0197-25</v>
      </c>
      <c r="N899" s="293"/>
      <c r="O899" s="362"/>
    </row>
    <row r="900" spans="1:15" ht="25.5" x14ac:dyDescent="0.25">
      <c r="A900" s="289">
        <v>46017</v>
      </c>
      <c r="B900" s="285" t="s">
        <v>2485</v>
      </c>
      <c r="C900" s="286" t="s">
        <v>1066</v>
      </c>
      <c r="D900" s="287" t="s">
        <v>2486</v>
      </c>
      <c r="E900" s="288" t="s">
        <v>2487</v>
      </c>
      <c r="F900" s="290" t="s">
        <v>2514</v>
      </c>
      <c r="G900" s="289">
        <v>45984</v>
      </c>
      <c r="H900" s="290" t="s">
        <v>2499</v>
      </c>
      <c r="I900" s="287">
        <v>5</v>
      </c>
      <c r="J900" s="291" t="s">
        <v>2410</v>
      </c>
      <c r="K900" s="292" t="s">
        <v>1089</v>
      </c>
      <c r="L900" s="292" t="s">
        <v>2420</v>
      </c>
      <c r="M900" s="70" t="str">
        <f t="shared" si="72"/>
        <v>INT-0197-25</v>
      </c>
      <c r="N900" s="293"/>
      <c r="O900" s="362"/>
    </row>
    <row r="901" spans="1:15" ht="25.5" x14ac:dyDescent="0.25">
      <c r="A901" s="289">
        <v>46017</v>
      </c>
      <c r="B901" s="285" t="s">
        <v>2485</v>
      </c>
      <c r="C901" s="286" t="s">
        <v>1066</v>
      </c>
      <c r="D901" s="287" t="s">
        <v>2488</v>
      </c>
      <c r="E901" s="288" t="s">
        <v>2489</v>
      </c>
      <c r="F901" s="290" t="s">
        <v>2515</v>
      </c>
      <c r="G901" s="289">
        <v>45907</v>
      </c>
      <c r="H901" s="290" t="s">
        <v>2500</v>
      </c>
      <c r="I901" s="287">
        <v>23</v>
      </c>
      <c r="J901" s="291" t="s">
        <v>2410</v>
      </c>
      <c r="K901" s="292" t="s">
        <v>1089</v>
      </c>
      <c r="L901" s="292" t="s">
        <v>2420</v>
      </c>
      <c r="M901" s="70" t="str">
        <f t="shared" si="72"/>
        <v>INT-0197-25</v>
      </c>
      <c r="N901" s="293"/>
      <c r="O901" s="362"/>
    </row>
    <row r="902" spans="1:15" ht="25.5" x14ac:dyDescent="0.25">
      <c r="A902" s="289">
        <v>46017</v>
      </c>
      <c r="B902" s="285" t="s">
        <v>2485</v>
      </c>
      <c r="C902" s="286" t="s">
        <v>1066</v>
      </c>
      <c r="D902" s="287" t="s">
        <v>2490</v>
      </c>
      <c r="E902" s="288" t="s">
        <v>2491</v>
      </c>
      <c r="F902" s="290" t="s">
        <v>2516</v>
      </c>
      <c r="G902" s="289">
        <v>46129</v>
      </c>
      <c r="H902" s="290" t="s">
        <v>2501</v>
      </c>
      <c r="I902" s="287">
        <v>167</v>
      </c>
      <c r="J902" s="291" t="s">
        <v>2410</v>
      </c>
      <c r="K902" s="292" t="s">
        <v>1089</v>
      </c>
      <c r="L902" s="292" t="s">
        <v>2420</v>
      </c>
      <c r="M902" s="70" t="str">
        <f t="shared" si="72"/>
        <v>INT-0197-25</v>
      </c>
      <c r="N902" s="293"/>
      <c r="O902" s="362"/>
    </row>
    <row r="903" spans="1:15" ht="25.5" x14ac:dyDescent="0.25">
      <c r="A903" s="289">
        <v>46017</v>
      </c>
      <c r="B903" s="285" t="s">
        <v>2485</v>
      </c>
      <c r="C903" s="286" t="s">
        <v>1066</v>
      </c>
      <c r="D903" s="287" t="s">
        <v>2490</v>
      </c>
      <c r="E903" s="288" t="s">
        <v>2491</v>
      </c>
      <c r="F903" s="290" t="s">
        <v>2517</v>
      </c>
      <c r="G903" s="289">
        <v>46039</v>
      </c>
      <c r="H903" s="290" t="s">
        <v>2502</v>
      </c>
      <c r="I903" s="287">
        <v>30</v>
      </c>
      <c r="J903" s="291" t="s">
        <v>2410</v>
      </c>
      <c r="K903" s="292" t="s">
        <v>1089</v>
      </c>
      <c r="L903" s="292" t="s">
        <v>2420</v>
      </c>
      <c r="M903" s="70" t="str">
        <f t="shared" si="72"/>
        <v>INT-0197-25</v>
      </c>
      <c r="N903" s="293"/>
      <c r="O903" s="362"/>
    </row>
    <row r="904" spans="1:15" ht="25.5" x14ac:dyDescent="0.25">
      <c r="A904" s="289">
        <v>46017</v>
      </c>
      <c r="B904" s="285" t="s">
        <v>2485</v>
      </c>
      <c r="C904" s="286" t="s">
        <v>1066</v>
      </c>
      <c r="D904" s="287" t="s">
        <v>2490</v>
      </c>
      <c r="E904" s="288" t="s">
        <v>2491</v>
      </c>
      <c r="F904" s="290" t="s">
        <v>2518</v>
      </c>
      <c r="G904" s="289">
        <v>46039</v>
      </c>
      <c r="H904" s="290" t="s">
        <v>2503</v>
      </c>
      <c r="I904" s="287">
        <v>10</v>
      </c>
      <c r="J904" s="291" t="s">
        <v>2410</v>
      </c>
      <c r="K904" s="292" t="s">
        <v>1089</v>
      </c>
      <c r="L904" s="292" t="s">
        <v>2420</v>
      </c>
      <c r="M904" s="70" t="str">
        <f t="shared" si="72"/>
        <v>INT-0197-25</v>
      </c>
      <c r="N904" s="293"/>
      <c r="O904" s="362"/>
    </row>
    <row r="905" spans="1:15" ht="25.5" x14ac:dyDescent="0.25">
      <c r="A905" s="289">
        <v>46017</v>
      </c>
      <c r="B905" s="285" t="s">
        <v>2485</v>
      </c>
      <c r="C905" s="286" t="s">
        <v>1066</v>
      </c>
      <c r="D905" s="287" t="s">
        <v>2490</v>
      </c>
      <c r="E905" s="288" t="s">
        <v>2491</v>
      </c>
      <c r="F905" s="290" t="s">
        <v>2519</v>
      </c>
      <c r="G905" s="289">
        <v>45968</v>
      </c>
      <c r="H905" s="290" t="s">
        <v>2504</v>
      </c>
      <c r="I905" s="287">
        <v>6</v>
      </c>
      <c r="J905" s="291" t="s">
        <v>2410</v>
      </c>
      <c r="K905" s="292" t="s">
        <v>1089</v>
      </c>
      <c r="L905" s="292" t="s">
        <v>2420</v>
      </c>
      <c r="M905" s="70" t="str">
        <f t="shared" si="72"/>
        <v>INT-0197-25</v>
      </c>
      <c r="N905" s="293"/>
      <c r="O905" s="362"/>
    </row>
    <row r="906" spans="1:15" ht="25.5" x14ac:dyDescent="0.25">
      <c r="A906" s="289">
        <v>46017</v>
      </c>
      <c r="B906" s="285" t="s">
        <v>2485</v>
      </c>
      <c r="C906" s="286" t="s">
        <v>1066</v>
      </c>
      <c r="D906" s="287" t="s">
        <v>2492</v>
      </c>
      <c r="E906" s="288" t="s">
        <v>2493</v>
      </c>
      <c r="F906" s="290" t="s">
        <v>2517</v>
      </c>
      <c r="G906" s="289">
        <v>46032</v>
      </c>
      <c r="H906" s="290" t="s">
        <v>2505</v>
      </c>
      <c r="I906" s="287">
        <v>88</v>
      </c>
      <c r="J906" s="291" t="s">
        <v>2410</v>
      </c>
      <c r="K906" s="292" t="s">
        <v>1089</v>
      </c>
      <c r="L906" s="292" t="s">
        <v>2420</v>
      </c>
      <c r="M906" s="70" t="str">
        <f t="shared" si="72"/>
        <v>INT-0197-25</v>
      </c>
      <c r="N906" s="293"/>
      <c r="O906" s="362"/>
    </row>
    <row r="907" spans="1:15" ht="25.5" x14ac:dyDescent="0.25">
      <c r="A907" s="289">
        <v>46017</v>
      </c>
      <c r="B907" s="285" t="s">
        <v>2485</v>
      </c>
      <c r="C907" s="286" t="s">
        <v>1066</v>
      </c>
      <c r="D907" s="287" t="s">
        <v>2492</v>
      </c>
      <c r="E907" s="288" t="s">
        <v>2493</v>
      </c>
      <c r="F907" s="290" t="s">
        <v>2518</v>
      </c>
      <c r="G907" s="289">
        <v>46032</v>
      </c>
      <c r="H907" s="290" t="s">
        <v>2506</v>
      </c>
      <c r="I907" s="287">
        <v>12</v>
      </c>
      <c r="J907" s="291" t="s">
        <v>2410</v>
      </c>
      <c r="K907" s="292" t="s">
        <v>1089</v>
      </c>
      <c r="L907" s="292" t="s">
        <v>2420</v>
      </c>
      <c r="M907" s="70" t="str">
        <f t="shared" si="72"/>
        <v>INT-0197-25</v>
      </c>
      <c r="N907" s="293"/>
      <c r="O907" s="362"/>
    </row>
    <row r="908" spans="1:15" ht="25.5" x14ac:dyDescent="0.25">
      <c r="A908" s="289">
        <v>46017</v>
      </c>
      <c r="B908" s="285" t="s">
        <v>2485</v>
      </c>
      <c r="C908" s="286" t="s">
        <v>1066</v>
      </c>
      <c r="D908" s="287" t="s">
        <v>2492</v>
      </c>
      <c r="E908" s="288" t="s">
        <v>2493</v>
      </c>
      <c r="F908" s="290" t="s">
        <v>2520</v>
      </c>
      <c r="G908" s="289">
        <v>46129</v>
      </c>
      <c r="H908" s="290" t="s">
        <v>2507</v>
      </c>
      <c r="I908" s="287">
        <v>491</v>
      </c>
      <c r="J908" s="291" t="s">
        <v>2410</v>
      </c>
      <c r="K908" s="292" t="s">
        <v>1089</v>
      </c>
      <c r="L908" s="292" t="s">
        <v>2420</v>
      </c>
      <c r="M908" s="70" t="str">
        <f t="shared" si="72"/>
        <v>INT-0197-25</v>
      </c>
      <c r="N908" s="293"/>
      <c r="O908" s="362"/>
    </row>
    <row r="909" spans="1:15" ht="25.5" x14ac:dyDescent="0.25">
      <c r="A909" s="289">
        <v>46017</v>
      </c>
      <c r="B909" s="285" t="s">
        <v>2485</v>
      </c>
      <c r="C909" s="286" t="s">
        <v>1066</v>
      </c>
      <c r="D909" s="287" t="s">
        <v>2492</v>
      </c>
      <c r="E909" s="288" t="s">
        <v>2493</v>
      </c>
      <c r="F909" s="290" t="s">
        <v>2521</v>
      </c>
      <c r="G909" s="289">
        <v>46129</v>
      </c>
      <c r="H909" s="290" t="s">
        <v>2508</v>
      </c>
      <c r="I909" s="287">
        <v>51</v>
      </c>
      <c r="J909" s="291" t="s">
        <v>2410</v>
      </c>
      <c r="K909" s="292" t="s">
        <v>1089</v>
      </c>
      <c r="L909" s="292" t="s">
        <v>2420</v>
      </c>
      <c r="M909" s="70" t="str">
        <f t="shared" si="72"/>
        <v>INT-0197-25</v>
      </c>
      <c r="N909" s="293"/>
      <c r="O909" s="362"/>
    </row>
    <row r="910" spans="1:15" ht="25.5" x14ac:dyDescent="0.25">
      <c r="A910" s="289">
        <v>46017</v>
      </c>
      <c r="B910" s="285" t="s">
        <v>2485</v>
      </c>
      <c r="C910" s="286" t="s">
        <v>1066</v>
      </c>
      <c r="D910" s="287" t="s">
        <v>2494</v>
      </c>
      <c r="E910" s="288" t="s">
        <v>2495</v>
      </c>
      <c r="F910" s="290" t="s">
        <v>2522</v>
      </c>
      <c r="G910" s="289">
        <v>46081</v>
      </c>
      <c r="H910" s="290" t="s">
        <v>2509</v>
      </c>
      <c r="I910" s="287">
        <v>51</v>
      </c>
      <c r="J910" s="291" t="s">
        <v>2410</v>
      </c>
      <c r="K910" s="292" t="s">
        <v>1089</v>
      </c>
      <c r="L910" s="292" t="s">
        <v>2420</v>
      </c>
      <c r="M910" s="70" t="str">
        <f t="shared" si="72"/>
        <v>INT-0197-25</v>
      </c>
      <c r="N910" s="293"/>
      <c r="O910" s="362"/>
    </row>
    <row r="911" spans="1:15" ht="25.5" x14ac:dyDescent="0.25">
      <c r="A911" s="289">
        <v>46017</v>
      </c>
      <c r="B911" s="285" t="s">
        <v>2485</v>
      </c>
      <c r="C911" s="286" t="s">
        <v>1066</v>
      </c>
      <c r="D911" s="287" t="s">
        <v>2494</v>
      </c>
      <c r="E911" s="288" t="s">
        <v>2495</v>
      </c>
      <c r="F911" s="290" t="s">
        <v>2523</v>
      </c>
      <c r="G911" s="289">
        <v>45969</v>
      </c>
      <c r="H911" s="290" t="s">
        <v>2510</v>
      </c>
      <c r="I911" s="287">
        <v>2</v>
      </c>
      <c r="J911" s="291" t="s">
        <v>2410</v>
      </c>
      <c r="K911" s="292" t="s">
        <v>1089</v>
      </c>
      <c r="L911" s="292" t="s">
        <v>2420</v>
      </c>
      <c r="M911" s="70" t="str">
        <f t="shared" si="72"/>
        <v>INT-0197-25</v>
      </c>
      <c r="N911" s="293"/>
      <c r="O911" s="362"/>
    </row>
    <row r="912" spans="1:15" ht="15" x14ac:dyDescent="0.25">
      <c r="A912" s="289">
        <v>46017</v>
      </c>
      <c r="B912" s="285" t="s">
        <v>2531</v>
      </c>
      <c r="C912" s="286" t="s">
        <v>1066</v>
      </c>
      <c r="D912" s="287" t="s">
        <v>39</v>
      </c>
      <c r="E912" s="288" t="s">
        <v>40</v>
      </c>
      <c r="F912" s="290" t="s">
        <v>614</v>
      </c>
      <c r="G912" s="289">
        <v>45991</v>
      </c>
      <c r="H912" s="290" t="s">
        <v>2525</v>
      </c>
      <c r="I912" s="287">
        <v>2</v>
      </c>
      <c r="J912" s="291"/>
      <c r="K912" s="292"/>
      <c r="L912" s="292"/>
      <c r="M912" s="70" t="str">
        <f t="shared" ref="M912:M916" si="73">HYPERLINK("P:\7. LONG HAU\7. CAC THEO DOI TRONG QUA TRINH\4. DEVIATION- INCIDENTS\THEO DÕI NỘI BỘ (NGOÀI BBSC)\"&amp;YEAR(A912)&amp;"\"&amp;B912,B912)</f>
        <v>INT-0198-25</v>
      </c>
      <c r="N912" s="293"/>
      <c r="O912" s="362"/>
    </row>
    <row r="913" spans="1:15" ht="15" x14ac:dyDescent="0.25">
      <c r="A913" s="289">
        <v>46017</v>
      </c>
      <c r="B913" s="285" t="s">
        <v>2531</v>
      </c>
      <c r="C913" s="286" t="s">
        <v>1066</v>
      </c>
      <c r="D913" s="287" t="s">
        <v>239</v>
      </c>
      <c r="E913" s="288" t="s">
        <v>240</v>
      </c>
      <c r="F913" s="290" t="s">
        <v>1002</v>
      </c>
      <c r="G913" s="289">
        <v>46022</v>
      </c>
      <c r="H913" s="290" t="s">
        <v>2526</v>
      </c>
      <c r="I913" s="287">
        <v>34</v>
      </c>
      <c r="J913" s="291"/>
      <c r="K913" s="292"/>
      <c r="L913" s="292"/>
      <c r="M913" s="70" t="str">
        <f t="shared" si="73"/>
        <v>INT-0198-25</v>
      </c>
      <c r="N913" s="293"/>
      <c r="O913" s="362"/>
    </row>
    <row r="914" spans="1:15" ht="15" x14ac:dyDescent="0.25">
      <c r="A914" s="289">
        <v>46017</v>
      </c>
      <c r="B914" s="285" t="s">
        <v>2531</v>
      </c>
      <c r="C914" s="286" t="s">
        <v>1066</v>
      </c>
      <c r="D914" s="287" t="s">
        <v>31</v>
      </c>
      <c r="E914" s="288" t="s">
        <v>32</v>
      </c>
      <c r="F914" s="290" t="s">
        <v>975</v>
      </c>
      <c r="G914" s="289">
        <v>46022</v>
      </c>
      <c r="H914" s="290" t="s">
        <v>2527</v>
      </c>
      <c r="I914" s="287">
        <v>5</v>
      </c>
      <c r="J914" s="291"/>
      <c r="K914" s="292"/>
      <c r="L914" s="292"/>
      <c r="M914" s="70" t="str">
        <f t="shared" si="73"/>
        <v>INT-0198-25</v>
      </c>
      <c r="N914" s="293"/>
      <c r="O914" s="362"/>
    </row>
    <row r="915" spans="1:15" ht="15" x14ac:dyDescent="0.25">
      <c r="A915" s="289">
        <v>46017</v>
      </c>
      <c r="B915" s="285" t="s">
        <v>2531</v>
      </c>
      <c r="C915" s="286" t="s">
        <v>1066</v>
      </c>
      <c r="D915" s="287" t="s">
        <v>968</v>
      </c>
      <c r="E915" s="288" t="s">
        <v>969</v>
      </c>
      <c r="F915" s="290" t="s">
        <v>2530</v>
      </c>
      <c r="G915" s="289">
        <v>46053</v>
      </c>
      <c r="H915" s="290" t="s">
        <v>2528</v>
      </c>
      <c r="I915" s="287">
        <v>1</v>
      </c>
      <c r="J915" s="291"/>
      <c r="K915" s="292"/>
      <c r="L915" s="292"/>
      <c r="M915" s="70" t="str">
        <f t="shared" si="73"/>
        <v>INT-0198-25</v>
      </c>
      <c r="N915" s="293"/>
      <c r="O915" s="362"/>
    </row>
    <row r="916" spans="1:15" ht="15" x14ac:dyDescent="0.25">
      <c r="A916" s="289">
        <v>46017</v>
      </c>
      <c r="B916" s="285" t="s">
        <v>2531</v>
      </c>
      <c r="C916" s="286" t="s">
        <v>1066</v>
      </c>
      <c r="D916" s="287" t="s">
        <v>1212</v>
      </c>
      <c r="E916" s="288" t="s">
        <v>1213</v>
      </c>
      <c r="F916" s="290" t="s">
        <v>1214</v>
      </c>
      <c r="G916" s="289">
        <v>46053</v>
      </c>
      <c r="H916" s="290" t="s">
        <v>2529</v>
      </c>
      <c r="I916" s="287">
        <v>14</v>
      </c>
      <c r="J916" s="291"/>
      <c r="K916" s="292"/>
      <c r="L916" s="292"/>
      <c r="M916" s="70" t="str">
        <f t="shared" si="73"/>
        <v>INT-0198-25</v>
      </c>
      <c r="N916" s="293"/>
      <c r="O916" s="362"/>
    </row>
    <row r="917" spans="1:15" ht="15" x14ac:dyDescent="0.25">
      <c r="A917" s="289">
        <v>46017</v>
      </c>
      <c r="B917" s="285" t="s">
        <v>2532</v>
      </c>
      <c r="C917" s="286" t="s">
        <v>1066</v>
      </c>
      <c r="D917" s="287" t="s">
        <v>1554</v>
      </c>
      <c r="E917" s="288" t="s">
        <v>1556</v>
      </c>
      <c r="F917" s="290" t="s">
        <v>2533</v>
      </c>
      <c r="G917" s="289">
        <v>46479</v>
      </c>
      <c r="H917" s="290" t="s">
        <v>2534</v>
      </c>
      <c r="I917" s="287">
        <v>1</v>
      </c>
      <c r="J917" s="291" t="s">
        <v>1738</v>
      </c>
      <c r="K917" s="292" t="s">
        <v>1073</v>
      </c>
      <c r="L917" s="292"/>
      <c r="M917" s="70" t="str">
        <f>HYPERLINK("P:\7. LONG HAU\7. CAC THEO DOI TRONG QUA TRINH\4. DEVIATION- INCIDENTS\THEO DÕI NỘI BỘ (NGOÀI BBSC)\"&amp;YEAR(A917)&amp;"\"&amp;B917,B917)</f>
        <v>INT-0199-25</v>
      </c>
      <c r="N917" s="293"/>
      <c r="O917" s="362"/>
    </row>
    <row r="918" spans="1:15" ht="15" x14ac:dyDescent="0.25">
      <c r="A918" s="289">
        <v>46017</v>
      </c>
      <c r="B918" s="285" t="s">
        <v>2535</v>
      </c>
      <c r="C918" s="286" t="s">
        <v>1066</v>
      </c>
      <c r="D918" s="287" t="s">
        <v>47</v>
      </c>
      <c r="E918" s="288" t="s">
        <v>48</v>
      </c>
      <c r="F918" s="290" t="s">
        <v>1731</v>
      </c>
      <c r="G918" s="289">
        <v>46053</v>
      </c>
      <c r="H918" s="290" t="s">
        <v>2536</v>
      </c>
      <c r="I918" s="287">
        <v>1</v>
      </c>
      <c r="J918" s="291" t="s">
        <v>1738</v>
      </c>
      <c r="K918" s="40" t="s">
        <v>1073</v>
      </c>
      <c r="L918" s="292"/>
      <c r="M918" s="70" t="str">
        <f>HYPERLINK("P:\7. LONG HAU\7. CAC THEO DOI TRONG QUA TRINH\4. DEVIATION- INCIDENTS\THEO DÕI NỘI BỘ (NGOÀI BBSC)\"&amp;YEAR(A918)&amp;"\"&amp;B918,B918)</f>
        <v>INT-0200-25</v>
      </c>
      <c r="N918" s="293"/>
      <c r="O918" s="362"/>
    </row>
    <row r="919" spans="1:15" ht="15" x14ac:dyDescent="0.25">
      <c r="A919" s="289">
        <v>46017</v>
      </c>
      <c r="B919" s="285" t="s">
        <v>2537</v>
      </c>
      <c r="C919" s="286" t="s">
        <v>1066</v>
      </c>
      <c r="D919" s="287" t="s">
        <v>2006</v>
      </c>
      <c r="E919" s="288" t="s">
        <v>2007</v>
      </c>
      <c r="F919" s="290" t="s">
        <v>2008</v>
      </c>
      <c r="G919" s="289">
        <v>45961</v>
      </c>
      <c r="H919" s="290" t="s">
        <v>2538</v>
      </c>
      <c r="I919" s="287">
        <v>1</v>
      </c>
      <c r="J919" s="165" t="s">
        <v>2539</v>
      </c>
      <c r="K919" s="40" t="s">
        <v>1072</v>
      </c>
      <c r="L919" s="292"/>
      <c r="M919" s="70" t="str">
        <f>HYPERLINK("P:\7. LONG HAU\7. CAC THEO DOI TRONG QUA TRINH\4. DEVIATION- INCIDENTS\THEO DÕI NỘI BỘ (NGOÀI BBSC)\"&amp;YEAR(A919)&amp;"\"&amp;B919,B919)</f>
        <v>INT-0201-25</v>
      </c>
      <c r="N919" s="293"/>
      <c r="O919" s="362"/>
    </row>
    <row r="920" spans="1:15" ht="15" x14ac:dyDescent="0.25">
      <c r="A920" s="289">
        <v>46017</v>
      </c>
      <c r="B920" s="285" t="s">
        <v>2540</v>
      </c>
      <c r="C920" s="286" t="s">
        <v>1066</v>
      </c>
      <c r="D920" s="287" t="s">
        <v>36</v>
      </c>
      <c r="E920" s="288" t="s">
        <v>37</v>
      </c>
      <c r="F920" s="290" t="s">
        <v>1962</v>
      </c>
      <c r="G920" s="289">
        <v>46142</v>
      </c>
      <c r="H920" s="290" t="s">
        <v>2541</v>
      </c>
      <c r="I920" s="287">
        <v>23</v>
      </c>
      <c r="J920" s="291" t="s">
        <v>1738</v>
      </c>
      <c r="K920" s="292" t="s">
        <v>1073</v>
      </c>
      <c r="L920" s="292"/>
      <c r="M920" s="70" t="str">
        <f>HYPERLINK("P:\7. LONG HAU\7. CAC THEO DOI TRONG QUA TRINH\4. DEVIATION- INCIDENTS\THEO DÕI NỘI BỘ (NGOÀI BBSC)\"&amp;YEAR(A920)&amp;"\"&amp;B920,B920)</f>
        <v>INT-0202-25</v>
      </c>
      <c r="N920" s="293"/>
      <c r="O920" s="362"/>
    </row>
    <row r="921" spans="1:15" ht="15" x14ac:dyDescent="0.25">
      <c r="A921" s="289">
        <v>46017</v>
      </c>
      <c r="B921" s="285" t="s">
        <v>2540</v>
      </c>
      <c r="C921" s="286" t="s">
        <v>1066</v>
      </c>
      <c r="D921" s="287" t="s">
        <v>36</v>
      </c>
      <c r="E921" s="288" t="s">
        <v>37</v>
      </c>
      <c r="F921" s="290" t="s">
        <v>2310</v>
      </c>
      <c r="G921" s="289">
        <v>46142</v>
      </c>
      <c r="H921" s="290" t="s">
        <v>2542</v>
      </c>
      <c r="I921" s="287">
        <v>31</v>
      </c>
      <c r="J921" s="291" t="s">
        <v>1738</v>
      </c>
      <c r="K921" s="292" t="s">
        <v>1073</v>
      </c>
      <c r="L921" s="292"/>
      <c r="M921" s="70" t="str">
        <f t="shared" ref="M921:M923" si="74">HYPERLINK("P:\7. LONG HAU\7. CAC THEO DOI TRONG QUA TRINH\4. DEVIATION- INCIDENTS\THEO DÕI NỘI BỘ (NGOÀI BBSC)\"&amp;YEAR(A921)&amp;"\"&amp;B921,B921)</f>
        <v>INT-0202-25</v>
      </c>
      <c r="N921" s="293"/>
      <c r="O921" s="362"/>
    </row>
    <row r="922" spans="1:15" ht="15" x14ac:dyDescent="0.25">
      <c r="A922" s="289">
        <v>46017</v>
      </c>
      <c r="B922" s="285" t="s">
        <v>2540</v>
      </c>
      <c r="C922" s="286" t="s">
        <v>1066</v>
      </c>
      <c r="D922" s="287" t="s">
        <v>34</v>
      </c>
      <c r="E922" s="288" t="s">
        <v>35</v>
      </c>
      <c r="F922" s="290" t="s">
        <v>2331</v>
      </c>
      <c r="G922" s="289">
        <v>46142</v>
      </c>
      <c r="H922" s="290" t="s">
        <v>2543</v>
      </c>
      <c r="I922" s="287">
        <v>11</v>
      </c>
      <c r="J922" s="291" t="s">
        <v>1738</v>
      </c>
      <c r="K922" s="292" t="s">
        <v>1073</v>
      </c>
      <c r="L922" s="292"/>
      <c r="M922" s="70" t="str">
        <f t="shared" si="74"/>
        <v>INT-0202-25</v>
      </c>
      <c r="N922" s="293"/>
      <c r="O922" s="362"/>
    </row>
    <row r="923" spans="1:15" ht="15" x14ac:dyDescent="0.25">
      <c r="A923" s="289">
        <v>46017</v>
      </c>
      <c r="B923" s="285" t="s">
        <v>2540</v>
      </c>
      <c r="C923" s="286" t="s">
        <v>1066</v>
      </c>
      <c r="D923" s="287" t="s">
        <v>1292</v>
      </c>
      <c r="E923" s="288" t="s">
        <v>1293</v>
      </c>
      <c r="F923" s="290" t="s">
        <v>2545</v>
      </c>
      <c r="G923" s="289">
        <v>46142</v>
      </c>
      <c r="H923" s="290" t="s">
        <v>2544</v>
      </c>
      <c r="I923" s="287">
        <v>17</v>
      </c>
      <c r="J923" s="291" t="s">
        <v>1738</v>
      </c>
      <c r="K923" s="292" t="s">
        <v>1073</v>
      </c>
      <c r="L923" s="292"/>
      <c r="M923" s="70" t="str">
        <f t="shared" si="74"/>
        <v>INT-0202-25</v>
      </c>
      <c r="N923" s="293"/>
      <c r="O923" s="362"/>
    </row>
    <row r="924" spans="1:15" ht="15" x14ac:dyDescent="0.25">
      <c r="A924" s="289">
        <v>46020</v>
      </c>
      <c r="B924" s="285" t="s">
        <v>2546</v>
      </c>
      <c r="C924" s="286" t="s">
        <v>1066</v>
      </c>
      <c r="D924" s="287" t="s">
        <v>239</v>
      </c>
      <c r="E924" s="288" t="s">
        <v>240</v>
      </c>
      <c r="F924" s="290" t="s">
        <v>1002</v>
      </c>
      <c r="G924" s="289">
        <v>46022</v>
      </c>
      <c r="H924" s="290" t="s">
        <v>2547</v>
      </c>
      <c r="I924" s="294">
        <v>51</v>
      </c>
      <c r="J924" s="291" t="s">
        <v>2559</v>
      </c>
      <c r="K924" s="292" t="s">
        <v>1073</v>
      </c>
      <c r="L924" s="292"/>
      <c r="M924" s="70" t="str">
        <f>HYPERLINK("P:\7. LONG HAU\7. CAC THEO DOI TRONG QUA TRINH\4. DEVIATION- INCIDENTS\THEO DÕI NỘI BỘ (NGOÀI BBSC)\"&amp;YEAR(A924)&amp;"\"&amp;B924,B924)</f>
        <v>INT-0203-25</v>
      </c>
      <c r="N924" s="293"/>
      <c r="O924" s="362"/>
    </row>
    <row r="925" spans="1:15" ht="15" x14ac:dyDescent="0.25">
      <c r="A925" s="289">
        <v>46020</v>
      </c>
      <c r="B925" s="285" t="s">
        <v>2546</v>
      </c>
      <c r="C925" s="286" t="s">
        <v>1066</v>
      </c>
      <c r="D925" s="287" t="s">
        <v>34</v>
      </c>
      <c r="E925" s="288" t="s">
        <v>35</v>
      </c>
      <c r="F925" s="290" t="s">
        <v>1094</v>
      </c>
      <c r="G925" s="289">
        <v>46022</v>
      </c>
      <c r="H925" s="290" t="s">
        <v>2548</v>
      </c>
      <c r="I925" s="294">
        <v>2</v>
      </c>
      <c r="J925" s="291" t="s">
        <v>2559</v>
      </c>
      <c r="K925" s="292" t="s">
        <v>1073</v>
      </c>
      <c r="L925" s="292"/>
      <c r="M925" s="70" t="str">
        <f t="shared" ref="M925:M935" si="75">HYPERLINK("P:\7. LONG HAU\7. CAC THEO DOI TRONG QUA TRINH\4. DEVIATION- INCIDENTS\THEO DÕI NỘI BỘ (NGOÀI BBSC)\"&amp;YEAR(A925)&amp;"\"&amp;B925,B925)</f>
        <v>INT-0203-25</v>
      </c>
      <c r="N925" s="293"/>
      <c r="O925" s="362"/>
    </row>
    <row r="926" spans="1:15" ht="15" x14ac:dyDescent="0.25">
      <c r="A926" s="289">
        <v>46020</v>
      </c>
      <c r="B926" s="285" t="s">
        <v>2546</v>
      </c>
      <c r="C926" s="286" t="s">
        <v>1066</v>
      </c>
      <c r="D926" s="287" t="s">
        <v>1255</v>
      </c>
      <c r="E926" s="288" t="s">
        <v>1256</v>
      </c>
      <c r="F926" s="290" t="s">
        <v>1257</v>
      </c>
      <c r="G926" s="289">
        <v>46053</v>
      </c>
      <c r="H926" s="290" t="s">
        <v>2549</v>
      </c>
      <c r="I926" s="294">
        <v>7</v>
      </c>
      <c r="J926" s="291" t="s">
        <v>2559</v>
      </c>
      <c r="K926" s="292" t="s">
        <v>1073</v>
      </c>
      <c r="L926" s="292"/>
      <c r="M926" s="70" t="str">
        <f t="shared" si="75"/>
        <v>INT-0203-25</v>
      </c>
      <c r="N926" s="293"/>
      <c r="O926" s="362"/>
    </row>
    <row r="927" spans="1:15" ht="15" x14ac:dyDescent="0.25">
      <c r="A927" s="289">
        <v>46020</v>
      </c>
      <c r="B927" s="285" t="s">
        <v>2546</v>
      </c>
      <c r="C927" s="286" t="s">
        <v>1066</v>
      </c>
      <c r="D927" s="287" t="s">
        <v>31</v>
      </c>
      <c r="E927" s="288" t="s">
        <v>32</v>
      </c>
      <c r="F927" s="290" t="s">
        <v>975</v>
      </c>
      <c r="G927" s="289">
        <v>46022</v>
      </c>
      <c r="H927" s="290" t="s">
        <v>2550</v>
      </c>
      <c r="I927" s="294">
        <v>21</v>
      </c>
      <c r="J927" s="291" t="s">
        <v>2559</v>
      </c>
      <c r="K927" s="292" t="s">
        <v>1073</v>
      </c>
      <c r="L927" s="292"/>
      <c r="M927" s="70" t="str">
        <f t="shared" si="75"/>
        <v>INT-0203-25</v>
      </c>
      <c r="N927" s="293"/>
      <c r="O927" s="362"/>
    </row>
    <row r="928" spans="1:15" ht="15" x14ac:dyDescent="0.25">
      <c r="A928" s="289">
        <v>46020</v>
      </c>
      <c r="B928" s="285" t="s">
        <v>2546</v>
      </c>
      <c r="C928" s="286" t="s">
        <v>1066</v>
      </c>
      <c r="D928" s="287" t="s">
        <v>968</v>
      </c>
      <c r="E928" s="288" t="s">
        <v>969</v>
      </c>
      <c r="F928" s="290" t="s">
        <v>2530</v>
      </c>
      <c r="G928" s="289">
        <v>46053</v>
      </c>
      <c r="H928" s="290" t="s">
        <v>2551</v>
      </c>
      <c r="I928" s="294">
        <v>8</v>
      </c>
      <c r="J928" s="291" t="s">
        <v>2559</v>
      </c>
      <c r="K928" s="292" t="s">
        <v>1073</v>
      </c>
      <c r="L928" s="292"/>
      <c r="M928" s="70" t="str">
        <f t="shared" si="75"/>
        <v>INT-0203-25</v>
      </c>
      <c r="N928" s="293"/>
      <c r="O928" s="362"/>
    </row>
    <row r="929" spans="1:15" ht="15" x14ac:dyDescent="0.25">
      <c r="A929" s="289">
        <v>46020</v>
      </c>
      <c r="B929" s="285" t="s">
        <v>2546</v>
      </c>
      <c r="C929" s="286" t="s">
        <v>1066</v>
      </c>
      <c r="D929" s="287" t="s">
        <v>1255</v>
      </c>
      <c r="E929" s="288" t="s">
        <v>1256</v>
      </c>
      <c r="F929" s="290" t="s">
        <v>1866</v>
      </c>
      <c r="G929" s="289">
        <v>46053</v>
      </c>
      <c r="H929" s="290" t="s">
        <v>2552</v>
      </c>
      <c r="I929" s="294">
        <v>1</v>
      </c>
      <c r="J929" s="291" t="s">
        <v>2559</v>
      </c>
      <c r="K929" s="292" t="s">
        <v>1073</v>
      </c>
      <c r="L929" s="292"/>
      <c r="M929" s="70" t="str">
        <f t="shared" si="75"/>
        <v>INT-0203-25</v>
      </c>
      <c r="N929" s="293"/>
      <c r="O929" s="362"/>
    </row>
    <row r="930" spans="1:15" ht="15" x14ac:dyDescent="0.25">
      <c r="A930" s="289">
        <v>46020</v>
      </c>
      <c r="B930" s="285" t="s">
        <v>2546</v>
      </c>
      <c r="C930" s="286" t="s">
        <v>1066</v>
      </c>
      <c r="D930" s="287" t="s">
        <v>36</v>
      </c>
      <c r="E930" s="288" t="s">
        <v>37</v>
      </c>
      <c r="F930" s="290" t="s">
        <v>1868</v>
      </c>
      <c r="G930" s="289">
        <v>46081</v>
      </c>
      <c r="H930" s="290" t="s">
        <v>2553</v>
      </c>
      <c r="I930" s="294">
        <v>2</v>
      </c>
      <c r="J930" s="291" t="s">
        <v>2559</v>
      </c>
      <c r="K930" s="292" t="s">
        <v>1073</v>
      </c>
      <c r="L930" s="292"/>
      <c r="M930" s="70" t="str">
        <f t="shared" si="75"/>
        <v>INT-0203-25</v>
      </c>
      <c r="N930" s="293"/>
      <c r="O930" s="362"/>
    </row>
    <row r="931" spans="1:15" ht="15" x14ac:dyDescent="0.25">
      <c r="A931" s="289">
        <v>46020</v>
      </c>
      <c r="B931" s="285" t="s">
        <v>2546</v>
      </c>
      <c r="C931" s="286" t="s">
        <v>1066</v>
      </c>
      <c r="D931" s="287" t="s">
        <v>42</v>
      </c>
      <c r="E931" s="288" t="s">
        <v>43</v>
      </c>
      <c r="F931" s="290" t="s">
        <v>1427</v>
      </c>
      <c r="G931" s="289">
        <v>46081</v>
      </c>
      <c r="H931" s="290" t="s">
        <v>2554</v>
      </c>
      <c r="I931" s="294">
        <v>3</v>
      </c>
      <c r="J931" s="291" t="s">
        <v>2559</v>
      </c>
      <c r="K931" s="292" t="s">
        <v>1073</v>
      </c>
      <c r="L931" s="292"/>
      <c r="M931" s="70" t="str">
        <f t="shared" si="75"/>
        <v>INT-0203-25</v>
      </c>
      <c r="N931" s="293"/>
      <c r="O931" s="362"/>
    </row>
    <row r="932" spans="1:15" ht="15" x14ac:dyDescent="0.25">
      <c r="A932" s="289">
        <v>46020</v>
      </c>
      <c r="B932" s="285" t="s">
        <v>2546</v>
      </c>
      <c r="C932" s="286" t="s">
        <v>1066</v>
      </c>
      <c r="D932" s="287" t="s">
        <v>36</v>
      </c>
      <c r="E932" s="288" t="s">
        <v>37</v>
      </c>
      <c r="F932" s="290" t="s">
        <v>364</v>
      </c>
      <c r="G932" s="289">
        <v>46022</v>
      </c>
      <c r="H932" s="290" t="s">
        <v>2555</v>
      </c>
      <c r="I932" s="294">
        <v>3</v>
      </c>
      <c r="J932" s="291" t="s">
        <v>2559</v>
      </c>
      <c r="K932" s="292" t="s">
        <v>1073</v>
      </c>
      <c r="L932" s="292"/>
      <c r="M932" s="70" t="str">
        <f t="shared" si="75"/>
        <v>INT-0203-25</v>
      </c>
      <c r="N932" s="293"/>
      <c r="O932" s="362"/>
    </row>
    <row r="933" spans="1:15" ht="15" x14ac:dyDescent="0.25">
      <c r="A933" s="289">
        <v>46020</v>
      </c>
      <c r="B933" s="285" t="s">
        <v>2546</v>
      </c>
      <c r="C933" s="286" t="s">
        <v>1066</v>
      </c>
      <c r="D933" s="287" t="s">
        <v>42</v>
      </c>
      <c r="E933" s="288" t="s">
        <v>43</v>
      </c>
      <c r="F933" s="290" t="s">
        <v>904</v>
      </c>
      <c r="G933" s="289">
        <v>46022</v>
      </c>
      <c r="H933" s="290" t="s">
        <v>2556</v>
      </c>
      <c r="I933" s="294">
        <v>3</v>
      </c>
      <c r="J933" s="291" t="s">
        <v>2559</v>
      </c>
      <c r="K933" s="292" t="s">
        <v>1073</v>
      </c>
      <c r="L933" s="292"/>
      <c r="M933" s="70" t="str">
        <f t="shared" si="75"/>
        <v>INT-0203-25</v>
      </c>
      <c r="N933" s="293"/>
      <c r="O933" s="362"/>
    </row>
    <row r="934" spans="1:15" ht="15" x14ac:dyDescent="0.25">
      <c r="A934" s="289">
        <v>46020</v>
      </c>
      <c r="B934" s="285" t="s">
        <v>2546</v>
      </c>
      <c r="C934" s="286" t="s">
        <v>1066</v>
      </c>
      <c r="D934" s="287" t="s">
        <v>1212</v>
      </c>
      <c r="E934" s="288" t="s">
        <v>1213</v>
      </c>
      <c r="F934" s="290" t="s">
        <v>1214</v>
      </c>
      <c r="G934" s="289">
        <v>46053</v>
      </c>
      <c r="H934" s="290" t="s">
        <v>2557</v>
      </c>
      <c r="I934" s="294">
        <v>74</v>
      </c>
      <c r="J934" s="291" t="s">
        <v>2559</v>
      </c>
      <c r="K934" s="292" t="s">
        <v>1073</v>
      </c>
      <c r="L934" s="292"/>
      <c r="M934" s="70" t="str">
        <f t="shared" si="75"/>
        <v>INT-0203-25</v>
      </c>
      <c r="N934" s="293"/>
      <c r="O934" s="362"/>
    </row>
    <row r="935" spans="1:15" ht="15" x14ac:dyDescent="0.25">
      <c r="A935" s="289">
        <v>46020</v>
      </c>
      <c r="B935" s="285" t="s">
        <v>2546</v>
      </c>
      <c r="C935" s="286" t="s">
        <v>1066</v>
      </c>
      <c r="D935" s="287" t="s">
        <v>1255</v>
      </c>
      <c r="E935" s="288" t="s">
        <v>1256</v>
      </c>
      <c r="F935" s="290" t="s">
        <v>1727</v>
      </c>
      <c r="G935" s="289">
        <v>46053</v>
      </c>
      <c r="H935" s="290" t="s">
        <v>2558</v>
      </c>
      <c r="I935" s="294">
        <v>20</v>
      </c>
      <c r="J935" s="291" t="s">
        <v>2559</v>
      </c>
      <c r="K935" s="292" t="s">
        <v>1073</v>
      </c>
      <c r="L935" s="292"/>
      <c r="M935" s="70" t="str">
        <f t="shared" si="75"/>
        <v>INT-0203-25</v>
      </c>
      <c r="N935" s="293"/>
      <c r="O935" s="362"/>
    </row>
    <row r="936" spans="1:15" ht="25.5" x14ac:dyDescent="0.25">
      <c r="A936" s="289">
        <v>46021</v>
      </c>
      <c r="B936" s="285" t="s">
        <v>2570</v>
      </c>
      <c r="C936" s="286" t="s">
        <v>1066</v>
      </c>
      <c r="D936" s="287" t="s">
        <v>2442</v>
      </c>
      <c r="E936" s="288" t="s">
        <v>2441</v>
      </c>
      <c r="F936" s="290" t="s">
        <v>2571</v>
      </c>
      <c r="G936" s="289">
        <v>47343</v>
      </c>
      <c r="H936" s="290" t="s">
        <v>2582</v>
      </c>
      <c r="I936" s="287">
        <v>2</v>
      </c>
      <c r="J936" s="291" t="s">
        <v>2410</v>
      </c>
      <c r="K936" s="292" t="s">
        <v>1073</v>
      </c>
      <c r="L936" s="292" t="s">
        <v>2420</v>
      </c>
      <c r="M936" s="70" t="str">
        <f t="shared" ref="M936:M1007" si="76">HYPERLINK("P:\7. LONG HAU\7. CAC THEO DOI TRONG QUA TRINH\4. DEVIATION- INCIDENTS\THEO DÕI NỘI BỘ (NGOÀI BBSC)\"&amp;YEAR(A936)&amp;"\"&amp;B936,B936)</f>
        <v>INT-0204-25</v>
      </c>
      <c r="N936" s="293"/>
      <c r="O936" s="362"/>
    </row>
    <row r="937" spans="1:15" ht="25.5" x14ac:dyDescent="0.25">
      <c r="A937" s="289">
        <v>46021</v>
      </c>
      <c r="B937" s="285" t="s">
        <v>2570</v>
      </c>
      <c r="C937" s="286" t="s">
        <v>1066</v>
      </c>
      <c r="D937" s="287" t="s">
        <v>2386</v>
      </c>
      <c r="E937" s="288" t="s">
        <v>2387</v>
      </c>
      <c r="F937" s="290" t="s">
        <v>2408</v>
      </c>
      <c r="G937" s="289">
        <v>47006</v>
      </c>
      <c r="H937" s="290" t="s">
        <v>2583</v>
      </c>
      <c r="I937" s="287">
        <v>1</v>
      </c>
      <c r="J937" s="291" t="s">
        <v>2410</v>
      </c>
      <c r="K937" s="292" t="s">
        <v>1073</v>
      </c>
      <c r="L937" s="292" t="s">
        <v>2420</v>
      </c>
      <c r="M937" s="70" t="str">
        <f t="shared" si="76"/>
        <v>INT-0204-25</v>
      </c>
      <c r="N937" s="293"/>
      <c r="O937" s="362"/>
    </row>
    <row r="938" spans="1:15" ht="25.5" x14ac:dyDescent="0.25">
      <c r="A938" s="289">
        <v>46021</v>
      </c>
      <c r="B938" s="285" t="s">
        <v>2570</v>
      </c>
      <c r="C938" s="286" t="s">
        <v>1066</v>
      </c>
      <c r="D938" s="287" t="s">
        <v>2560</v>
      </c>
      <c r="E938" s="288" t="s">
        <v>2561</v>
      </c>
      <c r="F938" s="290" t="s">
        <v>2572</v>
      </c>
      <c r="G938" s="289">
        <v>46972</v>
      </c>
      <c r="H938" s="290" t="s">
        <v>2584</v>
      </c>
      <c r="I938" s="287">
        <v>2</v>
      </c>
      <c r="J938" s="291" t="s">
        <v>2410</v>
      </c>
      <c r="K938" s="292" t="s">
        <v>1073</v>
      </c>
      <c r="L938" s="292" t="s">
        <v>2420</v>
      </c>
      <c r="M938" s="70" t="str">
        <f t="shared" si="76"/>
        <v>INT-0204-25</v>
      </c>
      <c r="N938" s="293"/>
      <c r="O938" s="362"/>
    </row>
    <row r="939" spans="1:15" ht="25.5" x14ac:dyDescent="0.25">
      <c r="A939" s="289">
        <v>46021</v>
      </c>
      <c r="B939" s="285" t="s">
        <v>2570</v>
      </c>
      <c r="C939" s="286" t="s">
        <v>1066</v>
      </c>
      <c r="D939" s="287" t="s">
        <v>2560</v>
      </c>
      <c r="E939" s="288" t="s">
        <v>2561</v>
      </c>
      <c r="F939" s="290" t="s">
        <v>2449</v>
      </c>
      <c r="G939" s="289">
        <v>47004</v>
      </c>
      <c r="H939" s="290" t="s">
        <v>2585</v>
      </c>
      <c r="I939" s="287">
        <v>2</v>
      </c>
      <c r="J939" s="291" t="s">
        <v>2410</v>
      </c>
      <c r="K939" s="292" t="s">
        <v>1073</v>
      </c>
      <c r="L939" s="292" t="s">
        <v>2420</v>
      </c>
      <c r="M939" s="70" t="str">
        <f t="shared" si="76"/>
        <v>INT-0204-25</v>
      </c>
      <c r="N939" s="293"/>
      <c r="O939" s="362"/>
    </row>
    <row r="940" spans="1:15" ht="25.5" x14ac:dyDescent="0.25">
      <c r="A940" s="289">
        <v>46021</v>
      </c>
      <c r="B940" s="285" t="s">
        <v>2570</v>
      </c>
      <c r="C940" s="286" t="s">
        <v>1066</v>
      </c>
      <c r="D940" s="287" t="s">
        <v>2386</v>
      </c>
      <c r="E940" s="288" t="s">
        <v>2387</v>
      </c>
      <c r="F940" s="290" t="s">
        <v>2573</v>
      </c>
      <c r="G940" s="289">
        <v>46974</v>
      </c>
      <c r="H940" s="290" t="s">
        <v>2586</v>
      </c>
      <c r="I940" s="287">
        <v>2</v>
      </c>
      <c r="J940" s="291" t="s">
        <v>2410</v>
      </c>
      <c r="K940" s="292" t="s">
        <v>1073</v>
      </c>
      <c r="L940" s="292" t="s">
        <v>2420</v>
      </c>
      <c r="M940" s="70" t="str">
        <f t="shared" si="76"/>
        <v>INT-0204-25</v>
      </c>
      <c r="N940" s="293"/>
      <c r="O940" s="362"/>
    </row>
    <row r="941" spans="1:15" ht="25.5" x14ac:dyDescent="0.25">
      <c r="A941" s="289">
        <v>46021</v>
      </c>
      <c r="B941" s="285" t="s">
        <v>2570</v>
      </c>
      <c r="C941" s="286" t="s">
        <v>1066</v>
      </c>
      <c r="D941" s="287" t="s">
        <v>2560</v>
      </c>
      <c r="E941" s="288" t="s">
        <v>2561</v>
      </c>
      <c r="F941" s="290" t="s">
        <v>2449</v>
      </c>
      <c r="G941" s="289">
        <v>47004</v>
      </c>
      <c r="H941" s="290" t="s">
        <v>2587</v>
      </c>
      <c r="I941" s="287">
        <v>1</v>
      </c>
      <c r="J941" s="291" t="s">
        <v>2410</v>
      </c>
      <c r="K941" s="292" t="s">
        <v>1073</v>
      </c>
      <c r="L941" s="292" t="s">
        <v>2420</v>
      </c>
      <c r="M941" s="70" t="str">
        <f t="shared" si="76"/>
        <v>INT-0204-25</v>
      </c>
      <c r="N941" s="293"/>
      <c r="O941" s="362"/>
    </row>
    <row r="942" spans="1:15" ht="25.5" x14ac:dyDescent="0.25">
      <c r="A942" s="289">
        <v>46021</v>
      </c>
      <c r="B942" s="285" t="s">
        <v>2570</v>
      </c>
      <c r="C942" s="286" t="s">
        <v>1066</v>
      </c>
      <c r="D942" s="287" t="s">
        <v>2386</v>
      </c>
      <c r="E942" s="288" t="s">
        <v>2387</v>
      </c>
      <c r="F942" s="290" t="s">
        <v>2572</v>
      </c>
      <c r="G942" s="289">
        <v>46975</v>
      </c>
      <c r="H942" s="290" t="s">
        <v>2588</v>
      </c>
      <c r="I942" s="287">
        <v>7</v>
      </c>
      <c r="J942" s="291" t="s">
        <v>2410</v>
      </c>
      <c r="K942" s="292" t="s">
        <v>1073</v>
      </c>
      <c r="L942" s="292" t="s">
        <v>2420</v>
      </c>
      <c r="M942" s="70" t="str">
        <f t="shared" si="76"/>
        <v>INT-0204-25</v>
      </c>
      <c r="N942" s="293"/>
      <c r="O942" s="362"/>
    </row>
    <row r="943" spans="1:15" ht="25.5" x14ac:dyDescent="0.25">
      <c r="A943" s="289">
        <v>46021</v>
      </c>
      <c r="B943" s="285" t="s">
        <v>2570</v>
      </c>
      <c r="C943" s="286" t="s">
        <v>1066</v>
      </c>
      <c r="D943" s="287" t="s">
        <v>2560</v>
      </c>
      <c r="E943" s="288" t="s">
        <v>2561</v>
      </c>
      <c r="F943" s="290" t="s">
        <v>2574</v>
      </c>
      <c r="G943" s="289">
        <v>46979</v>
      </c>
      <c r="H943" s="290" t="s">
        <v>2589</v>
      </c>
      <c r="I943" s="287">
        <v>8</v>
      </c>
      <c r="J943" s="291" t="s">
        <v>2410</v>
      </c>
      <c r="K943" s="292" t="s">
        <v>1073</v>
      </c>
      <c r="L943" s="292" t="s">
        <v>2420</v>
      </c>
      <c r="M943" s="70" t="str">
        <f t="shared" si="76"/>
        <v>INT-0204-25</v>
      </c>
      <c r="N943" s="293"/>
      <c r="O943" s="362"/>
    </row>
    <row r="944" spans="1:15" ht="25.5" x14ac:dyDescent="0.25">
      <c r="A944" s="289">
        <v>46021</v>
      </c>
      <c r="B944" s="285" t="s">
        <v>2570</v>
      </c>
      <c r="C944" s="286" t="s">
        <v>1066</v>
      </c>
      <c r="D944" s="287" t="s">
        <v>2222</v>
      </c>
      <c r="E944" s="288" t="s">
        <v>2223</v>
      </c>
      <c r="F944" s="290" t="s">
        <v>2572</v>
      </c>
      <c r="G944" s="289">
        <v>46977</v>
      </c>
      <c r="H944" s="290" t="s">
        <v>2590</v>
      </c>
      <c r="I944" s="287">
        <v>5</v>
      </c>
      <c r="J944" s="291" t="s">
        <v>2410</v>
      </c>
      <c r="K944" s="292" t="s">
        <v>1073</v>
      </c>
      <c r="L944" s="292" t="s">
        <v>2420</v>
      </c>
      <c r="M944" s="70" t="str">
        <f t="shared" si="76"/>
        <v>INT-0204-25</v>
      </c>
      <c r="N944" s="293"/>
      <c r="O944" s="362"/>
    </row>
    <row r="945" spans="1:15" ht="25.5" x14ac:dyDescent="0.25">
      <c r="A945" s="289">
        <v>46021</v>
      </c>
      <c r="B945" s="285" t="s">
        <v>2570</v>
      </c>
      <c r="C945" s="286" t="s">
        <v>1066</v>
      </c>
      <c r="D945" s="287" t="s">
        <v>2440</v>
      </c>
      <c r="E945" s="288" t="s">
        <v>2441</v>
      </c>
      <c r="F945" s="290" t="s">
        <v>2575</v>
      </c>
      <c r="G945" s="289">
        <v>47031</v>
      </c>
      <c r="H945" s="290" t="s">
        <v>2591</v>
      </c>
      <c r="I945" s="287">
        <v>2</v>
      </c>
      <c r="J945" s="291" t="s">
        <v>2410</v>
      </c>
      <c r="K945" s="292" t="s">
        <v>1073</v>
      </c>
      <c r="L945" s="292" t="s">
        <v>2420</v>
      </c>
      <c r="M945" s="70" t="str">
        <f t="shared" si="76"/>
        <v>INT-0204-25</v>
      </c>
      <c r="N945" s="293"/>
      <c r="O945" s="362"/>
    </row>
    <row r="946" spans="1:15" ht="25.5" x14ac:dyDescent="0.25">
      <c r="A946" s="289">
        <v>46021</v>
      </c>
      <c r="B946" s="285" t="s">
        <v>2570</v>
      </c>
      <c r="C946" s="286" t="s">
        <v>1066</v>
      </c>
      <c r="D946" s="287" t="s">
        <v>2562</v>
      </c>
      <c r="E946" s="288" t="s">
        <v>2563</v>
      </c>
      <c r="F946" s="290" t="s">
        <v>2576</v>
      </c>
      <c r="G946" s="289">
        <v>46941</v>
      </c>
      <c r="H946" s="290" t="s">
        <v>2592</v>
      </c>
      <c r="I946" s="287">
        <v>3</v>
      </c>
      <c r="J946" s="291" t="s">
        <v>2410</v>
      </c>
      <c r="K946" s="292" t="s">
        <v>1073</v>
      </c>
      <c r="L946" s="292" t="s">
        <v>2420</v>
      </c>
      <c r="M946" s="70" t="str">
        <f t="shared" si="76"/>
        <v>INT-0204-25</v>
      </c>
      <c r="N946" s="293"/>
      <c r="O946" s="362"/>
    </row>
    <row r="947" spans="1:15" ht="25.5" x14ac:dyDescent="0.25">
      <c r="A947" s="289">
        <v>46021</v>
      </c>
      <c r="B947" s="285" t="s">
        <v>2570</v>
      </c>
      <c r="C947" s="286" t="s">
        <v>1066</v>
      </c>
      <c r="D947" s="287" t="s">
        <v>2386</v>
      </c>
      <c r="E947" s="288" t="s">
        <v>2387</v>
      </c>
      <c r="F947" s="290" t="s">
        <v>2408</v>
      </c>
      <c r="G947" s="289">
        <v>47006</v>
      </c>
      <c r="H947" s="290" t="s">
        <v>2593</v>
      </c>
      <c r="I947" s="287">
        <v>3</v>
      </c>
      <c r="J947" s="291" t="s">
        <v>2410</v>
      </c>
      <c r="K947" s="292" t="s">
        <v>1073</v>
      </c>
      <c r="L947" s="292" t="s">
        <v>2420</v>
      </c>
      <c r="M947" s="70" t="str">
        <f t="shared" si="76"/>
        <v>INT-0204-25</v>
      </c>
      <c r="N947" s="293"/>
      <c r="O947" s="362"/>
    </row>
    <row r="948" spans="1:15" ht="25.5" x14ac:dyDescent="0.25">
      <c r="A948" s="289">
        <v>46021</v>
      </c>
      <c r="B948" s="285" t="s">
        <v>2570</v>
      </c>
      <c r="C948" s="286" t="s">
        <v>1066</v>
      </c>
      <c r="D948" s="287" t="s">
        <v>2222</v>
      </c>
      <c r="E948" s="288" t="s">
        <v>2223</v>
      </c>
      <c r="F948" s="290" t="s">
        <v>2577</v>
      </c>
      <c r="G948" s="289">
        <v>46949</v>
      </c>
      <c r="H948" s="290" t="s">
        <v>2594</v>
      </c>
      <c r="I948" s="287">
        <v>5</v>
      </c>
      <c r="J948" s="291" t="s">
        <v>2410</v>
      </c>
      <c r="K948" s="292" t="s">
        <v>1073</v>
      </c>
      <c r="L948" s="292" t="s">
        <v>2420</v>
      </c>
      <c r="M948" s="70" t="str">
        <f t="shared" si="76"/>
        <v>INT-0204-25</v>
      </c>
      <c r="N948" s="293"/>
      <c r="O948" s="362"/>
    </row>
    <row r="949" spans="1:15" ht="25.5" x14ac:dyDescent="0.25">
      <c r="A949" s="289">
        <v>46021</v>
      </c>
      <c r="B949" s="285" t="s">
        <v>2570</v>
      </c>
      <c r="C949" s="286" t="s">
        <v>1066</v>
      </c>
      <c r="D949" s="287" t="s">
        <v>2560</v>
      </c>
      <c r="E949" s="288" t="s">
        <v>2561</v>
      </c>
      <c r="F949" s="290" t="s">
        <v>2445</v>
      </c>
      <c r="G949" s="289">
        <v>46970</v>
      </c>
      <c r="H949" s="290" t="s">
        <v>2595</v>
      </c>
      <c r="I949" s="287">
        <v>1</v>
      </c>
      <c r="J949" s="291" t="s">
        <v>2410</v>
      </c>
      <c r="K949" s="292" t="s">
        <v>1073</v>
      </c>
      <c r="L949" s="292" t="s">
        <v>2420</v>
      </c>
      <c r="M949" s="70" t="str">
        <f t="shared" si="76"/>
        <v>INT-0204-25</v>
      </c>
      <c r="N949" s="293"/>
      <c r="O949" s="362"/>
    </row>
    <row r="950" spans="1:15" ht="25.5" x14ac:dyDescent="0.25">
      <c r="A950" s="289">
        <v>46021</v>
      </c>
      <c r="B950" s="285" t="s">
        <v>2570</v>
      </c>
      <c r="C950" s="286" t="s">
        <v>1066</v>
      </c>
      <c r="D950" s="287" t="s">
        <v>2386</v>
      </c>
      <c r="E950" s="288" t="s">
        <v>2387</v>
      </c>
      <c r="F950" s="290" t="s">
        <v>2578</v>
      </c>
      <c r="G950" s="289">
        <v>46964</v>
      </c>
      <c r="H950" s="290" t="s">
        <v>2596</v>
      </c>
      <c r="I950" s="287">
        <v>4</v>
      </c>
      <c r="J950" s="291" t="s">
        <v>2410</v>
      </c>
      <c r="K950" s="292" t="s">
        <v>1073</v>
      </c>
      <c r="L950" s="292" t="s">
        <v>2420</v>
      </c>
      <c r="M950" s="70" t="str">
        <f t="shared" si="76"/>
        <v>INT-0204-25</v>
      </c>
      <c r="N950" s="293"/>
      <c r="O950" s="362"/>
    </row>
    <row r="951" spans="1:15" ht="25.5" x14ac:dyDescent="0.25">
      <c r="A951" s="289">
        <v>46021</v>
      </c>
      <c r="B951" s="285" t="s">
        <v>2570</v>
      </c>
      <c r="C951" s="286" t="s">
        <v>1066</v>
      </c>
      <c r="D951" s="287" t="s">
        <v>2222</v>
      </c>
      <c r="E951" s="288" t="s">
        <v>2223</v>
      </c>
      <c r="F951" s="290" t="s">
        <v>2572</v>
      </c>
      <c r="G951" s="289">
        <v>46977</v>
      </c>
      <c r="H951" s="290" t="s">
        <v>2597</v>
      </c>
      <c r="I951" s="287">
        <v>6</v>
      </c>
      <c r="J951" s="291" t="s">
        <v>2410</v>
      </c>
      <c r="K951" s="292" t="s">
        <v>1073</v>
      </c>
      <c r="L951" s="292" t="s">
        <v>2420</v>
      </c>
      <c r="M951" s="70" t="str">
        <f t="shared" si="76"/>
        <v>INT-0204-25</v>
      </c>
      <c r="N951" s="293"/>
      <c r="O951" s="362"/>
    </row>
    <row r="952" spans="1:15" ht="25.5" x14ac:dyDescent="0.25">
      <c r="A952" s="289">
        <v>46021</v>
      </c>
      <c r="B952" s="285" t="s">
        <v>2570</v>
      </c>
      <c r="C952" s="286" t="s">
        <v>1066</v>
      </c>
      <c r="D952" s="287" t="s">
        <v>2440</v>
      </c>
      <c r="E952" s="288" t="s">
        <v>2441</v>
      </c>
      <c r="F952" s="290" t="s">
        <v>2451</v>
      </c>
      <c r="G952" s="289">
        <v>47231</v>
      </c>
      <c r="H952" s="290" t="s">
        <v>2598</v>
      </c>
      <c r="I952" s="287">
        <v>4</v>
      </c>
      <c r="J952" s="291" t="s">
        <v>2410</v>
      </c>
      <c r="K952" s="292" t="s">
        <v>1073</v>
      </c>
      <c r="L952" s="292" t="s">
        <v>2420</v>
      </c>
      <c r="M952" s="70" t="str">
        <f t="shared" si="76"/>
        <v>INT-0204-25</v>
      </c>
      <c r="N952" s="293"/>
      <c r="O952" s="362"/>
    </row>
    <row r="953" spans="1:15" ht="25.5" x14ac:dyDescent="0.25">
      <c r="A953" s="289">
        <v>46021</v>
      </c>
      <c r="B953" s="285" t="s">
        <v>2570</v>
      </c>
      <c r="C953" s="286" t="s">
        <v>1066</v>
      </c>
      <c r="D953" s="287" t="s">
        <v>2442</v>
      </c>
      <c r="E953" s="288" t="s">
        <v>2441</v>
      </c>
      <c r="F953" s="290" t="s">
        <v>2482</v>
      </c>
      <c r="G953" s="289">
        <v>47299</v>
      </c>
      <c r="H953" s="290" t="s">
        <v>2599</v>
      </c>
      <c r="I953" s="287">
        <v>2</v>
      </c>
      <c r="J953" s="291" t="s">
        <v>2410</v>
      </c>
      <c r="K953" s="292" t="s">
        <v>1073</v>
      </c>
      <c r="L953" s="292" t="s">
        <v>2420</v>
      </c>
      <c r="M953" s="70" t="str">
        <f t="shared" si="76"/>
        <v>INT-0204-25</v>
      </c>
      <c r="N953" s="293"/>
      <c r="O953" s="362"/>
    </row>
    <row r="954" spans="1:15" ht="25.5" x14ac:dyDescent="0.25">
      <c r="A954" s="289">
        <v>46021</v>
      </c>
      <c r="B954" s="285" t="s">
        <v>2570</v>
      </c>
      <c r="C954" s="286" t="s">
        <v>1066</v>
      </c>
      <c r="D954" s="287" t="s">
        <v>2564</v>
      </c>
      <c r="E954" s="288" t="s">
        <v>2565</v>
      </c>
      <c r="F954" s="290" t="s">
        <v>2398</v>
      </c>
      <c r="G954" s="289">
        <v>46719</v>
      </c>
      <c r="H954" s="290" t="s">
        <v>2600</v>
      </c>
      <c r="I954" s="287">
        <v>1</v>
      </c>
      <c r="J954" s="291" t="s">
        <v>2410</v>
      </c>
      <c r="K954" s="292" t="s">
        <v>1073</v>
      </c>
      <c r="L954" s="292" t="s">
        <v>2420</v>
      </c>
      <c r="M954" s="70" t="str">
        <f t="shared" si="76"/>
        <v>INT-0204-25</v>
      </c>
      <c r="N954" s="293"/>
      <c r="O954" s="362"/>
    </row>
    <row r="955" spans="1:15" ht="25.5" x14ac:dyDescent="0.25">
      <c r="A955" s="289">
        <v>46021</v>
      </c>
      <c r="B955" s="285" t="s">
        <v>2570</v>
      </c>
      <c r="C955" s="286" t="s">
        <v>1066</v>
      </c>
      <c r="D955" s="287" t="s">
        <v>2566</v>
      </c>
      <c r="E955" s="288" t="s">
        <v>2567</v>
      </c>
      <c r="F955" s="290" t="s">
        <v>2579</v>
      </c>
      <c r="G955" s="289">
        <v>46686</v>
      </c>
      <c r="H955" s="290" t="s">
        <v>2601</v>
      </c>
      <c r="I955" s="287">
        <v>1</v>
      </c>
      <c r="J955" s="291" t="s">
        <v>2410</v>
      </c>
      <c r="K955" s="292" t="s">
        <v>1073</v>
      </c>
      <c r="L955" s="292" t="s">
        <v>2420</v>
      </c>
      <c r="M955" s="70" t="str">
        <f t="shared" si="76"/>
        <v>INT-0204-25</v>
      </c>
      <c r="N955" s="293"/>
      <c r="O955" s="362"/>
    </row>
    <row r="956" spans="1:15" ht="25.5" x14ac:dyDescent="0.25">
      <c r="A956" s="289">
        <v>46021</v>
      </c>
      <c r="B956" s="285" t="s">
        <v>2570</v>
      </c>
      <c r="C956" s="286" t="s">
        <v>1066</v>
      </c>
      <c r="D956" s="287" t="s">
        <v>2386</v>
      </c>
      <c r="E956" s="288" t="s">
        <v>2387</v>
      </c>
      <c r="F956" s="290" t="s">
        <v>2573</v>
      </c>
      <c r="G956" s="289">
        <v>46974</v>
      </c>
      <c r="H956" s="290" t="s">
        <v>2602</v>
      </c>
      <c r="I956" s="287">
        <v>3</v>
      </c>
      <c r="J956" s="291" t="s">
        <v>2410</v>
      </c>
      <c r="K956" s="292" t="s">
        <v>1073</v>
      </c>
      <c r="L956" s="292" t="s">
        <v>2420</v>
      </c>
      <c r="M956" s="70" t="str">
        <f t="shared" si="76"/>
        <v>INT-0204-25</v>
      </c>
      <c r="N956" s="293"/>
      <c r="O956" s="362"/>
    </row>
    <row r="957" spans="1:15" ht="25.5" x14ac:dyDescent="0.25">
      <c r="A957" s="289">
        <v>46021</v>
      </c>
      <c r="B957" s="285" t="s">
        <v>2570</v>
      </c>
      <c r="C957" s="286" t="s">
        <v>1066</v>
      </c>
      <c r="D957" s="287" t="s">
        <v>2560</v>
      </c>
      <c r="E957" s="288" t="s">
        <v>2561</v>
      </c>
      <c r="F957" s="290" t="s">
        <v>2572</v>
      </c>
      <c r="G957" s="289">
        <v>46972</v>
      </c>
      <c r="H957" s="290" t="s">
        <v>2603</v>
      </c>
      <c r="I957" s="287">
        <v>2</v>
      </c>
      <c r="J957" s="291" t="s">
        <v>2410</v>
      </c>
      <c r="K957" s="292" t="s">
        <v>1073</v>
      </c>
      <c r="L957" s="292" t="s">
        <v>2420</v>
      </c>
      <c r="M957" s="70" t="str">
        <f t="shared" si="76"/>
        <v>INT-0204-25</v>
      </c>
      <c r="N957" s="293"/>
      <c r="O957" s="362"/>
    </row>
    <row r="958" spans="1:15" ht="25.5" x14ac:dyDescent="0.25">
      <c r="A958" s="289">
        <v>46021</v>
      </c>
      <c r="B958" s="285" t="s">
        <v>2570</v>
      </c>
      <c r="C958" s="286" t="s">
        <v>1066</v>
      </c>
      <c r="D958" s="287" t="s">
        <v>2568</v>
      </c>
      <c r="E958" s="288" t="s">
        <v>2569</v>
      </c>
      <c r="F958" s="290" t="s">
        <v>2580</v>
      </c>
      <c r="G958" s="289">
        <v>46659</v>
      </c>
      <c r="H958" s="290" t="s">
        <v>2604</v>
      </c>
      <c r="I958" s="287">
        <v>1</v>
      </c>
      <c r="J958" s="291" t="s">
        <v>2410</v>
      </c>
      <c r="K958" s="292" t="s">
        <v>1073</v>
      </c>
      <c r="L958" s="292" t="s">
        <v>2420</v>
      </c>
      <c r="M958" s="70" t="str">
        <f t="shared" si="76"/>
        <v>INT-0204-25</v>
      </c>
      <c r="N958" s="293"/>
      <c r="O958" s="362"/>
    </row>
    <row r="959" spans="1:15" ht="25.5" x14ac:dyDescent="0.25">
      <c r="A959" s="289">
        <v>46021</v>
      </c>
      <c r="B959" s="285" t="s">
        <v>2570</v>
      </c>
      <c r="C959" s="286" t="s">
        <v>1066</v>
      </c>
      <c r="D959" s="287" t="s">
        <v>2226</v>
      </c>
      <c r="E959" s="288" t="s">
        <v>2227</v>
      </c>
      <c r="F959" s="290" t="s">
        <v>2581</v>
      </c>
      <c r="G959" s="289">
        <v>46552</v>
      </c>
      <c r="H959" s="290" t="s">
        <v>2605</v>
      </c>
      <c r="I959" s="287">
        <v>1</v>
      </c>
      <c r="J959" s="291" t="s">
        <v>2410</v>
      </c>
      <c r="K959" s="292" t="s">
        <v>1073</v>
      </c>
      <c r="L959" s="292" t="s">
        <v>2420</v>
      </c>
      <c r="M959" s="70" t="str">
        <f t="shared" si="76"/>
        <v>INT-0204-25</v>
      </c>
      <c r="N959" s="293"/>
      <c r="O959" s="362"/>
    </row>
    <row r="960" spans="1:15" ht="25.5" x14ac:dyDescent="0.25">
      <c r="A960" s="289">
        <v>46021</v>
      </c>
      <c r="B960" s="285" t="s">
        <v>2570</v>
      </c>
      <c r="C960" s="286" t="s">
        <v>1066</v>
      </c>
      <c r="D960" s="287" t="s">
        <v>2440</v>
      </c>
      <c r="E960" s="288" t="s">
        <v>2441</v>
      </c>
      <c r="F960" s="290" t="s">
        <v>2637</v>
      </c>
      <c r="G960" s="289">
        <v>47204</v>
      </c>
      <c r="H960" s="290" t="s">
        <v>2625</v>
      </c>
      <c r="I960" s="287">
        <v>2</v>
      </c>
      <c r="J960" s="291"/>
      <c r="K960" s="292"/>
      <c r="L960" s="292"/>
      <c r="M960" s="70" t="str">
        <f t="shared" si="76"/>
        <v>INT-0204-25</v>
      </c>
      <c r="N960" s="293"/>
      <c r="O960" s="362"/>
    </row>
    <row r="961" spans="1:15" ht="25.5" x14ac:dyDescent="0.25">
      <c r="A961" s="289">
        <v>46021</v>
      </c>
      <c r="B961" s="285" t="s">
        <v>2570</v>
      </c>
      <c r="C961" s="286" t="s">
        <v>1066</v>
      </c>
      <c r="D961" s="287" t="s">
        <v>2442</v>
      </c>
      <c r="E961" s="288" t="s">
        <v>2441</v>
      </c>
      <c r="F961" s="290" t="s">
        <v>2482</v>
      </c>
      <c r="G961" s="289">
        <v>47299</v>
      </c>
      <c r="H961" s="290" t="s">
        <v>2626</v>
      </c>
      <c r="I961" s="287">
        <v>2</v>
      </c>
      <c r="J961" s="291"/>
      <c r="K961" s="292"/>
      <c r="L961" s="292"/>
      <c r="M961" s="70" t="str">
        <f t="shared" si="76"/>
        <v>INT-0204-25</v>
      </c>
      <c r="N961" s="293"/>
      <c r="O961" s="362"/>
    </row>
    <row r="962" spans="1:15" ht="25.5" x14ac:dyDescent="0.25">
      <c r="A962" s="289">
        <v>46021</v>
      </c>
      <c r="B962" s="285" t="s">
        <v>2570</v>
      </c>
      <c r="C962" s="286" t="s">
        <v>1066</v>
      </c>
      <c r="D962" s="287" t="s">
        <v>2422</v>
      </c>
      <c r="E962" s="288" t="s">
        <v>2423</v>
      </c>
      <c r="F962" s="290" t="s">
        <v>2449</v>
      </c>
      <c r="G962" s="289">
        <v>47007</v>
      </c>
      <c r="H962" s="290" t="s">
        <v>2627</v>
      </c>
      <c r="I962" s="287">
        <v>1</v>
      </c>
      <c r="J962" s="291"/>
      <c r="K962" s="292"/>
      <c r="L962" s="292"/>
      <c r="M962" s="70" t="str">
        <f t="shared" si="76"/>
        <v>INT-0204-25</v>
      </c>
      <c r="N962" s="293"/>
      <c r="O962" s="362"/>
    </row>
    <row r="963" spans="1:15" ht="25.5" x14ac:dyDescent="0.25">
      <c r="A963" s="289">
        <v>46021</v>
      </c>
      <c r="B963" s="285" t="s">
        <v>2570</v>
      </c>
      <c r="C963" s="286" t="s">
        <v>1066</v>
      </c>
      <c r="D963" s="287" t="s">
        <v>1798</v>
      </c>
      <c r="E963" s="288" t="s">
        <v>1799</v>
      </c>
      <c r="F963" s="290" t="s">
        <v>2638</v>
      </c>
      <c r="G963" s="289">
        <v>46890</v>
      </c>
      <c r="H963" s="290" t="s">
        <v>2628</v>
      </c>
      <c r="I963" s="287">
        <v>2</v>
      </c>
      <c r="J963" s="291"/>
      <c r="K963" s="292"/>
      <c r="L963" s="292"/>
      <c r="M963" s="70" t="str">
        <f t="shared" si="76"/>
        <v>INT-0204-25</v>
      </c>
      <c r="N963" s="293"/>
      <c r="O963" s="362"/>
    </row>
    <row r="964" spans="1:15" ht="15" x14ac:dyDescent="0.25">
      <c r="A964" s="289">
        <v>46021</v>
      </c>
      <c r="B964" s="285" t="s">
        <v>2570</v>
      </c>
      <c r="C964" s="286" t="s">
        <v>1066</v>
      </c>
      <c r="D964" s="287" t="s">
        <v>2432</v>
      </c>
      <c r="E964" s="288" t="s">
        <v>2433</v>
      </c>
      <c r="F964" s="290" t="s">
        <v>2639</v>
      </c>
      <c r="G964" s="289">
        <v>46889</v>
      </c>
      <c r="H964" s="290" t="s">
        <v>2629</v>
      </c>
      <c r="I964" s="287">
        <v>1</v>
      </c>
      <c r="J964" s="291"/>
      <c r="K964" s="292"/>
      <c r="L964" s="292"/>
      <c r="M964" s="70" t="str">
        <f t="shared" si="76"/>
        <v>INT-0204-25</v>
      </c>
      <c r="N964" s="293"/>
      <c r="O964" s="362"/>
    </row>
    <row r="965" spans="1:15" ht="15" x14ac:dyDescent="0.25">
      <c r="A965" s="289">
        <v>46021</v>
      </c>
      <c r="B965" s="285" t="s">
        <v>2570</v>
      </c>
      <c r="C965" s="286" t="s">
        <v>1066</v>
      </c>
      <c r="D965" s="287" t="s">
        <v>2386</v>
      </c>
      <c r="E965" s="288" t="s">
        <v>2387</v>
      </c>
      <c r="F965" s="290" t="s">
        <v>2408</v>
      </c>
      <c r="G965" s="289">
        <v>47006</v>
      </c>
      <c r="H965" s="290" t="s">
        <v>2630</v>
      </c>
      <c r="I965" s="287">
        <v>2</v>
      </c>
      <c r="J965" s="291"/>
      <c r="K965" s="292"/>
      <c r="L965" s="292"/>
      <c r="M965" s="70" t="str">
        <f t="shared" si="76"/>
        <v>INT-0204-25</v>
      </c>
      <c r="N965" s="293"/>
      <c r="O965" s="362"/>
    </row>
    <row r="966" spans="1:15" ht="15" x14ac:dyDescent="0.25">
      <c r="A966" s="289">
        <v>46021</v>
      </c>
      <c r="B966" s="285" t="s">
        <v>2570</v>
      </c>
      <c r="C966" s="286" t="s">
        <v>1066</v>
      </c>
      <c r="D966" s="287" t="s">
        <v>2619</v>
      </c>
      <c r="E966" s="288" t="s">
        <v>2620</v>
      </c>
      <c r="F966" s="290" t="s">
        <v>2447</v>
      </c>
      <c r="G966" s="289">
        <v>46947</v>
      </c>
      <c r="H966" s="290" t="s">
        <v>2631</v>
      </c>
      <c r="I966" s="287">
        <v>2</v>
      </c>
      <c r="J966" s="291"/>
      <c r="K966" s="292"/>
      <c r="L966" s="292"/>
      <c r="M966" s="70" t="str">
        <f t="shared" si="76"/>
        <v>INT-0204-25</v>
      </c>
      <c r="N966" s="293"/>
      <c r="O966" s="362"/>
    </row>
    <row r="967" spans="1:15" ht="25.5" x14ac:dyDescent="0.25">
      <c r="A967" s="289">
        <v>46021</v>
      </c>
      <c r="B967" s="285" t="s">
        <v>2570</v>
      </c>
      <c r="C967" s="286" t="s">
        <v>1066</v>
      </c>
      <c r="D967" s="287" t="s">
        <v>2621</v>
      </c>
      <c r="E967" s="288" t="s">
        <v>2622</v>
      </c>
      <c r="F967" s="290" t="s">
        <v>2572</v>
      </c>
      <c r="G967" s="289">
        <v>46974</v>
      </c>
      <c r="H967" s="290" t="s">
        <v>2632</v>
      </c>
      <c r="I967" s="287">
        <v>1</v>
      </c>
      <c r="J967" s="291"/>
      <c r="K967" s="292"/>
      <c r="L967" s="292"/>
      <c r="M967" s="70" t="str">
        <f t="shared" si="76"/>
        <v>INT-0204-25</v>
      </c>
      <c r="N967" s="293"/>
      <c r="O967" s="362"/>
    </row>
    <row r="968" spans="1:15" ht="15" x14ac:dyDescent="0.25">
      <c r="A968" s="289">
        <v>46021</v>
      </c>
      <c r="B968" s="285" t="s">
        <v>2570</v>
      </c>
      <c r="C968" s="286" t="s">
        <v>1066</v>
      </c>
      <c r="D968" s="287" t="s">
        <v>2560</v>
      </c>
      <c r="E968" s="288" t="s">
        <v>2561</v>
      </c>
      <c r="F968" s="290" t="s">
        <v>2574</v>
      </c>
      <c r="G968" s="289">
        <v>46979</v>
      </c>
      <c r="H968" s="290" t="s">
        <v>2633</v>
      </c>
      <c r="I968" s="287">
        <v>2</v>
      </c>
      <c r="J968" s="291"/>
      <c r="K968" s="292"/>
      <c r="L968" s="292"/>
      <c r="M968" s="70" t="str">
        <f t="shared" si="76"/>
        <v>INT-0204-25</v>
      </c>
      <c r="N968" s="293"/>
      <c r="O968" s="362"/>
    </row>
    <row r="969" spans="1:15" ht="15" x14ac:dyDescent="0.25">
      <c r="A969" s="289">
        <v>46021</v>
      </c>
      <c r="B969" s="285" t="s">
        <v>2570</v>
      </c>
      <c r="C969" s="286" t="s">
        <v>1066</v>
      </c>
      <c r="D969" s="287" t="s">
        <v>2222</v>
      </c>
      <c r="E969" s="288" t="s">
        <v>2223</v>
      </c>
      <c r="F969" s="290" t="s">
        <v>2446</v>
      </c>
      <c r="G969" s="289">
        <v>46976</v>
      </c>
      <c r="H969" s="290" t="s">
        <v>2634</v>
      </c>
      <c r="I969" s="287">
        <v>7</v>
      </c>
      <c r="J969" s="291"/>
      <c r="K969" s="292"/>
      <c r="L969" s="292"/>
      <c r="M969" s="70" t="str">
        <f t="shared" si="76"/>
        <v>INT-0204-25</v>
      </c>
      <c r="N969" s="293"/>
      <c r="O969" s="362"/>
    </row>
    <row r="970" spans="1:15" ht="15" x14ac:dyDescent="0.25">
      <c r="A970" s="289">
        <v>46021</v>
      </c>
      <c r="B970" s="285" t="s">
        <v>2570</v>
      </c>
      <c r="C970" s="286" t="s">
        <v>1066</v>
      </c>
      <c r="D970" s="287" t="s">
        <v>2623</v>
      </c>
      <c r="E970" s="288" t="s">
        <v>2624</v>
      </c>
      <c r="F970" s="290" t="s">
        <v>2447</v>
      </c>
      <c r="G970" s="289">
        <v>46946</v>
      </c>
      <c r="H970" s="290" t="s">
        <v>2635</v>
      </c>
      <c r="I970" s="287">
        <v>1</v>
      </c>
      <c r="J970" s="291"/>
      <c r="K970" s="292"/>
      <c r="L970" s="292"/>
      <c r="M970" s="70" t="str">
        <f t="shared" si="76"/>
        <v>INT-0204-25</v>
      </c>
      <c r="N970" s="293"/>
      <c r="O970" s="362"/>
    </row>
    <row r="971" spans="1:15" ht="15" x14ac:dyDescent="0.25">
      <c r="A971" s="289">
        <v>46021</v>
      </c>
      <c r="B971" s="285" t="s">
        <v>2570</v>
      </c>
      <c r="C971" s="286" t="s">
        <v>1066</v>
      </c>
      <c r="D971" s="287" t="s">
        <v>2386</v>
      </c>
      <c r="E971" s="288" t="s">
        <v>2387</v>
      </c>
      <c r="F971" s="290" t="s">
        <v>2640</v>
      </c>
      <c r="G971" s="289">
        <v>46976</v>
      </c>
      <c r="H971" s="290" t="s">
        <v>2636</v>
      </c>
      <c r="I971" s="287">
        <v>1</v>
      </c>
      <c r="J971" s="291"/>
      <c r="K971" s="292"/>
      <c r="L971" s="292"/>
      <c r="M971" s="70" t="str">
        <f t="shared" si="76"/>
        <v>INT-0204-25</v>
      </c>
      <c r="N971" s="293"/>
      <c r="O971" s="362"/>
    </row>
    <row r="972" spans="1:15" ht="15" x14ac:dyDescent="0.25">
      <c r="A972" s="233">
        <v>46022</v>
      </c>
      <c r="B972" s="285" t="s">
        <v>2606</v>
      </c>
      <c r="C972" s="286" t="s">
        <v>547</v>
      </c>
      <c r="D972" s="287" t="s">
        <v>2607</v>
      </c>
      <c r="E972" s="288" t="s">
        <v>2608</v>
      </c>
      <c r="F972" s="290" t="s">
        <v>2609</v>
      </c>
      <c r="G972" s="289">
        <v>46923</v>
      </c>
      <c r="H972" s="290" t="s">
        <v>2610</v>
      </c>
      <c r="I972" s="287">
        <v>2</v>
      </c>
      <c r="J972" s="291" t="s">
        <v>2618</v>
      </c>
      <c r="K972" s="292" t="s">
        <v>1072</v>
      </c>
      <c r="L972" s="292"/>
      <c r="M972" s="70" t="str">
        <f t="shared" si="76"/>
        <v>INT-0205-25</v>
      </c>
      <c r="N972" s="293"/>
      <c r="O972" s="362"/>
    </row>
    <row r="973" spans="1:15" ht="15" x14ac:dyDescent="0.25">
      <c r="A973" s="233">
        <v>46022</v>
      </c>
      <c r="B973" s="285" t="s">
        <v>2606</v>
      </c>
      <c r="C973" s="286" t="s">
        <v>547</v>
      </c>
      <c r="D973" s="48" t="s">
        <v>2611</v>
      </c>
      <c r="E973" s="38" t="s">
        <v>2612</v>
      </c>
      <c r="F973" s="205"/>
      <c r="G973" s="233">
        <v>73050</v>
      </c>
      <c r="H973" s="205" t="s">
        <v>2613</v>
      </c>
      <c r="I973" s="48">
        <v>703</v>
      </c>
      <c r="J973" s="165" t="s">
        <v>2617</v>
      </c>
      <c r="K973" s="40" t="s">
        <v>1072</v>
      </c>
      <c r="L973" s="40"/>
      <c r="M973" s="70" t="str">
        <f t="shared" si="76"/>
        <v>INT-0205-25</v>
      </c>
      <c r="N973" s="356"/>
      <c r="O973" s="365"/>
    </row>
    <row r="974" spans="1:15" ht="15" x14ac:dyDescent="0.25">
      <c r="A974" s="233">
        <v>46022</v>
      </c>
      <c r="B974" s="285" t="s">
        <v>2606</v>
      </c>
      <c r="C974" s="286" t="s">
        <v>547</v>
      </c>
      <c r="D974" s="48" t="s">
        <v>2614</v>
      </c>
      <c r="E974" s="38" t="s">
        <v>2615</v>
      </c>
      <c r="F974" s="205"/>
      <c r="G974" s="233">
        <v>73050</v>
      </c>
      <c r="H974" s="205" t="s">
        <v>2616</v>
      </c>
      <c r="I974" s="48">
        <v>55</v>
      </c>
      <c r="J974" s="165" t="s">
        <v>2617</v>
      </c>
      <c r="K974" s="40" t="s">
        <v>1072</v>
      </c>
      <c r="L974" s="40"/>
      <c r="M974" s="70" t="str">
        <f t="shared" si="76"/>
        <v>INT-0205-25</v>
      </c>
      <c r="N974" s="356"/>
      <c r="O974" s="365"/>
    </row>
    <row r="975" spans="1:15" ht="15" x14ac:dyDescent="0.25">
      <c r="A975" s="233">
        <v>46022</v>
      </c>
      <c r="B975" s="285" t="s">
        <v>2641</v>
      </c>
      <c r="C975" s="286"/>
      <c r="D975" s="287" t="s">
        <v>2642</v>
      </c>
      <c r="E975" s="288" t="s">
        <v>2643</v>
      </c>
      <c r="F975" s="290" t="s">
        <v>2646</v>
      </c>
      <c r="G975" s="289">
        <v>46143</v>
      </c>
      <c r="H975" s="290" t="s">
        <v>2644</v>
      </c>
      <c r="I975" s="287">
        <v>1</v>
      </c>
      <c r="J975" s="291"/>
      <c r="K975" s="292"/>
      <c r="L975" s="292"/>
      <c r="M975" s="70" t="str">
        <f t="shared" si="76"/>
        <v>INT-0206-25</v>
      </c>
      <c r="N975" s="293"/>
      <c r="O975" s="362"/>
    </row>
    <row r="976" spans="1:15" ht="15" x14ac:dyDescent="0.25">
      <c r="A976" s="233">
        <v>46022</v>
      </c>
      <c r="B976" s="285" t="s">
        <v>2641</v>
      </c>
      <c r="C976" s="47"/>
      <c r="D976" s="48" t="s">
        <v>957</v>
      </c>
      <c r="E976" s="38" t="s">
        <v>1369</v>
      </c>
      <c r="F976" s="205" t="s">
        <v>959</v>
      </c>
      <c r="G976" s="233">
        <v>46119</v>
      </c>
      <c r="H976" s="205" t="s">
        <v>2645</v>
      </c>
      <c r="I976" s="48">
        <v>1</v>
      </c>
      <c r="J976" s="165"/>
      <c r="K976" s="40"/>
      <c r="L976" s="40"/>
      <c r="M976" s="70" t="str">
        <f t="shared" si="76"/>
        <v>INT-0206-25</v>
      </c>
      <c r="N976" s="356"/>
      <c r="O976" s="365"/>
    </row>
    <row r="977" spans="1:15" ht="15" x14ac:dyDescent="0.25">
      <c r="A977" s="289">
        <v>46027</v>
      </c>
      <c r="B977" s="285" t="s">
        <v>2647</v>
      </c>
      <c r="C977" s="286" t="s">
        <v>1066</v>
      </c>
      <c r="D977" s="287" t="s">
        <v>47</v>
      </c>
      <c r="E977" s="288" t="s">
        <v>48</v>
      </c>
      <c r="F977" s="290" t="s">
        <v>812</v>
      </c>
      <c r="G977" s="289">
        <v>46173</v>
      </c>
      <c r="H977" s="290" t="s">
        <v>2669</v>
      </c>
      <c r="I977" s="287">
        <v>1</v>
      </c>
      <c r="J977" s="291" t="s">
        <v>2648</v>
      </c>
      <c r="K977" s="292" t="s">
        <v>1073</v>
      </c>
      <c r="L977" s="292"/>
      <c r="M977" s="70" t="str">
        <f t="shared" si="76"/>
        <v>INT-0001-26</v>
      </c>
      <c r="N977" s="293"/>
      <c r="O977" s="362"/>
    </row>
    <row r="978" spans="1:15" ht="25.5" x14ac:dyDescent="0.25">
      <c r="A978" s="289">
        <v>46027</v>
      </c>
      <c r="B978" s="285" t="s">
        <v>2649</v>
      </c>
      <c r="C978" s="286" t="s">
        <v>1066</v>
      </c>
      <c r="D978" s="287" t="s">
        <v>2226</v>
      </c>
      <c r="E978" s="288" t="s">
        <v>2227</v>
      </c>
      <c r="F978" s="290" t="s">
        <v>2654</v>
      </c>
      <c r="G978" s="289">
        <v>46807</v>
      </c>
      <c r="H978" s="290" t="s">
        <v>2650</v>
      </c>
      <c r="I978" s="287">
        <v>6</v>
      </c>
      <c r="J978" s="291" t="s">
        <v>2658</v>
      </c>
      <c r="K978" s="292" t="s">
        <v>1089</v>
      </c>
      <c r="L978" s="292"/>
      <c r="M978" s="70" t="str">
        <f t="shared" si="76"/>
        <v>INT-0002-26</v>
      </c>
      <c r="N978" s="293"/>
      <c r="O978" s="362"/>
    </row>
    <row r="979" spans="1:15" ht="25.5" x14ac:dyDescent="0.25">
      <c r="A979" s="289">
        <v>46027</v>
      </c>
      <c r="B979" s="285" t="s">
        <v>2649</v>
      </c>
      <c r="C979" s="286" t="s">
        <v>1066</v>
      </c>
      <c r="D979" s="287" t="s">
        <v>2623</v>
      </c>
      <c r="E979" s="288" t="s">
        <v>2624</v>
      </c>
      <c r="F979" s="290" t="s">
        <v>2655</v>
      </c>
      <c r="G979" s="289">
        <v>46886</v>
      </c>
      <c r="H979" s="290" t="s">
        <v>2651</v>
      </c>
      <c r="I979" s="287">
        <v>10</v>
      </c>
      <c r="J979" s="291" t="s">
        <v>2658</v>
      </c>
      <c r="K979" s="292" t="s">
        <v>1089</v>
      </c>
      <c r="L979" s="292"/>
      <c r="M979" s="70" t="str">
        <f t="shared" si="76"/>
        <v>INT-0002-26</v>
      </c>
      <c r="N979" s="293"/>
      <c r="O979" s="362"/>
    </row>
    <row r="980" spans="1:15" ht="25.5" x14ac:dyDescent="0.25">
      <c r="A980" s="289">
        <v>46027</v>
      </c>
      <c r="B980" s="285" t="s">
        <v>2649</v>
      </c>
      <c r="C980" s="286" t="s">
        <v>1066</v>
      </c>
      <c r="D980" s="287" t="s">
        <v>2619</v>
      </c>
      <c r="E980" s="288" t="s">
        <v>2620</v>
      </c>
      <c r="F980" s="290" t="s">
        <v>2656</v>
      </c>
      <c r="G980" s="289">
        <v>46716</v>
      </c>
      <c r="H980" s="290" t="s">
        <v>2652</v>
      </c>
      <c r="I980" s="287">
        <v>3</v>
      </c>
      <c r="J980" s="291" t="s">
        <v>2658</v>
      </c>
      <c r="K980" s="292" t="s">
        <v>1089</v>
      </c>
      <c r="L980" s="292"/>
      <c r="M980" s="70" t="str">
        <f t="shared" si="76"/>
        <v>INT-0002-26</v>
      </c>
      <c r="N980" s="293"/>
      <c r="O980" s="362"/>
    </row>
    <row r="981" spans="1:15" ht="25.5" x14ac:dyDescent="0.25">
      <c r="A981" s="289">
        <v>46027</v>
      </c>
      <c r="B981" s="285" t="s">
        <v>2649</v>
      </c>
      <c r="C981" s="286" t="s">
        <v>1066</v>
      </c>
      <c r="D981" s="287" t="s">
        <v>2222</v>
      </c>
      <c r="E981" s="288" t="s">
        <v>2223</v>
      </c>
      <c r="F981" s="290" t="s">
        <v>2657</v>
      </c>
      <c r="G981" s="289">
        <v>46715</v>
      </c>
      <c r="H981" s="290" t="s">
        <v>2653</v>
      </c>
      <c r="I981" s="287">
        <v>45</v>
      </c>
      <c r="J981" s="291" t="s">
        <v>2658</v>
      </c>
      <c r="K981" s="292" t="s">
        <v>1089</v>
      </c>
      <c r="L981" s="292"/>
      <c r="M981" s="70" t="str">
        <f t="shared" si="76"/>
        <v>INT-0002-26</v>
      </c>
      <c r="N981" s="293"/>
      <c r="O981" s="362"/>
    </row>
    <row r="982" spans="1:15" ht="15" x14ac:dyDescent="0.25">
      <c r="A982" s="289">
        <v>46027</v>
      </c>
      <c r="B982" s="285" t="s">
        <v>2663</v>
      </c>
      <c r="C982" s="286"/>
      <c r="D982" s="287" t="s">
        <v>1374</v>
      </c>
      <c r="E982" s="288" t="s">
        <v>1373</v>
      </c>
      <c r="F982" s="290" t="s">
        <v>2336</v>
      </c>
      <c r="G982" s="289">
        <v>46066</v>
      </c>
      <c r="H982" s="290" t="s">
        <v>2661</v>
      </c>
      <c r="I982" s="287">
        <v>1</v>
      </c>
      <c r="J982" s="291" t="s">
        <v>2664</v>
      </c>
      <c r="K982" s="292" t="s">
        <v>1089</v>
      </c>
      <c r="L982" s="292"/>
      <c r="M982" s="70" t="str">
        <f t="shared" si="76"/>
        <v>INT-0003-26</v>
      </c>
      <c r="N982" s="293"/>
      <c r="O982" s="362"/>
    </row>
    <row r="983" spans="1:15" ht="15" x14ac:dyDescent="0.25">
      <c r="A983" s="289">
        <v>46027</v>
      </c>
      <c r="B983" s="285" t="s">
        <v>2663</v>
      </c>
      <c r="C983" s="286"/>
      <c r="D983" s="287" t="s">
        <v>2659</v>
      </c>
      <c r="E983" s="288" t="s">
        <v>2660</v>
      </c>
      <c r="F983" s="290" t="s">
        <v>2662</v>
      </c>
      <c r="G983" s="289">
        <v>46171</v>
      </c>
      <c r="H983" s="290" t="s">
        <v>2661</v>
      </c>
      <c r="I983" s="287">
        <v>1</v>
      </c>
      <c r="J983" s="291" t="s">
        <v>2664</v>
      </c>
      <c r="K983" s="292" t="s">
        <v>1089</v>
      </c>
      <c r="L983" s="292"/>
      <c r="M983" s="70" t="str">
        <f t="shared" si="76"/>
        <v>INT-0003-26</v>
      </c>
      <c r="N983" s="293"/>
      <c r="O983" s="362"/>
    </row>
    <row r="984" spans="1:15" ht="25.5" x14ac:dyDescent="0.25">
      <c r="A984" s="289">
        <v>46028</v>
      </c>
      <c r="B984" s="285" t="s">
        <v>2666</v>
      </c>
      <c r="C984" s="286" t="s">
        <v>1066</v>
      </c>
      <c r="D984" s="287" t="s">
        <v>2560</v>
      </c>
      <c r="E984" s="288" t="s">
        <v>2561</v>
      </c>
      <c r="F984" s="290" t="s">
        <v>2665</v>
      </c>
      <c r="G984" s="289">
        <v>47012</v>
      </c>
      <c r="H984" s="290" t="s">
        <v>2667</v>
      </c>
      <c r="I984" s="287">
        <v>9</v>
      </c>
      <c r="J984" s="291" t="s">
        <v>2658</v>
      </c>
      <c r="K984" s="292" t="s">
        <v>1089</v>
      </c>
      <c r="L984" s="292"/>
      <c r="M984" s="70" t="str">
        <f t="shared" si="76"/>
        <v>INT-0004-26</v>
      </c>
      <c r="N984" s="293"/>
      <c r="O984" s="362"/>
    </row>
    <row r="985" spans="1:15" ht="25.5" x14ac:dyDescent="0.25">
      <c r="A985" s="289">
        <v>46028</v>
      </c>
      <c r="B985" s="285" t="s">
        <v>2666</v>
      </c>
      <c r="C985" s="286" t="s">
        <v>1066</v>
      </c>
      <c r="D985" s="287" t="s">
        <v>2222</v>
      </c>
      <c r="E985" s="288" t="s">
        <v>2223</v>
      </c>
      <c r="F985" s="290" t="s">
        <v>2446</v>
      </c>
      <c r="G985" s="289">
        <v>46976</v>
      </c>
      <c r="H985" s="290" t="s">
        <v>2668</v>
      </c>
      <c r="I985" s="287">
        <v>2</v>
      </c>
      <c r="J985" s="291" t="s">
        <v>2658</v>
      </c>
      <c r="K985" s="292" t="s">
        <v>1089</v>
      </c>
      <c r="L985" s="292"/>
      <c r="M985" s="70" t="str">
        <f t="shared" si="76"/>
        <v>INT-0004-26</v>
      </c>
      <c r="N985" s="293"/>
      <c r="O985" s="362"/>
    </row>
    <row r="986" spans="1:15" ht="25.5" x14ac:dyDescent="0.25">
      <c r="A986" s="289">
        <v>46028</v>
      </c>
      <c r="B986" s="285" t="s">
        <v>2666</v>
      </c>
      <c r="C986" s="286" t="s">
        <v>1066</v>
      </c>
      <c r="D986" s="287" t="s">
        <v>2402</v>
      </c>
      <c r="E986" s="288" t="s">
        <v>2403</v>
      </c>
      <c r="F986" s="290" t="s">
        <v>2405</v>
      </c>
      <c r="G986" s="289">
        <v>46910</v>
      </c>
      <c r="H986" s="290" t="s">
        <v>2670</v>
      </c>
      <c r="I986" s="287">
        <v>1</v>
      </c>
      <c r="J986" s="291" t="s">
        <v>2658</v>
      </c>
      <c r="K986" s="292" t="s">
        <v>1089</v>
      </c>
      <c r="L986" s="292"/>
      <c r="M986" s="70" t="str">
        <f t="shared" si="76"/>
        <v>INT-0004-26</v>
      </c>
      <c r="N986" s="293"/>
      <c r="O986" s="362"/>
    </row>
    <row r="987" spans="1:15" ht="25.5" x14ac:dyDescent="0.25">
      <c r="A987" s="289">
        <v>46029</v>
      </c>
      <c r="B987" s="285" t="s">
        <v>2666</v>
      </c>
      <c r="C987" s="286" t="s">
        <v>1066</v>
      </c>
      <c r="D987" s="287" t="s">
        <v>2564</v>
      </c>
      <c r="E987" s="288" t="s">
        <v>2565</v>
      </c>
      <c r="F987" s="290" t="s">
        <v>2679</v>
      </c>
      <c r="G987" s="289">
        <v>46566</v>
      </c>
      <c r="H987" s="290" t="s">
        <v>2671</v>
      </c>
      <c r="I987" s="287">
        <v>1</v>
      </c>
      <c r="J987" s="291" t="s">
        <v>2658</v>
      </c>
      <c r="K987" s="292" t="s">
        <v>1089</v>
      </c>
      <c r="L987" s="292"/>
      <c r="M987" s="70" t="str">
        <f t="shared" si="76"/>
        <v>INT-0004-26</v>
      </c>
      <c r="N987" s="293"/>
      <c r="O987" s="362"/>
    </row>
    <row r="988" spans="1:15" ht="25.5" x14ac:dyDescent="0.25">
      <c r="A988" s="289">
        <v>46029</v>
      </c>
      <c r="B988" s="285" t="s">
        <v>2666</v>
      </c>
      <c r="C988" s="286" t="s">
        <v>1066</v>
      </c>
      <c r="D988" s="287" t="s">
        <v>2440</v>
      </c>
      <c r="E988" s="288" t="s">
        <v>2441</v>
      </c>
      <c r="F988" s="290" t="s">
        <v>2680</v>
      </c>
      <c r="G988" s="289">
        <v>47082</v>
      </c>
      <c r="H988" s="290" t="s">
        <v>2672</v>
      </c>
      <c r="I988" s="287">
        <v>3</v>
      </c>
      <c r="J988" s="291" t="s">
        <v>2658</v>
      </c>
      <c r="K988" s="292" t="s">
        <v>1089</v>
      </c>
      <c r="L988" s="292"/>
      <c r="M988" s="70" t="str">
        <f t="shared" si="76"/>
        <v>INT-0004-26</v>
      </c>
      <c r="N988" s="293"/>
      <c r="O988" s="362"/>
    </row>
    <row r="989" spans="1:15" ht="25.5" x14ac:dyDescent="0.25">
      <c r="A989" s="289">
        <v>46029</v>
      </c>
      <c r="B989" s="285" t="s">
        <v>2666</v>
      </c>
      <c r="C989" s="286" t="s">
        <v>1066</v>
      </c>
      <c r="D989" s="287" t="s">
        <v>2564</v>
      </c>
      <c r="E989" s="288" t="s">
        <v>2565</v>
      </c>
      <c r="F989" s="290" t="s">
        <v>2681</v>
      </c>
      <c r="G989" s="289">
        <v>46802</v>
      </c>
      <c r="H989" s="290" t="s">
        <v>2673</v>
      </c>
      <c r="I989" s="287">
        <v>4</v>
      </c>
      <c r="J989" s="291" t="s">
        <v>2658</v>
      </c>
      <c r="K989" s="292" t="s">
        <v>1089</v>
      </c>
      <c r="L989" s="292"/>
      <c r="M989" s="70" t="str">
        <f t="shared" si="76"/>
        <v>INT-0004-26</v>
      </c>
      <c r="N989" s="293"/>
      <c r="O989" s="362"/>
    </row>
    <row r="990" spans="1:15" ht="25.5" x14ac:dyDescent="0.25">
      <c r="A990" s="289">
        <v>46029</v>
      </c>
      <c r="B990" s="285" t="s">
        <v>2666</v>
      </c>
      <c r="C990" s="286" t="s">
        <v>1066</v>
      </c>
      <c r="D990" s="287" t="s">
        <v>2440</v>
      </c>
      <c r="E990" s="288" t="s">
        <v>2441</v>
      </c>
      <c r="F990" s="290" t="s">
        <v>2682</v>
      </c>
      <c r="G990" s="289">
        <v>47007</v>
      </c>
      <c r="H990" s="290" t="s">
        <v>2674</v>
      </c>
      <c r="I990" s="287">
        <v>1</v>
      </c>
      <c r="J990" s="291" t="s">
        <v>2658</v>
      </c>
      <c r="K990" s="292" t="s">
        <v>1089</v>
      </c>
      <c r="L990" s="292"/>
      <c r="M990" s="70" t="str">
        <f t="shared" si="76"/>
        <v>INT-0004-26</v>
      </c>
      <c r="N990" s="293"/>
      <c r="O990" s="362"/>
    </row>
    <row r="991" spans="1:15" ht="25.5" x14ac:dyDescent="0.25">
      <c r="A991" s="289">
        <v>46029</v>
      </c>
      <c r="B991" s="285" t="s">
        <v>2666</v>
      </c>
      <c r="C991" s="286" t="s">
        <v>1066</v>
      </c>
      <c r="D991" s="287" t="s">
        <v>2222</v>
      </c>
      <c r="E991" s="288" t="s">
        <v>2223</v>
      </c>
      <c r="F991" s="290" t="s">
        <v>2683</v>
      </c>
      <c r="G991" s="289">
        <v>46737</v>
      </c>
      <c r="H991" s="290" t="s">
        <v>2675</v>
      </c>
      <c r="I991" s="287">
        <v>4</v>
      </c>
      <c r="J991" s="291" t="s">
        <v>2658</v>
      </c>
      <c r="K991" s="292" t="s">
        <v>1089</v>
      </c>
      <c r="L991" s="292"/>
      <c r="M991" s="70" t="str">
        <f t="shared" si="76"/>
        <v>INT-0004-26</v>
      </c>
      <c r="N991" s="293"/>
      <c r="O991" s="362"/>
    </row>
    <row r="992" spans="1:15" ht="25.5" x14ac:dyDescent="0.25">
      <c r="A992" s="289">
        <v>46029</v>
      </c>
      <c r="B992" s="285" t="s">
        <v>2666</v>
      </c>
      <c r="C992" s="286" t="s">
        <v>1066</v>
      </c>
      <c r="D992" s="287" t="s">
        <v>2564</v>
      </c>
      <c r="E992" s="288" t="s">
        <v>2565</v>
      </c>
      <c r="F992" s="290" t="s">
        <v>2655</v>
      </c>
      <c r="G992" s="289">
        <v>46904</v>
      </c>
      <c r="H992" s="290" t="s">
        <v>2676</v>
      </c>
      <c r="I992" s="287">
        <v>8</v>
      </c>
      <c r="J992" s="291" t="s">
        <v>2658</v>
      </c>
      <c r="K992" s="292" t="s">
        <v>1089</v>
      </c>
      <c r="L992" s="292"/>
      <c r="M992" s="70" t="str">
        <f t="shared" si="76"/>
        <v>INT-0004-26</v>
      </c>
      <c r="N992" s="293"/>
      <c r="O992" s="362"/>
    </row>
    <row r="993" spans="1:15" ht="25.5" x14ac:dyDescent="0.25">
      <c r="A993" s="289">
        <v>46029</v>
      </c>
      <c r="B993" s="285" t="s">
        <v>2666</v>
      </c>
      <c r="C993" s="286" t="s">
        <v>1066</v>
      </c>
      <c r="D993" s="287" t="s">
        <v>2564</v>
      </c>
      <c r="E993" s="288" t="s">
        <v>2565</v>
      </c>
      <c r="F993" s="290" t="s">
        <v>1316</v>
      </c>
      <c r="G993" s="289">
        <v>46763</v>
      </c>
      <c r="H993" s="290" t="s">
        <v>2677</v>
      </c>
      <c r="I993" s="287">
        <v>1</v>
      </c>
      <c r="J993" s="291" t="s">
        <v>2658</v>
      </c>
      <c r="K993" s="292" t="s">
        <v>1089</v>
      </c>
      <c r="L993" s="292"/>
      <c r="M993" s="70" t="str">
        <f t="shared" si="76"/>
        <v>INT-0004-26</v>
      </c>
      <c r="N993" s="293"/>
      <c r="O993" s="362"/>
    </row>
    <row r="994" spans="1:15" ht="25.5" x14ac:dyDescent="0.25">
      <c r="A994" s="289">
        <v>46029</v>
      </c>
      <c r="B994" s="285" t="s">
        <v>2666</v>
      </c>
      <c r="C994" s="286" t="s">
        <v>1066</v>
      </c>
      <c r="D994" s="287" t="s">
        <v>2222</v>
      </c>
      <c r="E994" s="288" t="s">
        <v>2223</v>
      </c>
      <c r="F994" s="290" t="s">
        <v>2657</v>
      </c>
      <c r="G994" s="289">
        <v>46715</v>
      </c>
      <c r="H994" s="290" t="s">
        <v>2678</v>
      </c>
      <c r="I994" s="287">
        <v>1</v>
      </c>
      <c r="J994" s="291" t="s">
        <v>2658</v>
      </c>
      <c r="K994" s="292" t="s">
        <v>1089</v>
      </c>
      <c r="L994" s="292"/>
      <c r="M994" s="70" t="str">
        <f t="shared" si="76"/>
        <v>INT-0004-26</v>
      </c>
      <c r="N994" s="293"/>
      <c r="O994" s="362"/>
    </row>
    <row r="995" spans="1:15" ht="25.5" x14ac:dyDescent="0.25">
      <c r="A995" s="366">
        <v>46042</v>
      </c>
      <c r="B995" s="285" t="s">
        <v>2666</v>
      </c>
      <c r="C995" s="286" t="s">
        <v>1066</v>
      </c>
      <c r="D995" s="367" t="s">
        <v>2392</v>
      </c>
      <c r="E995" s="368" t="s">
        <v>2393</v>
      </c>
      <c r="F995" s="369" t="s">
        <v>2395</v>
      </c>
      <c r="G995" s="366">
        <v>46919</v>
      </c>
      <c r="H995" s="369" t="s">
        <v>2723</v>
      </c>
      <c r="I995" s="367">
        <v>2</v>
      </c>
      <c r="J995" s="291" t="s">
        <v>2658</v>
      </c>
      <c r="K995" s="292" t="s">
        <v>1089</v>
      </c>
      <c r="L995" s="370"/>
      <c r="M995" s="70" t="str">
        <f t="shared" ref="M995:M1002" si="77">HYPERLINK("P:\7. LONG HAU\7. CAC THEO DOI TRONG QUA TRINH\4. DEVIATION- INCIDENTS\THEO DÕI NỘI BỘ (NGOÀI BBSC)\"&amp;YEAR(A995)&amp;"\"&amp;B995,B995)</f>
        <v>INT-0004-26</v>
      </c>
      <c r="N995" s="371"/>
      <c r="O995" s="372"/>
    </row>
    <row r="996" spans="1:15" ht="25.5" x14ac:dyDescent="0.25">
      <c r="A996" s="366">
        <v>46042</v>
      </c>
      <c r="B996" s="285" t="s">
        <v>2666</v>
      </c>
      <c r="C996" s="286" t="s">
        <v>1066</v>
      </c>
      <c r="D996" s="367" t="s">
        <v>2222</v>
      </c>
      <c r="E996" s="368" t="s">
        <v>2223</v>
      </c>
      <c r="F996" s="369" t="s">
        <v>2395</v>
      </c>
      <c r="G996" s="366">
        <v>46919</v>
      </c>
      <c r="H996" s="369" t="s">
        <v>2724</v>
      </c>
      <c r="I996" s="367">
        <v>10</v>
      </c>
      <c r="J996" s="291" t="s">
        <v>2658</v>
      </c>
      <c r="K996" s="292" t="s">
        <v>1089</v>
      </c>
      <c r="L996" s="370"/>
      <c r="M996" s="70" t="str">
        <f t="shared" si="77"/>
        <v>INT-0004-26</v>
      </c>
      <c r="N996" s="371"/>
      <c r="O996" s="372"/>
    </row>
    <row r="997" spans="1:15" ht="25.5" x14ac:dyDescent="0.25">
      <c r="A997" s="366">
        <v>46042</v>
      </c>
      <c r="B997" s="285" t="s">
        <v>2666</v>
      </c>
      <c r="C997" s="286" t="s">
        <v>1066</v>
      </c>
      <c r="D997" s="367" t="s">
        <v>2222</v>
      </c>
      <c r="E997" s="368" t="s">
        <v>2223</v>
      </c>
      <c r="F997" s="369" t="s">
        <v>2395</v>
      </c>
      <c r="G997" s="366">
        <v>46919</v>
      </c>
      <c r="H997" s="369" t="s">
        <v>2725</v>
      </c>
      <c r="I997" s="367">
        <v>1</v>
      </c>
      <c r="J997" s="291" t="s">
        <v>2658</v>
      </c>
      <c r="K997" s="292" t="s">
        <v>1089</v>
      </c>
      <c r="L997" s="370"/>
      <c r="M997" s="70" t="str">
        <f t="shared" si="77"/>
        <v>INT-0004-26</v>
      </c>
      <c r="N997" s="371"/>
      <c r="O997" s="372"/>
    </row>
    <row r="998" spans="1:15" ht="25.5" x14ac:dyDescent="0.25">
      <c r="A998" s="366">
        <v>46042</v>
      </c>
      <c r="B998" s="285" t="s">
        <v>2666</v>
      </c>
      <c r="C998" s="286" t="s">
        <v>1066</v>
      </c>
      <c r="D998" s="367" t="s">
        <v>2722</v>
      </c>
      <c r="E998" s="368" t="s">
        <v>2731</v>
      </c>
      <c r="F998" s="369" t="s">
        <v>2654</v>
      </c>
      <c r="G998" s="366">
        <v>46789</v>
      </c>
      <c r="H998" s="369" t="s">
        <v>2726</v>
      </c>
      <c r="I998" s="367">
        <v>3</v>
      </c>
      <c r="J998" s="291" t="s">
        <v>2658</v>
      </c>
      <c r="K998" s="292" t="s">
        <v>1089</v>
      </c>
      <c r="L998" s="370"/>
      <c r="M998" s="70" t="str">
        <f t="shared" si="77"/>
        <v>INT-0004-26</v>
      </c>
      <c r="N998" s="371"/>
      <c r="O998" s="372"/>
    </row>
    <row r="999" spans="1:15" ht="25.5" x14ac:dyDescent="0.25">
      <c r="A999" s="366">
        <v>46042</v>
      </c>
      <c r="B999" s="285" t="s">
        <v>2666</v>
      </c>
      <c r="C999" s="286" t="s">
        <v>1066</v>
      </c>
      <c r="D999" s="367" t="s">
        <v>2560</v>
      </c>
      <c r="E999" s="368" t="s">
        <v>2561</v>
      </c>
      <c r="F999" s="369" t="s">
        <v>2732</v>
      </c>
      <c r="G999" s="366">
        <v>46563</v>
      </c>
      <c r="H999" s="369" t="s">
        <v>2727</v>
      </c>
      <c r="I999" s="367">
        <v>4</v>
      </c>
      <c r="J999" s="291" t="s">
        <v>2658</v>
      </c>
      <c r="K999" s="292" t="s">
        <v>1089</v>
      </c>
      <c r="L999" s="370"/>
      <c r="M999" s="70" t="str">
        <f t="shared" si="77"/>
        <v>INT-0004-26</v>
      </c>
      <c r="N999" s="371"/>
      <c r="O999" s="372"/>
    </row>
    <row r="1000" spans="1:15" ht="25.5" x14ac:dyDescent="0.25">
      <c r="A1000" s="366">
        <v>46042</v>
      </c>
      <c r="B1000" s="285" t="s">
        <v>2666</v>
      </c>
      <c r="C1000" s="286" t="s">
        <v>1066</v>
      </c>
      <c r="D1000" s="367" t="s">
        <v>2392</v>
      </c>
      <c r="E1000" s="368" t="s">
        <v>2393</v>
      </c>
      <c r="F1000" s="369" t="s">
        <v>2733</v>
      </c>
      <c r="G1000" s="366">
        <v>46738</v>
      </c>
      <c r="H1000" s="369" t="s">
        <v>2728</v>
      </c>
      <c r="I1000" s="367">
        <v>1</v>
      </c>
      <c r="J1000" s="291" t="s">
        <v>2658</v>
      </c>
      <c r="K1000" s="292" t="s">
        <v>1089</v>
      </c>
      <c r="L1000" s="370"/>
      <c r="M1000" s="70" t="str">
        <f t="shared" si="77"/>
        <v>INT-0004-26</v>
      </c>
      <c r="N1000" s="371"/>
      <c r="O1000" s="372"/>
    </row>
    <row r="1001" spans="1:15" ht="25.5" x14ac:dyDescent="0.25">
      <c r="A1001" s="366">
        <v>46042</v>
      </c>
      <c r="B1001" s="285" t="s">
        <v>2666</v>
      </c>
      <c r="C1001" s="286" t="s">
        <v>1066</v>
      </c>
      <c r="D1001" s="367" t="s">
        <v>2568</v>
      </c>
      <c r="E1001" s="368" t="s">
        <v>2569</v>
      </c>
      <c r="F1001" s="369" t="s">
        <v>2734</v>
      </c>
      <c r="G1001" s="366">
        <v>46665</v>
      </c>
      <c r="H1001" s="369" t="s">
        <v>2729</v>
      </c>
      <c r="I1001" s="367">
        <v>5</v>
      </c>
      <c r="J1001" s="291" t="s">
        <v>2658</v>
      </c>
      <c r="K1001" s="292" t="s">
        <v>1089</v>
      </c>
      <c r="L1001" s="370"/>
      <c r="M1001" s="70" t="str">
        <f t="shared" si="77"/>
        <v>INT-0004-26</v>
      </c>
      <c r="N1001" s="371"/>
      <c r="O1001" s="372"/>
    </row>
    <row r="1002" spans="1:15" ht="25.5" x14ac:dyDescent="0.25">
      <c r="A1002" s="366">
        <v>46042</v>
      </c>
      <c r="B1002" s="285" t="s">
        <v>2666</v>
      </c>
      <c r="C1002" s="286" t="s">
        <v>1066</v>
      </c>
      <c r="D1002" s="367" t="s">
        <v>2568</v>
      </c>
      <c r="E1002" s="368" t="s">
        <v>2569</v>
      </c>
      <c r="F1002" s="369" t="s">
        <v>2735</v>
      </c>
      <c r="G1002" s="366">
        <v>46579</v>
      </c>
      <c r="H1002" s="369" t="s">
        <v>2730</v>
      </c>
      <c r="I1002" s="367">
        <v>2</v>
      </c>
      <c r="J1002" s="291" t="s">
        <v>2658</v>
      </c>
      <c r="K1002" s="292" t="s">
        <v>1089</v>
      </c>
      <c r="L1002" s="370"/>
      <c r="M1002" s="70" t="str">
        <f t="shared" si="77"/>
        <v>INT-0004-26</v>
      </c>
      <c r="N1002" s="371"/>
      <c r="O1002" s="372"/>
    </row>
    <row r="1003" spans="1:15" ht="15" x14ac:dyDescent="0.25">
      <c r="A1003" s="289">
        <v>46031</v>
      </c>
      <c r="B1003" s="285" t="s">
        <v>2684</v>
      </c>
      <c r="C1003" s="286"/>
      <c r="D1003" s="287" t="s">
        <v>2685</v>
      </c>
      <c r="E1003" s="288" t="s">
        <v>2686</v>
      </c>
      <c r="F1003" s="290">
        <v>31540328</v>
      </c>
      <c r="G1003" s="289">
        <v>46387</v>
      </c>
      <c r="H1003" s="290" t="s">
        <v>2687</v>
      </c>
      <c r="I1003" s="287">
        <v>1</v>
      </c>
      <c r="J1003" s="291" t="s">
        <v>2688</v>
      </c>
      <c r="K1003" s="292" t="s">
        <v>1072</v>
      </c>
      <c r="L1003" s="292"/>
      <c r="M1003" s="70" t="str">
        <f t="shared" si="76"/>
        <v>INT-0005-26</v>
      </c>
      <c r="N1003" s="293"/>
      <c r="O1003" s="362"/>
    </row>
    <row r="1004" spans="1:15" ht="25.5" x14ac:dyDescent="0.25">
      <c r="A1004" s="289">
        <v>46035</v>
      </c>
      <c r="B1004" s="285" t="s">
        <v>2690</v>
      </c>
      <c r="C1004" s="286" t="s">
        <v>1066</v>
      </c>
      <c r="D1004" s="287" t="s">
        <v>36</v>
      </c>
      <c r="E1004" s="288" t="s">
        <v>37</v>
      </c>
      <c r="F1004" s="290" t="s">
        <v>364</v>
      </c>
      <c r="G1004" s="289">
        <v>46022</v>
      </c>
      <c r="H1004" s="290" t="s">
        <v>2694</v>
      </c>
      <c r="I1004" s="287">
        <v>14</v>
      </c>
      <c r="J1004" s="291" t="s">
        <v>2693</v>
      </c>
      <c r="K1004" s="292" t="s">
        <v>1072</v>
      </c>
      <c r="L1004" s="292"/>
      <c r="M1004" s="70" t="str">
        <f t="shared" si="76"/>
        <v>INT-0006-26</v>
      </c>
      <c r="N1004" s="293"/>
      <c r="O1004" s="362"/>
    </row>
    <row r="1005" spans="1:15" ht="25.5" x14ac:dyDescent="0.25">
      <c r="A1005" s="289">
        <v>46035</v>
      </c>
      <c r="B1005" s="285" t="s">
        <v>2690</v>
      </c>
      <c r="C1005" s="286" t="s">
        <v>1066</v>
      </c>
      <c r="D1005" s="287" t="s">
        <v>34</v>
      </c>
      <c r="E1005" s="288" t="s">
        <v>35</v>
      </c>
      <c r="F1005" s="290" t="s">
        <v>1094</v>
      </c>
      <c r="G1005" s="289">
        <v>46022</v>
      </c>
      <c r="H1005" s="290" t="s">
        <v>2695</v>
      </c>
      <c r="I1005" s="287">
        <v>10</v>
      </c>
      <c r="J1005" s="291" t="s">
        <v>2693</v>
      </c>
      <c r="K1005" s="292" t="s">
        <v>1072</v>
      </c>
      <c r="L1005" s="292"/>
      <c r="M1005" s="70" t="str">
        <f t="shared" si="76"/>
        <v>INT-0006-26</v>
      </c>
      <c r="N1005" s="293"/>
      <c r="O1005" s="362"/>
    </row>
    <row r="1006" spans="1:15" ht="25.5" x14ac:dyDescent="0.25">
      <c r="A1006" s="289">
        <v>46035</v>
      </c>
      <c r="B1006" s="285" t="s">
        <v>2690</v>
      </c>
      <c r="C1006" s="286" t="s">
        <v>1066</v>
      </c>
      <c r="D1006" s="287" t="s">
        <v>36</v>
      </c>
      <c r="E1006" s="288" t="s">
        <v>37</v>
      </c>
      <c r="F1006" s="290" t="s">
        <v>1955</v>
      </c>
      <c r="G1006" s="289">
        <v>46112</v>
      </c>
      <c r="H1006" s="290" t="s">
        <v>2696</v>
      </c>
      <c r="I1006" s="287">
        <v>4</v>
      </c>
      <c r="J1006" s="291" t="s">
        <v>2693</v>
      </c>
      <c r="K1006" s="292" t="s">
        <v>1073</v>
      </c>
      <c r="L1006" s="292"/>
      <c r="M1006" s="70" t="str">
        <f t="shared" si="76"/>
        <v>INT-0006-26</v>
      </c>
      <c r="N1006" s="293"/>
      <c r="O1006" s="362"/>
    </row>
    <row r="1007" spans="1:15" ht="25.5" x14ac:dyDescent="0.25">
      <c r="A1007" s="289">
        <v>46035</v>
      </c>
      <c r="B1007" s="285" t="s">
        <v>2690</v>
      </c>
      <c r="C1007" s="286" t="s">
        <v>1066</v>
      </c>
      <c r="D1007" s="287" t="s">
        <v>36</v>
      </c>
      <c r="E1007" s="288" t="s">
        <v>37</v>
      </c>
      <c r="F1007" s="290" t="s">
        <v>1868</v>
      </c>
      <c r="G1007" s="289">
        <v>46081</v>
      </c>
      <c r="H1007" s="290" t="s">
        <v>2697</v>
      </c>
      <c r="I1007" s="287">
        <v>8</v>
      </c>
      <c r="J1007" s="291" t="s">
        <v>2693</v>
      </c>
      <c r="K1007" s="292" t="s">
        <v>1073</v>
      </c>
      <c r="L1007" s="292"/>
      <c r="M1007" s="70" t="str">
        <f t="shared" si="76"/>
        <v>INT-0006-26</v>
      </c>
      <c r="N1007" s="293"/>
      <c r="O1007" s="362"/>
    </row>
    <row r="1008" spans="1:15" ht="25.5" x14ac:dyDescent="0.25">
      <c r="A1008" s="289">
        <v>46035</v>
      </c>
      <c r="B1008" s="285" t="s">
        <v>2690</v>
      </c>
      <c r="C1008" s="286" t="s">
        <v>1066</v>
      </c>
      <c r="D1008" s="287" t="s">
        <v>34</v>
      </c>
      <c r="E1008" s="288" t="s">
        <v>35</v>
      </c>
      <c r="F1008" s="290" t="s">
        <v>2327</v>
      </c>
      <c r="G1008" s="289">
        <v>46142</v>
      </c>
      <c r="H1008" s="290" t="s">
        <v>2698</v>
      </c>
      <c r="I1008" s="287">
        <v>4</v>
      </c>
      <c r="J1008" s="291" t="s">
        <v>2693</v>
      </c>
      <c r="K1008" s="292" t="s">
        <v>1073</v>
      </c>
      <c r="L1008" s="292"/>
      <c r="M1008" s="70" t="str">
        <f t="shared" ref="M1008:M1016" si="78">HYPERLINK("P:\7. LONG HAU\7. CAC THEO DOI TRONG QUA TRINH\4. DEVIATION- INCIDENTS\THEO DÕI NỘI BỘ (NGOÀI BBSC)\"&amp;YEAR(A1008)&amp;"\"&amp;B1008,B1008)</f>
        <v>INT-0006-26</v>
      </c>
      <c r="N1008" s="293"/>
      <c r="O1008" s="362"/>
    </row>
    <row r="1009" spans="1:15" ht="25.5" x14ac:dyDescent="0.25">
      <c r="A1009" s="289">
        <v>46035</v>
      </c>
      <c r="B1009" s="285" t="s">
        <v>2690</v>
      </c>
      <c r="C1009" s="286" t="s">
        <v>1066</v>
      </c>
      <c r="D1009" s="287" t="s">
        <v>1255</v>
      </c>
      <c r="E1009" s="288" t="s">
        <v>1256</v>
      </c>
      <c r="F1009" s="290" t="s">
        <v>1727</v>
      </c>
      <c r="G1009" s="289">
        <v>46053</v>
      </c>
      <c r="H1009" s="290" t="s">
        <v>2699</v>
      </c>
      <c r="I1009" s="287">
        <v>8</v>
      </c>
      <c r="J1009" s="291" t="s">
        <v>2693</v>
      </c>
      <c r="K1009" s="292" t="s">
        <v>1073</v>
      </c>
      <c r="L1009" s="292"/>
      <c r="M1009" s="70" t="str">
        <f t="shared" si="78"/>
        <v>INT-0006-26</v>
      </c>
      <c r="N1009" s="293"/>
      <c r="O1009" s="362"/>
    </row>
    <row r="1010" spans="1:15" ht="25.5" x14ac:dyDescent="0.25">
      <c r="A1010" s="289">
        <v>46035</v>
      </c>
      <c r="B1010" s="285" t="s">
        <v>2690</v>
      </c>
      <c r="C1010" s="286" t="s">
        <v>1066</v>
      </c>
      <c r="D1010" s="287" t="s">
        <v>1255</v>
      </c>
      <c r="E1010" s="288" t="s">
        <v>1256</v>
      </c>
      <c r="F1010" s="290" t="s">
        <v>1257</v>
      </c>
      <c r="G1010" s="289">
        <v>46053</v>
      </c>
      <c r="H1010" s="290" t="s">
        <v>2700</v>
      </c>
      <c r="I1010" s="287">
        <v>4</v>
      </c>
      <c r="J1010" s="291" t="s">
        <v>2693</v>
      </c>
      <c r="K1010" s="292" t="s">
        <v>1073</v>
      </c>
      <c r="L1010" s="292"/>
      <c r="M1010" s="70" t="str">
        <f t="shared" si="78"/>
        <v>INT-0006-26</v>
      </c>
      <c r="N1010" s="293"/>
      <c r="O1010" s="362"/>
    </row>
    <row r="1011" spans="1:15" ht="25.5" x14ac:dyDescent="0.25">
      <c r="A1011" s="289">
        <v>46035</v>
      </c>
      <c r="B1011" s="285" t="s">
        <v>2690</v>
      </c>
      <c r="C1011" s="286" t="s">
        <v>1066</v>
      </c>
      <c r="D1011" s="287" t="s">
        <v>1255</v>
      </c>
      <c r="E1011" s="288" t="s">
        <v>1256</v>
      </c>
      <c r="F1011" s="290" t="s">
        <v>1866</v>
      </c>
      <c r="G1011" s="289">
        <v>46053</v>
      </c>
      <c r="H1011" s="290" t="s">
        <v>2701</v>
      </c>
      <c r="I1011" s="287">
        <v>2</v>
      </c>
      <c r="J1011" s="291" t="s">
        <v>2693</v>
      </c>
      <c r="K1011" s="292" t="s">
        <v>1073</v>
      </c>
      <c r="L1011" s="292"/>
      <c r="M1011" s="70" t="str">
        <f t="shared" si="78"/>
        <v>INT-0006-26</v>
      </c>
      <c r="N1011" s="293"/>
      <c r="O1011" s="362"/>
    </row>
    <row r="1012" spans="1:15" ht="25.5" x14ac:dyDescent="0.25">
      <c r="A1012" s="289">
        <v>46035</v>
      </c>
      <c r="B1012" s="285" t="s">
        <v>2690</v>
      </c>
      <c r="C1012" s="286" t="s">
        <v>1066</v>
      </c>
      <c r="D1012" s="287" t="s">
        <v>1292</v>
      </c>
      <c r="E1012" s="288" t="s">
        <v>1293</v>
      </c>
      <c r="F1012" s="290" t="s">
        <v>2080</v>
      </c>
      <c r="G1012" s="289">
        <v>46173</v>
      </c>
      <c r="H1012" s="290" t="s">
        <v>2702</v>
      </c>
      <c r="I1012" s="287">
        <v>1</v>
      </c>
      <c r="J1012" s="291" t="s">
        <v>2693</v>
      </c>
      <c r="K1012" s="292" t="s">
        <v>1073</v>
      </c>
      <c r="L1012" s="292"/>
      <c r="M1012" s="70" t="str">
        <f t="shared" si="78"/>
        <v>INT-0006-26</v>
      </c>
      <c r="N1012" s="293"/>
      <c r="O1012" s="362"/>
    </row>
    <row r="1013" spans="1:15" ht="25.5" x14ac:dyDescent="0.25">
      <c r="A1013" s="289">
        <v>46035</v>
      </c>
      <c r="B1013" s="285" t="s">
        <v>2690</v>
      </c>
      <c r="C1013" s="286" t="s">
        <v>1066</v>
      </c>
      <c r="D1013" s="287" t="s">
        <v>1292</v>
      </c>
      <c r="E1013" s="288" t="s">
        <v>1293</v>
      </c>
      <c r="F1013" s="290" t="s">
        <v>2691</v>
      </c>
      <c r="G1013" s="289">
        <v>46265</v>
      </c>
      <c r="H1013" s="290" t="s">
        <v>2703</v>
      </c>
      <c r="I1013" s="287">
        <v>1</v>
      </c>
      <c r="J1013" s="291" t="s">
        <v>2693</v>
      </c>
      <c r="K1013" s="292" t="s">
        <v>1073</v>
      </c>
      <c r="L1013" s="292"/>
      <c r="M1013" s="70" t="str">
        <f t="shared" si="78"/>
        <v>INT-0006-26</v>
      </c>
      <c r="N1013" s="293"/>
      <c r="O1013" s="362"/>
    </row>
    <row r="1014" spans="1:15" ht="25.5" x14ac:dyDescent="0.25">
      <c r="A1014" s="289">
        <v>46035</v>
      </c>
      <c r="B1014" s="285" t="s">
        <v>2690</v>
      </c>
      <c r="C1014" s="286" t="s">
        <v>1066</v>
      </c>
      <c r="D1014" s="287" t="s">
        <v>1292</v>
      </c>
      <c r="E1014" s="288" t="s">
        <v>1293</v>
      </c>
      <c r="F1014" s="290" t="s">
        <v>2692</v>
      </c>
      <c r="G1014" s="289">
        <v>46173</v>
      </c>
      <c r="H1014" s="290" t="s">
        <v>2704</v>
      </c>
      <c r="I1014" s="287">
        <v>2</v>
      </c>
      <c r="J1014" s="291" t="s">
        <v>2693</v>
      </c>
      <c r="K1014" s="292" t="s">
        <v>1073</v>
      </c>
      <c r="L1014" s="292"/>
      <c r="M1014" s="70" t="str">
        <f t="shared" si="78"/>
        <v>INT-0006-26</v>
      </c>
      <c r="N1014" s="293"/>
      <c r="O1014" s="362"/>
    </row>
    <row r="1015" spans="1:15" ht="25.5" x14ac:dyDescent="0.25">
      <c r="A1015" s="289">
        <v>46035</v>
      </c>
      <c r="B1015" s="285" t="s">
        <v>2690</v>
      </c>
      <c r="C1015" s="286" t="s">
        <v>1066</v>
      </c>
      <c r="D1015" s="287" t="s">
        <v>1292</v>
      </c>
      <c r="E1015" s="288" t="s">
        <v>1293</v>
      </c>
      <c r="F1015" s="290" t="s">
        <v>2545</v>
      </c>
      <c r="G1015" s="289">
        <v>46142</v>
      </c>
      <c r="H1015" s="290" t="s">
        <v>2705</v>
      </c>
      <c r="I1015" s="287">
        <v>3</v>
      </c>
      <c r="J1015" s="291" t="s">
        <v>2693</v>
      </c>
      <c r="K1015" s="292" t="s">
        <v>1073</v>
      </c>
      <c r="L1015" s="292"/>
      <c r="M1015" s="70" t="str">
        <f t="shared" si="78"/>
        <v>INT-0006-26</v>
      </c>
      <c r="N1015" s="293"/>
      <c r="O1015" s="362"/>
    </row>
    <row r="1016" spans="1:15" ht="15" x14ac:dyDescent="0.25">
      <c r="A1016" s="289">
        <v>46035</v>
      </c>
      <c r="B1016" s="285" t="s">
        <v>2690</v>
      </c>
      <c r="C1016" s="47" t="s">
        <v>547</v>
      </c>
      <c r="D1016" s="48" t="s">
        <v>1276</v>
      </c>
      <c r="E1016" s="38" t="s">
        <v>303</v>
      </c>
      <c r="F1016" s="205" t="s">
        <v>1588</v>
      </c>
      <c r="G1016" s="233">
        <v>46774</v>
      </c>
      <c r="H1016" s="205" t="s">
        <v>2706</v>
      </c>
      <c r="I1016" s="48">
        <v>2</v>
      </c>
      <c r="J1016" s="165" t="s">
        <v>2707</v>
      </c>
      <c r="K1016" s="40" t="s">
        <v>1072</v>
      </c>
      <c r="L1016" s="40"/>
      <c r="M1016" s="70" t="str">
        <f t="shared" si="78"/>
        <v>INT-0006-26</v>
      </c>
      <c r="N1016" s="356"/>
      <c r="O1016" s="365"/>
    </row>
    <row r="1017" spans="1:15" ht="15" x14ac:dyDescent="0.25">
      <c r="A1017" s="289">
        <v>46035</v>
      </c>
      <c r="B1017" s="35" t="s">
        <v>2708</v>
      </c>
      <c r="C1017" s="47" t="s">
        <v>1066</v>
      </c>
      <c r="D1017" s="48" t="s">
        <v>2709</v>
      </c>
      <c r="E1017" s="38" t="s">
        <v>2710</v>
      </c>
      <c r="F1017" s="205" t="s">
        <v>2711</v>
      </c>
      <c r="G1017" s="233">
        <v>46112</v>
      </c>
      <c r="H1017" s="205" t="s">
        <v>2712</v>
      </c>
      <c r="I1017" s="48">
        <v>1117</v>
      </c>
      <c r="J1017" s="165" t="s">
        <v>1165</v>
      </c>
      <c r="K1017" s="40" t="s">
        <v>1072</v>
      </c>
      <c r="L1017" s="40"/>
      <c r="M1017" s="70" t="str">
        <f t="shared" ref="M1017:M1027" si="79">HYPERLINK("P:\7. LONG HAU\7. CAC THEO DOI TRONG QUA TRINH\4. DEVIATION- INCIDENTS\THEO DÕI NỘI BỘ (NGOÀI BBSC)\"&amp;YEAR(A1017)&amp;"\"&amp;B1017,B1017)</f>
        <v>INT-0007-26</v>
      </c>
      <c r="N1017" s="356"/>
      <c r="O1017" s="365"/>
    </row>
    <row r="1018" spans="1:15" ht="15" x14ac:dyDescent="0.25">
      <c r="A1018" s="289">
        <v>46035</v>
      </c>
      <c r="B1018" s="35" t="s">
        <v>2708</v>
      </c>
      <c r="C1018" s="47" t="s">
        <v>1066</v>
      </c>
      <c r="D1018" s="48" t="s">
        <v>2713</v>
      </c>
      <c r="E1018" s="38" t="s">
        <v>2714</v>
      </c>
      <c r="F1018" s="205" t="s">
        <v>2715</v>
      </c>
      <c r="G1018" s="233">
        <v>46093</v>
      </c>
      <c r="H1018" s="205" t="s">
        <v>2716</v>
      </c>
      <c r="I1018" s="48">
        <v>3</v>
      </c>
      <c r="J1018" s="165" t="s">
        <v>1165</v>
      </c>
      <c r="K1018" s="40" t="s">
        <v>1072</v>
      </c>
      <c r="L1018" s="40"/>
      <c r="M1018" s="70" t="str">
        <f t="shared" si="79"/>
        <v>INT-0007-26</v>
      </c>
      <c r="N1018" s="356"/>
      <c r="O1018" s="365"/>
    </row>
    <row r="1019" spans="1:15" ht="15" x14ac:dyDescent="0.25">
      <c r="A1019" s="366">
        <v>46049</v>
      </c>
      <c r="B1019" s="35" t="s">
        <v>2708</v>
      </c>
      <c r="C1019" s="47" t="s">
        <v>1066</v>
      </c>
      <c r="D1019" s="367" t="s">
        <v>2709</v>
      </c>
      <c r="E1019" s="368" t="s">
        <v>2710</v>
      </c>
      <c r="F1019" s="369" t="s">
        <v>2711</v>
      </c>
      <c r="G1019" s="366">
        <v>46112</v>
      </c>
      <c r="H1019" s="369" t="s">
        <v>2858</v>
      </c>
      <c r="I1019" s="367">
        <v>154</v>
      </c>
      <c r="J1019" s="165" t="s">
        <v>1165</v>
      </c>
      <c r="K1019" s="40" t="s">
        <v>1072</v>
      </c>
      <c r="L1019" s="370"/>
      <c r="M1019" s="376" t="str">
        <f>HYPERLINK("P:\7. LONG HAU\7. CAC THEO DOI TRONG QUA TRINH\4. DEVIATION- INCIDENTS\THEO DÕI NỘI BỘ (NGOÀI BBSC)\"&amp;YEAR(A1019)&amp;"\"&amp;B1019,B1019)</f>
        <v>INT-0007-26</v>
      </c>
      <c r="N1019" s="371"/>
      <c r="O1019" s="372"/>
    </row>
    <row r="1020" spans="1:15" ht="15" x14ac:dyDescent="0.25">
      <c r="A1020" s="366">
        <v>46049</v>
      </c>
      <c r="B1020" s="35" t="s">
        <v>2708</v>
      </c>
      <c r="C1020" s="47" t="s">
        <v>1066</v>
      </c>
      <c r="D1020" s="367" t="s">
        <v>2713</v>
      </c>
      <c r="E1020" s="368" t="s">
        <v>2714</v>
      </c>
      <c r="F1020" s="369" t="s">
        <v>2715</v>
      </c>
      <c r="G1020" s="366">
        <v>46093</v>
      </c>
      <c r="H1020" s="369" t="s">
        <v>2859</v>
      </c>
      <c r="I1020" s="367">
        <v>68</v>
      </c>
      <c r="J1020" s="165" t="s">
        <v>1165</v>
      </c>
      <c r="K1020" s="40" t="s">
        <v>1072</v>
      </c>
      <c r="L1020" s="370"/>
      <c r="M1020" s="376" t="str">
        <f t="shared" ref="M1020:M1023" si="80">HYPERLINK("P:\7. LONG HAU\7. CAC THEO DOI TRONG QUA TRINH\4. DEVIATION- INCIDENTS\THEO DÕI NỘI BỘ (NGOÀI BBSC)\"&amp;YEAR(A1020)&amp;"\"&amp;B1020,B1020)</f>
        <v>INT-0007-26</v>
      </c>
      <c r="N1020" s="371"/>
      <c r="O1020" s="372"/>
    </row>
    <row r="1021" spans="1:15" ht="15" x14ac:dyDescent="0.25">
      <c r="A1021" s="366">
        <v>46049</v>
      </c>
      <c r="B1021" s="35" t="s">
        <v>2708</v>
      </c>
      <c r="C1021" s="47" t="s">
        <v>1066</v>
      </c>
      <c r="D1021" s="367" t="s">
        <v>2709</v>
      </c>
      <c r="E1021" s="368" t="s">
        <v>2710</v>
      </c>
      <c r="F1021" s="369" t="s">
        <v>2860</v>
      </c>
      <c r="G1021" s="366">
        <v>46112</v>
      </c>
      <c r="H1021" s="369" t="s">
        <v>2861</v>
      </c>
      <c r="I1021" s="367">
        <v>18</v>
      </c>
      <c r="J1021" s="165" t="s">
        <v>1165</v>
      </c>
      <c r="K1021" s="40" t="s">
        <v>1072</v>
      </c>
      <c r="L1021" s="370"/>
      <c r="M1021" s="376" t="str">
        <f t="shared" si="80"/>
        <v>INT-0007-26</v>
      </c>
      <c r="N1021" s="371"/>
      <c r="O1021" s="372"/>
    </row>
    <row r="1022" spans="1:15" ht="15" x14ac:dyDescent="0.25">
      <c r="A1022" s="366">
        <v>46049</v>
      </c>
      <c r="B1022" s="35" t="s">
        <v>2708</v>
      </c>
      <c r="C1022" s="47" t="s">
        <v>1066</v>
      </c>
      <c r="D1022" s="367" t="s">
        <v>2713</v>
      </c>
      <c r="E1022" s="368" t="s">
        <v>2714</v>
      </c>
      <c r="F1022" s="369" t="s">
        <v>2715</v>
      </c>
      <c r="G1022" s="366">
        <v>46093</v>
      </c>
      <c r="H1022" s="369" t="s">
        <v>2862</v>
      </c>
      <c r="I1022" s="367">
        <v>59</v>
      </c>
      <c r="J1022" s="165" t="s">
        <v>1165</v>
      </c>
      <c r="K1022" s="40" t="s">
        <v>1072</v>
      </c>
      <c r="L1022" s="370"/>
      <c r="M1022" s="376" t="str">
        <f t="shared" si="80"/>
        <v>INT-0007-26</v>
      </c>
      <c r="N1022" s="371"/>
      <c r="O1022" s="372"/>
    </row>
    <row r="1023" spans="1:15" ht="15" x14ac:dyDescent="0.25">
      <c r="A1023" s="366">
        <v>46049</v>
      </c>
      <c r="B1023" s="35" t="s">
        <v>2708</v>
      </c>
      <c r="C1023" s="47" t="s">
        <v>1066</v>
      </c>
      <c r="D1023" s="367" t="s">
        <v>2709</v>
      </c>
      <c r="E1023" s="368" t="s">
        <v>2710</v>
      </c>
      <c r="F1023" s="369" t="s">
        <v>2711</v>
      </c>
      <c r="G1023" s="366">
        <v>46112</v>
      </c>
      <c r="H1023" s="369" t="s">
        <v>2863</v>
      </c>
      <c r="I1023" s="367">
        <v>150</v>
      </c>
      <c r="J1023" s="165" t="s">
        <v>1165</v>
      </c>
      <c r="K1023" s="40" t="s">
        <v>1072</v>
      </c>
      <c r="L1023" s="370"/>
      <c r="M1023" s="376" t="str">
        <f t="shared" si="80"/>
        <v>INT-0007-26</v>
      </c>
      <c r="N1023" s="371"/>
      <c r="O1023" s="372"/>
    </row>
    <row r="1024" spans="1:15" ht="15" x14ac:dyDescent="0.25">
      <c r="A1024" s="366">
        <v>46038</v>
      </c>
      <c r="B1024" s="373" t="s">
        <v>2717</v>
      </c>
      <c r="C1024" s="374" t="s">
        <v>1066</v>
      </c>
      <c r="D1024" s="367" t="s">
        <v>2718</v>
      </c>
      <c r="E1024" s="368" t="s">
        <v>2719</v>
      </c>
      <c r="F1024" s="369" t="s">
        <v>2720</v>
      </c>
      <c r="G1024" s="366">
        <v>46094</v>
      </c>
      <c r="H1024" s="369" t="s">
        <v>2721</v>
      </c>
      <c r="I1024" s="367">
        <v>5</v>
      </c>
      <c r="J1024" s="165" t="s">
        <v>1620</v>
      </c>
      <c r="K1024" s="370" t="s">
        <v>1073</v>
      </c>
      <c r="L1024" s="370"/>
      <c r="M1024" s="70" t="str">
        <f t="shared" si="79"/>
        <v>INT-0008-26</v>
      </c>
      <c r="N1024" s="371"/>
      <c r="O1024" s="372"/>
    </row>
    <row r="1025" spans="1:15" ht="15" x14ac:dyDescent="0.25">
      <c r="A1025" s="233">
        <v>46042</v>
      </c>
      <c r="B1025" s="35" t="s">
        <v>2739</v>
      </c>
      <c r="C1025" s="47" t="s">
        <v>1066</v>
      </c>
      <c r="D1025" s="48" t="s">
        <v>39</v>
      </c>
      <c r="E1025" s="38" t="s">
        <v>40</v>
      </c>
      <c r="F1025" s="205" t="s">
        <v>2736</v>
      </c>
      <c r="G1025" s="233">
        <v>46599</v>
      </c>
      <c r="H1025" s="205" t="s">
        <v>2737</v>
      </c>
      <c r="I1025" s="48">
        <v>1</v>
      </c>
      <c r="J1025" s="165" t="s">
        <v>2738</v>
      </c>
      <c r="K1025" s="40" t="s">
        <v>1073</v>
      </c>
      <c r="L1025" s="40"/>
      <c r="M1025" s="70" t="str">
        <f t="shared" si="79"/>
        <v>INT-0009-26</v>
      </c>
      <c r="N1025" s="356"/>
      <c r="O1025" s="365"/>
    </row>
    <row r="1026" spans="1:15" ht="38.25" x14ac:dyDescent="0.25">
      <c r="A1026" s="366">
        <v>46043</v>
      </c>
      <c r="B1026" s="373" t="s">
        <v>2740</v>
      </c>
      <c r="C1026" s="374" t="s">
        <v>1236</v>
      </c>
      <c r="D1026" s="367" t="s">
        <v>2115</v>
      </c>
      <c r="E1026" s="368" t="s">
        <v>2116</v>
      </c>
      <c r="F1026" s="369" t="s">
        <v>2741</v>
      </c>
      <c r="G1026" s="366">
        <v>47041</v>
      </c>
      <c r="H1026" s="369" t="s">
        <v>2742</v>
      </c>
      <c r="I1026" s="367">
        <v>2</v>
      </c>
      <c r="J1026" s="165" t="s">
        <v>2743</v>
      </c>
      <c r="K1026" s="370" t="s">
        <v>1073</v>
      </c>
      <c r="L1026" s="370"/>
      <c r="M1026" s="70" t="str">
        <f t="shared" si="79"/>
        <v>INT-0010-26</v>
      </c>
      <c r="N1026" s="371"/>
      <c r="O1026" s="372"/>
    </row>
    <row r="1027" spans="1:15" ht="25.5" x14ac:dyDescent="0.25">
      <c r="A1027" s="366">
        <v>46044</v>
      </c>
      <c r="B1027" s="373" t="s">
        <v>2744</v>
      </c>
      <c r="C1027" s="374"/>
      <c r="D1027" s="367" t="s">
        <v>1161</v>
      </c>
      <c r="E1027" s="368" t="s">
        <v>1162</v>
      </c>
      <c r="F1027" s="369" t="s">
        <v>2745</v>
      </c>
      <c r="G1027" s="366">
        <v>46418</v>
      </c>
      <c r="H1027" s="369" t="s">
        <v>2747</v>
      </c>
      <c r="I1027" s="367">
        <v>1</v>
      </c>
      <c r="J1027" s="375" t="s">
        <v>2746</v>
      </c>
      <c r="K1027" s="370" t="s">
        <v>1645</v>
      </c>
      <c r="L1027" s="370"/>
      <c r="M1027" s="70" t="str">
        <f t="shared" si="79"/>
        <v>INT-0011-26</v>
      </c>
      <c r="N1027" s="371"/>
      <c r="O1027" s="372"/>
    </row>
    <row r="1028" spans="1:15" ht="15" x14ac:dyDescent="0.25">
      <c r="A1028" s="366">
        <v>46048</v>
      </c>
      <c r="B1028" s="373" t="s">
        <v>2748</v>
      </c>
      <c r="C1028" s="374" t="s">
        <v>1066</v>
      </c>
      <c r="D1028" s="367" t="s">
        <v>2749</v>
      </c>
      <c r="E1028" s="368" t="s">
        <v>2750</v>
      </c>
      <c r="F1028" s="369" t="s">
        <v>2751</v>
      </c>
      <c r="G1028" s="366">
        <v>46085</v>
      </c>
      <c r="H1028" s="369" t="s">
        <v>2752</v>
      </c>
      <c r="I1028" s="367">
        <v>27</v>
      </c>
      <c r="J1028" s="165" t="s">
        <v>1151</v>
      </c>
      <c r="K1028" s="370" t="s">
        <v>1072</v>
      </c>
      <c r="L1028" s="370"/>
      <c r="M1028" s="70" t="str">
        <f>HYPERLINK("P:\7. LONG HAU\7. CAC THEO DOI TRONG QUA TRINH\4. DEVIATION- INCIDENTS\THEO DÕI NỘI BỘ (NGOÀI BBSC)\"&amp;YEAR(A1028)&amp;"\"&amp;B1028,B1028)</f>
        <v>INT-0012-26</v>
      </c>
      <c r="N1028" s="371"/>
      <c r="O1028" s="372"/>
    </row>
    <row r="1029" spans="1:15" ht="15" x14ac:dyDescent="0.25">
      <c r="A1029" s="366">
        <v>46048</v>
      </c>
      <c r="B1029" s="373" t="s">
        <v>2748</v>
      </c>
      <c r="C1029" s="374" t="s">
        <v>1066</v>
      </c>
      <c r="D1029" s="367" t="s">
        <v>2749</v>
      </c>
      <c r="E1029" s="368" t="s">
        <v>2750</v>
      </c>
      <c r="F1029" s="369" t="s">
        <v>2753</v>
      </c>
      <c r="G1029" s="366">
        <v>46085</v>
      </c>
      <c r="H1029" s="369" t="s">
        <v>2754</v>
      </c>
      <c r="I1029" s="367">
        <v>23</v>
      </c>
      <c r="J1029" s="165" t="s">
        <v>1151</v>
      </c>
      <c r="K1029" s="370" t="s">
        <v>1072</v>
      </c>
      <c r="L1029" s="370"/>
      <c r="M1029" s="70" t="str">
        <f>HYPERLINK("P:\7. LONG HAU\7. CAC THEO DOI TRONG QUA TRINH\4. DEVIATION- INCIDENTS\THEO DÕI NỘI BỘ (NGOÀI BBSC)\"&amp;YEAR(A1029)&amp;"\"&amp;B1029,B1029)</f>
        <v>INT-0012-26</v>
      </c>
      <c r="N1029" s="371"/>
      <c r="O1029" s="372"/>
    </row>
    <row r="1030" spans="1:15" ht="25.5" x14ac:dyDescent="0.25">
      <c r="A1030" s="366">
        <v>46049</v>
      </c>
      <c r="B1030" s="35" t="s">
        <v>2865</v>
      </c>
      <c r="C1030" s="374" t="s">
        <v>1066</v>
      </c>
      <c r="D1030" s="367" t="s">
        <v>44</v>
      </c>
      <c r="E1030" s="368" t="s">
        <v>45</v>
      </c>
      <c r="F1030" s="369" t="s">
        <v>1926</v>
      </c>
      <c r="G1030" s="366">
        <v>46326</v>
      </c>
      <c r="H1030" s="369" t="s">
        <v>2782</v>
      </c>
      <c r="I1030" s="367">
        <v>14</v>
      </c>
      <c r="J1030" s="375" t="s">
        <v>2857</v>
      </c>
      <c r="K1030" s="370" t="s">
        <v>1073</v>
      </c>
      <c r="L1030" s="370"/>
      <c r="M1030" s="70" t="str">
        <f t="shared" ref="M1030:M1061" si="81">HYPERLINK("P:\7. LONG HAU\7. CAC THEO DOI TRONG QUA TRINH\4. DEVIATION- INCIDENTS\THEO DÕI NỘI BỘ (NGOÀI BBSC)\"&amp;YEAR(A1030)&amp;"\"&amp;B1030,B1030)</f>
        <v>INT-0013-26</v>
      </c>
      <c r="N1030" s="371"/>
      <c r="O1030" s="372"/>
    </row>
    <row r="1031" spans="1:15" ht="25.5" x14ac:dyDescent="0.25">
      <c r="A1031" s="366">
        <v>46049</v>
      </c>
      <c r="B1031" s="35" t="s">
        <v>2865</v>
      </c>
      <c r="C1031" s="374" t="s">
        <v>1066</v>
      </c>
      <c r="D1031" s="367" t="s">
        <v>34</v>
      </c>
      <c r="E1031" s="368" t="s">
        <v>35</v>
      </c>
      <c r="F1031" s="369" t="s">
        <v>2288</v>
      </c>
      <c r="G1031" s="366">
        <v>46387</v>
      </c>
      <c r="H1031" s="369" t="s">
        <v>2783</v>
      </c>
      <c r="I1031" s="367">
        <v>21</v>
      </c>
      <c r="J1031" s="375" t="s">
        <v>2857</v>
      </c>
      <c r="K1031" s="370" t="s">
        <v>1073</v>
      </c>
      <c r="L1031" s="370"/>
      <c r="M1031" s="70" t="str">
        <f t="shared" si="81"/>
        <v>INT-0013-26</v>
      </c>
      <c r="N1031" s="371"/>
      <c r="O1031" s="372"/>
    </row>
    <row r="1032" spans="1:15" ht="25.5" x14ac:dyDescent="0.25">
      <c r="A1032" s="366">
        <v>46049</v>
      </c>
      <c r="B1032" s="35" t="s">
        <v>2865</v>
      </c>
      <c r="C1032" s="374" t="s">
        <v>1066</v>
      </c>
      <c r="D1032" s="367" t="s">
        <v>92</v>
      </c>
      <c r="E1032" s="368" t="s">
        <v>93</v>
      </c>
      <c r="F1032" s="369" t="s">
        <v>607</v>
      </c>
      <c r="G1032" s="366">
        <v>46477</v>
      </c>
      <c r="H1032" s="369" t="s">
        <v>2784</v>
      </c>
      <c r="I1032" s="367">
        <v>10</v>
      </c>
      <c r="J1032" s="375" t="s">
        <v>2857</v>
      </c>
      <c r="K1032" s="370" t="s">
        <v>1073</v>
      </c>
      <c r="L1032" s="370"/>
      <c r="M1032" s="70" t="str">
        <f t="shared" si="81"/>
        <v>INT-0013-26</v>
      </c>
      <c r="N1032" s="371"/>
      <c r="O1032" s="372"/>
    </row>
    <row r="1033" spans="1:15" ht="25.5" x14ac:dyDescent="0.25">
      <c r="A1033" s="366">
        <v>46049</v>
      </c>
      <c r="B1033" s="35" t="s">
        <v>2865</v>
      </c>
      <c r="C1033" s="374" t="s">
        <v>1066</v>
      </c>
      <c r="D1033" s="367" t="s">
        <v>1292</v>
      </c>
      <c r="E1033" s="368" t="s">
        <v>1293</v>
      </c>
      <c r="F1033" s="369" t="s">
        <v>1957</v>
      </c>
      <c r="G1033" s="366">
        <v>46081</v>
      </c>
      <c r="H1033" s="369" t="s">
        <v>2785</v>
      </c>
      <c r="I1033" s="367">
        <v>2</v>
      </c>
      <c r="J1033" s="375" t="s">
        <v>2857</v>
      </c>
      <c r="K1033" s="370" t="s">
        <v>1073</v>
      </c>
      <c r="L1033" s="370"/>
      <c r="M1033" s="70" t="str">
        <f t="shared" si="81"/>
        <v>INT-0013-26</v>
      </c>
      <c r="N1033" s="371"/>
      <c r="O1033" s="372"/>
    </row>
    <row r="1034" spans="1:15" ht="25.5" x14ac:dyDescent="0.25">
      <c r="A1034" s="366">
        <v>46049</v>
      </c>
      <c r="B1034" s="35" t="s">
        <v>2865</v>
      </c>
      <c r="C1034" s="374" t="s">
        <v>1066</v>
      </c>
      <c r="D1034" s="367" t="s">
        <v>36</v>
      </c>
      <c r="E1034" s="368" t="s">
        <v>37</v>
      </c>
      <c r="F1034" s="369" t="s">
        <v>2755</v>
      </c>
      <c r="G1034" s="366">
        <v>46265</v>
      </c>
      <c r="H1034" s="369" t="s">
        <v>2786</v>
      </c>
      <c r="I1034" s="367">
        <v>2</v>
      </c>
      <c r="J1034" s="375" t="s">
        <v>2857</v>
      </c>
      <c r="K1034" s="370" t="s">
        <v>1073</v>
      </c>
      <c r="L1034" s="370"/>
      <c r="M1034" s="70" t="str">
        <f t="shared" si="81"/>
        <v>INT-0013-26</v>
      </c>
      <c r="N1034" s="371"/>
      <c r="O1034" s="372"/>
    </row>
    <row r="1035" spans="1:15" ht="25.5" x14ac:dyDescent="0.25">
      <c r="A1035" s="366">
        <v>46049</v>
      </c>
      <c r="B1035" s="35" t="s">
        <v>2865</v>
      </c>
      <c r="C1035" s="374" t="s">
        <v>1066</v>
      </c>
      <c r="D1035" s="367" t="s">
        <v>1292</v>
      </c>
      <c r="E1035" s="368" t="s">
        <v>1293</v>
      </c>
      <c r="F1035" s="369" t="s">
        <v>2691</v>
      </c>
      <c r="G1035" s="366">
        <v>46265</v>
      </c>
      <c r="H1035" s="369" t="s">
        <v>2787</v>
      </c>
      <c r="I1035" s="367">
        <v>1</v>
      </c>
      <c r="J1035" s="375" t="s">
        <v>2857</v>
      </c>
      <c r="K1035" s="370" t="s">
        <v>1073</v>
      </c>
      <c r="L1035" s="370"/>
      <c r="M1035" s="70" t="str">
        <f t="shared" si="81"/>
        <v>INT-0013-26</v>
      </c>
      <c r="N1035" s="371"/>
      <c r="O1035" s="372"/>
    </row>
    <row r="1036" spans="1:15" ht="25.5" x14ac:dyDescent="0.25">
      <c r="A1036" s="366">
        <v>46049</v>
      </c>
      <c r="B1036" s="35" t="s">
        <v>2865</v>
      </c>
      <c r="C1036" s="374" t="s">
        <v>1066</v>
      </c>
      <c r="D1036" s="367" t="s">
        <v>36</v>
      </c>
      <c r="E1036" s="368" t="s">
        <v>37</v>
      </c>
      <c r="F1036" s="369" t="s">
        <v>2756</v>
      </c>
      <c r="G1036" s="366">
        <v>46265</v>
      </c>
      <c r="H1036" s="369" t="s">
        <v>2788</v>
      </c>
      <c r="I1036" s="367">
        <v>1</v>
      </c>
      <c r="J1036" s="375" t="s">
        <v>2857</v>
      </c>
      <c r="K1036" s="370" t="s">
        <v>1073</v>
      </c>
      <c r="L1036" s="370"/>
      <c r="M1036" s="70" t="str">
        <f t="shared" si="81"/>
        <v>INT-0013-26</v>
      </c>
      <c r="N1036" s="371"/>
      <c r="O1036" s="372"/>
    </row>
    <row r="1037" spans="1:15" ht="25.5" x14ac:dyDescent="0.25">
      <c r="A1037" s="366">
        <v>46049</v>
      </c>
      <c r="B1037" s="35" t="s">
        <v>2865</v>
      </c>
      <c r="C1037" s="374" t="s">
        <v>1066</v>
      </c>
      <c r="D1037" s="367" t="s">
        <v>92</v>
      </c>
      <c r="E1037" s="368" t="s">
        <v>93</v>
      </c>
      <c r="F1037" s="369" t="s">
        <v>1752</v>
      </c>
      <c r="G1037" s="366">
        <v>46599</v>
      </c>
      <c r="H1037" s="369" t="s">
        <v>2789</v>
      </c>
      <c r="I1037" s="367">
        <v>11</v>
      </c>
      <c r="J1037" s="375" t="s">
        <v>2857</v>
      </c>
      <c r="K1037" s="370" t="s">
        <v>1073</v>
      </c>
      <c r="L1037" s="370"/>
      <c r="M1037" s="70" t="str">
        <f t="shared" si="81"/>
        <v>INT-0013-26</v>
      </c>
      <c r="N1037" s="371"/>
      <c r="O1037" s="372"/>
    </row>
    <row r="1038" spans="1:15" ht="25.5" x14ac:dyDescent="0.25">
      <c r="A1038" s="366">
        <v>46049</v>
      </c>
      <c r="B1038" s="35" t="s">
        <v>2865</v>
      </c>
      <c r="C1038" s="374" t="s">
        <v>1066</v>
      </c>
      <c r="D1038" s="367" t="s">
        <v>1255</v>
      </c>
      <c r="E1038" s="368" t="s">
        <v>1256</v>
      </c>
      <c r="F1038" s="369" t="s">
        <v>1727</v>
      </c>
      <c r="G1038" s="366">
        <v>46053</v>
      </c>
      <c r="H1038" s="369" t="s">
        <v>2790</v>
      </c>
      <c r="I1038" s="367">
        <v>2</v>
      </c>
      <c r="J1038" s="375" t="s">
        <v>2857</v>
      </c>
      <c r="K1038" s="370" t="s">
        <v>1073</v>
      </c>
      <c r="L1038" s="370"/>
      <c r="M1038" s="70" t="str">
        <f t="shared" si="81"/>
        <v>INT-0013-26</v>
      </c>
      <c r="N1038" s="371"/>
      <c r="O1038" s="372"/>
    </row>
    <row r="1039" spans="1:15" ht="25.5" x14ac:dyDescent="0.25">
      <c r="A1039" s="366">
        <v>46049</v>
      </c>
      <c r="B1039" s="35" t="s">
        <v>2865</v>
      </c>
      <c r="C1039" s="374" t="s">
        <v>1066</v>
      </c>
      <c r="D1039" s="367" t="s">
        <v>34</v>
      </c>
      <c r="E1039" s="368" t="s">
        <v>35</v>
      </c>
      <c r="F1039" s="369" t="s">
        <v>1394</v>
      </c>
      <c r="G1039" s="366">
        <v>46234</v>
      </c>
      <c r="H1039" s="369" t="s">
        <v>2791</v>
      </c>
      <c r="I1039" s="367">
        <v>1</v>
      </c>
      <c r="J1039" s="375" t="s">
        <v>2857</v>
      </c>
      <c r="K1039" s="370" t="s">
        <v>1073</v>
      </c>
      <c r="L1039" s="370"/>
      <c r="M1039" s="70" t="str">
        <f t="shared" si="81"/>
        <v>INT-0013-26</v>
      </c>
      <c r="N1039" s="371"/>
      <c r="O1039" s="372"/>
    </row>
    <row r="1040" spans="1:15" ht="25.5" x14ac:dyDescent="0.25">
      <c r="A1040" s="366">
        <v>46049</v>
      </c>
      <c r="B1040" s="35" t="s">
        <v>2865</v>
      </c>
      <c r="C1040" s="374" t="s">
        <v>1066</v>
      </c>
      <c r="D1040" s="367" t="s">
        <v>92</v>
      </c>
      <c r="E1040" s="368" t="s">
        <v>93</v>
      </c>
      <c r="F1040" s="369" t="s">
        <v>2757</v>
      </c>
      <c r="G1040" s="366">
        <v>46142</v>
      </c>
      <c r="H1040" s="369" t="s">
        <v>2792</v>
      </c>
      <c r="I1040" s="367">
        <v>9</v>
      </c>
      <c r="J1040" s="375" t="s">
        <v>2857</v>
      </c>
      <c r="K1040" s="370" t="s">
        <v>1073</v>
      </c>
      <c r="L1040" s="370"/>
      <c r="M1040" s="70" t="str">
        <f t="shared" si="81"/>
        <v>INT-0013-26</v>
      </c>
      <c r="N1040" s="371"/>
      <c r="O1040" s="372"/>
    </row>
    <row r="1041" spans="1:15" ht="25.5" x14ac:dyDescent="0.25">
      <c r="A1041" s="366">
        <v>46049</v>
      </c>
      <c r="B1041" s="35" t="s">
        <v>2865</v>
      </c>
      <c r="C1041" s="374" t="s">
        <v>1066</v>
      </c>
      <c r="D1041" s="367" t="s">
        <v>92</v>
      </c>
      <c r="E1041" s="368" t="s">
        <v>93</v>
      </c>
      <c r="F1041" s="369" t="s">
        <v>605</v>
      </c>
      <c r="G1041" s="366">
        <v>46265</v>
      </c>
      <c r="H1041" s="369" t="s">
        <v>2793</v>
      </c>
      <c r="I1041" s="367">
        <v>17</v>
      </c>
      <c r="J1041" s="375" t="s">
        <v>2857</v>
      </c>
      <c r="K1041" s="370" t="s">
        <v>1073</v>
      </c>
      <c r="L1041" s="370"/>
      <c r="M1041" s="70" t="str">
        <f t="shared" si="81"/>
        <v>INT-0013-26</v>
      </c>
      <c r="N1041" s="371"/>
      <c r="O1041" s="372"/>
    </row>
    <row r="1042" spans="1:15" ht="25.5" x14ac:dyDescent="0.25">
      <c r="A1042" s="366">
        <v>46049</v>
      </c>
      <c r="B1042" s="35" t="s">
        <v>2865</v>
      </c>
      <c r="C1042" s="374" t="s">
        <v>1066</v>
      </c>
      <c r="D1042" s="367" t="s">
        <v>92</v>
      </c>
      <c r="E1042" s="368" t="s">
        <v>93</v>
      </c>
      <c r="F1042" s="369" t="s">
        <v>1629</v>
      </c>
      <c r="G1042" s="366">
        <v>46538</v>
      </c>
      <c r="H1042" s="369" t="s">
        <v>2794</v>
      </c>
      <c r="I1042" s="367">
        <v>23</v>
      </c>
      <c r="J1042" s="375" t="s">
        <v>2857</v>
      </c>
      <c r="K1042" s="370" t="s">
        <v>1073</v>
      </c>
      <c r="L1042" s="370"/>
      <c r="M1042" s="70" t="str">
        <f t="shared" si="81"/>
        <v>INT-0013-26</v>
      </c>
      <c r="N1042" s="371"/>
      <c r="O1042" s="372"/>
    </row>
    <row r="1043" spans="1:15" ht="25.5" x14ac:dyDescent="0.25">
      <c r="A1043" s="366">
        <v>46049</v>
      </c>
      <c r="B1043" s="35" t="s">
        <v>2865</v>
      </c>
      <c r="C1043" s="374" t="s">
        <v>1066</v>
      </c>
      <c r="D1043" s="367" t="s">
        <v>44</v>
      </c>
      <c r="E1043" s="368" t="s">
        <v>45</v>
      </c>
      <c r="F1043" s="369" t="s">
        <v>1854</v>
      </c>
      <c r="G1043" s="366">
        <v>46356</v>
      </c>
      <c r="H1043" s="369" t="s">
        <v>2795</v>
      </c>
      <c r="I1043" s="367">
        <v>14</v>
      </c>
      <c r="J1043" s="375" t="s">
        <v>2857</v>
      </c>
      <c r="K1043" s="370" t="s">
        <v>1073</v>
      </c>
      <c r="L1043" s="370"/>
      <c r="M1043" s="70" t="str">
        <f t="shared" si="81"/>
        <v>INT-0013-26</v>
      </c>
      <c r="N1043" s="371"/>
      <c r="O1043" s="372"/>
    </row>
    <row r="1044" spans="1:15" ht="25.5" x14ac:dyDescent="0.25">
      <c r="A1044" s="366">
        <v>46049</v>
      </c>
      <c r="B1044" s="35" t="s">
        <v>2865</v>
      </c>
      <c r="C1044" s="374" t="s">
        <v>1066</v>
      </c>
      <c r="D1044" s="367" t="s">
        <v>92</v>
      </c>
      <c r="E1044" s="368" t="s">
        <v>93</v>
      </c>
      <c r="F1044" s="369" t="s">
        <v>1253</v>
      </c>
      <c r="G1044" s="366">
        <v>46173</v>
      </c>
      <c r="H1044" s="369" t="s">
        <v>2796</v>
      </c>
      <c r="I1044" s="367">
        <v>7</v>
      </c>
      <c r="J1044" s="375" t="s">
        <v>2857</v>
      </c>
      <c r="K1044" s="370" t="s">
        <v>1073</v>
      </c>
      <c r="L1044" s="370"/>
      <c r="M1044" s="70" t="str">
        <f t="shared" si="81"/>
        <v>INT-0013-26</v>
      </c>
      <c r="N1044" s="371"/>
      <c r="O1044" s="372"/>
    </row>
    <row r="1045" spans="1:15" ht="25.5" x14ac:dyDescent="0.25">
      <c r="A1045" s="366">
        <v>46049</v>
      </c>
      <c r="B1045" s="35" t="s">
        <v>2865</v>
      </c>
      <c r="C1045" s="374" t="s">
        <v>1066</v>
      </c>
      <c r="D1045" s="367" t="s">
        <v>39</v>
      </c>
      <c r="E1045" s="368" t="s">
        <v>40</v>
      </c>
      <c r="F1045" s="369" t="s">
        <v>2028</v>
      </c>
      <c r="G1045" s="366">
        <v>46418</v>
      </c>
      <c r="H1045" s="369" t="s">
        <v>2797</v>
      </c>
      <c r="I1045" s="367">
        <v>2</v>
      </c>
      <c r="J1045" s="375" t="s">
        <v>2857</v>
      </c>
      <c r="K1045" s="370" t="s">
        <v>1073</v>
      </c>
      <c r="L1045" s="370"/>
      <c r="M1045" s="70" t="str">
        <f t="shared" si="81"/>
        <v>INT-0013-26</v>
      </c>
      <c r="N1045" s="371"/>
      <c r="O1045" s="372"/>
    </row>
    <row r="1046" spans="1:15" ht="25.5" x14ac:dyDescent="0.25">
      <c r="A1046" s="366">
        <v>46049</v>
      </c>
      <c r="B1046" s="35" t="s">
        <v>2865</v>
      </c>
      <c r="C1046" s="374" t="s">
        <v>1066</v>
      </c>
      <c r="D1046" s="367" t="s">
        <v>92</v>
      </c>
      <c r="E1046" s="368" t="s">
        <v>93</v>
      </c>
      <c r="F1046" s="369" t="s">
        <v>326</v>
      </c>
      <c r="G1046" s="366">
        <v>46418</v>
      </c>
      <c r="H1046" s="369" t="s">
        <v>2798</v>
      </c>
      <c r="I1046" s="367">
        <v>13</v>
      </c>
      <c r="J1046" s="375" t="s">
        <v>2857</v>
      </c>
      <c r="K1046" s="370" t="s">
        <v>1073</v>
      </c>
      <c r="L1046" s="370"/>
      <c r="M1046" s="70" t="str">
        <f t="shared" si="81"/>
        <v>INT-0013-26</v>
      </c>
      <c r="N1046" s="371"/>
      <c r="O1046" s="372"/>
    </row>
    <row r="1047" spans="1:15" ht="25.5" x14ac:dyDescent="0.25">
      <c r="A1047" s="366">
        <v>46049</v>
      </c>
      <c r="B1047" s="35" t="s">
        <v>2865</v>
      </c>
      <c r="C1047" s="374" t="s">
        <v>1066</v>
      </c>
      <c r="D1047" s="367" t="s">
        <v>1836</v>
      </c>
      <c r="E1047" s="368" t="s">
        <v>1837</v>
      </c>
      <c r="F1047" s="369" t="s">
        <v>1839</v>
      </c>
      <c r="G1047" s="366">
        <v>46234</v>
      </c>
      <c r="H1047" s="369" t="s">
        <v>2799</v>
      </c>
      <c r="I1047" s="367">
        <v>96</v>
      </c>
      <c r="J1047" s="375" t="s">
        <v>2857</v>
      </c>
      <c r="K1047" s="370" t="s">
        <v>1073</v>
      </c>
      <c r="L1047" s="370"/>
      <c r="M1047" s="70" t="str">
        <f t="shared" si="81"/>
        <v>INT-0013-26</v>
      </c>
      <c r="N1047" s="371"/>
      <c r="O1047" s="372"/>
    </row>
    <row r="1048" spans="1:15" ht="25.5" x14ac:dyDescent="0.25">
      <c r="A1048" s="366">
        <v>46049</v>
      </c>
      <c r="B1048" s="35" t="s">
        <v>2865</v>
      </c>
      <c r="C1048" s="374" t="s">
        <v>1066</v>
      </c>
      <c r="D1048" s="367" t="s">
        <v>36</v>
      </c>
      <c r="E1048" s="368" t="s">
        <v>37</v>
      </c>
      <c r="F1048" s="369" t="s">
        <v>1962</v>
      </c>
      <c r="G1048" s="366">
        <v>46142</v>
      </c>
      <c r="H1048" s="369" t="s">
        <v>2800</v>
      </c>
      <c r="I1048" s="367">
        <v>43</v>
      </c>
      <c r="J1048" s="375" t="s">
        <v>2857</v>
      </c>
      <c r="K1048" s="370" t="s">
        <v>1073</v>
      </c>
      <c r="L1048" s="370"/>
      <c r="M1048" s="70" t="str">
        <f t="shared" si="81"/>
        <v>INT-0013-26</v>
      </c>
      <c r="N1048" s="371"/>
      <c r="O1048" s="372"/>
    </row>
    <row r="1049" spans="1:15" ht="25.5" x14ac:dyDescent="0.25">
      <c r="A1049" s="366">
        <v>46049</v>
      </c>
      <c r="B1049" s="35" t="s">
        <v>2865</v>
      </c>
      <c r="C1049" s="374" t="s">
        <v>1066</v>
      </c>
      <c r="D1049" s="367" t="s">
        <v>42</v>
      </c>
      <c r="E1049" s="368" t="s">
        <v>43</v>
      </c>
      <c r="F1049" s="369" t="s">
        <v>1427</v>
      </c>
      <c r="G1049" s="366">
        <v>46081</v>
      </c>
      <c r="H1049" s="369" t="s">
        <v>2801</v>
      </c>
      <c r="I1049" s="367">
        <v>6</v>
      </c>
      <c r="J1049" s="375" t="s">
        <v>2857</v>
      </c>
      <c r="K1049" s="370" t="s">
        <v>1073</v>
      </c>
      <c r="L1049" s="370"/>
      <c r="M1049" s="70" t="str">
        <f t="shared" si="81"/>
        <v>INT-0013-26</v>
      </c>
      <c r="N1049" s="371"/>
      <c r="O1049" s="372"/>
    </row>
    <row r="1050" spans="1:15" ht="25.5" x14ac:dyDescent="0.25">
      <c r="A1050" s="366">
        <v>46049</v>
      </c>
      <c r="B1050" s="35" t="s">
        <v>2865</v>
      </c>
      <c r="C1050" s="374" t="s">
        <v>1066</v>
      </c>
      <c r="D1050" s="367" t="s">
        <v>36</v>
      </c>
      <c r="E1050" s="368" t="s">
        <v>37</v>
      </c>
      <c r="F1050" s="369" t="s">
        <v>2758</v>
      </c>
      <c r="G1050" s="366">
        <v>46295</v>
      </c>
      <c r="H1050" s="369" t="s">
        <v>2802</v>
      </c>
      <c r="I1050" s="367">
        <v>3</v>
      </c>
      <c r="J1050" s="375" t="s">
        <v>2857</v>
      </c>
      <c r="K1050" s="370" t="s">
        <v>1073</v>
      </c>
      <c r="L1050" s="370"/>
      <c r="M1050" s="70" t="str">
        <f t="shared" si="81"/>
        <v>INT-0013-26</v>
      </c>
      <c r="N1050" s="371"/>
      <c r="O1050" s="372"/>
    </row>
    <row r="1051" spans="1:15" ht="25.5" x14ac:dyDescent="0.25">
      <c r="A1051" s="366">
        <v>46049</v>
      </c>
      <c r="B1051" s="35" t="s">
        <v>2865</v>
      </c>
      <c r="C1051" s="374" t="s">
        <v>1066</v>
      </c>
      <c r="D1051" s="367" t="s">
        <v>42</v>
      </c>
      <c r="E1051" s="368" t="s">
        <v>43</v>
      </c>
      <c r="F1051" s="369" t="s">
        <v>2759</v>
      </c>
      <c r="G1051" s="366">
        <v>46387</v>
      </c>
      <c r="H1051" s="369" t="s">
        <v>2803</v>
      </c>
      <c r="I1051" s="367">
        <v>12</v>
      </c>
      <c r="J1051" s="375" t="s">
        <v>2857</v>
      </c>
      <c r="K1051" s="370" t="s">
        <v>1073</v>
      </c>
      <c r="L1051" s="370"/>
      <c r="M1051" s="70" t="str">
        <f t="shared" si="81"/>
        <v>INT-0013-26</v>
      </c>
      <c r="N1051" s="371"/>
      <c r="O1051" s="372"/>
    </row>
    <row r="1052" spans="1:15" ht="25.5" x14ac:dyDescent="0.25">
      <c r="A1052" s="366">
        <v>46049</v>
      </c>
      <c r="B1052" s="35" t="s">
        <v>2865</v>
      </c>
      <c r="C1052" s="374" t="s">
        <v>1066</v>
      </c>
      <c r="D1052" s="367" t="s">
        <v>47</v>
      </c>
      <c r="E1052" s="368" t="s">
        <v>48</v>
      </c>
      <c r="F1052" s="369" t="s">
        <v>812</v>
      </c>
      <c r="G1052" s="366">
        <v>46173</v>
      </c>
      <c r="H1052" s="369" t="s">
        <v>2804</v>
      </c>
      <c r="I1052" s="367">
        <v>268</v>
      </c>
      <c r="J1052" s="375" t="s">
        <v>2857</v>
      </c>
      <c r="K1052" s="370" t="s">
        <v>1073</v>
      </c>
      <c r="L1052" s="370"/>
      <c r="M1052" s="70" t="str">
        <f t="shared" si="81"/>
        <v>INT-0013-26</v>
      </c>
      <c r="N1052" s="371"/>
      <c r="O1052" s="372"/>
    </row>
    <row r="1053" spans="1:15" ht="25.5" x14ac:dyDescent="0.25">
      <c r="A1053" s="366">
        <v>46049</v>
      </c>
      <c r="B1053" s="35" t="s">
        <v>2865</v>
      </c>
      <c r="C1053" s="374" t="s">
        <v>1066</v>
      </c>
      <c r="D1053" s="367" t="s">
        <v>92</v>
      </c>
      <c r="E1053" s="368" t="s">
        <v>93</v>
      </c>
      <c r="F1053" s="369" t="s">
        <v>1625</v>
      </c>
      <c r="G1053" s="366">
        <v>46568</v>
      </c>
      <c r="H1053" s="369" t="s">
        <v>2805</v>
      </c>
      <c r="I1053" s="367">
        <v>22</v>
      </c>
      <c r="J1053" s="375" t="s">
        <v>2857</v>
      </c>
      <c r="K1053" s="370" t="s">
        <v>1073</v>
      </c>
      <c r="L1053" s="370"/>
      <c r="M1053" s="70" t="str">
        <f t="shared" si="81"/>
        <v>INT-0013-26</v>
      </c>
      <c r="N1053" s="371"/>
      <c r="O1053" s="372"/>
    </row>
    <row r="1054" spans="1:15" ht="25.5" x14ac:dyDescent="0.25">
      <c r="A1054" s="366">
        <v>46049</v>
      </c>
      <c r="B1054" s="35" t="s">
        <v>2865</v>
      </c>
      <c r="C1054" s="374" t="s">
        <v>1066</v>
      </c>
      <c r="D1054" s="367" t="s">
        <v>34</v>
      </c>
      <c r="E1054" s="368" t="s">
        <v>35</v>
      </c>
      <c r="F1054" s="369" t="s">
        <v>2331</v>
      </c>
      <c r="G1054" s="366">
        <v>46142</v>
      </c>
      <c r="H1054" s="369" t="s">
        <v>2806</v>
      </c>
      <c r="I1054" s="367">
        <v>2</v>
      </c>
      <c r="J1054" s="375" t="s">
        <v>2857</v>
      </c>
      <c r="K1054" s="370" t="s">
        <v>1073</v>
      </c>
      <c r="L1054" s="370"/>
      <c r="M1054" s="70" t="str">
        <f t="shared" si="81"/>
        <v>INT-0013-26</v>
      </c>
      <c r="N1054" s="371"/>
      <c r="O1054" s="372"/>
    </row>
    <row r="1055" spans="1:15" ht="25.5" x14ac:dyDescent="0.25">
      <c r="A1055" s="366">
        <v>46049</v>
      </c>
      <c r="B1055" s="35" t="s">
        <v>2865</v>
      </c>
      <c r="C1055" s="374" t="s">
        <v>1066</v>
      </c>
      <c r="D1055" s="367" t="s">
        <v>92</v>
      </c>
      <c r="E1055" s="368" t="s">
        <v>93</v>
      </c>
      <c r="F1055" s="369" t="s">
        <v>2760</v>
      </c>
      <c r="G1055" s="366">
        <v>46507</v>
      </c>
      <c r="H1055" s="369" t="s">
        <v>2807</v>
      </c>
      <c r="I1055" s="367">
        <v>32</v>
      </c>
      <c r="J1055" s="375" t="s">
        <v>2857</v>
      </c>
      <c r="K1055" s="370" t="s">
        <v>1073</v>
      </c>
      <c r="L1055" s="370"/>
      <c r="M1055" s="70" t="str">
        <f t="shared" si="81"/>
        <v>INT-0013-26</v>
      </c>
      <c r="N1055" s="371"/>
      <c r="O1055" s="372"/>
    </row>
    <row r="1056" spans="1:15" ht="25.5" x14ac:dyDescent="0.25">
      <c r="A1056" s="366">
        <v>46049</v>
      </c>
      <c r="B1056" s="35" t="s">
        <v>2865</v>
      </c>
      <c r="C1056" s="374" t="s">
        <v>1066</v>
      </c>
      <c r="D1056" s="367" t="s">
        <v>1292</v>
      </c>
      <c r="E1056" s="368" t="s">
        <v>1293</v>
      </c>
      <c r="F1056" s="369" t="s">
        <v>2080</v>
      </c>
      <c r="G1056" s="366">
        <v>46173</v>
      </c>
      <c r="H1056" s="369" t="s">
        <v>2808</v>
      </c>
      <c r="I1056" s="367">
        <v>32</v>
      </c>
      <c r="J1056" s="375" t="s">
        <v>2857</v>
      </c>
      <c r="K1056" s="370" t="s">
        <v>1073</v>
      </c>
      <c r="L1056" s="370"/>
      <c r="M1056" s="70" t="str">
        <f t="shared" si="81"/>
        <v>INT-0013-26</v>
      </c>
      <c r="N1056" s="371"/>
      <c r="O1056" s="372"/>
    </row>
    <row r="1057" spans="1:15" ht="25.5" x14ac:dyDescent="0.25">
      <c r="A1057" s="366">
        <v>46049</v>
      </c>
      <c r="B1057" s="35" t="s">
        <v>2865</v>
      </c>
      <c r="C1057" s="374" t="s">
        <v>1066</v>
      </c>
      <c r="D1057" s="367" t="s">
        <v>92</v>
      </c>
      <c r="E1057" s="368" t="s">
        <v>93</v>
      </c>
      <c r="F1057" s="369" t="s">
        <v>2761</v>
      </c>
      <c r="G1057" s="366">
        <v>46752</v>
      </c>
      <c r="H1057" s="369" t="s">
        <v>2809</v>
      </c>
      <c r="I1057" s="367">
        <v>1</v>
      </c>
      <c r="J1057" s="375" t="s">
        <v>2857</v>
      </c>
      <c r="K1057" s="370" t="s">
        <v>1073</v>
      </c>
      <c r="L1057" s="370"/>
      <c r="M1057" s="70" t="str">
        <f t="shared" si="81"/>
        <v>INT-0013-26</v>
      </c>
      <c r="N1057" s="371"/>
      <c r="O1057" s="372"/>
    </row>
    <row r="1058" spans="1:15" ht="25.5" x14ac:dyDescent="0.25">
      <c r="A1058" s="366">
        <v>46049</v>
      </c>
      <c r="B1058" s="35" t="s">
        <v>2865</v>
      </c>
      <c r="C1058" s="374" t="s">
        <v>1066</v>
      </c>
      <c r="D1058" s="367" t="s">
        <v>42</v>
      </c>
      <c r="E1058" s="368" t="s">
        <v>43</v>
      </c>
      <c r="F1058" s="369" t="s">
        <v>1960</v>
      </c>
      <c r="G1058" s="366">
        <v>46234</v>
      </c>
      <c r="H1058" s="369" t="s">
        <v>2810</v>
      </c>
      <c r="I1058" s="367">
        <v>13</v>
      </c>
      <c r="J1058" s="375" t="s">
        <v>2857</v>
      </c>
      <c r="K1058" s="370" t="s">
        <v>1073</v>
      </c>
      <c r="L1058" s="370"/>
      <c r="M1058" s="70" t="str">
        <f t="shared" si="81"/>
        <v>INT-0013-26</v>
      </c>
      <c r="N1058" s="371"/>
      <c r="O1058" s="372"/>
    </row>
    <row r="1059" spans="1:15" ht="25.5" x14ac:dyDescent="0.25">
      <c r="A1059" s="366">
        <v>46049</v>
      </c>
      <c r="B1059" s="35" t="s">
        <v>2865</v>
      </c>
      <c r="C1059" s="374" t="s">
        <v>1066</v>
      </c>
      <c r="D1059" s="367" t="s">
        <v>39</v>
      </c>
      <c r="E1059" s="368" t="s">
        <v>40</v>
      </c>
      <c r="F1059" s="369" t="s">
        <v>1627</v>
      </c>
      <c r="G1059" s="366">
        <v>46326</v>
      </c>
      <c r="H1059" s="369" t="s">
        <v>2811</v>
      </c>
      <c r="I1059" s="367">
        <v>10</v>
      </c>
      <c r="J1059" s="375" t="s">
        <v>2857</v>
      </c>
      <c r="K1059" s="370" t="s">
        <v>1073</v>
      </c>
      <c r="L1059" s="370"/>
      <c r="M1059" s="70" t="str">
        <f t="shared" si="81"/>
        <v>INT-0013-26</v>
      </c>
      <c r="N1059" s="371"/>
      <c r="O1059" s="372"/>
    </row>
    <row r="1060" spans="1:15" ht="25.5" x14ac:dyDescent="0.25">
      <c r="A1060" s="366">
        <v>46049</v>
      </c>
      <c r="B1060" s="35" t="s">
        <v>2865</v>
      </c>
      <c r="C1060" s="374" t="s">
        <v>1066</v>
      </c>
      <c r="D1060" s="367" t="s">
        <v>42</v>
      </c>
      <c r="E1060" s="368" t="s">
        <v>43</v>
      </c>
      <c r="F1060" s="369" t="s">
        <v>2762</v>
      </c>
      <c r="G1060" s="366">
        <v>46477</v>
      </c>
      <c r="H1060" s="369" t="s">
        <v>2812</v>
      </c>
      <c r="I1060" s="367">
        <v>4</v>
      </c>
      <c r="J1060" s="375" t="s">
        <v>2857</v>
      </c>
      <c r="K1060" s="370" t="s">
        <v>1073</v>
      </c>
      <c r="L1060" s="370"/>
      <c r="M1060" s="70" t="str">
        <f t="shared" si="81"/>
        <v>INT-0013-26</v>
      </c>
      <c r="N1060" s="371"/>
      <c r="O1060" s="372"/>
    </row>
    <row r="1061" spans="1:15" ht="25.5" x14ac:dyDescent="0.25">
      <c r="A1061" s="366">
        <v>46049</v>
      </c>
      <c r="B1061" s="35" t="s">
        <v>2865</v>
      </c>
      <c r="C1061" s="374" t="s">
        <v>1066</v>
      </c>
      <c r="D1061" s="367" t="s">
        <v>1292</v>
      </c>
      <c r="E1061" s="368" t="s">
        <v>1293</v>
      </c>
      <c r="F1061" s="369" t="s">
        <v>2763</v>
      </c>
      <c r="G1061" s="366">
        <v>46203</v>
      </c>
      <c r="H1061" s="369" t="s">
        <v>2813</v>
      </c>
      <c r="I1061" s="367">
        <v>20</v>
      </c>
      <c r="J1061" s="375" t="s">
        <v>2857</v>
      </c>
      <c r="K1061" s="370" t="s">
        <v>1073</v>
      </c>
      <c r="L1061" s="370"/>
      <c r="M1061" s="70" t="str">
        <f t="shared" si="81"/>
        <v>INT-0013-26</v>
      </c>
      <c r="N1061" s="371"/>
      <c r="O1061" s="372"/>
    </row>
    <row r="1062" spans="1:15" ht="25.5" x14ac:dyDescent="0.25">
      <c r="A1062" s="366">
        <v>46049</v>
      </c>
      <c r="B1062" s="35" t="s">
        <v>2865</v>
      </c>
      <c r="C1062" s="374" t="s">
        <v>1066</v>
      </c>
      <c r="D1062" s="367" t="s">
        <v>47</v>
      </c>
      <c r="E1062" s="368" t="s">
        <v>48</v>
      </c>
      <c r="F1062" s="369" t="s">
        <v>1740</v>
      </c>
      <c r="G1062" s="366">
        <v>46173</v>
      </c>
      <c r="H1062" s="369" t="s">
        <v>2814</v>
      </c>
      <c r="I1062" s="367">
        <v>64</v>
      </c>
      <c r="J1062" s="375" t="s">
        <v>2857</v>
      </c>
      <c r="K1062" s="370" t="s">
        <v>1073</v>
      </c>
      <c r="L1062" s="370"/>
      <c r="M1062" s="70" t="str">
        <f t="shared" ref="M1062:M1093" si="82">HYPERLINK("P:\7. LONG HAU\7. CAC THEO DOI TRONG QUA TRINH\4. DEVIATION- INCIDENTS\THEO DÕI NỘI BỘ (NGOÀI BBSC)\"&amp;YEAR(A1062)&amp;"\"&amp;B1062,B1062)</f>
        <v>INT-0013-26</v>
      </c>
      <c r="N1062" s="371"/>
      <c r="O1062" s="372"/>
    </row>
    <row r="1063" spans="1:15" ht="25.5" x14ac:dyDescent="0.25">
      <c r="A1063" s="366">
        <v>46049</v>
      </c>
      <c r="B1063" s="35" t="s">
        <v>2865</v>
      </c>
      <c r="C1063" s="374" t="s">
        <v>1066</v>
      </c>
      <c r="D1063" s="367" t="s">
        <v>47</v>
      </c>
      <c r="E1063" s="368" t="s">
        <v>48</v>
      </c>
      <c r="F1063" s="369" t="s">
        <v>619</v>
      </c>
      <c r="G1063" s="366">
        <v>46112</v>
      </c>
      <c r="H1063" s="369" t="s">
        <v>2815</v>
      </c>
      <c r="I1063" s="367">
        <v>4</v>
      </c>
      <c r="J1063" s="375" t="s">
        <v>2857</v>
      </c>
      <c r="K1063" s="370" t="s">
        <v>1073</v>
      </c>
      <c r="L1063" s="370"/>
      <c r="M1063" s="70" t="str">
        <f t="shared" si="82"/>
        <v>INT-0013-26</v>
      </c>
      <c r="N1063" s="371"/>
      <c r="O1063" s="372"/>
    </row>
    <row r="1064" spans="1:15" ht="25.5" x14ac:dyDescent="0.25">
      <c r="A1064" s="366">
        <v>46049</v>
      </c>
      <c r="B1064" s="35" t="s">
        <v>2865</v>
      </c>
      <c r="C1064" s="374" t="s">
        <v>1066</v>
      </c>
      <c r="D1064" s="367" t="s">
        <v>47</v>
      </c>
      <c r="E1064" s="368" t="s">
        <v>48</v>
      </c>
      <c r="F1064" s="369" t="s">
        <v>2764</v>
      </c>
      <c r="G1064" s="366">
        <v>46446</v>
      </c>
      <c r="H1064" s="369" t="s">
        <v>2816</v>
      </c>
      <c r="I1064" s="367">
        <v>6</v>
      </c>
      <c r="J1064" s="375" t="s">
        <v>2857</v>
      </c>
      <c r="K1064" s="370" t="s">
        <v>1073</v>
      </c>
      <c r="L1064" s="370"/>
      <c r="M1064" s="70" t="str">
        <f t="shared" si="82"/>
        <v>INT-0013-26</v>
      </c>
      <c r="N1064" s="371"/>
      <c r="O1064" s="372"/>
    </row>
    <row r="1065" spans="1:15" ht="25.5" x14ac:dyDescent="0.25">
      <c r="A1065" s="366">
        <v>46049</v>
      </c>
      <c r="B1065" s="35" t="s">
        <v>2865</v>
      </c>
      <c r="C1065" s="374" t="s">
        <v>1066</v>
      </c>
      <c r="D1065" s="367" t="s">
        <v>92</v>
      </c>
      <c r="E1065" s="368" t="s">
        <v>93</v>
      </c>
      <c r="F1065" s="369" t="s">
        <v>2765</v>
      </c>
      <c r="G1065" s="366">
        <v>46721</v>
      </c>
      <c r="H1065" s="369" t="s">
        <v>2817</v>
      </c>
      <c r="I1065" s="367">
        <v>4</v>
      </c>
      <c r="J1065" s="375" t="s">
        <v>2857</v>
      </c>
      <c r="K1065" s="370" t="s">
        <v>1073</v>
      </c>
      <c r="L1065" s="370"/>
      <c r="M1065" s="70" t="str">
        <f t="shared" si="82"/>
        <v>INT-0013-26</v>
      </c>
      <c r="N1065" s="371"/>
      <c r="O1065" s="372"/>
    </row>
    <row r="1066" spans="1:15" ht="25.5" x14ac:dyDescent="0.25">
      <c r="A1066" s="366">
        <v>46049</v>
      </c>
      <c r="B1066" s="35" t="s">
        <v>2865</v>
      </c>
      <c r="C1066" s="374" t="s">
        <v>1066</v>
      </c>
      <c r="D1066" s="367" t="s">
        <v>92</v>
      </c>
      <c r="E1066" s="368" t="s">
        <v>93</v>
      </c>
      <c r="F1066" s="369" t="s">
        <v>2766</v>
      </c>
      <c r="G1066" s="366">
        <v>46691</v>
      </c>
      <c r="H1066" s="369" t="s">
        <v>2818</v>
      </c>
      <c r="I1066" s="367">
        <v>4</v>
      </c>
      <c r="J1066" s="375" t="s">
        <v>2857</v>
      </c>
      <c r="K1066" s="370" t="s">
        <v>1073</v>
      </c>
      <c r="L1066" s="370"/>
      <c r="M1066" s="70" t="str">
        <f t="shared" si="82"/>
        <v>INT-0013-26</v>
      </c>
      <c r="N1066" s="371"/>
      <c r="O1066" s="372"/>
    </row>
    <row r="1067" spans="1:15" ht="25.5" x14ac:dyDescent="0.25">
      <c r="A1067" s="366">
        <v>46049</v>
      </c>
      <c r="B1067" s="35" t="s">
        <v>2865</v>
      </c>
      <c r="C1067" s="374" t="s">
        <v>1066</v>
      </c>
      <c r="D1067" s="367" t="s">
        <v>34</v>
      </c>
      <c r="E1067" s="368" t="s">
        <v>35</v>
      </c>
      <c r="F1067" s="369" t="s">
        <v>2767</v>
      </c>
      <c r="G1067" s="366">
        <v>46295</v>
      </c>
      <c r="H1067" s="369" t="s">
        <v>2819</v>
      </c>
      <c r="I1067" s="367">
        <v>5</v>
      </c>
      <c r="J1067" s="375" t="s">
        <v>2857</v>
      </c>
      <c r="K1067" s="370" t="s">
        <v>1073</v>
      </c>
      <c r="L1067" s="370"/>
      <c r="M1067" s="70" t="str">
        <f t="shared" si="82"/>
        <v>INT-0013-26</v>
      </c>
      <c r="N1067" s="371"/>
      <c r="O1067" s="372"/>
    </row>
    <row r="1068" spans="1:15" ht="25.5" x14ac:dyDescent="0.25">
      <c r="A1068" s="366">
        <v>46049</v>
      </c>
      <c r="B1068" s="35" t="s">
        <v>2865</v>
      </c>
      <c r="C1068" s="374" t="s">
        <v>1066</v>
      </c>
      <c r="D1068" s="367" t="s">
        <v>44</v>
      </c>
      <c r="E1068" s="368" t="s">
        <v>45</v>
      </c>
      <c r="F1068" s="369" t="s">
        <v>1425</v>
      </c>
      <c r="G1068" s="366">
        <v>46446</v>
      </c>
      <c r="H1068" s="369" t="s">
        <v>2820</v>
      </c>
      <c r="I1068" s="367">
        <v>10</v>
      </c>
      <c r="J1068" s="375" t="s">
        <v>2857</v>
      </c>
      <c r="K1068" s="370" t="s">
        <v>1073</v>
      </c>
      <c r="L1068" s="370"/>
      <c r="M1068" s="70" t="str">
        <f t="shared" si="82"/>
        <v>INT-0013-26</v>
      </c>
      <c r="N1068" s="371"/>
      <c r="O1068" s="372"/>
    </row>
    <row r="1069" spans="1:15" ht="25.5" x14ac:dyDescent="0.25">
      <c r="A1069" s="366">
        <v>46049</v>
      </c>
      <c r="B1069" s="35" t="s">
        <v>2865</v>
      </c>
      <c r="C1069" s="374" t="s">
        <v>1066</v>
      </c>
      <c r="D1069" s="367" t="s">
        <v>92</v>
      </c>
      <c r="E1069" s="368" t="s">
        <v>93</v>
      </c>
      <c r="F1069" s="369" t="s">
        <v>2768</v>
      </c>
      <c r="G1069" s="366">
        <v>46446</v>
      </c>
      <c r="H1069" s="369" t="s">
        <v>2821</v>
      </c>
      <c r="I1069" s="367">
        <v>15</v>
      </c>
      <c r="J1069" s="375" t="s">
        <v>2857</v>
      </c>
      <c r="K1069" s="370" t="s">
        <v>1073</v>
      </c>
      <c r="L1069" s="370"/>
      <c r="M1069" s="70" t="str">
        <f t="shared" si="82"/>
        <v>INT-0013-26</v>
      </c>
      <c r="N1069" s="371"/>
      <c r="O1069" s="372"/>
    </row>
    <row r="1070" spans="1:15" ht="25.5" x14ac:dyDescent="0.25">
      <c r="A1070" s="366">
        <v>46049</v>
      </c>
      <c r="B1070" s="35" t="s">
        <v>2865</v>
      </c>
      <c r="C1070" s="374" t="s">
        <v>1066</v>
      </c>
      <c r="D1070" s="367" t="s">
        <v>92</v>
      </c>
      <c r="E1070" s="368" t="s">
        <v>93</v>
      </c>
      <c r="F1070" s="369" t="s">
        <v>2769</v>
      </c>
      <c r="G1070" s="366">
        <v>46752</v>
      </c>
      <c r="H1070" s="369" t="s">
        <v>2822</v>
      </c>
      <c r="I1070" s="367">
        <v>4</v>
      </c>
      <c r="J1070" s="375" t="s">
        <v>2857</v>
      </c>
      <c r="K1070" s="370" t="s">
        <v>1073</v>
      </c>
      <c r="L1070" s="370"/>
      <c r="M1070" s="70" t="str">
        <f t="shared" si="82"/>
        <v>INT-0013-26</v>
      </c>
      <c r="N1070" s="371"/>
      <c r="O1070" s="372"/>
    </row>
    <row r="1071" spans="1:15" ht="25.5" x14ac:dyDescent="0.25">
      <c r="A1071" s="366">
        <v>46049</v>
      </c>
      <c r="B1071" s="35" t="s">
        <v>2865</v>
      </c>
      <c r="C1071" s="374" t="s">
        <v>1066</v>
      </c>
      <c r="D1071" s="367" t="s">
        <v>1133</v>
      </c>
      <c r="E1071" s="368" t="s">
        <v>1134</v>
      </c>
      <c r="F1071" s="369" t="s">
        <v>2770</v>
      </c>
      <c r="G1071" s="366">
        <v>46203</v>
      </c>
      <c r="H1071" s="369" t="s">
        <v>2823</v>
      </c>
      <c r="I1071" s="367">
        <v>53</v>
      </c>
      <c r="J1071" s="375" t="s">
        <v>2857</v>
      </c>
      <c r="K1071" s="370" t="s">
        <v>1073</v>
      </c>
      <c r="L1071" s="370"/>
      <c r="M1071" s="70" t="str">
        <f t="shared" si="82"/>
        <v>INT-0013-26</v>
      </c>
      <c r="N1071" s="371"/>
      <c r="O1071" s="372"/>
    </row>
    <row r="1072" spans="1:15" ht="25.5" x14ac:dyDescent="0.25">
      <c r="A1072" s="366">
        <v>46049</v>
      </c>
      <c r="B1072" s="35" t="s">
        <v>2865</v>
      </c>
      <c r="C1072" s="374" t="s">
        <v>1066</v>
      </c>
      <c r="D1072" s="367" t="s">
        <v>42</v>
      </c>
      <c r="E1072" s="368" t="s">
        <v>43</v>
      </c>
      <c r="F1072" s="369" t="s">
        <v>1753</v>
      </c>
      <c r="G1072" s="366">
        <v>46265</v>
      </c>
      <c r="H1072" s="369" t="s">
        <v>2824</v>
      </c>
      <c r="I1072" s="367">
        <v>12</v>
      </c>
      <c r="J1072" s="375" t="s">
        <v>2857</v>
      </c>
      <c r="K1072" s="370" t="s">
        <v>1073</v>
      </c>
      <c r="L1072" s="370"/>
      <c r="M1072" s="70" t="str">
        <f t="shared" si="82"/>
        <v>INT-0013-26</v>
      </c>
      <c r="N1072" s="371"/>
      <c r="O1072" s="372"/>
    </row>
    <row r="1073" spans="1:15" ht="25.5" x14ac:dyDescent="0.25">
      <c r="A1073" s="366">
        <v>46049</v>
      </c>
      <c r="B1073" s="35" t="s">
        <v>2865</v>
      </c>
      <c r="C1073" s="374" t="s">
        <v>1066</v>
      </c>
      <c r="D1073" s="367" t="s">
        <v>36</v>
      </c>
      <c r="E1073" s="368" t="s">
        <v>37</v>
      </c>
      <c r="F1073" s="369" t="s">
        <v>364</v>
      </c>
      <c r="G1073" s="366">
        <v>46022</v>
      </c>
      <c r="H1073" s="369" t="s">
        <v>2825</v>
      </c>
      <c r="I1073" s="367">
        <v>5</v>
      </c>
      <c r="J1073" s="375" t="s">
        <v>2857</v>
      </c>
      <c r="K1073" s="370" t="s">
        <v>1073</v>
      </c>
      <c r="L1073" s="370"/>
      <c r="M1073" s="70" t="str">
        <f t="shared" si="82"/>
        <v>INT-0013-26</v>
      </c>
      <c r="N1073" s="371"/>
      <c r="O1073" s="372"/>
    </row>
    <row r="1074" spans="1:15" ht="25.5" x14ac:dyDescent="0.25">
      <c r="A1074" s="366">
        <v>46049</v>
      </c>
      <c r="B1074" s="35" t="s">
        <v>2865</v>
      </c>
      <c r="C1074" s="374" t="s">
        <v>1066</v>
      </c>
      <c r="D1074" s="367" t="s">
        <v>34</v>
      </c>
      <c r="E1074" s="368" t="s">
        <v>35</v>
      </c>
      <c r="F1074" s="369" t="s">
        <v>2771</v>
      </c>
      <c r="G1074" s="366">
        <v>46264</v>
      </c>
      <c r="H1074" s="369" t="s">
        <v>2826</v>
      </c>
      <c r="I1074" s="367">
        <v>5</v>
      </c>
      <c r="J1074" s="375" t="s">
        <v>2857</v>
      </c>
      <c r="K1074" s="370" t="s">
        <v>1073</v>
      </c>
      <c r="L1074" s="370"/>
      <c r="M1074" s="70" t="str">
        <f t="shared" si="82"/>
        <v>INT-0013-26</v>
      </c>
      <c r="N1074" s="371"/>
      <c r="O1074" s="372"/>
    </row>
    <row r="1075" spans="1:15" ht="25.5" x14ac:dyDescent="0.25">
      <c r="A1075" s="366">
        <v>46049</v>
      </c>
      <c r="B1075" s="35" t="s">
        <v>2865</v>
      </c>
      <c r="C1075" s="374" t="s">
        <v>1066</v>
      </c>
      <c r="D1075" s="367" t="s">
        <v>34</v>
      </c>
      <c r="E1075" s="368" t="s">
        <v>35</v>
      </c>
      <c r="F1075" s="369" t="s">
        <v>1426</v>
      </c>
      <c r="G1075" s="366">
        <v>46203</v>
      </c>
      <c r="H1075" s="369" t="s">
        <v>2827</v>
      </c>
      <c r="I1075" s="367">
        <v>27</v>
      </c>
      <c r="J1075" s="375" t="s">
        <v>2857</v>
      </c>
      <c r="K1075" s="370" t="s">
        <v>1073</v>
      </c>
      <c r="L1075" s="370"/>
      <c r="M1075" s="70" t="str">
        <f t="shared" si="82"/>
        <v>INT-0013-26</v>
      </c>
      <c r="N1075" s="371"/>
      <c r="O1075" s="372"/>
    </row>
    <row r="1076" spans="1:15" ht="25.5" x14ac:dyDescent="0.25">
      <c r="A1076" s="366">
        <v>46049</v>
      </c>
      <c r="B1076" s="35" t="s">
        <v>2865</v>
      </c>
      <c r="C1076" s="374" t="s">
        <v>1066</v>
      </c>
      <c r="D1076" s="367" t="s">
        <v>92</v>
      </c>
      <c r="E1076" s="368" t="s">
        <v>93</v>
      </c>
      <c r="F1076" s="369" t="s">
        <v>2772</v>
      </c>
      <c r="G1076" s="366">
        <v>46142</v>
      </c>
      <c r="H1076" s="369" t="s">
        <v>2828</v>
      </c>
      <c r="I1076" s="367">
        <v>12</v>
      </c>
      <c r="J1076" s="375" t="s">
        <v>2857</v>
      </c>
      <c r="K1076" s="370" t="s">
        <v>1073</v>
      </c>
      <c r="L1076" s="370"/>
      <c r="M1076" s="70" t="str">
        <f t="shared" si="82"/>
        <v>INT-0013-26</v>
      </c>
      <c r="N1076" s="371"/>
      <c r="O1076" s="372"/>
    </row>
    <row r="1077" spans="1:15" ht="25.5" x14ac:dyDescent="0.25">
      <c r="A1077" s="366">
        <v>46049</v>
      </c>
      <c r="B1077" s="35" t="s">
        <v>2865</v>
      </c>
      <c r="C1077" s="374" t="s">
        <v>1066</v>
      </c>
      <c r="D1077" s="367" t="s">
        <v>44</v>
      </c>
      <c r="E1077" s="368" t="s">
        <v>45</v>
      </c>
      <c r="F1077" s="369" t="s">
        <v>2773</v>
      </c>
      <c r="G1077" s="366">
        <v>46721</v>
      </c>
      <c r="H1077" s="369" t="s">
        <v>2829</v>
      </c>
      <c r="I1077" s="367">
        <v>3</v>
      </c>
      <c r="J1077" s="375" t="s">
        <v>2857</v>
      </c>
      <c r="K1077" s="370" t="s">
        <v>1073</v>
      </c>
      <c r="L1077" s="370"/>
      <c r="M1077" s="70" t="str">
        <f t="shared" si="82"/>
        <v>INT-0013-26</v>
      </c>
      <c r="N1077" s="371"/>
      <c r="O1077" s="372"/>
    </row>
    <row r="1078" spans="1:15" ht="25.5" x14ac:dyDescent="0.25">
      <c r="A1078" s="366">
        <v>46049</v>
      </c>
      <c r="B1078" s="35" t="s">
        <v>2865</v>
      </c>
      <c r="C1078" s="374" t="s">
        <v>1066</v>
      </c>
      <c r="D1078" s="367" t="s">
        <v>44</v>
      </c>
      <c r="E1078" s="368" t="s">
        <v>45</v>
      </c>
      <c r="F1078" s="369" t="s">
        <v>1179</v>
      </c>
      <c r="G1078" s="366">
        <v>46326</v>
      </c>
      <c r="H1078" s="369" t="s">
        <v>2830</v>
      </c>
      <c r="I1078" s="367">
        <v>10</v>
      </c>
      <c r="J1078" s="375" t="s">
        <v>2857</v>
      </c>
      <c r="K1078" s="370" t="s">
        <v>1073</v>
      </c>
      <c r="L1078" s="370"/>
      <c r="M1078" s="70" t="str">
        <f t="shared" si="82"/>
        <v>INT-0013-26</v>
      </c>
      <c r="N1078" s="371"/>
      <c r="O1078" s="372"/>
    </row>
    <row r="1079" spans="1:15" ht="25.5" x14ac:dyDescent="0.25">
      <c r="A1079" s="366">
        <v>46049</v>
      </c>
      <c r="B1079" s="35" t="s">
        <v>2865</v>
      </c>
      <c r="C1079" s="374" t="s">
        <v>1066</v>
      </c>
      <c r="D1079" s="367" t="s">
        <v>36</v>
      </c>
      <c r="E1079" s="368" t="s">
        <v>37</v>
      </c>
      <c r="F1079" s="369" t="s">
        <v>2774</v>
      </c>
      <c r="G1079" s="366">
        <v>46507</v>
      </c>
      <c r="H1079" s="369" t="s">
        <v>2831</v>
      </c>
      <c r="I1079" s="367">
        <v>1</v>
      </c>
      <c r="J1079" s="375" t="s">
        <v>2857</v>
      </c>
      <c r="K1079" s="370" t="s">
        <v>1073</v>
      </c>
      <c r="L1079" s="370"/>
      <c r="M1079" s="70" t="str">
        <f t="shared" si="82"/>
        <v>INT-0013-26</v>
      </c>
      <c r="N1079" s="371"/>
      <c r="O1079" s="372"/>
    </row>
    <row r="1080" spans="1:15" ht="25.5" x14ac:dyDescent="0.25">
      <c r="A1080" s="366">
        <v>46049</v>
      </c>
      <c r="B1080" s="35" t="s">
        <v>2865</v>
      </c>
      <c r="C1080" s="374" t="s">
        <v>1066</v>
      </c>
      <c r="D1080" s="367" t="s">
        <v>44</v>
      </c>
      <c r="E1080" s="368" t="s">
        <v>45</v>
      </c>
      <c r="F1080" s="369" t="s">
        <v>205</v>
      </c>
      <c r="G1080" s="366">
        <v>46295</v>
      </c>
      <c r="H1080" s="369" t="s">
        <v>2832</v>
      </c>
      <c r="I1080" s="367">
        <v>7</v>
      </c>
      <c r="J1080" s="375" t="s">
        <v>2857</v>
      </c>
      <c r="K1080" s="370" t="s">
        <v>1073</v>
      </c>
      <c r="L1080" s="370"/>
      <c r="M1080" s="70" t="str">
        <f t="shared" si="82"/>
        <v>INT-0013-26</v>
      </c>
      <c r="N1080" s="371"/>
      <c r="O1080" s="372"/>
    </row>
    <row r="1081" spans="1:15" ht="25.5" x14ac:dyDescent="0.25">
      <c r="A1081" s="366">
        <v>46049</v>
      </c>
      <c r="B1081" s="35" t="s">
        <v>2865</v>
      </c>
      <c r="C1081" s="374" t="s">
        <v>1066</v>
      </c>
      <c r="D1081" s="367" t="s">
        <v>42</v>
      </c>
      <c r="E1081" s="368" t="s">
        <v>43</v>
      </c>
      <c r="F1081" s="369" t="s">
        <v>2775</v>
      </c>
      <c r="G1081" s="366">
        <v>46234</v>
      </c>
      <c r="H1081" s="369" t="s">
        <v>2833</v>
      </c>
      <c r="I1081" s="367">
        <v>8</v>
      </c>
      <c r="J1081" s="375" t="s">
        <v>2857</v>
      </c>
      <c r="K1081" s="370" t="s">
        <v>1073</v>
      </c>
      <c r="L1081" s="370"/>
      <c r="M1081" s="70" t="str">
        <f t="shared" si="82"/>
        <v>INT-0013-26</v>
      </c>
      <c r="N1081" s="371"/>
      <c r="O1081" s="372"/>
    </row>
    <row r="1082" spans="1:15" ht="25.5" x14ac:dyDescent="0.25">
      <c r="A1082" s="366">
        <v>46049</v>
      </c>
      <c r="B1082" s="35" t="s">
        <v>2865</v>
      </c>
      <c r="C1082" s="374" t="s">
        <v>1066</v>
      </c>
      <c r="D1082" s="367" t="s">
        <v>36</v>
      </c>
      <c r="E1082" s="368" t="s">
        <v>37</v>
      </c>
      <c r="F1082" s="369" t="s">
        <v>1626</v>
      </c>
      <c r="G1082" s="366">
        <v>46356</v>
      </c>
      <c r="H1082" s="369" t="s">
        <v>2834</v>
      </c>
      <c r="I1082" s="367">
        <v>6</v>
      </c>
      <c r="J1082" s="375" t="s">
        <v>2857</v>
      </c>
      <c r="K1082" s="370" t="s">
        <v>1073</v>
      </c>
      <c r="L1082" s="370"/>
      <c r="M1082" s="70" t="str">
        <f t="shared" si="82"/>
        <v>INT-0013-26</v>
      </c>
      <c r="N1082" s="371"/>
      <c r="O1082" s="372"/>
    </row>
    <row r="1083" spans="1:15" ht="25.5" x14ac:dyDescent="0.25">
      <c r="A1083" s="366">
        <v>46049</v>
      </c>
      <c r="B1083" s="35" t="s">
        <v>2865</v>
      </c>
      <c r="C1083" s="374" t="s">
        <v>1066</v>
      </c>
      <c r="D1083" s="367" t="s">
        <v>1255</v>
      </c>
      <c r="E1083" s="368" t="s">
        <v>1256</v>
      </c>
      <c r="F1083" s="369" t="s">
        <v>1907</v>
      </c>
      <c r="G1083" s="366">
        <v>46053</v>
      </c>
      <c r="H1083" s="369" t="s">
        <v>2835</v>
      </c>
      <c r="I1083" s="367">
        <v>3</v>
      </c>
      <c r="J1083" s="375" t="s">
        <v>2857</v>
      </c>
      <c r="K1083" s="370" t="s">
        <v>1073</v>
      </c>
      <c r="L1083" s="370"/>
      <c r="M1083" s="70" t="str">
        <f t="shared" si="82"/>
        <v>INT-0013-26</v>
      </c>
      <c r="N1083" s="371"/>
      <c r="O1083" s="372"/>
    </row>
    <row r="1084" spans="1:15" ht="25.5" x14ac:dyDescent="0.25">
      <c r="A1084" s="366">
        <v>46049</v>
      </c>
      <c r="B1084" s="35" t="s">
        <v>2865</v>
      </c>
      <c r="C1084" s="374" t="s">
        <v>1066</v>
      </c>
      <c r="D1084" s="367" t="s">
        <v>36</v>
      </c>
      <c r="E1084" s="368" t="s">
        <v>37</v>
      </c>
      <c r="F1084" s="369" t="s">
        <v>2310</v>
      </c>
      <c r="G1084" s="366">
        <v>46142</v>
      </c>
      <c r="H1084" s="369" t="s">
        <v>2836</v>
      </c>
      <c r="I1084" s="367">
        <v>4</v>
      </c>
      <c r="J1084" s="375" t="s">
        <v>2857</v>
      </c>
      <c r="K1084" s="370" t="s">
        <v>1073</v>
      </c>
      <c r="L1084" s="370"/>
      <c r="M1084" s="70" t="str">
        <f t="shared" si="82"/>
        <v>INT-0013-26</v>
      </c>
      <c r="N1084" s="371"/>
      <c r="O1084" s="372"/>
    </row>
    <row r="1085" spans="1:15" ht="25.5" x14ac:dyDescent="0.25">
      <c r="A1085" s="366">
        <v>46049</v>
      </c>
      <c r="B1085" s="35" t="s">
        <v>2865</v>
      </c>
      <c r="C1085" s="374" t="s">
        <v>1066</v>
      </c>
      <c r="D1085" s="367" t="s">
        <v>36</v>
      </c>
      <c r="E1085" s="368" t="s">
        <v>37</v>
      </c>
      <c r="F1085" s="369" t="s">
        <v>1841</v>
      </c>
      <c r="G1085" s="366">
        <v>46112</v>
      </c>
      <c r="H1085" s="369" t="s">
        <v>2837</v>
      </c>
      <c r="I1085" s="367">
        <v>3</v>
      </c>
      <c r="J1085" s="375" t="s">
        <v>2857</v>
      </c>
      <c r="K1085" s="370" t="s">
        <v>1073</v>
      </c>
      <c r="L1085" s="370"/>
      <c r="M1085" s="70" t="str">
        <f t="shared" si="82"/>
        <v>INT-0013-26</v>
      </c>
      <c r="N1085" s="371"/>
      <c r="O1085" s="372"/>
    </row>
    <row r="1086" spans="1:15" ht="25.5" x14ac:dyDescent="0.25">
      <c r="A1086" s="366">
        <v>46049</v>
      </c>
      <c r="B1086" s="35" t="s">
        <v>2865</v>
      </c>
      <c r="C1086" s="374" t="s">
        <v>1066</v>
      </c>
      <c r="D1086" s="367" t="s">
        <v>1255</v>
      </c>
      <c r="E1086" s="368" t="s">
        <v>1256</v>
      </c>
      <c r="F1086" s="369" t="s">
        <v>2776</v>
      </c>
      <c r="G1086" s="366">
        <v>47057</v>
      </c>
      <c r="H1086" s="369" t="s">
        <v>2838</v>
      </c>
      <c r="I1086" s="367">
        <v>4</v>
      </c>
      <c r="J1086" s="375" t="s">
        <v>2857</v>
      </c>
      <c r="K1086" s="370" t="s">
        <v>1073</v>
      </c>
      <c r="L1086" s="370"/>
      <c r="M1086" s="70" t="str">
        <f t="shared" si="82"/>
        <v>INT-0013-26</v>
      </c>
      <c r="N1086" s="371"/>
      <c r="O1086" s="372"/>
    </row>
    <row r="1087" spans="1:15" ht="25.5" x14ac:dyDescent="0.25">
      <c r="A1087" s="366">
        <v>46049</v>
      </c>
      <c r="B1087" s="35" t="s">
        <v>2865</v>
      </c>
      <c r="C1087" s="374" t="s">
        <v>1066</v>
      </c>
      <c r="D1087" s="367" t="s">
        <v>1255</v>
      </c>
      <c r="E1087" s="368" t="s">
        <v>1256</v>
      </c>
      <c r="F1087" s="369" t="s">
        <v>2777</v>
      </c>
      <c r="G1087" s="366">
        <v>46934</v>
      </c>
      <c r="H1087" s="369" t="s">
        <v>2839</v>
      </c>
      <c r="I1087" s="367">
        <v>1</v>
      </c>
      <c r="J1087" s="375" t="s">
        <v>2857</v>
      </c>
      <c r="K1087" s="370" t="s">
        <v>1073</v>
      </c>
      <c r="L1087" s="370"/>
      <c r="M1087" s="70" t="str">
        <f t="shared" si="82"/>
        <v>INT-0013-26</v>
      </c>
      <c r="N1087" s="371"/>
      <c r="O1087" s="372"/>
    </row>
    <row r="1088" spans="1:15" ht="25.5" x14ac:dyDescent="0.25">
      <c r="A1088" s="366">
        <v>46049</v>
      </c>
      <c r="B1088" s="35" t="s">
        <v>2865</v>
      </c>
      <c r="C1088" s="374" t="s">
        <v>1066</v>
      </c>
      <c r="D1088" s="367" t="s">
        <v>36</v>
      </c>
      <c r="E1088" s="368" t="s">
        <v>37</v>
      </c>
      <c r="F1088" s="369" t="s">
        <v>1840</v>
      </c>
      <c r="G1088" s="366">
        <v>46081</v>
      </c>
      <c r="H1088" s="369" t="s">
        <v>2840</v>
      </c>
      <c r="I1088" s="367">
        <v>4</v>
      </c>
      <c r="J1088" s="375" t="s">
        <v>2857</v>
      </c>
      <c r="K1088" s="370" t="s">
        <v>1073</v>
      </c>
      <c r="L1088" s="370"/>
      <c r="M1088" s="70" t="str">
        <f t="shared" si="82"/>
        <v>INT-0013-26</v>
      </c>
      <c r="N1088" s="371"/>
      <c r="O1088" s="372"/>
    </row>
    <row r="1089" spans="1:15" ht="25.5" x14ac:dyDescent="0.25">
      <c r="A1089" s="366">
        <v>46049</v>
      </c>
      <c r="B1089" s="35" t="s">
        <v>2865</v>
      </c>
      <c r="C1089" s="374" t="s">
        <v>1066</v>
      </c>
      <c r="D1089" s="367" t="s">
        <v>1133</v>
      </c>
      <c r="E1089" s="368" t="s">
        <v>1134</v>
      </c>
      <c r="F1089" s="369" t="s">
        <v>1135</v>
      </c>
      <c r="G1089" s="366">
        <v>46142</v>
      </c>
      <c r="H1089" s="369" t="s">
        <v>2841</v>
      </c>
      <c r="I1089" s="367">
        <v>62</v>
      </c>
      <c r="J1089" s="375" t="s">
        <v>2857</v>
      </c>
      <c r="K1089" s="370" t="s">
        <v>1073</v>
      </c>
      <c r="L1089" s="370"/>
      <c r="M1089" s="70" t="str">
        <f t="shared" si="82"/>
        <v>INT-0013-26</v>
      </c>
      <c r="N1089" s="371"/>
      <c r="O1089" s="372"/>
    </row>
    <row r="1090" spans="1:15" ht="25.5" x14ac:dyDescent="0.25">
      <c r="A1090" s="366">
        <v>46049</v>
      </c>
      <c r="B1090" s="35" t="s">
        <v>2865</v>
      </c>
      <c r="C1090" s="374" t="s">
        <v>1066</v>
      </c>
      <c r="D1090" s="367" t="s">
        <v>92</v>
      </c>
      <c r="E1090" s="368" t="s">
        <v>93</v>
      </c>
      <c r="F1090" s="369" t="s">
        <v>1667</v>
      </c>
      <c r="G1090" s="366">
        <v>46599</v>
      </c>
      <c r="H1090" s="369" t="s">
        <v>2842</v>
      </c>
      <c r="I1090" s="367">
        <v>7</v>
      </c>
      <c r="J1090" s="375" t="s">
        <v>2857</v>
      </c>
      <c r="K1090" s="370" t="s">
        <v>1073</v>
      </c>
      <c r="L1090" s="370"/>
      <c r="M1090" s="70" t="str">
        <f t="shared" si="82"/>
        <v>INT-0013-26</v>
      </c>
      <c r="N1090" s="371"/>
      <c r="O1090" s="372"/>
    </row>
    <row r="1091" spans="1:15" ht="25.5" x14ac:dyDescent="0.25">
      <c r="A1091" s="366">
        <v>46049</v>
      </c>
      <c r="B1091" s="35" t="s">
        <v>2865</v>
      </c>
      <c r="C1091" s="374" t="s">
        <v>1066</v>
      </c>
      <c r="D1091" s="367" t="s">
        <v>42</v>
      </c>
      <c r="E1091" s="368" t="s">
        <v>43</v>
      </c>
      <c r="F1091" s="369" t="s">
        <v>2778</v>
      </c>
      <c r="G1091" s="366">
        <v>46446</v>
      </c>
      <c r="H1091" s="369" t="s">
        <v>2843</v>
      </c>
      <c r="I1091" s="367">
        <v>1</v>
      </c>
      <c r="J1091" s="375" t="s">
        <v>2857</v>
      </c>
      <c r="K1091" s="370" t="s">
        <v>1073</v>
      </c>
      <c r="L1091" s="370"/>
      <c r="M1091" s="70" t="str">
        <f t="shared" si="82"/>
        <v>INT-0013-26</v>
      </c>
      <c r="N1091" s="371"/>
      <c r="O1091" s="372"/>
    </row>
    <row r="1092" spans="1:15" ht="25.5" x14ac:dyDescent="0.25">
      <c r="A1092" s="366">
        <v>46049</v>
      </c>
      <c r="B1092" s="35" t="s">
        <v>2865</v>
      </c>
      <c r="C1092" s="374" t="s">
        <v>1066</v>
      </c>
      <c r="D1092" s="367" t="s">
        <v>47</v>
      </c>
      <c r="E1092" s="368" t="s">
        <v>48</v>
      </c>
      <c r="F1092" s="369" t="s">
        <v>623</v>
      </c>
      <c r="G1092" s="366">
        <v>46173</v>
      </c>
      <c r="H1092" s="369" t="s">
        <v>2844</v>
      </c>
      <c r="I1092" s="367">
        <v>10</v>
      </c>
      <c r="J1092" s="375" t="s">
        <v>2857</v>
      </c>
      <c r="K1092" s="370" t="s">
        <v>1073</v>
      </c>
      <c r="L1092" s="370"/>
      <c r="M1092" s="70" t="str">
        <f t="shared" si="82"/>
        <v>INT-0013-26</v>
      </c>
      <c r="N1092" s="371"/>
      <c r="O1092" s="372"/>
    </row>
    <row r="1093" spans="1:15" ht="25.5" x14ac:dyDescent="0.25">
      <c r="A1093" s="366">
        <v>46049</v>
      </c>
      <c r="B1093" s="35" t="s">
        <v>2865</v>
      </c>
      <c r="C1093" s="374" t="s">
        <v>1066</v>
      </c>
      <c r="D1093" s="367" t="s">
        <v>39</v>
      </c>
      <c r="E1093" s="368" t="s">
        <v>40</v>
      </c>
      <c r="F1093" s="369" t="s">
        <v>1757</v>
      </c>
      <c r="G1093" s="366">
        <v>46356</v>
      </c>
      <c r="H1093" s="369" t="s">
        <v>2845</v>
      </c>
      <c r="I1093" s="367">
        <v>3</v>
      </c>
      <c r="J1093" s="375" t="s">
        <v>2857</v>
      </c>
      <c r="K1093" s="370" t="s">
        <v>1073</v>
      </c>
      <c r="L1093" s="370"/>
      <c r="M1093" s="70" t="str">
        <f t="shared" si="82"/>
        <v>INT-0013-26</v>
      </c>
      <c r="N1093" s="371"/>
      <c r="O1093" s="372"/>
    </row>
    <row r="1094" spans="1:15" ht="25.5" x14ac:dyDescent="0.25">
      <c r="A1094" s="366">
        <v>46049</v>
      </c>
      <c r="B1094" s="35" t="s">
        <v>2865</v>
      </c>
      <c r="C1094" s="374" t="s">
        <v>1066</v>
      </c>
      <c r="D1094" s="367" t="s">
        <v>34</v>
      </c>
      <c r="E1094" s="368" t="s">
        <v>35</v>
      </c>
      <c r="F1094" s="369" t="s">
        <v>2779</v>
      </c>
      <c r="G1094" s="366">
        <v>46203</v>
      </c>
      <c r="H1094" s="369" t="s">
        <v>2846</v>
      </c>
      <c r="I1094" s="367">
        <v>5</v>
      </c>
      <c r="J1094" s="375" t="s">
        <v>2857</v>
      </c>
      <c r="K1094" s="370" t="s">
        <v>1073</v>
      </c>
      <c r="L1094" s="370"/>
      <c r="M1094" s="70" t="str">
        <f t="shared" ref="M1094:M1104" si="83">HYPERLINK("P:\7. LONG HAU\7. CAC THEO DOI TRONG QUA TRINH\4. DEVIATION- INCIDENTS\THEO DÕI NỘI BỘ (NGOÀI BBSC)\"&amp;YEAR(A1094)&amp;"\"&amp;B1094,B1094)</f>
        <v>INT-0013-26</v>
      </c>
      <c r="N1094" s="371"/>
      <c r="O1094" s="372"/>
    </row>
    <row r="1095" spans="1:15" ht="25.5" x14ac:dyDescent="0.25">
      <c r="A1095" s="366">
        <v>46049</v>
      </c>
      <c r="B1095" s="35" t="s">
        <v>2865</v>
      </c>
      <c r="C1095" s="374" t="s">
        <v>1066</v>
      </c>
      <c r="D1095" s="367" t="s">
        <v>39</v>
      </c>
      <c r="E1095" s="368" t="s">
        <v>40</v>
      </c>
      <c r="F1095" s="369" t="s">
        <v>1867</v>
      </c>
      <c r="G1095" s="366">
        <v>46112</v>
      </c>
      <c r="H1095" s="369" t="s">
        <v>2847</v>
      </c>
      <c r="I1095" s="367">
        <v>8</v>
      </c>
      <c r="J1095" s="375" t="s">
        <v>2857</v>
      </c>
      <c r="K1095" s="370" t="s">
        <v>1073</v>
      </c>
      <c r="L1095" s="370"/>
      <c r="M1095" s="70" t="str">
        <f t="shared" si="83"/>
        <v>INT-0013-26</v>
      </c>
      <c r="N1095" s="371"/>
      <c r="O1095" s="372"/>
    </row>
    <row r="1096" spans="1:15" ht="25.5" x14ac:dyDescent="0.25">
      <c r="A1096" s="366">
        <v>46049</v>
      </c>
      <c r="B1096" s="35" t="s">
        <v>2865</v>
      </c>
      <c r="C1096" s="374" t="s">
        <v>1066</v>
      </c>
      <c r="D1096" s="367" t="s">
        <v>1292</v>
      </c>
      <c r="E1096" s="368" t="s">
        <v>1293</v>
      </c>
      <c r="F1096" s="369" t="s">
        <v>2692</v>
      </c>
      <c r="G1096" s="366">
        <v>46173</v>
      </c>
      <c r="H1096" s="369" t="s">
        <v>2848</v>
      </c>
      <c r="I1096" s="367">
        <v>65</v>
      </c>
      <c r="J1096" s="375" t="s">
        <v>2857</v>
      </c>
      <c r="K1096" s="370" t="s">
        <v>1073</v>
      </c>
      <c r="L1096" s="370"/>
      <c r="M1096" s="70" t="str">
        <f t="shared" si="83"/>
        <v>INT-0013-26</v>
      </c>
      <c r="N1096" s="371"/>
      <c r="O1096" s="372"/>
    </row>
    <row r="1097" spans="1:15" ht="25.5" x14ac:dyDescent="0.25">
      <c r="A1097" s="366">
        <v>46049</v>
      </c>
      <c r="B1097" s="35" t="s">
        <v>2865</v>
      </c>
      <c r="C1097" s="374" t="s">
        <v>1066</v>
      </c>
      <c r="D1097" s="367" t="s">
        <v>34</v>
      </c>
      <c r="E1097" s="368" t="s">
        <v>35</v>
      </c>
      <c r="F1097" s="369" t="s">
        <v>1758</v>
      </c>
      <c r="G1097" s="366">
        <v>46265</v>
      </c>
      <c r="H1097" s="369" t="s">
        <v>2849</v>
      </c>
      <c r="I1097" s="367">
        <v>1</v>
      </c>
      <c r="J1097" s="375" t="s">
        <v>2857</v>
      </c>
      <c r="K1097" s="370" t="s">
        <v>1073</v>
      </c>
      <c r="L1097" s="370"/>
      <c r="M1097" s="70" t="str">
        <f t="shared" si="83"/>
        <v>INT-0013-26</v>
      </c>
      <c r="N1097" s="371"/>
      <c r="O1097" s="372"/>
    </row>
    <row r="1098" spans="1:15" ht="25.5" x14ac:dyDescent="0.25">
      <c r="A1098" s="366">
        <v>46049</v>
      </c>
      <c r="B1098" s="35" t="s">
        <v>2865</v>
      </c>
      <c r="C1098" s="374" t="s">
        <v>1066</v>
      </c>
      <c r="D1098" s="367" t="s">
        <v>36</v>
      </c>
      <c r="E1098" s="368" t="s">
        <v>37</v>
      </c>
      <c r="F1098" s="369" t="s">
        <v>2780</v>
      </c>
      <c r="G1098" s="366">
        <v>46356</v>
      </c>
      <c r="H1098" s="369" t="s">
        <v>2850</v>
      </c>
      <c r="I1098" s="367">
        <v>9</v>
      </c>
      <c r="J1098" s="375" t="s">
        <v>2857</v>
      </c>
      <c r="K1098" s="370" t="s">
        <v>1073</v>
      </c>
      <c r="L1098" s="370"/>
      <c r="M1098" s="70" t="str">
        <f t="shared" si="83"/>
        <v>INT-0013-26</v>
      </c>
      <c r="N1098" s="371"/>
      <c r="O1098" s="372"/>
    </row>
    <row r="1099" spans="1:15" ht="25.5" x14ac:dyDescent="0.25">
      <c r="A1099" s="366">
        <v>46049</v>
      </c>
      <c r="B1099" s="35" t="s">
        <v>2865</v>
      </c>
      <c r="C1099" s="374" t="s">
        <v>1066</v>
      </c>
      <c r="D1099" s="367" t="s">
        <v>28</v>
      </c>
      <c r="E1099" s="368" t="s">
        <v>29</v>
      </c>
      <c r="F1099" s="369" t="s">
        <v>1919</v>
      </c>
      <c r="G1099" s="366">
        <v>46234</v>
      </c>
      <c r="H1099" s="369" t="s">
        <v>2851</v>
      </c>
      <c r="I1099" s="367">
        <v>19</v>
      </c>
      <c r="J1099" s="375" t="s">
        <v>2857</v>
      </c>
      <c r="K1099" s="370" t="s">
        <v>1073</v>
      </c>
      <c r="L1099" s="370"/>
      <c r="M1099" s="70" t="str">
        <f t="shared" si="83"/>
        <v>INT-0013-26</v>
      </c>
      <c r="N1099" s="371"/>
      <c r="O1099" s="372"/>
    </row>
    <row r="1100" spans="1:15" ht="25.5" x14ac:dyDescent="0.25">
      <c r="A1100" s="366">
        <v>46049</v>
      </c>
      <c r="B1100" s="35" t="s">
        <v>2865</v>
      </c>
      <c r="C1100" s="374" t="s">
        <v>1066</v>
      </c>
      <c r="D1100" s="367" t="s">
        <v>28</v>
      </c>
      <c r="E1100" s="368" t="s">
        <v>29</v>
      </c>
      <c r="F1100" s="369" t="s">
        <v>2781</v>
      </c>
      <c r="G1100" s="366">
        <v>46234</v>
      </c>
      <c r="H1100" s="369" t="s">
        <v>2852</v>
      </c>
      <c r="I1100" s="367">
        <v>3</v>
      </c>
      <c r="J1100" s="375" t="s">
        <v>2857</v>
      </c>
      <c r="K1100" s="370" t="s">
        <v>1073</v>
      </c>
      <c r="L1100" s="370"/>
      <c r="M1100" s="70" t="str">
        <f t="shared" si="83"/>
        <v>INT-0013-26</v>
      </c>
      <c r="N1100" s="371"/>
      <c r="O1100" s="372"/>
    </row>
    <row r="1101" spans="1:15" ht="25.5" x14ac:dyDescent="0.25">
      <c r="A1101" s="366">
        <v>46049</v>
      </c>
      <c r="B1101" s="35" t="s">
        <v>2865</v>
      </c>
      <c r="C1101" s="374" t="s">
        <v>1066</v>
      </c>
      <c r="D1101" s="367" t="s">
        <v>1292</v>
      </c>
      <c r="E1101" s="368" t="s">
        <v>1293</v>
      </c>
      <c r="F1101" s="369" t="s">
        <v>2318</v>
      </c>
      <c r="G1101" s="366">
        <v>46142</v>
      </c>
      <c r="H1101" s="369" t="s">
        <v>2853</v>
      </c>
      <c r="I1101" s="367">
        <v>10</v>
      </c>
      <c r="J1101" s="375" t="s">
        <v>2857</v>
      </c>
      <c r="K1101" s="370" t="s">
        <v>1073</v>
      </c>
      <c r="L1101" s="370"/>
      <c r="M1101" s="70" t="str">
        <f t="shared" si="83"/>
        <v>INT-0013-26</v>
      </c>
      <c r="N1101" s="371"/>
      <c r="O1101" s="372"/>
    </row>
    <row r="1102" spans="1:15" ht="25.5" x14ac:dyDescent="0.25">
      <c r="A1102" s="366">
        <v>46049</v>
      </c>
      <c r="B1102" s="35" t="s">
        <v>2865</v>
      </c>
      <c r="C1102" s="374" t="s">
        <v>1066</v>
      </c>
      <c r="D1102" s="367" t="s">
        <v>34</v>
      </c>
      <c r="E1102" s="368" t="s">
        <v>35</v>
      </c>
      <c r="F1102" s="369" t="s">
        <v>2327</v>
      </c>
      <c r="G1102" s="366">
        <v>46142</v>
      </c>
      <c r="H1102" s="369" t="s">
        <v>2854</v>
      </c>
      <c r="I1102" s="367">
        <v>4</v>
      </c>
      <c r="J1102" s="375" t="s">
        <v>2857</v>
      </c>
      <c r="K1102" s="370" t="s">
        <v>1073</v>
      </c>
      <c r="L1102" s="370"/>
      <c r="M1102" s="70" t="str">
        <f t="shared" si="83"/>
        <v>INT-0013-26</v>
      </c>
      <c r="N1102" s="371"/>
      <c r="O1102" s="372"/>
    </row>
    <row r="1103" spans="1:15" ht="25.5" x14ac:dyDescent="0.25">
      <c r="A1103" s="366">
        <v>46049</v>
      </c>
      <c r="B1103" s="35" t="s">
        <v>2865</v>
      </c>
      <c r="C1103" s="374" t="s">
        <v>1066</v>
      </c>
      <c r="D1103" s="367" t="s">
        <v>42</v>
      </c>
      <c r="E1103" s="368" t="s">
        <v>43</v>
      </c>
      <c r="F1103" s="369" t="s">
        <v>1081</v>
      </c>
      <c r="G1103" s="366">
        <v>46081</v>
      </c>
      <c r="H1103" s="369" t="s">
        <v>2855</v>
      </c>
      <c r="I1103" s="367">
        <v>5</v>
      </c>
      <c r="J1103" s="375" t="s">
        <v>2857</v>
      </c>
      <c r="K1103" s="370" t="s">
        <v>1073</v>
      </c>
      <c r="L1103" s="370"/>
      <c r="M1103" s="70" t="str">
        <f t="shared" si="83"/>
        <v>INT-0013-26</v>
      </c>
      <c r="N1103" s="371"/>
      <c r="O1103" s="372"/>
    </row>
    <row r="1104" spans="1:15" ht="25.5" x14ac:dyDescent="0.25">
      <c r="A1104" s="366">
        <v>46049</v>
      </c>
      <c r="B1104" s="35" t="s">
        <v>2865</v>
      </c>
      <c r="C1104" s="374" t="s">
        <v>1066</v>
      </c>
      <c r="D1104" s="367" t="s">
        <v>34</v>
      </c>
      <c r="E1104" s="368" t="s">
        <v>35</v>
      </c>
      <c r="F1104" s="369" t="s">
        <v>903</v>
      </c>
      <c r="G1104" s="366">
        <v>46112</v>
      </c>
      <c r="H1104" s="369" t="s">
        <v>2856</v>
      </c>
      <c r="I1104" s="367">
        <v>3</v>
      </c>
      <c r="J1104" s="375" t="s">
        <v>2857</v>
      </c>
      <c r="K1104" s="370" t="s">
        <v>1073</v>
      </c>
      <c r="L1104" s="370"/>
      <c r="M1104" s="70" t="str">
        <f t="shared" si="83"/>
        <v>INT-0013-26</v>
      </c>
      <c r="N1104" s="371"/>
      <c r="O1104" s="372"/>
    </row>
    <row r="1105" spans="1:15" ht="15" x14ac:dyDescent="0.25">
      <c r="A1105" s="377">
        <v>46051</v>
      </c>
      <c r="B1105" s="35" t="s">
        <v>2865</v>
      </c>
      <c r="C1105" s="378" t="s">
        <v>1066</v>
      </c>
      <c r="D1105" s="379" t="s">
        <v>1133</v>
      </c>
      <c r="E1105" s="380" t="s">
        <v>1134</v>
      </c>
      <c r="F1105" s="381" t="s">
        <v>2383</v>
      </c>
      <c r="G1105" s="377">
        <v>46203</v>
      </c>
      <c r="H1105" s="381" t="s">
        <v>2866</v>
      </c>
      <c r="I1105" s="379">
        <v>4</v>
      </c>
      <c r="J1105" s="387" t="s">
        <v>2867</v>
      </c>
      <c r="K1105" s="382" t="s">
        <v>1073</v>
      </c>
      <c r="L1105" s="386" t="s">
        <v>2864</v>
      </c>
      <c r="M1105" s="383" t="str">
        <f>HYPERLINK("P:\7. LONG HAU\7. CAC THEO DOI TRONG QUA TRINH\4. DEVIATION- INCIDENTS\THEO DÕI NỘI BỘ (NGOÀI BBSC)\"&amp;YEAR(A1105)&amp;"\"&amp;B1105,B1105)</f>
        <v>INT-0013-26</v>
      </c>
      <c r="N1105" s="384"/>
      <c r="O1105" s="385"/>
    </row>
    <row r="1106" spans="1:15" ht="15" x14ac:dyDescent="0.25">
      <c r="A1106" s="377">
        <v>46056</v>
      </c>
      <c r="B1106" s="388" t="s">
        <v>2868</v>
      </c>
      <c r="C1106" s="378" t="s">
        <v>1066</v>
      </c>
      <c r="D1106" s="379" t="s">
        <v>1276</v>
      </c>
      <c r="E1106" s="380" t="s">
        <v>303</v>
      </c>
      <c r="F1106" s="381" t="s">
        <v>2869</v>
      </c>
      <c r="G1106" s="377">
        <v>46793</v>
      </c>
      <c r="H1106" s="381" t="s">
        <v>2870</v>
      </c>
      <c r="I1106" s="379">
        <v>1</v>
      </c>
      <c r="J1106" s="387" t="s">
        <v>2871</v>
      </c>
      <c r="K1106" s="389" t="s">
        <v>1072</v>
      </c>
      <c r="L1106" s="382"/>
      <c r="M1106" s="383" t="str">
        <f>HYPERLINK("P:\7. LONG HAU\7. CAC THEO DOI TRONG QUA TRINH\4. DEVIATION- INCIDENTS\THEO DÕI NỘI BỘ (NGOÀI BBSC)\"&amp;YEAR(A1106)&amp;"\"&amp;B1106,B1106)</f>
        <v>INT-0014-26</v>
      </c>
      <c r="N1106" s="384"/>
      <c r="O1106" s="385"/>
    </row>
    <row r="1107" spans="1:15" ht="15" x14ac:dyDescent="0.25">
      <c r="A1107" s="366">
        <v>46056</v>
      </c>
      <c r="B1107" s="373" t="s">
        <v>2868</v>
      </c>
      <c r="C1107" s="374" t="s">
        <v>1066</v>
      </c>
      <c r="D1107" s="367" t="s">
        <v>1673</v>
      </c>
      <c r="E1107" s="368" t="s">
        <v>1674</v>
      </c>
      <c r="F1107" s="369" t="s">
        <v>1675</v>
      </c>
      <c r="G1107" s="366">
        <v>46541</v>
      </c>
      <c r="H1107" s="369" t="s">
        <v>2878</v>
      </c>
      <c r="I1107" s="367">
        <v>3</v>
      </c>
      <c r="J1107" s="165" t="s">
        <v>2879</v>
      </c>
      <c r="K1107" s="40" t="s">
        <v>1072</v>
      </c>
      <c r="L1107" s="370"/>
      <c r="M1107" s="70" t="str">
        <f>HYPERLINK("P:\7. LONG HAU\7. CAC THEO DOI TRONG QUA TRINH\4. DEVIATION- INCIDENTS\THEO DÕI NỘI BỘ (NGOÀI BBSC)\"&amp;YEAR(A1107)&amp;"\"&amp;B1107,B1107)</f>
        <v>INT-0014-26</v>
      </c>
      <c r="N1107" s="371"/>
      <c r="O1107" s="372"/>
    </row>
    <row r="1108" spans="1:15" ht="25.5" x14ac:dyDescent="0.25">
      <c r="A1108" s="377">
        <v>46056</v>
      </c>
      <c r="B1108" s="388" t="s">
        <v>2872</v>
      </c>
      <c r="C1108" s="378" t="s">
        <v>1066</v>
      </c>
      <c r="D1108" s="379" t="s">
        <v>2386</v>
      </c>
      <c r="E1108" s="380" t="s">
        <v>2387</v>
      </c>
      <c r="F1108" s="381" t="s">
        <v>2873</v>
      </c>
      <c r="G1108" s="377">
        <v>47025</v>
      </c>
      <c r="H1108" s="381" t="s">
        <v>2874</v>
      </c>
      <c r="I1108" s="379">
        <v>1</v>
      </c>
      <c r="J1108" s="165" t="s">
        <v>2880</v>
      </c>
      <c r="K1108" s="382" t="s">
        <v>1645</v>
      </c>
      <c r="L1108" s="382"/>
      <c r="M1108" s="383" t="str">
        <f>HYPERLINK("P:\7. LONG HAU\7. CAC THEO DOI TRONG QUA TRINH\4. DEVIATION- INCIDENTS\THEO DÕI NỘI BỘ (NGOÀI BBSC)\"&amp;YEAR(A1108)&amp;"\"&amp;B1108,B1108)</f>
        <v>INT-0015-26</v>
      </c>
      <c r="N1108" s="384"/>
      <c r="O1108" s="385"/>
    </row>
    <row r="1109" spans="1:15" ht="25.5" x14ac:dyDescent="0.25">
      <c r="A1109" s="377">
        <v>46056</v>
      </c>
      <c r="B1109" s="388" t="s">
        <v>2872</v>
      </c>
      <c r="C1109" s="374" t="s">
        <v>1066</v>
      </c>
      <c r="D1109" s="367" t="s">
        <v>2222</v>
      </c>
      <c r="E1109" s="368" t="s">
        <v>2223</v>
      </c>
      <c r="F1109" s="369" t="s">
        <v>2572</v>
      </c>
      <c r="G1109" s="366">
        <v>46977</v>
      </c>
      <c r="H1109" s="369" t="s">
        <v>2875</v>
      </c>
      <c r="I1109" s="367">
        <v>3</v>
      </c>
      <c r="J1109" s="165" t="s">
        <v>2880</v>
      </c>
      <c r="K1109" s="382" t="s">
        <v>1645</v>
      </c>
      <c r="L1109" s="370"/>
      <c r="M1109" s="70" t="str">
        <f t="shared" ref="M1109:M1111" si="84">HYPERLINK("P:\7. LONG HAU\7. CAC THEO DOI TRONG QUA TRINH\4. DEVIATION- INCIDENTS\THEO DÕI NỘI BỘ (NGOÀI BBSC)\"&amp;YEAR(A1109)&amp;"\"&amp;B1109,B1109)</f>
        <v>INT-0015-26</v>
      </c>
      <c r="N1109" s="371"/>
      <c r="O1109" s="372"/>
    </row>
    <row r="1110" spans="1:15" ht="25.5" x14ac:dyDescent="0.25">
      <c r="A1110" s="377">
        <v>46056</v>
      </c>
      <c r="B1110" s="388" t="s">
        <v>2872</v>
      </c>
      <c r="C1110" s="374" t="s">
        <v>1066</v>
      </c>
      <c r="D1110" s="367" t="s">
        <v>2226</v>
      </c>
      <c r="E1110" s="368" t="s">
        <v>2227</v>
      </c>
      <c r="F1110" s="369" t="s">
        <v>2654</v>
      </c>
      <c r="G1110" s="366">
        <v>46807</v>
      </c>
      <c r="H1110" s="369" t="s">
        <v>2876</v>
      </c>
      <c r="I1110" s="367">
        <v>6</v>
      </c>
      <c r="J1110" s="165" t="s">
        <v>2880</v>
      </c>
      <c r="K1110" s="382" t="s">
        <v>1645</v>
      </c>
      <c r="L1110" s="370"/>
      <c r="M1110" s="70" t="str">
        <f t="shared" si="84"/>
        <v>INT-0015-26</v>
      </c>
      <c r="N1110" s="371"/>
      <c r="O1110" s="372"/>
    </row>
    <row r="1111" spans="1:15" ht="25.5" x14ac:dyDescent="0.25">
      <c r="A1111" s="377">
        <v>46056</v>
      </c>
      <c r="B1111" s="388" t="s">
        <v>2872</v>
      </c>
      <c r="C1111" s="374" t="s">
        <v>1066</v>
      </c>
      <c r="D1111" s="367" t="s">
        <v>2560</v>
      </c>
      <c r="E1111" s="368" t="s">
        <v>2561</v>
      </c>
      <c r="F1111" s="369" t="s">
        <v>2446</v>
      </c>
      <c r="G1111" s="366">
        <v>46971</v>
      </c>
      <c r="H1111" s="369" t="s">
        <v>2877</v>
      </c>
      <c r="I1111" s="367">
        <v>5</v>
      </c>
      <c r="J1111" s="165" t="s">
        <v>2880</v>
      </c>
      <c r="K1111" s="382" t="s">
        <v>1645</v>
      </c>
      <c r="L1111" s="370"/>
      <c r="M1111" s="70" t="str">
        <f t="shared" si="84"/>
        <v>INT-0015-26</v>
      </c>
      <c r="N1111" s="371"/>
      <c r="O1111" s="372"/>
    </row>
    <row r="1112" spans="1:15" ht="15" x14ac:dyDescent="0.25">
      <c r="A1112" s="377">
        <v>46059</v>
      </c>
      <c r="B1112" s="388" t="s">
        <v>2881</v>
      </c>
      <c r="C1112" s="378" t="s">
        <v>1066</v>
      </c>
      <c r="D1112" s="379" t="s">
        <v>2882</v>
      </c>
      <c r="E1112" s="380" t="s">
        <v>2883</v>
      </c>
      <c r="F1112" s="381" t="s">
        <v>2884</v>
      </c>
      <c r="G1112" s="377">
        <v>46525</v>
      </c>
      <c r="H1112" s="381" t="s">
        <v>2885</v>
      </c>
      <c r="I1112" s="379">
        <v>1</v>
      </c>
      <c r="J1112" s="387" t="s">
        <v>2886</v>
      </c>
      <c r="K1112" s="389" t="s">
        <v>1645</v>
      </c>
      <c r="L1112" s="382"/>
      <c r="M1112" s="383" t="str">
        <f>HYPERLINK("P:\7. LONG HAU\7. CAC THEO DOI TRONG QUA TRINH\4. DEVIATION- INCIDENTS\THEO DÕI NỘI BỘ (NGOÀI BBSC)\"&amp;YEAR(A1112)&amp;"\"&amp;B1112,B1112)</f>
        <v>INT-0016-26</v>
      </c>
      <c r="N1112" s="384"/>
      <c r="O1112" s="385"/>
    </row>
    <row r="1113" spans="1:15" ht="15" x14ac:dyDescent="0.25">
      <c r="A1113" s="377">
        <v>46059</v>
      </c>
      <c r="B1113" s="388" t="s">
        <v>2887</v>
      </c>
      <c r="C1113" s="378" t="s">
        <v>1066</v>
      </c>
      <c r="D1113" s="379" t="s">
        <v>34</v>
      </c>
      <c r="E1113" s="380" t="s">
        <v>35</v>
      </c>
      <c r="F1113" s="381" t="s">
        <v>2888</v>
      </c>
      <c r="G1113" s="377">
        <v>46234</v>
      </c>
      <c r="H1113" s="381" t="s">
        <v>2900</v>
      </c>
      <c r="I1113" s="379">
        <v>10</v>
      </c>
      <c r="J1113" s="390" t="s">
        <v>2942</v>
      </c>
      <c r="K1113" s="382" t="s">
        <v>1072</v>
      </c>
      <c r="L1113" s="382"/>
      <c r="M1113" s="383" t="str">
        <f>HYPERLINK("P:\7. LONG HAU\7. CAC THEO DOI TRONG QUA TRINH\4. DEVIATION- INCIDENTS\THEO DÕI NỘI BỘ (NGOÀI BBSC)\"&amp;YEAR(A1113)&amp;"\"&amp;B1113,B1113)</f>
        <v>INT-0017-26</v>
      </c>
      <c r="N1113" s="384"/>
      <c r="O1113" s="385"/>
    </row>
    <row r="1114" spans="1:15" ht="15" x14ac:dyDescent="0.25">
      <c r="A1114" s="366">
        <v>46059</v>
      </c>
      <c r="B1114" s="373" t="s">
        <v>2887</v>
      </c>
      <c r="C1114" s="374" t="s">
        <v>1066</v>
      </c>
      <c r="D1114" s="367" t="s">
        <v>34</v>
      </c>
      <c r="E1114" s="368" t="s">
        <v>35</v>
      </c>
      <c r="F1114" s="369" t="s">
        <v>2767</v>
      </c>
      <c r="G1114" s="366">
        <v>46295</v>
      </c>
      <c r="H1114" s="369" t="s">
        <v>2901</v>
      </c>
      <c r="I1114" s="367">
        <v>4</v>
      </c>
      <c r="J1114" s="375" t="s">
        <v>2942</v>
      </c>
      <c r="K1114" s="370" t="s">
        <v>1072</v>
      </c>
      <c r="L1114" s="370"/>
      <c r="M1114" s="70" t="str">
        <f t="shared" ref="M1114:M1154" si="85">HYPERLINK("P:\7. LONG HAU\7. CAC THEO DOI TRONG QUA TRINH\4. DEVIATION- INCIDENTS\THEO DÕI NỘI BỘ (NGOÀI BBSC)\"&amp;YEAR(A1114)&amp;"\"&amp;B1114,B1114)</f>
        <v>INT-0017-26</v>
      </c>
      <c r="N1114" s="371"/>
      <c r="O1114" s="372"/>
    </row>
    <row r="1115" spans="1:15" ht="15" x14ac:dyDescent="0.25">
      <c r="A1115" s="366">
        <v>46059</v>
      </c>
      <c r="B1115" s="373" t="s">
        <v>2887</v>
      </c>
      <c r="C1115" s="374" t="s">
        <v>1066</v>
      </c>
      <c r="D1115" s="367" t="s">
        <v>34</v>
      </c>
      <c r="E1115" s="368" t="s">
        <v>35</v>
      </c>
      <c r="F1115" s="369" t="s">
        <v>2779</v>
      </c>
      <c r="G1115" s="366">
        <v>46203</v>
      </c>
      <c r="H1115" s="369" t="s">
        <v>2902</v>
      </c>
      <c r="I1115" s="367">
        <v>14</v>
      </c>
      <c r="J1115" s="375" t="s">
        <v>2942</v>
      </c>
      <c r="K1115" s="370" t="s">
        <v>1072</v>
      </c>
      <c r="L1115" s="370"/>
      <c r="M1115" s="70" t="str">
        <f t="shared" si="85"/>
        <v>INT-0017-26</v>
      </c>
      <c r="N1115" s="371"/>
      <c r="O1115" s="372"/>
    </row>
    <row r="1116" spans="1:15" ht="15" x14ac:dyDescent="0.25">
      <c r="A1116" s="366">
        <v>46059</v>
      </c>
      <c r="B1116" s="373" t="s">
        <v>2887</v>
      </c>
      <c r="C1116" s="374" t="s">
        <v>1066</v>
      </c>
      <c r="D1116" s="367" t="s">
        <v>34</v>
      </c>
      <c r="E1116" s="368" t="s">
        <v>35</v>
      </c>
      <c r="F1116" s="369" t="s">
        <v>1758</v>
      </c>
      <c r="G1116" s="366">
        <v>46265</v>
      </c>
      <c r="H1116" s="369" t="s">
        <v>2903</v>
      </c>
      <c r="I1116" s="367">
        <v>12</v>
      </c>
      <c r="J1116" s="375" t="s">
        <v>2942</v>
      </c>
      <c r="K1116" s="370" t="s">
        <v>1072</v>
      </c>
      <c r="L1116" s="370"/>
      <c r="M1116" s="70" t="str">
        <f t="shared" si="85"/>
        <v>INT-0017-26</v>
      </c>
      <c r="N1116" s="371"/>
      <c r="O1116" s="372"/>
    </row>
    <row r="1117" spans="1:15" ht="15" x14ac:dyDescent="0.25">
      <c r="A1117" s="366">
        <v>46059</v>
      </c>
      <c r="B1117" s="373" t="s">
        <v>2887</v>
      </c>
      <c r="C1117" s="374" t="s">
        <v>1066</v>
      </c>
      <c r="D1117" s="367" t="s">
        <v>34</v>
      </c>
      <c r="E1117" s="368" t="s">
        <v>35</v>
      </c>
      <c r="F1117" s="369" t="s">
        <v>1394</v>
      </c>
      <c r="G1117" s="366">
        <v>46234</v>
      </c>
      <c r="H1117" s="369" t="s">
        <v>2904</v>
      </c>
      <c r="I1117" s="367">
        <v>41</v>
      </c>
      <c r="J1117" s="375" t="s">
        <v>2942</v>
      </c>
      <c r="K1117" s="370" t="s">
        <v>1072</v>
      </c>
      <c r="L1117" s="370"/>
      <c r="M1117" s="70" t="str">
        <f t="shared" si="85"/>
        <v>INT-0017-26</v>
      </c>
      <c r="N1117" s="371"/>
      <c r="O1117" s="372"/>
    </row>
    <row r="1118" spans="1:15" ht="15" x14ac:dyDescent="0.25">
      <c r="A1118" s="366">
        <v>46059</v>
      </c>
      <c r="B1118" s="373" t="s">
        <v>2887</v>
      </c>
      <c r="C1118" s="374" t="s">
        <v>1066</v>
      </c>
      <c r="D1118" s="367" t="s">
        <v>34</v>
      </c>
      <c r="E1118" s="368" t="s">
        <v>35</v>
      </c>
      <c r="F1118" s="369" t="s">
        <v>2771</v>
      </c>
      <c r="G1118" s="366">
        <v>46264</v>
      </c>
      <c r="H1118" s="369" t="s">
        <v>2905</v>
      </c>
      <c r="I1118" s="367">
        <v>26</v>
      </c>
      <c r="J1118" s="375" t="s">
        <v>2942</v>
      </c>
      <c r="K1118" s="370" t="s">
        <v>1072</v>
      </c>
      <c r="L1118" s="370"/>
      <c r="M1118" s="70" t="str">
        <f t="shared" si="85"/>
        <v>INT-0017-26</v>
      </c>
      <c r="N1118" s="371"/>
      <c r="O1118" s="372"/>
    </row>
    <row r="1119" spans="1:15" ht="15" x14ac:dyDescent="0.25">
      <c r="A1119" s="366">
        <v>46059</v>
      </c>
      <c r="B1119" s="373" t="s">
        <v>2887</v>
      </c>
      <c r="C1119" s="374" t="s">
        <v>1066</v>
      </c>
      <c r="D1119" s="367" t="s">
        <v>1292</v>
      </c>
      <c r="E1119" s="368" t="s">
        <v>1293</v>
      </c>
      <c r="F1119" s="369" t="s">
        <v>2691</v>
      </c>
      <c r="G1119" s="366">
        <v>46265</v>
      </c>
      <c r="H1119" s="369" t="s">
        <v>2906</v>
      </c>
      <c r="I1119" s="367">
        <v>7</v>
      </c>
      <c r="J1119" s="375" t="s">
        <v>2942</v>
      </c>
      <c r="K1119" s="370" t="s">
        <v>1072</v>
      </c>
      <c r="L1119" s="370"/>
      <c r="M1119" s="70" t="str">
        <f t="shared" si="85"/>
        <v>INT-0017-26</v>
      </c>
      <c r="N1119" s="371"/>
      <c r="O1119" s="372"/>
    </row>
    <row r="1120" spans="1:15" ht="15" x14ac:dyDescent="0.25">
      <c r="A1120" s="366">
        <v>46059</v>
      </c>
      <c r="B1120" s="373" t="s">
        <v>2887</v>
      </c>
      <c r="C1120" s="374" t="s">
        <v>1066</v>
      </c>
      <c r="D1120" s="367" t="s">
        <v>1292</v>
      </c>
      <c r="E1120" s="368" t="s">
        <v>1293</v>
      </c>
      <c r="F1120" s="369" t="s">
        <v>2692</v>
      </c>
      <c r="G1120" s="366">
        <v>46173</v>
      </c>
      <c r="H1120" s="369" t="s">
        <v>2907</v>
      </c>
      <c r="I1120" s="367">
        <v>3</v>
      </c>
      <c r="J1120" s="375" t="s">
        <v>2942</v>
      </c>
      <c r="K1120" s="370" t="s">
        <v>1072</v>
      </c>
      <c r="L1120" s="370"/>
      <c r="M1120" s="70" t="str">
        <f t="shared" si="85"/>
        <v>INT-0017-26</v>
      </c>
      <c r="N1120" s="371"/>
      <c r="O1120" s="372"/>
    </row>
    <row r="1121" spans="1:15" ht="15" x14ac:dyDescent="0.25">
      <c r="A1121" s="366">
        <v>46059</v>
      </c>
      <c r="B1121" s="373" t="s">
        <v>2887</v>
      </c>
      <c r="C1121" s="374" t="s">
        <v>1066</v>
      </c>
      <c r="D1121" s="367" t="s">
        <v>1292</v>
      </c>
      <c r="E1121" s="368" t="s">
        <v>1293</v>
      </c>
      <c r="F1121" s="369" t="s">
        <v>2889</v>
      </c>
      <c r="G1121" s="366">
        <v>46691</v>
      </c>
      <c r="H1121" s="369" t="s">
        <v>2908</v>
      </c>
      <c r="I1121" s="367">
        <v>1</v>
      </c>
      <c r="J1121" s="375" t="s">
        <v>2942</v>
      </c>
      <c r="K1121" s="370" t="s">
        <v>1072</v>
      </c>
      <c r="L1121" s="370"/>
      <c r="M1121" s="70" t="str">
        <f t="shared" si="85"/>
        <v>INT-0017-26</v>
      </c>
      <c r="N1121" s="371"/>
      <c r="O1121" s="372"/>
    </row>
    <row r="1122" spans="1:15" ht="15" x14ac:dyDescent="0.25">
      <c r="A1122" s="366">
        <v>46059</v>
      </c>
      <c r="B1122" s="373" t="s">
        <v>2887</v>
      </c>
      <c r="C1122" s="374" t="s">
        <v>1066</v>
      </c>
      <c r="D1122" s="367" t="s">
        <v>1292</v>
      </c>
      <c r="E1122" s="368" t="s">
        <v>1293</v>
      </c>
      <c r="F1122" s="369" t="s">
        <v>2890</v>
      </c>
      <c r="G1122" s="366">
        <v>46234</v>
      </c>
      <c r="H1122" s="369" t="s">
        <v>2909</v>
      </c>
      <c r="I1122" s="367">
        <v>4</v>
      </c>
      <c r="J1122" s="375" t="s">
        <v>2942</v>
      </c>
      <c r="K1122" s="370" t="s">
        <v>1072</v>
      </c>
      <c r="L1122" s="370"/>
      <c r="M1122" s="70" t="str">
        <f t="shared" si="85"/>
        <v>INT-0017-26</v>
      </c>
      <c r="N1122" s="371"/>
      <c r="O1122" s="372"/>
    </row>
    <row r="1123" spans="1:15" ht="15" x14ac:dyDescent="0.25">
      <c r="A1123" s="366">
        <v>46059</v>
      </c>
      <c r="B1123" s="373" t="s">
        <v>2887</v>
      </c>
      <c r="C1123" s="374" t="s">
        <v>1066</v>
      </c>
      <c r="D1123" s="367" t="s">
        <v>1292</v>
      </c>
      <c r="E1123" s="368" t="s">
        <v>1293</v>
      </c>
      <c r="F1123" s="369" t="s">
        <v>2891</v>
      </c>
      <c r="G1123" s="366">
        <v>46752</v>
      </c>
      <c r="H1123" s="369" t="s">
        <v>2910</v>
      </c>
      <c r="I1123" s="367">
        <v>1</v>
      </c>
      <c r="J1123" s="375" t="s">
        <v>2942</v>
      </c>
      <c r="K1123" s="370" t="s">
        <v>1072</v>
      </c>
      <c r="L1123" s="370"/>
      <c r="M1123" s="70" t="str">
        <f t="shared" si="85"/>
        <v>INT-0017-26</v>
      </c>
      <c r="N1123" s="371"/>
      <c r="O1123" s="372"/>
    </row>
    <row r="1124" spans="1:15" ht="15" x14ac:dyDescent="0.25">
      <c r="A1124" s="366">
        <v>46059</v>
      </c>
      <c r="B1124" s="373" t="s">
        <v>2887</v>
      </c>
      <c r="C1124" s="374" t="s">
        <v>1066</v>
      </c>
      <c r="D1124" s="367" t="s">
        <v>47</v>
      </c>
      <c r="E1124" s="368" t="s">
        <v>48</v>
      </c>
      <c r="F1124" s="369" t="s">
        <v>2764</v>
      </c>
      <c r="G1124" s="366">
        <v>46446</v>
      </c>
      <c r="H1124" s="369" t="s">
        <v>2911</v>
      </c>
      <c r="I1124" s="367">
        <v>2</v>
      </c>
      <c r="J1124" s="375" t="s">
        <v>2942</v>
      </c>
      <c r="K1124" s="370" t="s">
        <v>1072</v>
      </c>
      <c r="L1124" s="370"/>
      <c r="M1124" s="70" t="str">
        <f t="shared" si="85"/>
        <v>INT-0017-26</v>
      </c>
      <c r="N1124" s="371"/>
      <c r="O1124" s="372"/>
    </row>
    <row r="1125" spans="1:15" ht="15" x14ac:dyDescent="0.25">
      <c r="A1125" s="366">
        <v>46059</v>
      </c>
      <c r="B1125" s="373" t="s">
        <v>2887</v>
      </c>
      <c r="C1125" s="374" t="s">
        <v>1066</v>
      </c>
      <c r="D1125" s="367" t="s">
        <v>47</v>
      </c>
      <c r="E1125" s="368" t="s">
        <v>48</v>
      </c>
      <c r="F1125" s="369" t="s">
        <v>812</v>
      </c>
      <c r="G1125" s="366">
        <v>46173</v>
      </c>
      <c r="H1125" s="369" t="s">
        <v>2912</v>
      </c>
      <c r="I1125" s="367">
        <v>23</v>
      </c>
      <c r="J1125" s="375" t="s">
        <v>2942</v>
      </c>
      <c r="K1125" s="370" t="s">
        <v>1072</v>
      </c>
      <c r="L1125" s="370"/>
      <c r="M1125" s="70" t="str">
        <f t="shared" si="85"/>
        <v>INT-0017-26</v>
      </c>
      <c r="N1125" s="371"/>
      <c r="O1125" s="372"/>
    </row>
    <row r="1126" spans="1:15" ht="15" x14ac:dyDescent="0.25">
      <c r="A1126" s="366">
        <v>46059</v>
      </c>
      <c r="B1126" s="373" t="s">
        <v>2887</v>
      </c>
      <c r="C1126" s="374" t="s">
        <v>1066</v>
      </c>
      <c r="D1126" s="367" t="s">
        <v>47</v>
      </c>
      <c r="E1126" s="368" t="s">
        <v>48</v>
      </c>
      <c r="F1126" s="369" t="s">
        <v>2892</v>
      </c>
      <c r="G1126" s="366">
        <v>46660</v>
      </c>
      <c r="H1126" s="369" t="s">
        <v>2913</v>
      </c>
      <c r="I1126" s="367">
        <v>2</v>
      </c>
      <c r="J1126" s="375" t="s">
        <v>2942</v>
      </c>
      <c r="K1126" s="370" t="s">
        <v>1072</v>
      </c>
      <c r="L1126" s="370"/>
      <c r="M1126" s="70" t="str">
        <f t="shared" si="85"/>
        <v>INT-0017-26</v>
      </c>
      <c r="N1126" s="371"/>
      <c r="O1126" s="372"/>
    </row>
    <row r="1127" spans="1:15" ht="15" x14ac:dyDescent="0.25">
      <c r="A1127" s="366">
        <v>46059</v>
      </c>
      <c r="B1127" s="373" t="s">
        <v>2887</v>
      </c>
      <c r="C1127" s="374" t="s">
        <v>1066</v>
      </c>
      <c r="D1127" s="367" t="s">
        <v>47</v>
      </c>
      <c r="E1127" s="368" t="s">
        <v>48</v>
      </c>
      <c r="F1127" s="369" t="s">
        <v>1740</v>
      </c>
      <c r="G1127" s="366">
        <v>46173</v>
      </c>
      <c r="H1127" s="369" t="s">
        <v>2914</v>
      </c>
      <c r="I1127" s="367">
        <v>13</v>
      </c>
      <c r="J1127" s="375" t="s">
        <v>2942</v>
      </c>
      <c r="K1127" s="370" t="s">
        <v>1072</v>
      </c>
      <c r="L1127" s="370"/>
      <c r="M1127" s="70" t="str">
        <f t="shared" si="85"/>
        <v>INT-0017-26</v>
      </c>
      <c r="N1127" s="371"/>
      <c r="O1127" s="372"/>
    </row>
    <row r="1128" spans="1:15" ht="15" x14ac:dyDescent="0.25">
      <c r="A1128" s="366">
        <v>46059</v>
      </c>
      <c r="B1128" s="373" t="s">
        <v>2887</v>
      </c>
      <c r="C1128" s="374" t="s">
        <v>1066</v>
      </c>
      <c r="D1128" s="367" t="s">
        <v>47</v>
      </c>
      <c r="E1128" s="368" t="s">
        <v>48</v>
      </c>
      <c r="F1128" s="369" t="s">
        <v>623</v>
      </c>
      <c r="G1128" s="366">
        <v>46173</v>
      </c>
      <c r="H1128" s="369" t="s">
        <v>2915</v>
      </c>
      <c r="I1128" s="367">
        <v>1</v>
      </c>
      <c r="J1128" s="375" t="s">
        <v>2942</v>
      </c>
      <c r="K1128" s="370" t="s">
        <v>1072</v>
      </c>
      <c r="L1128" s="370"/>
      <c r="M1128" s="70" t="str">
        <f t="shared" si="85"/>
        <v>INT-0017-26</v>
      </c>
      <c r="N1128" s="371"/>
      <c r="O1128" s="372"/>
    </row>
    <row r="1129" spans="1:15" ht="15" x14ac:dyDescent="0.25">
      <c r="A1129" s="366">
        <v>46059</v>
      </c>
      <c r="B1129" s="373" t="s">
        <v>2887</v>
      </c>
      <c r="C1129" s="374" t="s">
        <v>1066</v>
      </c>
      <c r="D1129" s="367" t="s">
        <v>42</v>
      </c>
      <c r="E1129" s="368" t="s">
        <v>43</v>
      </c>
      <c r="F1129" s="369" t="s">
        <v>1960</v>
      </c>
      <c r="G1129" s="366">
        <v>46234</v>
      </c>
      <c r="H1129" s="369" t="s">
        <v>2916</v>
      </c>
      <c r="I1129" s="367">
        <v>31</v>
      </c>
      <c r="J1129" s="375" t="s">
        <v>2942</v>
      </c>
      <c r="K1129" s="370" t="s">
        <v>1072</v>
      </c>
      <c r="L1129" s="370"/>
      <c r="M1129" s="70" t="str">
        <f t="shared" si="85"/>
        <v>INT-0017-26</v>
      </c>
      <c r="N1129" s="371"/>
      <c r="O1129" s="372"/>
    </row>
    <row r="1130" spans="1:15" ht="15" x14ac:dyDescent="0.25">
      <c r="A1130" s="366">
        <v>46059</v>
      </c>
      <c r="B1130" s="373" t="s">
        <v>2887</v>
      </c>
      <c r="C1130" s="374" t="s">
        <v>1066</v>
      </c>
      <c r="D1130" s="367" t="s">
        <v>42</v>
      </c>
      <c r="E1130" s="368" t="s">
        <v>43</v>
      </c>
      <c r="F1130" s="369" t="s">
        <v>2762</v>
      </c>
      <c r="G1130" s="366">
        <v>46477</v>
      </c>
      <c r="H1130" s="369" t="s">
        <v>2917</v>
      </c>
      <c r="I1130" s="367">
        <v>2</v>
      </c>
      <c r="J1130" s="375" t="s">
        <v>2942</v>
      </c>
      <c r="K1130" s="370" t="s">
        <v>1072</v>
      </c>
      <c r="L1130" s="370"/>
      <c r="M1130" s="70" t="str">
        <f t="shared" si="85"/>
        <v>INT-0017-26</v>
      </c>
      <c r="N1130" s="371"/>
      <c r="O1130" s="372"/>
    </row>
    <row r="1131" spans="1:15" ht="15" x14ac:dyDescent="0.25">
      <c r="A1131" s="366">
        <v>46059</v>
      </c>
      <c r="B1131" s="373" t="s">
        <v>2887</v>
      </c>
      <c r="C1131" s="374" t="s">
        <v>1066</v>
      </c>
      <c r="D1131" s="367" t="s">
        <v>42</v>
      </c>
      <c r="E1131" s="368" t="s">
        <v>43</v>
      </c>
      <c r="F1131" s="369" t="s">
        <v>2778</v>
      </c>
      <c r="G1131" s="366">
        <v>46446</v>
      </c>
      <c r="H1131" s="369" t="s">
        <v>2918</v>
      </c>
      <c r="I1131" s="367">
        <v>1</v>
      </c>
      <c r="J1131" s="375" t="s">
        <v>2942</v>
      </c>
      <c r="K1131" s="370" t="s">
        <v>1072</v>
      </c>
      <c r="L1131" s="370"/>
      <c r="M1131" s="70" t="str">
        <f t="shared" si="85"/>
        <v>INT-0017-26</v>
      </c>
      <c r="N1131" s="371"/>
      <c r="O1131" s="372"/>
    </row>
    <row r="1132" spans="1:15" ht="15" x14ac:dyDescent="0.25">
      <c r="A1132" s="366">
        <v>46059</v>
      </c>
      <c r="B1132" s="373" t="s">
        <v>2887</v>
      </c>
      <c r="C1132" s="374" t="s">
        <v>1066</v>
      </c>
      <c r="D1132" s="367" t="s">
        <v>42</v>
      </c>
      <c r="E1132" s="368" t="s">
        <v>43</v>
      </c>
      <c r="F1132" s="369" t="s">
        <v>2893</v>
      </c>
      <c r="G1132" s="366">
        <v>46507</v>
      </c>
      <c r="H1132" s="369" t="s">
        <v>2919</v>
      </c>
      <c r="I1132" s="367">
        <v>1</v>
      </c>
      <c r="J1132" s="375" t="s">
        <v>2942</v>
      </c>
      <c r="K1132" s="370" t="s">
        <v>1072</v>
      </c>
      <c r="L1132" s="370"/>
      <c r="M1132" s="70" t="str">
        <f t="shared" si="85"/>
        <v>INT-0017-26</v>
      </c>
      <c r="N1132" s="371"/>
      <c r="O1132" s="372"/>
    </row>
    <row r="1133" spans="1:15" ht="15" x14ac:dyDescent="0.25">
      <c r="A1133" s="366">
        <v>46059</v>
      </c>
      <c r="B1133" s="373" t="s">
        <v>2887</v>
      </c>
      <c r="C1133" s="374" t="s">
        <v>1066</v>
      </c>
      <c r="D1133" s="367" t="s">
        <v>42</v>
      </c>
      <c r="E1133" s="368" t="s">
        <v>43</v>
      </c>
      <c r="F1133" s="369" t="s">
        <v>2894</v>
      </c>
      <c r="G1133" s="366">
        <v>46507</v>
      </c>
      <c r="H1133" s="369" t="s">
        <v>2920</v>
      </c>
      <c r="I1133" s="367">
        <v>1</v>
      </c>
      <c r="J1133" s="375" t="s">
        <v>2942</v>
      </c>
      <c r="K1133" s="370" t="s">
        <v>1072</v>
      </c>
      <c r="L1133" s="370"/>
      <c r="M1133" s="70" t="str">
        <f t="shared" si="85"/>
        <v>INT-0017-26</v>
      </c>
      <c r="N1133" s="371"/>
      <c r="O1133" s="372"/>
    </row>
    <row r="1134" spans="1:15" ht="15" x14ac:dyDescent="0.25">
      <c r="A1134" s="366">
        <v>46059</v>
      </c>
      <c r="B1134" s="373" t="s">
        <v>2887</v>
      </c>
      <c r="C1134" s="374" t="s">
        <v>1066</v>
      </c>
      <c r="D1134" s="367" t="s">
        <v>42</v>
      </c>
      <c r="E1134" s="368" t="s">
        <v>43</v>
      </c>
      <c r="F1134" s="369" t="s">
        <v>2895</v>
      </c>
      <c r="G1134" s="366">
        <v>46477</v>
      </c>
      <c r="H1134" s="369" t="s">
        <v>2921</v>
      </c>
      <c r="I1134" s="367">
        <v>2</v>
      </c>
      <c r="J1134" s="375" t="s">
        <v>2942</v>
      </c>
      <c r="K1134" s="370" t="s">
        <v>1072</v>
      </c>
      <c r="L1134" s="370"/>
      <c r="M1134" s="70" t="str">
        <f t="shared" si="85"/>
        <v>INT-0017-26</v>
      </c>
      <c r="N1134" s="371"/>
      <c r="O1134" s="372"/>
    </row>
    <row r="1135" spans="1:15" ht="15" x14ac:dyDescent="0.25">
      <c r="A1135" s="366">
        <v>46059</v>
      </c>
      <c r="B1135" s="373" t="s">
        <v>2887</v>
      </c>
      <c r="C1135" s="374" t="s">
        <v>1066</v>
      </c>
      <c r="D1135" s="367" t="s">
        <v>42</v>
      </c>
      <c r="E1135" s="368" t="s">
        <v>43</v>
      </c>
      <c r="F1135" s="369" t="s">
        <v>1753</v>
      </c>
      <c r="G1135" s="366">
        <v>46265</v>
      </c>
      <c r="H1135" s="369" t="s">
        <v>2922</v>
      </c>
      <c r="I1135" s="367">
        <v>11</v>
      </c>
      <c r="J1135" s="375" t="s">
        <v>2942</v>
      </c>
      <c r="K1135" s="370" t="s">
        <v>1072</v>
      </c>
      <c r="L1135" s="370"/>
      <c r="M1135" s="70" t="str">
        <f t="shared" si="85"/>
        <v>INT-0017-26</v>
      </c>
      <c r="N1135" s="371"/>
      <c r="O1135" s="372"/>
    </row>
    <row r="1136" spans="1:15" ht="15" x14ac:dyDescent="0.25">
      <c r="A1136" s="366">
        <v>46059</v>
      </c>
      <c r="B1136" s="373" t="s">
        <v>2887</v>
      </c>
      <c r="C1136" s="374" t="s">
        <v>1066</v>
      </c>
      <c r="D1136" s="367" t="s">
        <v>42</v>
      </c>
      <c r="E1136" s="368" t="s">
        <v>43</v>
      </c>
      <c r="F1136" s="369" t="s">
        <v>2775</v>
      </c>
      <c r="G1136" s="366">
        <v>46234</v>
      </c>
      <c r="H1136" s="369" t="s">
        <v>2923</v>
      </c>
      <c r="I1136" s="367">
        <v>16</v>
      </c>
      <c r="J1136" s="375" t="s">
        <v>2942</v>
      </c>
      <c r="K1136" s="370" t="s">
        <v>1072</v>
      </c>
      <c r="L1136" s="370"/>
      <c r="M1136" s="70" t="str">
        <f t="shared" si="85"/>
        <v>INT-0017-26</v>
      </c>
      <c r="N1136" s="371"/>
      <c r="O1136" s="372"/>
    </row>
    <row r="1137" spans="1:15" ht="15" x14ac:dyDescent="0.25">
      <c r="A1137" s="366">
        <v>46059</v>
      </c>
      <c r="B1137" s="373" t="s">
        <v>2887</v>
      </c>
      <c r="C1137" s="374" t="s">
        <v>1066</v>
      </c>
      <c r="D1137" s="367" t="s">
        <v>42</v>
      </c>
      <c r="E1137" s="368" t="s">
        <v>43</v>
      </c>
      <c r="F1137" s="369" t="s">
        <v>2759</v>
      </c>
      <c r="G1137" s="366">
        <v>46387</v>
      </c>
      <c r="H1137" s="369" t="s">
        <v>2924</v>
      </c>
      <c r="I1137" s="367">
        <v>5</v>
      </c>
      <c r="J1137" s="375" t="s">
        <v>2942</v>
      </c>
      <c r="K1137" s="370" t="s">
        <v>1072</v>
      </c>
      <c r="L1137" s="370"/>
      <c r="M1137" s="70" t="str">
        <f t="shared" si="85"/>
        <v>INT-0017-26</v>
      </c>
      <c r="N1137" s="371"/>
      <c r="O1137" s="372"/>
    </row>
    <row r="1138" spans="1:15" ht="15" x14ac:dyDescent="0.25">
      <c r="A1138" s="366">
        <v>46059</v>
      </c>
      <c r="B1138" s="373" t="s">
        <v>2887</v>
      </c>
      <c r="C1138" s="374" t="s">
        <v>1066</v>
      </c>
      <c r="D1138" s="367" t="s">
        <v>1836</v>
      </c>
      <c r="E1138" s="368" t="s">
        <v>1837</v>
      </c>
      <c r="F1138" s="369" t="s">
        <v>1839</v>
      </c>
      <c r="G1138" s="366">
        <v>46234</v>
      </c>
      <c r="H1138" s="369" t="s">
        <v>2925</v>
      </c>
      <c r="I1138" s="367">
        <v>473</v>
      </c>
      <c r="J1138" s="375" t="s">
        <v>2942</v>
      </c>
      <c r="K1138" s="370" t="s">
        <v>1072</v>
      </c>
      <c r="L1138" s="370"/>
      <c r="M1138" s="70" t="str">
        <f t="shared" si="85"/>
        <v>INT-0017-26</v>
      </c>
      <c r="N1138" s="371"/>
      <c r="O1138" s="372"/>
    </row>
    <row r="1139" spans="1:15" ht="15" x14ac:dyDescent="0.25">
      <c r="A1139" s="366">
        <v>46059</v>
      </c>
      <c r="B1139" s="373" t="s">
        <v>2887</v>
      </c>
      <c r="C1139" s="374" t="s">
        <v>1066</v>
      </c>
      <c r="D1139" s="367" t="s">
        <v>92</v>
      </c>
      <c r="E1139" s="368" t="s">
        <v>93</v>
      </c>
      <c r="F1139" s="369" t="s">
        <v>2769</v>
      </c>
      <c r="G1139" s="366">
        <v>46752</v>
      </c>
      <c r="H1139" s="369" t="s">
        <v>2926</v>
      </c>
      <c r="I1139" s="367">
        <v>2</v>
      </c>
      <c r="J1139" s="375" t="s">
        <v>2942</v>
      </c>
      <c r="K1139" s="370" t="s">
        <v>1072</v>
      </c>
      <c r="L1139" s="370"/>
      <c r="M1139" s="70" t="str">
        <f t="shared" si="85"/>
        <v>INT-0017-26</v>
      </c>
      <c r="N1139" s="371"/>
      <c r="O1139" s="372"/>
    </row>
    <row r="1140" spans="1:15" ht="15" x14ac:dyDescent="0.25">
      <c r="A1140" s="366">
        <v>46059</v>
      </c>
      <c r="B1140" s="373" t="s">
        <v>2887</v>
      </c>
      <c r="C1140" s="374" t="s">
        <v>1066</v>
      </c>
      <c r="D1140" s="367" t="s">
        <v>92</v>
      </c>
      <c r="E1140" s="368" t="s">
        <v>93</v>
      </c>
      <c r="F1140" s="369" t="s">
        <v>2896</v>
      </c>
      <c r="G1140" s="366">
        <v>46752</v>
      </c>
      <c r="H1140" s="369" t="s">
        <v>2927</v>
      </c>
      <c r="I1140" s="367">
        <v>1</v>
      </c>
      <c r="J1140" s="375" t="s">
        <v>2942</v>
      </c>
      <c r="K1140" s="370" t="s">
        <v>1072</v>
      </c>
      <c r="L1140" s="370"/>
      <c r="M1140" s="70" t="str">
        <f t="shared" si="85"/>
        <v>INT-0017-26</v>
      </c>
      <c r="N1140" s="371"/>
      <c r="O1140" s="372"/>
    </row>
    <row r="1141" spans="1:15" ht="15" x14ac:dyDescent="0.25">
      <c r="A1141" s="366">
        <v>46059</v>
      </c>
      <c r="B1141" s="373" t="s">
        <v>2887</v>
      </c>
      <c r="C1141" s="374" t="s">
        <v>1066</v>
      </c>
      <c r="D1141" s="367" t="s">
        <v>92</v>
      </c>
      <c r="E1141" s="368" t="s">
        <v>93</v>
      </c>
      <c r="F1141" s="369" t="s">
        <v>2766</v>
      </c>
      <c r="G1141" s="366">
        <v>46691</v>
      </c>
      <c r="H1141" s="369" t="s">
        <v>2928</v>
      </c>
      <c r="I1141" s="367">
        <v>1</v>
      </c>
      <c r="J1141" s="375" t="s">
        <v>2942</v>
      </c>
      <c r="K1141" s="370" t="s">
        <v>1072</v>
      </c>
      <c r="L1141" s="370"/>
      <c r="M1141" s="70" t="str">
        <f t="shared" si="85"/>
        <v>INT-0017-26</v>
      </c>
      <c r="N1141" s="371"/>
      <c r="O1141" s="372"/>
    </row>
    <row r="1142" spans="1:15" ht="15" x14ac:dyDescent="0.25">
      <c r="A1142" s="366">
        <v>46059</v>
      </c>
      <c r="B1142" s="373" t="s">
        <v>2887</v>
      </c>
      <c r="C1142" s="374" t="s">
        <v>1066</v>
      </c>
      <c r="D1142" s="367" t="s">
        <v>1133</v>
      </c>
      <c r="E1142" s="368" t="s">
        <v>1134</v>
      </c>
      <c r="F1142" s="369" t="s">
        <v>2770</v>
      </c>
      <c r="G1142" s="366">
        <v>46203</v>
      </c>
      <c r="H1142" s="369" t="s">
        <v>2929</v>
      </c>
      <c r="I1142" s="367">
        <v>3</v>
      </c>
      <c r="J1142" s="375" t="s">
        <v>2942</v>
      </c>
      <c r="K1142" s="370" t="s">
        <v>1072</v>
      </c>
      <c r="L1142" s="370"/>
      <c r="M1142" s="70" t="str">
        <f t="shared" si="85"/>
        <v>INT-0017-26</v>
      </c>
      <c r="N1142" s="371"/>
      <c r="O1142" s="372"/>
    </row>
    <row r="1143" spans="1:15" ht="15" x14ac:dyDescent="0.25">
      <c r="A1143" s="366">
        <v>46059</v>
      </c>
      <c r="B1143" s="373" t="s">
        <v>2887</v>
      </c>
      <c r="C1143" s="374" t="s">
        <v>1066</v>
      </c>
      <c r="D1143" s="367" t="s">
        <v>1133</v>
      </c>
      <c r="E1143" s="368" t="s">
        <v>1134</v>
      </c>
      <c r="F1143" s="369" t="s">
        <v>1982</v>
      </c>
      <c r="G1143" s="366">
        <v>46691</v>
      </c>
      <c r="H1143" s="369" t="s">
        <v>2930</v>
      </c>
      <c r="I1143" s="367">
        <v>1</v>
      </c>
      <c r="J1143" s="375" t="s">
        <v>2942</v>
      </c>
      <c r="K1143" s="370" t="s">
        <v>1072</v>
      </c>
      <c r="L1143" s="370"/>
      <c r="M1143" s="70" t="str">
        <f t="shared" si="85"/>
        <v>INT-0017-26</v>
      </c>
      <c r="N1143" s="371"/>
      <c r="O1143" s="372"/>
    </row>
    <row r="1144" spans="1:15" ht="15" x14ac:dyDescent="0.25">
      <c r="A1144" s="366">
        <v>46059</v>
      </c>
      <c r="B1144" s="373" t="s">
        <v>2887</v>
      </c>
      <c r="C1144" s="374" t="s">
        <v>1066</v>
      </c>
      <c r="D1144" s="367" t="s">
        <v>36</v>
      </c>
      <c r="E1144" s="368" t="s">
        <v>37</v>
      </c>
      <c r="F1144" s="369" t="s">
        <v>2780</v>
      </c>
      <c r="G1144" s="366">
        <v>46356</v>
      </c>
      <c r="H1144" s="369" t="s">
        <v>2931</v>
      </c>
      <c r="I1144" s="367">
        <v>3</v>
      </c>
      <c r="J1144" s="375" t="s">
        <v>2942</v>
      </c>
      <c r="K1144" s="370" t="s">
        <v>1072</v>
      </c>
      <c r="L1144" s="370"/>
      <c r="M1144" s="70" t="str">
        <f t="shared" si="85"/>
        <v>INT-0017-26</v>
      </c>
      <c r="N1144" s="371"/>
      <c r="O1144" s="372"/>
    </row>
    <row r="1145" spans="1:15" ht="15" x14ac:dyDescent="0.25">
      <c r="A1145" s="366">
        <v>46059</v>
      </c>
      <c r="B1145" s="373" t="s">
        <v>2887</v>
      </c>
      <c r="C1145" s="374" t="s">
        <v>1066</v>
      </c>
      <c r="D1145" s="367" t="s">
        <v>36</v>
      </c>
      <c r="E1145" s="368" t="s">
        <v>37</v>
      </c>
      <c r="F1145" s="369" t="s">
        <v>2756</v>
      </c>
      <c r="G1145" s="366">
        <v>46265</v>
      </c>
      <c r="H1145" s="369" t="s">
        <v>2932</v>
      </c>
      <c r="I1145" s="367">
        <v>2</v>
      </c>
      <c r="J1145" s="375" t="s">
        <v>2942</v>
      </c>
      <c r="K1145" s="370" t="s">
        <v>1072</v>
      </c>
      <c r="L1145" s="370"/>
      <c r="M1145" s="70" t="str">
        <f t="shared" si="85"/>
        <v>INT-0017-26</v>
      </c>
      <c r="N1145" s="371"/>
      <c r="O1145" s="372"/>
    </row>
    <row r="1146" spans="1:15" ht="15" x14ac:dyDescent="0.25">
      <c r="A1146" s="366">
        <v>46059</v>
      </c>
      <c r="B1146" s="373" t="s">
        <v>2887</v>
      </c>
      <c r="C1146" s="374" t="s">
        <v>1066</v>
      </c>
      <c r="D1146" s="367" t="s">
        <v>36</v>
      </c>
      <c r="E1146" s="368" t="s">
        <v>37</v>
      </c>
      <c r="F1146" s="369" t="s">
        <v>2756</v>
      </c>
      <c r="G1146" s="366">
        <v>46265</v>
      </c>
      <c r="H1146" s="369" t="s">
        <v>2933</v>
      </c>
      <c r="I1146" s="367">
        <v>3</v>
      </c>
      <c r="J1146" s="375" t="s">
        <v>2942</v>
      </c>
      <c r="K1146" s="370" t="s">
        <v>1072</v>
      </c>
      <c r="L1146" s="370"/>
      <c r="M1146" s="70" t="str">
        <f t="shared" si="85"/>
        <v>INT-0017-26</v>
      </c>
      <c r="N1146" s="371"/>
      <c r="O1146" s="372"/>
    </row>
    <row r="1147" spans="1:15" ht="15" x14ac:dyDescent="0.25">
      <c r="A1147" s="366">
        <v>46059</v>
      </c>
      <c r="B1147" s="373" t="s">
        <v>2887</v>
      </c>
      <c r="C1147" s="374" t="s">
        <v>1066</v>
      </c>
      <c r="D1147" s="367" t="s">
        <v>36</v>
      </c>
      <c r="E1147" s="368" t="s">
        <v>37</v>
      </c>
      <c r="F1147" s="369" t="s">
        <v>2755</v>
      </c>
      <c r="G1147" s="366">
        <v>46265</v>
      </c>
      <c r="H1147" s="369" t="s">
        <v>2934</v>
      </c>
      <c r="I1147" s="367">
        <v>1</v>
      </c>
      <c r="J1147" s="375" t="s">
        <v>2942</v>
      </c>
      <c r="K1147" s="370" t="s">
        <v>1072</v>
      </c>
      <c r="L1147" s="370"/>
      <c r="M1147" s="70" t="str">
        <f t="shared" si="85"/>
        <v>INT-0017-26</v>
      </c>
      <c r="N1147" s="371"/>
      <c r="O1147" s="372"/>
    </row>
    <row r="1148" spans="1:15" ht="15" x14ac:dyDescent="0.25">
      <c r="A1148" s="366">
        <v>46059</v>
      </c>
      <c r="B1148" s="373" t="s">
        <v>2887</v>
      </c>
      <c r="C1148" s="374" t="s">
        <v>1066</v>
      </c>
      <c r="D1148" s="367" t="s">
        <v>36</v>
      </c>
      <c r="E1148" s="368" t="s">
        <v>37</v>
      </c>
      <c r="F1148" s="369" t="s">
        <v>2897</v>
      </c>
      <c r="G1148" s="366">
        <v>46599</v>
      </c>
      <c r="H1148" s="369" t="s">
        <v>2935</v>
      </c>
      <c r="I1148" s="367">
        <v>4</v>
      </c>
      <c r="J1148" s="375" t="s">
        <v>2942</v>
      </c>
      <c r="K1148" s="370" t="s">
        <v>1072</v>
      </c>
      <c r="L1148" s="370"/>
      <c r="M1148" s="70" t="str">
        <f t="shared" si="85"/>
        <v>INT-0017-26</v>
      </c>
      <c r="N1148" s="371"/>
      <c r="O1148" s="372"/>
    </row>
    <row r="1149" spans="1:15" ht="15" x14ac:dyDescent="0.25">
      <c r="A1149" s="366">
        <v>46059</v>
      </c>
      <c r="B1149" s="373" t="s">
        <v>2887</v>
      </c>
      <c r="C1149" s="374" t="s">
        <v>1066</v>
      </c>
      <c r="D1149" s="367" t="s">
        <v>28</v>
      </c>
      <c r="E1149" s="368" t="s">
        <v>29</v>
      </c>
      <c r="F1149" s="369" t="s">
        <v>2781</v>
      </c>
      <c r="G1149" s="366">
        <v>46234</v>
      </c>
      <c r="H1149" s="369" t="s">
        <v>2936</v>
      </c>
      <c r="I1149" s="367">
        <v>80</v>
      </c>
      <c r="J1149" s="375" t="s">
        <v>2942</v>
      </c>
      <c r="K1149" s="370" t="s">
        <v>1072</v>
      </c>
      <c r="L1149" s="370"/>
      <c r="M1149" s="70" t="str">
        <f t="shared" si="85"/>
        <v>INT-0017-26</v>
      </c>
      <c r="N1149" s="371"/>
      <c r="O1149" s="372"/>
    </row>
    <row r="1150" spans="1:15" ht="15" x14ac:dyDescent="0.25">
      <c r="A1150" s="366">
        <v>46059</v>
      </c>
      <c r="B1150" s="373" t="s">
        <v>2887</v>
      </c>
      <c r="C1150" s="374" t="s">
        <v>1066</v>
      </c>
      <c r="D1150" s="367" t="s">
        <v>39</v>
      </c>
      <c r="E1150" s="368" t="s">
        <v>40</v>
      </c>
      <c r="F1150" s="369" t="s">
        <v>2898</v>
      </c>
      <c r="G1150" s="366">
        <v>46234</v>
      </c>
      <c r="H1150" s="369" t="s">
        <v>2937</v>
      </c>
      <c r="I1150" s="367">
        <v>9</v>
      </c>
      <c r="J1150" s="375" t="s">
        <v>2942</v>
      </c>
      <c r="K1150" s="370" t="s">
        <v>1072</v>
      </c>
      <c r="L1150" s="370"/>
      <c r="M1150" s="70" t="str">
        <f t="shared" si="85"/>
        <v>INT-0017-26</v>
      </c>
      <c r="N1150" s="371"/>
      <c r="O1150" s="372"/>
    </row>
    <row r="1151" spans="1:15" ht="15" x14ac:dyDescent="0.25">
      <c r="A1151" s="366">
        <v>46059</v>
      </c>
      <c r="B1151" s="373" t="s">
        <v>2887</v>
      </c>
      <c r="C1151" s="374" t="s">
        <v>1066</v>
      </c>
      <c r="D1151" s="367" t="s">
        <v>28</v>
      </c>
      <c r="E1151" s="368" t="s">
        <v>29</v>
      </c>
      <c r="F1151" s="369" t="s">
        <v>1919</v>
      </c>
      <c r="G1151" s="366">
        <v>46234</v>
      </c>
      <c r="H1151" s="369" t="s">
        <v>2938</v>
      </c>
      <c r="I1151" s="367">
        <v>20</v>
      </c>
      <c r="J1151" s="375" t="s">
        <v>2942</v>
      </c>
      <c r="K1151" s="370" t="s">
        <v>1072</v>
      </c>
      <c r="L1151" s="370"/>
      <c r="M1151" s="70" t="str">
        <f t="shared" si="85"/>
        <v>INT-0017-26</v>
      </c>
      <c r="N1151" s="371"/>
      <c r="O1151" s="372"/>
    </row>
    <row r="1152" spans="1:15" ht="15" x14ac:dyDescent="0.25">
      <c r="A1152" s="366">
        <v>46059</v>
      </c>
      <c r="B1152" s="373" t="s">
        <v>2887</v>
      </c>
      <c r="C1152" s="374" t="s">
        <v>1066</v>
      </c>
      <c r="D1152" s="367" t="s">
        <v>1255</v>
      </c>
      <c r="E1152" s="368" t="s">
        <v>1256</v>
      </c>
      <c r="F1152" s="369" t="s">
        <v>2899</v>
      </c>
      <c r="G1152" s="366">
        <v>46142</v>
      </c>
      <c r="H1152" s="369" t="s">
        <v>2939</v>
      </c>
      <c r="I1152" s="367">
        <v>1</v>
      </c>
      <c r="J1152" s="375" t="s">
        <v>2942</v>
      </c>
      <c r="K1152" s="370" t="s">
        <v>1072</v>
      </c>
      <c r="L1152" s="370"/>
      <c r="M1152" s="70" t="str">
        <f t="shared" si="85"/>
        <v>INT-0017-26</v>
      </c>
      <c r="N1152" s="371"/>
      <c r="O1152" s="372"/>
    </row>
    <row r="1153" spans="1:15" ht="15" x14ac:dyDescent="0.25">
      <c r="A1153" s="366">
        <v>46059</v>
      </c>
      <c r="B1153" s="373" t="s">
        <v>2887</v>
      </c>
      <c r="C1153" s="374" t="s">
        <v>1066</v>
      </c>
      <c r="D1153" s="367" t="s">
        <v>1255</v>
      </c>
      <c r="E1153" s="368" t="s">
        <v>1256</v>
      </c>
      <c r="F1153" s="369" t="s">
        <v>2776</v>
      </c>
      <c r="G1153" s="366">
        <v>47057</v>
      </c>
      <c r="H1153" s="369" t="s">
        <v>2940</v>
      </c>
      <c r="I1153" s="367">
        <v>2</v>
      </c>
      <c r="J1153" s="375" t="s">
        <v>2942</v>
      </c>
      <c r="K1153" s="370" t="s">
        <v>1072</v>
      </c>
      <c r="L1153" s="370"/>
      <c r="M1153" s="70" t="str">
        <f t="shared" si="85"/>
        <v>INT-0017-26</v>
      </c>
      <c r="N1153" s="371"/>
      <c r="O1153" s="372"/>
    </row>
    <row r="1154" spans="1:15" ht="15" x14ac:dyDescent="0.25">
      <c r="A1154" s="366">
        <v>46059</v>
      </c>
      <c r="B1154" s="373" t="s">
        <v>2887</v>
      </c>
      <c r="C1154" s="374" t="s">
        <v>1066</v>
      </c>
      <c r="D1154" s="367" t="s">
        <v>36</v>
      </c>
      <c r="E1154" s="368" t="s">
        <v>37</v>
      </c>
      <c r="F1154" s="369" t="s">
        <v>2774</v>
      </c>
      <c r="G1154" s="366">
        <v>46507</v>
      </c>
      <c r="H1154" s="369" t="s">
        <v>2941</v>
      </c>
      <c r="I1154" s="367">
        <v>2</v>
      </c>
      <c r="J1154" s="375" t="s">
        <v>2942</v>
      </c>
      <c r="K1154" s="370" t="s">
        <v>1072</v>
      </c>
      <c r="L1154" s="370"/>
      <c r="M1154" s="70" t="str">
        <f t="shared" si="85"/>
        <v>INT-0017-26</v>
      </c>
      <c r="N1154" s="371"/>
      <c r="O1154" s="372"/>
    </row>
    <row r="1155" spans="1:15" ht="15" x14ac:dyDescent="0.25">
      <c r="A1155" s="366">
        <v>46059</v>
      </c>
      <c r="B1155" s="373" t="s">
        <v>2960</v>
      </c>
      <c r="C1155" s="374" t="s">
        <v>1066</v>
      </c>
      <c r="D1155" s="367" t="s">
        <v>2943</v>
      </c>
      <c r="E1155" s="368" t="s">
        <v>2944</v>
      </c>
      <c r="F1155" s="369" t="s">
        <v>2958</v>
      </c>
      <c r="G1155" s="366" t="s">
        <v>1762</v>
      </c>
      <c r="H1155" s="369" t="s">
        <v>2953</v>
      </c>
      <c r="I1155" s="391">
        <v>50</v>
      </c>
      <c r="J1155" s="375" t="s">
        <v>1834</v>
      </c>
      <c r="K1155" s="370" t="s">
        <v>1073</v>
      </c>
      <c r="L1155" s="370"/>
      <c r="M1155" s="70" t="str">
        <f t="shared" ref="M1155:M1159" si="86">HYPERLINK("P:\7. LONG HAU\7. CAC THEO DOI TRONG QUA TRINH\4. DEVIATION- INCIDENTS\THEO DÕI NỘI BỘ (NGOÀI BBSC)\"&amp;YEAR(A1155)&amp;"\"&amp;B1155,B1155)</f>
        <v>INT-0018-26</v>
      </c>
      <c r="N1155" s="371"/>
      <c r="O1155" s="372"/>
    </row>
    <row r="1156" spans="1:15" ht="15" x14ac:dyDescent="0.25">
      <c r="A1156" s="366">
        <v>46059</v>
      </c>
      <c r="B1156" s="373" t="s">
        <v>2960</v>
      </c>
      <c r="C1156" s="374" t="s">
        <v>1066</v>
      </c>
      <c r="D1156" s="367" t="s">
        <v>2945</v>
      </c>
      <c r="E1156" s="368" t="s">
        <v>2946</v>
      </c>
      <c r="F1156" s="369" t="s">
        <v>2958</v>
      </c>
      <c r="G1156" s="366" t="s">
        <v>1762</v>
      </c>
      <c r="H1156" s="369" t="s">
        <v>2954</v>
      </c>
      <c r="I1156" s="391">
        <v>8</v>
      </c>
      <c r="J1156" s="375" t="s">
        <v>1834</v>
      </c>
      <c r="K1156" s="370" t="s">
        <v>1073</v>
      </c>
      <c r="L1156" s="370"/>
      <c r="M1156" s="70" t="str">
        <f t="shared" si="86"/>
        <v>INT-0018-26</v>
      </c>
      <c r="N1156" s="371"/>
      <c r="O1156" s="372"/>
    </row>
    <row r="1157" spans="1:15" ht="15" x14ac:dyDescent="0.25">
      <c r="A1157" s="366">
        <v>46059</v>
      </c>
      <c r="B1157" s="373" t="s">
        <v>2960</v>
      </c>
      <c r="C1157" s="374" t="s">
        <v>1066</v>
      </c>
      <c r="D1157" s="367" t="s">
        <v>2947</v>
      </c>
      <c r="E1157" s="368" t="s">
        <v>2948</v>
      </c>
      <c r="F1157" s="369" t="s">
        <v>2959</v>
      </c>
      <c r="G1157" s="366" t="s">
        <v>1766</v>
      </c>
      <c r="H1157" s="369" t="s">
        <v>2955</v>
      </c>
      <c r="I1157" s="391">
        <v>50</v>
      </c>
      <c r="J1157" s="375" t="s">
        <v>1834</v>
      </c>
      <c r="K1157" s="370" t="s">
        <v>1073</v>
      </c>
      <c r="L1157" s="370"/>
      <c r="M1157" s="70" t="str">
        <f t="shared" si="86"/>
        <v>INT-0018-26</v>
      </c>
      <c r="N1157" s="371"/>
      <c r="O1157" s="372"/>
    </row>
    <row r="1158" spans="1:15" ht="15" x14ac:dyDescent="0.25">
      <c r="A1158" s="366">
        <v>46059</v>
      </c>
      <c r="B1158" s="373" t="s">
        <v>2960</v>
      </c>
      <c r="C1158" s="374" t="s">
        <v>1066</v>
      </c>
      <c r="D1158" s="367" t="s">
        <v>2949</v>
      </c>
      <c r="E1158" s="368" t="s">
        <v>2950</v>
      </c>
      <c r="F1158" s="369" t="s">
        <v>2958</v>
      </c>
      <c r="G1158" s="366" t="s">
        <v>1762</v>
      </c>
      <c r="H1158" s="369" t="s">
        <v>2956</v>
      </c>
      <c r="I1158" s="391">
        <v>100</v>
      </c>
      <c r="J1158" s="375" t="s">
        <v>1834</v>
      </c>
      <c r="K1158" s="370" t="s">
        <v>1073</v>
      </c>
      <c r="L1158" s="370"/>
      <c r="M1158" s="70" t="str">
        <f t="shared" si="86"/>
        <v>INT-0018-26</v>
      </c>
      <c r="N1158" s="371"/>
      <c r="O1158" s="372"/>
    </row>
    <row r="1159" spans="1:15" ht="25.5" x14ac:dyDescent="0.25">
      <c r="A1159" s="366">
        <v>46059</v>
      </c>
      <c r="B1159" s="373" t="s">
        <v>2960</v>
      </c>
      <c r="C1159" s="378" t="s">
        <v>1066</v>
      </c>
      <c r="D1159" s="379" t="s">
        <v>2951</v>
      </c>
      <c r="E1159" s="380" t="s">
        <v>2952</v>
      </c>
      <c r="F1159" s="381" t="s">
        <v>2958</v>
      </c>
      <c r="G1159" s="377" t="s">
        <v>1762</v>
      </c>
      <c r="H1159" s="381" t="s">
        <v>2957</v>
      </c>
      <c r="I1159" s="392">
        <v>100</v>
      </c>
      <c r="J1159" s="375" t="s">
        <v>1834</v>
      </c>
      <c r="K1159" s="382" t="s">
        <v>1073</v>
      </c>
      <c r="L1159" s="382"/>
      <c r="M1159" s="383" t="str">
        <f t="shared" si="86"/>
        <v>INT-0018-26</v>
      </c>
      <c r="N1159" s="384"/>
      <c r="O1159" s="385"/>
    </row>
    <row r="1160" spans="1:15" ht="15" x14ac:dyDescent="0.25">
      <c r="A1160" s="377">
        <v>46062</v>
      </c>
      <c r="B1160" s="388" t="s">
        <v>2961</v>
      </c>
      <c r="C1160" s="378" t="s">
        <v>1066</v>
      </c>
      <c r="D1160" s="379" t="s">
        <v>47</v>
      </c>
      <c r="E1160" s="380" t="s">
        <v>48</v>
      </c>
      <c r="F1160" s="381" t="s">
        <v>812</v>
      </c>
      <c r="G1160" s="377">
        <v>46173</v>
      </c>
      <c r="H1160" s="381" t="s">
        <v>2962</v>
      </c>
      <c r="I1160" s="379">
        <v>12</v>
      </c>
      <c r="J1160" s="390" t="s">
        <v>2995</v>
      </c>
      <c r="K1160" s="382" t="s">
        <v>1073</v>
      </c>
      <c r="L1160" s="382"/>
      <c r="M1160" s="383" t="str">
        <f>HYPERLINK("P:\7. LONG HAU\7. CAC THEO DOI TRONG QUA TRINH\4. DEVIATION- INCIDENTS\THEO DÕI NỘI BỘ (NGOÀI BBSC)\"&amp;YEAR(A1160)&amp;"\"&amp;B1160,B1160)</f>
        <v>INT-0019-26</v>
      </c>
      <c r="N1160" s="384"/>
      <c r="O1160" s="385"/>
    </row>
    <row r="1161" spans="1:15" ht="15" x14ac:dyDescent="0.25">
      <c r="A1161" s="366">
        <v>46062</v>
      </c>
      <c r="B1161" s="373" t="s">
        <v>2961</v>
      </c>
      <c r="C1161" s="374" t="s">
        <v>1066</v>
      </c>
      <c r="D1161" s="367" t="s">
        <v>47</v>
      </c>
      <c r="E1161" s="368" t="s">
        <v>48</v>
      </c>
      <c r="F1161" s="369" t="s">
        <v>812</v>
      </c>
      <c r="G1161" s="366">
        <v>46173</v>
      </c>
      <c r="H1161" s="369" t="s">
        <v>2963</v>
      </c>
      <c r="I1161" s="367">
        <v>396</v>
      </c>
      <c r="J1161" s="390" t="s">
        <v>2995</v>
      </c>
      <c r="K1161" s="382" t="s">
        <v>1073</v>
      </c>
      <c r="L1161" s="370"/>
      <c r="M1161" s="70" t="str">
        <f t="shared" ref="M1161:M1162" si="87">HYPERLINK("P:\7. LONG HAU\7. CAC THEO DOI TRONG QUA TRINH\4. DEVIATION- INCIDENTS\THEO DÕI NỘI BỘ (NGOÀI BBSC)\"&amp;YEAR(A1161)&amp;"\"&amp;B1161,B1161)</f>
        <v>INT-0019-26</v>
      </c>
      <c r="N1161" s="371"/>
      <c r="O1161" s="372"/>
    </row>
    <row r="1162" spans="1:15" ht="15" x14ac:dyDescent="0.25">
      <c r="A1162" s="366">
        <v>46062</v>
      </c>
      <c r="B1162" s="373" t="s">
        <v>2961</v>
      </c>
      <c r="C1162" s="374" t="s">
        <v>1066</v>
      </c>
      <c r="D1162" s="367" t="s">
        <v>47</v>
      </c>
      <c r="E1162" s="368" t="s">
        <v>48</v>
      </c>
      <c r="F1162" s="369" t="s">
        <v>812</v>
      </c>
      <c r="G1162" s="366">
        <v>46173</v>
      </c>
      <c r="H1162" s="369" t="s">
        <v>2964</v>
      </c>
      <c r="I1162" s="367">
        <v>640</v>
      </c>
      <c r="J1162" s="390" t="s">
        <v>2995</v>
      </c>
      <c r="K1162" s="382" t="s">
        <v>1073</v>
      </c>
      <c r="L1162" s="370"/>
      <c r="M1162" s="70" t="str">
        <f t="shared" si="87"/>
        <v>INT-0019-26</v>
      </c>
      <c r="N1162" s="371"/>
      <c r="O1162" s="372"/>
    </row>
    <row r="1163" spans="1:15" ht="15" x14ac:dyDescent="0.25">
      <c r="A1163" s="366">
        <v>46062</v>
      </c>
      <c r="B1163" s="373" t="s">
        <v>2961</v>
      </c>
      <c r="C1163" s="374" t="s">
        <v>1066</v>
      </c>
      <c r="D1163" s="367" t="s">
        <v>47</v>
      </c>
      <c r="E1163" s="368" t="s">
        <v>48</v>
      </c>
      <c r="F1163" s="369" t="s">
        <v>1740</v>
      </c>
      <c r="G1163" s="366">
        <v>46173</v>
      </c>
      <c r="H1163" s="369" t="s">
        <v>2965</v>
      </c>
      <c r="I1163" s="367">
        <v>412</v>
      </c>
      <c r="J1163" s="390" t="s">
        <v>2995</v>
      </c>
      <c r="K1163" s="382" t="s">
        <v>1073</v>
      </c>
      <c r="L1163" s="370"/>
      <c r="M1163" s="70" t="str">
        <f t="shared" ref="M1163:M1164" si="88">HYPERLINK("P:\7. LONG HAU\7. CAC THEO DOI TRONG QUA TRINH\4. DEVIATION- INCIDENTS\THEO DÕI NỘI BỘ (NGOÀI BBSC)\"&amp;YEAR(A1163)&amp;"\"&amp;B1163,B1163)</f>
        <v>INT-0019-26</v>
      </c>
      <c r="N1163" s="371"/>
      <c r="O1163" s="372"/>
    </row>
    <row r="1164" spans="1:15" ht="15" x14ac:dyDescent="0.25">
      <c r="A1164" s="377">
        <v>46062</v>
      </c>
      <c r="B1164" s="388" t="s">
        <v>2961</v>
      </c>
      <c r="C1164" s="378" t="s">
        <v>1066</v>
      </c>
      <c r="D1164" s="379" t="s">
        <v>47</v>
      </c>
      <c r="E1164" s="380" t="s">
        <v>48</v>
      </c>
      <c r="F1164" s="381" t="s">
        <v>1740</v>
      </c>
      <c r="G1164" s="377">
        <v>46173</v>
      </c>
      <c r="H1164" s="381" t="s">
        <v>2966</v>
      </c>
      <c r="I1164" s="379">
        <v>143</v>
      </c>
      <c r="J1164" s="390" t="s">
        <v>2995</v>
      </c>
      <c r="K1164" s="382" t="s">
        <v>1073</v>
      </c>
      <c r="L1164" s="382"/>
      <c r="M1164" s="383" t="str">
        <f t="shared" si="88"/>
        <v>INT-0019-26</v>
      </c>
      <c r="N1164" s="384"/>
      <c r="O1164" s="385"/>
    </row>
    <row r="1165" spans="1:15" ht="15" x14ac:dyDescent="0.25">
      <c r="A1165" s="377">
        <v>46062</v>
      </c>
      <c r="B1165" s="388" t="s">
        <v>2961</v>
      </c>
      <c r="C1165" s="378" t="s">
        <v>1066</v>
      </c>
      <c r="D1165" s="379" t="s">
        <v>47</v>
      </c>
      <c r="E1165" s="380" t="s">
        <v>48</v>
      </c>
      <c r="F1165" s="381" t="s">
        <v>1740</v>
      </c>
      <c r="G1165" s="377">
        <v>46173</v>
      </c>
      <c r="H1165" s="381" t="s">
        <v>2965</v>
      </c>
      <c r="I1165" s="379">
        <v>72</v>
      </c>
      <c r="J1165" s="390" t="s">
        <v>2995</v>
      </c>
      <c r="K1165" s="382" t="s">
        <v>1073</v>
      </c>
      <c r="L1165" s="382"/>
      <c r="M1165" s="383" t="str">
        <f>HYPERLINK("P:\7. LONG HAU\7. CAC THEO DOI TRONG QUA TRINH\4. DEVIATION- INCIDENTS\THEO DÕI NỘI BỘ (NGOÀI BBSC)\"&amp;YEAR(A1165)&amp;"\"&amp;B1165,B1165)</f>
        <v>INT-0019-26</v>
      </c>
      <c r="N1165" s="384"/>
      <c r="O1165" s="385"/>
    </row>
    <row r="1166" spans="1:15" ht="15" x14ac:dyDescent="0.25">
      <c r="A1166" s="377">
        <v>46062</v>
      </c>
      <c r="B1166" s="388" t="s">
        <v>2961</v>
      </c>
      <c r="C1166" s="378" t="s">
        <v>1066</v>
      </c>
      <c r="D1166" s="379" t="s">
        <v>47</v>
      </c>
      <c r="E1166" s="380" t="s">
        <v>48</v>
      </c>
      <c r="F1166" s="381" t="s">
        <v>812</v>
      </c>
      <c r="G1166" s="377">
        <v>46173</v>
      </c>
      <c r="H1166" s="381" t="s">
        <v>2967</v>
      </c>
      <c r="I1166" s="379">
        <v>114</v>
      </c>
      <c r="J1166" s="390" t="s">
        <v>2995</v>
      </c>
      <c r="K1166" s="382" t="s">
        <v>1073</v>
      </c>
      <c r="L1166" s="382"/>
      <c r="M1166" s="383" t="str">
        <f>HYPERLINK("P:\7. LONG HAU\7. CAC THEO DOI TRONG QUA TRINH\4. DEVIATION- INCIDENTS\THEO DÕI NỘI BỘ (NGOÀI BBSC)\"&amp;YEAR(A1166)&amp;"\"&amp;B1166,B1166)</f>
        <v>INT-0019-26</v>
      </c>
      <c r="N1166" s="384"/>
      <c r="O1166" s="385"/>
    </row>
    <row r="1167" spans="1:15" ht="15" x14ac:dyDescent="0.25">
      <c r="A1167" s="377">
        <v>46062</v>
      </c>
      <c r="B1167" s="388" t="s">
        <v>2961</v>
      </c>
      <c r="C1167" s="378" t="s">
        <v>1066</v>
      </c>
      <c r="D1167" s="379" t="s">
        <v>1255</v>
      </c>
      <c r="E1167" s="380" t="s">
        <v>1256</v>
      </c>
      <c r="F1167" s="381" t="s">
        <v>2899</v>
      </c>
      <c r="G1167" s="377">
        <v>46142</v>
      </c>
      <c r="H1167" s="381" t="s">
        <v>2968</v>
      </c>
      <c r="I1167" s="379">
        <v>9</v>
      </c>
      <c r="J1167" s="390" t="s">
        <v>2995</v>
      </c>
      <c r="K1167" s="382" t="s">
        <v>1073</v>
      </c>
      <c r="L1167" s="382"/>
      <c r="M1167" s="383" t="str">
        <f>HYPERLINK("P:\7. LONG HAU\7. CAC THEO DOI TRONG QUA TRINH\4. DEVIATION- INCIDENTS\THEO DÕI NỘI BỘ (NGOÀI BBSC)\"&amp;YEAR(A1167)&amp;"\"&amp;B1167,B1167)</f>
        <v>INT-0019-26</v>
      </c>
      <c r="N1167" s="384"/>
      <c r="O1167" s="385"/>
    </row>
    <row r="1168" spans="1:15" ht="15" x14ac:dyDescent="0.25">
      <c r="A1168" s="377">
        <v>46062</v>
      </c>
      <c r="B1168" s="388" t="s">
        <v>2961</v>
      </c>
      <c r="C1168" s="378" t="s">
        <v>1066</v>
      </c>
      <c r="D1168" s="379" t="s">
        <v>1006</v>
      </c>
      <c r="E1168" s="380" t="s">
        <v>1007</v>
      </c>
      <c r="F1168" s="381" t="s">
        <v>1328</v>
      </c>
      <c r="G1168" s="377">
        <v>46081</v>
      </c>
      <c r="H1168" s="381" t="s">
        <v>2969</v>
      </c>
      <c r="I1168" s="379">
        <v>941</v>
      </c>
      <c r="J1168" s="390" t="s">
        <v>2995</v>
      </c>
      <c r="K1168" s="382" t="s">
        <v>1073</v>
      </c>
      <c r="L1168" s="382"/>
      <c r="M1168" s="383" t="str">
        <f>HYPERLINK("P:\7. LONG HAU\7. CAC THEO DOI TRONG QUA TRINH\4. DEVIATION- INCIDENTS\THEO DÕI NỘI BỘ (NGOÀI BBSC)\"&amp;YEAR(A1168)&amp;"\"&amp;B1168,B1168)</f>
        <v>INT-0019-26</v>
      </c>
      <c r="N1168" s="384"/>
      <c r="O1168" s="385"/>
    </row>
    <row r="1169" spans="1:15" ht="15" x14ac:dyDescent="0.25">
      <c r="A1169" s="377">
        <v>46062</v>
      </c>
      <c r="B1169" s="388" t="s">
        <v>2961</v>
      </c>
      <c r="C1169" s="378" t="s">
        <v>1066</v>
      </c>
      <c r="D1169" s="379" t="s">
        <v>42</v>
      </c>
      <c r="E1169" s="380" t="s">
        <v>43</v>
      </c>
      <c r="F1169" s="381" t="s">
        <v>1427</v>
      </c>
      <c r="G1169" s="377">
        <v>46081</v>
      </c>
      <c r="H1169" s="381" t="s">
        <v>2970</v>
      </c>
      <c r="I1169" s="379">
        <v>20</v>
      </c>
      <c r="J1169" s="390" t="s">
        <v>2995</v>
      </c>
      <c r="K1169" s="382" t="s">
        <v>1073</v>
      </c>
      <c r="L1169" s="382"/>
      <c r="M1169" s="383" t="str">
        <f>HYPERLINK("P:\7. LONG HAU\7. CAC THEO DOI TRONG QUA TRINH\4. DEVIATION- INCIDENTS\THEO DÕI NỘI BỘ (NGOÀI BBSC)\"&amp;YEAR(A1169)&amp;"\"&amp;B1169,B1169)</f>
        <v>INT-0019-26</v>
      </c>
      <c r="N1169" s="384"/>
      <c r="O1169" s="385"/>
    </row>
    <row r="1170" spans="1:15" ht="15" x14ac:dyDescent="0.25">
      <c r="A1170" s="366">
        <v>46062</v>
      </c>
      <c r="B1170" s="373" t="s">
        <v>2961</v>
      </c>
      <c r="C1170" s="374" t="s">
        <v>1066</v>
      </c>
      <c r="D1170" s="367" t="s">
        <v>905</v>
      </c>
      <c r="E1170" s="368" t="s">
        <v>906</v>
      </c>
      <c r="F1170" s="369" t="s">
        <v>907</v>
      </c>
      <c r="G1170" s="366">
        <v>46081</v>
      </c>
      <c r="H1170" s="369" t="s">
        <v>2971</v>
      </c>
      <c r="I1170" s="367">
        <v>1920</v>
      </c>
      <c r="J1170" s="390" t="s">
        <v>2995</v>
      </c>
      <c r="K1170" s="382" t="s">
        <v>1073</v>
      </c>
      <c r="L1170" s="370"/>
      <c r="M1170" s="70" t="str">
        <f t="shared" ref="M1170:M1171" si="89">HYPERLINK("P:\7. LONG HAU\7. CAC THEO DOI TRONG QUA TRINH\4. DEVIATION- INCIDENTS\THEO DÕI NỘI BỘ (NGOÀI BBSC)\"&amp;YEAR(A1170)&amp;"\"&amp;B1170,B1170)</f>
        <v>INT-0019-26</v>
      </c>
      <c r="N1170" s="371"/>
      <c r="O1170" s="372"/>
    </row>
    <row r="1171" spans="1:15" ht="15" x14ac:dyDescent="0.25">
      <c r="A1171" s="377">
        <v>46062</v>
      </c>
      <c r="B1171" s="388" t="s">
        <v>2961</v>
      </c>
      <c r="C1171" s="378" t="s">
        <v>1066</v>
      </c>
      <c r="D1171" s="379" t="s">
        <v>905</v>
      </c>
      <c r="E1171" s="380" t="s">
        <v>906</v>
      </c>
      <c r="F1171" s="381" t="s">
        <v>907</v>
      </c>
      <c r="G1171" s="377">
        <v>46081</v>
      </c>
      <c r="H1171" s="381" t="s">
        <v>2972</v>
      </c>
      <c r="I1171" s="379">
        <v>1549</v>
      </c>
      <c r="J1171" s="390" t="s">
        <v>2995</v>
      </c>
      <c r="K1171" s="382" t="s">
        <v>1073</v>
      </c>
      <c r="L1171" s="382"/>
      <c r="M1171" s="383" t="str">
        <f t="shared" si="89"/>
        <v>INT-0019-26</v>
      </c>
      <c r="N1171" s="384"/>
      <c r="O1171" s="385"/>
    </row>
    <row r="1172" spans="1:15" ht="15" x14ac:dyDescent="0.25">
      <c r="A1172" s="377">
        <v>46062</v>
      </c>
      <c r="B1172" s="388" t="s">
        <v>2961</v>
      </c>
      <c r="C1172" s="378" t="s">
        <v>1066</v>
      </c>
      <c r="D1172" s="379" t="s">
        <v>1133</v>
      </c>
      <c r="E1172" s="380" t="s">
        <v>1134</v>
      </c>
      <c r="F1172" s="381" t="s">
        <v>2770</v>
      </c>
      <c r="G1172" s="377">
        <v>46203</v>
      </c>
      <c r="H1172" s="381" t="s">
        <v>2973</v>
      </c>
      <c r="I1172" s="379">
        <v>925</v>
      </c>
      <c r="J1172" s="390" t="s">
        <v>2995</v>
      </c>
      <c r="K1172" s="382" t="s">
        <v>1073</v>
      </c>
      <c r="L1172" s="382"/>
      <c r="M1172" s="383" t="str">
        <f>HYPERLINK("P:\7. LONG HAU\7. CAC THEO DOI TRONG QUA TRINH\4. DEVIATION- INCIDENTS\THEO DÕI NỘI BỘ (NGOÀI BBSC)\"&amp;YEAR(A1172)&amp;"\"&amp;B1172,B1172)</f>
        <v>INT-0019-26</v>
      </c>
      <c r="N1172" s="384"/>
      <c r="O1172" s="385"/>
    </row>
    <row r="1173" spans="1:15" ht="15" x14ac:dyDescent="0.25">
      <c r="A1173" s="366">
        <v>46062</v>
      </c>
      <c r="B1173" s="373" t="s">
        <v>2961</v>
      </c>
      <c r="C1173" s="374" t="s">
        <v>1066</v>
      </c>
      <c r="D1173" s="367" t="s">
        <v>1466</v>
      </c>
      <c r="E1173" s="368" t="s">
        <v>1467</v>
      </c>
      <c r="F1173" s="369" t="s">
        <v>1838</v>
      </c>
      <c r="G1173" s="366">
        <v>46203</v>
      </c>
      <c r="H1173" s="369" t="s">
        <v>2974</v>
      </c>
      <c r="I1173" s="367">
        <v>2880</v>
      </c>
      <c r="J1173" s="390" t="s">
        <v>2995</v>
      </c>
      <c r="K1173" s="382" t="s">
        <v>1073</v>
      </c>
      <c r="L1173" s="370"/>
      <c r="M1173" s="70" t="str">
        <f t="shared" ref="M1173:M1175" si="90">HYPERLINK("P:\7. LONG HAU\7. CAC THEO DOI TRONG QUA TRINH\4. DEVIATION- INCIDENTS\THEO DÕI NỘI BỘ (NGOÀI BBSC)\"&amp;YEAR(A1173)&amp;"\"&amp;B1173,B1173)</f>
        <v>INT-0019-26</v>
      </c>
      <c r="N1173" s="371"/>
      <c r="O1173" s="372"/>
    </row>
    <row r="1174" spans="1:15" ht="15" x14ac:dyDescent="0.25">
      <c r="A1174" s="366">
        <v>46062</v>
      </c>
      <c r="B1174" s="373" t="s">
        <v>2961</v>
      </c>
      <c r="C1174" s="374" t="s">
        <v>1066</v>
      </c>
      <c r="D1174" s="367" t="s">
        <v>1466</v>
      </c>
      <c r="E1174" s="368" t="s">
        <v>1467</v>
      </c>
      <c r="F1174" s="369" t="s">
        <v>1838</v>
      </c>
      <c r="G1174" s="366">
        <v>46203</v>
      </c>
      <c r="H1174" s="369" t="s">
        <v>2975</v>
      </c>
      <c r="I1174" s="367">
        <v>2329</v>
      </c>
      <c r="J1174" s="390" t="s">
        <v>2995</v>
      </c>
      <c r="K1174" s="382" t="s">
        <v>1073</v>
      </c>
      <c r="L1174" s="370"/>
      <c r="M1174" s="70" t="str">
        <f t="shared" si="90"/>
        <v>INT-0019-26</v>
      </c>
      <c r="N1174" s="371"/>
      <c r="O1174" s="372"/>
    </row>
    <row r="1175" spans="1:15" ht="15" x14ac:dyDescent="0.25">
      <c r="A1175" s="377">
        <v>46062</v>
      </c>
      <c r="B1175" s="388" t="s">
        <v>2961</v>
      </c>
      <c r="C1175" s="378" t="s">
        <v>1066</v>
      </c>
      <c r="D1175" s="379" t="s">
        <v>1466</v>
      </c>
      <c r="E1175" s="380" t="s">
        <v>1467</v>
      </c>
      <c r="F1175" s="381" t="s">
        <v>1838</v>
      </c>
      <c r="G1175" s="377">
        <v>46203</v>
      </c>
      <c r="H1175" s="381" t="s">
        <v>2976</v>
      </c>
      <c r="I1175" s="379">
        <v>240</v>
      </c>
      <c r="J1175" s="390" t="s">
        <v>2995</v>
      </c>
      <c r="K1175" s="382" t="s">
        <v>1073</v>
      </c>
      <c r="L1175" s="382"/>
      <c r="M1175" s="383" t="str">
        <f t="shared" si="90"/>
        <v>INT-0019-26</v>
      </c>
      <c r="N1175" s="384"/>
      <c r="O1175" s="385"/>
    </row>
    <row r="1176" spans="1:15" ht="15" x14ac:dyDescent="0.25">
      <c r="A1176" s="377">
        <v>46062</v>
      </c>
      <c r="B1176" s="388" t="s">
        <v>2961</v>
      </c>
      <c r="C1176" s="378" t="s">
        <v>1066</v>
      </c>
      <c r="D1176" s="379" t="s">
        <v>34</v>
      </c>
      <c r="E1176" s="380" t="s">
        <v>35</v>
      </c>
      <c r="F1176" s="381" t="s">
        <v>2771</v>
      </c>
      <c r="G1176" s="377">
        <v>46264</v>
      </c>
      <c r="H1176" s="381" t="s">
        <v>2977</v>
      </c>
      <c r="I1176" s="379">
        <v>2</v>
      </c>
      <c r="J1176" s="390" t="s">
        <v>2995</v>
      </c>
      <c r="K1176" s="382" t="s">
        <v>1073</v>
      </c>
      <c r="L1176" s="382"/>
      <c r="M1176" s="383" t="str">
        <f>HYPERLINK("P:\7. LONG HAU\7. CAC THEO DOI TRONG QUA TRINH\4. DEVIATION- INCIDENTS\THEO DÕI NỘI BỘ (NGOÀI BBSC)\"&amp;YEAR(A1176)&amp;"\"&amp;B1176,B1176)</f>
        <v>INT-0019-26</v>
      </c>
      <c r="N1176" s="384"/>
      <c r="O1176" s="385"/>
    </row>
    <row r="1177" spans="1:15" ht="15" x14ac:dyDescent="0.25">
      <c r="A1177" s="366">
        <v>46062</v>
      </c>
      <c r="B1177" s="373" t="s">
        <v>2961</v>
      </c>
      <c r="C1177" s="374" t="s">
        <v>1066</v>
      </c>
      <c r="D1177" s="367" t="s">
        <v>47</v>
      </c>
      <c r="E1177" s="368" t="s">
        <v>48</v>
      </c>
      <c r="F1177" s="369" t="s">
        <v>812</v>
      </c>
      <c r="G1177" s="366">
        <v>46173</v>
      </c>
      <c r="H1177" s="369" t="s">
        <v>2978</v>
      </c>
      <c r="I1177" s="367">
        <v>363</v>
      </c>
      <c r="J1177" s="390" t="s">
        <v>2995</v>
      </c>
      <c r="K1177" s="382" t="s">
        <v>1073</v>
      </c>
      <c r="L1177" s="370"/>
      <c r="M1177" s="70" t="str">
        <f t="shared" ref="M1177:M1181" si="91">HYPERLINK("P:\7. LONG HAU\7. CAC THEO DOI TRONG QUA TRINH\4. DEVIATION- INCIDENTS\THEO DÕI NỘI BỘ (NGOÀI BBSC)\"&amp;YEAR(A1177)&amp;"\"&amp;B1177,B1177)</f>
        <v>INT-0019-26</v>
      </c>
      <c r="N1177" s="371"/>
      <c r="O1177" s="372"/>
    </row>
    <row r="1178" spans="1:15" ht="15" x14ac:dyDescent="0.25">
      <c r="A1178" s="366">
        <v>46062</v>
      </c>
      <c r="B1178" s="373" t="s">
        <v>2961</v>
      </c>
      <c r="C1178" s="374" t="s">
        <v>1066</v>
      </c>
      <c r="D1178" s="367" t="s">
        <v>1133</v>
      </c>
      <c r="E1178" s="368" t="s">
        <v>1134</v>
      </c>
      <c r="F1178" s="369" t="s">
        <v>2770</v>
      </c>
      <c r="G1178" s="366">
        <v>46203</v>
      </c>
      <c r="H1178" s="369" t="s">
        <v>2979</v>
      </c>
      <c r="I1178" s="367">
        <v>500</v>
      </c>
      <c r="J1178" s="390" t="s">
        <v>2995</v>
      </c>
      <c r="K1178" s="382" t="s">
        <v>1073</v>
      </c>
      <c r="L1178" s="370"/>
      <c r="M1178" s="70" t="str">
        <f t="shared" si="91"/>
        <v>INT-0019-26</v>
      </c>
      <c r="N1178" s="371"/>
      <c r="O1178" s="372"/>
    </row>
    <row r="1179" spans="1:15" ht="15" x14ac:dyDescent="0.25">
      <c r="A1179" s="366">
        <v>46062</v>
      </c>
      <c r="B1179" s="373" t="s">
        <v>2961</v>
      </c>
      <c r="C1179" s="374" t="s">
        <v>1066</v>
      </c>
      <c r="D1179" s="367" t="s">
        <v>1836</v>
      </c>
      <c r="E1179" s="368" t="s">
        <v>1837</v>
      </c>
      <c r="F1179" s="369" t="s">
        <v>1839</v>
      </c>
      <c r="G1179" s="366">
        <v>46234</v>
      </c>
      <c r="H1179" s="369" t="s">
        <v>2980</v>
      </c>
      <c r="I1179" s="367">
        <v>120</v>
      </c>
      <c r="J1179" s="390" t="s">
        <v>2995</v>
      </c>
      <c r="K1179" s="382" t="s">
        <v>1073</v>
      </c>
      <c r="L1179" s="370"/>
      <c r="M1179" s="70" t="str">
        <f t="shared" si="91"/>
        <v>INT-0019-26</v>
      </c>
      <c r="N1179" s="371"/>
      <c r="O1179" s="372"/>
    </row>
    <row r="1180" spans="1:15" ht="15" x14ac:dyDescent="0.25">
      <c r="A1180" s="366">
        <v>46062</v>
      </c>
      <c r="B1180" s="373" t="s">
        <v>2961</v>
      </c>
      <c r="C1180" s="374" t="s">
        <v>1066</v>
      </c>
      <c r="D1180" s="367" t="s">
        <v>1006</v>
      </c>
      <c r="E1180" s="368" t="s">
        <v>1007</v>
      </c>
      <c r="F1180" s="369" t="s">
        <v>1328</v>
      </c>
      <c r="G1180" s="366">
        <v>46081</v>
      </c>
      <c r="H1180" s="369" t="s">
        <v>2981</v>
      </c>
      <c r="I1180" s="367">
        <v>60</v>
      </c>
      <c r="J1180" s="390" t="s">
        <v>2995</v>
      </c>
      <c r="K1180" s="382" t="s">
        <v>1073</v>
      </c>
      <c r="L1180" s="370"/>
      <c r="M1180" s="70" t="str">
        <f t="shared" si="91"/>
        <v>INT-0019-26</v>
      </c>
      <c r="N1180" s="371"/>
      <c r="O1180" s="372"/>
    </row>
    <row r="1181" spans="1:15" ht="15" x14ac:dyDescent="0.25">
      <c r="A1181" s="377">
        <v>46062</v>
      </c>
      <c r="B1181" s="388" t="s">
        <v>2961</v>
      </c>
      <c r="C1181" s="378" t="s">
        <v>1066</v>
      </c>
      <c r="D1181" s="379" t="s">
        <v>905</v>
      </c>
      <c r="E1181" s="380" t="s">
        <v>906</v>
      </c>
      <c r="F1181" s="381" t="s">
        <v>907</v>
      </c>
      <c r="G1181" s="377">
        <v>46081</v>
      </c>
      <c r="H1181" s="381" t="s">
        <v>2982</v>
      </c>
      <c r="I1181" s="379">
        <v>280</v>
      </c>
      <c r="J1181" s="390" t="s">
        <v>2995</v>
      </c>
      <c r="K1181" s="382" t="s">
        <v>1073</v>
      </c>
      <c r="L1181" s="382"/>
      <c r="M1181" s="383" t="str">
        <f t="shared" si="91"/>
        <v>INT-0019-26</v>
      </c>
      <c r="N1181" s="384"/>
      <c r="O1181" s="385"/>
    </row>
    <row r="1182" spans="1:15" ht="15" x14ac:dyDescent="0.25">
      <c r="A1182" s="366">
        <v>46062</v>
      </c>
      <c r="B1182" s="373" t="s">
        <v>2961</v>
      </c>
      <c r="C1182" s="374" t="s">
        <v>1066</v>
      </c>
      <c r="D1182" s="367" t="s">
        <v>1292</v>
      </c>
      <c r="E1182" s="368" t="s">
        <v>1293</v>
      </c>
      <c r="F1182" s="369" t="s">
        <v>2992</v>
      </c>
      <c r="G1182" s="366">
        <v>46904</v>
      </c>
      <c r="H1182" s="369" t="s">
        <v>2983</v>
      </c>
      <c r="I1182" s="367">
        <v>2240</v>
      </c>
      <c r="J1182" s="390" t="s">
        <v>2995</v>
      </c>
      <c r="K1182" s="382" t="s">
        <v>1073</v>
      </c>
      <c r="L1182" s="370"/>
      <c r="M1182" s="70" t="str">
        <f t="shared" ref="M1182:M1187" si="92">HYPERLINK("P:\7. LONG HAU\7. CAC THEO DOI TRONG QUA TRINH\4. DEVIATION- INCIDENTS\THEO DÕI NỘI BỘ (NGOÀI BBSC)\"&amp;YEAR(A1182)&amp;"\"&amp;B1182,B1182)</f>
        <v>INT-0019-26</v>
      </c>
      <c r="N1182" s="371"/>
      <c r="O1182" s="372"/>
    </row>
    <row r="1183" spans="1:15" ht="15" x14ac:dyDescent="0.25">
      <c r="A1183" s="366">
        <v>46062</v>
      </c>
      <c r="B1183" s="373" t="s">
        <v>2961</v>
      </c>
      <c r="C1183" s="374" t="s">
        <v>1066</v>
      </c>
      <c r="D1183" s="367" t="s">
        <v>1292</v>
      </c>
      <c r="E1183" s="368" t="s">
        <v>1293</v>
      </c>
      <c r="F1183" s="369" t="s">
        <v>2992</v>
      </c>
      <c r="G1183" s="366">
        <v>46904</v>
      </c>
      <c r="H1183" s="369" t="s">
        <v>2984</v>
      </c>
      <c r="I1183" s="367">
        <v>34</v>
      </c>
      <c r="J1183" s="390" t="s">
        <v>2995</v>
      </c>
      <c r="K1183" s="382" t="s">
        <v>1073</v>
      </c>
      <c r="L1183" s="370"/>
      <c r="M1183" s="70" t="str">
        <f t="shared" si="92"/>
        <v>INT-0019-26</v>
      </c>
      <c r="N1183" s="371"/>
      <c r="O1183" s="372"/>
    </row>
    <row r="1184" spans="1:15" ht="15" x14ac:dyDescent="0.25">
      <c r="A1184" s="366">
        <v>46062</v>
      </c>
      <c r="B1184" s="373" t="s">
        <v>2961</v>
      </c>
      <c r="C1184" s="374" t="s">
        <v>1066</v>
      </c>
      <c r="D1184" s="367" t="s">
        <v>1292</v>
      </c>
      <c r="E1184" s="368" t="s">
        <v>1293</v>
      </c>
      <c r="F1184" s="369" t="s">
        <v>2992</v>
      </c>
      <c r="G1184" s="366">
        <v>46904</v>
      </c>
      <c r="H1184" s="369" t="s">
        <v>2985</v>
      </c>
      <c r="I1184" s="367">
        <v>957</v>
      </c>
      <c r="J1184" s="390" t="s">
        <v>2995</v>
      </c>
      <c r="K1184" s="382" t="s">
        <v>1073</v>
      </c>
      <c r="L1184" s="370"/>
      <c r="M1184" s="70" t="str">
        <f t="shared" si="92"/>
        <v>INT-0019-26</v>
      </c>
      <c r="N1184" s="371"/>
      <c r="O1184" s="372"/>
    </row>
    <row r="1185" spans="1:15" ht="15" x14ac:dyDescent="0.25">
      <c r="A1185" s="366">
        <v>46062</v>
      </c>
      <c r="B1185" s="373" t="s">
        <v>2961</v>
      </c>
      <c r="C1185" s="374" t="s">
        <v>1066</v>
      </c>
      <c r="D1185" s="367" t="s">
        <v>1292</v>
      </c>
      <c r="E1185" s="368" t="s">
        <v>1293</v>
      </c>
      <c r="F1185" s="369" t="s">
        <v>2993</v>
      </c>
      <c r="G1185" s="366">
        <v>46996</v>
      </c>
      <c r="H1185" s="369" t="s">
        <v>2986</v>
      </c>
      <c r="I1185" s="367">
        <v>2240</v>
      </c>
      <c r="J1185" s="390" t="s">
        <v>2995</v>
      </c>
      <c r="K1185" s="382" t="s">
        <v>1073</v>
      </c>
      <c r="L1185" s="370"/>
      <c r="M1185" s="70" t="str">
        <f t="shared" si="92"/>
        <v>INT-0019-26</v>
      </c>
      <c r="N1185" s="371"/>
      <c r="O1185" s="372"/>
    </row>
    <row r="1186" spans="1:15" ht="15" x14ac:dyDescent="0.25">
      <c r="A1186" s="366">
        <v>46062</v>
      </c>
      <c r="B1186" s="373" t="s">
        <v>2961</v>
      </c>
      <c r="C1186" s="374" t="s">
        <v>1066</v>
      </c>
      <c r="D1186" s="367" t="s">
        <v>1292</v>
      </c>
      <c r="E1186" s="368" t="s">
        <v>1293</v>
      </c>
      <c r="F1186" s="369" t="s">
        <v>2993</v>
      </c>
      <c r="G1186" s="366">
        <v>46996</v>
      </c>
      <c r="H1186" s="369" t="s">
        <v>2987</v>
      </c>
      <c r="I1186" s="367">
        <v>2240</v>
      </c>
      <c r="J1186" s="390" t="s">
        <v>2995</v>
      </c>
      <c r="K1186" s="382" t="s">
        <v>1073</v>
      </c>
      <c r="L1186" s="370"/>
      <c r="M1186" s="70" t="str">
        <f t="shared" si="92"/>
        <v>INT-0019-26</v>
      </c>
      <c r="N1186" s="371"/>
      <c r="O1186" s="372"/>
    </row>
    <row r="1187" spans="1:15" ht="15" x14ac:dyDescent="0.25">
      <c r="A1187" s="377">
        <v>46062</v>
      </c>
      <c r="B1187" s="388" t="s">
        <v>2961</v>
      </c>
      <c r="C1187" s="378" t="s">
        <v>1066</v>
      </c>
      <c r="D1187" s="379" t="s">
        <v>1292</v>
      </c>
      <c r="E1187" s="380" t="s">
        <v>1293</v>
      </c>
      <c r="F1187" s="381" t="s">
        <v>2993</v>
      </c>
      <c r="G1187" s="377">
        <v>46996</v>
      </c>
      <c r="H1187" s="381" t="s">
        <v>2988</v>
      </c>
      <c r="I1187" s="379">
        <v>1270</v>
      </c>
      <c r="J1187" s="390" t="s">
        <v>2995</v>
      </c>
      <c r="K1187" s="382" t="s">
        <v>1073</v>
      </c>
      <c r="L1187" s="382"/>
      <c r="M1187" s="383" t="str">
        <f t="shared" si="92"/>
        <v>INT-0019-26</v>
      </c>
      <c r="N1187" s="384"/>
      <c r="O1187" s="385"/>
    </row>
    <row r="1188" spans="1:15" ht="15" x14ac:dyDescent="0.25">
      <c r="A1188" s="366">
        <v>46062</v>
      </c>
      <c r="B1188" s="35" t="s">
        <v>2961</v>
      </c>
      <c r="C1188" s="374" t="s">
        <v>1066</v>
      </c>
      <c r="D1188" s="367" t="s">
        <v>1836</v>
      </c>
      <c r="E1188" s="368" t="s">
        <v>1837</v>
      </c>
      <c r="F1188" s="369" t="s">
        <v>1839</v>
      </c>
      <c r="G1188" s="366">
        <v>46234</v>
      </c>
      <c r="H1188" s="381" t="s">
        <v>3007</v>
      </c>
      <c r="I1188" s="367">
        <v>39</v>
      </c>
      <c r="J1188" s="390" t="s">
        <v>2995</v>
      </c>
      <c r="K1188" s="382" t="s">
        <v>1073</v>
      </c>
      <c r="L1188" s="394"/>
      <c r="M1188" s="70" t="str">
        <f t="shared" ref="M1188:M1190" si="93">HYPERLINK("P:\7. LONG HAU\7. CAC THEO DOI TRONG QUA TRINH\4. DEVIATION- INCIDENTS\THEO DÕI NỘI BỘ (NGOÀI BBSC)\"&amp;YEAR(A1188)&amp;"\"&amp;B1188,B1188)</f>
        <v>INT-0019-26</v>
      </c>
      <c r="N1188" s="371"/>
      <c r="O1188" s="372"/>
    </row>
    <row r="1189" spans="1:15" ht="15" x14ac:dyDescent="0.25">
      <c r="A1189" s="366">
        <v>46062</v>
      </c>
      <c r="B1189" s="373" t="s">
        <v>2961</v>
      </c>
      <c r="C1189" s="374" t="s">
        <v>1066</v>
      </c>
      <c r="D1189" s="367" t="s">
        <v>1292</v>
      </c>
      <c r="E1189" s="368" t="s">
        <v>1293</v>
      </c>
      <c r="F1189" s="369" t="s">
        <v>2994</v>
      </c>
      <c r="G1189" s="366">
        <v>46843</v>
      </c>
      <c r="H1189" s="369" t="s">
        <v>2989</v>
      </c>
      <c r="I1189" s="367">
        <v>1680</v>
      </c>
      <c r="J1189" s="390" t="s">
        <v>2995</v>
      </c>
      <c r="K1189" s="382" t="s">
        <v>1073</v>
      </c>
      <c r="L1189" s="370"/>
      <c r="M1189" s="70" t="str">
        <f t="shared" si="93"/>
        <v>INT-0019-26</v>
      </c>
      <c r="N1189" s="371"/>
      <c r="O1189" s="372"/>
    </row>
    <row r="1190" spans="1:15" ht="15" x14ac:dyDescent="0.25">
      <c r="A1190" s="377">
        <v>46062</v>
      </c>
      <c r="B1190" s="388" t="s">
        <v>2961</v>
      </c>
      <c r="C1190" s="378" t="s">
        <v>1066</v>
      </c>
      <c r="D1190" s="379" t="s">
        <v>1292</v>
      </c>
      <c r="E1190" s="380" t="s">
        <v>1293</v>
      </c>
      <c r="F1190" s="381" t="s">
        <v>2992</v>
      </c>
      <c r="G1190" s="377">
        <v>46904</v>
      </c>
      <c r="H1190" s="381" t="s">
        <v>2990</v>
      </c>
      <c r="I1190" s="379">
        <v>2160</v>
      </c>
      <c r="J1190" s="390" t="s">
        <v>2995</v>
      </c>
      <c r="K1190" s="382" t="s">
        <v>1073</v>
      </c>
      <c r="L1190" s="382"/>
      <c r="M1190" s="383" t="str">
        <f t="shared" si="93"/>
        <v>INT-0019-26</v>
      </c>
      <c r="N1190" s="384"/>
      <c r="O1190" s="385"/>
    </row>
    <row r="1191" spans="1:15" ht="15" x14ac:dyDescent="0.25">
      <c r="A1191" s="366">
        <v>46062</v>
      </c>
      <c r="B1191" s="373" t="s">
        <v>2961</v>
      </c>
      <c r="C1191" s="374" t="s">
        <v>1066</v>
      </c>
      <c r="D1191" s="367" t="s">
        <v>1292</v>
      </c>
      <c r="E1191" s="368" t="s">
        <v>1293</v>
      </c>
      <c r="F1191" s="369" t="s">
        <v>2992</v>
      </c>
      <c r="G1191" s="366">
        <v>46904</v>
      </c>
      <c r="H1191" s="369" t="s">
        <v>2991</v>
      </c>
      <c r="I1191" s="367">
        <v>2240</v>
      </c>
      <c r="J1191" s="375" t="s">
        <v>2995</v>
      </c>
      <c r="K1191" s="370" t="s">
        <v>1073</v>
      </c>
      <c r="L1191" s="370"/>
      <c r="M1191" s="70" t="str">
        <f>HYPERLINK("P:\7. LONG HAU\7. CAC THEO DOI TRONG QUA TRINH\4. DEVIATION- INCIDENTS\THEO DÕI NỘI BỘ (NGOÀI BBSC)\"&amp;YEAR(A1191)&amp;"\"&amp;B1191,B1191)</f>
        <v>INT-0019-26</v>
      </c>
      <c r="N1191" s="371"/>
      <c r="O1191" s="372"/>
    </row>
    <row r="1192" spans="1:15" ht="15" x14ac:dyDescent="0.25">
      <c r="A1192" s="377">
        <v>46062</v>
      </c>
      <c r="B1192" s="388" t="s">
        <v>2961</v>
      </c>
      <c r="C1192" s="378" t="s">
        <v>1066</v>
      </c>
      <c r="D1192" s="379" t="s">
        <v>1292</v>
      </c>
      <c r="E1192" s="380" t="s">
        <v>1293</v>
      </c>
      <c r="F1192" s="381" t="s">
        <v>2992</v>
      </c>
      <c r="G1192" s="377">
        <v>46904</v>
      </c>
      <c r="H1192" s="393" t="s">
        <v>2996</v>
      </c>
      <c r="I1192" s="379">
        <v>1299</v>
      </c>
      <c r="J1192" s="390" t="s">
        <v>2995</v>
      </c>
      <c r="K1192" s="382" t="s">
        <v>1073</v>
      </c>
      <c r="L1192" s="382" t="s">
        <v>2997</v>
      </c>
      <c r="M1192" s="383" t="str">
        <f>HYPERLINK("P:\7. LONG HAU\7. CAC THEO DOI TRONG QUA TRINH\4. DEVIATION- INCIDENTS\THEO DÕI NỘI BỘ (NGOÀI BBSC)\"&amp;YEAR(A1192)&amp;"\"&amp;B1192,B1192)</f>
        <v>INT-0019-26</v>
      </c>
      <c r="N1192" s="384"/>
      <c r="O1192" s="385"/>
    </row>
    <row r="1193" spans="1:15" ht="15" x14ac:dyDescent="0.25">
      <c r="A1193" s="377">
        <v>46062</v>
      </c>
      <c r="B1193" s="388" t="s">
        <v>2961</v>
      </c>
      <c r="C1193" s="378" t="s">
        <v>1066</v>
      </c>
      <c r="D1193" s="379" t="s">
        <v>39</v>
      </c>
      <c r="E1193" s="417" t="s">
        <v>40</v>
      </c>
      <c r="F1193" s="381" t="s">
        <v>2998</v>
      </c>
      <c r="G1193" s="377">
        <v>46356</v>
      </c>
      <c r="H1193" s="440" t="s">
        <v>3035</v>
      </c>
      <c r="I1193" s="379">
        <v>5</v>
      </c>
      <c r="J1193" s="390" t="s">
        <v>2995</v>
      </c>
      <c r="K1193" s="382" t="s">
        <v>1073</v>
      </c>
      <c r="L1193" s="444" t="s">
        <v>3036</v>
      </c>
      <c r="M1193" s="383" t="str">
        <f>HYPERLINK("P:\7. LONG HAU\7. CAC THEO DOI TRONG QUA TRINH\4. DEVIATION- INCIDENTS\THEO DÕI NỘI BỘ (NGOÀI BBSC)\"&amp;YEAR(A1193)&amp;"\"&amp;B1193,B1193)</f>
        <v>INT-0019-26</v>
      </c>
      <c r="N1193" s="384"/>
      <c r="O1193" s="385"/>
    </row>
    <row r="1194" spans="1:15" ht="15" x14ac:dyDescent="0.25">
      <c r="A1194" s="366">
        <v>46062</v>
      </c>
      <c r="B1194" s="373" t="s">
        <v>2999</v>
      </c>
      <c r="C1194" s="374" t="s">
        <v>1066</v>
      </c>
      <c r="D1194" s="367" t="s">
        <v>3001</v>
      </c>
      <c r="E1194" s="368" t="s">
        <v>3002</v>
      </c>
      <c r="F1194" s="369" t="s">
        <v>3003</v>
      </c>
      <c r="G1194" s="366">
        <v>46079</v>
      </c>
      <c r="H1194" s="369" t="s">
        <v>3004</v>
      </c>
      <c r="I1194" s="367">
        <v>5</v>
      </c>
      <c r="J1194" s="375" t="s">
        <v>3000</v>
      </c>
      <c r="K1194" s="370" t="s">
        <v>1072</v>
      </c>
      <c r="L1194" s="370"/>
      <c r="M1194" s="70" t="str">
        <f t="shared" ref="M1194:M1195" si="94">HYPERLINK("P:\7. LONG HAU\7. CAC THEO DOI TRONG QUA TRINH\4. DEVIATION- INCIDENTS\THEO DÕI NỘI BỘ (NGOÀI BBSC)\"&amp;YEAR(A1194)&amp;"\"&amp;B1194,B1194)</f>
        <v>INT-0020-26</v>
      </c>
      <c r="N1194" s="371"/>
      <c r="O1194" s="372"/>
    </row>
    <row r="1195" spans="1:15" ht="15" x14ac:dyDescent="0.25">
      <c r="A1195" s="366">
        <v>46062</v>
      </c>
      <c r="B1195" s="373" t="s">
        <v>2999</v>
      </c>
      <c r="C1195" s="374" t="s">
        <v>1066</v>
      </c>
      <c r="D1195" s="367" t="s">
        <v>292</v>
      </c>
      <c r="E1195" s="368" t="s">
        <v>293</v>
      </c>
      <c r="F1195" s="369" t="s">
        <v>3005</v>
      </c>
      <c r="G1195" s="366">
        <v>46142</v>
      </c>
      <c r="H1195" s="369" t="s">
        <v>3006</v>
      </c>
      <c r="I1195" s="367">
        <v>9</v>
      </c>
      <c r="J1195" s="375" t="s">
        <v>3000</v>
      </c>
      <c r="K1195" s="370" t="s">
        <v>1072</v>
      </c>
      <c r="L1195" s="370"/>
      <c r="M1195" s="70" t="str">
        <f t="shared" si="94"/>
        <v>INT-0020-26</v>
      </c>
      <c r="N1195" s="371"/>
      <c r="O1195" s="372"/>
    </row>
    <row r="1196" spans="1:15" ht="15" x14ac:dyDescent="0.25">
      <c r="A1196" s="403">
        <v>46066</v>
      </c>
      <c r="B1196" s="404" t="s">
        <v>3008</v>
      </c>
      <c r="C1196" s="405"/>
      <c r="D1196" s="406" t="s">
        <v>2048</v>
      </c>
      <c r="E1196" s="407" t="s">
        <v>2049</v>
      </c>
      <c r="F1196" s="408" t="s">
        <v>3013</v>
      </c>
      <c r="G1196" s="403">
        <v>46660</v>
      </c>
      <c r="H1196" s="408" t="s">
        <v>3009</v>
      </c>
      <c r="I1196" s="406">
        <v>2400</v>
      </c>
      <c r="J1196" s="409"/>
      <c r="K1196" s="410"/>
      <c r="L1196" s="410"/>
      <c r="M1196" s="383" t="str">
        <f>HYPERLINK("P:\7. LONG HAU\7. CAC THEO DOI TRONG QUA TRINH\4. DEVIATION- INCIDENTS\THEO DÕI NỘI BỘ (NGOÀI BBSC)\"&amp;YEAR(A1196)&amp;"\"&amp;B1196,B1196)</f>
        <v>INT-0021-26</v>
      </c>
      <c r="N1196" s="411"/>
      <c r="O1196" s="412"/>
    </row>
    <row r="1197" spans="1:15" ht="15" x14ac:dyDescent="0.25">
      <c r="A1197" s="403">
        <v>46066</v>
      </c>
      <c r="B1197" s="404" t="s">
        <v>3008</v>
      </c>
      <c r="C1197" s="396"/>
      <c r="D1197" s="397" t="s">
        <v>2048</v>
      </c>
      <c r="E1197" s="407" t="s">
        <v>2049</v>
      </c>
      <c r="F1197" s="398" t="s">
        <v>3013</v>
      </c>
      <c r="G1197" s="395">
        <v>46660</v>
      </c>
      <c r="H1197" s="398" t="s">
        <v>3010</v>
      </c>
      <c r="I1197" s="397">
        <v>2400</v>
      </c>
      <c r="J1197" s="399"/>
      <c r="K1197" s="400"/>
      <c r="L1197" s="400"/>
      <c r="M1197" s="70" t="str">
        <f t="shared" ref="M1197:M1199" si="95">HYPERLINK("P:\7. LONG HAU\7. CAC THEO DOI TRONG QUA TRINH\4. DEVIATION- INCIDENTS\THEO DÕI NỘI BỘ (NGOÀI BBSC)\"&amp;YEAR(A1197)&amp;"\"&amp;B1197,B1197)</f>
        <v>INT-0021-26</v>
      </c>
      <c r="N1197" s="401"/>
      <c r="O1197" s="402"/>
    </row>
    <row r="1198" spans="1:15" ht="15" x14ac:dyDescent="0.25">
      <c r="A1198" s="403">
        <v>46066</v>
      </c>
      <c r="B1198" s="404" t="s">
        <v>3008</v>
      </c>
      <c r="C1198" s="396"/>
      <c r="D1198" s="397" t="s">
        <v>2048</v>
      </c>
      <c r="E1198" s="407" t="s">
        <v>2049</v>
      </c>
      <c r="F1198" s="398" t="s">
        <v>3013</v>
      </c>
      <c r="G1198" s="395">
        <v>46660</v>
      </c>
      <c r="H1198" s="398" t="s">
        <v>3011</v>
      </c>
      <c r="I1198" s="397">
        <v>349</v>
      </c>
      <c r="J1198" s="399"/>
      <c r="K1198" s="400"/>
      <c r="L1198" s="400"/>
      <c r="M1198" s="70" t="str">
        <f t="shared" si="95"/>
        <v>INT-0021-26</v>
      </c>
      <c r="N1198" s="401"/>
      <c r="O1198" s="402"/>
    </row>
    <row r="1199" spans="1:15" ht="15" x14ac:dyDescent="0.25">
      <c r="A1199" s="403">
        <v>46066</v>
      </c>
      <c r="B1199" s="404" t="s">
        <v>3008</v>
      </c>
      <c r="C1199" s="396"/>
      <c r="D1199" s="397" t="s">
        <v>2048</v>
      </c>
      <c r="E1199" s="407" t="s">
        <v>2049</v>
      </c>
      <c r="F1199" s="398" t="s">
        <v>3013</v>
      </c>
      <c r="G1199" s="395">
        <v>46660</v>
      </c>
      <c r="H1199" s="398" t="s">
        <v>3012</v>
      </c>
      <c r="I1199" s="397">
        <v>2400</v>
      </c>
      <c r="J1199" s="399"/>
      <c r="K1199" s="400"/>
      <c r="L1199" s="400"/>
      <c r="M1199" s="70" t="str">
        <f t="shared" si="95"/>
        <v>INT-0021-26</v>
      </c>
      <c r="N1199" s="401"/>
      <c r="O1199" s="402"/>
    </row>
    <row r="1200" spans="1:15" ht="15" x14ac:dyDescent="0.25">
      <c r="A1200" s="413">
        <v>46066</v>
      </c>
      <c r="B1200" s="414" t="s">
        <v>3014</v>
      </c>
      <c r="C1200" s="415" t="s">
        <v>547</v>
      </c>
      <c r="D1200" s="416" t="s">
        <v>1276</v>
      </c>
      <c r="E1200" s="417" t="s">
        <v>303</v>
      </c>
      <c r="F1200" s="418" t="s">
        <v>3015</v>
      </c>
      <c r="G1200" s="413">
        <v>46794</v>
      </c>
      <c r="H1200" s="418" t="s">
        <v>3016</v>
      </c>
      <c r="I1200" s="416">
        <v>1</v>
      </c>
      <c r="J1200" s="387"/>
      <c r="K1200" s="389" t="s">
        <v>1072</v>
      </c>
      <c r="L1200" s="389"/>
      <c r="M1200" s="383" t="str">
        <f t="shared" ref="M1200:M1207" si="96">HYPERLINK("P:\7. LONG HAU\7. CAC THEO DOI TRONG QUA TRINH\4. DEVIATION- INCIDENTS\THEO DÕI NỘI BỘ (NGOÀI BBSC)\"&amp;YEAR(A1200)&amp;"\"&amp;B1200,B1200)</f>
        <v>INT-0022-26</v>
      </c>
      <c r="N1200" s="419"/>
      <c r="O1200" s="420"/>
    </row>
    <row r="1201" spans="1:15" ht="15" x14ac:dyDescent="0.25">
      <c r="A1201" s="421">
        <v>46066</v>
      </c>
      <c r="B1201" s="422" t="s">
        <v>3017</v>
      </c>
      <c r="C1201" s="423" t="s">
        <v>1066</v>
      </c>
      <c r="D1201" s="424" t="s">
        <v>1292</v>
      </c>
      <c r="E1201" s="425" t="s">
        <v>1293</v>
      </c>
      <c r="F1201" s="426" t="s">
        <v>2992</v>
      </c>
      <c r="G1201" s="421">
        <v>46904</v>
      </c>
      <c r="H1201" s="426" t="s">
        <v>3018</v>
      </c>
      <c r="I1201" s="424">
        <v>16</v>
      </c>
      <c r="J1201" s="427"/>
      <c r="K1201" s="389" t="s">
        <v>1073</v>
      </c>
      <c r="L1201" s="428"/>
      <c r="M1201" s="383" t="str">
        <f t="shared" si="96"/>
        <v>INT-0023-26</v>
      </c>
      <c r="N1201" s="429"/>
      <c r="O1201" s="430"/>
    </row>
    <row r="1202" spans="1:15" ht="15" x14ac:dyDescent="0.25">
      <c r="A1202" s="413">
        <v>46066</v>
      </c>
      <c r="B1202" s="414" t="s">
        <v>3017</v>
      </c>
      <c r="C1202" s="415" t="s">
        <v>1066</v>
      </c>
      <c r="D1202" s="416" t="s">
        <v>47</v>
      </c>
      <c r="E1202" s="417" t="s">
        <v>48</v>
      </c>
      <c r="F1202" s="418" t="s">
        <v>812</v>
      </c>
      <c r="G1202" s="413">
        <v>46173</v>
      </c>
      <c r="H1202" s="418" t="s">
        <v>3019</v>
      </c>
      <c r="I1202" s="416">
        <v>130</v>
      </c>
      <c r="J1202" s="387"/>
      <c r="K1202" s="389" t="s">
        <v>1073</v>
      </c>
      <c r="L1202" s="389"/>
      <c r="M1202" s="383" t="str">
        <f t="shared" si="96"/>
        <v>INT-0023-26</v>
      </c>
      <c r="N1202" s="431"/>
      <c r="O1202" s="432"/>
    </row>
    <row r="1203" spans="1:15" ht="15" x14ac:dyDescent="0.25">
      <c r="A1203" s="421">
        <v>46077</v>
      </c>
      <c r="B1203" s="422" t="s">
        <v>3020</v>
      </c>
      <c r="C1203" s="423" t="s">
        <v>1066</v>
      </c>
      <c r="D1203" s="424" t="s">
        <v>3021</v>
      </c>
      <c r="E1203" s="425" t="s">
        <v>3022</v>
      </c>
      <c r="F1203" s="426" t="s">
        <v>3023</v>
      </c>
      <c r="G1203" s="421">
        <v>46133</v>
      </c>
      <c r="H1203" s="426" t="s">
        <v>3024</v>
      </c>
      <c r="I1203" s="424">
        <v>11633</v>
      </c>
      <c r="J1203" s="387" t="s">
        <v>3025</v>
      </c>
      <c r="K1203" s="428" t="s">
        <v>1072</v>
      </c>
      <c r="L1203" s="428"/>
      <c r="M1203" s="383" t="str">
        <f t="shared" si="96"/>
        <v>INT-0024-26</v>
      </c>
      <c r="N1203" s="429"/>
      <c r="O1203" s="430"/>
    </row>
    <row r="1204" spans="1:15" ht="15" x14ac:dyDescent="0.25">
      <c r="A1204" s="433">
        <v>46077</v>
      </c>
      <c r="B1204" s="441" t="s">
        <v>3020</v>
      </c>
      <c r="C1204" s="442" t="s">
        <v>1066</v>
      </c>
      <c r="D1204" s="434" t="s">
        <v>3021</v>
      </c>
      <c r="E1204" s="435" t="s">
        <v>3022</v>
      </c>
      <c r="F1204" s="436" t="s">
        <v>3023</v>
      </c>
      <c r="G1204" s="433">
        <v>46133</v>
      </c>
      <c r="H1204" s="443" t="s">
        <v>3037</v>
      </c>
      <c r="I1204" s="434">
        <v>245</v>
      </c>
      <c r="J1204" s="387" t="s">
        <v>3025</v>
      </c>
      <c r="K1204" s="437" t="s">
        <v>1072</v>
      </c>
      <c r="L1204" s="445" t="s">
        <v>3036</v>
      </c>
      <c r="M1204" s="70" t="str">
        <f t="shared" si="96"/>
        <v>INT-0024-26</v>
      </c>
      <c r="N1204" s="438"/>
      <c r="O1204" s="439"/>
    </row>
    <row r="1205" spans="1:15" ht="15" x14ac:dyDescent="0.25">
      <c r="A1205" s="421">
        <v>46077</v>
      </c>
      <c r="B1205" s="422" t="s">
        <v>3020</v>
      </c>
      <c r="C1205" s="442" t="s">
        <v>1066</v>
      </c>
      <c r="D1205" s="424" t="s">
        <v>3021</v>
      </c>
      <c r="E1205" s="425" t="s">
        <v>3022</v>
      </c>
      <c r="F1205" s="426" t="s">
        <v>3023</v>
      </c>
      <c r="G1205" s="421">
        <v>46133</v>
      </c>
      <c r="H1205" s="443" t="s">
        <v>3095</v>
      </c>
      <c r="I1205" s="434">
        <v>12000</v>
      </c>
      <c r="J1205" s="387" t="s">
        <v>3025</v>
      </c>
      <c r="K1205" s="437" t="s">
        <v>1072</v>
      </c>
      <c r="L1205" s="445" t="s">
        <v>3094</v>
      </c>
      <c r="M1205" s="70" t="str">
        <f t="shared" ref="M1205:M1206" si="97">HYPERLINK("P:\7. LONG HAU\7. CAC THEO DOI TRONG QUA TRINH\4. DEVIATION- INCIDENTS\THEO DÕI NỘI BỘ (NGOÀI BBSC)\"&amp;YEAR(A1205)&amp;"\"&amp;B1205,B1205)</f>
        <v>INT-0024-26</v>
      </c>
      <c r="N1205" s="438"/>
      <c r="O1205" s="439"/>
    </row>
    <row r="1206" spans="1:15" ht="15" x14ac:dyDescent="0.25">
      <c r="A1206" s="433">
        <v>46077</v>
      </c>
      <c r="B1206" s="441" t="s">
        <v>3020</v>
      </c>
      <c r="C1206" s="442" t="s">
        <v>1066</v>
      </c>
      <c r="D1206" s="434" t="s">
        <v>3021</v>
      </c>
      <c r="E1206" s="435" t="s">
        <v>3022</v>
      </c>
      <c r="F1206" s="436" t="s">
        <v>3023</v>
      </c>
      <c r="G1206" s="433">
        <v>46133</v>
      </c>
      <c r="H1206" s="443" t="s">
        <v>3096</v>
      </c>
      <c r="I1206" s="434">
        <v>10344</v>
      </c>
      <c r="J1206" s="387" t="s">
        <v>3025</v>
      </c>
      <c r="K1206" s="437" t="s">
        <v>1072</v>
      </c>
      <c r="L1206" s="445" t="s">
        <v>3094</v>
      </c>
      <c r="M1206" s="70" t="str">
        <f t="shared" si="97"/>
        <v>INT-0024-26</v>
      </c>
      <c r="N1206" s="438"/>
      <c r="O1206" s="439"/>
    </row>
    <row r="1207" spans="1:15" ht="15" x14ac:dyDescent="0.25">
      <c r="A1207" s="421">
        <v>46079</v>
      </c>
      <c r="B1207" s="422" t="s">
        <v>3026</v>
      </c>
      <c r="C1207" s="423" t="s">
        <v>1066</v>
      </c>
      <c r="D1207" s="424" t="s">
        <v>1929</v>
      </c>
      <c r="E1207" s="425" t="s">
        <v>1930</v>
      </c>
      <c r="F1207" s="426" t="s">
        <v>1931</v>
      </c>
      <c r="G1207" s="421">
        <v>46116</v>
      </c>
      <c r="H1207" s="426" t="s">
        <v>1932</v>
      </c>
      <c r="I1207" s="424">
        <v>1</v>
      </c>
      <c r="J1207" s="387" t="s">
        <v>3025</v>
      </c>
      <c r="K1207" s="428" t="s">
        <v>1072</v>
      </c>
      <c r="L1207" s="428"/>
      <c r="M1207" s="383" t="str">
        <f t="shared" si="96"/>
        <v>INT-0025-26</v>
      </c>
      <c r="N1207" s="429"/>
      <c r="O1207" s="430"/>
    </row>
    <row r="1208" spans="1:15" ht="15" x14ac:dyDescent="0.25">
      <c r="A1208" s="421">
        <v>46079</v>
      </c>
      <c r="B1208" s="422" t="s">
        <v>3026</v>
      </c>
      <c r="C1208" s="423" t="s">
        <v>1066</v>
      </c>
      <c r="D1208" s="434" t="s">
        <v>1929</v>
      </c>
      <c r="E1208" s="435" t="s">
        <v>1930</v>
      </c>
      <c r="F1208" s="436" t="s">
        <v>1933</v>
      </c>
      <c r="G1208" s="433">
        <v>46117</v>
      </c>
      <c r="H1208" s="436" t="s">
        <v>1934</v>
      </c>
      <c r="I1208" s="434">
        <v>207</v>
      </c>
      <c r="J1208" s="387" t="s">
        <v>3025</v>
      </c>
      <c r="K1208" s="428" t="s">
        <v>1072</v>
      </c>
      <c r="L1208" s="437"/>
      <c r="M1208" s="70" t="str">
        <f t="shared" ref="M1208:M1213" si="98">HYPERLINK("P:\7. LONG HAU\7. CAC THEO DOI TRONG QUA TRINH\4. DEVIATION- INCIDENTS\THEO DÕI NỘI BỘ (NGOÀI BBSC)\"&amp;YEAR(A1208)&amp;"\"&amp;B1208,B1208)</f>
        <v>INT-0025-26</v>
      </c>
      <c r="N1208" s="438"/>
      <c r="O1208" s="439"/>
    </row>
    <row r="1209" spans="1:15" ht="15" x14ac:dyDescent="0.25">
      <c r="A1209" s="421">
        <v>46079</v>
      </c>
      <c r="B1209" s="422" t="s">
        <v>3026</v>
      </c>
      <c r="C1209" s="423" t="s">
        <v>1066</v>
      </c>
      <c r="D1209" s="434" t="s">
        <v>1929</v>
      </c>
      <c r="E1209" s="435" t="s">
        <v>1930</v>
      </c>
      <c r="F1209" s="436" t="s">
        <v>1933</v>
      </c>
      <c r="G1209" s="433">
        <v>46117</v>
      </c>
      <c r="H1209" s="436" t="s">
        <v>3027</v>
      </c>
      <c r="I1209" s="434">
        <v>100</v>
      </c>
      <c r="J1209" s="387" t="s">
        <v>3025</v>
      </c>
      <c r="K1209" s="428" t="s">
        <v>1072</v>
      </c>
      <c r="L1209" s="437"/>
      <c r="M1209" s="70" t="str">
        <f t="shared" si="98"/>
        <v>INT-0025-26</v>
      </c>
      <c r="N1209" s="438"/>
      <c r="O1209" s="439"/>
    </row>
    <row r="1210" spans="1:15" ht="15" x14ac:dyDescent="0.25">
      <c r="A1210" s="421">
        <v>46079</v>
      </c>
      <c r="B1210" s="422" t="s">
        <v>3026</v>
      </c>
      <c r="C1210" s="423" t="s">
        <v>1066</v>
      </c>
      <c r="D1210" s="434" t="s">
        <v>1929</v>
      </c>
      <c r="E1210" s="435" t="s">
        <v>1930</v>
      </c>
      <c r="F1210" s="436" t="s">
        <v>3032</v>
      </c>
      <c r="G1210" s="433">
        <v>46123</v>
      </c>
      <c r="H1210" s="436" t="s">
        <v>3028</v>
      </c>
      <c r="I1210" s="434">
        <v>10</v>
      </c>
      <c r="J1210" s="387" t="s">
        <v>3025</v>
      </c>
      <c r="K1210" s="428" t="s">
        <v>1072</v>
      </c>
      <c r="L1210" s="437"/>
      <c r="M1210" s="70" t="str">
        <f t="shared" si="98"/>
        <v>INT-0025-26</v>
      </c>
      <c r="N1210" s="438"/>
      <c r="O1210" s="439"/>
    </row>
    <row r="1211" spans="1:15" ht="15" x14ac:dyDescent="0.25">
      <c r="A1211" s="421">
        <v>46079</v>
      </c>
      <c r="B1211" s="422" t="s">
        <v>3026</v>
      </c>
      <c r="C1211" s="423" t="s">
        <v>1066</v>
      </c>
      <c r="D1211" s="434" t="s">
        <v>1929</v>
      </c>
      <c r="E1211" s="435" t="s">
        <v>1930</v>
      </c>
      <c r="F1211" s="436" t="s">
        <v>1931</v>
      </c>
      <c r="G1211" s="433">
        <v>46116</v>
      </c>
      <c r="H1211" s="436" t="s">
        <v>3029</v>
      </c>
      <c r="I1211" s="434">
        <v>367</v>
      </c>
      <c r="J1211" s="387" t="s">
        <v>3025</v>
      </c>
      <c r="K1211" s="428" t="s">
        <v>1072</v>
      </c>
      <c r="L1211" s="437"/>
      <c r="M1211" s="70" t="str">
        <f t="shared" si="98"/>
        <v>INT-0025-26</v>
      </c>
      <c r="N1211" s="438"/>
      <c r="O1211" s="439"/>
    </row>
    <row r="1212" spans="1:15" ht="15" x14ac:dyDescent="0.25">
      <c r="A1212" s="421">
        <v>46079</v>
      </c>
      <c r="B1212" s="422" t="s">
        <v>3026</v>
      </c>
      <c r="C1212" s="423" t="s">
        <v>1066</v>
      </c>
      <c r="D1212" s="434" t="s">
        <v>1929</v>
      </c>
      <c r="E1212" s="435" t="s">
        <v>1930</v>
      </c>
      <c r="F1212" s="436" t="s">
        <v>3033</v>
      </c>
      <c r="G1212" s="433">
        <v>46117</v>
      </c>
      <c r="H1212" s="436" t="s">
        <v>3030</v>
      </c>
      <c r="I1212" s="434">
        <v>76</v>
      </c>
      <c r="J1212" s="387" t="s">
        <v>3025</v>
      </c>
      <c r="K1212" s="428" t="s">
        <v>1072</v>
      </c>
      <c r="L1212" s="437"/>
      <c r="M1212" s="70" t="str">
        <f t="shared" si="98"/>
        <v>INT-0025-26</v>
      </c>
      <c r="N1212" s="438"/>
      <c r="O1212" s="439"/>
    </row>
    <row r="1213" spans="1:15" ht="15" x14ac:dyDescent="0.25">
      <c r="A1213" s="421">
        <v>46079</v>
      </c>
      <c r="B1213" s="422" t="s">
        <v>3026</v>
      </c>
      <c r="C1213" s="423" t="s">
        <v>1066</v>
      </c>
      <c r="D1213" s="434" t="s">
        <v>1929</v>
      </c>
      <c r="E1213" s="435" t="s">
        <v>1930</v>
      </c>
      <c r="F1213" s="436" t="s">
        <v>3034</v>
      </c>
      <c r="G1213" s="433">
        <v>46225</v>
      </c>
      <c r="H1213" s="436" t="s">
        <v>3031</v>
      </c>
      <c r="I1213" s="434">
        <v>6</v>
      </c>
      <c r="J1213" s="387" t="s">
        <v>3025</v>
      </c>
      <c r="K1213" s="428" t="s">
        <v>1072</v>
      </c>
      <c r="L1213" s="437"/>
      <c r="M1213" s="70" t="str">
        <f t="shared" si="98"/>
        <v>INT-0025-26</v>
      </c>
      <c r="N1213" s="438"/>
      <c r="O1213" s="439"/>
    </row>
    <row r="1214" spans="1:15" ht="15" x14ac:dyDescent="0.25">
      <c r="A1214" s="433">
        <v>46091</v>
      </c>
      <c r="B1214" s="441" t="s">
        <v>3038</v>
      </c>
      <c r="C1214" s="423" t="s">
        <v>1066</v>
      </c>
      <c r="D1214" s="434" t="s">
        <v>47</v>
      </c>
      <c r="E1214" s="435" t="s">
        <v>48</v>
      </c>
      <c r="F1214" s="436" t="s">
        <v>623</v>
      </c>
      <c r="G1214" s="433">
        <v>46173</v>
      </c>
      <c r="H1214" s="436" t="s">
        <v>3039</v>
      </c>
      <c r="I1214" s="434">
        <v>5</v>
      </c>
      <c r="J1214" s="390" t="s">
        <v>2995</v>
      </c>
      <c r="K1214" s="437" t="s">
        <v>1073</v>
      </c>
      <c r="L1214" s="437"/>
      <c r="M1214" s="70" t="str">
        <f t="shared" ref="M1214:M1230" si="99">HYPERLINK("P:\7. LONG HAU\7. CAC THEO DOI TRONG QUA TRINH\4. DEVIATION- INCIDENTS\THEO DÕI NỘI BỘ (NGOÀI BBSC)\"&amp;YEAR(A1214)&amp;"\"&amp;B1214,B1214)</f>
        <v>INT-0026-26</v>
      </c>
      <c r="N1214" s="438"/>
      <c r="O1214" s="439"/>
    </row>
    <row r="1215" spans="1:15" ht="15" x14ac:dyDescent="0.25">
      <c r="A1215" s="433">
        <v>46091</v>
      </c>
      <c r="B1215" s="441" t="s">
        <v>3038</v>
      </c>
      <c r="C1215" s="423" t="s">
        <v>1066</v>
      </c>
      <c r="D1215" s="434" t="s">
        <v>1292</v>
      </c>
      <c r="E1215" s="435" t="s">
        <v>1293</v>
      </c>
      <c r="F1215" s="436" t="s">
        <v>2691</v>
      </c>
      <c r="G1215" s="433">
        <v>46265</v>
      </c>
      <c r="H1215" s="436" t="s">
        <v>3040</v>
      </c>
      <c r="I1215" s="434">
        <v>1</v>
      </c>
      <c r="J1215" s="390" t="s">
        <v>2995</v>
      </c>
      <c r="K1215" s="437" t="s">
        <v>1073</v>
      </c>
      <c r="L1215" s="437"/>
      <c r="M1215" s="70" t="str">
        <f t="shared" si="99"/>
        <v>INT-0026-26</v>
      </c>
      <c r="N1215" s="438"/>
      <c r="O1215" s="439"/>
    </row>
    <row r="1216" spans="1:15" ht="15" x14ac:dyDescent="0.25">
      <c r="A1216" s="433">
        <v>46091</v>
      </c>
      <c r="B1216" s="441" t="s">
        <v>3038</v>
      </c>
      <c r="C1216" s="423" t="s">
        <v>1066</v>
      </c>
      <c r="D1216" s="434" t="s">
        <v>1292</v>
      </c>
      <c r="E1216" s="435" t="s">
        <v>1293</v>
      </c>
      <c r="F1216" s="436" t="s">
        <v>2080</v>
      </c>
      <c r="G1216" s="433">
        <v>46173</v>
      </c>
      <c r="H1216" s="436" t="s">
        <v>3041</v>
      </c>
      <c r="I1216" s="434">
        <v>5</v>
      </c>
      <c r="J1216" s="390" t="s">
        <v>2995</v>
      </c>
      <c r="K1216" s="437" t="s">
        <v>1073</v>
      </c>
      <c r="L1216" s="437"/>
      <c r="M1216" s="70" t="str">
        <f t="shared" si="99"/>
        <v>INT-0026-26</v>
      </c>
      <c r="N1216" s="438"/>
      <c r="O1216" s="439"/>
    </row>
    <row r="1217" spans="1:15" ht="15" x14ac:dyDescent="0.25">
      <c r="A1217" s="433">
        <v>46091</v>
      </c>
      <c r="B1217" s="441" t="s">
        <v>3038</v>
      </c>
      <c r="C1217" s="423" t="s">
        <v>1066</v>
      </c>
      <c r="D1217" s="434" t="s">
        <v>1292</v>
      </c>
      <c r="E1217" s="435" t="s">
        <v>1293</v>
      </c>
      <c r="F1217" s="436" t="s">
        <v>2692</v>
      </c>
      <c r="G1217" s="433">
        <v>46173</v>
      </c>
      <c r="H1217" s="436" t="s">
        <v>3042</v>
      </c>
      <c r="I1217" s="434">
        <v>2</v>
      </c>
      <c r="J1217" s="390" t="s">
        <v>2995</v>
      </c>
      <c r="K1217" s="437" t="s">
        <v>1073</v>
      </c>
      <c r="L1217" s="437"/>
      <c r="M1217" s="70" t="str">
        <f t="shared" si="99"/>
        <v>INT-0026-26</v>
      </c>
      <c r="N1217" s="438"/>
      <c r="O1217" s="439"/>
    </row>
    <row r="1218" spans="1:15" ht="25.5" x14ac:dyDescent="0.25">
      <c r="A1218" s="433">
        <v>46091</v>
      </c>
      <c r="B1218" s="441" t="s">
        <v>3038</v>
      </c>
      <c r="C1218" s="423" t="s">
        <v>1066</v>
      </c>
      <c r="D1218" s="434" t="s">
        <v>44</v>
      </c>
      <c r="E1218" s="435" t="s">
        <v>45</v>
      </c>
      <c r="F1218" s="436" t="s">
        <v>1179</v>
      </c>
      <c r="G1218" s="433">
        <v>46326</v>
      </c>
      <c r="H1218" s="436" t="s">
        <v>3043</v>
      </c>
      <c r="I1218" s="434">
        <v>2</v>
      </c>
      <c r="J1218" s="390" t="s">
        <v>2995</v>
      </c>
      <c r="K1218" s="437" t="s">
        <v>1073</v>
      </c>
      <c r="L1218" s="437"/>
      <c r="M1218" s="70" t="str">
        <f t="shared" si="99"/>
        <v>INT-0026-26</v>
      </c>
      <c r="N1218" s="438"/>
      <c r="O1218" s="439"/>
    </row>
    <row r="1219" spans="1:15" ht="15" x14ac:dyDescent="0.25">
      <c r="A1219" s="433">
        <v>46091</v>
      </c>
      <c r="B1219" s="441" t="s">
        <v>3038</v>
      </c>
      <c r="C1219" s="423" t="s">
        <v>1066</v>
      </c>
      <c r="D1219" s="434" t="s">
        <v>39</v>
      </c>
      <c r="E1219" s="435" t="s">
        <v>40</v>
      </c>
      <c r="F1219" s="436" t="s">
        <v>1757</v>
      </c>
      <c r="G1219" s="433">
        <v>46356</v>
      </c>
      <c r="H1219" s="436" t="s">
        <v>3044</v>
      </c>
      <c r="I1219" s="434">
        <v>5</v>
      </c>
      <c r="J1219" s="390" t="s">
        <v>2995</v>
      </c>
      <c r="K1219" s="437" t="s">
        <v>1073</v>
      </c>
      <c r="L1219" s="437"/>
      <c r="M1219" s="70" t="str">
        <f t="shared" si="99"/>
        <v>INT-0026-26</v>
      </c>
      <c r="N1219" s="438"/>
      <c r="O1219" s="439"/>
    </row>
    <row r="1220" spans="1:15" ht="15" x14ac:dyDescent="0.25">
      <c r="A1220" s="433">
        <v>46091</v>
      </c>
      <c r="B1220" s="441" t="s">
        <v>3038</v>
      </c>
      <c r="C1220" s="423" t="s">
        <v>1066</v>
      </c>
      <c r="D1220" s="434" t="s">
        <v>1133</v>
      </c>
      <c r="E1220" s="435" t="s">
        <v>1134</v>
      </c>
      <c r="F1220" s="436" t="s">
        <v>2383</v>
      </c>
      <c r="G1220" s="433">
        <v>46203</v>
      </c>
      <c r="H1220" s="436" t="s">
        <v>3045</v>
      </c>
      <c r="I1220" s="434">
        <v>91</v>
      </c>
      <c r="J1220" s="390" t="s">
        <v>2995</v>
      </c>
      <c r="K1220" s="437" t="s">
        <v>1073</v>
      </c>
      <c r="L1220" s="437"/>
      <c r="M1220" s="70" t="str">
        <f t="shared" si="99"/>
        <v>INT-0026-26</v>
      </c>
      <c r="N1220" s="438"/>
      <c r="O1220" s="439"/>
    </row>
    <row r="1221" spans="1:15" ht="15" x14ac:dyDescent="0.25">
      <c r="A1221" s="433">
        <v>46091</v>
      </c>
      <c r="B1221" s="441" t="s">
        <v>3038</v>
      </c>
      <c r="C1221" s="423" t="s">
        <v>1066</v>
      </c>
      <c r="D1221" s="434" t="s">
        <v>1292</v>
      </c>
      <c r="E1221" s="435" t="s">
        <v>1293</v>
      </c>
      <c r="F1221" s="436" t="s">
        <v>2545</v>
      </c>
      <c r="G1221" s="433">
        <v>46142</v>
      </c>
      <c r="H1221" s="436" t="s">
        <v>3046</v>
      </c>
      <c r="I1221" s="434">
        <v>20</v>
      </c>
      <c r="J1221" s="390" t="s">
        <v>2995</v>
      </c>
      <c r="K1221" s="437" t="s">
        <v>1073</v>
      </c>
      <c r="L1221" s="437"/>
      <c r="M1221" s="70" t="str">
        <f t="shared" si="99"/>
        <v>INT-0026-26</v>
      </c>
      <c r="N1221" s="438"/>
      <c r="O1221" s="439"/>
    </row>
    <row r="1222" spans="1:15" ht="15" x14ac:dyDescent="0.25">
      <c r="A1222" s="433">
        <v>46091</v>
      </c>
      <c r="B1222" s="441" t="s">
        <v>3038</v>
      </c>
      <c r="C1222" s="423" t="s">
        <v>1066</v>
      </c>
      <c r="D1222" s="434" t="s">
        <v>36</v>
      </c>
      <c r="E1222" s="435" t="s">
        <v>37</v>
      </c>
      <c r="F1222" s="436" t="s">
        <v>2310</v>
      </c>
      <c r="G1222" s="433">
        <v>46142</v>
      </c>
      <c r="H1222" s="436" t="s">
        <v>3047</v>
      </c>
      <c r="I1222" s="434">
        <v>31</v>
      </c>
      <c r="J1222" s="390" t="s">
        <v>2995</v>
      </c>
      <c r="K1222" s="437" t="s">
        <v>1073</v>
      </c>
      <c r="L1222" s="437"/>
      <c r="M1222" s="70" t="str">
        <f t="shared" si="99"/>
        <v>INT-0026-26</v>
      </c>
      <c r="N1222" s="438"/>
      <c r="O1222" s="439"/>
    </row>
    <row r="1223" spans="1:15" ht="15" x14ac:dyDescent="0.25">
      <c r="A1223" s="433">
        <v>46091</v>
      </c>
      <c r="B1223" s="441" t="s">
        <v>3038</v>
      </c>
      <c r="C1223" s="423" t="s">
        <v>1066</v>
      </c>
      <c r="D1223" s="434" t="s">
        <v>36</v>
      </c>
      <c r="E1223" s="435" t="s">
        <v>37</v>
      </c>
      <c r="F1223" s="436" t="s">
        <v>1962</v>
      </c>
      <c r="G1223" s="433">
        <v>46142</v>
      </c>
      <c r="H1223" s="436" t="s">
        <v>3048</v>
      </c>
      <c r="I1223" s="434">
        <v>23</v>
      </c>
      <c r="J1223" s="390" t="s">
        <v>2995</v>
      </c>
      <c r="K1223" s="437" t="s">
        <v>1073</v>
      </c>
      <c r="L1223" s="437"/>
      <c r="M1223" s="70" t="str">
        <f t="shared" si="99"/>
        <v>INT-0026-26</v>
      </c>
      <c r="N1223" s="438"/>
      <c r="O1223" s="439"/>
    </row>
    <row r="1224" spans="1:15" ht="15" x14ac:dyDescent="0.25">
      <c r="A1224" s="433">
        <v>46091</v>
      </c>
      <c r="B1224" s="441" t="s">
        <v>3038</v>
      </c>
      <c r="C1224" s="423" t="s">
        <v>1066</v>
      </c>
      <c r="D1224" s="434" t="s">
        <v>36</v>
      </c>
      <c r="E1224" s="435" t="s">
        <v>37</v>
      </c>
      <c r="F1224" s="436" t="s">
        <v>1955</v>
      </c>
      <c r="G1224" s="433">
        <v>46112</v>
      </c>
      <c r="H1224" s="436" t="s">
        <v>3049</v>
      </c>
      <c r="I1224" s="434">
        <v>4</v>
      </c>
      <c r="J1224" s="390" t="s">
        <v>2995</v>
      </c>
      <c r="K1224" s="437" t="s">
        <v>1073</v>
      </c>
      <c r="L1224" s="437"/>
      <c r="M1224" s="70" t="str">
        <f t="shared" si="99"/>
        <v>INT-0026-26</v>
      </c>
      <c r="N1224" s="438"/>
      <c r="O1224" s="439"/>
    </row>
    <row r="1225" spans="1:15" ht="15" x14ac:dyDescent="0.25">
      <c r="A1225" s="433">
        <v>46091</v>
      </c>
      <c r="B1225" s="441" t="s">
        <v>3038</v>
      </c>
      <c r="C1225" s="423" t="s">
        <v>1066</v>
      </c>
      <c r="D1225" s="434" t="s">
        <v>92</v>
      </c>
      <c r="E1225" s="435" t="s">
        <v>93</v>
      </c>
      <c r="F1225" s="436" t="s">
        <v>605</v>
      </c>
      <c r="G1225" s="433">
        <v>46265</v>
      </c>
      <c r="H1225" s="436" t="s">
        <v>3050</v>
      </c>
      <c r="I1225" s="434">
        <v>2</v>
      </c>
      <c r="J1225" s="390" t="s">
        <v>2995</v>
      </c>
      <c r="K1225" s="437" t="s">
        <v>1073</v>
      </c>
      <c r="L1225" s="437"/>
      <c r="M1225" s="70" t="str">
        <f t="shared" si="99"/>
        <v>INT-0026-26</v>
      </c>
      <c r="N1225" s="438"/>
      <c r="O1225" s="439"/>
    </row>
    <row r="1226" spans="1:15" ht="15" x14ac:dyDescent="0.25">
      <c r="A1226" s="433">
        <v>46091</v>
      </c>
      <c r="B1226" s="441" t="s">
        <v>3038</v>
      </c>
      <c r="C1226" s="423" t="s">
        <v>1066</v>
      </c>
      <c r="D1226" s="434" t="s">
        <v>414</v>
      </c>
      <c r="E1226" s="435" t="s">
        <v>415</v>
      </c>
      <c r="F1226" s="436" t="s">
        <v>416</v>
      </c>
      <c r="G1226" s="433">
        <v>46356</v>
      </c>
      <c r="H1226" s="436" t="s">
        <v>3051</v>
      </c>
      <c r="I1226" s="434">
        <v>13</v>
      </c>
      <c r="J1226" s="390" t="s">
        <v>2995</v>
      </c>
      <c r="K1226" s="437" t="s">
        <v>1073</v>
      </c>
      <c r="L1226" s="437"/>
      <c r="M1226" s="70" t="str">
        <f t="shared" si="99"/>
        <v>INT-0026-26</v>
      </c>
      <c r="N1226" s="438"/>
      <c r="O1226" s="439"/>
    </row>
    <row r="1227" spans="1:15" ht="15" x14ac:dyDescent="0.25">
      <c r="A1227" s="433">
        <v>46091</v>
      </c>
      <c r="B1227" s="441" t="s">
        <v>3038</v>
      </c>
      <c r="C1227" s="423" t="s">
        <v>1066</v>
      </c>
      <c r="D1227" s="434" t="s">
        <v>1836</v>
      </c>
      <c r="E1227" s="435" t="s">
        <v>1837</v>
      </c>
      <c r="F1227" s="436" t="s">
        <v>1839</v>
      </c>
      <c r="G1227" s="433">
        <v>46234</v>
      </c>
      <c r="H1227" s="436" t="s">
        <v>3052</v>
      </c>
      <c r="I1227" s="434">
        <v>39</v>
      </c>
      <c r="J1227" s="390" t="s">
        <v>2995</v>
      </c>
      <c r="K1227" s="437" t="s">
        <v>1073</v>
      </c>
      <c r="L1227" s="437"/>
      <c r="M1227" s="70" t="str">
        <f t="shared" si="99"/>
        <v>INT-0026-26</v>
      </c>
      <c r="N1227" s="438"/>
      <c r="O1227" s="439"/>
    </row>
    <row r="1228" spans="1:15" ht="15" x14ac:dyDescent="0.25">
      <c r="A1228" s="433">
        <v>46091</v>
      </c>
      <c r="B1228" s="441" t="s">
        <v>3038</v>
      </c>
      <c r="C1228" s="423" t="s">
        <v>1066</v>
      </c>
      <c r="D1228" s="434" t="s">
        <v>34</v>
      </c>
      <c r="E1228" s="435" t="s">
        <v>35</v>
      </c>
      <c r="F1228" s="436" t="s">
        <v>2288</v>
      </c>
      <c r="G1228" s="433">
        <v>46387</v>
      </c>
      <c r="H1228" s="436" t="s">
        <v>3053</v>
      </c>
      <c r="I1228" s="434">
        <v>5</v>
      </c>
      <c r="J1228" s="390" t="s">
        <v>2995</v>
      </c>
      <c r="K1228" s="437" t="s">
        <v>1073</v>
      </c>
      <c r="L1228" s="437"/>
      <c r="M1228" s="70" t="str">
        <f t="shared" si="99"/>
        <v>INT-0026-26</v>
      </c>
      <c r="N1228" s="438"/>
      <c r="O1228" s="439"/>
    </row>
    <row r="1229" spans="1:15" ht="15" x14ac:dyDescent="0.25">
      <c r="A1229" s="433">
        <v>46091</v>
      </c>
      <c r="B1229" s="441" t="s">
        <v>3038</v>
      </c>
      <c r="C1229" s="423" t="s">
        <v>1066</v>
      </c>
      <c r="D1229" s="434" t="s">
        <v>34</v>
      </c>
      <c r="E1229" s="435" t="s">
        <v>35</v>
      </c>
      <c r="F1229" s="436" t="s">
        <v>2331</v>
      </c>
      <c r="G1229" s="433">
        <v>46142</v>
      </c>
      <c r="H1229" s="436" t="s">
        <v>3054</v>
      </c>
      <c r="I1229" s="434">
        <v>11</v>
      </c>
      <c r="J1229" s="390" t="s">
        <v>2995</v>
      </c>
      <c r="K1229" s="437" t="s">
        <v>1073</v>
      </c>
      <c r="L1229" s="437"/>
      <c r="M1229" s="70" t="str">
        <f t="shared" si="99"/>
        <v>INT-0026-26</v>
      </c>
      <c r="N1229" s="438"/>
      <c r="O1229" s="439"/>
    </row>
    <row r="1230" spans="1:15" ht="15" x14ac:dyDescent="0.25">
      <c r="A1230" s="433">
        <v>46091</v>
      </c>
      <c r="B1230" s="441" t="s">
        <v>3038</v>
      </c>
      <c r="C1230" s="423" t="s">
        <v>1066</v>
      </c>
      <c r="D1230" s="424" t="s">
        <v>34</v>
      </c>
      <c r="E1230" s="425" t="s">
        <v>35</v>
      </c>
      <c r="F1230" s="426" t="s">
        <v>2327</v>
      </c>
      <c r="G1230" s="421">
        <v>46142</v>
      </c>
      <c r="H1230" s="426" t="s">
        <v>3055</v>
      </c>
      <c r="I1230" s="424">
        <v>4</v>
      </c>
      <c r="J1230" s="390" t="s">
        <v>2995</v>
      </c>
      <c r="K1230" s="437" t="s">
        <v>1073</v>
      </c>
      <c r="L1230" s="428"/>
      <c r="M1230" s="383" t="str">
        <f t="shared" si="99"/>
        <v>INT-0026-26</v>
      </c>
      <c r="N1230" s="429"/>
      <c r="O1230" s="430"/>
    </row>
    <row r="1231" spans="1:15" ht="15" x14ac:dyDescent="0.25">
      <c r="A1231" s="433">
        <v>46091</v>
      </c>
      <c r="B1231" s="441" t="s">
        <v>3038</v>
      </c>
      <c r="C1231" s="423" t="s">
        <v>1066</v>
      </c>
      <c r="D1231" s="434" t="s">
        <v>47</v>
      </c>
      <c r="E1231" s="435" t="s">
        <v>48</v>
      </c>
      <c r="F1231" s="436" t="s">
        <v>1731</v>
      </c>
      <c r="G1231" s="433">
        <v>46053</v>
      </c>
      <c r="H1231" s="436" t="s">
        <v>3056</v>
      </c>
      <c r="I1231" s="434">
        <v>1</v>
      </c>
      <c r="J1231" s="387" t="s">
        <v>3025</v>
      </c>
      <c r="K1231" s="437" t="s">
        <v>1072</v>
      </c>
      <c r="L1231" s="437"/>
      <c r="M1231" s="70" t="str">
        <f t="shared" ref="M1231:M1239" si="100">HYPERLINK("P:\7. LONG HAU\7. CAC THEO DOI TRONG QUA TRINH\4. DEVIATION- INCIDENTS\THEO DÕI NỘI BỘ (NGOÀI BBSC)\"&amp;YEAR(A1231)&amp;"\"&amp;B1231,B1231)</f>
        <v>INT-0026-26</v>
      </c>
      <c r="N1231" s="438"/>
      <c r="O1231" s="439"/>
    </row>
    <row r="1232" spans="1:15" ht="15" x14ac:dyDescent="0.25">
      <c r="A1232" s="433">
        <v>46091</v>
      </c>
      <c r="B1232" s="441" t="s">
        <v>3038</v>
      </c>
      <c r="C1232" s="423" t="s">
        <v>1066</v>
      </c>
      <c r="D1232" s="434" t="s">
        <v>1255</v>
      </c>
      <c r="E1232" s="435" t="s">
        <v>1256</v>
      </c>
      <c r="F1232" s="436" t="s">
        <v>1727</v>
      </c>
      <c r="G1232" s="433">
        <v>46053</v>
      </c>
      <c r="H1232" s="436" t="s">
        <v>3057</v>
      </c>
      <c r="I1232" s="434">
        <v>8</v>
      </c>
      <c r="J1232" s="387" t="s">
        <v>3025</v>
      </c>
      <c r="K1232" s="437" t="s">
        <v>1072</v>
      </c>
      <c r="L1232" s="437"/>
      <c r="M1232" s="70" t="str">
        <f t="shared" si="100"/>
        <v>INT-0026-26</v>
      </c>
      <c r="N1232" s="438"/>
      <c r="O1232" s="439"/>
    </row>
    <row r="1233" spans="1:15" ht="15" x14ac:dyDescent="0.25">
      <c r="A1233" s="433">
        <v>46091</v>
      </c>
      <c r="B1233" s="441" t="s">
        <v>3038</v>
      </c>
      <c r="C1233" s="423" t="s">
        <v>1066</v>
      </c>
      <c r="D1233" s="434" t="s">
        <v>36</v>
      </c>
      <c r="E1233" s="435" t="s">
        <v>37</v>
      </c>
      <c r="F1233" s="436" t="s">
        <v>364</v>
      </c>
      <c r="G1233" s="433">
        <v>46022</v>
      </c>
      <c r="H1233" s="436" t="s">
        <v>3058</v>
      </c>
      <c r="I1233" s="434">
        <v>16</v>
      </c>
      <c r="J1233" s="387" t="s">
        <v>3025</v>
      </c>
      <c r="K1233" s="437" t="s">
        <v>1072</v>
      </c>
      <c r="L1233" s="437"/>
      <c r="M1233" s="70" t="str">
        <f t="shared" si="100"/>
        <v>INT-0026-26</v>
      </c>
      <c r="N1233" s="438"/>
      <c r="O1233" s="439"/>
    </row>
    <row r="1234" spans="1:15" ht="15" x14ac:dyDescent="0.25">
      <c r="A1234" s="433">
        <v>46091</v>
      </c>
      <c r="B1234" s="441" t="s">
        <v>3038</v>
      </c>
      <c r="C1234" s="423" t="s">
        <v>1066</v>
      </c>
      <c r="D1234" s="434" t="s">
        <v>1255</v>
      </c>
      <c r="E1234" s="435" t="s">
        <v>1256</v>
      </c>
      <c r="F1234" s="436" t="s">
        <v>1866</v>
      </c>
      <c r="G1234" s="433">
        <v>46053</v>
      </c>
      <c r="H1234" s="436" t="s">
        <v>3059</v>
      </c>
      <c r="I1234" s="434">
        <v>2</v>
      </c>
      <c r="J1234" s="387" t="s">
        <v>3025</v>
      </c>
      <c r="K1234" s="437" t="s">
        <v>1072</v>
      </c>
      <c r="L1234" s="437"/>
      <c r="M1234" s="70" t="str">
        <f t="shared" si="100"/>
        <v>INT-0026-26</v>
      </c>
      <c r="N1234" s="438"/>
      <c r="O1234" s="439"/>
    </row>
    <row r="1235" spans="1:15" ht="15" x14ac:dyDescent="0.25">
      <c r="A1235" s="433">
        <v>46091</v>
      </c>
      <c r="B1235" s="441" t="s">
        <v>3038</v>
      </c>
      <c r="C1235" s="423" t="s">
        <v>1066</v>
      </c>
      <c r="D1235" s="434" t="s">
        <v>1255</v>
      </c>
      <c r="E1235" s="435" t="s">
        <v>1256</v>
      </c>
      <c r="F1235" s="436" t="s">
        <v>1257</v>
      </c>
      <c r="G1235" s="433">
        <v>46053</v>
      </c>
      <c r="H1235" s="436" t="s">
        <v>3060</v>
      </c>
      <c r="I1235" s="434">
        <v>4</v>
      </c>
      <c r="J1235" s="387" t="s">
        <v>3025</v>
      </c>
      <c r="K1235" s="437" t="s">
        <v>1072</v>
      </c>
      <c r="L1235" s="437"/>
      <c r="M1235" s="70" t="str">
        <f t="shared" si="100"/>
        <v>INT-0026-26</v>
      </c>
      <c r="N1235" s="438"/>
      <c r="O1235" s="439"/>
    </row>
    <row r="1236" spans="1:15" ht="15" x14ac:dyDescent="0.25">
      <c r="A1236" s="433">
        <v>46091</v>
      </c>
      <c r="B1236" s="441" t="s">
        <v>3038</v>
      </c>
      <c r="C1236" s="423" t="s">
        <v>1066</v>
      </c>
      <c r="D1236" s="434" t="s">
        <v>42</v>
      </c>
      <c r="E1236" s="435" t="s">
        <v>43</v>
      </c>
      <c r="F1236" s="436" t="s">
        <v>904</v>
      </c>
      <c r="G1236" s="433">
        <v>46022</v>
      </c>
      <c r="H1236" s="436" t="s">
        <v>3061</v>
      </c>
      <c r="I1236" s="434">
        <v>7</v>
      </c>
      <c r="J1236" s="387" t="s">
        <v>3025</v>
      </c>
      <c r="K1236" s="437" t="s">
        <v>1072</v>
      </c>
      <c r="L1236" s="437"/>
      <c r="M1236" s="70" t="str">
        <f t="shared" si="100"/>
        <v>INT-0026-26</v>
      </c>
      <c r="N1236" s="438"/>
      <c r="O1236" s="439"/>
    </row>
    <row r="1237" spans="1:15" ht="15" x14ac:dyDescent="0.25">
      <c r="A1237" s="433">
        <v>46091</v>
      </c>
      <c r="B1237" s="441" t="s">
        <v>3038</v>
      </c>
      <c r="C1237" s="423" t="s">
        <v>1066</v>
      </c>
      <c r="D1237" s="434" t="s">
        <v>34</v>
      </c>
      <c r="E1237" s="435" t="s">
        <v>35</v>
      </c>
      <c r="F1237" s="436" t="s">
        <v>1094</v>
      </c>
      <c r="G1237" s="433">
        <v>46022</v>
      </c>
      <c r="H1237" s="436" t="s">
        <v>3062</v>
      </c>
      <c r="I1237" s="434">
        <v>10</v>
      </c>
      <c r="J1237" s="387" t="s">
        <v>3025</v>
      </c>
      <c r="K1237" s="437" t="s">
        <v>1072</v>
      </c>
      <c r="L1237" s="437"/>
      <c r="M1237" s="70" t="str">
        <f t="shared" si="100"/>
        <v>INT-0026-26</v>
      </c>
      <c r="N1237" s="438"/>
      <c r="O1237" s="439"/>
    </row>
    <row r="1238" spans="1:15" ht="15" x14ac:dyDescent="0.25">
      <c r="A1238" s="433">
        <v>46091</v>
      </c>
      <c r="B1238" s="441" t="s">
        <v>3038</v>
      </c>
      <c r="C1238" s="423" t="s">
        <v>1066</v>
      </c>
      <c r="D1238" s="434" t="s">
        <v>36</v>
      </c>
      <c r="E1238" s="435" t="s">
        <v>37</v>
      </c>
      <c r="F1238" s="436" t="s">
        <v>1868</v>
      </c>
      <c r="G1238" s="433">
        <v>46081</v>
      </c>
      <c r="H1238" s="436" t="s">
        <v>3063</v>
      </c>
      <c r="I1238" s="434">
        <v>8</v>
      </c>
      <c r="J1238" s="387" t="s">
        <v>3025</v>
      </c>
      <c r="K1238" s="437" t="s">
        <v>1072</v>
      </c>
      <c r="L1238" s="437"/>
      <c r="M1238" s="70" t="str">
        <f t="shared" si="100"/>
        <v>INT-0026-26</v>
      </c>
      <c r="N1238" s="438"/>
      <c r="O1238" s="439"/>
    </row>
    <row r="1239" spans="1:15" ht="15" x14ac:dyDescent="0.25">
      <c r="A1239" s="433">
        <v>46091</v>
      </c>
      <c r="B1239" s="441" t="s">
        <v>3038</v>
      </c>
      <c r="C1239" s="423" t="s">
        <v>1066</v>
      </c>
      <c r="D1239" s="424" t="s">
        <v>905</v>
      </c>
      <c r="E1239" s="425" t="s">
        <v>906</v>
      </c>
      <c r="F1239" s="426" t="s">
        <v>907</v>
      </c>
      <c r="G1239" s="421">
        <v>46081</v>
      </c>
      <c r="H1239" s="426" t="s">
        <v>3064</v>
      </c>
      <c r="I1239" s="424">
        <v>4</v>
      </c>
      <c r="J1239" s="387" t="s">
        <v>3025</v>
      </c>
      <c r="K1239" s="437" t="s">
        <v>1072</v>
      </c>
      <c r="L1239" s="428"/>
      <c r="M1239" s="383" t="str">
        <f t="shared" si="100"/>
        <v>INT-0026-26</v>
      </c>
      <c r="N1239" s="429"/>
      <c r="O1239" s="430"/>
    </row>
    <row r="1240" spans="1:15" ht="15" x14ac:dyDescent="0.25">
      <c r="A1240" s="433">
        <v>46091</v>
      </c>
      <c r="B1240" s="422" t="s">
        <v>3065</v>
      </c>
      <c r="C1240" s="423" t="s">
        <v>1103</v>
      </c>
      <c r="D1240" s="424" t="s">
        <v>3066</v>
      </c>
      <c r="E1240" s="425" t="s">
        <v>3067</v>
      </c>
      <c r="F1240" s="426" t="s">
        <v>3068</v>
      </c>
      <c r="G1240" s="421">
        <v>46136</v>
      </c>
      <c r="H1240" s="426" t="s">
        <v>3069</v>
      </c>
      <c r="I1240" s="424">
        <v>20</v>
      </c>
      <c r="J1240" s="387" t="s">
        <v>3078</v>
      </c>
      <c r="K1240" s="437" t="s">
        <v>1072</v>
      </c>
      <c r="L1240" s="428"/>
      <c r="M1240" s="383" t="str">
        <f>HYPERLINK("P:\7. LONG HAU\7. CAC THEO DOI TRONG QUA TRINH\4. DEVIATION- INCIDENTS\THEO DÕI NỘI BỘ (NGOÀI BBSC)\"&amp;YEAR(A1240)&amp;"\"&amp;B1240,B1240)</f>
        <v>INT-0027-26</v>
      </c>
      <c r="N1240" s="429"/>
      <c r="O1240" s="430"/>
    </row>
    <row r="1241" spans="1:15" ht="15" x14ac:dyDescent="0.25">
      <c r="A1241" s="433">
        <v>46091</v>
      </c>
      <c r="B1241" s="422" t="s">
        <v>3065</v>
      </c>
      <c r="C1241" s="423" t="s">
        <v>1103</v>
      </c>
      <c r="D1241" s="416" t="s">
        <v>3070</v>
      </c>
      <c r="E1241" s="417" t="s">
        <v>3071</v>
      </c>
      <c r="F1241" s="418" t="s">
        <v>3072</v>
      </c>
      <c r="G1241" s="413">
        <v>46135</v>
      </c>
      <c r="H1241" s="418" t="s">
        <v>3073</v>
      </c>
      <c r="I1241" s="416">
        <v>251</v>
      </c>
      <c r="J1241" s="387" t="s">
        <v>3078</v>
      </c>
      <c r="K1241" s="437" t="s">
        <v>1072</v>
      </c>
      <c r="L1241" s="389"/>
      <c r="M1241" s="383" t="str">
        <f>HYPERLINK("P:\7. LONG HAU\7. CAC THEO DOI TRONG QUA TRINH\4. DEVIATION- INCIDENTS\THEO DÕI NỘI BỘ (NGOÀI BBSC)\"&amp;YEAR(A1241)&amp;"\"&amp;B1241,B1241)</f>
        <v>INT-0027-26</v>
      </c>
      <c r="N1241" s="446"/>
      <c r="O1241" s="447"/>
    </row>
    <row r="1242" spans="1:15" ht="15" x14ac:dyDescent="0.25">
      <c r="A1242" s="433">
        <v>46091</v>
      </c>
      <c r="B1242" s="422" t="s">
        <v>3065</v>
      </c>
      <c r="C1242" s="423" t="s">
        <v>1103</v>
      </c>
      <c r="D1242" s="416" t="s">
        <v>3074</v>
      </c>
      <c r="E1242" s="417" t="s">
        <v>3075</v>
      </c>
      <c r="F1242" s="418" t="s">
        <v>3076</v>
      </c>
      <c r="G1242" s="413">
        <v>46094</v>
      </c>
      <c r="H1242" s="418" t="s">
        <v>3077</v>
      </c>
      <c r="I1242" s="416">
        <v>150</v>
      </c>
      <c r="J1242" s="387" t="s">
        <v>3078</v>
      </c>
      <c r="K1242" s="437" t="s">
        <v>1072</v>
      </c>
      <c r="L1242" s="389"/>
      <c r="M1242" s="383" t="str">
        <f>HYPERLINK("P:\7. LONG HAU\7. CAC THEO DOI TRONG QUA TRINH\4. DEVIATION- INCIDENTS\THEO DÕI NỘI BỘ (NGOÀI BBSC)\"&amp;YEAR(A1242)&amp;"\"&amp;B1242,B1242)</f>
        <v>INT-0027-26</v>
      </c>
      <c r="N1242" s="446"/>
      <c r="O1242" s="447"/>
    </row>
    <row r="1243" spans="1:15" ht="15" x14ac:dyDescent="0.25">
      <c r="A1243" s="421">
        <v>46094</v>
      </c>
      <c r="B1243" s="422" t="s">
        <v>3079</v>
      </c>
      <c r="C1243" s="423" t="s">
        <v>1103</v>
      </c>
      <c r="D1243" s="424" t="s">
        <v>3080</v>
      </c>
      <c r="E1243" s="425" t="s">
        <v>3081</v>
      </c>
      <c r="F1243" s="426" t="s">
        <v>3088</v>
      </c>
      <c r="G1243" s="421" t="s">
        <v>3091</v>
      </c>
      <c r="H1243" s="426" t="s">
        <v>3086</v>
      </c>
      <c r="I1243" s="424">
        <v>1</v>
      </c>
      <c r="J1243" s="427" t="s">
        <v>2342</v>
      </c>
      <c r="K1243" s="428" t="s">
        <v>1073</v>
      </c>
      <c r="L1243" s="428"/>
      <c r="M1243" s="383" t="str">
        <f>HYPERLINK("P:\7. LONG HAU\7. CAC THEO DOI TRONG QUA TRINH\4. DEVIATION- INCIDENTS\THEO DÕI NỘI BỘ (NGOÀI BBSC)\"&amp;YEAR(A1243)&amp;"\"&amp;B1243,B1243)</f>
        <v>INT-0028-26</v>
      </c>
      <c r="N1243" s="429"/>
      <c r="O1243" s="430"/>
    </row>
    <row r="1244" spans="1:15" ht="15" x14ac:dyDescent="0.25">
      <c r="A1244" s="421">
        <v>46094</v>
      </c>
      <c r="B1244" s="441" t="s">
        <v>3079</v>
      </c>
      <c r="C1244" s="442" t="s">
        <v>1103</v>
      </c>
      <c r="D1244" s="434" t="s">
        <v>264</v>
      </c>
      <c r="E1244" s="435" t="s">
        <v>255</v>
      </c>
      <c r="F1244" s="436" t="s">
        <v>342</v>
      </c>
      <c r="G1244" s="433" t="s">
        <v>2348</v>
      </c>
      <c r="H1244" s="436" t="s">
        <v>3086</v>
      </c>
      <c r="I1244" s="434">
        <v>1</v>
      </c>
      <c r="J1244" s="427" t="s">
        <v>2342</v>
      </c>
      <c r="K1244" s="437" t="s">
        <v>1073</v>
      </c>
      <c r="L1244" s="437"/>
      <c r="M1244" s="70" t="str">
        <f t="shared" ref="M1244:M1246" si="101">HYPERLINK("P:\7. LONG HAU\7. CAC THEO DOI TRONG QUA TRINH\4. DEVIATION- INCIDENTS\THEO DÕI NỘI BỘ (NGOÀI BBSC)\"&amp;YEAR(A1244)&amp;"\"&amp;B1244,B1244)</f>
        <v>INT-0028-26</v>
      </c>
      <c r="N1244" s="438"/>
      <c r="O1244" s="439"/>
    </row>
    <row r="1245" spans="1:15" ht="15" x14ac:dyDescent="0.25">
      <c r="A1245" s="421">
        <v>46094</v>
      </c>
      <c r="B1245" s="441" t="s">
        <v>3079</v>
      </c>
      <c r="C1245" s="442" t="s">
        <v>1103</v>
      </c>
      <c r="D1245" s="434" t="s">
        <v>3082</v>
      </c>
      <c r="E1245" s="435" t="s">
        <v>3083</v>
      </c>
      <c r="F1245" s="436" t="s">
        <v>3089</v>
      </c>
      <c r="G1245" s="433" t="s">
        <v>3092</v>
      </c>
      <c r="H1245" s="436" t="s">
        <v>3087</v>
      </c>
      <c r="I1245" s="434">
        <v>1</v>
      </c>
      <c r="J1245" s="427" t="s">
        <v>2342</v>
      </c>
      <c r="K1245" s="437" t="s">
        <v>1073</v>
      </c>
      <c r="L1245" s="437"/>
      <c r="M1245" s="70" t="str">
        <f t="shared" si="101"/>
        <v>INT-0028-26</v>
      </c>
      <c r="N1245" s="438"/>
      <c r="O1245" s="439"/>
    </row>
    <row r="1246" spans="1:15" ht="15" x14ac:dyDescent="0.25">
      <c r="A1246" s="421">
        <v>46094</v>
      </c>
      <c r="B1246" s="422" t="s">
        <v>3079</v>
      </c>
      <c r="C1246" s="423" t="s">
        <v>1103</v>
      </c>
      <c r="D1246" s="424" t="s">
        <v>3084</v>
      </c>
      <c r="E1246" s="425" t="s">
        <v>3085</v>
      </c>
      <c r="F1246" s="426" t="s">
        <v>3090</v>
      </c>
      <c r="G1246" s="421" t="s">
        <v>3093</v>
      </c>
      <c r="H1246" s="426" t="s">
        <v>3087</v>
      </c>
      <c r="I1246" s="424">
        <v>1</v>
      </c>
      <c r="J1246" s="427" t="s">
        <v>2342</v>
      </c>
      <c r="K1246" s="428" t="s">
        <v>1073</v>
      </c>
      <c r="L1246" s="428"/>
      <c r="M1246" s="383" t="str">
        <f t="shared" si="101"/>
        <v>INT-0028-26</v>
      </c>
      <c r="N1246" s="429"/>
      <c r="O1246" s="430"/>
    </row>
    <row r="1247" spans="1:15" ht="15" x14ac:dyDescent="0.25">
      <c r="A1247" s="421">
        <v>46100</v>
      </c>
      <c r="B1247" s="422" t="s">
        <v>3097</v>
      </c>
      <c r="C1247" s="423" t="s">
        <v>1066</v>
      </c>
      <c r="D1247" s="424" t="s">
        <v>1374</v>
      </c>
      <c r="E1247" s="425" t="s">
        <v>1373</v>
      </c>
      <c r="F1247" s="426" t="s">
        <v>3098</v>
      </c>
      <c r="G1247" s="421">
        <v>46638</v>
      </c>
      <c r="H1247" s="426" t="s">
        <v>3099</v>
      </c>
      <c r="I1247" s="424">
        <v>1</v>
      </c>
      <c r="J1247" s="387" t="s">
        <v>3101</v>
      </c>
      <c r="K1247" s="428" t="s">
        <v>1645</v>
      </c>
      <c r="L1247" s="428"/>
      <c r="M1247" s="383" t="str">
        <f t="shared" ref="M1247:M1250" si="102">HYPERLINK("P:\7. LONG HAU\7. CAC THEO DOI TRONG QUA TRINH\4. DEVIATION- INCIDENTS\THEO DÕI NỘI BỘ (NGOÀI BBSC)\"&amp;YEAR(A1247)&amp;"\"&amp;B1247,B1247)</f>
        <v>INT-0029-26</v>
      </c>
      <c r="N1247" s="429"/>
      <c r="O1247" s="430"/>
    </row>
    <row r="1248" spans="1:15" ht="15" x14ac:dyDescent="0.25">
      <c r="A1248" s="421">
        <v>46100</v>
      </c>
      <c r="B1248" s="422" t="s">
        <v>3097</v>
      </c>
      <c r="C1248" s="423" t="s">
        <v>1066</v>
      </c>
      <c r="D1248" s="416" t="s">
        <v>1188</v>
      </c>
      <c r="E1248" s="417" t="s">
        <v>1189</v>
      </c>
      <c r="F1248" s="418" t="s">
        <v>3100</v>
      </c>
      <c r="G1248" s="413">
        <v>46640</v>
      </c>
      <c r="H1248" s="418" t="s">
        <v>3099</v>
      </c>
      <c r="I1248" s="416">
        <v>1</v>
      </c>
      <c r="J1248" s="387" t="s">
        <v>3101</v>
      </c>
      <c r="K1248" s="389" t="s">
        <v>1645</v>
      </c>
      <c r="L1248" s="389"/>
      <c r="M1248" s="383" t="str">
        <f t="shared" si="102"/>
        <v>INT-0029-26</v>
      </c>
      <c r="N1248" s="448"/>
      <c r="O1248" s="449"/>
    </row>
    <row r="1249" spans="1:15" ht="51" x14ac:dyDescent="0.25">
      <c r="A1249" s="421">
        <v>46105</v>
      </c>
      <c r="B1249" s="422" t="s">
        <v>3102</v>
      </c>
      <c r="C1249" s="423" t="s">
        <v>1066</v>
      </c>
      <c r="D1249" s="424" t="s">
        <v>2113</v>
      </c>
      <c r="E1249" s="425" t="s">
        <v>2114</v>
      </c>
      <c r="F1249" s="426" t="s">
        <v>3103</v>
      </c>
      <c r="G1249" s="421">
        <v>46234</v>
      </c>
      <c r="H1249" s="426" t="s">
        <v>3104</v>
      </c>
      <c r="I1249" s="424">
        <v>350</v>
      </c>
      <c r="J1249" s="387" t="s">
        <v>3106</v>
      </c>
      <c r="K1249" s="428" t="s">
        <v>1073</v>
      </c>
      <c r="L1249" s="389" t="s">
        <v>3108</v>
      </c>
      <c r="M1249" s="383" t="str">
        <f t="shared" si="102"/>
        <v>INT-0030-26</v>
      </c>
      <c r="N1249" s="429"/>
      <c r="O1249" s="430"/>
    </row>
    <row r="1250" spans="1:15" ht="51" x14ac:dyDescent="0.25">
      <c r="A1250" s="421">
        <v>46105</v>
      </c>
      <c r="B1250" s="422" t="s">
        <v>3102</v>
      </c>
      <c r="C1250" s="423" t="s">
        <v>1066</v>
      </c>
      <c r="D1250" s="416" t="s">
        <v>2113</v>
      </c>
      <c r="E1250" s="417" t="s">
        <v>2114</v>
      </c>
      <c r="F1250" s="418" t="s">
        <v>3103</v>
      </c>
      <c r="G1250" s="413">
        <v>46234</v>
      </c>
      <c r="H1250" s="418" t="s">
        <v>3105</v>
      </c>
      <c r="I1250" s="416">
        <v>50</v>
      </c>
      <c r="J1250" s="387" t="s">
        <v>3107</v>
      </c>
      <c r="K1250" s="389" t="s">
        <v>1072</v>
      </c>
      <c r="L1250" s="389" t="s">
        <v>3108</v>
      </c>
      <c r="M1250" s="383" t="str">
        <f t="shared" si="102"/>
        <v>INT-0030-26</v>
      </c>
      <c r="N1250" s="448"/>
      <c r="O1250" s="449"/>
    </row>
    <row r="1251" spans="1:15" ht="15" x14ac:dyDescent="0.25">
      <c r="A1251" s="413">
        <v>46106</v>
      </c>
      <c r="B1251" s="414" t="s">
        <v>3109</v>
      </c>
      <c r="C1251" s="415" t="s">
        <v>547</v>
      </c>
      <c r="D1251" s="416" t="s">
        <v>3110</v>
      </c>
      <c r="E1251" s="417" t="s">
        <v>3111</v>
      </c>
      <c r="F1251" s="418" t="s">
        <v>2958</v>
      </c>
      <c r="G1251" s="413">
        <v>36525</v>
      </c>
      <c r="H1251" s="418" t="s">
        <v>3112</v>
      </c>
      <c r="I1251" s="416">
        <v>1043</v>
      </c>
      <c r="J1251" s="387" t="s">
        <v>3114</v>
      </c>
      <c r="K1251" s="389" t="s">
        <v>1072</v>
      </c>
      <c r="L1251" s="389"/>
      <c r="M1251" s="383" t="str">
        <f t="shared" ref="M1251:M1258" si="103">HYPERLINK("P:\7. LONG HAU\7. CAC THEO DOI TRONG QUA TRINH\4. DEVIATION- INCIDENTS\THEO DÕI NỘI BỘ (NGOÀI BBSC)\"&amp;YEAR(A1251)&amp;"\"&amp;B1251,B1251)</f>
        <v>INT-0031-26</v>
      </c>
      <c r="N1251" s="448"/>
      <c r="O1251" s="449"/>
    </row>
    <row r="1252" spans="1:15" ht="15" x14ac:dyDescent="0.25">
      <c r="A1252" s="413">
        <v>46106</v>
      </c>
      <c r="B1252" s="414" t="s">
        <v>3109</v>
      </c>
      <c r="C1252" s="415" t="s">
        <v>547</v>
      </c>
      <c r="D1252" s="416" t="s">
        <v>3110</v>
      </c>
      <c r="E1252" s="417" t="s">
        <v>3111</v>
      </c>
      <c r="F1252" s="418" t="s">
        <v>2958</v>
      </c>
      <c r="G1252" s="413">
        <v>36525</v>
      </c>
      <c r="H1252" s="418" t="s">
        <v>3113</v>
      </c>
      <c r="I1252" s="416">
        <v>1079</v>
      </c>
      <c r="J1252" s="387" t="s">
        <v>3114</v>
      </c>
      <c r="K1252" s="389" t="s">
        <v>1072</v>
      </c>
      <c r="L1252" s="389"/>
      <c r="M1252" s="383" t="str">
        <f t="shared" si="103"/>
        <v>INT-0031-26</v>
      </c>
      <c r="N1252" s="448"/>
      <c r="O1252" s="449"/>
    </row>
    <row r="1253" spans="1:15" ht="32.25" customHeight="1" x14ac:dyDescent="0.25">
      <c r="A1253" s="450">
        <v>46112</v>
      </c>
      <c r="B1253" s="451" t="s">
        <v>3115</v>
      </c>
      <c r="C1253" s="452" t="s">
        <v>1066</v>
      </c>
      <c r="D1253" s="453" t="s">
        <v>529</v>
      </c>
      <c r="E1253" s="454" t="s">
        <v>531</v>
      </c>
      <c r="F1253" s="455" t="s">
        <v>3116</v>
      </c>
      <c r="G1253" s="450">
        <v>46904</v>
      </c>
      <c r="H1253" s="455" t="s">
        <v>3117</v>
      </c>
      <c r="I1253" s="453">
        <v>1</v>
      </c>
      <c r="J1253" s="387" t="s">
        <v>3121</v>
      </c>
      <c r="K1253" s="456" t="s">
        <v>1089</v>
      </c>
      <c r="L1253" s="456" t="s">
        <v>3123</v>
      </c>
      <c r="M1253" s="383" t="str">
        <f t="shared" si="103"/>
        <v>INT-0032-26</v>
      </c>
      <c r="N1253" s="457"/>
      <c r="O1253" s="458"/>
    </row>
    <row r="1254" spans="1:15" ht="40.5" customHeight="1" x14ac:dyDescent="0.25">
      <c r="A1254" s="450">
        <v>46112</v>
      </c>
      <c r="B1254" s="451" t="s">
        <v>3115</v>
      </c>
      <c r="C1254" s="452" t="s">
        <v>1066</v>
      </c>
      <c r="D1254" s="416" t="s">
        <v>3118</v>
      </c>
      <c r="E1254" s="417" t="s">
        <v>3119</v>
      </c>
      <c r="F1254" s="418" t="s">
        <v>3120</v>
      </c>
      <c r="G1254" s="413">
        <v>47177</v>
      </c>
      <c r="H1254" s="418" t="s">
        <v>3117</v>
      </c>
      <c r="I1254" s="416">
        <v>1</v>
      </c>
      <c r="J1254" s="387" t="s">
        <v>3122</v>
      </c>
      <c r="K1254" s="389" t="s">
        <v>1089</v>
      </c>
      <c r="L1254" s="389" t="s">
        <v>3123</v>
      </c>
      <c r="M1254" s="383" t="str">
        <f t="shared" si="103"/>
        <v>INT-0032-26</v>
      </c>
      <c r="N1254" s="448"/>
      <c r="O1254" s="449"/>
    </row>
    <row r="1255" spans="1:15" ht="15" x14ac:dyDescent="0.25">
      <c r="A1255" s="450">
        <v>46112</v>
      </c>
      <c r="B1255" s="451" t="s">
        <v>3124</v>
      </c>
      <c r="C1255" s="452" t="s">
        <v>547</v>
      </c>
      <c r="D1255" s="453" t="s">
        <v>1521</v>
      </c>
      <c r="E1255" s="454" t="s">
        <v>546</v>
      </c>
      <c r="F1255" s="455" t="s">
        <v>3125</v>
      </c>
      <c r="G1255" s="450">
        <v>46797</v>
      </c>
      <c r="H1255" s="455" t="s">
        <v>3126</v>
      </c>
      <c r="I1255" s="453">
        <v>1</v>
      </c>
      <c r="J1255" s="387" t="s">
        <v>3133</v>
      </c>
      <c r="K1255" s="389" t="s">
        <v>1072</v>
      </c>
      <c r="L1255" s="456"/>
      <c r="M1255" s="383" t="str">
        <f t="shared" si="103"/>
        <v>INT-0033-26</v>
      </c>
      <c r="N1255" s="457"/>
      <c r="O1255" s="458"/>
    </row>
    <row r="1256" spans="1:15" ht="15" x14ac:dyDescent="0.25">
      <c r="A1256" s="450">
        <v>46112</v>
      </c>
      <c r="B1256" s="451" t="s">
        <v>3124</v>
      </c>
      <c r="C1256" s="452" t="s">
        <v>547</v>
      </c>
      <c r="D1256" s="453" t="s">
        <v>1276</v>
      </c>
      <c r="E1256" s="454" t="s">
        <v>303</v>
      </c>
      <c r="F1256" s="455" t="s">
        <v>3015</v>
      </c>
      <c r="G1256" s="450">
        <v>46794</v>
      </c>
      <c r="H1256" s="455" t="s">
        <v>3127</v>
      </c>
      <c r="I1256" s="453">
        <v>1</v>
      </c>
      <c r="J1256" s="387" t="s">
        <v>3130</v>
      </c>
      <c r="K1256" s="389" t="s">
        <v>1072</v>
      </c>
      <c r="L1256" s="456"/>
      <c r="M1256" s="383" t="str">
        <f t="shared" si="103"/>
        <v>INT-0033-26</v>
      </c>
      <c r="N1256" s="457"/>
      <c r="O1256" s="458"/>
    </row>
    <row r="1257" spans="1:15" ht="15" x14ac:dyDescent="0.25">
      <c r="A1257" s="450">
        <v>46112</v>
      </c>
      <c r="B1257" s="451" t="s">
        <v>3124</v>
      </c>
      <c r="C1257" s="452" t="s">
        <v>547</v>
      </c>
      <c r="D1257" s="453" t="s">
        <v>1673</v>
      </c>
      <c r="E1257" s="454" t="s">
        <v>1674</v>
      </c>
      <c r="F1257" s="455" t="s">
        <v>1675</v>
      </c>
      <c r="G1257" s="450">
        <v>46541</v>
      </c>
      <c r="H1257" s="455" t="s">
        <v>3128</v>
      </c>
      <c r="I1257" s="453">
        <v>3</v>
      </c>
      <c r="J1257" s="387" t="s">
        <v>3131</v>
      </c>
      <c r="K1257" s="389" t="s">
        <v>1072</v>
      </c>
      <c r="L1257" s="456"/>
      <c r="M1257" s="383" t="str">
        <f t="shared" si="103"/>
        <v>INT-0033-26</v>
      </c>
      <c r="N1257" s="457"/>
      <c r="O1257" s="458"/>
    </row>
    <row r="1258" spans="1:15" ht="15" x14ac:dyDescent="0.25">
      <c r="A1258" s="450">
        <v>46112</v>
      </c>
      <c r="B1258" s="451" t="s">
        <v>3124</v>
      </c>
      <c r="C1258" s="452" t="s">
        <v>547</v>
      </c>
      <c r="D1258" s="453" t="s">
        <v>1333</v>
      </c>
      <c r="E1258" s="454" t="s">
        <v>1334</v>
      </c>
      <c r="F1258" s="455" t="s">
        <v>2302</v>
      </c>
      <c r="G1258" s="450">
        <v>46545</v>
      </c>
      <c r="H1258" s="455" t="s">
        <v>3129</v>
      </c>
      <c r="I1258" s="453">
        <v>1</v>
      </c>
      <c r="J1258" s="459" t="s">
        <v>3132</v>
      </c>
      <c r="K1258" s="389" t="s">
        <v>1072</v>
      </c>
      <c r="L1258" s="456"/>
      <c r="M1258" s="383" t="str">
        <f t="shared" si="103"/>
        <v>INT-0033-26</v>
      </c>
      <c r="N1258" s="457"/>
      <c r="O1258" s="458"/>
    </row>
    <row r="1259" spans="1:15" ht="15" x14ac:dyDescent="0.25">
      <c r="A1259" s="450">
        <v>46113</v>
      </c>
      <c r="B1259" s="451" t="s">
        <v>3134</v>
      </c>
      <c r="C1259" s="452" t="s">
        <v>547</v>
      </c>
      <c r="D1259" s="453" t="s">
        <v>1276</v>
      </c>
      <c r="E1259" s="454" t="s">
        <v>303</v>
      </c>
      <c r="F1259" s="455" t="s">
        <v>3135</v>
      </c>
      <c r="G1259" s="450">
        <v>46922</v>
      </c>
      <c r="H1259" s="455" t="s">
        <v>3136</v>
      </c>
      <c r="I1259" s="453">
        <v>1</v>
      </c>
      <c r="J1259" s="459" t="s">
        <v>3137</v>
      </c>
      <c r="K1259" s="456" t="s">
        <v>1072</v>
      </c>
      <c r="L1259" s="456"/>
      <c r="M1259" s="383" t="str">
        <f>HYPERLINK("P:\7. LONG HAU\7. CAC THEO DOI TRONG QUA TRINH\4. DEVIATION- INCIDENTS\THEO DÕI NỘI BỘ (NGOÀI BBSC)\"&amp;YEAR(A1259)&amp;"\"&amp;B1259,B1259)</f>
        <v>INT-0034-26</v>
      </c>
      <c r="N1259" s="457"/>
      <c r="O1259" s="458"/>
    </row>
    <row r="1260" spans="1:15" ht="15" x14ac:dyDescent="0.25">
      <c r="A1260" s="413">
        <v>46115</v>
      </c>
      <c r="B1260" s="414" t="s">
        <v>3138</v>
      </c>
      <c r="C1260" s="415" t="s">
        <v>1066</v>
      </c>
      <c r="D1260" s="416" t="s">
        <v>3139</v>
      </c>
      <c r="E1260" s="417" t="s">
        <v>3140</v>
      </c>
      <c r="F1260" s="418" t="s">
        <v>3160</v>
      </c>
      <c r="G1260" s="413">
        <v>46326</v>
      </c>
      <c r="H1260" s="418" t="s">
        <v>3147</v>
      </c>
      <c r="I1260" s="416">
        <v>6</v>
      </c>
      <c r="J1260" s="387" t="s">
        <v>3167</v>
      </c>
      <c r="K1260" s="389" t="s">
        <v>1073</v>
      </c>
      <c r="L1260" s="389"/>
      <c r="M1260" s="383" t="str">
        <f>HYPERLINK("P:\7. LONG HAU\7. CAC THEO DOI TRONG QUA TRINH\4. DEVIATION- INCIDENTS\THEO DÕI NỘI BỘ (NGOÀI BBSC)\"&amp;YEAR(A1260)&amp;"\"&amp;B1260,B1260)</f>
        <v>INT-0035-26</v>
      </c>
      <c r="N1260" s="448"/>
      <c r="O1260" s="449"/>
    </row>
    <row r="1261" spans="1:15" ht="15" x14ac:dyDescent="0.25">
      <c r="A1261" s="413">
        <v>46115</v>
      </c>
      <c r="B1261" s="414" t="s">
        <v>3138</v>
      </c>
      <c r="C1261" s="415" t="s">
        <v>1066</v>
      </c>
      <c r="D1261" s="48" t="s">
        <v>3139</v>
      </c>
      <c r="E1261" s="38" t="s">
        <v>3140</v>
      </c>
      <c r="F1261" s="205" t="s">
        <v>3161</v>
      </c>
      <c r="G1261" s="233">
        <v>46326</v>
      </c>
      <c r="H1261" s="205" t="s">
        <v>3148</v>
      </c>
      <c r="I1261" s="48">
        <v>1</v>
      </c>
      <c r="J1261" s="387" t="s">
        <v>3167</v>
      </c>
      <c r="K1261" s="389" t="s">
        <v>1073</v>
      </c>
      <c r="L1261" s="40"/>
      <c r="M1261" s="70" t="str">
        <f t="shared" ref="M1261:M1273" si="104">HYPERLINK("P:\7. LONG HAU\7. CAC THEO DOI TRONG QUA TRINH\4. DEVIATION- INCIDENTS\THEO DÕI NỘI BỘ (NGOÀI BBSC)\"&amp;YEAR(A1261)&amp;"\"&amp;B1261,B1261)</f>
        <v>INT-0035-26</v>
      </c>
      <c r="N1261" s="460"/>
      <c r="O1261" s="461"/>
    </row>
    <row r="1262" spans="1:15" ht="15" x14ac:dyDescent="0.25">
      <c r="A1262" s="413">
        <v>46115</v>
      </c>
      <c r="B1262" s="414" t="s">
        <v>3138</v>
      </c>
      <c r="C1262" s="415" t="s">
        <v>1066</v>
      </c>
      <c r="D1262" s="48" t="s">
        <v>3139</v>
      </c>
      <c r="E1262" s="38" t="s">
        <v>3140</v>
      </c>
      <c r="F1262" s="205" t="s">
        <v>3162</v>
      </c>
      <c r="G1262" s="233">
        <v>46326</v>
      </c>
      <c r="H1262" s="205" t="s">
        <v>3149</v>
      </c>
      <c r="I1262" s="48">
        <v>825</v>
      </c>
      <c r="J1262" s="387" t="s">
        <v>3167</v>
      </c>
      <c r="K1262" s="389" t="s">
        <v>1073</v>
      </c>
      <c r="L1262" s="40"/>
      <c r="M1262" s="70" t="str">
        <f t="shared" si="104"/>
        <v>INT-0035-26</v>
      </c>
      <c r="N1262" s="460"/>
      <c r="O1262" s="461"/>
    </row>
    <row r="1263" spans="1:15" ht="15" x14ac:dyDescent="0.25">
      <c r="A1263" s="413">
        <v>46115</v>
      </c>
      <c r="B1263" s="414" t="s">
        <v>3138</v>
      </c>
      <c r="C1263" s="415" t="s">
        <v>1066</v>
      </c>
      <c r="D1263" s="48" t="s">
        <v>3139</v>
      </c>
      <c r="E1263" s="38" t="s">
        <v>3140</v>
      </c>
      <c r="F1263" s="205" t="s">
        <v>3162</v>
      </c>
      <c r="G1263" s="233">
        <v>46326</v>
      </c>
      <c r="H1263" s="205" t="s">
        <v>3150</v>
      </c>
      <c r="I1263" s="48">
        <v>107</v>
      </c>
      <c r="J1263" s="387" t="s">
        <v>3167</v>
      </c>
      <c r="K1263" s="389" t="s">
        <v>1073</v>
      </c>
      <c r="L1263" s="40"/>
      <c r="M1263" s="70" t="str">
        <f t="shared" si="104"/>
        <v>INT-0035-26</v>
      </c>
      <c r="N1263" s="460"/>
      <c r="O1263" s="461"/>
    </row>
    <row r="1264" spans="1:15" ht="15" x14ac:dyDescent="0.25">
      <c r="A1264" s="413">
        <v>46115</v>
      </c>
      <c r="B1264" s="414" t="s">
        <v>3138</v>
      </c>
      <c r="C1264" s="415" t="s">
        <v>1066</v>
      </c>
      <c r="D1264" s="48" t="s">
        <v>3139</v>
      </c>
      <c r="E1264" s="38" t="s">
        <v>3140</v>
      </c>
      <c r="F1264" s="205" t="s">
        <v>3160</v>
      </c>
      <c r="G1264" s="233">
        <v>46326</v>
      </c>
      <c r="H1264" s="205" t="s">
        <v>3151</v>
      </c>
      <c r="I1264" s="48">
        <v>7</v>
      </c>
      <c r="J1264" s="387" t="s">
        <v>3167</v>
      </c>
      <c r="K1264" s="389" t="s">
        <v>1073</v>
      </c>
      <c r="L1264" s="40"/>
      <c r="M1264" s="70" t="str">
        <f t="shared" si="104"/>
        <v>INT-0035-26</v>
      </c>
      <c r="N1264" s="460"/>
      <c r="O1264" s="461"/>
    </row>
    <row r="1265" spans="1:15" ht="15" x14ac:dyDescent="0.25">
      <c r="A1265" s="413">
        <v>46115</v>
      </c>
      <c r="B1265" s="414" t="s">
        <v>3138</v>
      </c>
      <c r="C1265" s="415" t="s">
        <v>1066</v>
      </c>
      <c r="D1265" s="48" t="s">
        <v>3139</v>
      </c>
      <c r="E1265" s="38" t="s">
        <v>3140</v>
      </c>
      <c r="F1265" s="205" t="s">
        <v>3160</v>
      </c>
      <c r="G1265" s="233">
        <v>46326</v>
      </c>
      <c r="H1265" s="205" t="s">
        <v>3152</v>
      </c>
      <c r="I1265" s="48">
        <v>7</v>
      </c>
      <c r="J1265" s="387" t="s">
        <v>3167</v>
      </c>
      <c r="K1265" s="389" t="s">
        <v>1073</v>
      </c>
      <c r="L1265" s="40"/>
      <c r="M1265" s="70" t="str">
        <f t="shared" si="104"/>
        <v>INT-0035-26</v>
      </c>
      <c r="N1265" s="460"/>
      <c r="O1265" s="461"/>
    </row>
    <row r="1266" spans="1:15" ht="15" x14ac:dyDescent="0.25">
      <c r="A1266" s="413">
        <v>46115</v>
      </c>
      <c r="B1266" s="414" t="s">
        <v>3138</v>
      </c>
      <c r="C1266" s="415" t="s">
        <v>1066</v>
      </c>
      <c r="D1266" s="48" t="s">
        <v>3141</v>
      </c>
      <c r="E1266" s="38" t="s">
        <v>3142</v>
      </c>
      <c r="F1266" s="205" t="s">
        <v>3163</v>
      </c>
      <c r="G1266" s="233">
        <v>46326</v>
      </c>
      <c r="H1266" s="205" t="s">
        <v>3153</v>
      </c>
      <c r="I1266" s="48">
        <v>6</v>
      </c>
      <c r="J1266" s="387" t="s">
        <v>3167</v>
      </c>
      <c r="K1266" s="389" t="s">
        <v>1073</v>
      </c>
      <c r="L1266" s="40"/>
      <c r="M1266" s="70" t="str">
        <f t="shared" si="104"/>
        <v>INT-0035-26</v>
      </c>
      <c r="N1266" s="460"/>
      <c r="O1266" s="461"/>
    </row>
    <row r="1267" spans="1:15" ht="15" x14ac:dyDescent="0.25">
      <c r="A1267" s="413">
        <v>46115</v>
      </c>
      <c r="B1267" s="414" t="s">
        <v>3138</v>
      </c>
      <c r="C1267" s="415" t="s">
        <v>1066</v>
      </c>
      <c r="D1267" s="48" t="s">
        <v>3141</v>
      </c>
      <c r="E1267" s="38" t="s">
        <v>3142</v>
      </c>
      <c r="F1267" s="205" t="s">
        <v>3164</v>
      </c>
      <c r="G1267" s="233">
        <v>46326</v>
      </c>
      <c r="H1267" s="205" t="s">
        <v>3154</v>
      </c>
      <c r="I1267" s="48">
        <v>1389</v>
      </c>
      <c r="J1267" s="387" t="s">
        <v>3167</v>
      </c>
      <c r="K1267" s="389" t="s">
        <v>1073</v>
      </c>
      <c r="L1267" s="40"/>
      <c r="M1267" s="70" t="str">
        <f t="shared" si="104"/>
        <v>INT-0035-26</v>
      </c>
      <c r="N1267" s="460"/>
      <c r="O1267" s="461"/>
    </row>
    <row r="1268" spans="1:15" ht="15" x14ac:dyDescent="0.25">
      <c r="A1268" s="413">
        <v>46115</v>
      </c>
      <c r="B1268" s="414" t="s">
        <v>3138</v>
      </c>
      <c r="C1268" s="415" t="s">
        <v>1066</v>
      </c>
      <c r="D1268" s="48" t="s">
        <v>3143</v>
      </c>
      <c r="E1268" s="38" t="s">
        <v>3144</v>
      </c>
      <c r="F1268" s="205" t="s">
        <v>3165</v>
      </c>
      <c r="G1268" s="233">
        <v>46265</v>
      </c>
      <c r="H1268" s="205" t="s">
        <v>3155</v>
      </c>
      <c r="I1268" s="48">
        <v>7</v>
      </c>
      <c r="J1268" s="387" t="s">
        <v>3167</v>
      </c>
      <c r="K1268" s="389" t="s">
        <v>1073</v>
      </c>
      <c r="L1268" s="40"/>
      <c r="M1268" s="70" t="str">
        <f t="shared" si="104"/>
        <v>INT-0035-26</v>
      </c>
      <c r="N1268" s="460"/>
      <c r="O1268" s="461"/>
    </row>
    <row r="1269" spans="1:15" ht="15" x14ac:dyDescent="0.25">
      <c r="A1269" s="413">
        <v>46115</v>
      </c>
      <c r="B1269" s="414" t="s">
        <v>3138</v>
      </c>
      <c r="C1269" s="415" t="s">
        <v>1066</v>
      </c>
      <c r="D1269" s="48" t="s">
        <v>3143</v>
      </c>
      <c r="E1269" s="38" t="s">
        <v>3144</v>
      </c>
      <c r="F1269" s="205" t="s">
        <v>3165</v>
      </c>
      <c r="G1269" s="233">
        <v>46265</v>
      </c>
      <c r="H1269" s="205" t="s">
        <v>3156</v>
      </c>
      <c r="I1269" s="48">
        <v>84</v>
      </c>
      <c r="J1269" s="387" t="s">
        <v>3167</v>
      </c>
      <c r="K1269" s="389" t="s">
        <v>1073</v>
      </c>
      <c r="L1269" s="40"/>
      <c r="M1269" s="70" t="str">
        <f t="shared" si="104"/>
        <v>INT-0035-26</v>
      </c>
      <c r="N1269" s="460"/>
      <c r="O1269" s="461"/>
    </row>
    <row r="1270" spans="1:15" ht="15" x14ac:dyDescent="0.25">
      <c r="A1270" s="413">
        <v>46115</v>
      </c>
      <c r="B1270" s="414" t="s">
        <v>3138</v>
      </c>
      <c r="C1270" s="415" t="s">
        <v>1066</v>
      </c>
      <c r="D1270" s="48" t="s">
        <v>3143</v>
      </c>
      <c r="E1270" s="38" t="s">
        <v>3144</v>
      </c>
      <c r="F1270" s="205" t="s">
        <v>3165</v>
      </c>
      <c r="G1270" s="233">
        <v>46265</v>
      </c>
      <c r="H1270" s="205" t="s">
        <v>3157</v>
      </c>
      <c r="I1270" s="48">
        <v>42</v>
      </c>
      <c r="J1270" s="387" t="s">
        <v>3167</v>
      </c>
      <c r="K1270" s="389" t="s">
        <v>1073</v>
      </c>
      <c r="L1270" s="40"/>
      <c r="M1270" s="70" t="str">
        <f t="shared" si="104"/>
        <v>INT-0035-26</v>
      </c>
      <c r="N1270" s="460"/>
      <c r="O1270" s="461"/>
    </row>
    <row r="1271" spans="1:15" ht="15" x14ac:dyDescent="0.25">
      <c r="A1271" s="413">
        <v>46115</v>
      </c>
      <c r="B1271" s="414" t="s">
        <v>3138</v>
      </c>
      <c r="C1271" s="415" t="s">
        <v>1066</v>
      </c>
      <c r="D1271" s="48" t="s">
        <v>3145</v>
      </c>
      <c r="E1271" s="38" t="s">
        <v>3146</v>
      </c>
      <c r="F1271" s="205" t="s">
        <v>3166</v>
      </c>
      <c r="G1271" s="233">
        <v>46326</v>
      </c>
      <c r="H1271" s="205" t="s">
        <v>3158</v>
      </c>
      <c r="I1271" s="48">
        <v>708</v>
      </c>
      <c r="J1271" s="387" t="s">
        <v>3167</v>
      </c>
      <c r="K1271" s="389" t="s">
        <v>1073</v>
      </c>
      <c r="L1271" s="40"/>
      <c r="M1271" s="70" t="str">
        <f t="shared" si="104"/>
        <v>INT-0035-26</v>
      </c>
      <c r="N1271" s="460"/>
      <c r="O1271" s="461"/>
    </row>
    <row r="1272" spans="1:15" ht="15" x14ac:dyDescent="0.25">
      <c r="A1272" s="413">
        <v>46115</v>
      </c>
      <c r="B1272" s="414" t="s">
        <v>3138</v>
      </c>
      <c r="C1272" s="415" t="s">
        <v>1066</v>
      </c>
      <c r="D1272" s="48" t="s">
        <v>3145</v>
      </c>
      <c r="E1272" s="38" t="s">
        <v>3146</v>
      </c>
      <c r="F1272" s="205" t="s">
        <v>3166</v>
      </c>
      <c r="G1272" s="233">
        <v>46326</v>
      </c>
      <c r="H1272" s="205" t="s">
        <v>3159</v>
      </c>
      <c r="I1272" s="48">
        <v>5</v>
      </c>
      <c r="J1272" s="387" t="s">
        <v>3167</v>
      </c>
      <c r="K1272" s="389" t="s">
        <v>1073</v>
      </c>
      <c r="L1272" s="40"/>
      <c r="M1272" s="70" t="str">
        <f t="shared" si="104"/>
        <v>INT-0035-26</v>
      </c>
      <c r="N1272" s="460"/>
      <c r="O1272" s="461"/>
    </row>
    <row r="1273" spans="1:15" ht="15" x14ac:dyDescent="0.25">
      <c r="A1273" s="413">
        <v>46115</v>
      </c>
      <c r="B1273" s="414" t="s">
        <v>3138</v>
      </c>
      <c r="C1273" s="415" t="s">
        <v>1066</v>
      </c>
      <c r="D1273" s="48" t="s">
        <v>3145</v>
      </c>
      <c r="E1273" s="38" t="s">
        <v>3146</v>
      </c>
      <c r="F1273" s="205" t="s">
        <v>3166</v>
      </c>
      <c r="G1273" s="233">
        <v>46326</v>
      </c>
      <c r="H1273" s="205" t="s">
        <v>3159</v>
      </c>
      <c r="I1273" s="48">
        <v>30</v>
      </c>
      <c r="J1273" s="387" t="s">
        <v>3167</v>
      </c>
      <c r="K1273" s="389" t="s">
        <v>1073</v>
      </c>
      <c r="L1273" s="40"/>
      <c r="M1273" s="70" t="str">
        <f t="shared" si="104"/>
        <v>INT-0035-26</v>
      </c>
      <c r="N1273" s="460"/>
      <c r="O1273" s="461"/>
    </row>
    <row r="1274" spans="1:15" ht="71.25" customHeight="1" x14ac:dyDescent="0.25">
      <c r="A1274" s="462">
        <v>46121</v>
      </c>
      <c r="B1274" s="463" t="s">
        <v>3138</v>
      </c>
      <c r="C1274" s="464" t="s">
        <v>1066</v>
      </c>
      <c r="D1274" s="465" t="s">
        <v>3141</v>
      </c>
      <c r="E1274" s="466" t="s">
        <v>3142</v>
      </c>
      <c r="F1274" s="467" t="s">
        <v>3164</v>
      </c>
      <c r="G1274" s="462">
        <v>46326</v>
      </c>
      <c r="H1274" s="467" t="s">
        <v>3168</v>
      </c>
      <c r="I1274" s="465">
        <v>3</v>
      </c>
      <c r="J1274" s="387" t="s">
        <v>3167</v>
      </c>
      <c r="K1274" s="389" t="s">
        <v>1073</v>
      </c>
      <c r="L1274" s="389" t="s">
        <v>3169</v>
      </c>
      <c r="M1274" s="383" t="str">
        <f>HYPERLINK("P:\7. LONG HAU\7. CAC THEO DOI TRONG QUA TRINH\4. DEVIATION- INCIDENTS\THEO DÕI NỘI BỘ (NGOÀI BBSC)\"&amp;YEAR(A1274)&amp;"\"&amp;B1274,B1274)</f>
        <v>INT-0035-26</v>
      </c>
      <c r="N1274" s="468"/>
      <c r="O1274" s="469"/>
    </row>
    <row r="1275" spans="1:15" ht="15" x14ac:dyDescent="0.25">
      <c r="A1275" s="462">
        <v>46125</v>
      </c>
      <c r="B1275" s="463" t="s">
        <v>3170</v>
      </c>
      <c r="C1275" s="464" t="s">
        <v>1066</v>
      </c>
      <c r="D1275" s="465" t="s">
        <v>34</v>
      </c>
      <c r="E1275" s="466" t="s">
        <v>35</v>
      </c>
      <c r="F1275" s="467" t="s">
        <v>3203</v>
      </c>
      <c r="G1275" s="462">
        <v>46538</v>
      </c>
      <c r="H1275" s="467" t="s">
        <v>3171</v>
      </c>
      <c r="I1275" s="465">
        <v>1</v>
      </c>
      <c r="J1275" s="387" t="s">
        <v>3167</v>
      </c>
      <c r="K1275" s="477" t="s">
        <v>1072</v>
      </c>
      <c r="L1275" s="477"/>
      <c r="M1275" s="383" t="str">
        <f>HYPERLINK("P:\7. LONG HAU\7. CAC THEO DOI TRONG QUA TRINH\4. DEVIATION- INCIDENTS\THEO DÕI NỘI BỘ (NGOÀI BBSC)\"&amp;YEAR(A1275)&amp;"\"&amp;B1275,B1275)</f>
        <v>INT-0036-26</v>
      </c>
      <c r="N1275" s="468"/>
      <c r="O1275" s="469"/>
    </row>
    <row r="1276" spans="1:15" ht="15" x14ac:dyDescent="0.25">
      <c r="A1276" s="462">
        <v>46125</v>
      </c>
      <c r="B1276" s="463" t="s">
        <v>3170</v>
      </c>
      <c r="C1276" s="464" t="s">
        <v>1066</v>
      </c>
      <c r="D1276" s="471" t="s">
        <v>34</v>
      </c>
      <c r="E1276" s="472" t="s">
        <v>35</v>
      </c>
      <c r="F1276" s="473" t="s">
        <v>1426</v>
      </c>
      <c r="G1276" s="470">
        <v>46203</v>
      </c>
      <c r="H1276" s="473" t="s">
        <v>3172</v>
      </c>
      <c r="I1276" s="471">
        <v>1</v>
      </c>
      <c r="J1276" s="387" t="s">
        <v>3167</v>
      </c>
      <c r="K1276" s="477" t="s">
        <v>1072</v>
      </c>
      <c r="L1276" s="474"/>
      <c r="M1276" s="70" t="str">
        <f t="shared" ref="M1276:M1306" si="105">HYPERLINK("P:\7. LONG HAU\7. CAC THEO DOI TRONG QUA TRINH\4. DEVIATION- INCIDENTS\THEO DÕI NỘI BỘ (NGOÀI BBSC)\"&amp;YEAR(A1276)&amp;"\"&amp;B1276,B1276)</f>
        <v>INT-0036-26</v>
      </c>
      <c r="N1276" s="475"/>
      <c r="O1276" s="476"/>
    </row>
    <row r="1277" spans="1:15" ht="15" x14ac:dyDescent="0.25">
      <c r="A1277" s="462">
        <v>46125</v>
      </c>
      <c r="B1277" s="463" t="s">
        <v>3170</v>
      </c>
      <c r="C1277" s="464" t="s">
        <v>1066</v>
      </c>
      <c r="D1277" s="471" t="s">
        <v>34</v>
      </c>
      <c r="E1277" s="472" t="s">
        <v>35</v>
      </c>
      <c r="F1277" s="473" t="s">
        <v>3204</v>
      </c>
      <c r="G1277" s="470">
        <v>46507</v>
      </c>
      <c r="H1277" s="473" t="s">
        <v>3173</v>
      </c>
      <c r="I1277" s="471">
        <v>1</v>
      </c>
      <c r="J1277" s="387" t="s">
        <v>3167</v>
      </c>
      <c r="K1277" s="477" t="s">
        <v>1072</v>
      </c>
      <c r="L1277" s="474"/>
      <c r="M1277" s="70" t="str">
        <f t="shared" si="105"/>
        <v>INT-0036-26</v>
      </c>
      <c r="N1277" s="475"/>
      <c r="O1277" s="476"/>
    </row>
    <row r="1278" spans="1:15" ht="15" x14ac:dyDescent="0.25">
      <c r="A1278" s="462">
        <v>46125</v>
      </c>
      <c r="B1278" s="463" t="s">
        <v>3170</v>
      </c>
      <c r="C1278" s="464" t="s">
        <v>1066</v>
      </c>
      <c r="D1278" s="471" t="s">
        <v>34</v>
      </c>
      <c r="E1278" s="472" t="s">
        <v>35</v>
      </c>
      <c r="F1278" s="473" t="s">
        <v>2288</v>
      </c>
      <c r="G1278" s="470">
        <v>46387</v>
      </c>
      <c r="H1278" s="473" t="s">
        <v>3174</v>
      </c>
      <c r="I1278" s="471">
        <v>9</v>
      </c>
      <c r="J1278" s="387" t="s">
        <v>3167</v>
      </c>
      <c r="K1278" s="477" t="s">
        <v>1072</v>
      </c>
      <c r="L1278" s="474"/>
      <c r="M1278" s="70" t="str">
        <f t="shared" si="105"/>
        <v>INT-0036-26</v>
      </c>
      <c r="N1278" s="475"/>
      <c r="O1278" s="476"/>
    </row>
    <row r="1279" spans="1:15" ht="15" x14ac:dyDescent="0.25">
      <c r="A1279" s="462">
        <v>46125</v>
      </c>
      <c r="B1279" s="463" t="s">
        <v>3170</v>
      </c>
      <c r="C1279" s="464" t="s">
        <v>1066</v>
      </c>
      <c r="D1279" s="471" t="s">
        <v>34</v>
      </c>
      <c r="E1279" s="472" t="s">
        <v>35</v>
      </c>
      <c r="F1279" s="473" t="s">
        <v>1394</v>
      </c>
      <c r="G1279" s="470">
        <v>46234</v>
      </c>
      <c r="H1279" s="473" t="s">
        <v>3175</v>
      </c>
      <c r="I1279" s="471">
        <v>10</v>
      </c>
      <c r="J1279" s="387" t="s">
        <v>3167</v>
      </c>
      <c r="K1279" s="477" t="s">
        <v>1072</v>
      </c>
      <c r="L1279" s="474"/>
      <c r="M1279" s="70" t="str">
        <f t="shared" si="105"/>
        <v>INT-0036-26</v>
      </c>
      <c r="N1279" s="475"/>
      <c r="O1279" s="476"/>
    </row>
    <row r="1280" spans="1:15" ht="15" x14ac:dyDescent="0.25">
      <c r="A1280" s="462">
        <v>46125</v>
      </c>
      <c r="B1280" s="463" t="s">
        <v>3170</v>
      </c>
      <c r="C1280" s="464" t="s">
        <v>1066</v>
      </c>
      <c r="D1280" s="471" t="s">
        <v>34</v>
      </c>
      <c r="E1280" s="472" t="s">
        <v>35</v>
      </c>
      <c r="F1280" s="473" t="s">
        <v>2767</v>
      </c>
      <c r="G1280" s="470">
        <v>46295</v>
      </c>
      <c r="H1280" s="473" t="s">
        <v>3176</v>
      </c>
      <c r="I1280" s="471">
        <v>2</v>
      </c>
      <c r="J1280" s="387" t="s">
        <v>3167</v>
      </c>
      <c r="K1280" s="477" t="s">
        <v>1072</v>
      </c>
      <c r="L1280" s="474"/>
      <c r="M1280" s="70" t="str">
        <f t="shared" si="105"/>
        <v>INT-0036-26</v>
      </c>
      <c r="N1280" s="475"/>
      <c r="O1280" s="476"/>
    </row>
    <row r="1281" spans="1:15" ht="15" x14ac:dyDescent="0.25">
      <c r="A1281" s="462">
        <v>46125</v>
      </c>
      <c r="B1281" s="463" t="s">
        <v>3170</v>
      </c>
      <c r="C1281" s="464" t="s">
        <v>1066</v>
      </c>
      <c r="D1281" s="471" t="s">
        <v>34</v>
      </c>
      <c r="E1281" s="472" t="s">
        <v>35</v>
      </c>
      <c r="F1281" s="473" t="s">
        <v>2771</v>
      </c>
      <c r="G1281" s="470">
        <v>46264</v>
      </c>
      <c r="H1281" s="473" t="s">
        <v>3177</v>
      </c>
      <c r="I1281" s="471">
        <v>12</v>
      </c>
      <c r="J1281" s="387" t="s">
        <v>3167</v>
      </c>
      <c r="K1281" s="477" t="s">
        <v>1072</v>
      </c>
      <c r="L1281" s="474"/>
      <c r="M1281" s="70" t="str">
        <f t="shared" si="105"/>
        <v>INT-0036-26</v>
      </c>
      <c r="N1281" s="475"/>
      <c r="O1281" s="476"/>
    </row>
    <row r="1282" spans="1:15" ht="15" x14ac:dyDescent="0.25">
      <c r="A1282" s="462">
        <v>46125</v>
      </c>
      <c r="B1282" s="463" t="s">
        <v>3170</v>
      </c>
      <c r="C1282" s="464" t="s">
        <v>1066</v>
      </c>
      <c r="D1282" s="471" t="s">
        <v>34</v>
      </c>
      <c r="E1282" s="472" t="s">
        <v>35</v>
      </c>
      <c r="F1282" s="473" t="s">
        <v>1758</v>
      </c>
      <c r="G1282" s="470">
        <v>46265</v>
      </c>
      <c r="H1282" s="473" t="s">
        <v>3178</v>
      </c>
      <c r="I1282" s="471">
        <v>8</v>
      </c>
      <c r="J1282" s="387" t="s">
        <v>3167</v>
      </c>
      <c r="K1282" s="477" t="s">
        <v>1072</v>
      </c>
      <c r="L1282" s="474"/>
      <c r="M1282" s="70" t="str">
        <f t="shared" si="105"/>
        <v>INT-0036-26</v>
      </c>
      <c r="N1282" s="475"/>
      <c r="O1282" s="476"/>
    </row>
    <row r="1283" spans="1:15" ht="15" x14ac:dyDescent="0.25">
      <c r="A1283" s="462">
        <v>46125</v>
      </c>
      <c r="B1283" s="463" t="s">
        <v>3170</v>
      </c>
      <c r="C1283" s="464" t="s">
        <v>1066</v>
      </c>
      <c r="D1283" s="471" t="s">
        <v>34</v>
      </c>
      <c r="E1283" s="472" t="s">
        <v>35</v>
      </c>
      <c r="F1283" s="473" t="s">
        <v>1972</v>
      </c>
      <c r="G1283" s="470">
        <v>46356</v>
      </c>
      <c r="H1283" s="473" t="s">
        <v>3179</v>
      </c>
      <c r="I1283" s="471">
        <v>1</v>
      </c>
      <c r="J1283" s="387" t="s">
        <v>3167</v>
      </c>
      <c r="K1283" s="477" t="s">
        <v>1072</v>
      </c>
      <c r="L1283" s="474"/>
      <c r="M1283" s="70" t="str">
        <f t="shared" si="105"/>
        <v>INT-0036-26</v>
      </c>
      <c r="N1283" s="475"/>
      <c r="O1283" s="476"/>
    </row>
    <row r="1284" spans="1:15" ht="15" x14ac:dyDescent="0.25">
      <c r="A1284" s="462">
        <v>46125</v>
      </c>
      <c r="B1284" s="463" t="s">
        <v>3170</v>
      </c>
      <c r="C1284" s="464" t="s">
        <v>1066</v>
      </c>
      <c r="D1284" s="471" t="s">
        <v>92</v>
      </c>
      <c r="E1284" s="472" t="s">
        <v>93</v>
      </c>
      <c r="F1284" s="473" t="s">
        <v>607</v>
      </c>
      <c r="G1284" s="470">
        <v>46477</v>
      </c>
      <c r="H1284" s="473" t="s">
        <v>3180</v>
      </c>
      <c r="I1284" s="471">
        <v>1</v>
      </c>
      <c r="J1284" s="387" t="s">
        <v>3167</v>
      </c>
      <c r="K1284" s="477" t="s">
        <v>1072</v>
      </c>
      <c r="L1284" s="474"/>
      <c r="M1284" s="70" t="str">
        <f t="shared" si="105"/>
        <v>INT-0036-26</v>
      </c>
      <c r="N1284" s="475"/>
      <c r="O1284" s="476"/>
    </row>
    <row r="1285" spans="1:15" ht="15" x14ac:dyDescent="0.25">
      <c r="A1285" s="462">
        <v>46125</v>
      </c>
      <c r="B1285" s="463" t="s">
        <v>3170</v>
      </c>
      <c r="C1285" s="464" t="s">
        <v>1066</v>
      </c>
      <c r="D1285" s="471" t="s">
        <v>92</v>
      </c>
      <c r="E1285" s="472" t="s">
        <v>93</v>
      </c>
      <c r="F1285" s="473" t="s">
        <v>2769</v>
      </c>
      <c r="G1285" s="470">
        <v>46752</v>
      </c>
      <c r="H1285" s="473" t="s">
        <v>3181</v>
      </c>
      <c r="I1285" s="471">
        <v>2</v>
      </c>
      <c r="J1285" s="387" t="s">
        <v>3167</v>
      </c>
      <c r="K1285" s="477" t="s">
        <v>1072</v>
      </c>
      <c r="L1285" s="474"/>
      <c r="M1285" s="70" t="str">
        <f t="shared" si="105"/>
        <v>INT-0036-26</v>
      </c>
      <c r="N1285" s="475"/>
      <c r="O1285" s="476"/>
    </row>
    <row r="1286" spans="1:15" ht="15" x14ac:dyDescent="0.25">
      <c r="A1286" s="462">
        <v>46125</v>
      </c>
      <c r="B1286" s="463" t="s">
        <v>3170</v>
      </c>
      <c r="C1286" s="464" t="s">
        <v>1066</v>
      </c>
      <c r="D1286" s="471" t="s">
        <v>36</v>
      </c>
      <c r="E1286" s="472" t="s">
        <v>37</v>
      </c>
      <c r="F1286" s="473" t="s">
        <v>2780</v>
      </c>
      <c r="G1286" s="470">
        <v>46356</v>
      </c>
      <c r="H1286" s="473" t="s">
        <v>3182</v>
      </c>
      <c r="I1286" s="471">
        <v>1</v>
      </c>
      <c r="J1286" s="387" t="s">
        <v>3167</v>
      </c>
      <c r="K1286" s="477" t="s">
        <v>1072</v>
      </c>
      <c r="L1286" s="474"/>
      <c r="M1286" s="70" t="str">
        <f t="shared" si="105"/>
        <v>INT-0036-26</v>
      </c>
      <c r="N1286" s="475"/>
      <c r="O1286" s="476"/>
    </row>
    <row r="1287" spans="1:15" ht="15" x14ac:dyDescent="0.25">
      <c r="A1287" s="462">
        <v>46125</v>
      </c>
      <c r="B1287" s="463" t="s">
        <v>3170</v>
      </c>
      <c r="C1287" s="464" t="s">
        <v>1066</v>
      </c>
      <c r="D1287" s="471" t="s">
        <v>36</v>
      </c>
      <c r="E1287" s="472" t="s">
        <v>37</v>
      </c>
      <c r="F1287" s="473" t="s">
        <v>2755</v>
      </c>
      <c r="G1287" s="470">
        <v>46265</v>
      </c>
      <c r="H1287" s="473" t="s">
        <v>3183</v>
      </c>
      <c r="I1287" s="471">
        <v>1</v>
      </c>
      <c r="J1287" s="387" t="s">
        <v>3167</v>
      </c>
      <c r="K1287" s="477" t="s">
        <v>1072</v>
      </c>
      <c r="L1287" s="474"/>
      <c r="M1287" s="70" t="str">
        <f t="shared" si="105"/>
        <v>INT-0036-26</v>
      </c>
      <c r="N1287" s="475"/>
      <c r="O1287" s="476"/>
    </row>
    <row r="1288" spans="1:15" ht="15" x14ac:dyDescent="0.25">
      <c r="A1288" s="462">
        <v>46125</v>
      </c>
      <c r="B1288" s="463" t="s">
        <v>3170</v>
      </c>
      <c r="C1288" s="464" t="s">
        <v>1066</v>
      </c>
      <c r="D1288" s="471" t="s">
        <v>36</v>
      </c>
      <c r="E1288" s="472" t="s">
        <v>37</v>
      </c>
      <c r="F1288" s="473" t="s">
        <v>2756</v>
      </c>
      <c r="G1288" s="470">
        <v>46265</v>
      </c>
      <c r="H1288" s="473" t="s">
        <v>3184</v>
      </c>
      <c r="I1288" s="471">
        <v>4</v>
      </c>
      <c r="J1288" s="387" t="s">
        <v>3167</v>
      </c>
      <c r="K1288" s="477" t="s">
        <v>1072</v>
      </c>
      <c r="L1288" s="474"/>
      <c r="M1288" s="70" t="str">
        <f t="shared" si="105"/>
        <v>INT-0036-26</v>
      </c>
      <c r="N1288" s="475"/>
      <c r="O1288" s="476"/>
    </row>
    <row r="1289" spans="1:15" ht="15" x14ac:dyDescent="0.25">
      <c r="A1289" s="462">
        <v>46125</v>
      </c>
      <c r="B1289" s="463" t="s">
        <v>3170</v>
      </c>
      <c r="C1289" s="464" t="s">
        <v>1066</v>
      </c>
      <c r="D1289" s="471" t="s">
        <v>28</v>
      </c>
      <c r="E1289" s="472" t="s">
        <v>29</v>
      </c>
      <c r="F1289" s="473" t="s">
        <v>3205</v>
      </c>
      <c r="G1289" s="470">
        <v>46387</v>
      </c>
      <c r="H1289" s="473" t="s">
        <v>3185</v>
      </c>
      <c r="I1289" s="471">
        <v>3</v>
      </c>
      <c r="J1289" s="387" t="s">
        <v>3167</v>
      </c>
      <c r="K1289" s="477" t="s">
        <v>1072</v>
      </c>
      <c r="L1289" s="474"/>
      <c r="M1289" s="70" t="str">
        <f t="shared" si="105"/>
        <v>INT-0036-26</v>
      </c>
      <c r="N1289" s="475"/>
      <c r="O1289" s="476"/>
    </row>
    <row r="1290" spans="1:15" ht="15" x14ac:dyDescent="0.25">
      <c r="A1290" s="462">
        <v>46125</v>
      </c>
      <c r="B1290" s="463" t="s">
        <v>3170</v>
      </c>
      <c r="C1290" s="464" t="s">
        <v>1066</v>
      </c>
      <c r="D1290" s="471" t="s">
        <v>28</v>
      </c>
      <c r="E1290" s="472" t="s">
        <v>29</v>
      </c>
      <c r="F1290" s="473" t="s">
        <v>1919</v>
      </c>
      <c r="G1290" s="470">
        <v>46234</v>
      </c>
      <c r="H1290" s="473" t="s">
        <v>3186</v>
      </c>
      <c r="I1290" s="471">
        <v>39</v>
      </c>
      <c r="J1290" s="387" t="s">
        <v>3167</v>
      </c>
      <c r="K1290" s="477" t="s">
        <v>1072</v>
      </c>
      <c r="L1290" s="474"/>
      <c r="M1290" s="70" t="str">
        <f t="shared" si="105"/>
        <v>INT-0036-26</v>
      </c>
      <c r="N1290" s="475"/>
      <c r="O1290" s="476"/>
    </row>
    <row r="1291" spans="1:15" ht="15" x14ac:dyDescent="0.25">
      <c r="A1291" s="462">
        <v>46125</v>
      </c>
      <c r="B1291" s="463" t="s">
        <v>3170</v>
      </c>
      <c r="C1291" s="464" t="s">
        <v>1066</v>
      </c>
      <c r="D1291" s="471" t="s">
        <v>42</v>
      </c>
      <c r="E1291" s="472" t="s">
        <v>43</v>
      </c>
      <c r="F1291" s="473" t="s">
        <v>1960</v>
      </c>
      <c r="G1291" s="470">
        <v>46234</v>
      </c>
      <c r="H1291" s="473" t="s">
        <v>3187</v>
      </c>
      <c r="I1291" s="471">
        <v>8</v>
      </c>
      <c r="J1291" s="387" t="s">
        <v>3167</v>
      </c>
      <c r="K1291" s="477" t="s">
        <v>1072</v>
      </c>
      <c r="L1291" s="474"/>
      <c r="M1291" s="70" t="str">
        <f t="shared" si="105"/>
        <v>INT-0036-26</v>
      </c>
      <c r="N1291" s="475"/>
      <c r="O1291" s="476"/>
    </row>
    <row r="1292" spans="1:15" ht="15" x14ac:dyDescent="0.25">
      <c r="A1292" s="462">
        <v>46125</v>
      </c>
      <c r="B1292" s="463" t="s">
        <v>3170</v>
      </c>
      <c r="C1292" s="464" t="s">
        <v>1066</v>
      </c>
      <c r="D1292" s="471" t="s">
        <v>42</v>
      </c>
      <c r="E1292" s="472" t="s">
        <v>43</v>
      </c>
      <c r="F1292" s="473" t="s">
        <v>1753</v>
      </c>
      <c r="G1292" s="470">
        <v>46265</v>
      </c>
      <c r="H1292" s="473" t="s">
        <v>3188</v>
      </c>
      <c r="I1292" s="471">
        <v>8</v>
      </c>
      <c r="J1292" s="387" t="s">
        <v>3167</v>
      </c>
      <c r="K1292" s="477" t="s">
        <v>1072</v>
      </c>
      <c r="L1292" s="474"/>
      <c r="M1292" s="70" t="str">
        <f t="shared" si="105"/>
        <v>INT-0036-26</v>
      </c>
      <c r="N1292" s="475"/>
      <c r="O1292" s="476"/>
    </row>
    <row r="1293" spans="1:15" ht="15" x14ac:dyDescent="0.25">
      <c r="A1293" s="462">
        <v>46125</v>
      </c>
      <c r="B1293" s="463" t="s">
        <v>3170</v>
      </c>
      <c r="C1293" s="464" t="s">
        <v>1066</v>
      </c>
      <c r="D1293" s="471" t="s">
        <v>42</v>
      </c>
      <c r="E1293" s="472" t="s">
        <v>43</v>
      </c>
      <c r="F1293" s="473" t="s">
        <v>2775</v>
      </c>
      <c r="G1293" s="470">
        <v>46234</v>
      </c>
      <c r="H1293" s="473" t="s">
        <v>3189</v>
      </c>
      <c r="I1293" s="471">
        <v>6</v>
      </c>
      <c r="J1293" s="387" t="s">
        <v>3167</v>
      </c>
      <c r="K1293" s="477" t="s">
        <v>1072</v>
      </c>
      <c r="L1293" s="474"/>
      <c r="M1293" s="70" t="str">
        <f t="shared" si="105"/>
        <v>INT-0036-26</v>
      </c>
      <c r="N1293" s="475"/>
      <c r="O1293" s="476"/>
    </row>
    <row r="1294" spans="1:15" ht="15" x14ac:dyDescent="0.25">
      <c r="A1294" s="462">
        <v>46125</v>
      </c>
      <c r="B1294" s="463" t="s">
        <v>3170</v>
      </c>
      <c r="C1294" s="464" t="s">
        <v>1066</v>
      </c>
      <c r="D1294" s="471" t="s">
        <v>42</v>
      </c>
      <c r="E1294" s="472" t="s">
        <v>43</v>
      </c>
      <c r="F1294" s="473" t="s">
        <v>2893</v>
      </c>
      <c r="G1294" s="470">
        <v>46507</v>
      </c>
      <c r="H1294" s="473" t="s">
        <v>3190</v>
      </c>
      <c r="I1294" s="471">
        <v>1</v>
      </c>
      <c r="J1294" s="387" t="s">
        <v>3167</v>
      </c>
      <c r="K1294" s="477" t="s">
        <v>1072</v>
      </c>
      <c r="L1294" s="474"/>
      <c r="M1294" s="70" t="str">
        <f t="shared" si="105"/>
        <v>INT-0036-26</v>
      </c>
      <c r="N1294" s="475"/>
      <c r="O1294" s="476"/>
    </row>
    <row r="1295" spans="1:15" ht="15" x14ac:dyDescent="0.25">
      <c r="A1295" s="462">
        <v>46125</v>
      </c>
      <c r="B1295" s="463" t="s">
        <v>3170</v>
      </c>
      <c r="C1295" s="464" t="s">
        <v>1066</v>
      </c>
      <c r="D1295" s="471" t="s">
        <v>1255</v>
      </c>
      <c r="E1295" s="472" t="s">
        <v>1256</v>
      </c>
      <c r="F1295" s="473" t="s">
        <v>3206</v>
      </c>
      <c r="G1295" s="470">
        <v>47269</v>
      </c>
      <c r="H1295" s="473" t="s">
        <v>3191</v>
      </c>
      <c r="I1295" s="471">
        <v>1</v>
      </c>
      <c r="J1295" s="387" t="s">
        <v>3167</v>
      </c>
      <c r="K1295" s="477" t="s">
        <v>1072</v>
      </c>
      <c r="L1295" s="474"/>
      <c r="M1295" s="70" t="str">
        <f t="shared" si="105"/>
        <v>INT-0036-26</v>
      </c>
      <c r="N1295" s="475"/>
      <c r="O1295" s="476"/>
    </row>
    <row r="1296" spans="1:15" ht="15" x14ac:dyDescent="0.25">
      <c r="A1296" s="462">
        <v>46125</v>
      </c>
      <c r="B1296" s="463" t="s">
        <v>3170</v>
      </c>
      <c r="C1296" s="464" t="s">
        <v>1066</v>
      </c>
      <c r="D1296" s="471" t="s">
        <v>39</v>
      </c>
      <c r="E1296" s="472" t="s">
        <v>40</v>
      </c>
      <c r="F1296" s="473" t="s">
        <v>3207</v>
      </c>
      <c r="G1296" s="470">
        <v>46568</v>
      </c>
      <c r="H1296" s="473" t="s">
        <v>3192</v>
      </c>
      <c r="I1296" s="471">
        <v>1</v>
      </c>
      <c r="J1296" s="387" t="s">
        <v>3167</v>
      </c>
      <c r="K1296" s="477" t="s">
        <v>1072</v>
      </c>
      <c r="L1296" s="474"/>
      <c r="M1296" s="70" t="str">
        <f t="shared" si="105"/>
        <v>INT-0036-26</v>
      </c>
      <c r="N1296" s="475"/>
      <c r="O1296" s="476"/>
    </row>
    <row r="1297" spans="1:15" ht="15" x14ac:dyDescent="0.25">
      <c r="A1297" s="462">
        <v>46125</v>
      </c>
      <c r="B1297" s="463" t="s">
        <v>3170</v>
      </c>
      <c r="C1297" s="464" t="s">
        <v>1066</v>
      </c>
      <c r="D1297" s="471" t="s">
        <v>1836</v>
      </c>
      <c r="E1297" s="472" t="s">
        <v>1837</v>
      </c>
      <c r="F1297" s="473" t="s">
        <v>1839</v>
      </c>
      <c r="G1297" s="470">
        <v>46234</v>
      </c>
      <c r="H1297" s="473" t="s">
        <v>3193</v>
      </c>
      <c r="I1297" s="471">
        <v>129</v>
      </c>
      <c r="J1297" s="387" t="s">
        <v>3167</v>
      </c>
      <c r="K1297" s="477" t="s">
        <v>1072</v>
      </c>
      <c r="L1297" s="474"/>
      <c r="M1297" s="70" t="str">
        <f t="shared" si="105"/>
        <v>INT-0036-26</v>
      </c>
      <c r="N1297" s="475"/>
      <c r="O1297" s="476"/>
    </row>
    <row r="1298" spans="1:15" ht="15" x14ac:dyDescent="0.25">
      <c r="A1298" s="462">
        <v>46125</v>
      </c>
      <c r="B1298" s="463" t="s">
        <v>3170</v>
      </c>
      <c r="C1298" s="464" t="s">
        <v>1066</v>
      </c>
      <c r="D1298" s="471" t="s">
        <v>1133</v>
      </c>
      <c r="E1298" s="472" t="s">
        <v>1134</v>
      </c>
      <c r="F1298" s="473" t="s">
        <v>2770</v>
      </c>
      <c r="G1298" s="470">
        <v>46203</v>
      </c>
      <c r="H1298" s="473" t="s">
        <v>3194</v>
      </c>
      <c r="I1298" s="471">
        <v>3</v>
      </c>
      <c r="J1298" s="387" t="s">
        <v>3167</v>
      </c>
      <c r="K1298" s="477" t="s">
        <v>1072</v>
      </c>
      <c r="L1298" s="474"/>
      <c r="M1298" s="70" t="str">
        <f t="shared" si="105"/>
        <v>INT-0036-26</v>
      </c>
      <c r="N1298" s="475"/>
      <c r="O1298" s="476"/>
    </row>
    <row r="1299" spans="1:15" ht="15" x14ac:dyDescent="0.25">
      <c r="A1299" s="462">
        <v>46125</v>
      </c>
      <c r="B1299" s="463" t="s">
        <v>3170</v>
      </c>
      <c r="C1299" s="464" t="s">
        <v>1066</v>
      </c>
      <c r="D1299" s="471" t="s">
        <v>1133</v>
      </c>
      <c r="E1299" s="472" t="s">
        <v>1134</v>
      </c>
      <c r="F1299" s="473" t="s">
        <v>1135</v>
      </c>
      <c r="G1299" s="470">
        <v>46142</v>
      </c>
      <c r="H1299" s="473" t="s">
        <v>3195</v>
      </c>
      <c r="I1299" s="471">
        <v>1</v>
      </c>
      <c r="J1299" s="387" t="s">
        <v>3167</v>
      </c>
      <c r="K1299" s="477" t="s">
        <v>1072</v>
      </c>
      <c r="L1299" s="474"/>
      <c r="M1299" s="70" t="str">
        <f t="shared" si="105"/>
        <v>INT-0036-26</v>
      </c>
      <c r="N1299" s="475"/>
      <c r="O1299" s="476"/>
    </row>
    <row r="1300" spans="1:15" ht="15" x14ac:dyDescent="0.25">
      <c r="A1300" s="462">
        <v>46125</v>
      </c>
      <c r="B1300" s="463" t="s">
        <v>3170</v>
      </c>
      <c r="C1300" s="464" t="s">
        <v>1066</v>
      </c>
      <c r="D1300" s="471" t="s">
        <v>47</v>
      </c>
      <c r="E1300" s="472" t="s">
        <v>48</v>
      </c>
      <c r="F1300" s="473" t="s">
        <v>2764</v>
      </c>
      <c r="G1300" s="470">
        <v>46446</v>
      </c>
      <c r="H1300" s="473" t="s">
        <v>3196</v>
      </c>
      <c r="I1300" s="471">
        <v>1</v>
      </c>
      <c r="J1300" s="387" t="s">
        <v>3167</v>
      </c>
      <c r="K1300" s="477" t="s">
        <v>1072</v>
      </c>
      <c r="L1300" s="474"/>
      <c r="M1300" s="70" t="str">
        <f t="shared" si="105"/>
        <v>INT-0036-26</v>
      </c>
      <c r="N1300" s="475"/>
      <c r="O1300" s="476"/>
    </row>
    <row r="1301" spans="1:15" ht="15" x14ac:dyDescent="0.25">
      <c r="A1301" s="462">
        <v>46125</v>
      </c>
      <c r="B1301" s="463" t="s">
        <v>3170</v>
      </c>
      <c r="C1301" s="464" t="s">
        <v>1066</v>
      </c>
      <c r="D1301" s="471" t="s">
        <v>47</v>
      </c>
      <c r="E1301" s="472" t="s">
        <v>48</v>
      </c>
      <c r="F1301" s="473" t="s">
        <v>812</v>
      </c>
      <c r="G1301" s="470">
        <v>46173</v>
      </c>
      <c r="H1301" s="473" t="s">
        <v>3197</v>
      </c>
      <c r="I1301" s="471">
        <v>33</v>
      </c>
      <c r="J1301" s="387" t="s">
        <v>3167</v>
      </c>
      <c r="K1301" s="477" t="s">
        <v>1072</v>
      </c>
      <c r="L1301" s="474"/>
      <c r="M1301" s="70" t="str">
        <f t="shared" si="105"/>
        <v>INT-0036-26</v>
      </c>
      <c r="N1301" s="475"/>
      <c r="O1301" s="476"/>
    </row>
    <row r="1302" spans="1:15" ht="15" x14ac:dyDescent="0.25">
      <c r="A1302" s="462">
        <v>46125</v>
      </c>
      <c r="B1302" s="463" t="s">
        <v>3170</v>
      </c>
      <c r="C1302" s="464" t="s">
        <v>1066</v>
      </c>
      <c r="D1302" s="471" t="s">
        <v>47</v>
      </c>
      <c r="E1302" s="472" t="s">
        <v>48</v>
      </c>
      <c r="F1302" s="473" t="s">
        <v>623</v>
      </c>
      <c r="G1302" s="470">
        <v>46173</v>
      </c>
      <c r="H1302" s="473" t="s">
        <v>3198</v>
      </c>
      <c r="I1302" s="471">
        <v>15</v>
      </c>
      <c r="J1302" s="387" t="s">
        <v>3167</v>
      </c>
      <c r="K1302" s="477" t="s">
        <v>1072</v>
      </c>
      <c r="L1302" s="474"/>
      <c r="M1302" s="70" t="str">
        <f t="shared" si="105"/>
        <v>INT-0036-26</v>
      </c>
      <c r="N1302" s="475"/>
      <c r="O1302" s="476"/>
    </row>
    <row r="1303" spans="1:15" ht="15" x14ac:dyDescent="0.25">
      <c r="A1303" s="462">
        <v>46125</v>
      </c>
      <c r="B1303" s="463" t="s">
        <v>3170</v>
      </c>
      <c r="C1303" s="464" t="s">
        <v>1066</v>
      </c>
      <c r="D1303" s="471" t="s">
        <v>47</v>
      </c>
      <c r="E1303" s="472" t="s">
        <v>48</v>
      </c>
      <c r="F1303" s="473" t="s">
        <v>619</v>
      </c>
      <c r="G1303" s="470">
        <v>46112</v>
      </c>
      <c r="H1303" s="473" t="s">
        <v>3199</v>
      </c>
      <c r="I1303" s="471">
        <v>1</v>
      </c>
      <c r="J1303" s="387" t="s">
        <v>3167</v>
      </c>
      <c r="K1303" s="477" t="s">
        <v>1072</v>
      </c>
      <c r="L1303" s="474"/>
      <c r="M1303" s="70" t="str">
        <f t="shared" si="105"/>
        <v>INT-0036-26</v>
      </c>
      <c r="N1303" s="475"/>
      <c r="O1303" s="476"/>
    </row>
    <row r="1304" spans="1:15" ht="15" x14ac:dyDescent="0.25">
      <c r="A1304" s="462">
        <v>46125</v>
      </c>
      <c r="B1304" s="463" t="s">
        <v>3170</v>
      </c>
      <c r="C1304" s="464" t="s">
        <v>1066</v>
      </c>
      <c r="D1304" s="471" t="s">
        <v>47</v>
      </c>
      <c r="E1304" s="472" t="s">
        <v>48</v>
      </c>
      <c r="F1304" s="473" t="s">
        <v>1740</v>
      </c>
      <c r="G1304" s="470">
        <v>46173</v>
      </c>
      <c r="H1304" s="473" t="s">
        <v>3200</v>
      </c>
      <c r="I1304" s="471">
        <v>6</v>
      </c>
      <c r="J1304" s="387" t="s">
        <v>3167</v>
      </c>
      <c r="K1304" s="477" t="s">
        <v>1072</v>
      </c>
      <c r="L1304" s="474"/>
      <c r="M1304" s="70" t="str">
        <f t="shared" si="105"/>
        <v>INT-0036-26</v>
      </c>
      <c r="N1304" s="475"/>
      <c r="O1304" s="476"/>
    </row>
    <row r="1305" spans="1:15" ht="15" x14ac:dyDescent="0.25">
      <c r="A1305" s="462">
        <v>46125</v>
      </c>
      <c r="B1305" s="463" t="s">
        <v>3170</v>
      </c>
      <c r="C1305" s="464" t="s">
        <v>1066</v>
      </c>
      <c r="D1305" s="471" t="s">
        <v>1292</v>
      </c>
      <c r="E1305" s="472" t="s">
        <v>1293</v>
      </c>
      <c r="F1305" s="473" t="s">
        <v>2691</v>
      </c>
      <c r="G1305" s="470">
        <v>46265</v>
      </c>
      <c r="H1305" s="473" t="s">
        <v>3201</v>
      </c>
      <c r="I1305" s="471">
        <v>1</v>
      </c>
      <c r="J1305" s="387" t="s">
        <v>3167</v>
      </c>
      <c r="K1305" s="477" t="s">
        <v>1072</v>
      </c>
      <c r="L1305" s="474"/>
      <c r="M1305" s="70" t="str">
        <f t="shared" si="105"/>
        <v>INT-0036-26</v>
      </c>
      <c r="N1305" s="475"/>
      <c r="O1305" s="476"/>
    </row>
    <row r="1306" spans="1:15" ht="15" x14ac:dyDescent="0.25">
      <c r="A1306" s="462">
        <v>46125</v>
      </c>
      <c r="B1306" s="463" t="s">
        <v>3170</v>
      </c>
      <c r="C1306" s="464" t="s">
        <v>1066</v>
      </c>
      <c r="D1306" s="471" t="s">
        <v>1292</v>
      </c>
      <c r="E1306" s="472" t="s">
        <v>1293</v>
      </c>
      <c r="F1306" s="473" t="s">
        <v>2763</v>
      </c>
      <c r="G1306" s="470">
        <v>46203</v>
      </c>
      <c r="H1306" s="473" t="s">
        <v>3202</v>
      </c>
      <c r="I1306" s="471">
        <v>2</v>
      </c>
      <c r="J1306" s="387" t="s">
        <v>3167</v>
      </c>
      <c r="K1306" s="477" t="s">
        <v>1072</v>
      </c>
      <c r="L1306" s="474"/>
      <c r="M1306" s="70" t="str">
        <f t="shared" si="105"/>
        <v>INT-0036-26</v>
      </c>
      <c r="N1306" s="475"/>
      <c r="O1306" s="476"/>
    </row>
    <row r="1307" spans="1:15" ht="15" x14ac:dyDescent="0.25">
      <c r="A1307" s="462">
        <v>46125</v>
      </c>
      <c r="B1307" s="463" t="s">
        <v>3208</v>
      </c>
      <c r="C1307" s="464" t="s">
        <v>1066</v>
      </c>
      <c r="D1307" s="465" t="s">
        <v>28</v>
      </c>
      <c r="E1307" s="466" t="s">
        <v>29</v>
      </c>
      <c r="F1307" s="467" t="s">
        <v>1919</v>
      </c>
      <c r="G1307" s="462">
        <v>46234</v>
      </c>
      <c r="H1307" s="467" t="s">
        <v>3209</v>
      </c>
      <c r="I1307" s="465">
        <v>2</v>
      </c>
      <c r="J1307" s="478" t="s">
        <v>3249</v>
      </c>
      <c r="K1307" s="477" t="s">
        <v>1072</v>
      </c>
      <c r="L1307" s="477"/>
      <c r="M1307" s="383" t="str">
        <f>HYPERLINK("P:\7. LONG HAU\7. CAC THEO DOI TRONG QUA TRINH\4. DEVIATION- INCIDENTS\THEO DÕI NỘI BỘ (NGOÀI BBSC)\"&amp;YEAR(A1307)&amp;"\"&amp;B1307,B1307)</f>
        <v>INT-0037-26</v>
      </c>
      <c r="N1307" s="468"/>
      <c r="O1307" s="469"/>
    </row>
    <row r="1308" spans="1:15" ht="15" x14ac:dyDescent="0.25">
      <c r="A1308" s="462">
        <v>46125</v>
      </c>
      <c r="B1308" s="463" t="s">
        <v>3208</v>
      </c>
      <c r="C1308" s="464" t="s">
        <v>1066</v>
      </c>
      <c r="D1308" s="471" t="s">
        <v>1255</v>
      </c>
      <c r="E1308" s="472" t="s">
        <v>1256</v>
      </c>
      <c r="F1308" s="473" t="s">
        <v>3250</v>
      </c>
      <c r="G1308" s="470">
        <v>46599</v>
      </c>
      <c r="H1308" s="473" t="s">
        <v>3210</v>
      </c>
      <c r="I1308" s="471">
        <v>1</v>
      </c>
      <c r="J1308" s="478" t="s">
        <v>3249</v>
      </c>
      <c r="K1308" s="477" t="s">
        <v>1072</v>
      </c>
      <c r="L1308" s="474"/>
      <c r="M1308" s="70" t="str">
        <f t="shared" ref="M1308:M1346" si="106">HYPERLINK("P:\7. LONG HAU\7. CAC THEO DOI TRONG QUA TRINH\4. DEVIATION- INCIDENTS\THEO DÕI NỘI BỘ (NGOÀI BBSC)\"&amp;YEAR(A1308)&amp;"\"&amp;B1308,B1308)</f>
        <v>INT-0037-26</v>
      </c>
      <c r="N1308" s="475"/>
      <c r="O1308" s="476"/>
    </row>
    <row r="1309" spans="1:15" ht="15" x14ac:dyDescent="0.25">
      <c r="A1309" s="462">
        <v>46125</v>
      </c>
      <c r="B1309" s="463" t="s">
        <v>3208</v>
      </c>
      <c r="C1309" s="464" t="s">
        <v>1066</v>
      </c>
      <c r="D1309" s="471" t="s">
        <v>1255</v>
      </c>
      <c r="E1309" s="472" t="s">
        <v>1256</v>
      </c>
      <c r="F1309" s="473" t="s">
        <v>3251</v>
      </c>
      <c r="G1309" s="470">
        <v>46630</v>
      </c>
      <c r="H1309" s="473" t="s">
        <v>3211</v>
      </c>
      <c r="I1309" s="471">
        <v>1</v>
      </c>
      <c r="J1309" s="478" t="s">
        <v>3249</v>
      </c>
      <c r="K1309" s="477" t="s">
        <v>1072</v>
      </c>
      <c r="L1309" s="474"/>
      <c r="M1309" s="70" t="str">
        <f t="shared" si="106"/>
        <v>INT-0037-26</v>
      </c>
      <c r="N1309" s="475"/>
      <c r="O1309" s="476"/>
    </row>
    <row r="1310" spans="1:15" ht="15" x14ac:dyDescent="0.25">
      <c r="A1310" s="462">
        <v>46125</v>
      </c>
      <c r="B1310" s="463" t="s">
        <v>3208</v>
      </c>
      <c r="C1310" s="464" t="s">
        <v>1066</v>
      </c>
      <c r="D1310" s="471" t="s">
        <v>92</v>
      </c>
      <c r="E1310" s="472" t="s">
        <v>93</v>
      </c>
      <c r="F1310" s="473" t="s">
        <v>2765</v>
      </c>
      <c r="G1310" s="470">
        <v>46721</v>
      </c>
      <c r="H1310" s="473" t="s">
        <v>3212</v>
      </c>
      <c r="I1310" s="471">
        <v>1</v>
      </c>
      <c r="J1310" s="478" t="s">
        <v>3249</v>
      </c>
      <c r="K1310" s="477" t="s">
        <v>1072</v>
      </c>
      <c r="L1310" s="474"/>
      <c r="M1310" s="70" t="str">
        <f t="shared" si="106"/>
        <v>INT-0037-26</v>
      </c>
      <c r="N1310" s="475"/>
      <c r="O1310" s="476"/>
    </row>
    <row r="1311" spans="1:15" ht="15" x14ac:dyDescent="0.25">
      <c r="A1311" s="462">
        <v>46125</v>
      </c>
      <c r="B1311" s="463" t="s">
        <v>3208</v>
      </c>
      <c r="C1311" s="464" t="s">
        <v>1066</v>
      </c>
      <c r="D1311" s="471" t="s">
        <v>39</v>
      </c>
      <c r="E1311" s="472" t="s">
        <v>40</v>
      </c>
      <c r="F1311" s="473" t="s">
        <v>2028</v>
      </c>
      <c r="G1311" s="470">
        <v>46418</v>
      </c>
      <c r="H1311" s="473" t="s">
        <v>3213</v>
      </c>
      <c r="I1311" s="471">
        <v>1</v>
      </c>
      <c r="J1311" s="478" t="s">
        <v>3249</v>
      </c>
      <c r="K1311" s="477" t="s">
        <v>1072</v>
      </c>
      <c r="L1311" s="474"/>
      <c r="M1311" s="70" t="str">
        <f t="shared" si="106"/>
        <v>INT-0037-26</v>
      </c>
      <c r="N1311" s="475"/>
      <c r="O1311" s="476"/>
    </row>
    <row r="1312" spans="1:15" ht="25.5" x14ac:dyDescent="0.25">
      <c r="A1312" s="462">
        <v>46125</v>
      </c>
      <c r="B1312" s="463" t="s">
        <v>3208</v>
      </c>
      <c r="C1312" s="464" t="s">
        <v>1066</v>
      </c>
      <c r="D1312" s="471" t="s">
        <v>44</v>
      </c>
      <c r="E1312" s="472" t="s">
        <v>45</v>
      </c>
      <c r="F1312" s="473" t="s">
        <v>205</v>
      </c>
      <c r="G1312" s="470">
        <v>46295</v>
      </c>
      <c r="H1312" s="473" t="s">
        <v>3214</v>
      </c>
      <c r="I1312" s="471">
        <v>1</v>
      </c>
      <c r="J1312" s="478" t="s">
        <v>3249</v>
      </c>
      <c r="K1312" s="477" t="s">
        <v>1072</v>
      </c>
      <c r="L1312" s="474"/>
      <c r="M1312" s="70" t="str">
        <f t="shared" si="106"/>
        <v>INT-0037-26</v>
      </c>
      <c r="N1312" s="475"/>
      <c r="O1312" s="476"/>
    </row>
    <row r="1313" spans="1:15" ht="15" x14ac:dyDescent="0.25">
      <c r="A1313" s="462">
        <v>46125</v>
      </c>
      <c r="B1313" s="463" t="s">
        <v>3208</v>
      </c>
      <c r="C1313" s="464" t="s">
        <v>1066</v>
      </c>
      <c r="D1313" s="471" t="s">
        <v>92</v>
      </c>
      <c r="E1313" s="472" t="s">
        <v>93</v>
      </c>
      <c r="F1313" s="473" t="s">
        <v>2769</v>
      </c>
      <c r="G1313" s="470">
        <v>46752</v>
      </c>
      <c r="H1313" s="473" t="s">
        <v>3215</v>
      </c>
      <c r="I1313" s="471">
        <v>2</v>
      </c>
      <c r="J1313" s="478" t="s">
        <v>3249</v>
      </c>
      <c r="K1313" s="477" t="s">
        <v>1072</v>
      </c>
      <c r="L1313" s="474"/>
      <c r="M1313" s="70" t="str">
        <f t="shared" si="106"/>
        <v>INT-0037-26</v>
      </c>
      <c r="N1313" s="475"/>
      <c r="O1313" s="476"/>
    </row>
    <row r="1314" spans="1:15" ht="25.5" x14ac:dyDescent="0.25">
      <c r="A1314" s="462">
        <v>46125</v>
      </c>
      <c r="B1314" s="463" t="s">
        <v>3208</v>
      </c>
      <c r="C1314" s="464" t="s">
        <v>1066</v>
      </c>
      <c r="D1314" s="471" t="s">
        <v>44</v>
      </c>
      <c r="E1314" s="472" t="s">
        <v>45</v>
      </c>
      <c r="F1314" s="473" t="s">
        <v>2773</v>
      </c>
      <c r="G1314" s="470">
        <v>46721</v>
      </c>
      <c r="H1314" s="473" t="s">
        <v>3216</v>
      </c>
      <c r="I1314" s="471">
        <v>1</v>
      </c>
      <c r="J1314" s="478" t="s">
        <v>3249</v>
      </c>
      <c r="K1314" s="477" t="s">
        <v>1072</v>
      </c>
      <c r="L1314" s="474"/>
      <c r="M1314" s="70" t="str">
        <f t="shared" si="106"/>
        <v>INT-0037-26</v>
      </c>
      <c r="N1314" s="475"/>
      <c r="O1314" s="476"/>
    </row>
    <row r="1315" spans="1:15" ht="15" x14ac:dyDescent="0.25">
      <c r="A1315" s="462">
        <v>46125</v>
      </c>
      <c r="B1315" s="463" t="s">
        <v>3208</v>
      </c>
      <c r="C1315" s="464" t="s">
        <v>1066</v>
      </c>
      <c r="D1315" s="471" t="s">
        <v>36</v>
      </c>
      <c r="E1315" s="472" t="s">
        <v>37</v>
      </c>
      <c r="F1315" s="473" t="s">
        <v>2758</v>
      </c>
      <c r="G1315" s="470">
        <v>46295</v>
      </c>
      <c r="H1315" s="473" t="s">
        <v>3217</v>
      </c>
      <c r="I1315" s="471">
        <v>1</v>
      </c>
      <c r="J1315" s="478" t="s">
        <v>3249</v>
      </c>
      <c r="K1315" s="477" t="s">
        <v>1072</v>
      </c>
      <c r="L1315" s="474"/>
      <c r="M1315" s="70" t="str">
        <f t="shared" si="106"/>
        <v>INT-0037-26</v>
      </c>
      <c r="N1315" s="475"/>
      <c r="O1315" s="476"/>
    </row>
    <row r="1316" spans="1:15" ht="15" x14ac:dyDescent="0.25">
      <c r="A1316" s="462">
        <v>46125</v>
      </c>
      <c r="B1316" s="463" t="s">
        <v>3208</v>
      </c>
      <c r="C1316" s="464" t="s">
        <v>1066</v>
      </c>
      <c r="D1316" s="471" t="s">
        <v>47</v>
      </c>
      <c r="E1316" s="472" t="s">
        <v>48</v>
      </c>
      <c r="F1316" s="473" t="s">
        <v>812</v>
      </c>
      <c r="G1316" s="470">
        <v>46173</v>
      </c>
      <c r="H1316" s="473" t="s">
        <v>3218</v>
      </c>
      <c r="I1316" s="471">
        <v>4</v>
      </c>
      <c r="J1316" s="478" t="s">
        <v>3249</v>
      </c>
      <c r="K1316" s="477" t="s">
        <v>1072</v>
      </c>
      <c r="L1316" s="474"/>
      <c r="M1316" s="70" t="str">
        <f t="shared" si="106"/>
        <v>INT-0037-26</v>
      </c>
      <c r="N1316" s="475"/>
      <c r="O1316" s="476"/>
    </row>
    <row r="1317" spans="1:15" ht="15" x14ac:dyDescent="0.25">
      <c r="A1317" s="462">
        <v>46125</v>
      </c>
      <c r="B1317" s="463" t="s">
        <v>3208</v>
      </c>
      <c r="C1317" s="464" t="s">
        <v>1066</v>
      </c>
      <c r="D1317" s="471" t="s">
        <v>47</v>
      </c>
      <c r="E1317" s="472" t="s">
        <v>48</v>
      </c>
      <c r="F1317" s="473" t="s">
        <v>1740</v>
      </c>
      <c r="G1317" s="470">
        <v>46173</v>
      </c>
      <c r="H1317" s="473" t="s">
        <v>3219</v>
      </c>
      <c r="I1317" s="471">
        <v>3</v>
      </c>
      <c r="J1317" s="478" t="s">
        <v>3249</v>
      </c>
      <c r="K1317" s="477" t="s">
        <v>1072</v>
      </c>
      <c r="L1317" s="474"/>
      <c r="M1317" s="70" t="str">
        <f t="shared" si="106"/>
        <v>INT-0037-26</v>
      </c>
      <c r="N1317" s="475"/>
      <c r="O1317" s="476"/>
    </row>
    <row r="1318" spans="1:15" ht="15" x14ac:dyDescent="0.25">
      <c r="A1318" s="462">
        <v>46125</v>
      </c>
      <c r="B1318" s="463" t="s">
        <v>3208</v>
      </c>
      <c r="C1318" s="464" t="s">
        <v>1066</v>
      </c>
      <c r="D1318" s="471" t="s">
        <v>47</v>
      </c>
      <c r="E1318" s="472" t="s">
        <v>48</v>
      </c>
      <c r="F1318" s="473" t="s">
        <v>2764</v>
      </c>
      <c r="G1318" s="470">
        <v>46446</v>
      </c>
      <c r="H1318" s="473" t="s">
        <v>3220</v>
      </c>
      <c r="I1318" s="471">
        <v>1</v>
      </c>
      <c r="J1318" s="478" t="s">
        <v>3249</v>
      </c>
      <c r="K1318" s="477" t="s">
        <v>1072</v>
      </c>
      <c r="L1318" s="474"/>
      <c r="M1318" s="70" t="str">
        <f t="shared" si="106"/>
        <v>INT-0037-26</v>
      </c>
      <c r="N1318" s="475"/>
      <c r="O1318" s="476"/>
    </row>
    <row r="1319" spans="1:15" ht="15" x14ac:dyDescent="0.25">
      <c r="A1319" s="462">
        <v>46125</v>
      </c>
      <c r="B1319" s="463" t="s">
        <v>3208</v>
      </c>
      <c r="C1319" s="464" t="s">
        <v>1066</v>
      </c>
      <c r="D1319" s="471" t="s">
        <v>34</v>
      </c>
      <c r="E1319" s="472" t="s">
        <v>35</v>
      </c>
      <c r="F1319" s="473" t="s">
        <v>1758</v>
      </c>
      <c r="G1319" s="470">
        <v>46265</v>
      </c>
      <c r="H1319" s="473" t="s">
        <v>3221</v>
      </c>
      <c r="I1319" s="471">
        <v>37</v>
      </c>
      <c r="J1319" s="478" t="s">
        <v>3249</v>
      </c>
      <c r="K1319" s="477" t="s">
        <v>1072</v>
      </c>
      <c r="L1319" s="474"/>
      <c r="M1319" s="70" t="str">
        <f t="shared" si="106"/>
        <v>INT-0037-26</v>
      </c>
      <c r="N1319" s="475"/>
      <c r="O1319" s="476"/>
    </row>
    <row r="1320" spans="1:15" ht="15" x14ac:dyDescent="0.25">
      <c r="A1320" s="462">
        <v>46125</v>
      </c>
      <c r="B1320" s="463" t="s">
        <v>3208</v>
      </c>
      <c r="C1320" s="464" t="s">
        <v>1066</v>
      </c>
      <c r="D1320" s="471" t="s">
        <v>36</v>
      </c>
      <c r="E1320" s="472" t="s">
        <v>37</v>
      </c>
      <c r="F1320" s="473" t="s">
        <v>2780</v>
      </c>
      <c r="G1320" s="470">
        <v>46356</v>
      </c>
      <c r="H1320" s="473" t="s">
        <v>3222</v>
      </c>
      <c r="I1320" s="471">
        <v>2</v>
      </c>
      <c r="J1320" s="478" t="s">
        <v>3249</v>
      </c>
      <c r="K1320" s="477" t="s">
        <v>1072</v>
      </c>
      <c r="L1320" s="474"/>
      <c r="M1320" s="70" t="str">
        <f t="shared" si="106"/>
        <v>INT-0037-26</v>
      </c>
      <c r="N1320" s="475"/>
      <c r="O1320" s="476"/>
    </row>
    <row r="1321" spans="1:15" ht="15" x14ac:dyDescent="0.25">
      <c r="A1321" s="462">
        <v>46125</v>
      </c>
      <c r="B1321" s="463" t="s">
        <v>3208</v>
      </c>
      <c r="C1321" s="464" t="s">
        <v>1066</v>
      </c>
      <c r="D1321" s="471" t="s">
        <v>34</v>
      </c>
      <c r="E1321" s="472" t="s">
        <v>35</v>
      </c>
      <c r="F1321" s="473" t="s">
        <v>2779</v>
      </c>
      <c r="G1321" s="470">
        <v>46203</v>
      </c>
      <c r="H1321" s="473" t="s">
        <v>3223</v>
      </c>
      <c r="I1321" s="471">
        <v>1</v>
      </c>
      <c r="J1321" s="478" t="s">
        <v>3249</v>
      </c>
      <c r="K1321" s="477" t="s">
        <v>1072</v>
      </c>
      <c r="L1321" s="474"/>
      <c r="M1321" s="70" t="str">
        <f t="shared" si="106"/>
        <v>INT-0037-26</v>
      </c>
      <c r="N1321" s="475"/>
      <c r="O1321" s="476"/>
    </row>
    <row r="1322" spans="1:15" ht="25.5" x14ac:dyDescent="0.25">
      <c r="A1322" s="462">
        <v>46125</v>
      </c>
      <c r="B1322" s="463" t="s">
        <v>3208</v>
      </c>
      <c r="C1322" s="464" t="s">
        <v>1066</v>
      </c>
      <c r="D1322" s="471" t="s">
        <v>44</v>
      </c>
      <c r="E1322" s="472" t="s">
        <v>45</v>
      </c>
      <c r="F1322" s="473" t="s">
        <v>3252</v>
      </c>
      <c r="G1322" s="470">
        <v>46811</v>
      </c>
      <c r="H1322" s="473" t="s">
        <v>3224</v>
      </c>
      <c r="I1322" s="471">
        <v>1</v>
      </c>
      <c r="J1322" s="478" t="s">
        <v>3249</v>
      </c>
      <c r="K1322" s="477" t="s">
        <v>1072</v>
      </c>
      <c r="L1322" s="474"/>
      <c r="M1322" s="70" t="str">
        <f t="shared" si="106"/>
        <v>INT-0037-26</v>
      </c>
      <c r="N1322" s="475"/>
      <c r="O1322" s="476"/>
    </row>
    <row r="1323" spans="1:15" ht="15" x14ac:dyDescent="0.25">
      <c r="A1323" s="462">
        <v>46125</v>
      </c>
      <c r="B1323" s="463" t="s">
        <v>3208</v>
      </c>
      <c r="C1323" s="464" t="s">
        <v>1066</v>
      </c>
      <c r="D1323" s="471" t="s">
        <v>47</v>
      </c>
      <c r="E1323" s="472" t="s">
        <v>48</v>
      </c>
      <c r="F1323" s="473" t="s">
        <v>2892</v>
      </c>
      <c r="G1323" s="470">
        <v>46660</v>
      </c>
      <c r="H1323" s="473" t="s">
        <v>3225</v>
      </c>
      <c r="I1323" s="471">
        <v>1</v>
      </c>
      <c r="J1323" s="478" t="s">
        <v>3249</v>
      </c>
      <c r="K1323" s="477" t="s">
        <v>1072</v>
      </c>
      <c r="L1323" s="474"/>
      <c r="M1323" s="70" t="str">
        <f t="shared" si="106"/>
        <v>INT-0037-26</v>
      </c>
      <c r="N1323" s="475"/>
      <c r="O1323" s="476"/>
    </row>
    <row r="1324" spans="1:15" ht="25.5" x14ac:dyDescent="0.25">
      <c r="A1324" s="462">
        <v>46125</v>
      </c>
      <c r="B1324" s="463" t="s">
        <v>3208</v>
      </c>
      <c r="C1324" s="464" t="s">
        <v>1066</v>
      </c>
      <c r="D1324" s="471" t="s">
        <v>44</v>
      </c>
      <c r="E1324" s="472" t="s">
        <v>45</v>
      </c>
      <c r="F1324" s="473" t="s">
        <v>1179</v>
      </c>
      <c r="G1324" s="470">
        <v>46326</v>
      </c>
      <c r="H1324" s="473" t="s">
        <v>3226</v>
      </c>
      <c r="I1324" s="471">
        <v>1</v>
      </c>
      <c r="J1324" s="478" t="s">
        <v>3249</v>
      </c>
      <c r="K1324" s="477" t="s">
        <v>1072</v>
      </c>
      <c r="L1324" s="474"/>
      <c r="M1324" s="70" t="str">
        <f t="shared" si="106"/>
        <v>INT-0037-26</v>
      </c>
      <c r="N1324" s="475"/>
      <c r="O1324" s="476"/>
    </row>
    <row r="1325" spans="1:15" ht="15" x14ac:dyDescent="0.25">
      <c r="A1325" s="462">
        <v>46125</v>
      </c>
      <c r="B1325" s="463" t="s">
        <v>3208</v>
      </c>
      <c r="C1325" s="464" t="s">
        <v>1066</v>
      </c>
      <c r="D1325" s="471" t="s">
        <v>34</v>
      </c>
      <c r="E1325" s="472" t="s">
        <v>35</v>
      </c>
      <c r="F1325" s="473" t="s">
        <v>2767</v>
      </c>
      <c r="G1325" s="470">
        <v>46295</v>
      </c>
      <c r="H1325" s="473" t="s">
        <v>3227</v>
      </c>
      <c r="I1325" s="471">
        <v>34</v>
      </c>
      <c r="J1325" s="478" t="s">
        <v>3249</v>
      </c>
      <c r="K1325" s="477" t="s">
        <v>1072</v>
      </c>
      <c r="L1325" s="474"/>
      <c r="M1325" s="70" t="str">
        <f t="shared" si="106"/>
        <v>INT-0037-26</v>
      </c>
      <c r="N1325" s="475"/>
      <c r="O1325" s="476"/>
    </row>
    <row r="1326" spans="1:15" ht="15" x14ac:dyDescent="0.25">
      <c r="A1326" s="462">
        <v>46125</v>
      </c>
      <c r="B1326" s="463" t="s">
        <v>3208</v>
      </c>
      <c r="C1326" s="464" t="s">
        <v>1066</v>
      </c>
      <c r="D1326" s="471" t="s">
        <v>36</v>
      </c>
      <c r="E1326" s="472" t="s">
        <v>37</v>
      </c>
      <c r="F1326" s="473" t="s">
        <v>2755</v>
      </c>
      <c r="G1326" s="470">
        <v>46265</v>
      </c>
      <c r="H1326" s="473" t="s">
        <v>3228</v>
      </c>
      <c r="I1326" s="471">
        <v>7</v>
      </c>
      <c r="J1326" s="478" t="s">
        <v>3249</v>
      </c>
      <c r="K1326" s="477" t="s">
        <v>1072</v>
      </c>
      <c r="L1326" s="474"/>
      <c r="M1326" s="70" t="str">
        <f t="shared" si="106"/>
        <v>INT-0037-26</v>
      </c>
      <c r="N1326" s="475"/>
      <c r="O1326" s="476"/>
    </row>
    <row r="1327" spans="1:15" ht="15" x14ac:dyDescent="0.25">
      <c r="A1327" s="462">
        <v>46125</v>
      </c>
      <c r="B1327" s="463" t="s">
        <v>3208</v>
      </c>
      <c r="C1327" s="464" t="s">
        <v>1066</v>
      </c>
      <c r="D1327" s="471" t="s">
        <v>36</v>
      </c>
      <c r="E1327" s="472" t="s">
        <v>37</v>
      </c>
      <c r="F1327" s="473" t="s">
        <v>2756</v>
      </c>
      <c r="G1327" s="470">
        <v>46265</v>
      </c>
      <c r="H1327" s="473" t="s">
        <v>3229</v>
      </c>
      <c r="I1327" s="471">
        <v>12</v>
      </c>
      <c r="J1327" s="478" t="s">
        <v>3249</v>
      </c>
      <c r="K1327" s="477" t="s">
        <v>1072</v>
      </c>
      <c r="L1327" s="474"/>
      <c r="M1327" s="70" t="str">
        <f t="shared" si="106"/>
        <v>INT-0037-26</v>
      </c>
      <c r="N1327" s="475"/>
      <c r="O1327" s="476"/>
    </row>
    <row r="1328" spans="1:15" ht="15" x14ac:dyDescent="0.25">
      <c r="A1328" s="462">
        <v>46125</v>
      </c>
      <c r="B1328" s="463" t="s">
        <v>3208</v>
      </c>
      <c r="C1328" s="464" t="s">
        <v>1066</v>
      </c>
      <c r="D1328" s="471" t="s">
        <v>42</v>
      </c>
      <c r="E1328" s="472" t="s">
        <v>43</v>
      </c>
      <c r="F1328" s="473" t="s">
        <v>2778</v>
      </c>
      <c r="G1328" s="470">
        <v>46446</v>
      </c>
      <c r="H1328" s="473" t="s">
        <v>3230</v>
      </c>
      <c r="I1328" s="471">
        <v>3</v>
      </c>
      <c r="J1328" s="478" t="s">
        <v>3249</v>
      </c>
      <c r="K1328" s="477" t="s">
        <v>1072</v>
      </c>
      <c r="L1328" s="474"/>
      <c r="M1328" s="70" t="str">
        <f t="shared" si="106"/>
        <v>INT-0037-26</v>
      </c>
      <c r="N1328" s="475"/>
      <c r="O1328" s="476"/>
    </row>
    <row r="1329" spans="1:15" ht="15" x14ac:dyDescent="0.25">
      <c r="A1329" s="462">
        <v>46125</v>
      </c>
      <c r="B1329" s="463" t="s">
        <v>3208</v>
      </c>
      <c r="C1329" s="464" t="s">
        <v>1066</v>
      </c>
      <c r="D1329" s="471" t="s">
        <v>42</v>
      </c>
      <c r="E1329" s="472" t="s">
        <v>43</v>
      </c>
      <c r="F1329" s="473" t="s">
        <v>2759</v>
      </c>
      <c r="G1329" s="470">
        <v>46387</v>
      </c>
      <c r="H1329" s="473" t="s">
        <v>3231</v>
      </c>
      <c r="I1329" s="471">
        <v>1</v>
      </c>
      <c r="J1329" s="478" t="s">
        <v>3249</v>
      </c>
      <c r="K1329" s="477" t="s">
        <v>1072</v>
      </c>
      <c r="L1329" s="474"/>
      <c r="M1329" s="70" t="str">
        <f t="shared" si="106"/>
        <v>INT-0037-26</v>
      </c>
      <c r="N1329" s="475"/>
      <c r="O1329" s="476"/>
    </row>
    <row r="1330" spans="1:15" ht="15" x14ac:dyDescent="0.25">
      <c r="A1330" s="462">
        <v>46125</v>
      </c>
      <c r="B1330" s="463" t="s">
        <v>3208</v>
      </c>
      <c r="C1330" s="464" t="s">
        <v>1066</v>
      </c>
      <c r="D1330" s="471" t="s">
        <v>42</v>
      </c>
      <c r="E1330" s="472" t="s">
        <v>43</v>
      </c>
      <c r="F1330" s="473" t="s">
        <v>2893</v>
      </c>
      <c r="G1330" s="470">
        <v>46507</v>
      </c>
      <c r="H1330" s="473" t="s">
        <v>3232</v>
      </c>
      <c r="I1330" s="471">
        <v>1</v>
      </c>
      <c r="J1330" s="478" t="s">
        <v>3249</v>
      </c>
      <c r="K1330" s="477" t="s">
        <v>1072</v>
      </c>
      <c r="L1330" s="474"/>
      <c r="M1330" s="70" t="str">
        <f t="shared" si="106"/>
        <v>INT-0037-26</v>
      </c>
      <c r="N1330" s="475"/>
      <c r="O1330" s="476"/>
    </row>
    <row r="1331" spans="1:15" ht="15" x14ac:dyDescent="0.25">
      <c r="A1331" s="462">
        <v>46125</v>
      </c>
      <c r="B1331" s="463" t="s">
        <v>3208</v>
      </c>
      <c r="C1331" s="464" t="s">
        <v>1066</v>
      </c>
      <c r="D1331" s="471" t="s">
        <v>1292</v>
      </c>
      <c r="E1331" s="472" t="s">
        <v>1293</v>
      </c>
      <c r="F1331" s="473" t="s">
        <v>2890</v>
      </c>
      <c r="G1331" s="470">
        <v>46234</v>
      </c>
      <c r="H1331" s="473" t="s">
        <v>3233</v>
      </c>
      <c r="I1331" s="471">
        <v>3</v>
      </c>
      <c r="J1331" s="478" t="s">
        <v>3249</v>
      </c>
      <c r="K1331" s="477" t="s">
        <v>1072</v>
      </c>
      <c r="L1331" s="474"/>
      <c r="M1331" s="70" t="str">
        <f t="shared" si="106"/>
        <v>INT-0037-26</v>
      </c>
      <c r="N1331" s="475"/>
      <c r="O1331" s="476"/>
    </row>
    <row r="1332" spans="1:15" ht="15" x14ac:dyDescent="0.25">
      <c r="A1332" s="462">
        <v>46125</v>
      </c>
      <c r="B1332" s="463" t="s">
        <v>3208</v>
      </c>
      <c r="C1332" s="464" t="s">
        <v>1066</v>
      </c>
      <c r="D1332" s="471" t="s">
        <v>1292</v>
      </c>
      <c r="E1332" s="472" t="s">
        <v>1293</v>
      </c>
      <c r="F1332" s="473" t="s">
        <v>2691</v>
      </c>
      <c r="G1332" s="470">
        <v>46265</v>
      </c>
      <c r="H1332" s="473" t="s">
        <v>3234</v>
      </c>
      <c r="I1332" s="471">
        <v>32</v>
      </c>
      <c r="J1332" s="478" t="s">
        <v>3249</v>
      </c>
      <c r="K1332" s="477" t="s">
        <v>1072</v>
      </c>
      <c r="L1332" s="474"/>
      <c r="M1332" s="70" t="str">
        <f t="shared" si="106"/>
        <v>INT-0037-26</v>
      </c>
      <c r="N1332" s="475"/>
      <c r="O1332" s="476"/>
    </row>
    <row r="1333" spans="1:15" ht="15" x14ac:dyDescent="0.25">
      <c r="A1333" s="462">
        <v>46125</v>
      </c>
      <c r="B1333" s="463" t="s">
        <v>3208</v>
      </c>
      <c r="C1333" s="464" t="s">
        <v>1066</v>
      </c>
      <c r="D1333" s="471" t="s">
        <v>42</v>
      </c>
      <c r="E1333" s="472" t="s">
        <v>43</v>
      </c>
      <c r="F1333" s="473" t="s">
        <v>2895</v>
      </c>
      <c r="G1333" s="470">
        <v>46477</v>
      </c>
      <c r="H1333" s="473" t="s">
        <v>3235</v>
      </c>
      <c r="I1333" s="471">
        <v>1</v>
      </c>
      <c r="J1333" s="478" t="s">
        <v>3249</v>
      </c>
      <c r="K1333" s="477" t="s">
        <v>1072</v>
      </c>
      <c r="L1333" s="474"/>
      <c r="M1333" s="70" t="str">
        <f t="shared" si="106"/>
        <v>INT-0037-26</v>
      </c>
      <c r="N1333" s="475"/>
      <c r="O1333" s="476"/>
    </row>
    <row r="1334" spans="1:15" ht="15" x14ac:dyDescent="0.25">
      <c r="A1334" s="462">
        <v>46125</v>
      </c>
      <c r="B1334" s="463" t="s">
        <v>3208</v>
      </c>
      <c r="C1334" s="464" t="s">
        <v>1066</v>
      </c>
      <c r="D1334" s="471" t="s">
        <v>34</v>
      </c>
      <c r="E1334" s="472" t="s">
        <v>35</v>
      </c>
      <c r="F1334" s="473" t="s">
        <v>3253</v>
      </c>
      <c r="G1334" s="470">
        <v>46568</v>
      </c>
      <c r="H1334" s="473" t="s">
        <v>3236</v>
      </c>
      <c r="I1334" s="471">
        <v>1</v>
      </c>
      <c r="J1334" s="478" t="s">
        <v>3249</v>
      </c>
      <c r="K1334" s="477" t="s">
        <v>1072</v>
      </c>
      <c r="L1334" s="474"/>
      <c r="M1334" s="70" t="str">
        <f t="shared" si="106"/>
        <v>INT-0037-26</v>
      </c>
      <c r="N1334" s="475"/>
      <c r="O1334" s="476"/>
    </row>
    <row r="1335" spans="1:15" ht="25.5" x14ac:dyDescent="0.25">
      <c r="A1335" s="462">
        <v>46125</v>
      </c>
      <c r="B1335" s="463" t="s">
        <v>3208</v>
      </c>
      <c r="C1335" s="464" t="s">
        <v>1066</v>
      </c>
      <c r="D1335" s="471" t="s">
        <v>44</v>
      </c>
      <c r="E1335" s="472" t="s">
        <v>45</v>
      </c>
      <c r="F1335" s="473" t="s">
        <v>1425</v>
      </c>
      <c r="G1335" s="470">
        <v>46446</v>
      </c>
      <c r="H1335" s="473" t="s">
        <v>3237</v>
      </c>
      <c r="I1335" s="471">
        <v>1</v>
      </c>
      <c r="J1335" s="478" t="s">
        <v>3249</v>
      </c>
      <c r="K1335" s="477" t="s">
        <v>1072</v>
      </c>
      <c r="L1335" s="474"/>
      <c r="M1335" s="70" t="str">
        <f t="shared" si="106"/>
        <v>INT-0037-26</v>
      </c>
      <c r="N1335" s="475"/>
      <c r="O1335" s="476"/>
    </row>
    <row r="1336" spans="1:15" ht="15" x14ac:dyDescent="0.25">
      <c r="A1336" s="462">
        <v>46125</v>
      </c>
      <c r="B1336" s="463" t="s">
        <v>3208</v>
      </c>
      <c r="C1336" s="464" t="s">
        <v>1066</v>
      </c>
      <c r="D1336" s="471" t="s">
        <v>42</v>
      </c>
      <c r="E1336" s="472" t="s">
        <v>43</v>
      </c>
      <c r="F1336" s="473" t="s">
        <v>2775</v>
      </c>
      <c r="G1336" s="470">
        <v>46234</v>
      </c>
      <c r="H1336" s="473" t="s">
        <v>3238</v>
      </c>
      <c r="I1336" s="471">
        <v>1</v>
      </c>
      <c r="J1336" s="478" t="s">
        <v>3249</v>
      </c>
      <c r="K1336" s="477" t="s">
        <v>1072</v>
      </c>
      <c r="L1336" s="474"/>
      <c r="M1336" s="70" t="str">
        <f t="shared" si="106"/>
        <v>INT-0037-26</v>
      </c>
      <c r="N1336" s="475"/>
      <c r="O1336" s="476"/>
    </row>
    <row r="1337" spans="1:15" ht="15" x14ac:dyDescent="0.25">
      <c r="A1337" s="462">
        <v>46125</v>
      </c>
      <c r="B1337" s="463" t="s">
        <v>3208</v>
      </c>
      <c r="C1337" s="464" t="s">
        <v>1066</v>
      </c>
      <c r="D1337" s="471" t="s">
        <v>28</v>
      </c>
      <c r="E1337" s="472" t="s">
        <v>29</v>
      </c>
      <c r="F1337" s="473" t="s">
        <v>2781</v>
      </c>
      <c r="G1337" s="470">
        <v>46234</v>
      </c>
      <c r="H1337" s="473" t="s">
        <v>3239</v>
      </c>
      <c r="I1337" s="471">
        <v>13</v>
      </c>
      <c r="J1337" s="478" t="s">
        <v>3249</v>
      </c>
      <c r="K1337" s="477" t="s">
        <v>1072</v>
      </c>
      <c r="L1337" s="474"/>
      <c r="M1337" s="70" t="str">
        <f t="shared" si="106"/>
        <v>INT-0037-26</v>
      </c>
      <c r="N1337" s="475"/>
      <c r="O1337" s="476"/>
    </row>
    <row r="1338" spans="1:15" ht="15" x14ac:dyDescent="0.25">
      <c r="A1338" s="462">
        <v>46125</v>
      </c>
      <c r="B1338" s="463" t="s">
        <v>3208</v>
      </c>
      <c r="C1338" s="464" t="s">
        <v>1066</v>
      </c>
      <c r="D1338" s="471" t="s">
        <v>42</v>
      </c>
      <c r="E1338" s="472" t="s">
        <v>43</v>
      </c>
      <c r="F1338" s="473" t="s">
        <v>2762</v>
      </c>
      <c r="G1338" s="470">
        <v>46477</v>
      </c>
      <c r="H1338" s="473" t="s">
        <v>3240</v>
      </c>
      <c r="I1338" s="471">
        <v>1</v>
      </c>
      <c r="J1338" s="478" t="s">
        <v>3249</v>
      </c>
      <c r="K1338" s="477" t="s">
        <v>1072</v>
      </c>
      <c r="L1338" s="474"/>
      <c r="M1338" s="70" t="str">
        <f t="shared" si="106"/>
        <v>INT-0037-26</v>
      </c>
      <c r="N1338" s="475"/>
      <c r="O1338" s="476"/>
    </row>
    <row r="1339" spans="1:15" ht="15" x14ac:dyDescent="0.25">
      <c r="A1339" s="462">
        <v>46125</v>
      </c>
      <c r="B1339" s="463" t="s">
        <v>3208</v>
      </c>
      <c r="C1339" s="464" t="s">
        <v>1066</v>
      </c>
      <c r="D1339" s="471" t="s">
        <v>39</v>
      </c>
      <c r="E1339" s="472" t="s">
        <v>40</v>
      </c>
      <c r="F1339" s="473" t="s">
        <v>1393</v>
      </c>
      <c r="G1339" s="470">
        <v>46295</v>
      </c>
      <c r="H1339" s="473" t="s">
        <v>3241</v>
      </c>
      <c r="I1339" s="471">
        <v>3</v>
      </c>
      <c r="J1339" s="478" t="s">
        <v>3249</v>
      </c>
      <c r="K1339" s="477" t="s">
        <v>1072</v>
      </c>
      <c r="L1339" s="474"/>
      <c r="M1339" s="70" t="str">
        <f t="shared" si="106"/>
        <v>INT-0037-26</v>
      </c>
      <c r="N1339" s="475"/>
      <c r="O1339" s="476"/>
    </row>
    <row r="1340" spans="1:15" ht="15" x14ac:dyDescent="0.25">
      <c r="A1340" s="462">
        <v>46125</v>
      </c>
      <c r="B1340" s="463" t="s">
        <v>3208</v>
      </c>
      <c r="C1340" s="464" t="s">
        <v>1066</v>
      </c>
      <c r="D1340" s="471" t="s">
        <v>42</v>
      </c>
      <c r="E1340" s="472" t="s">
        <v>43</v>
      </c>
      <c r="F1340" s="473" t="s">
        <v>1960</v>
      </c>
      <c r="G1340" s="470">
        <v>46234</v>
      </c>
      <c r="H1340" s="473" t="s">
        <v>3242</v>
      </c>
      <c r="I1340" s="471">
        <v>6</v>
      </c>
      <c r="J1340" s="478" t="s">
        <v>3249</v>
      </c>
      <c r="K1340" s="477" t="s">
        <v>1072</v>
      </c>
      <c r="L1340" s="474"/>
      <c r="M1340" s="70" t="str">
        <f t="shared" si="106"/>
        <v>INT-0037-26</v>
      </c>
      <c r="N1340" s="475"/>
      <c r="O1340" s="476"/>
    </row>
    <row r="1341" spans="1:15" ht="15" x14ac:dyDescent="0.25">
      <c r="A1341" s="462">
        <v>46125</v>
      </c>
      <c r="B1341" s="463" t="s">
        <v>3208</v>
      </c>
      <c r="C1341" s="464" t="s">
        <v>1066</v>
      </c>
      <c r="D1341" s="471" t="s">
        <v>34</v>
      </c>
      <c r="E1341" s="472" t="s">
        <v>35</v>
      </c>
      <c r="F1341" s="473" t="s">
        <v>1394</v>
      </c>
      <c r="G1341" s="470">
        <v>46234</v>
      </c>
      <c r="H1341" s="473" t="s">
        <v>3243</v>
      </c>
      <c r="I1341" s="471">
        <v>3</v>
      </c>
      <c r="J1341" s="478" t="s">
        <v>3249</v>
      </c>
      <c r="K1341" s="477" t="s">
        <v>1072</v>
      </c>
      <c r="L1341" s="474"/>
      <c r="M1341" s="70" t="str">
        <f t="shared" si="106"/>
        <v>INT-0037-26</v>
      </c>
      <c r="N1341" s="475"/>
      <c r="O1341" s="476"/>
    </row>
    <row r="1342" spans="1:15" ht="15" x14ac:dyDescent="0.25">
      <c r="A1342" s="462">
        <v>46125</v>
      </c>
      <c r="B1342" s="463" t="s">
        <v>3208</v>
      </c>
      <c r="C1342" s="464" t="s">
        <v>1066</v>
      </c>
      <c r="D1342" s="471" t="s">
        <v>34</v>
      </c>
      <c r="E1342" s="472" t="s">
        <v>35</v>
      </c>
      <c r="F1342" s="473" t="s">
        <v>1628</v>
      </c>
      <c r="G1342" s="470">
        <v>46295</v>
      </c>
      <c r="H1342" s="473" t="s">
        <v>3244</v>
      </c>
      <c r="I1342" s="471">
        <v>2</v>
      </c>
      <c r="J1342" s="478" t="s">
        <v>3249</v>
      </c>
      <c r="K1342" s="477" t="s">
        <v>1072</v>
      </c>
      <c r="L1342" s="474"/>
      <c r="M1342" s="70" t="str">
        <f t="shared" si="106"/>
        <v>INT-0037-26</v>
      </c>
      <c r="N1342" s="475"/>
      <c r="O1342" s="476"/>
    </row>
    <row r="1343" spans="1:15" ht="15" x14ac:dyDescent="0.25">
      <c r="A1343" s="462">
        <v>46125</v>
      </c>
      <c r="B1343" s="463" t="s">
        <v>3208</v>
      </c>
      <c r="C1343" s="464" t="s">
        <v>1066</v>
      </c>
      <c r="D1343" s="471" t="s">
        <v>34</v>
      </c>
      <c r="E1343" s="472" t="s">
        <v>35</v>
      </c>
      <c r="F1343" s="473" t="s">
        <v>2288</v>
      </c>
      <c r="G1343" s="470">
        <v>46387</v>
      </c>
      <c r="H1343" s="473" t="s">
        <v>3245</v>
      </c>
      <c r="I1343" s="471">
        <v>4</v>
      </c>
      <c r="J1343" s="478" t="s">
        <v>3249</v>
      </c>
      <c r="K1343" s="477" t="s">
        <v>1072</v>
      </c>
      <c r="L1343" s="474"/>
      <c r="M1343" s="70" t="str">
        <f t="shared" si="106"/>
        <v>INT-0037-26</v>
      </c>
      <c r="N1343" s="475"/>
      <c r="O1343" s="476"/>
    </row>
    <row r="1344" spans="1:15" ht="15" x14ac:dyDescent="0.25">
      <c r="A1344" s="462">
        <v>46125</v>
      </c>
      <c r="B1344" s="463" t="s">
        <v>3208</v>
      </c>
      <c r="C1344" s="464" t="s">
        <v>1066</v>
      </c>
      <c r="D1344" s="471" t="s">
        <v>1836</v>
      </c>
      <c r="E1344" s="472" t="s">
        <v>1837</v>
      </c>
      <c r="F1344" s="473" t="s">
        <v>1839</v>
      </c>
      <c r="G1344" s="470">
        <v>46234</v>
      </c>
      <c r="H1344" s="473" t="s">
        <v>3246</v>
      </c>
      <c r="I1344" s="471">
        <v>54</v>
      </c>
      <c r="J1344" s="478" t="s">
        <v>3249</v>
      </c>
      <c r="K1344" s="477" t="s">
        <v>1072</v>
      </c>
      <c r="L1344" s="474"/>
      <c r="M1344" s="70" t="str">
        <f t="shared" si="106"/>
        <v>INT-0037-26</v>
      </c>
      <c r="N1344" s="475"/>
      <c r="O1344" s="476"/>
    </row>
    <row r="1345" spans="1:15" ht="15" x14ac:dyDescent="0.25">
      <c r="A1345" s="462">
        <v>46125</v>
      </c>
      <c r="B1345" s="463" t="s">
        <v>3208</v>
      </c>
      <c r="C1345" s="464" t="s">
        <v>1066</v>
      </c>
      <c r="D1345" s="471" t="s">
        <v>42</v>
      </c>
      <c r="E1345" s="472" t="s">
        <v>43</v>
      </c>
      <c r="F1345" s="473" t="s">
        <v>1753</v>
      </c>
      <c r="G1345" s="470">
        <v>46265</v>
      </c>
      <c r="H1345" s="473" t="s">
        <v>3247</v>
      </c>
      <c r="I1345" s="471">
        <v>44</v>
      </c>
      <c r="J1345" s="478" t="s">
        <v>3249</v>
      </c>
      <c r="K1345" s="477" t="s">
        <v>1072</v>
      </c>
      <c r="L1345" s="474"/>
      <c r="M1345" s="70" t="str">
        <f t="shared" si="106"/>
        <v>INT-0037-26</v>
      </c>
      <c r="N1345" s="475"/>
      <c r="O1345" s="476"/>
    </row>
    <row r="1346" spans="1:15" ht="15" x14ac:dyDescent="0.25">
      <c r="A1346" s="462">
        <v>46125</v>
      </c>
      <c r="B1346" s="463" t="s">
        <v>3208</v>
      </c>
      <c r="C1346" s="464" t="s">
        <v>1066</v>
      </c>
      <c r="D1346" s="471" t="s">
        <v>34</v>
      </c>
      <c r="E1346" s="472" t="s">
        <v>35</v>
      </c>
      <c r="F1346" s="473" t="s">
        <v>2771</v>
      </c>
      <c r="G1346" s="470">
        <v>46264</v>
      </c>
      <c r="H1346" s="473" t="s">
        <v>3248</v>
      </c>
      <c r="I1346" s="471">
        <v>59</v>
      </c>
      <c r="J1346" s="478" t="s">
        <v>3249</v>
      </c>
      <c r="K1346" s="477" t="s">
        <v>1072</v>
      </c>
      <c r="L1346" s="474"/>
      <c r="M1346" s="70" t="str">
        <f t="shared" si="106"/>
        <v>INT-0037-26</v>
      </c>
      <c r="N1346" s="475"/>
      <c r="O1346" s="476"/>
    </row>
    <row r="1347" spans="1:15" ht="15" x14ac:dyDescent="0.25">
      <c r="A1347" s="462">
        <v>46127</v>
      </c>
      <c r="B1347" s="463" t="s">
        <v>3254</v>
      </c>
      <c r="C1347" s="464" t="s">
        <v>1066</v>
      </c>
      <c r="D1347" s="465" t="s">
        <v>3257</v>
      </c>
      <c r="E1347" s="466" t="s">
        <v>3258</v>
      </c>
      <c r="F1347" s="467" t="s">
        <v>3273</v>
      </c>
      <c r="G1347" s="462">
        <v>47016</v>
      </c>
      <c r="H1347" s="467" t="s">
        <v>3377</v>
      </c>
      <c r="I1347" s="465">
        <v>14</v>
      </c>
      <c r="J1347" s="478" t="s">
        <v>3282</v>
      </c>
      <c r="K1347" s="477" t="s">
        <v>1645</v>
      </c>
      <c r="L1347" s="477"/>
      <c r="M1347" s="383" t="str">
        <f>HYPERLINK("P:\7. LONG HAU\7. CAC THEO DOI TRONG QUA TRINH\4. DEVIATION- INCIDENTS\THEO DÕI NỘI BỘ (NGOÀI BBSC)\"&amp;YEAR(A1347)&amp;"\"&amp;B1347,B1347)</f>
        <v>INT-0038-26</v>
      </c>
      <c r="N1347" s="468"/>
      <c r="O1347" s="469"/>
    </row>
    <row r="1348" spans="1:15" ht="15" x14ac:dyDescent="0.25">
      <c r="A1348" s="470">
        <v>46127</v>
      </c>
      <c r="B1348" s="479" t="s">
        <v>3254</v>
      </c>
      <c r="C1348" s="480" t="s">
        <v>1066</v>
      </c>
      <c r="D1348" s="471" t="s">
        <v>3257</v>
      </c>
      <c r="E1348" s="472" t="s">
        <v>3258</v>
      </c>
      <c r="F1348" s="473" t="s">
        <v>3271</v>
      </c>
      <c r="G1348" s="470">
        <v>46881</v>
      </c>
      <c r="H1348" s="473" t="s">
        <v>3378</v>
      </c>
      <c r="I1348" s="471">
        <v>2</v>
      </c>
      <c r="J1348" s="481" t="s">
        <v>3282</v>
      </c>
      <c r="K1348" s="474" t="s">
        <v>1645</v>
      </c>
      <c r="L1348" s="474"/>
      <c r="M1348" s="70" t="str">
        <f t="shared" ref="M1348:M1375" si="107">HYPERLINK("P:\7. LONG HAU\7. CAC THEO DOI TRONG QUA TRINH\4. DEVIATION- INCIDENTS\THEO DÕI NỘI BỘ (NGOÀI BBSC)\"&amp;YEAR(A1348)&amp;"\"&amp;B1348,B1348)</f>
        <v>INT-0038-26</v>
      </c>
      <c r="N1348" s="475"/>
      <c r="O1348" s="476"/>
    </row>
    <row r="1349" spans="1:15" ht="15" x14ac:dyDescent="0.25">
      <c r="A1349" s="470">
        <v>46127</v>
      </c>
      <c r="B1349" s="479" t="s">
        <v>3254</v>
      </c>
      <c r="C1349" s="480" t="s">
        <v>1066</v>
      </c>
      <c r="D1349" s="471" t="s">
        <v>3257</v>
      </c>
      <c r="E1349" s="472" t="s">
        <v>3258</v>
      </c>
      <c r="F1349" s="473" t="s">
        <v>3272</v>
      </c>
      <c r="G1349" s="470">
        <v>46894</v>
      </c>
      <c r="H1349" s="473" t="s">
        <v>3379</v>
      </c>
      <c r="I1349" s="471">
        <v>13</v>
      </c>
      <c r="J1349" s="481" t="s">
        <v>3282</v>
      </c>
      <c r="K1349" s="474" t="s">
        <v>1645</v>
      </c>
      <c r="L1349" s="474"/>
      <c r="M1349" s="70" t="str">
        <f t="shared" si="107"/>
        <v>INT-0038-26</v>
      </c>
      <c r="N1349" s="475"/>
      <c r="O1349" s="476"/>
    </row>
    <row r="1350" spans="1:15" ht="15" x14ac:dyDescent="0.25">
      <c r="A1350" s="470">
        <v>46127</v>
      </c>
      <c r="B1350" s="479" t="s">
        <v>3254</v>
      </c>
      <c r="C1350" s="480" t="s">
        <v>1066</v>
      </c>
      <c r="D1350" s="471" t="s">
        <v>3257</v>
      </c>
      <c r="E1350" s="472" t="s">
        <v>3258</v>
      </c>
      <c r="F1350" s="473" t="s">
        <v>3260</v>
      </c>
      <c r="G1350" s="470">
        <v>47037</v>
      </c>
      <c r="H1350" s="473" t="s">
        <v>3380</v>
      </c>
      <c r="I1350" s="471">
        <v>40</v>
      </c>
      <c r="J1350" s="481" t="s">
        <v>3282</v>
      </c>
      <c r="K1350" s="474" t="s">
        <v>1645</v>
      </c>
      <c r="L1350" s="474"/>
      <c r="M1350" s="70" t="str">
        <f t="shared" si="107"/>
        <v>INT-0038-26</v>
      </c>
      <c r="N1350" s="475"/>
      <c r="O1350" s="476"/>
    </row>
    <row r="1351" spans="1:15" ht="15" x14ac:dyDescent="0.25">
      <c r="A1351" s="470">
        <v>46127</v>
      </c>
      <c r="B1351" s="479" t="s">
        <v>3254</v>
      </c>
      <c r="C1351" s="480" t="s">
        <v>1066</v>
      </c>
      <c r="D1351" s="471" t="s">
        <v>3257</v>
      </c>
      <c r="E1351" s="472" t="s">
        <v>3258</v>
      </c>
      <c r="F1351" s="473" t="s">
        <v>3275</v>
      </c>
      <c r="G1351" s="470">
        <v>46509</v>
      </c>
      <c r="H1351" s="473" t="s">
        <v>3381</v>
      </c>
      <c r="I1351" s="471">
        <v>1</v>
      </c>
      <c r="J1351" s="481" t="s">
        <v>3282</v>
      </c>
      <c r="K1351" s="474" t="s">
        <v>1645</v>
      </c>
      <c r="L1351" s="474"/>
      <c r="M1351" s="70" t="str">
        <f t="shared" si="107"/>
        <v>INT-0038-26</v>
      </c>
      <c r="N1351" s="475"/>
      <c r="O1351" s="476"/>
    </row>
    <row r="1352" spans="1:15" ht="15" x14ac:dyDescent="0.25">
      <c r="A1352" s="470">
        <v>46127</v>
      </c>
      <c r="B1352" s="479" t="s">
        <v>3254</v>
      </c>
      <c r="C1352" s="480" t="s">
        <v>1066</v>
      </c>
      <c r="D1352" s="471" t="s">
        <v>3257</v>
      </c>
      <c r="E1352" s="472" t="s">
        <v>3258</v>
      </c>
      <c r="F1352" s="473" t="s">
        <v>3274</v>
      </c>
      <c r="G1352" s="470">
        <v>47032</v>
      </c>
      <c r="H1352" s="473" t="s">
        <v>3382</v>
      </c>
      <c r="I1352" s="471">
        <v>35</v>
      </c>
      <c r="J1352" s="481" t="s">
        <v>3282</v>
      </c>
      <c r="K1352" s="474" t="s">
        <v>1645</v>
      </c>
      <c r="L1352" s="474"/>
      <c r="M1352" s="70" t="str">
        <f t="shared" si="107"/>
        <v>INT-0038-26</v>
      </c>
      <c r="N1352" s="475"/>
      <c r="O1352" s="476"/>
    </row>
    <row r="1353" spans="1:15" ht="15" x14ac:dyDescent="0.25">
      <c r="A1353" s="470">
        <v>46127</v>
      </c>
      <c r="B1353" s="479" t="s">
        <v>3254</v>
      </c>
      <c r="C1353" s="480" t="s">
        <v>1066</v>
      </c>
      <c r="D1353" s="471" t="s">
        <v>3257</v>
      </c>
      <c r="E1353" s="472" t="s">
        <v>3258</v>
      </c>
      <c r="F1353" s="473" t="s">
        <v>3278</v>
      </c>
      <c r="G1353" s="470">
        <v>46410</v>
      </c>
      <c r="H1353" s="473" t="s">
        <v>3383</v>
      </c>
      <c r="I1353" s="471">
        <v>1</v>
      </c>
      <c r="J1353" s="481" t="s">
        <v>3282</v>
      </c>
      <c r="K1353" s="474" t="s">
        <v>1645</v>
      </c>
      <c r="L1353" s="474"/>
      <c r="M1353" s="70" t="str">
        <f t="shared" si="107"/>
        <v>INT-0038-26</v>
      </c>
      <c r="N1353" s="475"/>
      <c r="O1353" s="476"/>
    </row>
    <row r="1354" spans="1:15" ht="15" x14ac:dyDescent="0.25">
      <c r="A1354" s="470">
        <v>46127</v>
      </c>
      <c r="B1354" s="479" t="s">
        <v>3254</v>
      </c>
      <c r="C1354" s="480" t="s">
        <v>1066</v>
      </c>
      <c r="D1354" s="471" t="s">
        <v>3257</v>
      </c>
      <c r="E1354" s="472" t="s">
        <v>3258</v>
      </c>
      <c r="F1354" s="473" t="s">
        <v>3270</v>
      </c>
      <c r="G1354" s="470">
        <v>46653</v>
      </c>
      <c r="H1354" s="473" t="s">
        <v>3384</v>
      </c>
      <c r="I1354" s="471">
        <v>1</v>
      </c>
      <c r="J1354" s="481" t="s">
        <v>3282</v>
      </c>
      <c r="K1354" s="474" t="s">
        <v>1645</v>
      </c>
      <c r="L1354" s="474"/>
      <c r="M1354" s="70" t="str">
        <f t="shared" si="107"/>
        <v>INT-0038-26</v>
      </c>
      <c r="N1354" s="475"/>
      <c r="O1354" s="476"/>
    </row>
    <row r="1355" spans="1:15" ht="25.5" x14ac:dyDescent="0.25">
      <c r="A1355" s="470">
        <v>46127</v>
      </c>
      <c r="B1355" s="479" t="s">
        <v>3254</v>
      </c>
      <c r="C1355" s="480" t="s">
        <v>1066</v>
      </c>
      <c r="D1355" s="471" t="s">
        <v>3255</v>
      </c>
      <c r="E1355" s="472" t="s">
        <v>3256</v>
      </c>
      <c r="F1355" s="473" t="s">
        <v>1316</v>
      </c>
      <c r="G1355" s="470">
        <v>46769</v>
      </c>
      <c r="H1355" s="473" t="s">
        <v>3385</v>
      </c>
      <c r="I1355" s="471">
        <v>30</v>
      </c>
      <c r="J1355" s="481" t="s">
        <v>3282</v>
      </c>
      <c r="K1355" s="474" t="s">
        <v>1645</v>
      </c>
      <c r="L1355" s="474"/>
      <c r="M1355" s="70" t="str">
        <f t="shared" si="107"/>
        <v>INT-0038-26</v>
      </c>
      <c r="N1355" s="475"/>
      <c r="O1355" s="476"/>
    </row>
    <row r="1356" spans="1:15" ht="25.5" x14ac:dyDescent="0.25">
      <c r="A1356" s="470">
        <v>46127</v>
      </c>
      <c r="B1356" s="479" t="s">
        <v>3254</v>
      </c>
      <c r="C1356" s="480" t="s">
        <v>1066</v>
      </c>
      <c r="D1356" s="471" t="s">
        <v>3255</v>
      </c>
      <c r="E1356" s="472" t="s">
        <v>3256</v>
      </c>
      <c r="F1356" s="473" t="s">
        <v>3276</v>
      </c>
      <c r="G1356" s="470">
        <v>46621</v>
      </c>
      <c r="H1356" s="473" t="s">
        <v>3386</v>
      </c>
      <c r="I1356" s="471">
        <v>16</v>
      </c>
      <c r="J1356" s="481" t="s">
        <v>3282</v>
      </c>
      <c r="K1356" s="474" t="s">
        <v>1645</v>
      </c>
      <c r="L1356" s="474"/>
      <c r="M1356" s="70" t="str">
        <f t="shared" si="107"/>
        <v>INT-0038-26</v>
      </c>
      <c r="N1356" s="475"/>
      <c r="O1356" s="476"/>
    </row>
    <row r="1357" spans="1:15" ht="25.5" x14ac:dyDescent="0.25">
      <c r="A1357" s="470">
        <v>46127</v>
      </c>
      <c r="B1357" s="479" t="s">
        <v>3254</v>
      </c>
      <c r="C1357" s="480" t="s">
        <v>1066</v>
      </c>
      <c r="D1357" s="471" t="s">
        <v>3255</v>
      </c>
      <c r="E1357" s="472" t="s">
        <v>3256</v>
      </c>
      <c r="F1357" s="473" t="s">
        <v>3262</v>
      </c>
      <c r="G1357" s="470">
        <v>46439</v>
      </c>
      <c r="H1357" s="473" t="s">
        <v>3387</v>
      </c>
      <c r="I1357" s="471">
        <v>1</v>
      </c>
      <c r="J1357" s="481" t="s">
        <v>3282</v>
      </c>
      <c r="K1357" s="474" t="s">
        <v>1645</v>
      </c>
      <c r="L1357" s="474"/>
      <c r="M1357" s="70" t="str">
        <f t="shared" si="107"/>
        <v>INT-0038-26</v>
      </c>
      <c r="N1357" s="475"/>
      <c r="O1357" s="476"/>
    </row>
    <row r="1358" spans="1:15" ht="25.5" x14ac:dyDescent="0.25">
      <c r="A1358" s="470">
        <v>46127</v>
      </c>
      <c r="B1358" s="479" t="s">
        <v>3254</v>
      </c>
      <c r="C1358" s="480" t="s">
        <v>1066</v>
      </c>
      <c r="D1358" s="471" t="s">
        <v>3255</v>
      </c>
      <c r="E1358" s="472" t="s">
        <v>3256</v>
      </c>
      <c r="F1358" s="473" t="s">
        <v>3263</v>
      </c>
      <c r="G1358" s="470">
        <v>46355</v>
      </c>
      <c r="H1358" s="473" t="s">
        <v>3388</v>
      </c>
      <c r="I1358" s="471">
        <v>1</v>
      </c>
      <c r="J1358" s="481" t="s">
        <v>3282</v>
      </c>
      <c r="K1358" s="474" t="s">
        <v>1645</v>
      </c>
      <c r="L1358" s="474"/>
      <c r="M1358" s="70" t="str">
        <f t="shared" si="107"/>
        <v>INT-0038-26</v>
      </c>
      <c r="N1358" s="475"/>
      <c r="O1358" s="476"/>
    </row>
    <row r="1359" spans="1:15" ht="25.5" x14ac:dyDescent="0.25">
      <c r="A1359" s="470">
        <v>46127</v>
      </c>
      <c r="B1359" s="479" t="s">
        <v>3254</v>
      </c>
      <c r="C1359" s="480" t="s">
        <v>1066</v>
      </c>
      <c r="D1359" s="471" t="s">
        <v>3255</v>
      </c>
      <c r="E1359" s="472" t="s">
        <v>3256</v>
      </c>
      <c r="F1359" s="473" t="s">
        <v>3259</v>
      </c>
      <c r="G1359" s="470">
        <v>46439</v>
      </c>
      <c r="H1359" s="473" t="s">
        <v>3389</v>
      </c>
      <c r="I1359" s="471">
        <v>8</v>
      </c>
      <c r="J1359" s="481" t="s">
        <v>3282</v>
      </c>
      <c r="K1359" s="474" t="s">
        <v>1645</v>
      </c>
      <c r="L1359" s="474"/>
      <c r="M1359" s="70" t="str">
        <f t="shared" si="107"/>
        <v>INT-0038-26</v>
      </c>
      <c r="N1359" s="475"/>
      <c r="O1359" s="476"/>
    </row>
    <row r="1360" spans="1:15" ht="25.5" x14ac:dyDescent="0.25">
      <c r="A1360" s="470">
        <v>46127</v>
      </c>
      <c r="B1360" s="479" t="s">
        <v>3254</v>
      </c>
      <c r="C1360" s="480" t="s">
        <v>1066</v>
      </c>
      <c r="D1360" s="471" t="s">
        <v>3255</v>
      </c>
      <c r="E1360" s="472" t="s">
        <v>3256</v>
      </c>
      <c r="F1360" s="473" t="s">
        <v>2516</v>
      </c>
      <c r="G1360" s="470">
        <v>46490</v>
      </c>
      <c r="H1360" s="473" t="s">
        <v>3390</v>
      </c>
      <c r="I1360" s="471">
        <v>2</v>
      </c>
      <c r="J1360" s="481" t="s">
        <v>3282</v>
      </c>
      <c r="K1360" s="474" t="s">
        <v>1645</v>
      </c>
      <c r="L1360" s="474"/>
      <c r="M1360" s="70" t="str">
        <f t="shared" si="107"/>
        <v>INT-0038-26</v>
      </c>
      <c r="N1360" s="475"/>
      <c r="O1360" s="476"/>
    </row>
    <row r="1361" spans="1:15" ht="25.5" x14ac:dyDescent="0.25">
      <c r="A1361" s="470">
        <v>46127</v>
      </c>
      <c r="B1361" s="479" t="s">
        <v>3254</v>
      </c>
      <c r="C1361" s="480" t="s">
        <v>1066</v>
      </c>
      <c r="D1361" s="471" t="s">
        <v>3255</v>
      </c>
      <c r="E1361" s="472" t="s">
        <v>3256</v>
      </c>
      <c r="F1361" s="473" t="s">
        <v>2445</v>
      </c>
      <c r="G1361" s="470">
        <v>46987</v>
      </c>
      <c r="H1361" s="473" t="s">
        <v>3391</v>
      </c>
      <c r="I1361" s="471">
        <v>428</v>
      </c>
      <c r="J1361" s="481" t="s">
        <v>3282</v>
      </c>
      <c r="K1361" s="474" t="s">
        <v>1645</v>
      </c>
      <c r="L1361" s="474"/>
      <c r="M1361" s="70" t="str">
        <f t="shared" si="107"/>
        <v>INT-0038-26</v>
      </c>
      <c r="N1361" s="475"/>
      <c r="O1361" s="476"/>
    </row>
    <row r="1362" spans="1:15" ht="25.5" x14ac:dyDescent="0.25">
      <c r="A1362" s="470">
        <v>46127</v>
      </c>
      <c r="B1362" s="479" t="s">
        <v>3254</v>
      </c>
      <c r="C1362" s="480" t="s">
        <v>1066</v>
      </c>
      <c r="D1362" s="471" t="s">
        <v>3255</v>
      </c>
      <c r="E1362" s="472" t="s">
        <v>3256</v>
      </c>
      <c r="F1362" s="473" t="s">
        <v>2447</v>
      </c>
      <c r="G1362" s="470">
        <v>46943</v>
      </c>
      <c r="H1362" s="473" t="s">
        <v>3392</v>
      </c>
      <c r="I1362" s="471">
        <v>146</v>
      </c>
      <c r="J1362" s="481" t="s">
        <v>3282</v>
      </c>
      <c r="K1362" s="474" t="s">
        <v>1645</v>
      </c>
      <c r="L1362" s="474"/>
      <c r="M1362" s="70" t="str">
        <f t="shared" si="107"/>
        <v>INT-0038-26</v>
      </c>
      <c r="N1362" s="475"/>
      <c r="O1362" s="476"/>
    </row>
    <row r="1363" spans="1:15" ht="25.5" x14ac:dyDescent="0.25">
      <c r="A1363" s="470">
        <v>46127</v>
      </c>
      <c r="B1363" s="479" t="s">
        <v>3254</v>
      </c>
      <c r="C1363" s="480" t="s">
        <v>1066</v>
      </c>
      <c r="D1363" s="471" t="s">
        <v>3255</v>
      </c>
      <c r="E1363" s="472" t="s">
        <v>3256</v>
      </c>
      <c r="F1363" s="473" t="s">
        <v>3279</v>
      </c>
      <c r="G1363" s="470">
        <v>46845</v>
      </c>
      <c r="H1363" s="473" t="s">
        <v>3393</v>
      </c>
      <c r="I1363" s="471">
        <v>82</v>
      </c>
      <c r="J1363" s="481" t="s">
        <v>3282</v>
      </c>
      <c r="K1363" s="474" t="s">
        <v>1645</v>
      </c>
      <c r="L1363" s="474"/>
      <c r="M1363" s="70" t="str">
        <f t="shared" si="107"/>
        <v>INT-0038-26</v>
      </c>
      <c r="N1363" s="475"/>
      <c r="O1363" s="476"/>
    </row>
    <row r="1364" spans="1:15" ht="25.5" x14ac:dyDescent="0.25">
      <c r="A1364" s="470">
        <v>46127</v>
      </c>
      <c r="B1364" s="479" t="s">
        <v>3254</v>
      </c>
      <c r="C1364" s="480" t="s">
        <v>1066</v>
      </c>
      <c r="D1364" s="471" t="s">
        <v>3255</v>
      </c>
      <c r="E1364" s="472" t="s">
        <v>3256</v>
      </c>
      <c r="F1364" s="473" t="s">
        <v>3280</v>
      </c>
      <c r="G1364" s="470">
        <v>46823</v>
      </c>
      <c r="H1364" s="473" t="s">
        <v>3394</v>
      </c>
      <c r="I1364" s="471">
        <v>10</v>
      </c>
      <c r="J1364" s="481" t="s">
        <v>3282</v>
      </c>
      <c r="K1364" s="474" t="s">
        <v>1645</v>
      </c>
      <c r="L1364" s="474"/>
      <c r="M1364" s="70" t="str">
        <f t="shared" si="107"/>
        <v>INT-0038-26</v>
      </c>
      <c r="N1364" s="475"/>
      <c r="O1364" s="476"/>
    </row>
    <row r="1365" spans="1:15" ht="25.5" x14ac:dyDescent="0.25">
      <c r="A1365" s="470">
        <v>46127</v>
      </c>
      <c r="B1365" s="479" t="s">
        <v>3254</v>
      </c>
      <c r="C1365" s="480" t="s">
        <v>1066</v>
      </c>
      <c r="D1365" s="471" t="s">
        <v>3255</v>
      </c>
      <c r="E1365" s="472" t="s">
        <v>3256</v>
      </c>
      <c r="F1365" s="473" t="s">
        <v>3277</v>
      </c>
      <c r="G1365" s="470">
        <v>46572</v>
      </c>
      <c r="H1365" s="473" t="s">
        <v>3395</v>
      </c>
      <c r="I1365" s="471">
        <v>2</v>
      </c>
      <c r="J1365" s="481" t="s">
        <v>3282</v>
      </c>
      <c r="K1365" s="474" t="s">
        <v>1645</v>
      </c>
      <c r="L1365" s="474"/>
      <c r="M1365" s="70" t="str">
        <f t="shared" si="107"/>
        <v>INT-0038-26</v>
      </c>
      <c r="N1365" s="475"/>
      <c r="O1365" s="476"/>
    </row>
    <row r="1366" spans="1:15" ht="25.5" x14ac:dyDescent="0.25">
      <c r="A1366" s="470">
        <v>46127</v>
      </c>
      <c r="B1366" s="479" t="s">
        <v>3254</v>
      </c>
      <c r="C1366" s="480" t="s">
        <v>1066</v>
      </c>
      <c r="D1366" s="471" t="s">
        <v>3255</v>
      </c>
      <c r="E1366" s="472" t="s">
        <v>3256</v>
      </c>
      <c r="F1366" s="473" t="s">
        <v>3261</v>
      </c>
      <c r="G1366" s="470">
        <v>46397</v>
      </c>
      <c r="H1366" s="473" t="s">
        <v>3396</v>
      </c>
      <c r="I1366" s="471">
        <v>1</v>
      </c>
      <c r="J1366" s="481" t="s">
        <v>3282</v>
      </c>
      <c r="K1366" s="474" t="s">
        <v>1645</v>
      </c>
      <c r="L1366" s="474"/>
      <c r="M1366" s="70" t="str">
        <f t="shared" si="107"/>
        <v>INT-0038-26</v>
      </c>
      <c r="N1366" s="475"/>
      <c r="O1366" s="476"/>
    </row>
    <row r="1367" spans="1:15" ht="15" x14ac:dyDescent="0.25">
      <c r="A1367" s="470">
        <v>46127</v>
      </c>
      <c r="B1367" s="479" t="s">
        <v>3254</v>
      </c>
      <c r="C1367" s="480" t="s">
        <v>1066</v>
      </c>
      <c r="D1367" s="471" t="s">
        <v>3257</v>
      </c>
      <c r="E1367" s="472" t="s">
        <v>3258</v>
      </c>
      <c r="F1367" s="473" t="s">
        <v>3269</v>
      </c>
      <c r="G1367" s="470">
        <v>46809</v>
      </c>
      <c r="H1367" s="473" t="s">
        <v>3397</v>
      </c>
      <c r="I1367" s="471">
        <v>1</v>
      </c>
      <c r="J1367" s="481" t="s">
        <v>3282</v>
      </c>
      <c r="K1367" s="474" t="s">
        <v>1645</v>
      </c>
      <c r="L1367" s="474"/>
      <c r="M1367" s="70" t="str">
        <f t="shared" si="107"/>
        <v>INT-0038-26</v>
      </c>
      <c r="N1367" s="475"/>
      <c r="O1367" s="476"/>
    </row>
    <row r="1368" spans="1:15" ht="15" x14ac:dyDescent="0.25">
      <c r="A1368" s="470">
        <v>46127</v>
      </c>
      <c r="B1368" s="479" t="s">
        <v>3254</v>
      </c>
      <c r="C1368" s="480" t="s">
        <v>1066</v>
      </c>
      <c r="D1368" s="471" t="s">
        <v>3257</v>
      </c>
      <c r="E1368" s="472" t="s">
        <v>3258</v>
      </c>
      <c r="F1368" s="473" t="s">
        <v>3265</v>
      </c>
      <c r="G1368" s="470">
        <v>46717</v>
      </c>
      <c r="H1368" s="473" t="s">
        <v>3398</v>
      </c>
      <c r="I1368" s="471">
        <v>3</v>
      </c>
      <c r="J1368" s="481" t="s">
        <v>3282</v>
      </c>
      <c r="K1368" s="474" t="s">
        <v>1645</v>
      </c>
      <c r="L1368" s="474"/>
      <c r="M1368" s="70" t="str">
        <f t="shared" si="107"/>
        <v>INT-0038-26</v>
      </c>
      <c r="N1368" s="475"/>
      <c r="O1368" s="476"/>
    </row>
    <row r="1369" spans="1:15" ht="15" x14ac:dyDescent="0.25">
      <c r="A1369" s="470">
        <v>46127</v>
      </c>
      <c r="B1369" s="479" t="s">
        <v>3254</v>
      </c>
      <c r="C1369" s="480" t="s">
        <v>1066</v>
      </c>
      <c r="D1369" s="471" t="s">
        <v>3257</v>
      </c>
      <c r="E1369" s="472" t="s">
        <v>3258</v>
      </c>
      <c r="F1369" s="473" t="s">
        <v>3281</v>
      </c>
      <c r="G1369" s="470">
        <v>46910</v>
      </c>
      <c r="H1369" s="473" t="s">
        <v>3399</v>
      </c>
      <c r="I1369" s="471">
        <v>6</v>
      </c>
      <c r="J1369" s="481" t="s">
        <v>3282</v>
      </c>
      <c r="K1369" s="474" t="s">
        <v>1645</v>
      </c>
      <c r="L1369" s="474"/>
      <c r="M1369" s="70" t="str">
        <f t="shared" si="107"/>
        <v>INT-0038-26</v>
      </c>
      <c r="N1369" s="475"/>
      <c r="O1369" s="476"/>
    </row>
    <row r="1370" spans="1:15" ht="15" x14ac:dyDescent="0.25">
      <c r="A1370" s="470">
        <v>46127</v>
      </c>
      <c r="B1370" s="479" t="s">
        <v>3254</v>
      </c>
      <c r="C1370" s="480" t="s">
        <v>1066</v>
      </c>
      <c r="D1370" s="471" t="s">
        <v>3257</v>
      </c>
      <c r="E1370" s="472" t="s">
        <v>3258</v>
      </c>
      <c r="F1370" s="473" t="s">
        <v>3267</v>
      </c>
      <c r="G1370" s="470">
        <v>46838</v>
      </c>
      <c r="H1370" s="473" t="s">
        <v>3400</v>
      </c>
      <c r="I1370" s="471">
        <v>4</v>
      </c>
      <c r="J1370" s="481" t="s">
        <v>3282</v>
      </c>
      <c r="K1370" s="474" t="s">
        <v>1645</v>
      </c>
      <c r="L1370" s="474"/>
      <c r="M1370" s="70" t="str">
        <f t="shared" si="107"/>
        <v>INT-0038-26</v>
      </c>
      <c r="N1370" s="475"/>
      <c r="O1370" s="476"/>
    </row>
    <row r="1371" spans="1:15" ht="25.5" x14ac:dyDescent="0.25">
      <c r="A1371" s="470">
        <v>46127</v>
      </c>
      <c r="B1371" s="479" t="s">
        <v>3254</v>
      </c>
      <c r="C1371" s="480" t="s">
        <v>1066</v>
      </c>
      <c r="D1371" s="471" t="s">
        <v>3255</v>
      </c>
      <c r="E1371" s="472" t="s">
        <v>3256</v>
      </c>
      <c r="F1371" s="473" t="s">
        <v>2579</v>
      </c>
      <c r="G1371" s="470">
        <v>46668</v>
      </c>
      <c r="H1371" s="473" t="s">
        <v>3401</v>
      </c>
      <c r="I1371" s="471">
        <v>21</v>
      </c>
      <c r="J1371" s="481" t="s">
        <v>3282</v>
      </c>
      <c r="K1371" s="474" t="s">
        <v>1645</v>
      </c>
      <c r="L1371" s="474"/>
      <c r="M1371" s="70" t="str">
        <f t="shared" si="107"/>
        <v>INT-0038-26</v>
      </c>
      <c r="N1371" s="475"/>
      <c r="O1371" s="476"/>
    </row>
    <row r="1372" spans="1:15" ht="15" x14ac:dyDescent="0.25">
      <c r="A1372" s="470">
        <v>46127</v>
      </c>
      <c r="B1372" s="479" t="s">
        <v>3254</v>
      </c>
      <c r="C1372" s="480" t="s">
        <v>1066</v>
      </c>
      <c r="D1372" s="471" t="s">
        <v>3257</v>
      </c>
      <c r="E1372" s="472" t="s">
        <v>3258</v>
      </c>
      <c r="F1372" s="473" t="s">
        <v>3268</v>
      </c>
      <c r="G1372" s="470">
        <v>46587</v>
      </c>
      <c r="H1372" s="473" t="s">
        <v>3402</v>
      </c>
      <c r="I1372" s="471">
        <v>1</v>
      </c>
      <c r="J1372" s="481" t="s">
        <v>3282</v>
      </c>
      <c r="K1372" s="474" t="s">
        <v>1645</v>
      </c>
      <c r="L1372" s="474"/>
      <c r="M1372" s="70" t="str">
        <f t="shared" si="107"/>
        <v>INT-0038-26</v>
      </c>
      <c r="N1372" s="475"/>
      <c r="O1372" s="476"/>
    </row>
    <row r="1373" spans="1:15" ht="15" x14ac:dyDescent="0.25">
      <c r="A1373" s="470">
        <v>46127</v>
      </c>
      <c r="B1373" s="479" t="s">
        <v>3254</v>
      </c>
      <c r="C1373" s="480" t="s">
        <v>1066</v>
      </c>
      <c r="D1373" s="471" t="s">
        <v>3257</v>
      </c>
      <c r="E1373" s="472" t="s">
        <v>3258</v>
      </c>
      <c r="F1373" s="473" t="s">
        <v>2450</v>
      </c>
      <c r="G1373" s="470">
        <v>46941</v>
      </c>
      <c r="H1373" s="473" t="s">
        <v>3403</v>
      </c>
      <c r="I1373" s="471">
        <v>5</v>
      </c>
      <c r="J1373" s="481" t="s">
        <v>3282</v>
      </c>
      <c r="K1373" s="474" t="s">
        <v>1645</v>
      </c>
      <c r="L1373" s="474"/>
      <c r="M1373" s="70" t="str">
        <f t="shared" si="107"/>
        <v>INT-0038-26</v>
      </c>
      <c r="N1373" s="475"/>
      <c r="O1373" s="476"/>
    </row>
    <row r="1374" spans="1:15" ht="15" x14ac:dyDescent="0.25">
      <c r="A1374" s="470">
        <v>46127</v>
      </c>
      <c r="B1374" s="479" t="s">
        <v>3254</v>
      </c>
      <c r="C1374" s="480" t="s">
        <v>1066</v>
      </c>
      <c r="D1374" s="471" t="s">
        <v>3257</v>
      </c>
      <c r="E1374" s="472" t="s">
        <v>3258</v>
      </c>
      <c r="F1374" s="473" t="s">
        <v>3266</v>
      </c>
      <c r="G1374" s="470">
        <v>46822</v>
      </c>
      <c r="H1374" s="473" t="s">
        <v>3404</v>
      </c>
      <c r="I1374" s="471">
        <v>1</v>
      </c>
      <c r="J1374" s="481" t="s">
        <v>3282</v>
      </c>
      <c r="K1374" s="474" t="s">
        <v>1645</v>
      </c>
      <c r="L1374" s="474"/>
      <c r="M1374" s="70" t="str">
        <f t="shared" si="107"/>
        <v>INT-0038-26</v>
      </c>
      <c r="N1374" s="475"/>
      <c r="O1374" s="476"/>
    </row>
    <row r="1375" spans="1:15" ht="15" x14ac:dyDescent="0.25">
      <c r="A1375" s="470">
        <v>46127</v>
      </c>
      <c r="B1375" s="479" t="s">
        <v>3254</v>
      </c>
      <c r="C1375" s="480" t="s">
        <v>1066</v>
      </c>
      <c r="D1375" s="471" t="s">
        <v>3257</v>
      </c>
      <c r="E1375" s="472" t="s">
        <v>3258</v>
      </c>
      <c r="F1375" s="473" t="s">
        <v>3264</v>
      </c>
      <c r="G1375" s="470">
        <v>46658</v>
      </c>
      <c r="H1375" s="473" t="s">
        <v>3405</v>
      </c>
      <c r="I1375" s="471">
        <v>1</v>
      </c>
      <c r="J1375" s="481" t="s">
        <v>3282</v>
      </c>
      <c r="K1375" s="474" t="s">
        <v>1645</v>
      </c>
      <c r="L1375" s="474"/>
      <c r="M1375" s="70" t="str">
        <f t="shared" si="107"/>
        <v>INT-0038-26</v>
      </c>
      <c r="N1375" s="475"/>
      <c r="O1375" s="476"/>
    </row>
    <row r="1376" spans="1:15" ht="15" x14ac:dyDescent="0.25">
      <c r="A1376" s="470">
        <v>46129</v>
      </c>
      <c r="B1376" s="479" t="s">
        <v>3365</v>
      </c>
      <c r="C1376" s="480" t="s">
        <v>1066</v>
      </c>
      <c r="D1376" s="471" t="s">
        <v>414</v>
      </c>
      <c r="E1376" s="472" t="s">
        <v>415</v>
      </c>
      <c r="F1376" s="473" t="s">
        <v>3348</v>
      </c>
      <c r="G1376" s="470">
        <v>46812</v>
      </c>
      <c r="H1376" s="473" t="s">
        <v>3283</v>
      </c>
      <c r="I1376" s="471">
        <v>3</v>
      </c>
      <c r="J1376" s="481" t="s">
        <v>3364</v>
      </c>
      <c r="K1376" s="474" t="s">
        <v>1072</v>
      </c>
      <c r="L1376" s="474"/>
      <c r="M1376" s="70" t="str">
        <f t="shared" ref="M1376:M1407" si="108">HYPERLINK("P:\7. LONG HAU\7. CAC THEO DOI TRONG QUA TRINH\4. DEVIATION- INCIDENTS\THEO DÕI NỘI BỘ (NGOÀI BBSC)\"&amp;YEAR(A1376)&amp;"\"&amp;B1376,B1376)</f>
        <v>INT-0039-26</v>
      </c>
      <c r="N1376" s="475"/>
      <c r="O1376" s="476"/>
    </row>
    <row r="1377" spans="1:15" ht="15" x14ac:dyDescent="0.25">
      <c r="A1377" s="470">
        <v>46129</v>
      </c>
      <c r="B1377" s="479" t="s">
        <v>3365</v>
      </c>
      <c r="C1377" s="480" t="s">
        <v>1066</v>
      </c>
      <c r="D1377" s="471" t="s">
        <v>414</v>
      </c>
      <c r="E1377" s="472" t="s">
        <v>415</v>
      </c>
      <c r="F1377" s="473" t="s">
        <v>3349</v>
      </c>
      <c r="G1377" s="470">
        <v>46812</v>
      </c>
      <c r="H1377" s="473" t="s">
        <v>3284</v>
      </c>
      <c r="I1377" s="471">
        <v>13</v>
      </c>
      <c r="J1377" s="481" t="s">
        <v>3364</v>
      </c>
      <c r="K1377" s="474" t="s">
        <v>1072</v>
      </c>
      <c r="L1377" s="474"/>
      <c r="M1377" s="70" t="str">
        <f t="shared" si="108"/>
        <v>INT-0039-26</v>
      </c>
      <c r="N1377" s="475"/>
      <c r="O1377" s="476"/>
    </row>
    <row r="1378" spans="1:15" ht="15" x14ac:dyDescent="0.25">
      <c r="A1378" s="470">
        <v>46129</v>
      </c>
      <c r="B1378" s="479" t="s">
        <v>3365</v>
      </c>
      <c r="C1378" s="480" t="s">
        <v>1066</v>
      </c>
      <c r="D1378" s="471" t="s">
        <v>414</v>
      </c>
      <c r="E1378" s="472" t="s">
        <v>415</v>
      </c>
      <c r="F1378" s="473" t="s">
        <v>3349</v>
      </c>
      <c r="G1378" s="470">
        <v>46812</v>
      </c>
      <c r="H1378" s="473" t="s">
        <v>3285</v>
      </c>
      <c r="I1378" s="471">
        <v>3</v>
      </c>
      <c r="J1378" s="481" t="s">
        <v>3364</v>
      </c>
      <c r="K1378" s="474" t="s">
        <v>1072</v>
      </c>
      <c r="L1378" s="474"/>
      <c r="M1378" s="70" t="str">
        <f t="shared" si="108"/>
        <v>INT-0039-26</v>
      </c>
      <c r="N1378" s="475"/>
      <c r="O1378" s="476"/>
    </row>
    <row r="1379" spans="1:15" ht="15" x14ac:dyDescent="0.25">
      <c r="A1379" s="470">
        <v>46129</v>
      </c>
      <c r="B1379" s="479" t="s">
        <v>3365</v>
      </c>
      <c r="C1379" s="480" t="s">
        <v>1066</v>
      </c>
      <c r="D1379" s="471" t="s">
        <v>414</v>
      </c>
      <c r="E1379" s="472" t="s">
        <v>415</v>
      </c>
      <c r="F1379" s="473" t="s">
        <v>2102</v>
      </c>
      <c r="G1379" s="470">
        <v>46691</v>
      </c>
      <c r="H1379" s="473" t="s">
        <v>3286</v>
      </c>
      <c r="I1379" s="471">
        <v>19</v>
      </c>
      <c r="J1379" s="481" t="s">
        <v>3364</v>
      </c>
      <c r="K1379" s="474" t="s">
        <v>1072</v>
      </c>
      <c r="L1379" s="474"/>
      <c r="M1379" s="70" t="str">
        <f t="shared" si="108"/>
        <v>INT-0039-26</v>
      </c>
      <c r="N1379" s="475"/>
      <c r="O1379" s="476"/>
    </row>
    <row r="1380" spans="1:15" ht="15" x14ac:dyDescent="0.25">
      <c r="A1380" s="470">
        <v>46129</v>
      </c>
      <c r="B1380" s="479" t="s">
        <v>3365</v>
      </c>
      <c r="C1380" s="480" t="s">
        <v>1066</v>
      </c>
      <c r="D1380" s="471" t="s">
        <v>414</v>
      </c>
      <c r="E1380" s="472" t="s">
        <v>415</v>
      </c>
      <c r="F1380" s="473" t="s">
        <v>2102</v>
      </c>
      <c r="G1380" s="470">
        <v>46691</v>
      </c>
      <c r="H1380" s="473" t="s">
        <v>3287</v>
      </c>
      <c r="I1380" s="471">
        <v>12</v>
      </c>
      <c r="J1380" s="481" t="s">
        <v>3364</v>
      </c>
      <c r="K1380" s="474" t="s">
        <v>1072</v>
      </c>
      <c r="L1380" s="474"/>
      <c r="M1380" s="70" t="str">
        <f t="shared" si="108"/>
        <v>INT-0039-26</v>
      </c>
      <c r="N1380" s="475"/>
      <c r="O1380" s="476"/>
    </row>
    <row r="1381" spans="1:15" ht="15" x14ac:dyDescent="0.25">
      <c r="A1381" s="470">
        <v>46129</v>
      </c>
      <c r="B1381" s="479" t="s">
        <v>3365</v>
      </c>
      <c r="C1381" s="480" t="s">
        <v>1066</v>
      </c>
      <c r="D1381" s="471" t="s">
        <v>414</v>
      </c>
      <c r="E1381" s="472" t="s">
        <v>415</v>
      </c>
      <c r="F1381" s="473" t="s">
        <v>2102</v>
      </c>
      <c r="G1381" s="470">
        <v>46691</v>
      </c>
      <c r="H1381" s="473" t="s">
        <v>3288</v>
      </c>
      <c r="I1381" s="471">
        <v>16</v>
      </c>
      <c r="J1381" s="481" t="s">
        <v>3364</v>
      </c>
      <c r="K1381" s="474" t="s">
        <v>1072</v>
      </c>
      <c r="L1381" s="474"/>
      <c r="M1381" s="70" t="str">
        <f t="shared" si="108"/>
        <v>INT-0039-26</v>
      </c>
      <c r="N1381" s="475"/>
      <c r="O1381" s="476"/>
    </row>
    <row r="1382" spans="1:15" ht="15" x14ac:dyDescent="0.25">
      <c r="A1382" s="470">
        <v>46129</v>
      </c>
      <c r="B1382" s="479" t="s">
        <v>3365</v>
      </c>
      <c r="C1382" s="480" t="s">
        <v>1066</v>
      </c>
      <c r="D1382" s="471" t="s">
        <v>414</v>
      </c>
      <c r="E1382" s="472" t="s">
        <v>415</v>
      </c>
      <c r="F1382" s="473" t="s">
        <v>1805</v>
      </c>
      <c r="G1382" s="470">
        <v>46630</v>
      </c>
      <c r="H1382" s="473" t="s">
        <v>3289</v>
      </c>
      <c r="I1382" s="471">
        <v>23</v>
      </c>
      <c r="J1382" s="481" t="s">
        <v>3364</v>
      </c>
      <c r="K1382" s="474" t="s">
        <v>1072</v>
      </c>
      <c r="L1382" s="474"/>
      <c r="M1382" s="70" t="str">
        <f t="shared" si="108"/>
        <v>INT-0039-26</v>
      </c>
      <c r="N1382" s="475"/>
      <c r="O1382" s="476"/>
    </row>
    <row r="1383" spans="1:15" ht="15" x14ac:dyDescent="0.25">
      <c r="A1383" s="470">
        <v>46129</v>
      </c>
      <c r="B1383" s="479" t="s">
        <v>3365</v>
      </c>
      <c r="C1383" s="480" t="s">
        <v>1066</v>
      </c>
      <c r="D1383" s="471" t="s">
        <v>414</v>
      </c>
      <c r="E1383" s="472" t="s">
        <v>415</v>
      </c>
      <c r="F1383" s="473" t="s">
        <v>1805</v>
      </c>
      <c r="G1383" s="470">
        <v>46630</v>
      </c>
      <c r="H1383" s="473" t="s">
        <v>3290</v>
      </c>
      <c r="I1383" s="471">
        <v>1</v>
      </c>
      <c r="J1383" s="481" t="s">
        <v>3364</v>
      </c>
      <c r="K1383" s="474" t="s">
        <v>1072</v>
      </c>
      <c r="L1383" s="474"/>
      <c r="M1383" s="70" t="str">
        <f t="shared" si="108"/>
        <v>INT-0039-26</v>
      </c>
      <c r="N1383" s="475"/>
      <c r="O1383" s="476"/>
    </row>
    <row r="1384" spans="1:15" ht="15" x14ac:dyDescent="0.25">
      <c r="A1384" s="470">
        <v>46129</v>
      </c>
      <c r="B1384" s="479" t="s">
        <v>3365</v>
      </c>
      <c r="C1384" s="480" t="s">
        <v>1066</v>
      </c>
      <c r="D1384" s="471" t="s">
        <v>414</v>
      </c>
      <c r="E1384" s="472" t="s">
        <v>415</v>
      </c>
      <c r="F1384" s="473" t="s">
        <v>1761</v>
      </c>
      <c r="G1384" s="470">
        <v>46356</v>
      </c>
      <c r="H1384" s="473" t="s">
        <v>3291</v>
      </c>
      <c r="I1384" s="471">
        <v>3</v>
      </c>
      <c r="J1384" s="481" t="s">
        <v>3364</v>
      </c>
      <c r="K1384" s="474" t="s">
        <v>1072</v>
      </c>
      <c r="L1384" s="474"/>
      <c r="M1384" s="70" t="str">
        <f t="shared" si="108"/>
        <v>INT-0039-26</v>
      </c>
      <c r="N1384" s="475"/>
      <c r="O1384" s="476"/>
    </row>
    <row r="1385" spans="1:15" ht="15" x14ac:dyDescent="0.25">
      <c r="A1385" s="470">
        <v>46129</v>
      </c>
      <c r="B1385" s="479" t="s">
        <v>3365</v>
      </c>
      <c r="C1385" s="480" t="s">
        <v>1066</v>
      </c>
      <c r="D1385" s="471" t="s">
        <v>1836</v>
      </c>
      <c r="E1385" s="472" t="s">
        <v>1837</v>
      </c>
      <c r="F1385" s="473" t="s">
        <v>3350</v>
      </c>
      <c r="G1385" s="470">
        <v>46599</v>
      </c>
      <c r="H1385" s="473" t="s">
        <v>3292</v>
      </c>
      <c r="I1385" s="471">
        <v>1</v>
      </c>
      <c r="J1385" s="481" t="s">
        <v>3364</v>
      </c>
      <c r="K1385" s="474" t="s">
        <v>1072</v>
      </c>
      <c r="L1385" s="474"/>
      <c r="M1385" s="70" t="str">
        <f t="shared" si="108"/>
        <v>INT-0039-26</v>
      </c>
      <c r="N1385" s="475"/>
      <c r="O1385" s="476"/>
    </row>
    <row r="1386" spans="1:15" ht="15" x14ac:dyDescent="0.25">
      <c r="A1386" s="470">
        <v>46129</v>
      </c>
      <c r="B1386" s="479" t="s">
        <v>3365</v>
      </c>
      <c r="C1386" s="480" t="s">
        <v>1066</v>
      </c>
      <c r="D1386" s="471" t="s">
        <v>1836</v>
      </c>
      <c r="E1386" s="472" t="s">
        <v>1837</v>
      </c>
      <c r="F1386" s="473" t="s">
        <v>3350</v>
      </c>
      <c r="G1386" s="470">
        <v>46599</v>
      </c>
      <c r="H1386" s="473" t="s">
        <v>3293</v>
      </c>
      <c r="I1386" s="471">
        <v>1</v>
      </c>
      <c r="J1386" s="481" t="s">
        <v>3364</v>
      </c>
      <c r="K1386" s="474" t="s">
        <v>1072</v>
      </c>
      <c r="L1386" s="474"/>
      <c r="M1386" s="70" t="str">
        <f t="shared" si="108"/>
        <v>INT-0039-26</v>
      </c>
      <c r="N1386" s="475"/>
      <c r="O1386" s="476"/>
    </row>
    <row r="1387" spans="1:15" ht="15" x14ac:dyDescent="0.25">
      <c r="A1387" s="470">
        <v>46129</v>
      </c>
      <c r="B1387" s="479" t="s">
        <v>3365</v>
      </c>
      <c r="C1387" s="480" t="s">
        <v>1066</v>
      </c>
      <c r="D1387" s="471" t="s">
        <v>1836</v>
      </c>
      <c r="E1387" s="472" t="s">
        <v>1837</v>
      </c>
      <c r="F1387" s="473" t="s">
        <v>3350</v>
      </c>
      <c r="G1387" s="470">
        <v>46599</v>
      </c>
      <c r="H1387" s="473" t="s">
        <v>3294</v>
      </c>
      <c r="I1387" s="471">
        <v>1</v>
      </c>
      <c r="J1387" s="481" t="s">
        <v>3364</v>
      </c>
      <c r="K1387" s="474" t="s">
        <v>1072</v>
      </c>
      <c r="L1387" s="474"/>
      <c r="M1387" s="70" t="str">
        <f t="shared" si="108"/>
        <v>INT-0039-26</v>
      </c>
      <c r="N1387" s="475"/>
      <c r="O1387" s="476"/>
    </row>
    <row r="1388" spans="1:15" ht="15" x14ac:dyDescent="0.25">
      <c r="A1388" s="470">
        <v>46129</v>
      </c>
      <c r="B1388" s="479" t="s">
        <v>3365</v>
      </c>
      <c r="C1388" s="480" t="s">
        <v>1066</v>
      </c>
      <c r="D1388" s="471" t="s">
        <v>968</v>
      </c>
      <c r="E1388" s="472" t="s">
        <v>969</v>
      </c>
      <c r="F1388" s="473" t="s">
        <v>3351</v>
      </c>
      <c r="G1388" s="470">
        <v>46418</v>
      </c>
      <c r="H1388" s="473" t="s">
        <v>3295</v>
      </c>
      <c r="I1388" s="471">
        <v>1</v>
      </c>
      <c r="J1388" s="481" t="s">
        <v>3364</v>
      </c>
      <c r="K1388" s="474" t="s">
        <v>1072</v>
      </c>
      <c r="L1388" s="474"/>
      <c r="M1388" s="70" t="str">
        <f t="shared" si="108"/>
        <v>INT-0039-26</v>
      </c>
      <c r="N1388" s="475"/>
      <c r="O1388" s="476"/>
    </row>
    <row r="1389" spans="1:15" ht="15" x14ac:dyDescent="0.25">
      <c r="A1389" s="470">
        <v>46129</v>
      </c>
      <c r="B1389" s="479" t="s">
        <v>3365</v>
      </c>
      <c r="C1389" s="480" t="s">
        <v>1066</v>
      </c>
      <c r="D1389" s="471" t="s">
        <v>968</v>
      </c>
      <c r="E1389" s="472" t="s">
        <v>969</v>
      </c>
      <c r="F1389" s="473" t="s">
        <v>1755</v>
      </c>
      <c r="G1389" s="470">
        <v>46356</v>
      </c>
      <c r="H1389" s="473" t="s">
        <v>3296</v>
      </c>
      <c r="I1389" s="471">
        <v>1</v>
      </c>
      <c r="J1389" s="481" t="s">
        <v>3364</v>
      </c>
      <c r="K1389" s="474" t="s">
        <v>1072</v>
      </c>
      <c r="L1389" s="474"/>
      <c r="M1389" s="70" t="str">
        <f t="shared" si="108"/>
        <v>INT-0039-26</v>
      </c>
      <c r="N1389" s="475"/>
      <c r="O1389" s="476"/>
    </row>
    <row r="1390" spans="1:15" ht="15" x14ac:dyDescent="0.25">
      <c r="A1390" s="470">
        <v>46129</v>
      </c>
      <c r="B1390" s="479" t="s">
        <v>3365</v>
      </c>
      <c r="C1390" s="480" t="s">
        <v>1066</v>
      </c>
      <c r="D1390" s="471" t="s">
        <v>34</v>
      </c>
      <c r="E1390" s="472" t="s">
        <v>35</v>
      </c>
      <c r="F1390" s="473" t="s">
        <v>3352</v>
      </c>
      <c r="G1390" s="470">
        <v>46599</v>
      </c>
      <c r="H1390" s="473" t="s">
        <v>3297</v>
      </c>
      <c r="I1390" s="471">
        <v>1</v>
      </c>
      <c r="J1390" s="481" t="s">
        <v>3364</v>
      </c>
      <c r="K1390" s="474" t="s">
        <v>1072</v>
      </c>
      <c r="L1390" s="474"/>
      <c r="M1390" s="70" t="str">
        <f t="shared" si="108"/>
        <v>INT-0039-26</v>
      </c>
      <c r="N1390" s="475"/>
      <c r="O1390" s="476"/>
    </row>
    <row r="1391" spans="1:15" ht="15" x14ac:dyDescent="0.25">
      <c r="A1391" s="470">
        <v>46129</v>
      </c>
      <c r="B1391" s="479" t="s">
        <v>3365</v>
      </c>
      <c r="C1391" s="480" t="s">
        <v>1066</v>
      </c>
      <c r="D1391" s="471" t="s">
        <v>34</v>
      </c>
      <c r="E1391" s="472" t="s">
        <v>35</v>
      </c>
      <c r="F1391" s="473" t="s">
        <v>3203</v>
      </c>
      <c r="G1391" s="470">
        <v>46538</v>
      </c>
      <c r="H1391" s="473" t="s">
        <v>3298</v>
      </c>
      <c r="I1391" s="471">
        <v>1</v>
      </c>
      <c r="J1391" s="481" t="s">
        <v>3364</v>
      </c>
      <c r="K1391" s="474" t="s">
        <v>1072</v>
      </c>
      <c r="L1391" s="474"/>
      <c r="M1391" s="70" t="str">
        <f t="shared" si="108"/>
        <v>INT-0039-26</v>
      </c>
      <c r="N1391" s="475"/>
      <c r="O1391" s="476"/>
    </row>
    <row r="1392" spans="1:15" ht="15" x14ac:dyDescent="0.25">
      <c r="A1392" s="470">
        <v>46129</v>
      </c>
      <c r="B1392" s="479" t="s">
        <v>3365</v>
      </c>
      <c r="C1392" s="480" t="s">
        <v>1066</v>
      </c>
      <c r="D1392" s="471" t="s">
        <v>34</v>
      </c>
      <c r="E1392" s="472" t="s">
        <v>35</v>
      </c>
      <c r="F1392" s="473" t="s">
        <v>3203</v>
      </c>
      <c r="G1392" s="470">
        <v>46538</v>
      </c>
      <c r="H1392" s="473" t="s">
        <v>3299</v>
      </c>
      <c r="I1392" s="471">
        <v>2</v>
      </c>
      <c r="J1392" s="481" t="s">
        <v>3364</v>
      </c>
      <c r="K1392" s="474" t="s">
        <v>1072</v>
      </c>
      <c r="L1392" s="474"/>
      <c r="M1392" s="70" t="str">
        <f t="shared" si="108"/>
        <v>INT-0039-26</v>
      </c>
      <c r="N1392" s="475"/>
      <c r="O1392" s="476"/>
    </row>
    <row r="1393" spans="1:15" ht="15" x14ac:dyDescent="0.25">
      <c r="A1393" s="470">
        <v>46129</v>
      </c>
      <c r="B1393" s="479" t="s">
        <v>3365</v>
      </c>
      <c r="C1393" s="480" t="s">
        <v>1066</v>
      </c>
      <c r="D1393" s="471" t="s">
        <v>34</v>
      </c>
      <c r="E1393" s="472" t="s">
        <v>35</v>
      </c>
      <c r="F1393" s="473" t="s">
        <v>3353</v>
      </c>
      <c r="G1393" s="470">
        <v>46477</v>
      </c>
      <c r="H1393" s="473" t="s">
        <v>3300</v>
      </c>
      <c r="I1393" s="471">
        <v>2</v>
      </c>
      <c r="J1393" s="481" t="s">
        <v>3364</v>
      </c>
      <c r="K1393" s="474" t="s">
        <v>1072</v>
      </c>
      <c r="L1393" s="474"/>
      <c r="M1393" s="70" t="str">
        <f t="shared" si="108"/>
        <v>INT-0039-26</v>
      </c>
      <c r="N1393" s="475"/>
      <c r="O1393" s="476"/>
    </row>
    <row r="1394" spans="1:15" ht="15" x14ac:dyDescent="0.25">
      <c r="A1394" s="470">
        <v>46129</v>
      </c>
      <c r="B1394" s="479" t="s">
        <v>3365</v>
      </c>
      <c r="C1394" s="480" t="s">
        <v>1066</v>
      </c>
      <c r="D1394" s="471" t="s">
        <v>34</v>
      </c>
      <c r="E1394" s="472" t="s">
        <v>35</v>
      </c>
      <c r="F1394" s="473" t="s">
        <v>3354</v>
      </c>
      <c r="G1394" s="470">
        <v>46446</v>
      </c>
      <c r="H1394" s="473" t="s">
        <v>3301</v>
      </c>
      <c r="I1394" s="471">
        <v>3</v>
      </c>
      <c r="J1394" s="481" t="s">
        <v>3364</v>
      </c>
      <c r="K1394" s="474" t="s">
        <v>1072</v>
      </c>
      <c r="L1394" s="474"/>
      <c r="M1394" s="70" t="str">
        <f t="shared" si="108"/>
        <v>INT-0039-26</v>
      </c>
      <c r="N1394" s="475"/>
      <c r="O1394" s="476"/>
    </row>
    <row r="1395" spans="1:15" ht="15" x14ac:dyDescent="0.25">
      <c r="A1395" s="470">
        <v>46129</v>
      </c>
      <c r="B1395" s="479" t="s">
        <v>3365</v>
      </c>
      <c r="C1395" s="480" t="s">
        <v>1066</v>
      </c>
      <c r="D1395" s="471" t="s">
        <v>34</v>
      </c>
      <c r="E1395" s="472" t="s">
        <v>35</v>
      </c>
      <c r="F1395" s="473" t="s">
        <v>2288</v>
      </c>
      <c r="G1395" s="470">
        <v>46387</v>
      </c>
      <c r="H1395" s="473" t="s">
        <v>3302</v>
      </c>
      <c r="I1395" s="471">
        <v>4</v>
      </c>
      <c r="J1395" s="481" t="s">
        <v>3364</v>
      </c>
      <c r="K1395" s="474" t="s">
        <v>1072</v>
      </c>
      <c r="L1395" s="474"/>
      <c r="M1395" s="70" t="str">
        <f t="shared" si="108"/>
        <v>INT-0039-26</v>
      </c>
      <c r="N1395" s="475"/>
      <c r="O1395" s="476"/>
    </row>
    <row r="1396" spans="1:15" ht="15" x14ac:dyDescent="0.25">
      <c r="A1396" s="470">
        <v>46129</v>
      </c>
      <c r="B1396" s="479" t="s">
        <v>3365</v>
      </c>
      <c r="C1396" s="480" t="s">
        <v>1066</v>
      </c>
      <c r="D1396" s="471" t="s">
        <v>34</v>
      </c>
      <c r="E1396" s="472" t="s">
        <v>35</v>
      </c>
      <c r="F1396" s="473" t="s">
        <v>2288</v>
      </c>
      <c r="G1396" s="470">
        <v>46387</v>
      </c>
      <c r="H1396" s="473" t="s">
        <v>3303</v>
      </c>
      <c r="I1396" s="471">
        <v>2</v>
      </c>
      <c r="J1396" s="481" t="s">
        <v>3364</v>
      </c>
      <c r="K1396" s="474" t="s">
        <v>1072</v>
      </c>
      <c r="L1396" s="474"/>
      <c r="M1396" s="70" t="str">
        <f t="shared" si="108"/>
        <v>INT-0039-26</v>
      </c>
      <c r="N1396" s="475"/>
      <c r="O1396" s="476"/>
    </row>
    <row r="1397" spans="1:15" ht="15" x14ac:dyDescent="0.25">
      <c r="A1397" s="470">
        <v>46129</v>
      </c>
      <c r="B1397" s="479" t="s">
        <v>3365</v>
      </c>
      <c r="C1397" s="480" t="s">
        <v>1066</v>
      </c>
      <c r="D1397" s="471" t="s">
        <v>34</v>
      </c>
      <c r="E1397" s="472" t="s">
        <v>35</v>
      </c>
      <c r="F1397" s="473" t="s">
        <v>2767</v>
      </c>
      <c r="G1397" s="470">
        <v>46295</v>
      </c>
      <c r="H1397" s="473" t="s">
        <v>3304</v>
      </c>
      <c r="I1397" s="471">
        <v>4</v>
      </c>
      <c r="J1397" s="481" t="s">
        <v>3364</v>
      </c>
      <c r="K1397" s="474" t="s">
        <v>1072</v>
      </c>
      <c r="L1397" s="474"/>
      <c r="M1397" s="70" t="str">
        <f t="shared" si="108"/>
        <v>INT-0039-26</v>
      </c>
      <c r="N1397" s="475"/>
      <c r="O1397" s="476"/>
    </row>
    <row r="1398" spans="1:15" ht="25.5" x14ac:dyDescent="0.25">
      <c r="A1398" s="470">
        <v>46129</v>
      </c>
      <c r="B1398" s="479" t="s">
        <v>3365</v>
      </c>
      <c r="C1398" s="480" t="s">
        <v>1066</v>
      </c>
      <c r="D1398" s="471" t="s">
        <v>44</v>
      </c>
      <c r="E1398" s="472" t="s">
        <v>45</v>
      </c>
      <c r="F1398" s="473" t="s">
        <v>3355</v>
      </c>
      <c r="G1398" s="470">
        <v>46934</v>
      </c>
      <c r="H1398" s="473" t="s">
        <v>3305</v>
      </c>
      <c r="I1398" s="471">
        <v>7</v>
      </c>
      <c r="J1398" s="481" t="s">
        <v>3364</v>
      </c>
      <c r="K1398" s="474" t="s">
        <v>1072</v>
      </c>
      <c r="L1398" s="474"/>
      <c r="M1398" s="70" t="str">
        <f t="shared" si="108"/>
        <v>INT-0039-26</v>
      </c>
      <c r="N1398" s="475"/>
      <c r="O1398" s="476"/>
    </row>
    <row r="1399" spans="1:15" ht="25.5" x14ac:dyDescent="0.25">
      <c r="A1399" s="470">
        <v>46129</v>
      </c>
      <c r="B1399" s="479" t="s">
        <v>3365</v>
      </c>
      <c r="C1399" s="480" t="s">
        <v>1066</v>
      </c>
      <c r="D1399" s="471" t="s">
        <v>44</v>
      </c>
      <c r="E1399" s="472" t="s">
        <v>45</v>
      </c>
      <c r="F1399" s="473" t="s">
        <v>3356</v>
      </c>
      <c r="G1399" s="470">
        <v>46904</v>
      </c>
      <c r="H1399" s="473" t="s">
        <v>3306</v>
      </c>
      <c r="I1399" s="471">
        <v>19</v>
      </c>
      <c r="J1399" s="481" t="s">
        <v>3364</v>
      </c>
      <c r="K1399" s="474" t="s">
        <v>1072</v>
      </c>
      <c r="L1399" s="474"/>
      <c r="M1399" s="70" t="str">
        <f t="shared" si="108"/>
        <v>INT-0039-26</v>
      </c>
      <c r="N1399" s="475"/>
      <c r="O1399" s="476"/>
    </row>
    <row r="1400" spans="1:15" ht="25.5" x14ac:dyDescent="0.25">
      <c r="A1400" s="470">
        <v>46129</v>
      </c>
      <c r="B1400" s="479" t="s">
        <v>3365</v>
      </c>
      <c r="C1400" s="480" t="s">
        <v>1066</v>
      </c>
      <c r="D1400" s="471" t="s">
        <v>44</v>
      </c>
      <c r="E1400" s="472" t="s">
        <v>45</v>
      </c>
      <c r="F1400" s="473" t="s">
        <v>3356</v>
      </c>
      <c r="G1400" s="470">
        <v>46904</v>
      </c>
      <c r="H1400" s="473" t="s">
        <v>3307</v>
      </c>
      <c r="I1400" s="471">
        <v>11</v>
      </c>
      <c r="J1400" s="481" t="s">
        <v>3364</v>
      </c>
      <c r="K1400" s="474" t="s">
        <v>1072</v>
      </c>
      <c r="L1400" s="474"/>
      <c r="M1400" s="70" t="str">
        <f t="shared" si="108"/>
        <v>INT-0039-26</v>
      </c>
      <c r="N1400" s="475"/>
      <c r="O1400" s="476"/>
    </row>
    <row r="1401" spans="1:15" ht="25.5" x14ac:dyDescent="0.25">
      <c r="A1401" s="470">
        <v>46129</v>
      </c>
      <c r="B1401" s="479" t="s">
        <v>3365</v>
      </c>
      <c r="C1401" s="480" t="s">
        <v>1066</v>
      </c>
      <c r="D1401" s="471" t="s">
        <v>44</v>
      </c>
      <c r="E1401" s="472" t="s">
        <v>45</v>
      </c>
      <c r="F1401" s="473" t="s">
        <v>2096</v>
      </c>
      <c r="G1401" s="470">
        <v>46752</v>
      </c>
      <c r="H1401" s="473" t="s">
        <v>3308</v>
      </c>
      <c r="I1401" s="471">
        <v>17</v>
      </c>
      <c r="J1401" s="481" t="s">
        <v>3364</v>
      </c>
      <c r="K1401" s="474" t="s">
        <v>1072</v>
      </c>
      <c r="L1401" s="474"/>
      <c r="M1401" s="70" t="str">
        <f t="shared" si="108"/>
        <v>INT-0039-26</v>
      </c>
      <c r="N1401" s="475"/>
      <c r="O1401" s="476"/>
    </row>
    <row r="1402" spans="1:15" ht="25.5" x14ac:dyDescent="0.25">
      <c r="A1402" s="470">
        <v>46129</v>
      </c>
      <c r="B1402" s="479" t="s">
        <v>3365</v>
      </c>
      <c r="C1402" s="480" t="s">
        <v>1066</v>
      </c>
      <c r="D1402" s="471" t="s">
        <v>44</v>
      </c>
      <c r="E1402" s="472" t="s">
        <v>45</v>
      </c>
      <c r="F1402" s="473" t="s">
        <v>2096</v>
      </c>
      <c r="G1402" s="470">
        <v>46752</v>
      </c>
      <c r="H1402" s="473" t="s">
        <v>3309</v>
      </c>
      <c r="I1402" s="471">
        <v>15</v>
      </c>
      <c r="J1402" s="481" t="s">
        <v>3364</v>
      </c>
      <c r="K1402" s="474" t="s">
        <v>1072</v>
      </c>
      <c r="L1402" s="474"/>
      <c r="M1402" s="70" t="str">
        <f t="shared" si="108"/>
        <v>INT-0039-26</v>
      </c>
      <c r="N1402" s="475"/>
      <c r="O1402" s="476"/>
    </row>
    <row r="1403" spans="1:15" ht="25.5" x14ac:dyDescent="0.25">
      <c r="A1403" s="470">
        <v>46129</v>
      </c>
      <c r="B1403" s="479" t="s">
        <v>3365</v>
      </c>
      <c r="C1403" s="480" t="s">
        <v>1066</v>
      </c>
      <c r="D1403" s="471" t="s">
        <v>44</v>
      </c>
      <c r="E1403" s="472" t="s">
        <v>45</v>
      </c>
      <c r="F1403" s="473" t="s">
        <v>2096</v>
      </c>
      <c r="G1403" s="470">
        <v>46752</v>
      </c>
      <c r="H1403" s="473" t="s">
        <v>3310</v>
      </c>
      <c r="I1403" s="471">
        <v>25</v>
      </c>
      <c r="J1403" s="481" t="s">
        <v>3364</v>
      </c>
      <c r="K1403" s="474" t="s">
        <v>1072</v>
      </c>
      <c r="L1403" s="474"/>
      <c r="M1403" s="70" t="str">
        <f t="shared" si="108"/>
        <v>INT-0039-26</v>
      </c>
      <c r="N1403" s="475"/>
      <c r="O1403" s="476"/>
    </row>
    <row r="1404" spans="1:15" ht="25.5" x14ac:dyDescent="0.25">
      <c r="A1404" s="470">
        <v>46129</v>
      </c>
      <c r="B1404" s="479" t="s">
        <v>3365</v>
      </c>
      <c r="C1404" s="480" t="s">
        <v>1066</v>
      </c>
      <c r="D1404" s="471" t="s">
        <v>44</v>
      </c>
      <c r="E1404" s="472" t="s">
        <v>45</v>
      </c>
      <c r="F1404" s="473" t="s">
        <v>2096</v>
      </c>
      <c r="G1404" s="470">
        <v>46752</v>
      </c>
      <c r="H1404" s="473" t="s">
        <v>3311</v>
      </c>
      <c r="I1404" s="471">
        <v>1</v>
      </c>
      <c r="J1404" s="481" t="s">
        <v>3364</v>
      </c>
      <c r="K1404" s="474" t="s">
        <v>1072</v>
      </c>
      <c r="L1404" s="474"/>
      <c r="M1404" s="70" t="str">
        <f t="shared" si="108"/>
        <v>INT-0039-26</v>
      </c>
      <c r="N1404" s="475"/>
      <c r="O1404" s="476"/>
    </row>
    <row r="1405" spans="1:15" ht="25.5" x14ac:dyDescent="0.25">
      <c r="A1405" s="470">
        <v>46129</v>
      </c>
      <c r="B1405" s="479" t="s">
        <v>3365</v>
      </c>
      <c r="C1405" s="480" t="s">
        <v>1066</v>
      </c>
      <c r="D1405" s="471" t="s">
        <v>44</v>
      </c>
      <c r="E1405" s="472" t="s">
        <v>45</v>
      </c>
      <c r="F1405" s="473" t="s">
        <v>3252</v>
      </c>
      <c r="G1405" s="470">
        <v>46812</v>
      </c>
      <c r="H1405" s="473" t="s">
        <v>3312</v>
      </c>
      <c r="I1405" s="471">
        <v>22</v>
      </c>
      <c r="J1405" s="481" t="s">
        <v>3364</v>
      </c>
      <c r="K1405" s="474" t="s">
        <v>1072</v>
      </c>
      <c r="L1405" s="474"/>
      <c r="M1405" s="70" t="str">
        <f t="shared" si="108"/>
        <v>INT-0039-26</v>
      </c>
      <c r="N1405" s="475"/>
      <c r="O1405" s="476"/>
    </row>
    <row r="1406" spans="1:15" ht="25.5" x14ac:dyDescent="0.25">
      <c r="A1406" s="470">
        <v>46129</v>
      </c>
      <c r="B1406" s="479" t="s">
        <v>3365</v>
      </c>
      <c r="C1406" s="480" t="s">
        <v>1066</v>
      </c>
      <c r="D1406" s="471" t="s">
        <v>44</v>
      </c>
      <c r="E1406" s="472" t="s">
        <v>45</v>
      </c>
      <c r="F1406" s="473" t="s">
        <v>2773</v>
      </c>
      <c r="G1406" s="470">
        <v>46721</v>
      </c>
      <c r="H1406" s="473" t="s">
        <v>3313</v>
      </c>
      <c r="I1406" s="471">
        <v>19</v>
      </c>
      <c r="J1406" s="481" t="s">
        <v>3364</v>
      </c>
      <c r="K1406" s="474" t="s">
        <v>1072</v>
      </c>
      <c r="L1406" s="474"/>
      <c r="M1406" s="70" t="str">
        <f t="shared" si="108"/>
        <v>INT-0039-26</v>
      </c>
      <c r="N1406" s="475"/>
      <c r="O1406" s="476"/>
    </row>
    <row r="1407" spans="1:15" ht="25.5" x14ac:dyDescent="0.25">
      <c r="A1407" s="470">
        <v>46129</v>
      </c>
      <c r="B1407" s="479" t="s">
        <v>3365</v>
      </c>
      <c r="C1407" s="480" t="s">
        <v>1066</v>
      </c>
      <c r="D1407" s="471" t="s">
        <v>44</v>
      </c>
      <c r="E1407" s="472" t="s">
        <v>45</v>
      </c>
      <c r="F1407" s="473" t="s">
        <v>1854</v>
      </c>
      <c r="G1407" s="470">
        <v>46356</v>
      </c>
      <c r="H1407" s="473" t="s">
        <v>3314</v>
      </c>
      <c r="I1407" s="471">
        <v>1</v>
      </c>
      <c r="J1407" s="481" t="s">
        <v>3364</v>
      </c>
      <c r="K1407" s="474" t="s">
        <v>1072</v>
      </c>
      <c r="L1407" s="474"/>
      <c r="M1407" s="70" t="str">
        <f t="shared" si="108"/>
        <v>INT-0039-26</v>
      </c>
      <c r="N1407" s="475"/>
      <c r="O1407" s="476"/>
    </row>
    <row r="1408" spans="1:15" ht="15" x14ac:dyDescent="0.25">
      <c r="A1408" s="470">
        <v>46129</v>
      </c>
      <c r="B1408" s="479" t="s">
        <v>3365</v>
      </c>
      <c r="C1408" s="480" t="s">
        <v>1066</v>
      </c>
      <c r="D1408" s="471" t="s">
        <v>39</v>
      </c>
      <c r="E1408" s="472" t="s">
        <v>40</v>
      </c>
      <c r="F1408" s="473" t="s">
        <v>3357</v>
      </c>
      <c r="G1408" s="470">
        <v>46599</v>
      </c>
      <c r="H1408" s="473" t="s">
        <v>3315</v>
      </c>
      <c r="I1408" s="471">
        <v>3</v>
      </c>
      <c r="J1408" s="481" t="s">
        <v>3364</v>
      </c>
      <c r="K1408" s="474" t="s">
        <v>1072</v>
      </c>
      <c r="L1408" s="474"/>
      <c r="M1408" s="70" t="str">
        <f t="shared" ref="M1408:M1440" si="109">HYPERLINK("P:\7. LONG HAU\7. CAC THEO DOI TRONG QUA TRINH\4. DEVIATION- INCIDENTS\THEO DÕI NỘI BỘ (NGOÀI BBSC)\"&amp;YEAR(A1408)&amp;"\"&amp;B1408,B1408)</f>
        <v>INT-0039-26</v>
      </c>
      <c r="N1408" s="475"/>
      <c r="O1408" s="476"/>
    </row>
    <row r="1409" spans="1:15" ht="15" x14ac:dyDescent="0.25">
      <c r="A1409" s="470">
        <v>46129</v>
      </c>
      <c r="B1409" s="479" t="s">
        <v>3365</v>
      </c>
      <c r="C1409" s="480" t="s">
        <v>1066</v>
      </c>
      <c r="D1409" s="471" t="s">
        <v>39</v>
      </c>
      <c r="E1409" s="472" t="s">
        <v>40</v>
      </c>
      <c r="F1409" s="473" t="s">
        <v>2028</v>
      </c>
      <c r="G1409" s="470">
        <v>46418</v>
      </c>
      <c r="H1409" s="473" t="s">
        <v>3316</v>
      </c>
      <c r="I1409" s="471">
        <v>1</v>
      </c>
      <c r="J1409" s="481" t="s">
        <v>3364</v>
      </c>
      <c r="K1409" s="474" t="s">
        <v>1072</v>
      </c>
      <c r="L1409" s="474"/>
      <c r="M1409" s="70" t="str">
        <f t="shared" si="109"/>
        <v>INT-0039-26</v>
      </c>
      <c r="N1409" s="475"/>
      <c r="O1409" s="476"/>
    </row>
    <row r="1410" spans="1:15" ht="15" x14ac:dyDescent="0.25">
      <c r="A1410" s="470">
        <v>46129</v>
      </c>
      <c r="B1410" s="479" t="s">
        <v>3365</v>
      </c>
      <c r="C1410" s="480" t="s">
        <v>1066</v>
      </c>
      <c r="D1410" s="471" t="s">
        <v>39</v>
      </c>
      <c r="E1410" s="472" t="s">
        <v>40</v>
      </c>
      <c r="F1410" s="473" t="s">
        <v>2028</v>
      </c>
      <c r="G1410" s="470">
        <v>46418</v>
      </c>
      <c r="H1410" s="473" t="s">
        <v>3317</v>
      </c>
      <c r="I1410" s="471">
        <v>1</v>
      </c>
      <c r="J1410" s="481" t="s">
        <v>3364</v>
      </c>
      <c r="K1410" s="474" t="s">
        <v>1072</v>
      </c>
      <c r="L1410" s="474"/>
      <c r="M1410" s="70" t="str">
        <f t="shared" si="109"/>
        <v>INT-0039-26</v>
      </c>
      <c r="N1410" s="475"/>
      <c r="O1410" s="476"/>
    </row>
    <row r="1411" spans="1:15" ht="15" x14ac:dyDescent="0.25">
      <c r="A1411" s="470">
        <v>46129</v>
      </c>
      <c r="B1411" s="479" t="s">
        <v>3365</v>
      </c>
      <c r="C1411" s="480" t="s">
        <v>1066</v>
      </c>
      <c r="D1411" s="471" t="s">
        <v>47</v>
      </c>
      <c r="E1411" s="472" t="s">
        <v>48</v>
      </c>
      <c r="F1411" s="473" t="s">
        <v>2892</v>
      </c>
      <c r="G1411" s="470">
        <v>46660</v>
      </c>
      <c r="H1411" s="473" t="s">
        <v>3318</v>
      </c>
      <c r="I1411" s="471">
        <v>2</v>
      </c>
      <c r="J1411" s="481" t="s">
        <v>3364</v>
      </c>
      <c r="K1411" s="474" t="s">
        <v>1072</v>
      </c>
      <c r="L1411" s="474"/>
      <c r="M1411" s="70" t="str">
        <f t="shared" si="109"/>
        <v>INT-0039-26</v>
      </c>
      <c r="N1411" s="475"/>
      <c r="O1411" s="476"/>
    </row>
    <row r="1412" spans="1:15" ht="15" x14ac:dyDescent="0.25">
      <c r="A1412" s="470">
        <v>46129</v>
      </c>
      <c r="B1412" s="479" t="s">
        <v>3365</v>
      </c>
      <c r="C1412" s="480" t="s">
        <v>1066</v>
      </c>
      <c r="D1412" s="471" t="s">
        <v>47</v>
      </c>
      <c r="E1412" s="472" t="s">
        <v>48</v>
      </c>
      <c r="F1412" s="473" t="s">
        <v>2764</v>
      </c>
      <c r="G1412" s="470">
        <v>46446</v>
      </c>
      <c r="H1412" s="473" t="s">
        <v>3319</v>
      </c>
      <c r="I1412" s="471">
        <v>3</v>
      </c>
      <c r="J1412" s="481" t="s">
        <v>3364</v>
      </c>
      <c r="K1412" s="474" t="s">
        <v>1072</v>
      </c>
      <c r="L1412" s="474"/>
      <c r="M1412" s="70" t="str">
        <f t="shared" si="109"/>
        <v>INT-0039-26</v>
      </c>
      <c r="N1412" s="475"/>
      <c r="O1412" s="476"/>
    </row>
    <row r="1413" spans="1:15" ht="15" x14ac:dyDescent="0.25">
      <c r="A1413" s="470">
        <v>46129</v>
      </c>
      <c r="B1413" s="479" t="s">
        <v>3365</v>
      </c>
      <c r="C1413" s="480" t="s">
        <v>1066</v>
      </c>
      <c r="D1413" s="471" t="s">
        <v>47</v>
      </c>
      <c r="E1413" s="472" t="s">
        <v>48</v>
      </c>
      <c r="F1413" s="473" t="s">
        <v>2764</v>
      </c>
      <c r="G1413" s="470">
        <v>46446</v>
      </c>
      <c r="H1413" s="473" t="s">
        <v>3320</v>
      </c>
      <c r="I1413" s="471">
        <v>2</v>
      </c>
      <c r="J1413" s="481" t="s">
        <v>3364</v>
      </c>
      <c r="K1413" s="474" t="s">
        <v>1072</v>
      </c>
      <c r="L1413" s="474"/>
      <c r="M1413" s="70" t="str">
        <f t="shared" si="109"/>
        <v>INT-0039-26</v>
      </c>
      <c r="N1413" s="475"/>
      <c r="O1413" s="476"/>
    </row>
    <row r="1414" spans="1:15" ht="15" x14ac:dyDescent="0.25">
      <c r="A1414" s="470">
        <v>46129</v>
      </c>
      <c r="B1414" s="479" t="s">
        <v>3365</v>
      </c>
      <c r="C1414" s="480" t="s">
        <v>1066</v>
      </c>
      <c r="D1414" s="471" t="s">
        <v>28</v>
      </c>
      <c r="E1414" s="472" t="s">
        <v>29</v>
      </c>
      <c r="F1414" s="473" t="s">
        <v>3358</v>
      </c>
      <c r="G1414" s="470">
        <v>46783</v>
      </c>
      <c r="H1414" s="473" t="s">
        <v>3321</v>
      </c>
      <c r="I1414" s="471">
        <v>1</v>
      </c>
      <c r="J1414" s="481" t="s">
        <v>3364</v>
      </c>
      <c r="K1414" s="474" t="s">
        <v>1072</v>
      </c>
      <c r="L1414" s="474"/>
      <c r="M1414" s="70" t="str">
        <f t="shared" si="109"/>
        <v>INT-0039-26</v>
      </c>
      <c r="N1414" s="475"/>
      <c r="O1414" s="476"/>
    </row>
    <row r="1415" spans="1:15" ht="15" x14ac:dyDescent="0.25">
      <c r="A1415" s="470">
        <v>46129</v>
      </c>
      <c r="B1415" s="479" t="s">
        <v>3365</v>
      </c>
      <c r="C1415" s="480" t="s">
        <v>1066</v>
      </c>
      <c r="D1415" s="471" t="s">
        <v>1006</v>
      </c>
      <c r="E1415" s="472" t="s">
        <v>1007</v>
      </c>
      <c r="F1415" s="473" t="s">
        <v>3359</v>
      </c>
      <c r="G1415" s="470">
        <v>46660</v>
      </c>
      <c r="H1415" s="473" t="s">
        <v>3322</v>
      </c>
      <c r="I1415" s="471">
        <v>4</v>
      </c>
      <c r="J1415" s="481" t="s">
        <v>3364</v>
      </c>
      <c r="K1415" s="474" t="s">
        <v>1072</v>
      </c>
      <c r="L1415" s="474"/>
      <c r="M1415" s="70" t="str">
        <f t="shared" si="109"/>
        <v>INT-0039-26</v>
      </c>
      <c r="N1415" s="475"/>
      <c r="O1415" s="476"/>
    </row>
    <row r="1416" spans="1:15" ht="15" x14ac:dyDescent="0.25">
      <c r="A1416" s="470">
        <v>46129</v>
      </c>
      <c r="B1416" s="479" t="s">
        <v>3365</v>
      </c>
      <c r="C1416" s="480" t="s">
        <v>1066</v>
      </c>
      <c r="D1416" s="471" t="s">
        <v>31</v>
      </c>
      <c r="E1416" s="472" t="s">
        <v>32</v>
      </c>
      <c r="F1416" s="473" t="s">
        <v>1756</v>
      </c>
      <c r="G1416" s="470">
        <v>46507</v>
      </c>
      <c r="H1416" s="473" t="s">
        <v>3323</v>
      </c>
      <c r="I1416" s="471">
        <v>1</v>
      </c>
      <c r="J1416" s="481" t="s">
        <v>3364</v>
      </c>
      <c r="K1416" s="474" t="s">
        <v>1072</v>
      </c>
      <c r="L1416" s="474"/>
      <c r="M1416" s="70" t="str">
        <f t="shared" si="109"/>
        <v>INT-0039-26</v>
      </c>
      <c r="N1416" s="475"/>
      <c r="O1416" s="476"/>
    </row>
    <row r="1417" spans="1:15" ht="15" x14ac:dyDescent="0.25">
      <c r="A1417" s="470">
        <v>46129</v>
      </c>
      <c r="B1417" s="479" t="s">
        <v>3365</v>
      </c>
      <c r="C1417" s="480" t="s">
        <v>1066</v>
      </c>
      <c r="D1417" s="471" t="s">
        <v>1255</v>
      </c>
      <c r="E1417" s="472" t="s">
        <v>1256</v>
      </c>
      <c r="F1417" s="473" t="s">
        <v>3360</v>
      </c>
      <c r="G1417" s="470">
        <v>47391</v>
      </c>
      <c r="H1417" s="473" t="s">
        <v>3324</v>
      </c>
      <c r="I1417" s="471">
        <v>1</v>
      </c>
      <c r="J1417" s="481" t="s">
        <v>3364</v>
      </c>
      <c r="K1417" s="474" t="s">
        <v>1072</v>
      </c>
      <c r="L1417" s="474"/>
      <c r="M1417" s="70" t="str">
        <f t="shared" si="109"/>
        <v>INT-0039-26</v>
      </c>
      <c r="N1417" s="475"/>
      <c r="O1417" s="476"/>
    </row>
    <row r="1418" spans="1:15" ht="15" x14ac:dyDescent="0.25">
      <c r="A1418" s="470">
        <v>46129</v>
      </c>
      <c r="B1418" s="479" t="s">
        <v>3365</v>
      </c>
      <c r="C1418" s="480" t="s">
        <v>1066</v>
      </c>
      <c r="D1418" s="471" t="s">
        <v>1255</v>
      </c>
      <c r="E1418" s="472" t="s">
        <v>1256</v>
      </c>
      <c r="F1418" s="473" t="s">
        <v>3361</v>
      </c>
      <c r="G1418" s="470">
        <v>47057</v>
      </c>
      <c r="H1418" s="473" t="s">
        <v>3325</v>
      </c>
      <c r="I1418" s="471">
        <v>2</v>
      </c>
      <c r="J1418" s="481" t="s">
        <v>3364</v>
      </c>
      <c r="K1418" s="474" t="s">
        <v>1072</v>
      </c>
      <c r="L1418" s="474"/>
      <c r="M1418" s="70" t="str">
        <f t="shared" si="109"/>
        <v>INT-0039-26</v>
      </c>
      <c r="N1418" s="475"/>
      <c r="O1418" s="476"/>
    </row>
    <row r="1419" spans="1:15" ht="15" x14ac:dyDescent="0.25">
      <c r="A1419" s="470">
        <v>46129</v>
      </c>
      <c r="B1419" s="479" t="s">
        <v>3365</v>
      </c>
      <c r="C1419" s="480" t="s">
        <v>1066</v>
      </c>
      <c r="D1419" s="471" t="s">
        <v>1255</v>
      </c>
      <c r="E1419" s="472" t="s">
        <v>1256</v>
      </c>
      <c r="F1419" s="473" t="s">
        <v>3361</v>
      </c>
      <c r="G1419" s="470">
        <v>47057</v>
      </c>
      <c r="H1419" s="473" t="s">
        <v>3326</v>
      </c>
      <c r="I1419" s="471">
        <v>1</v>
      </c>
      <c r="J1419" s="481" t="s">
        <v>3364</v>
      </c>
      <c r="K1419" s="474" t="s">
        <v>1072</v>
      </c>
      <c r="L1419" s="474"/>
      <c r="M1419" s="70" t="str">
        <f t="shared" si="109"/>
        <v>INT-0039-26</v>
      </c>
      <c r="N1419" s="475"/>
      <c r="O1419" s="476"/>
    </row>
    <row r="1420" spans="1:15" ht="15" x14ac:dyDescent="0.25">
      <c r="A1420" s="470">
        <v>46129</v>
      </c>
      <c r="B1420" s="479" t="s">
        <v>3365</v>
      </c>
      <c r="C1420" s="480" t="s">
        <v>1066</v>
      </c>
      <c r="D1420" s="471" t="s">
        <v>1255</v>
      </c>
      <c r="E1420" s="472" t="s">
        <v>1256</v>
      </c>
      <c r="F1420" s="473" t="s">
        <v>2776</v>
      </c>
      <c r="G1420" s="470">
        <v>47057</v>
      </c>
      <c r="H1420" s="473" t="s">
        <v>3327</v>
      </c>
      <c r="I1420" s="471">
        <v>1</v>
      </c>
      <c r="J1420" s="481" t="s">
        <v>3364</v>
      </c>
      <c r="K1420" s="474" t="s">
        <v>1072</v>
      </c>
      <c r="L1420" s="474"/>
      <c r="M1420" s="70" t="str">
        <f t="shared" si="109"/>
        <v>INT-0039-26</v>
      </c>
      <c r="N1420" s="475"/>
      <c r="O1420" s="476"/>
    </row>
    <row r="1421" spans="1:15" ht="15" x14ac:dyDescent="0.25">
      <c r="A1421" s="470">
        <v>46129</v>
      </c>
      <c r="B1421" s="479" t="s">
        <v>3365</v>
      </c>
      <c r="C1421" s="480" t="s">
        <v>1066</v>
      </c>
      <c r="D1421" s="471" t="s">
        <v>92</v>
      </c>
      <c r="E1421" s="472" t="s">
        <v>93</v>
      </c>
      <c r="F1421" s="473" t="s">
        <v>2896</v>
      </c>
      <c r="G1421" s="470">
        <v>46752</v>
      </c>
      <c r="H1421" s="473" t="s">
        <v>3328</v>
      </c>
      <c r="I1421" s="471">
        <v>3</v>
      </c>
      <c r="J1421" s="481" t="s">
        <v>3364</v>
      </c>
      <c r="K1421" s="474" t="s">
        <v>1072</v>
      </c>
      <c r="L1421" s="474"/>
      <c r="M1421" s="70" t="str">
        <f t="shared" si="109"/>
        <v>INT-0039-26</v>
      </c>
      <c r="N1421" s="475"/>
      <c r="O1421" s="476"/>
    </row>
    <row r="1422" spans="1:15" ht="15" x14ac:dyDescent="0.25">
      <c r="A1422" s="470">
        <v>46129</v>
      </c>
      <c r="B1422" s="479" t="s">
        <v>3365</v>
      </c>
      <c r="C1422" s="480" t="s">
        <v>1066</v>
      </c>
      <c r="D1422" s="471" t="s">
        <v>92</v>
      </c>
      <c r="E1422" s="472" t="s">
        <v>93</v>
      </c>
      <c r="F1422" s="473" t="s">
        <v>2896</v>
      </c>
      <c r="G1422" s="470">
        <v>46752</v>
      </c>
      <c r="H1422" s="473" t="s">
        <v>3329</v>
      </c>
      <c r="I1422" s="471">
        <v>3</v>
      </c>
      <c r="J1422" s="481" t="s">
        <v>3364</v>
      </c>
      <c r="K1422" s="474" t="s">
        <v>1072</v>
      </c>
      <c r="L1422" s="474"/>
      <c r="M1422" s="70" t="str">
        <f t="shared" si="109"/>
        <v>INT-0039-26</v>
      </c>
      <c r="N1422" s="475"/>
      <c r="O1422" s="476"/>
    </row>
    <row r="1423" spans="1:15" ht="15" x14ac:dyDescent="0.25">
      <c r="A1423" s="470">
        <v>46129</v>
      </c>
      <c r="B1423" s="479" t="s">
        <v>3365</v>
      </c>
      <c r="C1423" s="480" t="s">
        <v>1066</v>
      </c>
      <c r="D1423" s="471" t="s">
        <v>92</v>
      </c>
      <c r="E1423" s="472" t="s">
        <v>93</v>
      </c>
      <c r="F1423" s="473" t="s">
        <v>2765</v>
      </c>
      <c r="G1423" s="470">
        <v>46721</v>
      </c>
      <c r="H1423" s="473" t="s">
        <v>3330</v>
      </c>
      <c r="I1423" s="471">
        <v>7</v>
      </c>
      <c r="J1423" s="481" t="s">
        <v>3364</v>
      </c>
      <c r="K1423" s="474" t="s">
        <v>1072</v>
      </c>
      <c r="L1423" s="474"/>
      <c r="M1423" s="70" t="str">
        <f t="shared" si="109"/>
        <v>INT-0039-26</v>
      </c>
      <c r="N1423" s="475"/>
      <c r="O1423" s="476"/>
    </row>
    <row r="1424" spans="1:15" ht="15" x14ac:dyDescent="0.25">
      <c r="A1424" s="470">
        <v>46129</v>
      </c>
      <c r="B1424" s="479" t="s">
        <v>3365</v>
      </c>
      <c r="C1424" s="480" t="s">
        <v>1066</v>
      </c>
      <c r="D1424" s="471" t="s">
        <v>92</v>
      </c>
      <c r="E1424" s="472" t="s">
        <v>93</v>
      </c>
      <c r="F1424" s="473" t="s">
        <v>2765</v>
      </c>
      <c r="G1424" s="470">
        <v>46721</v>
      </c>
      <c r="H1424" s="473" t="s">
        <v>3331</v>
      </c>
      <c r="I1424" s="471">
        <v>4</v>
      </c>
      <c r="J1424" s="481" t="s">
        <v>3364</v>
      </c>
      <c r="K1424" s="474" t="s">
        <v>1072</v>
      </c>
      <c r="L1424" s="474"/>
      <c r="M1424" s="70" t="str">
        <f t="shared" si="109"/>
        <v>INT-0039-26</v>
      </c>
      <c r="N1424" s="475"/>
      <c r="O1424" s="476"/>
    </row>
    <row r="1425" spans="1:15" ht="15" x14ac:dyDescent="0.25">
      <c r="A1425" s="470">
        <v>46129</v>
      </c>
      <c r="B1425" s="479" t="s">
        <v>3365</v>
      </c>
      <c r="C1425" s="480" t="s">
        <v>1066</v>
      </c>
      <c r="D1425" s="471" t="s">
        <v>92</v>
      </c>
      <c r="E1425" s="472" t="s">
        <v>93</v>
      </c>
      <c r="F1425" s="473" t="s">
        <v>2765</v>
      </c>
      <c r="G1425" s="470">
        <v>46721</v>
      </c>
      <c r="H1425" s="473" t="s">
        <v>3332</v>
      </c>
      <c r="I1425" s="471">
        <v>1</v>
      </c>
      <c r="J1425" s="481" t="s">
        <v>3364</v>
      </c>
      <c r="K1425" s="474" t="s">
        <v>1072</v>
      </c>
      <c r="L1425" s="474"/>
      <c r="M1425" s="70" t="str">
        <f t="shared" si="109"/>
        <v>INT-0039-26</v>
      </c>
      <c r="N1425" s="475"/>
      <c r="O1425" s="476"/>
    </row>
    <row r="1426" spans="1:15" ht="15" x14ac:dyDescent="0.25">
      <c r="A1426" s="470">
        <v>46129</v>
      </c>
      <c r="B1426" s="479" t="s">
        <v>3365</v>
      </c>
      <c r="C1426" s="480" t="s">
        <v>1066</v>
      </c>
      <c r="D1426" s="471" t="s">
        <v>92</v>
      </c>
      <c r="E1426" s="472" t="s">
        <v>93</v>
      </c>
      <c r="F1426" s="473" t="s">
        <v>2769</v>
      </c>
      <c r="G1426" s="470">
        <v>46752</v>
      </c>
      <c r="H1426" s="473" t="s">
        <v>3333</v>
      </c>
      <c r="I1426" s="471">
        <v>6</v>
      </c>
      <c r="J1426" s="481" t="s">
        <v>3364</v>
      </c>
      <c r="K1426" s="474" t="s">
        <v>1072</v>
      </c>
      <c r="L1426" s="474"/>
      <c r="M1426" s="70" t="str">
        <f t="shared" si="109"/>
        <v>INT-0039-26</v>
      </c>
      <c r="N1426" s="475"/>
      <c r="O1426" s="476"/>
    </row>
    <row r="1427" spans="1:15" ht="15" x14ac:dyDescent="0.25">
      <c r="A1427" s="470">
        <v>46129</v>
      </c>
      <c r="B1427" s="479" t="s">
        <v>3365</v>
      </c>
      <c r="C1427" s="480" t="s">
        <v>1066</v>
      </c>
      <c r="D1427" s="471" t="s">
        <v>92</v>
      </c>
      <c r="E1427" s="472" t="s">
        <v>93</v>
      </c>
      <c r="F1427" s="473" t="s">
        <v>2766</v>
      </c>
      <c r="G1427" s="470">
        <v>46691</v>
      </c>
      <c r="H1427" s="473" t="s">
        <v>3334</v>
      </c>
      <c r="I1427" s="471">
        <v>3</v>
      </c>
      <c r="J1427" s="481" t="s">
        <v>3364</v>
      </c>
      <c r="K1427" s="474" t="s">
        <v>1072</v>
      </c>
      <c r="L1427" s="474"/>
      <c r="M1427" s="70" t="str">
        <f t="shared" si="109"/>
        <v>INT-0039-26</v>
      </c>
      <c r="N1427" s="475"/>
      <c r="O1427" s="476"/>
    </row>
    <row r="1428" spans="1:15" ht="15" x14ac:dyDescent="0.25">
      <c r="A1428" s="470">
        <v>46129</v>
      </c>
      <c r="B1428" s="479" t="s">
        <v>3365</v>
      </c>
      <c r="C1428" s="480" t="s">
        <v>1066</v>
      </c>
      <c r="D1428" s="471" t="s">
        <v>92</v>
      </c>
      <c r="E1428" s="472" t="s">
        <v>93</v>
      </c>
      <c r="F1428" s="473" t="s">
        <v>1667</v>
      </c>
      <c r="G1428" s="470">
        <v>46599</v>
      </c>
      <c r="H1428" s="473" t="s">
        <v>3335</v>
      </c>
      <c r="I1428" s="471">
        <v>6</v>
      </c>
      <c r="J1428" s="481" t="s">
        <v>3364</v>
      </c>
      <c r="K1428" s="474" t="s">
        <v>1072</v>
      </c>
      <c r="L1428" s="474"/>
      <c r="M1428" s="70" t="str">
        <f t="shared" si="109"/>
        <v>INT-0039-26</v>
      </c>
      <c r="N1428" s="475"/>
      <c r="O1428" s="476"/>
    </row>
    <row r="1429" spans="1:15" ht="15" x14ac:dyDescent="0.25">
      <c r="A1429" s="470">
        <v>46129</v>
      </c>
      <c r="B1429" s="479" t="s">
        <v>3365</v>
      </c>
      <c r="C1429" s="480" t="s">
        <v>1066</v>
      </c>
      <c r="D1429" s="471" t="s">
        <v>36</v>
      </c>
      <c r="E1429" s="472" t="s">
        <v>37</v>
      </c>
      <c r="F1429" s="473" t="s">
        <v>2774</v>
      </c>
      <c r="G1429" s="470">
        <v>46507</v>
      </c>
      <c r="H1429" s="473" t="s">
        <v>3336</v>
      </c>
      <c r="I1429" s="471">
        <v>4</v>
      </c>
      <c r="J1429" s="481" t="s">
        <v>3364</v>
      </c>
      <c r="K1429" s="474" t="s">
        <v>1072</v>
      </c>
      <c r="L1429" s="474"/>
      <c r="M1429" s="70" t="str">
        <f t="shared" si="109"/>
        <v>INT-0039-26</v>
      </c>
      <c r="N1429" s="475"/>
      <c r="O1429" s="476"/>
    </row>
    <row r="1430" spans="1:15" ht="15" x14ac:dyDescent="0.25">
      <c r="A1430" s="470">
        <v>46129</v>
      </c>
      <c r="B1430" s="479" t="s">
        <v>3365</v>
      </c>
      <c r="C1430" s="480" t="s">
        <v>1066</v>
      </c>
      <c r="D1430" s="471" t="s">
        <v>36</v>
      </c>
      <c r="E1430" s="472" t="s">
        <v>37</v>
      </c>
      <c r="F1430" s="473" t="s">
        <v>3362</v>
      </c>
      <c r="G1430" s="470">
        <v>46477</v>
      </c>
      <c r="H1430" s="473" t="s">
        <v>3337</v>
      </c>
      <c r="I1430" s="471">
        <v>1</v>
      </c>
      <c r="J1430" s="481" t="s">
        <v>3364</v>
      </c>
      <c r="K1430" s="474" t="s">
        <v>1072</v>
      </c>
      <c r="L1430" s="474"/>
      <c r="M1430" s="70" t="str">
        <f t="shared" si="109"/>
        <v>INT-0039-26</v>
      </c>
      <c r="N1430" s="475"/>
      <c r="O1430" s="476"/>
    </row>
    <row r="1431" spans="1:15" ht="15" x14ac:dyDescent="0.25">
      <c r="A1431" s="470">
        <v>46129</v>
      </c>
      <c r="B1431" s="479" t="s">
        <v>3365</v>
      </c>
      <c r="C1431" s="480" t="s">
        <v>1066</v>
      </c>
      <c r="D1431" s="471" t="s">
        <v>36</v>
      </c>
      <c r="E1431" s="472" t="s">
        <v>37</v>
      </c>
      <c r="F1431" s="473" t="s">
        <v>3362</v>
      </c>
      <c r="G1431" s="470">
        <v>46477</v>
      </c>
      <c r="H1431" s="473" t="s">
        <v>3338</v>
      </c>
      <c r="I1431" s="471">
        <v>1</v>
      </c>
      <c r="J1431" s="481" t="s">
        <v>3364</v>
      </c>
      <c r="K1431" s="474" t="s">
        <v>1072</v>
      </c>
      <c r="L1431" s="474"/>
      <c r="M1431" s="70" t="str">
        <f t="shared" si="109"/>
        <v>INT-0039-26</v>
      </c>
      <c r="N1431" s="475"/>
      <c r="O1431" s="476"/>
    </row>
    <row r="1432" spans="1:15" ht="15" x14ac:dyDescent="0.25">
      <c r="A1432" s="470">
        <v>46129</v>
      </c>
      <c r="B1432" s="479" t="s">
        <v>3365</v>
      </c>
      <c r="C1432" s="480" t="s">
        <v>1066</v>
      </c>
      <c r="D1432" s="471" t="s">
        <v>36</v>
      </c>
      <c r="E1432" s="472" t="s">
        <v>37</v>
      </c>
      <c r="F1432" s="473" t="s">
        <v>2897</v>
      </c>
      <c r="G1432" s="470">
        <v>46599</v>
      </c>
      <c r="H1432" s="473" t="s">
        <v>3339</v>
      </c>
      <c r="I1432" s="471">
        <v>4</v>
      </c>
      <c r="J1432" s="481" t="s">
        <v>3364</v>
      </c>
      <c r="K1432" s="474" t="s">
        <v>1072</v>
      </c>
      <c r="L1432" s="474"/>
      <c r="M1432" s="70" t="str">
        <f t="shared" si="109"/>
        <v>INT-0039-26</v>
      </c>
      <c r="N1432" s="475"/>
      <c r="O1432" s="476"/>
    </row>
    <row r="1433" spans="1:15" ht="15" x14ac:dyDescent="0.25">
      <c r="A1433" s="470">
        <v>46129</v>
      </c>
      <c r="B1433" s="479" t="s">
        <v>3365</v>
      </c>
      <c r="C1433" s="480" t="s">
        <v>1066</v>
      </c>
      <c r="D1433" s="471" t="s">
        <v>36</v>
      </c>
      <c r="E1433" s="472" t="s">
        <v>37</v>
      </c>
      <c r="F1433" s="473" t="s">
        <v>2780</v>
      </c>
      <c r="G1433" s="470">
        <v>46356</v>
      </c>
      <c r="H1433" s="473" t="s">
        <v>3340</v>
      </c>
      <c r="I1433" s="471">
        <v>6</v>
      </c>
      <c r="J1433" s="481" t="s">
        <v>3364</v>
      </c>
      <c r="K1433" s="474" t="s">
        <v>1072</v>
      </c>
      <c r="L1433" s="474"/>
      <c r="M1433" s="70" t="str">
        <f t="shared" si="109"/>
        <v>INT-0039-26</v>
      </c>
      <c r="N1433" s="475"/>
      <c r="O1433" s="476"/>
    </row>
    <row r="1434" spans="1:15" ht="15" x14ac:dyDescent="0.25">
      <c r="A1434" s="470">
        <v>46129</v>
      </c>
      <c r="B1434" s="479" t="s">
        <v>3365</v>
      </c>
      <c r="C1434" s="480" t="s">
        <v>1066</v>
      </c>
      <c r="D1434" s="471" t="s">
        <v>42</v>
      </c>
      <c r="E1434" s="472" t="s">
        <v>43</v>
      </c>
      <c r="F1434" s="473" t="s">
        <v>3363</v>
      </c>
      <c r="G1434" s="470">
        <v>46630</v>
      </c>
      <c r="H1434" s="473" t="s">
        <v>3341</v>
      </c>
      <c r="I1434" s="471">
        <v>1</v>
      </c>
      <c r="J1434" s="481" t="s">
        <v>3364</v>
      </c>
      <c r="K1434" s="474" t="s">
        <v>1072</v>
      </c>
      <c r="L1434" s="474"/>
      <c r="M1434" s="70" t="str">
        <f t="shared" si="109"/>
        <v>INT-0039-26</v>
      </c>
      <c r="N1434" s="475"/>
      <c r="O1434" s="476"/>
    </row>
    <row r="1435" spans="1:15" ht="15" x14ac:dyDescent="0.25">
      <c r="A1435" s="470">
        <v>46129</v>
      </c>
      <c r="B1435" s="479" t="s">
        <v>3365</v>
      </c>
      <c r="C1435" s="480" t="s">
        <v>1066</v>
      </c>
      <c r="D1435" s="471" t="s">
        <v>42</v>
      </c>
      <c r="E1435" s="472" t="s">
        <v>43</v>
      </c>
      <c r="F1435" s="473" t="s">
        <v>2778</v>
      </c>
      <c r="G1435" s="470">
        <v>46446</v>
      </c>
      <c r="H1435" s="473" t="s">
        <v>3342</v>
      </c>
      <c r="I1435" s="471">
        <v>2</v>
      </c>
      <c r="J1435" s="481" t="s">
        <v>3364</v>
      </c>
      <c r="K1435" s="474" t="s">
        <v>1072</v>
      </c>
      <c r="L1435" s="474"/>
      <c r="M1435" s="70" t="str">
        <f t="shared" si="109"/>
        <v>INT-0039-26</v>
      </c>
      <c r="N1435" s="475"/>
      <c r="O1435" s="476"/>
    </row>
    <row r="1436" spans="1:15" ht="15" x14ac:dyDescent="0.25">
      <c r="A1436" s="470">
        <v>46129</v>
      </c>
      <c r="B1436" s="479" t="s">
        <v>3365</v>
      </c>
      <c r="C1436" s="480" t="s">
        <v>1066</v>
      </c>
      <c r="D1436" s="471" t="s">
        <v>42</v>
      </c>
      <c r="E1436" s="472" t="s">
        <v>43</v>
      </c>
      <c r="F1436" s="473" t="s">
        <v>2778</v>
      </c>
      <c r="G1436" s="470">
        <v>46446</v>
      </c>
      <c r="H1436" s="473" t="s">
        <v>3343</v>
      </c>
      <c r="I1436" s="471">
        <v>1</v>
      </c>
      <c r="J1436" s="481" t="s">
        <v>3364</v>
      </c>
      <c r="K1436" s="474" t="s">
        <v>1072</v>
      </c>
      <c r="L1436" s="474"/>
      <c r="M1436" s="70" t="str">
        <f t="shared" si="109"/>
        <v>INT-0039-26</v>
      </c>
      <c r="N1436" s="475"/>
      <c r="O1436" s="476"/>
    </row>
    <row r="1437" spans="1:15" ht="15" x14ac:dyDescent="0.25">
      <c r="A1437" s="470">
        <v>46129</v>
      </c>
      <c r="B1437" s="479" t="s">
        <v>3365</v>
      </c>
      <c r="C1437" s="480" t="s">
        <v>1066</v>
      </c>
      <c r="D1437" s="471" t="s">
        <v>42</v>
      </c>
      <c r="E1437" s="472" t="s">
        <v>43</v>
      </c>
      <c r="F1437" s="473" t="s">
        <v>2895</v>
      </c>
      <c r="G1437" s="470">
        <v>46477</v>
      </c>
      <c r="H1437" s="473" t="s">
        <v>3344</v>
      </c>
      <c r="I1437" s="471">
        <v>1</v>
      </c>
      <c r="J1437" s="481" t="s">
        <v>3364</v>
      </c>
      <c r="K1437" s="474" t="s">
        <v>1072</v>
      </c>
      <c r="L1437" s="474"/>
      <c r="M1437" s="70" t="str">
        <f t="shared" si="109"/>
        <v>INT-0039-26</v>
      </c>
      <c r="N1437" s="475"/>
      <c r="O1437" s="476"/>
    </row>
    <row r="1438" spans="1:15" ht="15" x14ac:dyDescent="0.25">
      <c r="A1438" s="470">
        <v>46129</v>
      </c>
      <c r="B1438" s="479" t="s">
        <v>3365</v>
      </c>
      <c r="C1438" s="480" t="s">
        <v>1066</v>
      </c>
      <c r="D1438" s="471" t="s">
        <v>42</v>
      </c>
      <c r="E1438" s="472" t="s">
        <v>43</v>
      </c>
      <c r="F1438" s="473" t="s">
        <v>2762</v>
      </c>
      <c r="G1438" s="470">
        <v>46477</v>
      </c>
      <c r="H1438" s="473" t="s">
        <v>3345</v>
      </c>
      <c r="I1438" s="471">
        <v>5</v>
      </c>
      <c r="J1438" s="481" t="s">
        <v>3364</v>
      </c>
      <c r="K1438" s="474" t="s">
        <v>1072</v>
      </c>
      <c r="L1438" s="474"/>
      <c r="M1438" s="70" t="str">
        <f t="shared" si="109"/>
        <v>INT-0039-26</v>
      </c>
      <c r="N1438" s="475"/>
      <c r="O1438" s="476"/>
    </row>
    <row r="1439" spans="1:15" ht="15" x14ac:dyDescent="0.25">
      <c r="A1439" s="470">
        <v>46129</v>
      </c>
      <c r="B1439" s="479" t="s">
        <v>3365</v>
      </c>
      <c r="C1439" s="480" t="s">
        <v>1066</v>
      </c>
      <c r="D1439" s="471" t="s">
        <v>42</v>
      </c>
      <c r="E1439" s="472" t="s">
        <v>43</v>
      </c>
      <c r="F1439" s="473" t="s">
        <v>2893</v>
      </c>
      <c r="G1439" s="470">
        <v>46507</v>
      </c>
      <c r="H1439" s="473" t="s">
        <v>3346</v>
      </c>
      <c r="I1439" s="471">
        <v>4</v>
      </c>
      <c r="J1439" s="481" t="s">
        <v>3364</v>
      </c>
      <c r="K1439" s="474" t="s">
        <v>1072</v>
      </c>
      <c r="L1439" s="474"/>
      <c r="M1439" s="70" t="str">
        <f t="shared" si="109"/>
        <v>INT-0039-26</v>
      </c>
      <c r="N1439" s="475"/>
      <c r="O1439" s="476"/>
    </row>
    <row r="1440" spans="1:15" ht="15" x14ac:dyDescent="0.25">
      <c r="A1440" s="470">
        <v>46129</v>
      </c>
      <c r="B1440" s="479" t="s">
        <v>3365</v>
      </c>
      <c r="C1440" s="480" t="s">
        <v>1066</v>
      </c>
      <c r="D1440" s="465" t="s">
        <v>42</v>
      </c>
      <c r="E1440" s="466" t="s">
        <v>43</v>
      </c>
      <c r="F1440" s="467" t="s">
        <v>2894</v>
      </c>
      <c r="G1440" s="462">
        <v>46507</v>
      </c>
      <c r="H1440" s="467" t="s">
        <v>3347</v>
      </c>
      <c r="I1440" s="465">
        <v>2</v>
      </c>
      <c r="J1440" s="481" t="s">
        <v>3364</v>
      </c>
      <c r="K1440" s="474" t="s">
        <v>1072</v>
      </c>
      <c r="L1440" s="477"/>
      <c r="M1440" s="383" t="str">
        <f t="shared" si="109"/>
        <v>INT-0039-26</v>
      </c>
      <c r="N1440" s="468"/>
      <c r="O1440" s="469"/>
    </row>
    <row r="1441" spans="1:15" ht="15" x14ac:dyDescent="0.25">
      <c r="A1441" s="462">
        <v>46133</v>
      </c>
      <c r="B1441" s="463" t="s">
        <v>3366</v>
      </c>
      <c r="C1441" s="464"/>
      <c r="D1441" s="465" t="s">
        <v>3080</v>
      </c>
      <c r="E1441" s="466" t="s">
        <v>3081</v>
      </c>
      <c r="F1441" s="467" t="s">
        <v>3368</v>
      </c>
      <c r="G1441" s="462">
        <v>47149</v>
      </c>
      <c r="H1441" s="467" t="s">
        <v>3367</v>
      </c>
      <c r="I1441" s="465">
        <v>1</v>
      </c>
      <c r="J1441" s="387" t="s">
        <v>3369</v>
      </c>
      <c r="K1441" s="477" t="s">
        <v>1089</v>
      </c>
      <c r="L1441" s="477"/>
      <c r="M1441" s="383" t="str">
        <f>HYPERLINK("P:\7. LONG HAU\7. CAC THEO DOI TRONG QUA TRINH\4. DEVIATION- INCIDENTS\THEO DÕI NỘI BỘ (NGOÀI BBSC)\"&amp;YEAR(A1441)&amp;"\"&amp;B1441,B1441)</f>
        <v>INT-0040-26</v>
      </c>
      <c r="N1441" s="468"/>
      <c r="O1441" s="469"/>
    </row>
    <row r="1442" spans="1:15" ht="25.5" x14ac:dyDescent="0.25">
      <c r="A1442" s="413">
        <v>46135</v>
      </c>
      <c r="B1442" s="414" t="s">
        <v>3373</v>
      </c>
      <c r="C1442" s="415"/>
      <c r="D1442" s="416" t="s">
        <v>283</v>
      </c>
      <c r="E1442" s="417" t="s">
        <v>284</v>
      </c>
      <c r="F1442" s="418" t="s">
        <v>2415</v>
      </c>
      <c r="G1442" s="413">
        <v>46082</v>
      </c>
      <c r="H1442" s="418" t="s">
        <v>3370</v>
      </c>
      <c r="I1442" s="416">
        <v>4.83</v>
      </c>
      <c r="J1442" s="387" t="s">
        <v>3372</v>
      </c>
      <c r="K1442" s="389" t="s">
        <v>1072</v>
      </c>
      <c r="L1442" s="389"/>
      <c r="M1442" s="383" t="str">
        <f>HYPERLINK("P:\7. LONG HAU\7. CAC THEO DOI TRONG QUA TRINH\4. DEVIATION- INCIDENTS\THEO DÕI NỘI BỘ (NGOÀI BBSC)\"&amp;YEAR(A1442)&amp;"\"&amp;B1442,B1442)</f>
        <v>INT-0041-26</v>
      </c>
      <c r="N1442" s="448"/>
      <c r="O1442" s="449"/>
    </row>
    <row r="1443" spans="1:15" ht="25.5" x14ac:dyDescent="0.25">
      <c r="A1443" s="413">
        <v>46135</v>
      </c>
      <c r="B1443" s="414" t="s">
        <v>3373</v>
      </c>
      <c r="C1443" s="415"/>
      <c r="D1443" s="416" t="s">
        <v>283</v>
      </c>
      <c r="E1443" s="417" t="s">
        <v>284</v>
      </c>
      <c r="F1443" s="418" t="s">
        <v>2415</v>
      </c>
      <c r="G1443" s="413">
        <v>46082</v>
      </c>
      <c r="H1443" s="418" t="s">
        <v>3371</v>
      </c>
      <c r="I1443" s="416">
        <v>40</v>
      </c>
      <c r="J1443" s="387" t="s">
        <v>3372</v>
      </c>
      <c r="K1443" s="389" t="s">
        <v>1072</v>
      </c>
      <c r="L1443" s="389"/>
      <c r="M1443" s="383" t="str">
        <f>HYPERLINK("P:\7. LONG HAU\7. CAC THEO DOI TRONG QUA TRINH\4. DEVIATION- INCIDENTS\THEO DÕI NỘI BỘ (NGOÀI BBSC)\"&amp;YEAR(A1443)&amp;"\"&amp;B1443,B1443)</f>
        <v>INT-0041-26</v>
      </c>
      <c r="N1443" s="448"/>
      <c r="O1443" s="449"/>
    </row>
    <row r="1444" spans="1:15" ht="15" x14ac:dyDescent="0.25">
      <c r="A1444" s="462">
        <v>46136</v>
      </c>
      <c r="B1444" s="463" t="s">
        <v>3374</v>
      </c>
      <c r="C1444" s="464" t="s">
        <v>1066</v>
      </c>
      <c r="D1444" s="465" t="s">
        <v>42</v>
      </c>
      <c r="E1444" s="466" t="s">
        <v>43</v>
      </c>
      <c r="F1444" s="467" t="s">
        <v>2762</v>
      </c>
      <c r="G1444" s="462">
        <v>46477</v>
      </c>
      <c r="H1444" s="467" t="s">
        <v>3375</v>
      </c>
      <c r="I1444" s="465">
        <v>28</v>
      </c>
      <c r="J1444" s="387" t="s">
        <v>3376</v>
      </c>
      <c r="K1444" s="477" t="s">
        <v>1073</v>
      </c>
      <c r="L1444" s="477"/>
      <c r="M1444" s="383" t="str">
        <f>HYPERLINK("P:\7. LONG HAU\7. CAC THEO DOI TRONG QUA TRINH\4. DEVIATION- INCIDENTS\THEO DÕI NỘI BỘ (NGOÀI BBSC)\"&amp;YEAR(A1444)&amp;"\"&amp;B1444,B1444)</f>
        <v>INT-0042-26</v>
      </c>
      <c r="N1444" s="468"/>
      <c r="O1444" s="469"/>
    </row>
  </sheetData>
  <conditionalFormatting sqref="K1:K1048576">
    <cfRule type="containsBlanks" dxfId="36" priority="23">
      <formula>LEN(TRIM(K1))=0</formula>
    </cfRule>
    <cfRule type="containsText" dxfId="35" priority="86" operator="containsText" text="chưa">
      <formula>NOT(ISERROR(SEARCH("chưa",K1)))</formula>
    </cfRule>
  </conditionalFormatting>
  <conditionalFormatting sqref="B1214:B1247 B572:B678 B680:B755 B761 B763 B1:B570 B766:B1017 B1024:B1207 B1249 B1251:B1253 B1255:B1275 B1307 B1347:B1048576">
    <cfRule type="duplicateValues" dxfId="34" priority="22"/>
  </conditionalFormatting>
  <conditionalFormatting sqref="B527">
    <cfRule type="duplicateValues" dxfId="33" priority="19"/>
  </conditionalFormatting>
  <conditionalFormatting sqref="K527">
    <cfRule type="containsBlanks" dxfId="32" priority="17">
      <formula>LEN(TRIM(K527))=0</formula>
    </cfRule>
    <cfRule type="containsText" dxfId="31" priority="18" operator="containsText" text="chưa">
      <formula>NOT(ISERROR(SEARCH("chưa",K527)))</formula>
    </cfRule>
  </conditionalFormatting>
  <conditionalFormatting sqref="B571">
    <cfRule type="duplicateValues" dxfId="30" priority="15"/>
  </conditionalFormatting>
  <conditionalFormatting sqref="B679">
    <cfRule type="duplicateValues" dxfId="29" priority="14"/>
  </conditionalFormatting>
  <conditionalFormatting sqref="B756:B760">
    <cfRule type="duplicateValues" dxfId="28" priority="13"/>
  </conditionalFormatting>
  <conditionalFormatting sqref="B762">
    <cfRule type="duplicateValues" dxfId="27" priority="12"/>
  </conditionalFormatting>
  <conditionalFormatting sqref="B764:B765">
    <cfRule type="duplicateValues" dxfId="26" priority="11"/>
  </conditionalFormatting>
  <conditionalFormatting sqref="B1018:B1023">
    <cfRule type="duplicateValues" dxfId="25" priority="7"/>
  </conditionalFormatting>
  <conditionalFormatting sqref="B1208:B1213">
    <cfRule type="duplicateValues" dxfId="24" priority="6"/>
  </conditionalFormatting>
  <conditionalFormatting sqref="B1248">
    <cfRule type="duplicateValues" dxfId="23" priority="5"/>
  </conditionalFormatting>
  <conditionalFormatting sqref="B1250">
    <cfRule type="duplicateValues" dxfId="22" priority="4"/>
  </conditionalFormatting>
  <conditionalFormatting sqref="B1254">
    <cfRule type="duplicateValues" dxfId="21" priority="3"/>
  </conditionalFormatting>
  <conditionalFormatting sqref="B1276:B1306">
    <cfRule type="duplicateValues" dxfId="20" priority="2"/>
  </conditionalFormatting>
  <conditionalFormatting sqref="B1308:B1346">
    <cfRule type="duplicateValues" dxfId="19" priority="1"/>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14:formula1>
            <xm:f>'Danh mục'!$H$2:$H$3</xm:f>
          </x14:formula1>
          <xm:sqref>N461 O1:O1048576</xm:sqref>
        </x14:dataValidation>
        <x14:dataValidation type="list" allowBlank="1" showInputMessage="1" showErrorMessage="1">
          <x14:formula1>
            <xm:f>'Danh mục'!$A$16:$A$22</xm:f>
          </x14:formula1>
          <xm:sqref>C1:C1048576</xm:sqref>
        </x14:dataValidation>
        <x14:dataValidation type="list" allowBlank="1" showInputMessage="1" showErrorMessage="1">
          <x14:formula1>
            <xm:f>'Danh mục'!$D$2:$D$7</xm:f>
          </x14:formula1>
          <xm:sqref>K1:K1048576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U29"/>
  <sheetViews>
    <sheetView workbookViewId="0">
      <selection activeCell="K28" sqref="K28:L29"/>
    </sheetView>
  </sheetViews>
  <sheetFormatPr defaultRowHeight="15" x14ac:dyDescent="0.25"/>
  <cols>
    <col min="1" max="1" width="1.7109375" customWidth="1"/>
    <col min="2" max="2" width="11.28515625" bestFit="1" customWidth="1"/>
    <col min="3" max="3" width="7.85546875" customWidth="1"/>
    <col min="4" max="4" width="5.28515625" customWidth="1"/>
    <col min="5" max="5" width="9.140625" customWidth="1"/>
    <col min="6" max="6" width="7.28515625" customWidth="1"/>
    <col min="7" max="7" width="10.42578125" bestFit="1" customWidth="1"/>
    <col min="8" max="8" width="19.140625" customWidth="1"/>
    <col min="9" max="9" width="7" customWidth="1"/>
    <col min="10" max="10" width="9.85546875" customWidth="1"/>
    <col min="11" max="11" width="7" customWidth="1"/>
    <col min="12" max="12" width="3" customWidth="1"/>
    <col min="13" max="13" width="6.5703125" customWidth="1"/>
    <col min="14" max="14" width="5.85546875" customWidth="1"/>
    <col min="15" max="15" width="2" customWidth="1"/>
    <col min="16" max="16" width="15.7109375" bestFit="1" customWidth="1"/>
    <col min="17" max="17" width="6" customWidth="1"/>
  </cols>
  <sheetData>
    <row r="1" spans="1:21" x14ac:dyDescent="0.25">
      <c r="F1" s="9"/>
    </row>
    <row r="2" spans="1:21" x14ac:dyDescent="0.25">
      <c r="A2" s="12">
        <v>1</v>
      </c>
      <c r="B2" s="13" t="s">
        <v>1332</v>
      </c>
      <c r="C2" s="12">
        <v>25032025</v>
      </c>
      <c r="D2" s="12">
        <v>28888</v>
      </c>
      <c r="E2" s="12" t="s">
        <v>1333</v>
      </c>
      <c r="F2" s="13" t="s">
        <v>1334</v>
      </c>
      <c r="G2" s="12" t="s">
        <v>1335</v>
      </c>
      <c r="H2" s="14">
        <v>46466</v>
      </c>
      <c r="I2" s="13" t="s">
        <v>1336</v>
      </c>
      <c r="J2" s="12" t="s">
        <v>1337</v>
      </c>
      <c r="K2" s="12" t="s">
        <v>1338</v>
      </c>
    </row>
    <row r="3" spans="1:21" x14ac:dyDescent="0.25">
      <c r="A3" s="12">
        <v>2</v>
      </c>
      <c r="B3" s="13" t="s">
        <v>1332</v>
      </c>
      <c r="C3" s="12">
        <v>25032025</v>
      </c>
      <c r="D3" s="12">
        <v>28888</v>
      </c>
      <c r="E3" s="12" t="s">
        <v>1276</v>
      </c>
      <c r="F3" s="13" t="s">
        <v>303</v>
      </c>
      <c r="G3" s="12" t="s">
        <v>901</v>
      </c>
      <c r="H3" s="14">
        <v>46426</v>
      </c>
      <c r="I3" s="13" t="s">
        <v>1336</v>
      </c>
      <c r="J3" s="12" t="s">
        <v>1337</v>
      </c>
      <c r="K3" s="12" t="s">
        <v>1338</v>
      </c>
    </row>
    <row r="4" spans="1:21" x14ac:dyDescent="0.25">
      <c r="A4" s="12">
        <v>3</v>
      </c>
      <c r="B4" s="13" t="s">
        <v>1332</v>
      </c>
      <c r="C4" s="12">
        <v>25032025</v>
      </c>
      <c r="D4" s="12">
        <v>28888</v>
      </c>
      <c r="E4" s="12" t="s">
        <v>1339</v>
      </c>
      <c r="F4" s="13" t="s">
        <v>1340</v>
      </c>
      <c r="G4" s="12" t="s">
        <v>1341</v>
      </c>
      <c r="H4" s="14">
        <v>46347</v>
      </c>
      <c r="I4" s="13" t="s">
        <v>1336</v>
      </c>
      <c r="J4" s="12" t="s">
        <v>1337</v>
      </c>
      <c r="K4" s="12" t="s">
        <v>1338</v>
      </c>
    </row>
    <row r="5" spans="1:21" x14ac:dyDescent="0.25">
      <c r="A5" s="11"/>
      <c r="B5" s="10"/>
      <c r="C5" s="10"/>
      <c r="D5" s="10"/>
      <c r="E5" s="10"/>
      <c r="F5" s="10"/>
      <c r="G5" s="10"/>
      <c r="H5" s="10"/>
      <c r="I5" s="10"/>
      <c r="J5" s="10"/>
      <c r="K5" s="10"/>
    </row>
    <row r="7" spans="1:21" x14ac:dyDescent="0.25">
      <c r="D7" s="9"/>
      <c r="E7" s="9"/>
      <c r="F7" s="9"/>
      <c r="G7" s="9"/>
      <c r="H7" s="9"/>
      <c r="I7" s="9"/>
      <c r="J7" s="9"/>
      <c r="K7" s="9"/>
      <c r="L7" s="9"/>
      <c r="M7" s="9"/>
      <c r="N7" s="9"/>
      <c r="O7" s="9"/>
      <c r="P7" s="9"/>
      <c r="Q7" s="9"/>
      <c r="R7" s="9"/>
      <c r="S7" s="9"/>
      <c r="T7" s="9"/>
      <c r="U7" s="9"/>
    </row>
    <row r="8" spans="1:21" x14ac:dyDescent="0.25">
      <c r="D8" s="9"/>
      <c r="E8" s="9"/>
      <c r="F8" s="9"/>
      <c r="G8" s="9"/>
      <c r="H8" s="9"/>
      <c r="I8" s="9"/>
      <c r="J8" s="9"/>
      <c r="K8" s="9"/>
      <c r="L8" s="9"/>
      <c r="M8" s="9"/>
      <c r="N8" s="9"/>
      <c r="O8" s="9"/>
      <c r="P8" s="9"/>
      <c r="Q8" s="9"/>
      <c r="R8" s="9"/>
      <c r="S8" s="9"/>
      <c r="T8" s="9"/>
      <c r="U8" s="9"/>
    </row>
    <row r="9" spans="1:21" x14ac:dyDescent="0.25">
      <c r="D9" s="9"/>
      <c r="E9" s="9"/>
      <c r="F9" s="9"/>
      <c r="G9" s="9"/>
      <c r="H9" s="9"/>
      <c r="I9" s="9"/>
      <c r="J9" s="9"/>
      <c r="K9" s="9"/>
      <c r="L9" s="9"/>
      <c r="M9" s="9"/>
      <c r="N9" s="9"/>
      <c r="O9" s="9"/>
      <c r="P9" s="9"/>
      <c r="Q9" s="9"/>
      <c r="R9" s="9"/>
      <c r="S9" s="9"/>
      <c r="T9" s="9"/>
      <c r="U9" s="9"/>
    </row>
    <row r="10" spans="1:21" x14ac:dyDescent="0.25">
      <c r="D10" s="9"/>
      <c r="E10" s="9"/>
      <c r="F10" s="9"/>
      <c r="G10" s="9"/>
      <c r="H10" s="9"/>
      <c r="I10" s="9"/>
      <c r="J10" s="9"/>
      <c r="K10" s="9"/>
      <c r="L10" s="9"/>
      <c r="M10" s="9"/>
      <c r="N10" s="9"/>
      <c r="O10" s="9"/>
      <c r="P10" s="9"/>
      <c r="Q10" s="9"/>
      <c r="R10" s="9"/>
      <c r="S10" s="9"/>
      <c r="T10" s="9"/>
      <c r="U10" s="9"/>
    </row>
    <row r="11" spans="1:21" x14ac:dyDescent="0.25">
      <c r="D11" s="9"/>
      <c r="E11" s="9"/>
      <c r="F11" s="9"/>
      <c r="G11" s="9"/>
      <c r="H11" s="9"/>
      <c r="I11" s="9"/>
      <c r="J11" s="9"/>
      <c r="K11" s="9"/>
      <c r="L11" s="9"/>
      <c r="M11" s="9"/>
      <c r="N11" s="9"/>
      <c r="O11" s="9"/>
      <c r="P11" s="9"/>
      <c r="Q11" s="9"/>
      <c r="R11" s="9"/>
      <c r="S11" s="9"/>
      <c r="T11" s="9"/>
      <c r="U11" s="9"/>
    </row>
    <row r="12" spans="1:21" x14ac:dyDescent="0.25">
      <c r="D12" s="9"/>
      <c r="E12" s="9"/>
      <c r="G12" s="9" t="s">
        <v>1572</v>
      </c>
      <c r="H12" s="9" t="s">
        <v>1264</v>
      </c>
      <c r="I12" s="9" t="s">
        <v>1265</v>
      </c>
      <c r="J12" s="9" t="s">
        <v>1266</v>
      </c>
      <c r="K12" s="9" t="s">
        <v>1578</v>
      </c>
      <c r="L12" s="9" t="s">
        <v>1579</v>
      </c>
      <c r="M12" s="9" t="s">
        <v>1580</v>
      </c>
      <c r="N12" s="9" t="s">
        <v>1573</v>
      </c>
      <c r="O12" s="9" t="s">
        <v>1574</v>
      </c>
      <c r="P12" s="9" t="s">
        <v>1575</v>
      </c>
      <c r="Q12" s="9" t="s">
        <v>1576</v>
      </c>
      <c r="R12" s="9"/>
      <c r="S12" s="9"/>
      <c r="T12" s="9"/>
      <c r="U12" s="9"/>
    </row>
    <row r="13" spans="1:21" x14ac:dyDescent="0.25">
      <c r="D13" s="9"/>
      <c r="E13" s="9"/>
      <c r="F13" s="9"/>
      <c r="G13" s="9" t="s">
        <v>1572</v>
      </c>
      <c r="H13" s="9" t="s">
        <v>1264</v>
      </c>
      <c r="I13" s="9" t="s">
        <v>1265</v>
      </c>
      <c r="J13" s="9" t="s">
        <v>1266</v>
      </c>
      <c r="K13" s="9" t="s">
        <v>1578</v>
      </c>
      <c r="L13" s="9" t="s">
        <v>1581</v>
      </c>
      <c r="M13" s="9" t="s">
        <v>1582</v>
      </c>
      <c r="N13" s="9" t="s">
        <v>1573</v>
      </c>
      <c r="O13" s="9" t="s">
        <v>1574</v>
      </c>
      <c r="P13" s="9" t="s">
        <v>1575</v>
      </c>
      <c r="Q13" s="9" t="s">
        <v>1576</v>
      </c>
      <c r="R13" s="9"/>
      <c r="S13" s="9"/>
      <c r="T13" s="9"/>
      <c r="U13" s="9"/>
    </row>
    <row r="14" spans="1:21" x14ac:dyDescent="0.25">
      <c r="D14" s="9"/>
      <c r="E14" s="9"/>
      <c r="F14" s="9"/>
      <c r="G14" s="9" t="s">
        <v>1572</v>
      </c>
      <c r="H14" s="9" t="s">
        <v>1264</v>
      </c>
      <c r="I14" s="9" t="s">
        <v>1265</v>
      </c>
      <c r="J14" s="9" t="s">
        <v>1266</v>
      </c>
      <c r="K14" s="9" t="s">
        <v>1578</v>
      </c>
      <c r="L14" s="9" t="s">
        <v>1583</v>
      </c>
      <c r="M14" s="9" t="s">
        <v>1584</v>
      </c>
      <c r="N14" s="9" t="s">
        <v>1573</v>
      </c>
      <c r="O14" s="9" t="s">
        <v>1574</v>
      </c>
      <c r="P14" s="9" t="s">
        <v>1575</v>
      </c>
      <c r="Q14" s="9" t="s">
        <v>1577</v>
      </c>
      <c r="R14" s="9"/>
      <c r="S14" s="9"/>
      <c r="T14" s="9"/>
      <c r="U14" s="9"/>
    </row>
    <row r="15" spans="1:21" x14ac:dyDescent="0.25">
      <c r="D15" s="9"/>
      <c r="E15" s="9"/>
      <c r="F15" s="9"/>
      <c r="G15" s="9" t="s">
        <v>1572</v>
      </c>
      <c r="H15" s="9" t="s">
        <v>1264</v>
      </c>
      <c r="I15" s="9" t="s">
        <v>1265</v>
      </c>
      <c r="J15" s="9" t="s">
        <v>1266</v>
      </c>
      <c r="K15" s="9" t="s">
        <v>1578</v>
      </c>
      <c r="L15" s="9" t="s">
        <v>1585</v>
      </c>
      <c r="M15" s="9" t="s">
        <v>1586</v>
      </c>
      <c r="N15" s="9" t="s">
        <v>1573</v>
      </c>
      <c r="O15" s="9" t="s">
        <v>1574</v>
      </c>
      <c r="P15" s="9" t="s">
        <v>1575</v>
      </c>
      <c r="Q15" s="9" t="s">
        <v>1577</v>
      </c>
      <c r="R15" s="9"/>
      <c r="S15" s="9"/>
      <c r="T15" s="9"/>
      <c r="U15" s="9"/>
    </row>
    <row r="16" spans="1:21" x14ac:dyDescent="0.25">
      <c r="D16" s="9"/>
      <c r="E16" s="9"/>
      <c r="F16" s="9"/>
      <c r="G16" s="9"/>
      <c r="H16" s="9"/>
      <c r="I16" s="9"/>
      <c r="J16" s="9"/>
      <c r="K16" s="9"/>
      <c r="L16" s="9"/>
      <c r="M16" s="9"/>
      <c r="N16" s="9"/>
      <c r="O16" s="9"/>
      <c r="P16" s="9"/>
      <c r="Q16" s="9"/>
      <c r="R16" s="9"/>
      <c r="S16" s="9"/>
      <c r="T16" s="9"/>
      <c r="U16" s="9"/>
    </row>
    <row r="17" spans="4:21" x14ac:dyDescent="0.25">
      <c r="D17" s="9"/>
      <c r="E17" s="9"/>
      <c r="F17" s="9"/>
      <c r="G17" s="9"/>
      <c r="H17" s="9"/>
      <c r="I17" s="9"/>
      <c r="J17" s="9"/>
      <c r="K17" s="9"/>
      <c r="L17" s="9"/>
      <c r="M17" s="9"/>
      <c r="N17" s="9"/>
      <c r="O17" s="9"/>
      <c r="P17" s="9"/>
      <c r="Q17" s="9"/>
      <c r="R17" s="9"/>
      <c r="S17" s="9"/>
      <c r="T17" s="9"/>
      <c r="U17" s="9"/>
    </row>
    <row r="18" spans="4:21" x14ac:dyDescent="0.25">
      <c r="D18" s="9"/>
      <c r="E18" s="9"/>
      <c r="F18" s="9"/>
      <c r="G18" s="9"/>
      <c r="H18" s="9"/>
      <c r="I18" s="9"/>
      <c r="J18" s="9"/>
      <c r="K18" s="9"/>
      <c r="L18" s="9"/>
      <c r="M18" s="9"/>
      <c r="N18" s="9"/>
      <c r="O18" s="9"/>
      <c r="P18" s="9"/>
      <c r="Q18" s="9"/>
      <c r="R18" s="9"/>
      <c r="S18" s="9"/>
      <c r="T18" s="9"/>
      <c r="U18" s="9"/>
    </row>
    <row r="19" spans="4:21" x14ac:dyDescent="0.25">
      <c r="D19" s="9"/>
      <c r="E19" s="9"/>
      <c r="F19" s="9"/>
      <c r="G19" s="9"/>
      <c r="H19" s="9"/>
      <c r="I19" s="9"/>
      <c r="J19" s="9"/>
      <c r="K19" s="9"/>
      <c r="L19" s="9"/>
      <c r="M19" s="9"/>
      <c r="N19" s="9"/>
      <c r="O19" s="9"/>
      <c r="P19" s="9"/>
      <c r="Q19" s="9"/>
      <c r="R19" s="9"/>
      <c r="S19" s="9"/>
      <c r="T19" s="9"/>
      <c r="U19" s="9"/>
    </row>
    <row r="20" spans="4:21" x14ac:dyDescent="0.25">
      <c r="D20" s="9"/>
      <c r="E20" s="9"/>
      <c r="F20" s="9"/>
      <c r="G20" s="9"/>
      <c r="H20" s="9"/>
      <c r="I20" s="9"/>
      <c r="J20" s="9"/>
      <c r="K20" s="9"/>
      <c r="L20" s="9"/>
      <c r="M20" s="9"/>
      <c r="N20" s="9"/>
      <c r="O20" s="9"/>
      <c r="P20" s="9"/>
      <c r="Q20" s="9"/>
      <c r="R20" s="9"/>
      <c r="S20" s="9"/>
      <c r="T20" s="9"/>
      <c r="U20" s="9"/>
    </row>
    <row r="21" spans="4:21" x14ac:dyDescent="0.25">
      <c r="G21" t="s">
        <v>1572</v>
      </c>
      <c r="H21" t="s">
        <v>1255</v>
      </c>
      <c r="I21" t="s">
        <v>1256</v>
      </c>
      <c r="J21" t="s">
        <v>1904</v>
      </c>
      <c r="K21" s="15">
        <v>46053</v>
      </c>
      <c r="L21">
        <v>193070</v>
      </c>
      <c r="M21">
        <v>56</v>
      </c>
      <c r="N21" t="s">
        <v>1573</v>
      </c>
      <c r="O21" t="s">
        <v>1574</v>
      </c>
      <c r="P21">
        <v>0</v>
      </c>
      <c r="Q21" t="s">
        <v>1905</v>
      </c>
      <c r="R21" t="s">
        <v>1906</v>
      </c>
    </row>
    <row r="22" spans="4:21" x14ac:dyDescent="0.25">
      <c r="G22" t="s">
        <v>1572</v>
      </c>
      <c r="H22" t="s">
        <v>1255</v>
      </c>
      <c r="I22" t="s">
        <v>1256</v>
      </c>
      <c r="J22" t="s">
        <v>1907</v>
      </c>
      <c r="K22" s="15">
        <v>46053</v>
      </c>
      <c r="L22">
        <v>193071</v>
      </c>
      <c r="M22">
        <v>16</v>
      </c>
      <c r="N22" t="s">
        <v>1573</v>
      </c>
      <c r="O22" t="s">
        <v>1574</v>
      </c>
      <c r="P22">
        <v>0</v>
      </c>
      <c r="Q22" t="s">
        <v>1905</v>
      </c>
      <c r="R22" t="s">
        <v>1908</v>
      </c>
    </row>
    <row r="23" spans="4:21" x14ac:dyDescent="0.25">
      <c r="G23" t="s">
        <v>1572</v>
      </c>
      <c r="H23" t="s">
        <v>1255</v>
      </c>
      <c r="I23" t="s">
        <v>1256</v>
      </c>
      <c r="J23" t="s">
        <v>1257</v>
      </c>
      <c r="K23" s="15">
        <v>46053</v>
      </c>
      <c r="L23">
        <v>193072</v>
      </c>
      <c r="M23">
        <v>54</v>
      </c>
      <c r="N23" t="s">
        <v>1573</v>
      </c>
      <c r="O23" t="s">
        <v>1574</v>
      </c>
      <c r="P23">
        <v>0</v>
      </c>
      <c r="Q23" t="s">
        <v>1905</v>
      </c>
      <c r="R23" t="s">
        <v>1909</v>
      </c>
    </row>
    <row r="24" spans="4:21" x14ac:dyDescent="0.25">
      <c r="G24" t="s">
        <v>1572</v>
      </c>
      <c r="H24" t="s">
        <v>47</v>
      </c>
      <c r="I24" t="s">
        <v>48</v>
      </c>
      <c r="J24" t="s">
        <v>1731</v>
      </c>
      <c r="K24" s="15">
        <v>46053</v>
      </c>
      <c r="L24">
        <v>193073</v>
      </c>
      <c r="M24">
        <v>17</v>
      </c>
      <c r="N24" t="s">
        <v>1573</v>
      </c>
      <c r="O24" t="s">
        <v>1574</v>
      </c>
      <c r="P24">
        <v>0</v>
      </c>
      <c r="Q24" t="s">
        <v>1910</v>
      </c>
      <c r="R24" t="s">
        <v>1911</v>
      </c>
    </row>
    <row r="28" spans="4:21" ht="15.75" thickBot="1" x14ac:dyDescent="0.3">
      <c r="F28" s="21" t="s">
        <v>2292</v>
      </c>
      <c r="G28" s="17" t="s">
        <v>31</v>
      </c>
      <c r="H28" s="16" t="s">
        <v>32</v>
      </c>
      <c r="I28" s="16">
        <v>162793</v>
      </c>
      <c r="J28" s="18">
        <v>45930</v>
      </c>
      <c r="K28" s="16">
        <v>201690</v>
      </c>
      <c r="L28" s="19">
        <v>29</v>
      </c>
      <c r="M28" s="16" t="s">
        <v>2293</v>
      </c>
      <c r="N28" s="16" t="s">
        <v>1574</v>
      </c>
      <c r="O28" s="19">
        <v>0</v>
      </c>
      <c r="P28" s="16" t="s">
        <v>2294</v>
      </c>
      <c r="Q28" s="16">
        <v>33049</v>
      </c>
      <c r="R28" s="20"/>
    </row>
    <row r="29" spans="4:21" x14ac:dyDescent="0.25">
      <c r="F29" s="22" t="s">
        <v>2292</v>
      </c>
      <c r="G29" s="22" t="s">
        <v>31</v>
      </c>
      <c r="H29" s="22" t="s">
        <v>32</v>
      </c>
      <c r="I29" s="22">
        <v>163763</v>
      </c>
      <c r="J29" s="23">
        <v>46022</v>
      </c>
      <c r="K29" s="22">
        <v>201689</v>
      </c>
      <c r="L29" s="24">
        <v>2</v>
      </c>
      <c r="M29" s="25" t="s">
        <v>2293</v>
      </c>
      <c r="N29" s="22" t="s">
        <v>1574</v>
      </c>
      <c r="O29" s="24">
        <v>0</v>
      </c>
      <c r="P29" s="22" t="s">
        <v>2294</v>
      </c>
      <c r="Q29" s="26">
        <v>33049</v>
      </c>
    </row>
  </sheetData>
  <pageMargins left="0.7" right="0.7" top="0.75" bottom="0.75" header="0.3" footer="0.3"/>
  <pageSetup paperSize="9" orientation="portrait" r:id="rId1"/>
  <drawing r:id="rId2"/>
  <legacyDrawing r:id="rId3"/>
  <controls>
    <mc:AlternateContent xmlns:mc="http://schemas.openxmlformats.org/markup-compatibility/2006">
      <mc:Choice Requires="x14">
        <control shapeId="2049" r:id="rId4" name="Control 1">
          <controlPr defaultSize="0" r:id="rId5">
            <anchor moveWithCells="1">
              <from>
                <xdr:col>5</xdr:col>
                <xdr:colOff>0</xdr:colOff>
                <xdr:row>28</xdr:row>
                <xdr:rowOff>0</xdr:rowOff>
              </from>
              <to>
                <xdr:col>5</xdr:col>
                <xdr:colOff>257175</xdr:colOff>
                <xdr:row>29</xdr:row>
                <xdr:rowOff>47625</xdr:rowOff>
              </to>
            </anchor>
          </controlPr>
        </control>
      </mc:Choice>
      <mc:Fallback>
        <control shapeId="2049" r:id="rId4"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Danh mục</vt:lpstr>
      <vt:lpstr>Theo dõi 2024-2026</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2026-05-04T01:55:08Z</dcterms:modified>
</cp:coreProperties>
</file>